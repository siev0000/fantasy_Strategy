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kt3\ドキュメント\Github\fantasy_Strategy\data\source\"/>
    </mc:Choice>
  </mc:AlternateContent>
  <xr:revisionPtr revIDLastSave="0" documentId="13_ncr:1_{51989C42-4026-4699-A988-D939A52FB9C2}" xr6:coauthVersionLast="47" xr6:coauthVersionMax="47" xr10:uidLastSave="{00000000-0000-0000-0000-000000000000}"/>
  <bookViews>
    <workbookView xWindow="8310" yWindow="0" windowWidth="21105" windowHeight="20580" activeTab="2" xr2:uid="{25265DDE-CFD4-40ED-9D6E-D5942B37F7CD}"/>
  </bookViews>
  <sheets>
    <sheet name="クラス" sheetId="1" r:id="rId1"/>
    <sheet name="説明" sheetId="2" r:id="rId2"/>
    <sheet name="スキル作成" sheetId="3" r:id="rId3"/>
    <sheet name="スキル一覧" sheetId="4" r:id="rId4"/>
    <sheet name="Sheet5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3" i="3" l="1"/>
  <c r="H343" i="3"/>
  <c r="H342" i="3"/>
  <c r="H339" i="3"/>
  <c r="H334" i="3"/>
  <c r="H330" i="3"/>
  <c r="H326" i="3"/>
  <c r="H321" i="3"/>
  <c r="D343" i="3"/>
  <c r="D330" i="3"/>
  <c r="D317" i="3"/>
  <c r="D304" i="3"/>
  <c r="D334" i="3"/>
  <c r="D321" i="3"/>
  <c r="D308" i="3"/>
  <c r="D295" i="3"/>
  <c r="B342" i="3"/>
  <c r="L341" i="3"/>
  <c r="L340" i="3"/>
  <c r="B339" i="3"/>
  <c r="M338" i="3"/>
  <c r="L338" i="3"/>
  <c r="L337" i="3"/>
  <c r="L336" i="3"/>
  <c r="L335" i="3"/>
  <c r="B334" i="3"/>
  <c r="M360" i="3" s="1"/>
  <c r="B330" i="3"/>
  <c r="H329" i="3"/>
  <c r="B329" i="3"/>
  <c r="M328" i="3"/>
  <c r="L328" i="3"/>
  <c r="L327" i="3"/>
  <c r="B326" i="3"/>
  <c r="L325" i="3"/>
  <c r="M324" i="3"/>
  <c r="L324" i="3"/>
  <c r="L323" i="3"/>
  <c r="L322" i="3"/>
  <c r="B321" i="3"/>
  <c r="M321" i="3" s="1"/>
  <c r="H317" i="3"/>
  <c r="B317" i="3"/>
  <c r="M317" i="3" s="1"/>
  <c r="H316" i="3"/>
  <c r="B316" i="3"/>
  <c r="M315" i="3"/>
  <c r="L315" i="3"/>
  <c r="L314" i="3"/>
  <c r="H313" i="3"/>
  <c r="B313" i="3"/>
  <c r="M313" i="3" s="1"/>
  <c r="M312" i="3"/>
  <c r="L312" i="3"/>
  <c r="M311" i="3"/>
  <c r="L311" i="3"/>
  <c r="M310" i="3"/>
  <c r="N310" i="3" s="1"/>
  <c r="L310" i="3"/>
  <c r="N309" i="3"/>
  <c r="M309" i="3"/>
  <c r="L309" i="3"/>
  <c r="H308" i="3"/>
  <c r="B308" i="3"/>
  <c r="M308" i="3" s="1"/>
  <c r="H304" i="3"/>
  <c r="H303" i="3"/>
  <c r="H300" i="3"/>
  <c r="B304" i="3"/>
  <c r="B303" i="3"/>
  <c r="B300" i="3"/>
  <c r="B295" i="3"/>
  <c r="H295" i="3"/>
  <c r="D28" i="1"/>
  <c r="D27" i="1"/>
  <c r="D26" i="1"/>
  <c r="D25" i="1"/>
  <c r="D29" i="1"/>
  <c r="D30" i="1"/>
  <c r="D31" i="1"/>
  <c r="D32" i="1"/>
  <c r="D23" i="1"/>
  <c r="D18" i="1"/>
  <c r="D19" i="1"/>
  <c r="D20" i="1"/>
  <c r="D21" i="1"/>
  <c r="D22" i="1"/>
  <c r="D24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L360" i="3"/>
  <c r="L361" i="3"/>
  <c r="M361" i="3"/>
  <c r="L362" i="3"/>
  <c r="L363" i="3"/>
  <c r="M363" i="3"/>
  <c r="L364" i="3"/>
  <c r="M364" i="3"/>
  <c r="L365" i="3"/>
  <c r="L366" i="3"/>
  <c r="L367" i="3"/>
  <c r="M367" i="3"/>
  <c r="L368" i="3"/>
  <c r="M368" i="3"/>
  <c r="L369" i="3"/>
  <c r="M369" i="3"/>
  <c r="L370" i="3"/>
  <c r="M370" i="3"/>
  <c r="L371" i="3"/>
  <c r="M371" i="3"/>
  <c r="L372" i="3"/>
  <c r="M372" i="3"/>
  <c r="L373" i="3"/>
  <c r="M373" i="3"/>
  <c r="L374" i="3"/>
  <c r="M374" i="3"/>
  <c r="L375" i="3"/>
  <c r="M375" i="3"/>
  <c r="L376" i="3"/>
  <c r="M376" i="3"/>
  <c r="L377" i="3"/>
  <c r="M377" i="3"/>
  <c r="L378" i="3"/>
  <c r="M378" i="3"/>
  <c r="L379" i="3"/>
  <c r="M379" i="3"/>
  <c r="L380" i="3"/>
  <c r="M380" i="3"/>
  <c r="L7" i="3"/>
  <c r="N7" i="3" s="1"/>
  <c r="M7" i="3"/>
  <c r="L8" i="3"/>
  <c r="M8" i="3"/>
  <c r="L9" i="3"/>
  <c r="M9" i="3"/>
  <c r="L10" i="3"/>
  <c r="M10" i="3"/>
  <c r="L11" i="3"/>
  <c r="M11" i="3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/>
  <c r="L20" i="3"/>
  <c r="M20" i="3"/>
  <c r="L21" i="3"/>
  <c r="M21" i="3"/>
  <c r="L33" i="3"/>
  <c r="M33" i="3"/>
  <c r="L34" i="3"/>
  <c r="M34" i="3"/>
  <c r="L35" i="3"/>
  <c r="M35" i="3"/>
  <c r="L36" i="3"/>
  <c r="M36" i="3"/>
  <c r="L37" i="3"/>
  <c r="M37" i="3"/>
  <c r="L38" i="3"/>
  <c r="M38" i="3"/>
  <c r="L39" i="3"/>
  <c r="M39" i="3"/>
  <c r="L40" i="3"/>
  <c r="M40" i="3"/>
  <c r="L41" i="3"/>
  <c r="M41" i="3"/>
  <c r="L42" i="3"/>
  <c r="M42" i="3"/>
  <c r="L43" i="3"/>
  <c r="M43" i="3"/>
  <c r="L44" i="3"/>
  <c r="M44" i="3"/>
  <c r="L45" i="3"/>
  <c r="M45" i="3"/>
  <c r="L46" i="3"/>
  <c r="M46" i="3"/>
  <c r="L47" i="3"/>
  <c r="M47" i="3"/>
  <c r="L48" i="3"/>
  <c r="M48" i="3"/>
  <c r="L49" i="3"/>
  <c r="M49" i="3"/>
  <c r="L50" i="3"/>
  <c r="M50" i="3"/>
  <c r="L51" i="3"/>
  <c r="M51" i="3"/>
  <c r="L52" i="3"/>
  <c r="M52" i="3"/>
  <c r="L53" i="3"/>
  <c r="M53" i="3"/>
  <c r="L54" i="3"/>
  <c r="M54" i="3"/>
  <c r="L55" i="3"/>
  <c r="M55" i="3"/>
  <c r="L56" i="3"/>
  <c r="M56" i="3"/>
  <c r="L57" i="3"/>
  <c r="M57" i="3"/>
  <c r="L58" i="3"/>
  <c r="M58" i="3"/>
  <c r="L59" i="3"/>
  <c r="M59" i="3"/>
  <c r="L60" i="3"/>
  <c r="M60" i="3"/>
  <c r="L61" i="3"/>
  <c r="M61" i="3"/>
  <c r="L62" i="3"/>
  <c r="M62" i="3"/>
  <c r="L63" i="3"/>
  <c r="M63" i="3"/>
  <c r="L64" i="3"/>
  <c r="M64" i="3"/>
  <c r="L65" i="3"/>
  <c r="M65" i="3"/>
  <c r="L66" i="3"/>
  <c r="M66" i="3"/>
  <c r="L67" i="3"/>
  <c r="M67" i="3"/>
  <c r="L68" i="3"/>
  <c r="M68" i="3"/>
  <c r="L69" i="3"/>
  <c r="M69" i="3"/>
  <c r="L70" i="3"/>
  <c r="M70" i="3"/>
  <c r="L71" i="3"/>
  <c r="M71" i="3"/>
  <c r="L72" i="3"/>
  <c r="M72" i="3"/>
  <c r="L73" i="3"/>
  <c r="M73" i="3"/>
  <c r="L74" i="3"/>
  <c r="M74" i="3"/>
  <c r="L75" i="3"/>
  <c r="M75" i="3"/>
  <c r="L76" i="3"/>
  <c r="M76" i="3"/>
  <c r="L77" i="3"/>
  <c r="M77" i="3"/>
  <c r="L78" i="3"/>
  <c r="M78" i="3"/>
  <c r="L79" i="3"/>
  <c r="M79" i="3"/>
  <c r="L80" i="3"/>
  <c r="M80" i="3"/>
  <c r="L81" i="3"/>
  <c r="M81" i="3"/>
  <c r="L82" i="3"/>
  <c r="M82" i="3"/>
  <c r="L83" i="3"/>
  <c r="M83" i="3"/>
  <c r="L84" i="3"/>
  <c r="M84" i="3"/>
  <c r="L85" i="3"/>
  <c r="M85" i="3"/>
  <c r="L86" i="3"/>
  <c r="M86" i="3"/>
  <c r="L87" i="3"/>
  <c r="M87" i="3"/>
  <c r="L88" i="3"/>
  <c r="M88" i="3"/>
  <c r="L89" i="3"/>
  <c r="M89" i="3"/>
  <c r="L90" i="3"/>
  <c r="M90" i="3"/>
  <c r="L91" i="3"/>
  <c r="M91" i="3"/>
  <c r="L92" i="3"/>
  <c r="M92" i="3"/>
  <c r="L93" i="3"/>
  <c r="M93" i="3"/>
  <c r="L94" i="3"/>
  <c r="M94" i="3"/>
  <c r="L95" i="3"/>
  <c r="M95" i="3"/>
  <c r="L96" i="3"/>
  <c r="M96" i="3"/>
  <c r="L97" i="3"/>
  <c r="M97" i="3"/>
  <c r="L98" i="3"/>
  <c r="M98" i="3"/>
  <c r="L99" i="3"/>
  <c r="M99" i="3"/>
  <c r="L100" i="3"/>
  <c r="M100" i="3"/>
  <c r="L101" i="3"/>
  <c r="M101" i="3"/>
  <c r="L102" i="3"/>
  <c r="M102" i="3"/>
  <c r="L103" i="3"/>
  <c r="M103" i="3"/>
  <c r="L104" i="3"/>
  <c r="M104" i="3"/>
  <c r="L105" i="3"/>
  <c r="M105" i="3"/>
  <c r="L106" i="3"/>
  <c r="M106" i="3"/>
  <c r="L107" i="3"/>
  <c r="M107" i="3"/>
  <c r="L108" i="3"/>
  <c r="M108" i="3"/>
  <c r="L109" i="3"/>
  <c r="M109" i="3"/>
  <c r="L110" i="3"/>
  <c r="M110" i="3"/>
  <c r="L111" i="3"/>
  <c r="M111" i="3"/>
  <c r="L112" i="3"/>
  <c r="M112" i="3"/>
  <c r="L113" i="3"/>
  <c r="M113" i="3"/>
  <c r="L114" i="3"/>
  <c r="M114" i="3"/>
  <c r="L115" i="3"/>
  <c r="M115" i="3"/>
  <c r="L116" i="3"/>
  <c r="M116" i="3"/>
  <c r="L117" i="3"/>
  <c r="M117" i="3"/>
  <c r="L118" i="3"/>
  <c r="M118" i="3"/>
  <c r="L119" i="3"/>
  <c r="M119" i="3"/>
  <c r="L120" i="3"/>
  <c r="M120" i="3"/>
  <c r="L121" i="3"/>
  <c r="M121" i="3"/>
  <c r="L122" i="3"/>
  <c r="M122" i="3"/>
  <c r="L123" i="3"/>
  <c r="M123" i="3"/>
  <c r="L124" i="3"/>
  <c r="M124" i="3"/>
  <c r="L125" i="3"/>
  <c r="M125" i="3"/>
  <c r="L126" i="3"/>
  <c r="M126" i="3"/>
  <c r="L127" i="3"/>
  <c r="M127" i="3"/>
  <c r="L128" i="3"/>
  <c r="M128" i="3"/>
  <c r="L129" i="3"/>
  <c r="M129" i="3"/>
  <c r="L130" i="3"/>
  <c r="M130" i="3"/>
  <c r="L131" i="3"/>
  <c r="M131" i="3"/>
  <c r="L132" i="3"/>
  <c r="M132" i="3"/>
  <c r="L133" i="3"/>
  <c r="M133" i="3"/>
  <c r="L134" i="3"/>
  <c r="M134" i="3"/>
  <c r="L135" i="3"/>
  <c r="M135" i="3"/>
  <c r="L136" i="3"/>
  <c r="M136" i="3"/>
  <c r="L137" i="3"/>
  <c r="M137" i="3"/>
  <c r="L138" i="3"/>
  <c r="M138" i="3"/>
  <c r="L139" i="3"/>
  <c r="M139" i="3"/>
  <c r="L140" i="3"/>
  <c r="M140" i="3"/>
  <c r="L141" i="3"/>
  <c r="M141" i="3"/>
  <c r="L142" i="3"/>
  <c r="M142" i="3"/>
  <c r="L143" i="3"/>
  <c r="M143" i="3"/>
  <c r="L144" i="3"/>
  <c r="M144" i="3"/>
  <c r="L145" i="3"/>
  <c r="M145" i="3"/>
  <c r="L146" i="3"/>
  <c r="M146" i="3"/>
  <c r="L147" i="3"/>
  <c r="M147" i="3"/>
  <c r="L148" i="3"/>
  <c r="M148" i="3"/>
  <c r="L149" i="3"/>
  <c r="M149" i="3"/>
  <c r="L150" i="3"/>
  <c r="M150" i="3"/>
  <c r="L151" i="3"/>
  <c r="M151" i="3"/>
  <c r="L152" i="3"/>
  <c r="M152" i="3"/>
  <c r="L153" i="3"/>
  <c r="M153" i="3"/>
  <c r="L154" i="3"/>
  <c r="M154" i="3"/>
  <c r="L155" i="3"/>
  <c r="M155" i="3"/>
  <c r="L156" i="3"/>
  <c r="M156" i="3"/>
  <c r="L157" i="3"/>
  <c r="M157" i="3"/>
  <c r="L158" i="3"/>
  <c r="M158" i="3"/>
  <c r="L159" i="3"/>
  <c r="M159" i="3"/>
  <c r="L160" i="3"/>
  <c r="M160" i="3"/>
  <c r="L161" i="3"/>
  <c r="M161" i="3"/>
  <c r="L162" i="3"/>
  <c r="M162" i="3"/>
  <c r="L163" i="3"/>
  <c r="M163" i="3"/>
  <c r="L164" i="3"/>
  <c r="M164" i="3"/>
  <c r="L165" i="3"/>
  <c r="M165" i="3"/>
  <c r="L166" i="3"/>
  <c r="M166" i="3"/>
  <c r="L167" i="3"/>
  <c r="M167" i="3"/>
  <c r="L168" i="3"/>
  <c r="M168" i="3"/>
  <c r="L169" i="3"/>
  <c r="M169" i="3"/>
  <c r="L170" i="3"/>
  <c r="M170" i="3"/>
  <c r="L171" i="3"/>
  <c r="M171" i="3"/>
  <c r="L172" i="3"/>
  <c r="M172" i="3"/>
  <c r="L173" i="3"/>
  <c r="M173" i="3"/>
  <c r="L174" i="3"/>
  <c r="M174" i="3"/>
  <c r="L175" i="3"/>
  <c r="M175" i="3"/>
  <c r="L176" i="3"/>
  <c r="M176" i="3"/>
  <c r="L177" i="3"/>
  <c r="M177" i="3"/>
  <c r="L178" i="3"/>
  <c r="M178" i="3"/>
  <c r="L179" i="3"/>
  <c r="M179" i="3"/>
  <c r="L180" i="3"/>
  <c r="M180" i="3"/>
  <c r="L181" i="3"/>
  <c r="M181" i="3"/>
  <c r="L182" i="3"/>
  <c r="M182" i="3"/>
  <c r="L183" i="3"/>
  <c r="M183" i="3"/>
  <c r="L184" i="3"/>
  <c r="M184" i="3"/>
  <c r="L185" i="3"/>
  <c r="M185" i="3"/>
  <c r="L186" i="3"/>
  <c r="M186" i="3"/>
  <c r="L187" i="3"/>
  <c r="M187" i="3"/>
  <c r="L188" i="3"/>
  <c r="M188" i="3"/>
  <c r="L189" i="3"/>
  <c r="M189" i="3"/>
  <c r="L190" i="3"/>
  <c r="M190" i="3"/>
  <c r="L191" i="3"/>
  <c r="M191" i="3"/>
  <c r="L192" i="3"/>
  <c r="M192" i="3"/>
  <c r="L193" i="3"/>
  <c r="M193" i="3"/>
  <c r="L194" i="3"/>
  <c r="M194" i="3"/>
  <c r="L195" i="3"/>
  <c r="M195" i="3"/>
  <c r="L196" i="3"/>
  <c r="M196" i="3"/>
  <c r="L197" i="3"/>
  <c r="M197" i="3"/>
  <c r="L198" i="3"/>
  <c r="M198" i="3"/>
  <c r="L199" i="3"/>
  <c r="M199" i="3"/>
  <c r="L200" i="3"/>
  <c r="M200" i="3"/>
  <c r="L201" i="3"/>
  <c r="M201" i="3"/>
  <c r="L202" i="3"/>
  <c r="M202" i="3"/>
  <c r="L203" i="3"/>
  <c r="M203" i="3"/>
  <c r="L204" i="3"/>
  <c r="M204" i="3"/>
  <c r="L205" i="3"/>
  <c r="M205" i="3"/>
  <c r="L206" i="3"/>
  <c r="M206" i="3"/>
  <c r="L207" i="3"/>
  <c r="M207" i="3"/>
  <c r="L208" i="3"/>
  <c r="M208" i="3"/>
  <c r="L209" i="3"/>
  <c r="M209" i="3"/>
  <c r="L210" i="3"/>
  <c r="M210" i="3"/>
  <c r="L211" i="3"/>
  <c r="M211" i="3"/>
  <c r="L212" i="3"/>
  <c r="M212" i="3"/>
  <c r="L213" i="3"/>
  <c r="M213" i="3"/>
  <c r="L214" i="3"/>
  <c r="M214" i="3"/>
  <c r="L215" i="3"/>
  <c r="M215" i="3"/>
  <c r="L216" i="3"/>
  <c r="M216" i="3"/>
  <c r="L217" i="3"/>
  <c r="M217" i="3"/>
  <c r="L218" i="3"/>
  <c r="M218" i="3"/>
  <c r="L219" i="3"/>
  <c r="M219" i="3"/>
  <c r="L220" i="3"/>
  <c r="M220" i="3"/>
  <c r="L221" i="3"/>
  <c r="M221" i="3"/>
  <c r="L222" i="3"/>
  <c r="M222" i="3"/>
  <c r="L223" i="3"/>
  <c r="M223" i="3"/>
  <c r="L224" i="3"/>
  <c r="M224" i="3"/>
  <c r="L225" i="3"/>
  <c r="M225" i="3"/>
  <c r="L226" i="3"/>
  <c r="M226" i="3"/>
  <c r="L227" i="3"/>
  <c r="M227" i="3"/>
  <c r="L228" i="3"/>
  <c r="M228" i="3"/>
  <c r="L229" i="3"/>
  <c r="M229" i="3"/>
  <c r="L230" i="3"/>
  <c r="M230" i="3"/>
  <c r="L231" i="3"/>
  <c r="M231" i="3"/>
  <c r="L232" i="3"/>
  <c r="M232" i="3"/>
  <c r="L233" i="3"/>
  <c r="M233" i="3"/>
  <c r="L234" i="3"/>
  <c r="M234" i="3"/>
  <c r="L235" i="3"/>
  <c r="M235" i="3"/>
  <c r="L236" i="3"/>
  <c r="M236" i="3"/>
  <c r="L237" i="3"/>
  <c r="M237" i="3"/>
  <c r="L238" i="3"/>
  <c r="M238" i="3"/>
  <c r="L239" i="3"/>
  <c r="M239" i="3"/>
  <c r="L240" i="3"/>
  <c r="M240" i="3"/>
  <c r="L241" i="3"/>
  <c r="M241" i="3"/>
  <c r="L242" i="3"/>
  <c r="M242" i="3"/>
  <c r="L243" i="3"/>
  <c r="M243" i="3"/>
  <c r="L244" i="3"/>
  <c r="M244" i="3"/>
  <c r="L245" i="3"/>
  <c r="M245" i="3"/>
  <c r="L246" i="3"/>
  <c r="M246" i="3"/>
  <c r="L247" i="3"/>
  <c r="M247" i="3"/>
  <c r="L248" i="3"/>
  <c r="M248" i="3"/>
  <c r="L249" i="3"/>
  <c r="M249" i="3"/>
  <c r="L250" i="3"/>
  <c r="M250" i="3"/>
  <c r="L251" i="3"/>
  <c r="M251" i="3"/>
  <c r="L252" i="3"/>
  <c r="M252" i="3"/>
  <c r="L253" i="3"/>
  <c r="M253" i="3"/>
  <c r="L254" i="3"/>
  <c r="M254" i="3"/>
  <c r="L255" i="3"/>
  <c r="M255" i="3"/>
  <c r="L256" i="3"/>
  <c r="M256" i="3"/>
  <c r="L257" i="3"/>
  <c r="M257" i="3"/>
  <c r="L258" i="3"/>
  <c r="M258" i="3"/>
  <c r="L259" i="3"/>
  <c r="M259" i="3"/>
  <c r="L260" i="3"/>
  <c r="M260" i="3"/>
  <c r="L261" i="3"/>
  <c r="M261" i="3"/>
  <c r="L262" i="3"/>
  <c r="M262" i="3"/>
  <c r="L263" i="3"/>
  <c r="M263" i="3"/>
  <c r="L264" i="3"/>
  <c r="M264" i="3"/>
  <c r="L265" i="3"/>
  <c r="M265" i="3"/>
  <c r="L266" i="3"/>
  <c r="M266" i="3"/>
  <c r="L267" i="3"/>
  <c r="M267" i="3"/>
  <c r="L268" i="3"/>
  <c r="M268" i="3"/>
  <c r="L269" i="3"/>
  <c r="M269" i="3"/>
  <c r="L270" i="3"/>
  <c r="M270" i="3"/>
  <c r="L271" i="3"/>
  <c r="M271" i="3"/>
  <c r="L272" i="3"/>
  <c r="M272" i="3"/>
  <c r="L273" i="3"/>
  <c r="M273" i="3"/>
  <c r="L274" i="3"/>
  <c r="M274" i="3"/>
  <c r="L275" i="3"/>
  <c r="M275" i="3"/>
  <c r="L276" i="3"/>
  <c r="M276" i="3"/>
  <c r="L277" i="3"/>
  <c r="M277" i="3"/>
  <c r="L278" i="3"/>
  <c r="M278" i="3"/>
  <c r="L279" i="3"/>
  <c r="M279" i="3"/>
  <c r="L280" i="3"/>
  <c r="M280" i="3"/>
  <c r="L281" i="3"/>
  <c r="M281" i="3"/>
  <c r="L282" i="3"/>
  <c r="M282" i="3"/>
  <c r="L283" i="3"/>
  <c r="M283" i="3"/>
  <c r="L284" i="3"/>
  <c r="M284" i="3"/>
  <c r="L285" i="3"/>
  <c r="M285" i="3"/>
  <c r="L286" i="3"/>
  <c r="M286" i="3"/>
  <c r="L287" i="3"/>
  <c r="M287" i="3"/>
  <c r="L288" i="3"/>
  <c r="M288" i="3"/>
  <c r="L289" i="3"/>
  <c r="M289" i="3"/>
  <c r="L290" i="3"/>
  <c r="M290" i="3"/>
  <c r="L291" i="3"/>
  <c r="M291" i="3"/>
  <c r="L292" i="3"/>
  <c r="M292" i="3"/>
  <c r="L293" i="3"/>
  <c r="M293" i="3"/>
  <c r="L294" i="3"/>
  <c r="M294" i="3"/>
  <c r="L295" i="3"/>
  <c r="M295" i="3"/>
  <c r="L296" i="3"/>
  <c r="M296" i="3"/>
  <c r="L297" i="3"/>
  <c r="M297" i="3"/>
  <c r="L298" i="3"/>
  <c r="M298" i="3"/>
  <c r="L299" i="3"/>
  <c r="M299" i="3"/>
  <c r="L300" i="3"/>
  <c r="M300" i="3"/>
  <c r="L301" i="3"/>
  <c r="M301" i="3"/>
  <c r="L302" i="3"/>
  <c r="M302" i="3"/>
  <c r="L303" i="3"/>
  <c r="M303" i="3"/>
  <c r="L304" i="3"/>
  <c r="M304" i="3"/>
  <c r="L305" i="3"/>
  <c r="M305" i="3"/>
  <c r="L306" i="3"/>
  <c r="M306" i="3"/>
  <c r="L307" i="3"/>
  <c r="M307" i="3"/>
  <c r="L318" i="3"/>
  <c r="M318" i="3"/>
  <c r="L319" i="3"/>
  <c r="M319" i="3"/>
  <c r="L320" i="3"/>
  <c r="M320" i="3"/>
  <c r="L331" i="3"/>
  <c r="M331" i="3"/>
  <c r="L332" i="3"/>
  <c r="M332" i="3"/>
  <c r="L333" i="3"/>
  <c r="M333" i="3"/>
  <c r="L344" i="3"/>
  <c r="M344" i="3"/>
  <c r="L345" i="3"/>
  <c r="M345" i="3"/>
  <c r="L346" i="3"/>
  <c r="M346" i="3"/>
  <c r="L347" i="3"/>
  <c r="M347" i="3"/>
  <c r="L348" i="3"/>
  <c r="M348" i="3"/>
  <c r="L349" i="3"/>
  <c r="M349" i="3"/>
  <c r="L350" i="3"/>
  <c r="M350" i="3"/>
  <c r="L351" i="3"/>
  <c r="M351" i="3"/>
  <c r="L352" i="3"/>
  <c r="M352" i="3"/>
  <c r="L353" i="3"/>
  <c r="M353" i="3"/>
  <c r="L354" i="3"/>
  <c r="M354" i="3"/>
  <c r="L355" i="3"/>
  <c r="M355" i="3"/>
  <c r="L356" i="3"/>
  <c r="M356" i="3"/>
  <c r="L357" i="3"/>
  <c r="M357" i="3"/>
  <c r="L358" i="3"/>
  <c r="M358" i="3"/>
  <c r="L359" i="3"/>
  <c r="M359" i="3"/>
  <c r="L6" i="3"/>
  <c r="M6" i="3"/>
  <c r="M366" i="3" l="1"/>
  <c r="N366" i="3" s="1"/>
  <c r="N328" i="3"/>
  <c r="N338" i="3"/>
  <c r="M365" i="3"/>
  <c r="N365" i="3" s="1"/>
  <c r="M329" i="3"/>
  <c r="M339" i="3"/>
  <c r="N311" i="3"/>
  <c r="M322" i="3"/>
  <c r="N322" i="3" s="1"/>
  <c r="M330" i="3"/>
  <c r="N312" i="3"/>
  <c r="M340" i="3"/>
  <c r="N340" i="3" s="1"/>
  <c r="M334" i="3"/>
  <c r="M323" i="3"/>
  <c r="N323" i="3" s="1"/>
  <c r="M341" i="3"/>
  <c r="N341" i="3" s="1"/>
  <c r="M362" i="3"/>
  <c r="N362" i="3" s="1"/>
  <c r="N324" i="3"/>
  <c r="M342" i="3"/>
  <c r="M335" i="3"/>
  <c r="N335" i="3" s="1"/>
  <c r="M314" i="3"/>
  <c r="N314" i="3" s="1"/>
  <c r="M343" i="3"/>
  <c r="N315" i="3"/>
  <c r="M325" i="3"/>
  <c r="N325" i="3" s="1"/>
  <c r="M326" i="3"/>
  <c r="M336" i="3"/>
  <c r="N336" i="3" s="1"/>
  <c r="M316" i="3"/>
  <c r="M327" i="3"/>
  <c r="N327" i="3" s="1"/>
  <c r="M337" i="3"/>
  <c r="N337" i="3" s="1"/>
  <c r="L342" i="3"/>
  <c r="L334" i="3"/>
  <c r="L339" i="3"/>
  <c r="N339" i="3" s="1"/>
  <c r="L343" i="3"/>
  <c r="L329" i="3"/>
  <c r="N329" i="3" s="1"/>
  <c r="L321" i="3"/>
  <c r="N321" i="3" s="1"/>
  <c r="L326" i="3"/>
  <c r="L330" i="3"/>
  <c r="N330" i="3" s="1"/>
  <c r="L316" i="3"/>
  <c r="L308" i="3"/>
  <c r="N308" i="3" s="1"/>
  <c r="L313" i="3"/>
  <c r="N313" i="3" s="1"/>
  <c r="L317" i="3"/>
  <c r="N317" i="3" s="1"/>
  <c r="N89" i="3"/>
  <c r="N73" i="3"/>
  <c r="N57" i="3"/>
  <c r="N380" i="3"/>
  <c r="N372" i="3"/>
  <c r="N364" i="3"/>
  <c r="N344" i="3"/>
  <c r="N280" i="3"/>
  <c r="N272" i="3"/>
  <c r="N264" i="3"/>
  <c r="N208" i="3"/>
  <c r="N184" i="3"/>
  <c r="N176" i="3"/>
  <c r="N168" i="3"/>
  <c r="N160" i="3"/>
  <c r="N152" i="3"/>
  <c r="N144" i="3"/>
  <c r="N128" i="3"/>
  <c r="N96" i="3"/>
  <c r="N88" i="3"/>
  <c r="N80" i="3"/>
  <c r="N72" i="3"/>
  <c r="N64" i="3"/>
  <c r="N56" i="3"/>
  <c r="N21" i="3"/>
  <c r="N371" i="3"/>
  <c r="N358" i="3"/>
  <c r="N350" i="3"/>
  <c r="N318" i="3"/>
  <c r="N302" i="3"/>
  <c r="N294" i="3"/>
  <c r="N278" i="3"/>
  <c r="N270" i="3"/>
  <c r="N254" i="3"/>
  <c r="N238" i="3"/>
  <c r="N222" i="3"/>
  <c r="N142" i="3"/>
  <c r="N126" i="3"/>
  <c r="N110" i="3"/>
  <c r="N46" i="3"/>
  <c r="N369" i="3"/>
  <c r="N357" i="3"/>
  <c r="N301" i="3"/>
  <c r="N213" i="3"/>
  <c r="N149" i="3"/>
  <c r="N141" i="3"/>
  <c r="N133" i="3"/>
  <c r="N117" i="3"/>
  <c r="N101" i="3"/>
  <c r="N368" i="3"/>
  <c r="N347" i="3"/>
  <c r="N299" i="3"/>
  <c r="N283" i="3"/>
  <c r="N219" i="3"/>
  <c r="N187" i="3"/>
  <c r="N179" i="3"/>
  <c r="N171" i="3"/>
  <c r="N163" i="3"/>
  <c r="N139" i="3"/>
  <c r="N131" i="3"/>
  <c r="N67" i="3"/>
  <c r="N59" i="3"/>
  <c r="N35" i="3"/>
  <c r="N374" i="3"/>
  <c r="N37" i="3"/>
  <c r="N22" i="3"/>
  <c r="N24" i="3"/>
  <c r="N26" i="3"/>
  <c r="N17" i="3"/>
  <c r="N27" i="3"/>
  <c r="N23" i="3"/>
  <c r="N25" i="3"/>
  <c r="N28" i="3"/>
  <c r="N29" i="3"/>
  <c r="N30" i="3"/>
  <c r="N31" i="3"/>
  <c r="N32" i="3"/>
  <c r="N354" i="3"/>
  <c r="N298" i="3"/>
  <c r="N49" i="3"/>
  <c r="N320" i="3"/>
  <c r="N120" i="3"/>
  <c r="N183" i="3"/>
  <c r="N39" i="3"/>
  <c r="N349" i="3"/>
  <c r="N157" i="3"/>
  <c r="N53" i="3"/>
  <c r="N287" i="3"/>
  <c r="N9" i="3"/>
  <c r="N40" i="3"/>
  <c r="N206" i="3"/>
  <c r="N190" i="3"/>
  <c r="N182" i="3"/>
  <c r="N166" i="3"/>
  <c r="N285" i="3"/>
  <c r="N221" i="3"/>
  <c r="N205" i="3"/>
  <c r="N197" i="3"/>
  <c r="N15" i="3"/>
  <c r="N70" i="3"/>
  <c r="N14" i="3"/>
  <c r="N13" i="3"/>
  <c r="N258" i="3"/>
  <c r="N226" i="3"/>
  <c r="N123" i="3"/>
  <c r="N20" i="3"/>
  <c r="N12" i="3"/>
  <c r="N257" i="3"/>
  <c r="N169" i="3"/>
  <c r="N11" i="3"/>
  <c r="N200" i="3"/>
  <c r="N192" i="3"/>
  <c r="N18" i="3"/>
  <c r="N333" i="3"/>
  <c r="N216" i="3"/>
  <c r="N125" i="3"/>
  <c r="N375" i="3"/>
  <c r="N367" i="3"/>
  <c r="N286" i="3"/>
  <c r="N263" i="3"/>
  <c r="N239" i="3"/>
  <c r="N155" i="3"/>
  <c r="N147" i="3"/>
  <c r="N94" i="3"/>
  <c r="N78" i="3"/>
  <c r="N62" i="3"/>
  <c r="N54" i="3"/>
  <c r="N16" i="3"/>
  <c r="N8" i="3"/>
  <c r="N331" i="3"/>
  <c r="N293" i="3"/>
  <c r="N246" i="3"/>
  <c r="N170" i="3"/>
  <c r="N162" i="3"/>
  <c r="N85" i="3"/>
  <c r="N77" i="3"/>
  <c r="N69" i="3"/>
  <c r="N61" i="3"/>
  <c r="N277" i="3"/>
  <c r="N269" i="3"/>
  <c r="N261" i="3"/>
  <c r="N253" i="3"/>
  <c r="N245" i="3"/>
  <c r="N237" i="3"/>
  <c r="N229" i="3"/>
  <c r="N352" i="3"/>
  <c r="N161" i="3"/>
  <c r="N115" i="3"/>
  <c r="N107" i="3"/>
  <c r="N99" i="3"/>
  <c r="N91" i="3"/>
  <c r="N83" i="3"/>
  <c r="N75" i="3"/>
  <c r="N267" i="3"/>
  <c r="N251" i="3"/>
  <c r="N243" i="3"/>
  <c r="N235" i="3"/>
  <c r="N227" i="3"/>
  <c r="N136" i="3"/>
  <c r="N121" i="3"/>
  <c r="N51" i="3"/>
  <c r="N43" i="3"/>
  <c r="N211" i="3"/>
  <c r="N174" i="3"/>
  <c r="N158" i="3"/>
  <c r="N105" i="3"/>
  <c r="N66" i="3"/>
  <c r="N19" i="3"/>
  <c r="N304" i="3"/>
  <c r="N296" i="3"/>
  <c r="N289" i="3"/>
  <c r="N203" i="3"/>
  <c r="N189" i="3"/>
  <c r="N181" i="3"/>
  <c r="N173" i="3"/>
  <c r="N165" i="3"/>
  <c r="N112" i="3"/>
  <c r="N104" i="3"/>
  <c r="N97" i="3"/>
  <c r="N41" i="3"/>
  <c r="N34" i="3"/>
  <c r="N288" i="3"/>
  <c r="N256" i="3"/>
  <c r="N248" i="3"/>
  <c r="N240" i="3"/>
  <c r="N232" i="3"/>
  <c r="N224" i="3"/>
  <c r="N195" i="3"/>
  <c r="N48" i="3"/>
  <c r="N10" i="3"/>
  <c r="N290" i="3"/>
  <c r="N259" i="3"/>
  <c r="N185" i="3"/>
  <c r="N146" i="3"/>
  <c r="N79" i="3"/>
  <c r="N63" i="3"/>
  <c r="N297" i="3"/>
  <c r="N274" i="3"/>
  <c r="N199" i="3"/>
  <c r="N153" i="3"/>
  <c r="N145" i="3"/>
  <c r="N109" i="3"/>
  <c r="N86" i="3"/>
  <c r="N348" i="3"/>
  <c r="N281" i="3"/>
  <c r="N273" i="3"/>
  <c r="N250" i="3"/>
  <c r="N242" i="3"/>
  <c r="N130" i="3"/>
  <c r="N116" i="3"/>
  <c r="N303" i="3"/>
  <c r="N295" i="3"/>
  <c r="N249" i="3"/>
  <c r="N241" i="3"/>
  <c r="N175" i="3"/>
  <c r="N159" i="3"/>
  <c r="N353" i="3"/>
  <c r="N225" i="3"/>
  <c r="N204" i="3"/>
  <c r="N84" i="3"/>
  <c r="N279" i="3"/>
  <c r="N196" i="3"/>
  <c r="N345" i="3"/>
  <c r="N255" i="3"/>
  <c r="N98" i="3"/>
  <c r="N262" i="3"/>
  <c r="N202" i="3"/>
  <c r="N180" i="3"/>
  <c r="N127" i="3"/>
  <c r="N90" i="3"/>
  <c r="N82" i="3"/>
  <c r="N307" i="3"/>
  <c r="N81" i="3"/>
  <c r="N65" i="3"/>
  <c r="N50" i="3"/>
  <c r="N306" i="3"/>
  <c r="N291" i="3"/>
  <c r="N268" i="3"/>
  <c r="N260" i="3"/>
  <c r="N186" i="3"/>
  <c r="N178" i="3"/>
  <c r="N218" i="3"/>
  <c r="N156" i="3"/>
  <c r="N135" i="3"/>
  <c r="N122" i="3"/>
  <c r="N108" i="3"/>
  <c r="N52" i="3"/>
  <c r="N45" i="3"/>
  <c r="N38" i="3"/>
  <c r="N356" i="3"/>
  <c r="N266" i="3"/>
  <c r="N252" i="3"/>
  <c r="N231" i="3"/>
  <c r="N217" i="3"/>
  <c r="N210" i="3"/>
  <c r="N148" i="3"/>
  <c r="N134" i="3"/>
  <c r="N114" i="3"/>
  <c r="N100" i="3"/>
  <c r="N93" i="3"/>
  <c r="N58" i="3"/>
  <c r="N44" i="3"/>
  <c r="N373" i="3"/>
  <c r="N355" i="3"/>
  <c r="N300" i="3"/>
  <c r="N265" i="3"/>
  <c r="N244" i="3"/>
  <c r="N230" i="3"/>
  <c r="N223" i="3"/>
  <c r="N209" i="3"/>
  <c r="N154" i="3"/>
  <c r="N113" i="3"/>
  <c r="N106" i="3"/>
  <c r="N92" i="3"/>
  <c r="N71" i="3"/>
  <c r="N140" i="3"/>
  <c r="N36" i="3"/>
  <c r="N379" i="3"/>
  <c r="N292" i="3"/>
  <c r="N271" i="3"/>
  <c r="N188" i="3"/>
  <c r="N167" i="3"/>
  <c r="N319" i="3"/>
  <c r="N305" i="3"/>
  <c r="N236" i="3"/>
  <c r="N215" i="3"/>
  <c r="N201" i="3"/>
  <c r="N194" i="3"/>
  <c r="N132" i="3"/>
  <c r="N119" i="3"/>
  <c r="N42" i="3"/>
  <c r="N378" i="3"/>
  <c r="N346" i="3"/>
  <c r="N284" i="3"/>
  <c r="N228" i="3"/>
  <c r="N214" i="3"/>
  <c r="N207" i="3"/>
  <c r="N193" i="3"/>
  <c r="N138" i="3"/>
  <c r="N118" i="3"/>
  <c r="N111" i="3"/>
  <c r="N76" i="3"/>
  <c r="N55" i="3"/>
  <c r="N377" i="3"/>
  <c r="N363" i="3"/>
  <c r="N359" i="3"/>
  <c r="N332" i="3"/>
  <c r="N370" i="3"/>
  <c r="N276" i="3"/>
  <c r="N234" i="3"/>
  <c r="N172" i="3"/>
  <c r="N151" i="3"/>
  <c r="N137" i="3"/>
  <c r="N124" i="3"/>
  <c r="N103" i="3"/>
  <c r="N68" i="3"/>
  <c r="N47" i="3"/>
  <c r="N33" i="3"/>
  <c r="N376" i="3"/>
  <c r="N220" i="3"/>
  <c r="N351" i="3"/>
  <c r="N282" i="3"/>
  <c r="N275" i="3"/>
  <c r="N247" i="3"/>
  <c r="N233" i="3"/>
  <c r="N164" i="3"/>
  <c r="N150" i="3"/>
  <c r="N143" i="3"/>
  <c r="N102" i="3"/>
  <c r="N95" i="3"/>
  <c r="N74" i="3"/>
  <c r="N361" i="3"/>
  <c r="N212" i="3"/>
  <c r="N198" i="3"/>
  <c r="N191" i="3"/>
  <c r="N177" i="3"/>
  <c r="N129" i="3"/>
  <c r="N60" i="3"/>
  <c r="N87" i="3"/>
  <c r="N360" i="3"/>
  <c r="N6" i="3"/>
  <c r="N316" i="3" l="1"/>
  <c r="N326" i="3"/>
  <c r="N343" i="3"/>
  <c r="N334" i="3"/>
  <c r="N342" i="3"/>
</calcChain>
</file>

<file path=xl/sharedStrings.xml><?xml version="1.0" encoding="utf-8"?>
<sst xmlns="http://schemas.openxmlformats.org/spreadsheetml/2006/main" count="503" uniqueCount="272">
  <si>
    <t>指揮</t>
  </si>
  <si>
    <t>戦術</t>
  </si>
  <si>
    <t>威圧</t>
  </si>
  <si>
    <t>看破</t>
  </si>
  <si>
    <t>索敵</t>
  </si>
  <si>
    <t>隠密</t>
  </si>
  <si>
    <t>罠設置</t>
  </si>
  <si>
    <t>農耕</t>
  </si>
  <si>
    <t>伐採</t>
  </si>
  <si>
    <t>採掘</t>
  </si>
  <si>
    <t>錬成</t>
  </si>
  <si>
    <t>交渉</t>
  </si>
  <si>
    <t>信仰</t>
  </si>
  <si>
    <t>名前</t>
    <rPh sb="0" eb="2">
      <t>ナマエ</t>
    </rPh>
    <phoneticPr fontId="2"/>
  </si>
  <si>
    <t>ルビ</t>
  </si>
  <si>
    <t>ルビ</t>
    <phoneticPr fontId="2"/>
  </si>
  <si>
    <t>Lv</t>
  </si>
  <si>
    <t>Lv</t>
    <phoneticPr fontId="2"/>
  </si>
  <si>
    <t>HP</t>
    <phoneticPr fontId="2"/>
  </si>
  <si>
    <t>攻撃</t>
    <rPh sb="0" eb="2">
      <t>コウゲキ</t>
    </rPh>
    <phoneticPr fontId="2"/>
  </si>
  <si>
    <t>防御</t>
    <rPh sb="0" eb="2">
      <t>ボウギョ</t>
    </rPh>
    <phoneticPr fontId="2"/>
  </si>
  <si>
    <t>魔力</t>
    <rPh sb="0" eb="2">
      <t>マリョク</t>
    </rPh>
    <phoneticPr fontId="2"/>
  </si>
  <si>
    <t>精神</t>
    <rPh sb="0" eb="2">
      <t>セイシン</t>
    </rPh>
    <phoneticPr fontId="2"/>
  </si>
  <si>
    <t>速度</t>
    <rPh sb="0" eb="2">
      <t>ソクド</t>
    </rPh>
    <phoneticPr fontId="2"/>
  </si>
  <si>
    <t>命中</t>
    <rPh sb="0" eb="2">
      <t>メイチュウ</t>
    </rPh>
    <phoneticPr fontId="2"/>
  </si>
  <si>
    <t>合計</t>
    <rPh sb="0" eb="2">
      <t>ゴウケイ</t>
    </rPh>
    <phoneticPr fontId="2"/>
  </si>
  <si>
    <t>ファイター</t>
  </si>
  <si>
    <t>ファイター</t>
    <phoneticPr fontId="2"/>
  </si>
  <si>
    <t>戦士</t>
  </si>
  <si>
    <t>戦士</t>
    <rPh sb="0" eb="2">
      <t>センシ</t>
    </rPh>
    <phoneticPr fontId="2"/>
  </si>
  <si>
    <t>種類</t>
    <rPh sb="0" eb="2">
      <t>シュルイ</t>
    </rPh>
    <phoneticPr fontId="2"/>
  </si>
  <si>
    <t>SIZ</t>
    <phoneticPr fontId="2"/>
  </si>
  <si>
    <t>盗賊</t>
    <rPh sb="0" eb="2">
      <t>トウゾク</t>
    </rPh>
    <phoneticPr fontId="2"/>
  </si>
  <si>
    <t>レンジャー</t>
  </si>
  <si>
    <t>レンジャー</t>
    <phoneticPr fontId="2"/>
  </si>
  <si>
    <t>スカウト</t>
  </si>
  <si>
    <t>スカウト</t>
    <phoneticPr fontId="2"/>
  </si>
  <si>
    <t>密偵</t>
    <rPh sb="0" eb="2">
      <t>ミッテイ</t>
    </rPh>
    <phoneticPr fontId="2"/>
  </si>
  <si>
    <t>狩人</t>
    <rPh sb="0" eb="2">
      <t>カリウド</t>
    </rPh>
    <phoneticPr fontId="2"/>
  </si>
  <si>
    <t>クレリック</t>
  </si>
  <si>
    <t>クレリック</t>
    <phoneticPr fontId="2"/>
  </si>
  <si>
    <t>パラディン</t>
  </si>
  <si>
    <t>パラディン</t>
    <phoneticPr fontId="2"/>
  </si>
  <si>
    <t>オーガ</t>
  </si>
  <si>
    <t>オーガ</t>
    <phoneticPr fontId="2"/>
  </si>
  <si>
    <t>ゴブリン</t>
  </si>
  <si>
    <t>ゴブリン</t>
    <phoneticPr fontId="2"/>
  </si>
  <si>
    <t>デヴィル</t>
  </si>
  <si>
    <t>デヴィル</t>
    <phoneticPr fontId="2"/>
  </si>
  <si>
    <t>エンジェル</t>
  </si>
  <si>
    <t>エンジェル</t>
    <phoneticPr fontId="2"/>
  </si>
  <si>
    <t>ヴァンパイア</t>
  </si>
  <si>
    <t>ヴァンパイア</t>
    <phoneticPr fontId="2"/>
  </si>
  <si>
    <t>職業</t>
    <rPh sb="0" eb="2">
      <t>ショクギョウ</t>
    </rPh>
    <phoneticPr fontId="2"/>
  </si>
  <si>
    <t>ビーストマン</t>
  </si>
  <si>
    <t>ビーストマン</t>
    <phoneticPr fontId="2"/>
  </si>
  <si>
    <t>ヒューマン</t>
  </si>
  <si>
    <t>ヒューマン</t>
    <phoneticPr fontId="2"/>
  </si>
  <si>
    <t>エルフ</t>
  </si>
  <si>
    <t>エルフ</t>
    <phoneticPr fontId="2"/>
  </si>
  <si>
    <t>ドワーフ</t>
  </si>
  <si>
    <t>ドワーフ</t>
    <phoneticPr fontId="2"/>
  </si>
  <si>
    <t>人族</t>
    <rPh sb="0" eb="2">
      <t>ヒトゾク</t>
    </rPh>
    <phoneticPr fontId="2"/>
  </si>
  <si>
    <t>亜人</t>
    <rPh sb="0" eb="2">
      <t>アジン</t>
    </rPh>
    <phoneticPr fontId="2"/>
  </si>
  <si>
    <t>魔族</t>
    <rPh sb="0" eb="2">
      <t>マゾク</t>
    </rPh>
    <phoneticPr fontId="2"/>
  </si>
  <si>
    <t>ドラゴニュート</t>
  </si>
  <si>
    <t>ドラゴニュート</t>
    <phoneticPr fontId="2"/>
  </si>
  <si>
    <t>ジャイアント</t>
  </si>
  <si>
    <t>ジャイアント</t>
    <phoneticPr fontId="2"/>
  </si>
  <si>
    <t>統率</t>
    <phoneticPr fontId="2"/>
  </si>
  <si>
    <t>政治</t>
    <rPh sb="0" eb="2">
      <t>セイジ</t>
    </rPh>
    <phoneticPr fontId="2"/>
  </si>
  <si>
    <t>精霊</t>
    <rPh sb="0" eb="2">
      <t>セイレイ</t>
    </rPh>
    <phoneticPr fontId="2"/>
  </si>
  <si>
    <t>フレイムエレメンタル</t>
  </si>
  <si>
    <t>フレイムエレメンタル</t>
    <phoneticPr fontId="2"/>
  </si>
  <si>
    <t>フロストエレメンタル</t>
  </si>
  <si>
    <t>フロストエレメンタル</t>
    <phoneticPr fontId="2"/>
  </si>
  <si>
    <t>エアエレメンタル</t>
  </si>
  <si>
    <t>エアエレメンタル</t>
    <phoneticPr fontId="2"/>
  </si>
  <si>
    <t>アースエレメンタル</t>
  </si>
  <si>
    <t>アースエレメンタル</t>
    <phoneticPr fontId="2"/>
  </si>
  <si>
    <t>生存</t>
    <rPh sb="0" eb="2">
      <t>セイゾン</t>
    </rPh>
    <phoneticPr fontId="2"/>
  </si>
  <si>
    <t>スキル名</t>
  </si>
  <si>
    <t>系統</t>
  </si>
  <si>
    <t>行動</t>
  </si>
  <si>
    <t>HP消費</t>
  </si>
  <si>
    <t>効果</t>
  </si>
  <si>
    <t>説明</t>
  </si>
  <si>
    <t>説明2</t>
  </si>
  <si>
    <t>取得条件</t>
  </si>
  <si>
    <t>ダブり確認</t>
    <rPh sb="3" eb="5">
      <t>カクニン</t>
    </rPh>
    <phoneticPr fontId="2"/>
  </si>
  <si>
    <t>全確認</t>
    <rPh sb="0" eb="3">
      <t>ゼンカクニン</t>
    </rPh>
    <phoneticPr fontId="2"/>
  </si>
  <si>
    <t>戦闘ルール</t>
    <rPh sb="0" eb="2">
      <t>セントウ</t>
    </rPh>
    <phoneticPr fontId="2"/>
  </si>
  <si>
    <t>盾装備でデメリットは威力が下がる、軽減値が増える。</t>
    <rPh sb="0" eb="1">
      <t>タテ</t>
    </rPh>
    <rPh sb="1" eb="3">
      <t>ソウビ</t>
    </rPh>
    <rPh sb="10" eb="12">
      <t>イリョク</t>
    </rPh>
    <rPh sb="13" eb="14">
      <t>サ</t>
    </rPh>
    <rPh sb="17" eb="19">
      <t>ケイゲン</t>
    </rPh>
    <rPh sb="19" eb="20">
      <t>チ</t>
    </rPh>
    <rPh sb="21" eb="22">
      <t>フ</t>
    </rPh>
    <phoneticPr fontId="2"/>
  </si>
  <si>
    <t xml:space="preserve">モンク
シーフ
レンジャー
スカウト
ウィザード
アルケミスト
イリュージョニスト
エレメント・マスター
クレリック
ビショップ
プリースト
パラディン
ゴブリン
オーガ
トレント
インプ
エンジェル
ソードマスター
スピアマスター
ブロウマスター
シールドマスター
ソードセイント
スピアセイント
ブロウセイント
シールドセイント
</t>
    <phoneticPr fontId="2"/>
  </si>
  <si>
    <t>1:初級 1 2:下級 23
3:中級 34 4:上級 56
5:下級神 7
6:中級神 89
7:上級神 10</t>
  </si>
  <si>
    <t>35 55 75 95 115 145 175
攻撃追加+1
攻撃回数:2 2倍加 など</t>
  </si>
  <si>
    <t>条件
条件系統</t>
  </si>
  <si>
    <t>範囲について 単体,全体,縦,ライン 前後ろ縦を選択してダメージ,周囲(同じ列のみ)
効果に「連鎖」があると周囲に50%ダメージ</t>
  </si>
  <si>
    <t>1.突破
1.無詠唱
2.拡大
2.二重
2.持続</t>
  </si>
  <si>
    <t>3.魔法強化
3.射程
4倍速
4.魔法極強化
4.三重</t>
  </si>
  <si>
    <t xml:space="preserve">回復:35 魔力105~210
10.5~21
</t>
    <rPh sb="0" eb="2">
      <t>カイフク</t>
    </rPh>
    <rPh sb="6" eb="8">
      <t>マリョク</t>
    </rPh>
    <phoneticPr fontId="2"/>
  </si>
  <si>
    <t xml:space="preserve">回復:115 魔力565~1130
34.5~69
</t>
    <rPh sb="0" eb="2">
      <t>カイフク</t>
    </rPh>
    <rPh sb="7" eb="9">
      <t>マリョク</t>
    </rPh>
    <phoneticPr fontId="2"/>
  </si>
  <si>
    <t>微5~10 小11~20 中21~35
大36~50 極51~</t>
  </si>
  <si>
    <t>〇〇の接続 で魔法取得
〇〇魔法強化</t>
  </si>
  <si>
    <t>攻撃手段:魔法 特殊:攻撃</t>
  </si>
  <si>
    <t>属性: ロール:
技能: スキル:|</t>
  </si>
  <si>
    <t>魔法技術</t>
  </si>
  <si>
    <t>技術</t>
  </si>
  <si>
    <t>早業</t>
  </si>
  <si>
    <t>出血</t>
  </si>
  <si>
    <t>------------基本職 ------------</t>
  </si>
  <si>
    <t>雄叫び</t>
  </si>
  <si>
    <t>ロアー</t>
  </si>
  <si>
    <t>効果時間4t 攻撃+15 精神耐性+10</t>
  </si>
  <si>
    <t>ナイト</t>
  </si>
  <si>
    <t>フェンサー</t>
  </si>
  <si>
    <t>ゾンビ</t>
  </si>
  <si>
    <t>スケルトン</t>
  </si>
  <si>
    <t>AP消費</t>
    <phoneticPr fontId="2"/>
  </si>
  <si>
    <t>スキルタイプ</t>
    <phoneticPr fontId="2"/>
  </si>
  <si>
    <t>A</t>
    <phoneticPr fontId="2"/>
  </si>
  <si>
    <t>P</t>
    <phoneticPr fontId="2"/>
  </si>
  <si>
    <t>武器の扱い</t>
    <rPh sb="0" eb="2">
      <t>ブキ</t>
    </rPh>
    <rPh sb="3" eb="4">
      <t>アツカ</t>
    </rPh>
    <phoneticPr fontId="2"/>
  </si>
  <si>
    <t>攻撃手段:武器 命中+10</t>
    <rPh sb="0" eb="4">
      <t>コウゲキシュダン</t>
    </rPh>
    <rPh sb="5" eb="7">
      <t>ブキ</t>
    </rPh>
    <rPh sb="8" eb="10">
      <t>メイチュウ</t>
    </rPh>
    <phoneticPr fontId="2"/>
  </si>
  <si>
    <t>炎耐性</t>
    <rPh sb="0" eb="1">
      <t>ホノオ</t>
    </rPh>
    <rPh sb="1" eb="3">
      <t>タイセイ</t>
    </rPh>
    <phoneticPr fontId="2"/>
  </si>
  <si>
    <t>氷耐性</t>
    <rPh sb="0" eb="1">
      <t>コオリ</t>
    </rPh>
    <rPh sb="1" eb="3">
      <t>タイセイ</t>
    </rPh>
    <phoneticPr fontId="2"/>
  </si>
  <si>
    <t>雷耐性</t>
    <rPh sb="0" eb="1">
      <t>イカヅチ</t>
    </rPh>
    <rPh sb="1" eb="3">
      <t>タイセイ</t>
    </rPh>
    <phoneticPr fontId="2"/>
  </si>
  <si>
    <t>毒耐性</t>
    <rPh sb="0" eb="1">
      <t>ドク</t>
    </rPh>
    <rPh sb="1" eb="3">
      <t>タイセイ</t>
    </rPh>
    <phoneticPr fontId="2"/>
  </si>
  <si>
    <t>光</t>
    <rPh sb="0" eb="1">
      <t>ヒカリ</t>
    </rPh>
    <phoneticPr fontId="2"/>
  </si>
  <si>
    <t>光耐性</t>
    <rPh sb="0" eb="1">
      <t>ヒカリ</t>
    </rPh>
    <rPh sb="1" eb="3">
      <t>タイセイ</t>
    </rPh>
    <phoneticPr fontId="2"/>
  </si>
  <si>
    <t>闇耐性</t>
    <rPh sb="0" eb="3">
      <t>ヤミタイセイ</t>
    </rPh>
    <phoneticPr fontId="2"/>
  </si>
  <si>
    <t>怯み</t>
    <rPh sb="0" eb="1">
      <t>ヒル</t>
    </rPh>
    <phoneticPr fontId="2"/>
  </si>
  <si>
    <t>精神耐性</t>
    <rPh sb="0" eb="2">
      <t>セイシン</t>
    </rPh>
    <phoneticPr fontId="2"/>
  </si>
  <si>
    <t>怯み耐性</t>
    <rPh sb="0" eb="1">
      <t>ヒル</t>
    </rPh>
    <phoneticPr fontId="2"/>
  </si>
  <si>
    <t>出血耐性</t>
    <phoneticPr fontId="2"/>
  </si>
  <si>
    <t>拘束耐性</t>
    <rPh sb="0" eb="2">
      <t>コウソク</t>
    </rPh>
    <phoneticPr fontId="2"/>
  </si>
  <si>
    <t>幻覚耐性</t>
    <rPh sb="0" eb="2">
      <t>ゲンカク</t>
    </rPh>
    <rPh sb="2" eb="4">
      <t>タイセイ</t>
    </rPh>
    <phoneticPr fontId="2"/>
  </si>
  <si>
    <t>物理耐性</t>
    <rPh sb="0" eb="4">
      <t>ブツリタイセイ</t>
    </rPh>
    <phoneticPr fontId="2"/>
  </si>
  <si>
    <t>物理</t>
    <phoneticPr fontId="2"/>
  </si>
  <si>
    <t>炎</t>
    <rPh sb="0" eb="1">
      <t>ホノオ</t>
    </rPh>
    <phoneticPr fontId="2"/>
  </si>
  <si>
    <t>氷</t>
    <rPh sb="0" eb="1">
      <t>コオリ</t>
    </rPh>
    <phoneticPr fontId="2"/>
  </si>
  <si>
    <t>雷</t>
    <rPh sb="0" eb="1">
      <t>イカヅチ</t>
    </rPh>
    <phoneticPr fontId="2"/>
  </si>
  <si>
    <t>毒</t>
    <rPh sb="0" eb="1">
      <t>ドク</t>
    </rPh>
    <phoneticPr fontId="2"/>
  </si>
  <si>
    <t>闇</t>
    <phoneticPr fontId="2"/>
  </si>
  <si>
    <t>拘束</t>
    <rPh sb="0" eb="2">
      <t>コウソク</t>
    </rPh>
    <phoneticPr fontId="2"/>
  </si>
  <si>
    <t>幻覚</t>
    <rPh sb="0" eb="2">
      <t>ゲンカク</t>
    </rPh>
    <phoneticPr fontId="2"/>
  </si>
  <si>
    <t>Cr率</t>
    <rPh sb="2" eb="3">
      <t>リツ</t>
    </rPh>
    <phoneticPr fontId="2"/>
  </si>
  <si>
    <t>Cr威力</t>
    <rPh sb="2" eb="4">
      <t>イリョク</t>
    </rPh>
    <phoneticPr fontId="2"/>
  </si>
  <si>
    <t>Cr率耐性</t>
    <rPh sb="2" eb="3">
      <t>リツ</t>
    </rPh>
    <phoneticPr fontId="2"/>
  </si>
  <si>
    <t>Cr威力耐性</t>
    <rPh sb="2" eb="4">
      <t>イリョク</t>
    </rPh>
    <phoneticPr fontId="2"/>
  </si>
  <si>
    <t>攻撃手段</t>
    <rPh sb="0" eb="4">
      <t>コウゲキシュダン</t>
    </rPh>
    <phoneticPr fontId="2"/>
  </si>
  <si>
    <t>条件</t>
    <rPh sb="0" eb="2">
      <t>ジョウケン</t>
    </rPh>
    <phoneticPr fontId="2"/>
  </si>
  <si>
    <t>条件系統</t>
    <rPh sb="0" eb="2">
      <t>ジョウケン</t>
    </rPh>
    <rPh sb="2" eb="4">
      <t>ケイトウ</t>
    </rPh>
    <phoneticPr fontId="2"/>
  </si>
  <si>
    <t>射程</t>
    <rPh sb="0" eb="2">
      <t>シャテイ</t>
    </rPh>
    <phoneticPr fontId="2"/>
  </si>
  <si>
    <t>範囲</t>
    <rPh sb="0" eb="2">
      <t>ハンイ</t>
    </rPh>
    <phoneticPr fontId="2"/>
  </si>
  <si>
    <t>対象</t>
    <rPh sb="0" eb="2">
      <t>タイショウ</t>
    </rPh>
    <phoneticPr fontId="2"/>
  </si>
  <si>
    <t>効果</t>
    <rPh sb="0" eb="2">
      <t>コウカ</t>
    </rPh>
    <phoneticPr fontId="2"/>
  </si>
  <si>
    <t>攻撃回数</t>
    <rPh sb="0" eb="4">
      <t>コウゲキカイスウ</t>
    </rPh>
    <phoneticPr fontId="2"/>
  </si>
  <si>
    <t>攻撃追加</t>
    <rPh sb="0" eb="2">
      <t>コウゲキ</t>
    </rPh>
    <rPh sb="2" eb="4">
      <t>ツイカ</t>
    </rPh>
    <phoneticPr fontId="2"/>
  </si>
  <si>
    <t>追加威力</t>
    <rPh sb="0" eb="2">
      <t>ツイカ</t>
    </rPh>
    <rPh sb="2" eb="4">
      <t>イリョク</t>
    </rPh>
    <phoneticPr fontId="2"/>
  </si>
  <si>
    <t>判定</t>
    <rPh sb="0" eb="2">
      <t>ハンテイ</t>
    </rPh>
    <phoneticPr fontId="2"/>
  </si>
  <si>
    <t>効果時間</t>
    <rPh sb="0" eb="4">
      <t>コウカジカン</t>
    </rPh>
    <phoneticPr fontId="2"/>
  </si>
  <si>
    <t>待機</t>
    <rPh sb="0" eb="2">
      <t>タイキ</t>
    </rPh>
    <phoneticPr fontId="2"/>
  </si>
  <si>
    <t>起動確認</t>
    <rPh sb="0" eb="2">
      <t>キドウ</t>
    </rPh>
    <rPh sb="2" eb="4">
      <t>カクニン</t>
    </rPh>
    <phoneticPr fontId="2"/>
  </si>
  <si>
    <t>闘気撃</t>
    <rPh sb="0" eb="2">
      <t>トウキ</t>
    </rPh>
    <rPh sb="2" eb="3">
      <t>ゲキ</t>
    </rPh>
    <phoneticPr fontId="2"/>
  </si>
  <si>
    <t>オーラ・ストライク</t>
    <phoneticPr fontId="2"/>
  </si>
  <si>
    <t>闘気守</t>
    <rPh sb="0" eb="2">
      <t>トウキ</t>
    </rPh>
    <rPh sb="2" eb="3">
      <t>マモ</t>
    </rPh>
    <phoneticPr fontId="2"/>
  </si>
  <si>
    <t>オーラ・ガード</t>
    <phoneticPr fontId="2"/>
  </si>
  <si>
    <t>ガード</t>
    <phoneticPr fontId="2"/>
  </si>
  <si>
    <t>魔法</t>
    <rPh sb="0" eb="2">
      <t>マホウ</t>
    </rPh>
    <phoneticPr fontId="2"/>
  </si>
  <si>
    <t>魔法耐性</t>
    <rPh sb="0" eb="2">
      <t>マホウ</t>
    </rPh>
    <rPh sb="2" eb="4">
      <t>タイセイ</t>
    </rPh>
    <phoneticPr fontId="2"/>
  </si>
  <si>
    <t>一閃撃</t>
    <rPh sb="0" eb="3">
      <t>イッセンゲキ</t>
    </rPh>
    <phoneticPr fontId="2"/>
  </si>
  <si>
    <t>ブランデッシュ</t>
    <phoneticPr fontId="2"/>
  </si>
  <si>
    <t>攻撃手段:武器 物理+2 命中+5</t>
    <rPh sb="0" eb="4">
      <t>コウゲキシュダン</t>
    </rPh>
    <rPh sb="5" eb="7">
      <t>ブキ</t>
    </rPh>
    <rPh sb="13" eb="15">
      <t>メイチュウ</t>
    </rPh>
    <phoneticPr fontId="2"/>
  </si>
  <si>
    <t>攻撃手段:武器 物理+25 判定:攻撃</t>
    <rPh sb="0" eb="4">
      <t>コウゲキシュダン</t>
    </rPh>
    <rPh sb="5" eb="7">
      <t>ブキ</t>
    </rPh>
    <rPh sb="8" eb="10">
      <t>ブツリ</t>
    </rPh>
    <rPh sb="14" eb="16">
      <t>ハンテイ</t>
    </rPh>
    <rPh sb="17" eb="19">
      <t>コウゲキ</t>
    </rPh>
    <phoneticPr fontId="2"/>
  </si>
  <si>
    <t>攻撃手段:武器 物理+15 命中+25 判定:攻撃</t>
    <rPh sb="0" eb="4">
      <t>コウゲキシュダン</t>
    </rPh>
    <rPh sb="5" eb="7">
      <t>ブキ</t>
    </rPh>
    <rPh sb="14" eb="16">
      <t>メイチュウ</t>
    </rPh>
    <phoneticPr fontId="2"/>
  </si>
  <si>
    <t>攻撃手段:武器 ガード+25 判定:防御</t>
    <rPh sb="0" eb="4">
      <t>コウゲキシュダン</t>
    </rPh>
    <rPh sb="5" eb="7">
      <t>ブキ</t>
    </rPh>
    <rPh sb="18" eb="20">
      <t>ボウギョ</t>
    </rPh>
    <phoneticPr fontId="2"/>
  </si>
  <si>
    <t>ナイト</t>
    <phoneticPr fontId="2"/>
  </si>
  <si>
    <t>フェンサー</t>
    <phoneticPr fontId="2"/>
  </si>
  <si>
    <t>騎士</t>
    <rPh sb="0" eb="2">
      <t>キシ</t>
    </rPh>
    <phoneticPr fontId="2"/>
  </si>
  <si>
    <t>軽戦士</t>
    <rPh sb="0" eb="3">
      <t>ケイセンシ</t>
    </rPh>
    <phoneticPr fontId="2"/>
  </si>
  <si>
    <t>ドルイド</t>
  </si>
  <si>
    <t>ドルイド</t>
    <phoneticPr fontId="2"/>
  </si>
  <si>
    <t>森司祭</t>
    <rPh sb="0" eb="1">
      <t>モリ</t>
    </rPh>
    <rPh sb="1" eb="3">
      <t>シサイ</t>
    </rPh>
    <phoneticPr fontId="2"/>
  </si>
  <si>
    <t>聖騎士</t>
    <rPh sb="0" eb="3">
      <t>セイキシ</t>
    </rPh>
    <phoneticPr fontId="2"/>
  </si>
  <si>
    <t>神官</t>
    <rPh sb="0" eb="2">
      <t>シンカン</t>
    </rPh>
    <phoneticPr fontId="2"/>
  </si>
  <si>
    <t>動物</t>
    <rPh sb="0" eb="2">
      <t>ドウブツ</t>
    </rPh>
    <phoneticPr fontId="2"/>
  </si>
  <si>
    <t>ウルフ</t>
    <phoneticPr fontId="2"/>
  </si>
  <si>
    <t>スネーク</t>
    <phoneticPr fontId="2"/>
  </si>
  <si>
    <t>タイガー</t>
    <phoneticPr fontId="2"/>
  </si>
  <si>
    <t>ホーク</t>
    <phoneticPr fontId="2"/>
  </si>
  <si>
    <t>ベア</t>
  </si>
  <si>
    <t>ベア</t>
    <phoneticPr fontId="2"/>
  </si>
  <si>
    <t>クロコダイル</t>
  </si>
  <si>
    <t>クロコダイル</t>
    <phoneticPr fontId="2"/>
  </si>
  <si>
    <t>ゾンビ</t>
    <phoneticPr fontId="2"/>
  </si>
  <si>
    <t>スケルトン</t>
    <phoneticPr fontId="2"/>
  </si>
  <si>
    <t>ゴースト</t>
  </si>
  <si>
    <t>ゴースト</t>
    <phoneticPr fontId="2"/>
  </si>
  <si>
    <t>ポルターガイスト</t>
  </si>
  <si>
    <t>武器の攻め</t>
    <rPh sb="0" eb="2">
      <t>ブキ</t>
    </rPh>
    <rPh sb="3" eb="4">
      <t>セ</t>
    </rPh>
    <phoneticPr fontId="2"/>
  </si>
  <si>
    <t>武器の守り</t>
    <rPh sb="0" eb="2">
      <t>ブキ</t>
    </rPh>
    <rPh sb="3" eb="4">
      <t>マモ</t>
    </rPh>
    <phoneticPr fontId="2"/>
  </si>
  <si>
    <t>攻撃手段:武器 ガード+2 命中+5</t>
    <rPh sb="0" eb="4">
      <t>コウゲキシュダン</t>
    </rPh>
    <rPh sb="5" eb="7">
      <t>ブキ</t>
    </rPh>
    <rPh sb="14" eb="16">
      <t>メイチュウ</t>
    </rPh>
    <phoneticPr fontId="2"/>
  </si>
  <si>
    <t>闘気速</t>
    <rPh sb="0" eb="2">
      <t>トウキ</t>
    </rPh>
    <rPh sb="2" eb="3">
      <t>ハヤ</t>
    </rPh>
    <phoneticPr fontId="2"/>
  </si>
  <si>
    <t>オーラ・クイック</t>
    <phoneticPr fontId="2"/>
  </si>
  <si>
    <t xml:space="preserve">攻撃手段:武器 物理+15 速度+25 判定:速度 </t>
    <rPh sb="0" eb="4">
      <t>コウゲキシュダン</t>
    </rPh>
    <rPh sb="5" eb="7">
      <t>ブキ</t>
    </rPh>
    <rPh sb="8" eb="10">
      <t>ブツリ</t>
    </rPh>
    <rPh sb="14" eb="16">
      <t>ソクド</t>
    </rPh>
    <rPh sb="23" eb="25">
      <t>ソクド</t>
    </rPh>
    <phoneticPr fontId="2"/>
  </si>
  <si>
    <t>回復</t>
    <rPh sb="0" eb="2">
      <t>カイフク</t>
    </rPh>
    <phoneticPr fontId="2"/>
  </si>
  <si>
    <t>急所撃</t>
    <rPh sb="0" eb="3">
      <t>キュウショゲキ</t>
    </rPh>
    <phoneticPr fontId="2"/>
  </si>
  <si>
    <t>ポイントストライク</t>
    <phoneticPr fontId="2"/>
  </si>
  <si>
    <t xml:space="preserve">条件:不意打ち 物理+35 判定:命中 </t>
    <rPh sb="0" eb="2">
      <t>ジョウケン</t>
    </rPh>
    <rPh sb="3" eb="6">
      <t>フイウ</t>
    </rPh>
    <rPh sb="8" eb="10">
      <t>ブツリ</t>
    </rPh>
    <rPh sb="14" eb="16">
      <t>ハンテイ</t>
    </rPh>
    <rPh sb="17" eb="19">
      <t>メイチュウ</t>
    </rPh>
    <phoneticPr fontId="2"/>
  </si>
  <si>
    <t>痛撃</t>
    <rPh sb="0" eb="1">
      <t>イタ</t>
    </rPh>
    <rPh sb="1" eb="2">
      <t>ゲキ</t>
    </rPh>
    <phoneticPr fontId="2"/>
  </si>
  <si>
    <t>ペイン・ストライク</t>
    <phoneticPr fontId="2"/>
  </si>
  <si>
    <t>攻撃手段:武器 怯み+30 判定:命中</t>
    <rPh sb="0" eb="4">
      <t>コウゲキシュダン</t>
    </rPh>
    <rPh sb="5" eb="7">
      <t>ブキ</t>
    </rPh>
    <rPh sb="8" eb="9">
      <t>ヒル</t>
    </rPh>
    <rPh sb="14" eb="16">
      <t>ハンテイ</t>
    </rPh>
    <rPh sb="17" eb="19">
      <t>メイチュウ</t>
    </rPh>
    <phoneticPr fontId="2"/>
  </si>
  <si>
    <t>狙い</t>
    <rPh sb="0" eb="1">
      <t>ネラ</t>
    </rPh>
    <phoneticPr fontId="2"/>
  </si>
  <si>
    <t>ターゲット</t>
    <phoneticPr fontId="2"/>
  </si>
  <si>
    <t>効果時間4t 命中+20 Cr率+5</t>
    <rPh sb="0" eb="4">
      <t>コウカジカン</t>
    </rPh>
    <rPh sb="7" eb="9">
      <t>メイチュウ</t>
    </rPh>
    <rPh sb="15" eb="16">
      <t>リツ</t>
    </rPh>
    <phoneticPr fontId="2"/>
  </si>
  <si>
    <t>反撃</t>
    <rPh sb="0" eb="2">
      <t>ハンゲキ</t>
    </rPh>
    <phoneticPr fontId="2"/>
  </si>
  <si>
    <t xml:space="preserve">条件:ガード時 </t>
    <rPh sb="0" eb="2">
      <t>ジョウケン</t>
    </rPh>
    <rPh sb="5" eb="7">
      <t>ト</t>
    </rPh>
    <phoneticPr fontId="2"/>
  </si>
  <si>
    <t>隠密</t>
    <rPh sb="0" eb="2">
      <t>オンミツ</t>
    </rPh>
    <phoneticPr fontId="2"/>
  </si>
  <si>
    <t>農業</t>
  </si>
  <si>
    <t>林業</t>
  </si>
  <si>
    <t>漁業</t>
  </si>
  <si>
    <t>工業</t>
  </si>
  <si>
    <t>統治</t>
  </si>
  <si>
    <t>技能名</t>
  </si>
  <si>
    <t>部隊への命令効率を高める。士気上昇量やバフ効果量が増加し、部隊スキルの性能が向上する。</t>
  </si>
  <si>
    <t>騙すを併合。敵やNPCに心理的圧力を与える。敵士気低下や怯え付与、会話時の威圧成功率が上昇する。</t>
  </si>
  <si>
    <t>知識を含む。敵能力・弱点・嘘・罠・アイテムの性質を見破る。不意打ち耐性や情報取得能力が向上する。</t>
  </si>
  <si>
    <t>軽業を併合。攻撃速度や回避率が上昇し、移動系スキルの消費が軽減される。連撃性能が向上する。</t>
  </si>
  <si>
    <t>装置操作・罠設置・修理・制作補助能力。戦闘中のトラップ性能や道具効果が向上する。</t>
  </si>
  <si>
    <t>発見されにくくなる。奇襲成功率や離脱成功率が上昇し、不意打ち時の威力が増加する。</t>
  </si>
  <si>
    <t>敵や資源を発見しやすくなる。遭遇率制御、罠発見、危険察知能力が向上する。</t>
  </si>
  <si>
    <t>穀物・家畜など農業生産効率を上昇させる。災害による収穫減少を軽減する。</t>
  </si>
  <si>
    <t>木材資源の取得量と森林管理効率を上昇させる。森林枯渇速度を軽減する。</t>
  </si>
  <si>
    <t>水域資源の取得量を上昇させる。食料安定度に補正を与える。</t>
  </si>
  <si>
    <t>加工・生産効率を上昇させる。装備や施設の生産速度が向上する。</t>
  </si>
  <si>
    <t>都市安定度や治安を向上させる。反乱発生率を低下させ、維持費効率を改善する。</t>
  </si>
  <si>
    <t>交易価格や外交成功率を上昇させる。条約締結や取引条件が有利になる。</t>
  </si>
  <si>
    <t>魔法スキルの威力や成功率を向上させる。魔法系制作や研究効率に補正を与える。</t>
  </si>
  <si>
    <t>宗教効果や祝福系能力を強化する。士気回復や精神耐性補正が向上する。</t>
  </si>
  <si>
    <t>指揮</t>
    <phoneticPr fontId="2"/>
  </si>
  <si>
    <t>ウィザード</t>
    <phoneticPr fontId="2"/>
  </si>
  <si>
    <t>アルケミスト</t>
    <phoneticPr fontId="2"/>
  </si>
  <si>
    <t>エレメンタラー</t>
    <phoneticPr fontId="2"/>
  </si>
  <si>
    <t>魔導士</t>
    <rPh sb="0" eb="3">
      <t>マドウシ</t>
    </rPh>
    <phoneticPr fontId="2"/>
  </si>
  <si>
    <t>精霊師</t>
    <rPh sb="0" eb="2">
      <t>セイレイ</t>
    </rPh>
    <rPh sb="2" eb="3">
      <t>シ</t>
    </rPh>
    <phoneticPr fontId="2"/>
  </si>
  <si>
    <t>錬金術師</t>
    <rPh sb="0" eb="4">
      <t>レンキンジュツシ</t>
    </rPh>
    <phoneticPr fontId="2"/>
  </si>
  <si>
    <t>シーフ</t>
    <phoneticPr fontId="2"/>
  </si>
  <si>
    <t>Skill1</t>
    <phoneticPr fontId="2"/>
  </si>
  <si>
    <t>Skill2</t>
  </si>
  <si>
    <t>Skill3</t>
  </si>
  <si>
    <t>Skill4</t>
  </si>
  <si>
    <t>Skill5</t>
  </si>
  <si>
    <t>Skill6</t>
  </si>
  <si>
    <t>Skill7</t>
  </si>
  <si>
    <t>Skill8</t>
  </si>
  <si>
    <t>Skill9</t>
  </si>
  <si>
    <t>Skill10</t>
  </si>
  <si>
    <t>条件Lv</t>
    <rPh sb="0" eb="2">
      <t>ジョウケン</t>
    </rPh>
    <phoneticPr fontId="2"/>
  </si>
  <si>
    <t>条件_1</t>
    <rPh sb="0" eb="2">
      <t>ジョウケン</t>
    </rPh>
    <phoneticPr fontId="2"/>
  </si>
  <si>
    <t>Lv_1</t>
    <phoneticPr fontId="2"/>
  </si>
  <si>
    <t>条件_2</t>
    <rPh sb="0" eb="2">
      <t>ジョウケン</t>
    </rPh>
    <phoneticPr fontId="2"/>
  </si>
  <si>
    <t>Lv_2</t>
  </si>
  <si>
    <t>条件_3</t>
    <rPh sb="0" eb="2">
      <t>ジョウケン</t>
    </rPh>
    <phoneticPr fontId="2"/>
  </si>
  <si>
    <t>Lv_3</t>
  </si>
  <si>
    <t>条件_4</t>
    <rPh sb="0" eb="2">
      <t>ジョウケン</t>
    </rPh>
    <phoneticPr fontId="2"/>
  </si>
  <si>
    <t>Lv_4</t>
  </si>
  <si>
    <t>罠技術</t>
    <rPh sb="0" eb="1">
      <t>ワナ</t>
    </rPh>
    <rPh sb="1" eb="3">
      <t>ギジュツ</t>
    </rPh>
    <phoneticPr fontId="2"/>
  </si>
  <si>
    <t>浮遊</t>
    <rPh sb="0" eb="2">
      <t>フユウ</t>
    </rPh>
    <phoneticPr fontId="2"/>
  </si>
  <si>
    <t>効果:浮遊</t>
    <rPh sb="0" eb="2">
      <t>コウカ</t>
    </rPh>
    <rPh sb="3" eb="5">
      <t>フユウ</t>
    </rPh>
    <phoneticPr fontId="2"/>
  </si>
  <si>
    <t>風</t>
    <rPh sb="0" eb="1">
      <t>カゼ</t>
    </rPh>
    <phoneticPr fontId="2"/>
  </si>
  <si>
    <t>地</t>
    <rPh sb="0" eb="1">
      <t>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</si>
</sst>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theme="9" tint="-0.249977111117893"/>
      <name val="游ゴシック"/>
      <family val="3"/>
      <charset val="128"/>
      <scheme val="minor"/>
    </font>
    <font>
      <b/>
      <sz val="11"/>
      <color theme="1" tint="4.9989318521683403E-2"/>
      <name val="游ゴシック"/>
      <family val="3"/>
      <charset val="128"/>
      <scheme val="minor"/>
    </font>
    <font>
      <b/>
      <sz val="11"/>
      <color theme="4" tint="-0.499984740745262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1"/>
      <color theme="8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F75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6" borderId="1" xfId="0" applyFont="1" applyFill="1" applyBorder="1" applyAlignment="1">
      <alignment horizontal="left" vertical="top" wrapText="1"/>
    </xf>
    <xf numFmtId="9" fontId="4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7" borderId="1" xfId="0" applyFont="1" applyFill="1" applyBorder="1" applyAlignment="1">
      <alignment vertical="top" wrapText="1"/>
    </xf>
    <xf numFmtId="0" fontId="4" fillId="7" borderId="1" xfId="0" applyFont="1" applyFill="1" applyBorder="1">
      <alignment vertical="center"/>
    </xf>
    <xf numFmtId="0" fontId="9" fillId="8" borderId="0" xfId="0" applyFont="1" applyFill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0" fillId="4" borderId="0" xfId="0" applyFill="1">
      <alignment vertical="center"/>
    </xf>
    <xf numFmtId="0" fontId="4" fillId="4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10" borderId="0" xfId="0" applyFont="1" applyFill="1" applyAlignment="1">
      <alignment vertical="center" wrapText="1"/>
    </xf>
    <xf numFmtId="0" fontId="4" fillId="11" borderId="0" xfId="0" applyFont="1" applyFill="1" applyAlignment="1">
      <alignment vertical="center" wrapText="1"/>
    </xf>
    <xf numFmtId="0" fontId="4" fillId="9" borderId="3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vertical="center" wrapText="1"/>
    </xf>
    <xf numFmtId="0" fontId="4" fillId="10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horizontal="left" vertical="center"/>
    </xf>
    <xf numFmtId="0" fontId="11" fillId="0" borderId="2" xfId="0" applyFont="1" applyBorder="1" applyAlignment="1">
      <alignment wrapText="1"/>
    </xf>
    <xf numFmtId="0" fontId="4" fillId="12" borderId="0" xfId="0" applyFont="1" applyFill="1" applyAlignment="1">
      <alignment vertical="center" wrapText="1"/>
    </xf>
    <xf numFmtId="0" fontId="0" fillId="1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EF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kkt3\&#12489;&#12461;&#12517;&#12513;&#12531;&#12488;\Github\game-project\data\excel\game-data&#20986;&#21147;&#29992;.xlsm" TargetMode="External"/><Relationship Id="rId1" Type="http://schemas.openxmlformats.org/officeDocument/2006/relationships/externalLinkPath" Target="/Users/skkt3/&#12489;&#12461;&#12517;&#12513;&#12531;&#12488;/Github/game-project/data/excel/game-data&#20986;&#21147;&#299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"/>
      <sheetName val="クラス"/>
      <sheetName val="技能"/>
      <sheetName val="技"/>
      <sheetName val="属性"/>
      <sheetName val="種族属性"/>
      <sheetName val="範囲"/>
      <sheetName val="ステータスの説明"/>
      <sheetName val="装備箇所"/>
      <sheetName val="体の特徴"/>
      <sheetName val="メモ"/>
      <sheetName val="タスク"/>
      <sheetName val="属性アイコン"/>
    </sheetNames>
    <sheetDataSet>
      <sheetData sheetId="0"/>
      <sheetData sheetId="1">
        <row r="1">
          <cell r="A1" t="str">
            <v>名前</v>
          </cell>
        </row>
        <row r="5">
          <cell r="A5" t="str">
            <v>ヒューマン</v>
          </cell>
        </row>
        <row r="6">
          <cell r="A6" t="str">
            <v>エルフ</v>
          </cell>
        </row>
        <row r="7">
          <cell r="A7" t="str">
            <v>ドワーフ</v>
          </cell>
        </row>
        <row r="8">
          <cell r="A8" t="str">
            <v>ミニット</v>
          </cell>
        </row>
        <row r="9">
          <cell r="A9" t="str">
            <v>マリナン</v>
          </cell>
        </row>
        <row r="10">
          <cell r="A10" t="str">
            <v>ダークヒューマン</v>
          </cell>
        </row>
        <row r="11">
          <cell r="A11" t="str">
            <v>ダークエルフ</v>
          </cell>
        </row>
        <row r="12">
          <cell r="A12" t="str">
            <v>ダークドワーフ</v>
          </cell>
        </row>
        <row r="14">
          <cell r="A14" t="str">
            <v>ファイター</v>
          </cell>
        </row>
        <row r="15">
          <cell r="A15" t="str">
            <v>ナイト</v>
          </cell>
        </row>
        <row r="16">
          <cell r="A16" t="str">
            <v>フェンサー</v>
          </cell>
        </row>
        <row r="17">
          <cell r="A17" t="str">
            <v>アーチャー</v>
          </cell>
        </row>
        <row r="18">
          <cell r="A18" t="str">
            <v>ガンナー</v>
          </cell>
        </row>
        <row r="20">
          <cell r="A20" t="str">
            <v>モンク</v>
          </cell>
        </row>
        <row r="22">
          <cell r="A22" t="str">
            <v>シーフ</v>
          </cell>
        </row>
        <row r="23">
          <cell r="A23" t="str">
            <v>レンジャー</v>
          </cell>
        </row>
        <row r="24">
          <cell r="A24" t="str">
            <v>スカウト</v>
          </cell>
        </row>
        <row r="26">
          <cell r="A26" t="str">
            <v>ウィザード</v>
          </cell>
        </row>
        <row r="27">
          <cell r="A27" t="str">
            <v>アルケミスト</v>
          </cell>
        </row>
        <row r="28">
          <cell r="A28" t="str">
            <v>イリュージョニスト</v>
          </cell>
        </row>
        <row r="29">
          <cell r="A29" t="str">
            <v>ネクロマンサー</v>
          </cell>
        </row>
        <row r="30">
          <cell r="A30" t="str">
            <v>エレメンタラー</v>
          </cell>
        </row>
        <row r="33">
          <cell r="A33" t="str">
            <v>クレリック</v>
          </cell>
        </row>
        <row r="34">
          <cell r="A34" t="str">
            <v>ビショップ</v>
          </cell>
        </row>
        <row r="35">
          <cell r="A35" t="str">
            <v>プリースト</v>
          </cell>
        </row>
        <row r="36">
          <cell r="A36" t="str">
            <v>パラディン</v>
          </cell>
        </row>
        <row r="37">
          <cell r="A37" t="str">
            <v>ドルイド</v>
          </cell>
        </row>
        <row r="48">
          <cell r="A48" t="str">
            <v>ゴブリン</v>
          </cell>
        </row>
        <row r="49">
          <cell r="A49" t="str">
            <v>オーガ</v>
          </cell>
        </row>
        <row r="50">
          <cell r="A50" t="str">
            <v>トレント</v>
          </cell>
        </row>
        <row r="51">
          <cell r="A51" t="str">
            <v>ドラゴニュート</v>
          </cell>
        </row>
        <row r="52">
          <cell r="A52" t="str">
            <v>ジャイアント</v>
          </cell>
        </row>
        <row r="53">
          <cell r="A53" t="str">
            <v>名前</v>
          </cell>
        </row>
        <row r="54">
          <cell r="A54" t="str">
            <v>ビーストマン</v>
          </cell>
        </row>
        <row r="56">
          <cell r="A56" t="str">
            <v>キャットモーフ</v>
          </cell>
        </row>
        <row r="57">
          <cell r="A57" t="str">
            <v>ドッグモーフ</v>
          </cell>
        </row>
        <row r="58">
          <cell r="A58" t="str">
            <v>ラビットモーフ</v>
          </cell>
        </row>
        <row r="59">
          <cell r="A59" t="str">
            <v>バードモーフ</v>
          </cell>
        </row>
        <row r="60">
          <cell r="A60" t="str">
            <v>リザードモーフ</v>
          </cell>
        </row>
        <row r="61">
          <cell r="A61" t="str">
            <v>オックスモーフ</v>
          </cell>
        </row>
        <row r="62">
          <cell r="A62" t="str">
            <v>ゴリラモーフ</v>
          </cell>
        </row>
        <row r="63">
          <cell r="A63" t="str">
            <v>エレファントモーフ</v>
          </cell>
        </row>
        <row r="64">
          <cell r="A64" t="str">
            <v>ホースモーフ</v>
          </cell>
        </row>
        <row r="65">
          <cell r="A65" t="str">
            <v>ベアモーフ</v>
          </cell>
        </row>
        <row r="66">
          <cell r="A66" t="str">
            <v>ボアモーフ</v>
          </cell>
        </row>
        <row r="69">
          <cell r="A69" t="str">
            <v>ヴァーミン</v>
          </cell>
        </row>
        <row r="75">
          <cell r="A75" t="str">
            <v>ダンピール</v>
          </cell>
        </row>
        <row r="76">
          <cell r="A76" t="str">
            <v>アアシマール</v>
          </cell>
        </row>
        <row r="77">
          <cell r="A77" t="str">
            <v>ティーフリング</v>
          </cell>
        </row>
        <row r="80">
          <cell r="A80" t="str">
            <v>インプ</v>
          </cell>
        </row>
        <row r="81">
          <cell r="A81" t="str">
            <v>エンジェル</v>
          </cell>
        </row>
        <row r="82">
          <cell r="A82" t="str">
            <v>フォールン</v>
          </cell>
        </row>
        <row r="83">
          <cell r="A83" t="str">
            <v>アガシオン</v>
          </cell>
        </row>
        <row r="84">
          <cell r="A84" t="str">
            <v>スライム</v>
          </cell>
        </row>
        <row r="85">
          <cell r="A85" t="str">
            <v>サイコポンプ</v>
          </cell>
        </row>
        <row r="86">
          <cell r="A86" t="str">
            <v>ヴァンパイア</v>
          </cell>
        </row>
        <row r="87">
          <cell r="A87" t="str">
            <v>ゾンビ</v>
          </cell>
        </row>
        <row r="88">
          <cell r="A88" t="str">
            <v>グール</v>
          </cell>
        </row>
        <row r="89">
          <cell r="A89" t="str">
            <v>スケルトン</v>
          </cell>
        </row>
        <row r="90">
          <cell r="A90" t="str">
            <v>ゴースト</v>
          </cell>
        </row>
        <row r="92">
          <cell r="A92" t="str">
            <v>オートマン</v>
          </cell>
        </row>
        <row r="94">
          <cell r="A94" t="str">
            <v>エレメンタル</v>
          </cell>
        </row>
        <row r="100">
          <cell r="A100" t="str">
            <v>フレイムヤングドラゴン</v>
          </cell>
        </row>
        <row r="101">
          <cell r="A101" t="str">
            <v>フレイムアダルトドラゴン</v>
          </cell>
        </row>
        <row r="102">
          <cell r="A102" t="str">
            <v>フレイムオールドドラゴン</v>
          </cell>
        </row>
        <row r="103">
          <cell r="A103" t="str">
            <v>フレイムエルダードラゴン</v>
          </cell>
        </row>
        <row r="104">
          <cell r="A104" t="str">
            <v>フレイムエインシャントドラゴン</v>
          </cell>
        </row>
        <row r="108">
          <cell r="A108" t="str">
            <v>ストームヤングドラゴン</v>
          </cell>
        </row>
        <row r="109">
          <cell r="A109" t="str">
            <v>ストームアダルトドラゴン</v>
          </cell>
        </row>
        <row r="110">
          <cell r="A110" t="str">
            <v>ストームオールドドラゴン</v>
          </cell>
        </row>
        <row r="111">
          <cell r="A111" t="str">
            <v>ストームエルダードラゴン</v>
          </cell>
        </row>
        <row r="112">
          <cell r="A112" t="str">
            <v>ストームエインシャントドラゴン</v>
          </cell>
        </row>
        <row r="116">
          <cell r="A116" t="str">
            <v>フロストヤングドラゴン</v>
          </cell>
        </row>
        <row r="117">
          <cell r="A117" t="str">
            <v>フロストアダルトドラゴン</v>
          </cell>
        </row>
        <row r="118">
          <cell r="A118" t="str">
            <v>フロストオールドドラゴン</v>
          </cell>
        </row>
        <row r="119">
          <cell r="A119" t="str">
            <v>フロストエルダードラゴン</v>
          </cell>
        </row>
        <row r="120">
          <cell r="A120" t="str">
            <v>フロストエインシャントドラゴン</v>
          </cell>
        </row>
        <row r="124">
          <cell r="A124" t="str">
            <v>ヴォイドヤングドラゴン</v>
          </cell>
        </row>
        <row r="125">
          <cell r="A125" t="str">
            <v>ヴォイドアダルトドラゴン</v>
          </cell>
        </row>
        <row r="126">
          <cell r="A126" t="str">
            <v>ヴォイドオールドドラゴン</v>
          </cell>
        </row>
        <row r="127">
          <cell r="A127" t="str">
            <v>ヴォイドエルダードラゴン</v>
          </cell>
        </row>
        <row r="128">
          <cell r="A128" t="str">
            <v>ヴォイドエインシャントドラゴン</v>
          </cell>
        </row>
        <row r="133">
          <cell r="A133" t="str">
            <v>ブレイバー</v>
          </cell>
        </row>
        <row r="134">
          <cell r="A134" t="str">
            <v>ブレイカー</v>
          </cell>
        </row>
        <row r="135">
          <cell r="A135" t="str">
            <v>ラセツ</v>
          </cell>
        </row>
        <row r="138">
          <cell r="A138" t="str">
            <v>ガーディアン</v>
          </cell>
        </row>
        <row r="139">
          <cell r="A139" t="str">
            <v>シャットアウター</v>
          </cell>
        </row>
        <row r="140">
          <cell r="A140" t="str">
            <v>イージス</v>
          </cell>
        </row>
        <row r="144">
          <cell r="A144" t="str">
            <v>フェザーフェンサー</v>
          </cell>
        </row>
        <row r="145">
          <cell r="A145" t="str">
            <v>シャットアウター</v>
          </cell>
        </row>
        <row r="146">
          <cell r="A146" t="str">
            <v>イージス</v>
          </cell>
        </row>
        <row r="150">
          <cell r="A150" t="str">
            <v>ソードマスター</v>
          </cell>
        </row>
        <row r="151">
          <cell r="A151" t="str">
            <v>スピアマスター</v>
          </cell>
        </row>
        <row r="152">
          <cell r="A152" t="str">
            <v>ブロウマスター</v>
          </cell>
        </row>
        <row r="153">
          <cell r="A153" t="str">
            <v>シールドマスター</v>
          </cell>
        </row>
        <row r="155">
          <cell r="A155" t="str">
            <v>ソードセイント</v>
          </cell>
        </row>
        <row r="156">
          <cell r="A156" t="str">
            <v>スピアセイント</v>
          </cell>
        </row>
        <row r="157">
          <cell r="A157" t="str">
            <v>ブロウセイント</v>
          </cell>
        </row>
        <row r="158">
          <cell r="A158" t="str">
            <v>シールドセイント</v>
          </cell>
        </row>
        <row r="160">
          <cell r="A160" t="str">
            <v>ウェポンマスター</v>
          </cell>
        </row>
        <row r="162">
          <cell r="A162" t="str">
            <v>ソードゴッドネス</v>
          </cell>
        </row>
        <row r="163">
          <cell r="A163" t="str">
            <v>スピアゴッドネス</v>
          </cell>
        </row>
        <row r="164">
          <cell r="A164" t="str">
            <v>ブロウゴッドネス</v>
          </cell>
        </row>
        <row r="165">
          <cell r="A165" t="str">
            <v>シールドゴッドネス</v>
          </cell>
        </row>
        <row r="168">
          <cell r="A168" t="str">
            <v>アサシン</v>
          </cell>
        </row>
        <row r="169">
          <cell r="A169" t="str">
            <v>マスターアサシン</v>
          </cell>
        </row>
        <row r="170">
          <cell r="A170" t="str">
            <v>トゥルーアサシン</v>
          </cell>
        </row>
        <row r="171">
          <cell r="A171" t="str">
            <v>シーフ</v>
          </cell>
        </row>
        <row r="173">
          <cell r="A173" t="str">
            <v>ニンジャ</v>
          </cell>
        </row>
        <row r="175">
          <cell r="A175" t="str">
            <v>ハンター</v>
          </cell>
        </row>
        <row r="176">
          <cell r="A176" t="str">
            <v>マスターハンター</v>
          </cell>
        </row>
        <row r="177">
          <cell r="A177" t="str">
            <v>トゥルーハンター</v>
          </cell>
        </row>
        <row r="178">
          <cell r="A178" t="str">
            <v>レンジャー</v>
          </cell>
        </row>
        <row r="181">
          <cell r="A181" t="str">
            <v>オーラマスター</v>
          </cell>
        </row>
        <row r="183">
          <cell r="A183" t="str">
            <v>アークウィザード</v>
          </cell>
        </row>
        <row r="184">
          <cell r="A184" t="str">
            <v>ディストラクター</v>
          </cell>
        </row>
        <row r="185">
          <cell r="A185" t="str">
            <v>ディザスター</v>
          </cell>
        </row>
        <row r="188">
          <cell r="A188" t="str">
            <v>キャスター</v>
          </cell>
        </row>
        <row r="189">
          <cell r="A189" t="str">
            <v>キャストマスター</v>
          </cell>
        </row>
        <row r="190">
          <cell r="A190" t="str">
            <v>ワイズマン</v>
          </cell>
        </row>
        <row r="192">
          <cell r="A192" t="str">
            <v>ワードキャスター</v>
          </cell>
        </row>
        <row r="203">
          <cell r="A203" t="str">
            <v>名前</v>
          </cell>
        </row>
        <row r="204">
          <cell r="A204" t="str">
            <v>デヴィル</v>
          </cell>
        </row>
        <row r="205">
          <cell r="A205" t="str">
            <v>フレイムデヴィル</v>
          </cell>
        </row>
        <row r="206">
          <cell r="A206" t="str">
            <v>フロストデヴィル</v>
          </cell>
        </row>
        <row r="207">
          <cell r="A207" t="str">
            <v>エレクトロデヴィル</v>
          </cell>
        </row>
        <row r="209">
          <cell r="A209" t="str">
            <v>アークデヴィル</v>
          </cell>
        </row>
        <row r="210">
          <cell r="A210" t="str">
            <v>ヘルフレイムデヴィル</v>
          </cell>
        </row>
        <row r="211">
          <cell r="A211" t="str">
            <v>ヘルフロストデヴィル</v>
          </cell>
        </row>
        <row r="212">
          <cell r="A212" t="str">
            <v>ヘルエレクトロデヴィル</v>
          </cell>
        </row>
        <row r="214">
          <cell r="A214" t="str">
            <v>アーチデヴィル</v>
          </cell>
        </row>
        <row r="219">
          <cell r="A219" t="str">
            <v>攻撃</v>
          </cell>
        </row>
        <row r="220">
          <cell r="A220" t="str">
            <v>フレイムドラゴニュート</v>
          </cell>
        </row>
        <row r="221">
          <cell r="A221" t="str">
            <v>フレイムドラゴンリニーヂュ</v>
          </cell>
        </row>
        <row r="222">
          <cell r="A222" t="str">
            <v>フレイムドラゴンブラッド</v>
          </cell>
        </row>
        <row r="223">
          <cell r="A223" t="str">
            <v>フレイムドラゴンソード</v>
          </cell>
        </row>
        <row r="224">
          <cell r="A224" t="str">
            <v>フレイムドラゴンソードマスター</v>
          </cell>
        </row>
        <row r="226">
          <cell r="A226" t="str">
            <v>魔力</v>
          </cell>
        </row>
        <row r="227">
          <cell r="A227" t="str">
            <v>フロストドラゴニュート</v>
          </cell>
        </row>
        <row r="228">
          <cell r="A228" t="str">
            <v>フロストドラゴンリニーヂュ</v>
          </cell>
        </row>
        <row r="229">
          <cell r="A229" t="str">
            <v>フロストドラゴンブラッド</v>
          </cell>
        </row>
        <row r="230">
          <cell r="A230" t="str">
            <v>フロストドラゴンソード</v>
          </cell>
        </row>
        <row r="231">
          <cell r="A231" t="str">
            <v>フロストドラゴンソードマスター</v>
          </cell>
        </row>
        <row r="233">
          <cell r="A233" t="str">
            <v>回避</v>
          </cell>
        </row>
        <row r="234">
          <cell r="A234" t="str">
            <v>ブラックドラゴニュート</v>
          </cell>
        </row>
        <row r="235">
          <cell r="A235" t="str">
            <v>ブラックドラゴンリニーヂュ</v>
          </cell>
        </row>
        <row r="236">
          <cell r="A236" t="str">
            <v>ブラックドラゴンブラッド</v>
          </cell>
        </row>
        <row r="237">
          <cell r="A237" t="str">
            <v>ブラックドラゴンソード</v>
          </cell>
        </row>
        <row r="238">
          <cell r="A238" t="str">
            <v>ブラックドラゴンソードマスター</v>
          </cell>
        </row>
        <row r="240">
          <cell r="A240" t="str">
            <v>回避</v>
          </cell>
        </row>
        <row r="241">
          <cell r="A241" t="str">
            <v>イービルドラゴニュート</v>
          </cell>
        </row>
        <row r="242">
          <cell r="A242" t="str">
            <v>イービルドラゴンリニーヂュ</v>
          </cell>
        </row>
        <row r="243">
          <cell r="A243" t="str">
            <v>イービルドラゴンブラッド</v>
          </cell>
        </row>
        <row r="244">
          <cell r="A244" t="str">
            <v>イービルドラゴンソード</v>
          </cell>
        </row>
        <row r="245">
          <cell r="A245" t="str">
            <v>イービルドラゴンソードマスター</v>
          </cell>
        </row>
        <row r="256">
          <cell r="A256" t="str">
            <v>ウルフ</v>
          </cell>
        </row>
        <row r="257">
          <cell r="A257" t="str">
            <v>ハウンド</v>
          </cell>
        </row>
        <row r="258">
          <cell r="A258" t="str">
            <v>ビー</v>
          </cell>
        </row>
        <row r="259">
          <cell r="A259" t="str">
            <v>スネーク</v>
          </cell>
        </row>
        <row r="260">
          <cell r="A260" t="str">
            <v>ボア</v>
          </cell>
        </row>
        <row r="264">
          <cell r="A264" t="str">
            <v>モンスタークイーン</v>
          </cell>
        </row>
        <row r="265">
          <cell r="A265" t="str">
            <v>モンスターキング</v>
          </cell>
        </row>
        <row r="267">
          <cell r="A267" t="str">
            <v>スラッグ</v>
          </cell>
        </row>
        <row r="280">
          <cell r="A280" t="str">
            <v>オートマトン</v>
          </cell>
        </row>
        <row r="284">
          <cell r="A284" t="str">
            <v>ジャガーノート</v>
          </cell>
        </row>
        <row r="286">
          <cell r="A286" t="str">
            <v>プラクティスモード</v>
          </cell>
        </row>
        <row r="287">
          <cell r="A287" t="str">
            <v>フォートレスモード</v>
          </cell>
        </row>
        <row r="288">
          <cell r="A288" t="str">
            <v>ランナーモード</v>
          </cell>
        </row>
        <row r="289">
          <cell r="A289" t="str">
            <v>エアロモード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68F9-480F-4A4C-A9F1-828525A97DDC}">
  <dimension ref="A1:BJ80"/>
  <sheetViews>
    <sheetView workbookViewId="0">
      <pane xSplit="5" ySplit="17" topLeftCell="F30" activePane="bottomRight" state="frozen"/>
      <selection pane="topRight" activeCell="F1" sqref="F1"/>
      <selection pane="bottomLeft" activeCell="A17" sqref="A17"/>
      <selection pane="bottomRight" activeCell="H60" sqref="H60"/>
    </sheetView>
  </sheetViews>
  <sheetFormatPr defaultRowHeight="18.75" outlineLevelRow="1" outlineLevelCol="1" x14ac:dyDescent="0.4"/>
  <cols>
    <col min="1" max="2" width="8.75" customWidth="1"/>
    <col min="3" max="3" width="4.75" customWidth="1"/>
    <col min="4" max="4" width="11.5" customWidth="1"/>
    <col min="5" max="5" width="3.5" bestFit="1" customWidth="1"/>
    <col min="6" max="6" width="4.5" bestFit="1" customWidth="1"/>
    <col min="7" max="8" width="5.25" customWidth="1" outlineLevel="1"/>
    <col min="9" max="9" width="5.25" style="25" customWidth="1" outlineLevel="1"/>
    <col min="10" max="13" width="5.25" customWidth="1" outlineLevel="1"/>
    <col min="14" max="14" width="4.875" style="17" customWidth="1"/>
    <col min="15" max="20" width="4.875" style="17" hidden="1" customWidth="1" outlineLevel="1"/>
    <col min="21" max="26" width="4.875" hidden="1" customWidth="1" outlineLevel="1"/>
    <col min="27" max="27" width="5" hidden="1" customWidth="1" outlineLevel="1"/>
    <col min="28" max="28" width="6.625" hidden="1" customWidth="1" outlineLevel="1"/>
    <col min="29" max="29" width="5.25" bestFit="1" customWidth="1" collapsed="1"/>
    <col min="30" max="35" width="5.25" hidden="1" customWidth="1" outlineLevel="1"/>
    <col min="36" max="36" width="5.5" hidden="1" customWidth="1" outlineLevel="1"/>
    <col min="37" max="43" width="5.25" hidden="1" customWidth="1" outlineLevel="1"/>
    <col min="44" max="44" width="9" collapsed="1"/>
    <col min="54" max="55" width="7.625" bestFit="1" customWidth="1"/>
    <col min="56" max="56" width="5.5" style="41" customWidth="1"/>
    <col min="57" max="57" width="7.625" bestFit="1" customWidth="1"/>
    <col min="58" max="58" width="6" style="41" bestFit="1" customWidth="1"/>
    <col min="59" max="59" width="7.625" bestFit="1" customWidth="1"/>
    <col min="60" max="60" width="6" style="41" bestFit="1" customWidth="1"/>
    <col min="61" max="61" width="7.625" bestFit="1" customWidth="1"/>
    <col min="62" max="62" width="6" style="41" bestFit="1" customWidth="1"/>
  </cols>
  <sheetData>
    <row r="1" spans="1:62" s="10" customFormat="1" ht="30" customHeight="1" thickBot="1" x14ac:dyDescent="0.25">
      <c r="A1" s="10" t="s">
        <v>13</v>
      </c>
      <c r="B1" s="10" t="s">
        <v>15</v>
      </c>
      <c r="C1" s="10" t="s">
        <v>30</v>
      </c>
      <c r="D1" s="10" t="s">
        <v>25</v>
      </c>
      <c r="E1" s="10" t="s">
        <v>17</v>
      </c>
      <c r="F1" s="22" t="s">
        <v>18</v>
      </c>
      <c r="G1" s="22" t="s">
        <v>19</v>
      </c>
      <c r="H1" s="22" t="s">
        <v>20</v>
      </c>
      <c r="I1" s="26" t="s">
        <v>21</v>
      </c>
      <c r="J1" s="22" t="s">
        <v>22</v>
      </c>
      <c r="K1" s="22" t="s">
        <v>23</v>
      </c>
      <c r="L1" s="22" t="s">
        <v>24</v>
      </c>
      <c r="M1" s="22" t="s">
        <v>31</v>
      </c>
      <c r="N1" s="20" t="s">
        <v>137</v>
      </c>
      <c r="O1" s="20" t="s">
        <v>170</v>
      </c>
      <c r="P1" s="20" t="s">
        <v>124</v>
      </c>
      <c r="Q1" s="20" t="s">
        <v>125</v>
      </c>
      <c r="R1" s="20" t="s">
        <v>126</v>
      </c>
      <c r="S1" s="20" t="s">
        <v>127</v>
      </c>
      <c r="T1" s="20" t="s">
        <v>129</v>
      </c>
      <c r="U1" s="20" t="s">
        <v>130</v>
      </c>
      <c r="V1" s="20" t="s">
        <v>132</v>
      </c>
      <c r="W1" s="20" t="s">
        <v>133</v>
      </c>
      <c r="X1" s="20" t="s">
        <v>134</v>
      </c>
      <c r="Y1" s="20" t="s">
        <v>135</v>
      </c>
      <c r="Z1" s="20" t="s">
        <v>136</v>
      </c>
      <c r="AA1" s="20" t="s">
        <v>148</v>
      </c>
      <c r="AB1" s="20" t="s">
        <v>149</v>
      </c>
      <c r="AC1" s="27" t="s">
        <v>240</v>
      </c>
      <c r="AD1" s="27" t="s">
        <v>2</v>
      </c>
      <c r="AE1" s="27" t="s">
        <v>3</v>
      </c>
      <c r="AF1" s="27" t="s">
        <v>108</v>
      </c>
      <c r="AG1" s="27" t="s">
        <v>107</v>
      </c>
      <c r="AH1" s="28" t="s">
        <v>5</v>
      </c>
      <c r="AI1" s="28" t="s">
        <v>4</v>
      </c>
      <c r="AJ1" s="29" t="s">
        <v>219</v>
      </c>
      <c r="AK1" s="29" t="s">
        <v>220</v>
      </c>
      <c r="AL1" s="29" t="s">
        <v>221</v>
      </c>
      <c r="AM1" s="29" t="s">
        <v>222</v>
      </c>
      <c r="AN1" s="30" t="s">
        <v>223</v>
      </c>
      <c r="AO1" s="30" t="s">
        <v>11</v>
      </c>
      <c r="AP1" s="30" t="s">
        <v>106</v>
      </c>
      <c r="AQ1" s="30" t="s">
        <v>12</v>
      </c>
      <c r="AR1" s="39" t="s">
        <v>248</v>
      </c>
      <c r="AS1" s="39" t="s">
        <v>249</v>
      </c>
      <c r="AT1" s="39" t="s">
        <v>250</v>
      </c>
      <c r="AU1" s="39" t="s">
        <v>251</v>
      </c>
      <c r="AV1" s="39" t="s">
        <v>252</v>
      </c>
      <c r="AW1" s="39" t="s">
        <v>253</v>
      </c>
      <c r="AX1" s="39" t="s">
        <v>254</v>
      </c>
      <c r="AY1" s="39" t="s">
        <v>255</v>
      </c>
      <c r="AZ1" s="39" t="s">
        <v>256</v>
      </c>
      <c r="BA1" s="39" t="s">
        <v>257</v>
      </c>
      <c r="BB1" s="10" t="s">
        <v>258</v>
      </c>
      <c r="BC1" s="10" t="s">
        <v>259</v>
      </c>
      <c r="BD1" s="40" t="s">
        <v>260</v>
      </c>
      <c r="BE1" s="10" t="s">
        <v>261</v>
      </c>
      <c r="BF1" s="40" t="s">
        <v>262</v>
      </c>
      <c r="BG1" s="10" t="s">
        <v>263</v>
      </c>
      <c r="BH1" s="40" t="s">
        <v>264</v>
      </c>
      <c r="BI1" s="10" t="s">
        <v>265</v>
      </c>
      <c r="BJ1" s="40" t="s">
        <v>266</v>
      </c>
    </row>
    <row r="2" spans="1:62" s="10" customFormat="1" ht="14.25" hidden="1" customHeight="1" outlineLevel="1" x14ac:dyDescent="0.4">
      <c r="F2" s="22"/>
      <c r="G2" s="22"/>
      <c r="H2" s="22"/>
      <c r="I2" s="26"/>
      <c r="J2" s="22"/>
      <c r="K2" s="22"/>
      <c r="L2" s="22"/>
      <c r="M2" s="22"/>
      <c r="N2">
        <v>50</v>
      </c>
      <c r="O2">
        <v>51</v>
      </c>
      <c r="P2">
        <v>52</v>
      </c>
      <c r="Q2">
        <v>53</v>
      </c>
      <c r="R2">
        <v>54</v>
      </c>
      <c r="S2">
        <v>55</v>
      </c>
      <c r="T2">
        <v>56</v>
      </c>
      <c r="U2">
        <v>57</v>
      </c>
      <c r="V2">
        <v>58</v>
      </c>
      <c r="W2">
        <v>59</v>
      </c>
      <c r="X2">
        <v>60</v>
      </c>
      <c r="Y2">
        <v>61</v>
      </c>
      <c r="Z2">
        <v>62</v>
      </c>
      <c r="AA2">
        <v>63</v>
      </c>
      <c r="AB2">
        <v>64</v>
      </c>
      <c r="AC2" s="31" t="s">
        <v>0</v>
      </c>
      <c r="AD2" s="32" t="s">
        <v>225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BD2" s="40"/>
      <c r="BF2" s="40"/>
      <c r="BH2" s="40"/>
      <c r="BJ2" s="40"/>
    </row>
    <row r="3" spans="1:62" s="10" customFormat="1" ht="14.25" hidden="1" customHeight="1" outlineLevel="1" x14ac:dyDescent="0.4">
      <c r="F3" s="22"/>
      <c r="G3" s="22"/>
      <c r="H3" s="22"/>
      <c r="I3" s="26"/>
      <c r="J3" s="22"/>
      <c r="K3" s="22"/>
      <c r="L3" s="22"/>
      <c r="M3" s="22"/>
      <c r="N3" s="17"/>
      <c r="O3" s="17"/>
      <c r="P3" s="17"/>
      <c r="Q3" s="17"/>
      <c r="R3" s="17"/>
      <c r="S3" s="17"/>
      <c r="T3" s="17"/>
      <c r="U3"/>
      <c r="V3"/>
      <c r="W3"/>
      <c r="X3"/>
      <c r="Y3"/>
      <c r="Z3"/>
      <c r="AA3"/>
      <c r="AB3"/>
      <c r="AC3" s="31" t="s">
        <v>2</v>
      </c>
      <c r="AD3" s="32" t="s">
        <v>226</v>
      </c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BD3" s="40"/>
      <c r="BF3" s="40"/>
      <c r="BH3" s="40"/>
      <c r="BJ3" s="40"/>
    </row>
    <row r="4" spans="1:62" s="10" customFormat="1" ht="14.25" hidden="1" customHeight="1" outlineLevel="1" x14ac:dyDescent="0.4">
      <c r="F4" s="22"/>
      <c r="G4" s="22"/>
      <c r="H4" s="22"/>
      <c r="I4" s="26"/>
      <c r="J4" s="22"/>
      <c r="K4" s="22"/>
      <c r="L4" s="22"/>
      <c r="M4" s="22"/>
      <c r="N4" s="17"/>
      <c r="O4" s="17"/>
      <c r="P4" s="17"/>
      <c r="Q4" s="17"/>
      <c r="R4" s="17"/>
      <c r="S4" s="17"/>
      <c r="T4" s="17"/>
      <c r="U4"/>
      <c r="V4"/>
      <c r="W4"/>
      <c r="X4"/>
      <c r="Y4"/>
      <c r="Z4"/>
      <c r="AA4"/>
      <c r="AB4"/>
      <c r="AC4" s="31" t="s">
        <v>3</v>
      </c>
      <c r="AD4" s="32" t="s">
        <v>227</v>
      </c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BD4" s="40"/>
      <c r="BF4" s="40"/>
      <c r="BH4" s="40"/>
      <c r="BJ4" s="40"/>
    </row>
    <row r="5" spans="1:62" s="10" customFormat="1" ht="14.25" hidden="1" customHeight="1" outlineLevel="1" x14ac:dyDescent="0.4">
      <c r="F5" s="22"/>
      <c r="G5" s="22"/>
      <c r="H5" s="22"/>
      <c r="I5" s="26"/>
      <c r="J5" s="22"/>
      <c r="K5" s="22"/>
      <c r="L5" s="22"/>
      <c r="M5" s="22"/>
      <c r="N5" s="17"/>
      <c r="O5" s="17"/>
      <c r="P5" s="17"/>
      <c r="Q5" s="17"/>
      <c r="R5" s="17"/>
      <c r="S5" s="17"/>
      <c r="T5" s="17"/>
      <c r="U5"/>
      <c r="V5"/>
      <c r="W5"/>
      <c r="X5"/>
      <c r="Y5"/>
      <c r="Z5"/>
      <c r="AA5"/>
      <c r="AB5"/>
      <c r="AC5" s="31" t="s">
        <v>108</v>
      </c>
      <c r="AD5" s="32" t="s">
        <v>228</v>
      </c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BD5" s="40"/>
      <c r="BF5" s="40"/>
      <c r="BH5" s="40"/>
      <c r="BJ5" s="40"/>
    </row>
    <row r="6" spans="1:62" s="10" customFormat="1" ht="14.25" hidden="1" customHeight="1" outlineLevel="1" x14ac:dyDescent="0.4">
      <c r="F6" s="22"/>
      <c r="G6" s="22"/>
      <c r="H6" s="22"/>
      <c r="I6" s="26"/>
      <c r="J6" s="22"/>
      <c r="K6" s="22"/>
      <c r="L6" s="22"/>
      <c r="M6" s="22"/>
      <c r="N6" s="17"/>
      <c r="O6" s="17"/>
      <c r="P6" s="17"/>
      <c r="Q6" s="17"/>
      <c r="R6" s="17"/>
      <c r="S6" s="17"/>
      <c r="T6" s="17"/>
      <c r="U6"/>
      <c r="V6"/>
      <c r="W6"/>
      <c r="X6"/>
      <c r="Y6"/>
      <c r="Z6"/>
      <c r="AA6"/>
      <c r="AB6"/>
      <c r="AC6" s="31" t="s">
        <v>107</v>
      </c>
      <c r="AD6" s="32" t="s">
        <v>229</v>
      </c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BD6" s="40"/>
      <c r="BF6" s="40"/>
      <c r="BH6" s="40"/>
      <c r="BJ6" s="40"/>
    </row>
    <row r="7" spans="1:62" s="10" customFormat="1" ht="14.25" hidden="1" customHeight="1" outlineLevel="1" x14ac:dyDescent="0.4">
      <c r="F7" s="22"/>
      <c r="G7" s="22"/>
      <c r="H7" s="22"/>
      <c r="I7" s="26"/>
      <c r="J7" s="22"/>
      <c r="K7" s="22"/>
      <c r="L7" s="22"/>
      <c r="M7" s="22"/>
      <c r="N7" s="17"/>
      <c r="O7" s="17"/>
      <c r="P7" s="17"/>
      <c r="Q7" s="17"/>
      <c r="R7" s="17"/>
      <c r="S7" s="17"/>
      <c r="T7" s="17"/>
      <c r="U7"/>
      <c r="V7"/>
      <c r="W7"/>
      <c r="X7"/>
      <c r="Y7"/>
      <c r="Z7"/>
      <c r="AA7"/>
      <c r="AB7"/>
      <c r="AC7" s="33" t="s">
        <v>5</v>
      </c>
      <c r="AD7" s="34" t="s">
        <v>230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BD7" s="40"/>
      <c r="BF7" s="40"/>
      <c r="BH7" s="40"/>
      <c r="BJ7" s="40"/>
    </row>
    <row r="8" spans="1:62" s="10" customFormat="1" ht="14.25" hidden="1" customHeight="1" outlineLevel="1" x14ac:dyDescent="0.4">
      <c r="F8" s="22"/>
      <c r="G8" s="22"/>
      <c r="H8" s="22"/>
      <c r="I8" s="26"/>
      <c r="J8" s="22"/>
      <c r="K8" s="22"/>
      <c r="L8" s="22"/>
      <c r="M8" s="22"/>
      <c r="N8" s="17"/>
      <c r="O8" s="17"/>
      <c r="P8" s="17"/>
      <c r="Q8" s="17"/>
      <c r="R8" s="17"/>
      <c r="S8" s="17"/>
      <c r="T8" s="17"/>
      <c r="U8"/>
      <c r="V8"/>
      <c r="W8"/>
      <c r="X8"/>
      <c r="Y8"/>
      <c r="Z8"/>
      <c r="AA8"/>
      <c r="AB8"/>
      <c r="AC8" s="33" t="s">
        <v>4</v>
      </c>
      <c r="AD8" s="34" t="s">
        <v>231</v>
      </c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BD8" s="40"/>
      <c r="BF8" s="40"/>
      <c r="BH8" s="40"/>
      <c r="BJ8" s="40"/>
    </row>
    <row r="9" spans="1:62" s="10" customFormat="1" ht="14.25" hidden="1" customHeight="1" outlineLevel="1" x14ac:dyDescent="0.4">
      <c r="F9" s="22"/>
      <c r="G9" s="22"/>
      <c r="H9" s="22"/>
      <c r="I9" s="26"/>
      <c r="J9" s="22"/>
      <c r="K9" s="22"/>
      <c r="L9" s="22"/>
      <c r="M9" s="22"/>
      <c r="N9" s="17"/>
      <c r="O9" s="17"/>
      <c r="P9" s="17"/>
      <c r="Q9" s="17"/>
      <c r="R9" s="17"/>
      <c r="S9" s="17"/>
      <c r="T9" s="17"/>
      <c r="U9"/>
      <c r="V9"/>
      <c r="W9"/>
      <c r="X9"/>
      <c r="Y9"/>
      <c r="Z9"/>
      <c r="AA9"/>
      <c r="AB9"/>
      <c r="AC9" s="35" t="s">
        <v>219</v>
      </c>
      <c r="AD9" s="36" t="s">
        <v>232</v>
      </c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BD9" s="40"/>
      <c r="BF9" s="40"/>
      <c r="BH9" s="40"/>
      <c r="BJ9" s="40"/>
    </row>
    <row r="10" spans="1:62" s="10" customFormat="1" ht="14.25" hidden="1" customHeight="1" outlineLevel="1" x14ac:dyDescent="0.4">
      <c r="F10" s="22"/>
      <c r="G10" s="22"/>
      <c r="H10" s="22"/>
      <c r="I10" s="26"/>
      <c r="J10" s="22"/>
      <c r="K10" s="22"/>
      <c r="L10" s="22"/>
      <c r="M10" s="22"/>
      <c r="N10" s="17"/>
      <c r="O10" s="17"/>
      <c r="P10" s="17"/>
      <c r="Q10" s="17"/>
      <c r="R10" s="17"/>
      <c r="S10" s="17"/>
      <c r="T10" s="17"/>
      <c r="U10"/>
      <c r="V10"/>
      <c r="W10"/>
      <c r="X10"/>
      <c r="Y10"/>
      <c r="Z10"/>
      <c r="AA10"/>
      <c r="AB10"/>
      <c r="AC10" s="35" t="s">
        <v>220</v>
      </c>
      <c r="AD10" s="36" t="s">
        <v>233</v>
      </c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BD10" s="40"/>
      <c r="BF10" s="40"/>
      <c r="BH10" s="40"/>
      <c r="BJ10" s="40"/>
    </row>
    <row r="11" spans="1:62" s="10" customFormat="1" ht="14.25" hidden="1" customHeight="1" outlineLevel="1" x14ac:dyDescent="0.4">
      <c r="F11" s="22"/>
      <c r="G11" s="22"/>
      <c r="H11" s="22"/>
      <c r="I11" s="26"/>
      <c r="J11" s="22"/>
      <c r="K11" s="22"/>
      <c r="L11" s="22"/>
      <c r="M11" s="22"/>
      <c r="N11" s="17"/>
      <c r="O11" s="17"/>
      <c r="P11" s="17"/>
      <c r="Q11" s="17"/>
      <c r="R11" s="17"/>
      <c r="S11" s="17"/>
      <c r="T11" s="17"/>
      <c r="U11"/>
      <c r="V11"/>
      <c r="W11"/>
      <c r="X11"/>
      <c r="Y11"/>
      <c r="Z11"/>
      <c r="AA11"/>
      <c r="AB11"/>
      <c r="AC11" s="35" t="s">
        <v>221</v>
      </c>
      <c r="AD11" s="36" t="s">
        <v>234</v>
      </c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BD11" s="40"/>
      <c r="BF11" s="40"/>
      <c r="BH11" s="40"/>
      <c r="BJ11" s="40"/>
    </row>
    <row r="12" spans="1:62" s="10" customFormat="1" ht="14.25" hidden="1" customHeight="1" outlineLevel="1" x14ac:dyDescent="0.4">
      <c r="F12" s="22"/>
      <c r="G12" s="22"/>
      <c r="H12" s="22"/>
      <c r="I12" s="26"/>
      <c r="J12" s="22"/>
      <c r="K12" s="22"/>
      <c r="L12" s="22"/>
      <c r="M12" s="22"/>
      <c r="N12" s="17"/>
      <c r="O12" s="17"/>
      <c r="P12" s="17"/>
      <c r="Q12" s="17"/>
      <c r="R12" s="17"/>
      <c r="S12" s="17"/>
      <c r="T12" s="17"/>
      <c r="U12"/>
      <c r="V12"/>
      <c r="W12"/>
      <c r="X12"/>
      <c r="Y12"/>
      <c r="Z12"/>
      <c r="AA12"/>
      <c r="AB12"/>
      <c r="AC12" s="35" t="s">
        <v>222</v>
      </c>
      <c r="AD12" s="36" t="s">
        <v>235</v>
      </c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BD12" s="40"/>
      <c r="BF12" s="40"/>
      <c r="BH12" s="40"/>
      <c r="BJ12" s="40"/>
    </row>
    <row r="13" spans="1:62" s="10" customFormat="1" ht="14.25" hidden="1" customHeight="1" outlineLevel="1" x14ac:dyDescent="0.4">
      <c r="F13" s="22"/>
      <c r="G13" s="22"/>
      <c r="H13" s="22"/>
      <c r="I13" s="26"/>
      <c r="J13" s="22"/>
      <c r="K13" s="22"/>
      <c r="L13" s="22"/>
      <c r="M13" s="22"/>
      <c r="N13" s="17"/>
      <c r="O13" s="17"/>
      <c r="P13" s="17"/>
      <c r="Q13" s="17"/>
      <c r="R13" s="17"/>
      <c r="S13" s="17"/>
      <c r="T13" s="17"/>
      <c r="U13"/>
      <c r="V13"/>
      <c r="W13"/>
      <c r="X13"/>
      <c r="Y13"/>
      <c r="Z13"/>
      <c r="AA13"/>
      <c r="AB13"/>
      <c r="AC13" s="37" t="s">
        <v>223</v>
      </c>
      <c r="AD13" s="38" t="s">
        <v>236</v>
      </c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BD13" s="40"/>
      <c r="BF13" s="40"/>
      <c r="BH13" s="40"/>
      <c r="BJ13" s="40"/>
    </row>
    <row r="14" spans="1:62" s="10" customFormat="1" ht="14.25" hidden="1" customHeight="1" outlineLevel="1" x14ac:dyDescent="0.4">
      <c r="F14" s="22"/>
      <c r="G14" s="22"/>
      <c r="H14" s="22"/>
      <c r="I14" s="26"/>
      <c r="J14" s="22"/>
      <c r="K14" s="22"/>
      <c r="L14" s="22"/>
      <c r="M14" s="22"/>
      <c r="N14" s="17"/>
      <c r="O14" s="17"/>
      <c r="P14" s="17"/>
      <c r="Q14" s="17"/>
      <c r="R14" s="17"/>
      <c r="S14" s="17"/>
      <c r="T14" s="17"/>
      <c r="U14"/>
      <c r="V14"/>
      <c r="W14"/>
      <c r="X14"/>
      <c r="Y14"/>
      <c r="Z14"/>
      <c r="AA14"/>
      <c r="AB14"/>
      <c r="AC14" s="37" t="s">
        <v>11</v>
      </c>
      <c r="AD14" s="38" t="s">
        <v>237</v>
      </c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BD14" s="40"/>
      <c r="BF14" s="40"/>
      <c r="BH14" s="40"/>
      <c r="BJ14" s="40"/>
    </row>
    <row r="15" spans="1:62" s="10" customFormat="1" ht="14.25" hidden="1" customHeight="1" outlineLevel="1" x14ac:dyDescent="0.4">
      <c r="F15" s="22"/>
      <c r="G15" s="22"/>
      <c r="H15" s="22"/>
      <c r="I15" s="26"/>
      <c r="J15" s="22"/>
      <c r="K15" s="22"/>
      <c r="L15" s="22"/>
      <c r="M15" s="22"/>
      <c r="N15" s="17"/>
      <c r="O15" s="17"/>
      <c r="P15" s="17"/>
      <c r="Q15" s="17"/>
      <c r="R15" s="17"/>
      <c r="S15" s="17"/>
      <c r="T15" s="17"/>
      <c r="U15"/>
      <c r="V15"/>
      <c r="W15"/>
      <c r="X15"/>
      <c r="Y15"/>
      <c r="Z15"/>
      <c r="AA15"/>
      <c r="AB15"/>
      <c r="AC15" s="37" t="s">
        <v>106</v>
      </c>
      <c r="AD15" s="38" t="s">
        <v>238</v>
      </c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BD15" s="40"/>
      <c r="BF15" s="40"/>
      <c r="BH15" s="40"/>
      <c r="BJ15" s="40"/>
    </row>
    <row r="16" spans="1:62" s="10" customFormat="1" ht="14.25" hidden="1" customHeight="1" outlineLevel="1" x14ac:dyDescent="0.4">
      <c r="F16" s="22"/>
      <c r="G16" s="22"/>
      <c r="H16" s="22"/>
      <c r="I16" s="26"/>
      <c r="J16" s="22"/>
      <c r="K16" s="22"/>
      <c r="L16" s="22"/>
      <c r="M16" s="22"/>
      <c r="N16" s="17"/>
      <c r="O16" s="17"/>
      <c r="P16" s="17"/>
      <c r="Q16" s="17"/>
      <c r="R16" s="17"/>
      <c r="S16" s="17"/>
      <c r="T16" s="17"/>
      <c r="U16"/>
      <c r="V16"/>
      <c r="W16"/>
      <c r="X16"/>
      <c r="Y16"/>
      <c r="Z16"/>
      <c r="AA16"/>
      <c r="AB16"/>
      <c r="AC16" s="37" t="s">
        <v>12</v>
      </c>
      <c r="AD16" s="38" t="s">
        <v>239</v>
      </c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BD16" s="40"/>
      <c r="BF16" s="40"/>
      <c r="BH16" s="40"/>
      <c r="BJ16" s="40"/>
    </row>
    <row r="17" spans="1:43" collapsed="1" x14ac:dyDescent="0.4"/>
    <row r="18" spans="1:43" x14ac:dyDescent="0.4">
      <c r="A18" t="s">
        <v>27</v>
      </c>
      <c r="B18" t="s">
        <v>29</v>
      </c>
      <c r="C18" t="s">
        <v>53</v>
      </c>
      <c r="D18" t="str">
        <f>SUM(AC18:AQ18,F18:L18)&amp;"/"&amp;SUM(F18:L18)&amp;"/"&amp;SUM(AC18:AQ18)</f>
        <v>710/460/250</v>
      </c>
      <c r="E18">
        <v>1</v>
      </c>
      <c r="F18">
        <v>85</v>
      </c>
      <c r="G18">
        <v>90</v>
      </c>
      <c r="H18">
        <v>80</v>
      </c>
      <c r="I18" s="25">
        <v>25</v>
      </c>
      <c r="J18">
        <v>50</v>
      </c>
      <c r="K18">
        <v>55</v>
      </c>
      <c r="L18">
        <v>75</v>
      </c>
      <c r="AC18">
        <v>75</v>
      </c>
      <c r="AD18">
        <v>50</v>
      </c>
      <c r="AE18">
        <v>25</v>
      </c>
      <c r="AF18">
        <v>25</v>
      </c>
      <c r="AG18">
        <v>25</v>
      </c>
      <c r="AI18">
        <v>25</v>
      </c>
      <c r="AN18">
        <v>25</v>
      </c>
    </row>
    <row r="19" spans="1:43" x14ac:dyDescent="0.4">
      <c r="A19" t="s">
        <v>177</v>
      </c>
      <c r="B19" t="s">
        <v>179</v>
      </c>
      <c r="C19" t="s">
        <v>53</v>
      </c>
      <c r="D19" t="str">
        <f>SUM(AC19:AQ19,F19:L19)&amp;"/"&amp;SUM(F19:L19)&amp;"/"&amp;SUM(AC19:AQ19)</f>
        <v>710/460/250</v>
      </c>
      <c r="E19">
        <v>1</v>
      </c>
      <c r="F19">
        <v>85</v>
      </c>
      <c r="G19">
        <v>80</v>
      </c>
      <c r="H19">
        <v>90</v>
      </c>
      <c r="I19" s="25">
        <v>25</v>
      </c>
      <c r="J19">
        <v>55</v>
      </c>
      <c r="K19">
        <v>50</v>
      </c>
      <c r="L19">
        <v>75</v>
      </c>
      <c r="AC19">
        <v>100</v>
      </c>
      <c r="AE19">
        <v>25</v>
      </c>
      <c r="AF19">
        <v>25</v>
      </c>
      <c r="AG19">
        <v>25</v>
      </c>
      <c r="AI19">
        <v>25</v>
      </c>
      <c r="AN19">
        <v>50</v>
      </c>
    </row>
    <row r="20" spans="1:43" x14ac:dyDescent="0.4">
      <c r="A20" t="s">
        <v>178</v>
      </c>
      <c r="B20" t="s">
        <v>180</v>
      </c>
      <c r="C20" t="s">
        <v>53</v>
      </c>
      <c r="D20" t="str">
        <f>SUM(AC20:AQ20,F20:L20)&amp;"/"&amp;SUM(F20:L20)&amp;"/"&amp;SUM(AC20:AQ20)</f>
        <v>710/460/250</v>
      </c>
      <c r="E20">
        <v>1</v>
      </c>
      <c r="F20">
        <v>85</v>
      </c>
      <c r="G20">
        <v>80</v>
      </c>
      <c r="H20">
        <v>55</v>
      </c>
      <c r="I20" s="25">
        <v>25</v>
      </c>
      <c r="J20">
        <v>50</v>
      </c>
      <c r="K20">
        <v>90</v>
      </c>
      <c r="L20">
        <v>75</v>
      </c>
      <c r="AC20">
        <v>50</v>
      </c>
      <c r="AD20">
        <v>50</v>
      </c>
      <c r="AE20">
        <v>25</v>
      </c>
      <c r="AF20">
        <v>50</v>
      </c>
      <c r="AG20">
        <v>25</v>
      </c>
      <c r="AI20">
        <v>25</v>
      </c>
      <c r="AN20">
        <v>25</v>
      </c>
    </row>
    <row r="21" spans="1:43" x14ac:dyDescent="0.4">
      <c r="C21" t="s">
        <v>53</v>
      </c>
      <c r="D21" t="str">
        <f>SUM(AC21:AQ21,F21:L21)&amp;"/"&amp;SUM(F21:L21)&amp;"/"&amp;SUM(AC21:AQ21)</f>
        <v>0/0/0</v>
      </c>
      <c r="E21">
        <v>1</v>
      </c>
    </row>
    <row r="22" spans="1:43" x14ac:dyDescent="0.4">
      <c r="A22" t="s">
        <v>247</v>
      </c>
      <c r="B22" t="s">
        <v>32</v>
      </c>
      <c r="C22" t="s">
        <v>53</v>
      </c>
      <c r="D22" t="str">
        <f>SUM(AC22:AQ22,F22:L22)&amp;"/"&amp;SUM(F22:L22)&amp;"/"&amp;SUM(AC22:AQ22)</f>
        <v>710/445/265</v>
      </c>
      <c r="E22">
        <v>1</v>
      </c>
      <c r="F22">
        <v>75</v>
      </c>
      <c r="G22">
        <v>75</v>
      </c>
      <c r="H22">
        <v>50</v>
      </c>
      <c r="I22" s="25">
        <v>25</v>
      </c>
      <c r="J22">
        <v>50</v>
      </c>
      <c r="K22">
        <v>85</v>
      </c>
      <c r="L22">
        <v>85</v>
      </c>
      <c r="AD22">
        <v>25</v>
      </c>
      <c r="AF22">
        <v>50</v>
      </c>
      <c r="AG22">
        <v>25</v>
      </c>
      <c r="AH22">
        <v>90</v>
      </c>
      <c r="AI22">
        <v>75</v>
      </c>
    </row>
    <row r="23" spans="1:43" x14ac:dyDescent="0.4">
      <c r="A23" t="s">
        <v>34</v>
      </c>
      <c r="B23" t="s">
        <v>38</v>
      </c>
      <c r="C23" t="s">
        <v>53</v>
      </c>
      <c r="D23" t="str">
        <f>SUM(AC23:AQ23,F23:L23)&amp;"/"&amp;SUM(F23:L23)&amp;"/"&amp;SUM(AC23:AQ23)</f>
        <v>710/460/250</v>
      </c>
      <c r="E23">
        <v>1</v>
      </c>
      <c r="F23">
        <v>75</v>
      </c>
      <c r="G23">
        <v>75</v>
      </c>
      <c r="H23">
        <v>75</v>
      </c>
      <c r="I23" s="25">
        <v>25</v>
      </c>
      <c r="J23">
        <v>50</v>
      </c>
      <c r="K23">
        <v>75</v>
      </c>
      <c r="L23">
        <v>85</v>
      </c>
      <c r="AF23">
        <v>50</v>
      </c>
      <c r="AG23">
        <v>35</v>
      </c>
      <c r="AH23">
        <v>75</v>
      </c>
      <c r="AI23">
        <v>90</v>
      </c>
    </row>
    <row r="24" spans="1:43" x14ac:dyDescent="0.4">
      <c r="A24" t="s">
        <v>36</v>
      </c>
      <c r="B24" t="s">
        <v>37</v>
      </c>
      <c r="C24" t="s">
        <v>53</v>
      </c>
      <c r="D24" t="str">
        <f>SUM(AC24:AQ24,F24:L24)&amp;"/"&amp;SUM(F24:L24)&amp;"/"&amp;SUM(AC24:AQ24)</f>
        <v>710/445/265</v>
      </c>
      <c r="E24">
        <v>1</v>
      </c>
      <c r="F24">
        <v>75</v>
      </c>
      <c r="G24">
        <v>75</v>
      </c>
      <c r="H24">
        <v>50</v>
      </c>
      <c r="I24" s="25">
        <v>25</v>
      </c>
      <c r="J24">
        <v>50</v>
      </c>
      <c r="K24">
        <v>85</v>
      </c>
      <c r="L24">
        <v>85</v>
      </c>
      <c r="AF24">
        <v>50</v>
      </c>
      <c r="AG24">
        <v>65</v>
      </c>
      <c r="AH24">
        <v>75</v>
      </c>
      <c r="AI24">
        <v>75</v>
      </c>
    </row>
    <row r="25" spans="1:43" x14ac:dyDescent="0.4">
      <c r="C25" t="s">
        <v>53</v>
      </c>
      <c r="D25" t="str">
        <f>SUM(AC25:AQ25,F25:L25)&amp;"/"&amp;SUM(F25:L25)&amp;"/"&amp;SUM(AC25:AQ25)</f>
        <v>0/0/0</v>
      </c>
      <c r="E25">
        <v>1</v>
      </c>
    </row>
    <row r="26" spans="1:43" x14ac:dyDescent="0.4">
      <c r="A26" t="s">
        <v>241</v>
      </c>
      <c r="B26" t="s">
        <v>244</v>
      </c>
      <c r="C26" t="s">
        <v>53</v>
      </c>
      <c r="D26" t="str">
        <f>SUM(AC26:AQ26,F26:L26)&amp;"/"&amp;SUM(F26:L26)&amp;"/"&amp;SUM(AC26:AQ26)</f>
        <v>710/470/240</v>
      </c>
      <c r="E26">
        <v>1</v>
      </c>
      <c r="F26">
        <v>60</v>
      </c>
      <c r="G26">
        <v>50</v>
      </c>
      <c r="H26">
        <v>55</v>
      </c>
      <c r="I26" s="25">
        <v>90</v>
      </c>
      <c r="J26">
        <v>90</v>
      </c>
      <c r="K26">
        <v>50</v>
      </c>
      <c r="L26">
        <v>75</v>
      </c>
      <c r="AE26">
        <v>90</v>
      </c>
      <c r="AN26">
        <v>50</v>
      </c>
      <c r="AP26">
        <v>100</v>
      </c>
    </row>
    <row r="27" spans="1:43" x14ac:dyDescent="0.4">
      <c r="A27" t="s">
        <v>243</v>
      </c>
      <c r="B27" t="s">
        <v>245</v>
      </c>
      <c r="C27" t="s">
        <v>53</v>
      </c>
      <c r="D27" t="str">
        <f>SUM(AC27:AQ27,F27:L27)&amp;"/"&amp;SUM(F27:L27)&amp;"/"&amp;SUM(AC27:AQ27)</f>
        <v>710/465/245</v>
      </c>
      <c r="E27">
        <v>1</v>
      </c>
      <c r="F27">
        <v>60</v>
      </c>
      <c r="G27">
        <v>50</v>
      </c>
      <c r="H27">
        <v>55</v>
      </c>
      <c r="I27" s="25">
        <v>85</v>
      </c>
      <c r="J27">
        <v>90</v>
      </c>
      <c r="K27">
        <v>50</v>
      </c>
      <c r="L27">
        <v>75</v>
      </c>
      <c r="AE27">
        <v>75</v>
      </c>
      <c r="AF27">
        <v>50</v>
      </c>
      <c r="AG27">
        <v>20</v>
      </c>
      <c r="AP27">
        <v>100</v>
      </c>
    </row>
    <row r="28" spans="1:43" x14ac:dyDescent="0.4">
      <c r="A28" t="s">
        <v>242</v>
      </c>
      <c r="B28" t="s">
        <v>246</v>
      </c>
      <c r="C28" t="s">
        <v>53</v>
      </c>
      <c r="D28" t="str">
        <f>SUM(AC28:AQ28,F28:L28)&amp;"/"&amp;SUM(F28:L28)&amp;"/"&amp;SUM(AC28:AQ28)</f>
        <v>710/465/245</v>
      </c>
      <c r="E28">
        <v>1</v>
      </c>
      <c r="F28">
        <v>65</v>
      </c>
      <c r="G28">
        <v>55</v>
      </c>
      <c r="H28">
        <v>65</v>
      </c>
      <c r="I28" s="25">
        <v>85</v>
      </c>
      <c r="J28">
        <v>70</v>
      </c>
      <c r="K28">
        <v>50</v>
      </c>
      <c r="L28">
        <v>75</v>
      </c>
      <c r="AE28">
        <v>50</v>
      </c>
      <c r="AG28">
        <v>95</v>
      </c>
      <c r="AP28">
        <v>100</v>
      </c>
    </row>
    <row r="29" spans="1:43" x14ac:dyDescent="0.4">
      <c r="C29" t="s">
        <v>53</v>
      </c>
      <c r="D29" t="str">
        <f>SUM(AC29:AQ29,F29:L29)&amp;"/"&amp;SUM(F29:L29)&amp;"/"&amp;SUM(AC29:AQ29)</f>
        <v>0/0/0</v>
      </c>
      <c r="E29">
        <v>1</v>
      </c>
    </row>
    <row r="30" spans="1:43" x14ac:dyDescent="0.4">
      <c r="A30" t="s">
        <v>40</v>
      </c>
      <c r="B30" t="s">
        <v>185</v>
      </c>
      <c r="C30" t="s">
        <v>53</v>
      </c>
      <c r="D30" t="str">
        <f>SUM(AC30:AQ30,F30:L30)&amp;"/"&amp;SUM(F30:L30)&amp;"/"&amp;SUM(AC30:AQ30)</f>
        <v>710/485/225</v>
      </c>
      <c r="E30">
        <v>1</v>
      </c>
      <c r="F30">
        <v>75</v>
      </c>
      <c r="G30">
        <v>70</v>
      </c>
      <c r="H30">
        <v>70</v>
      </c>
      <c r="I30" s="25">
        <v>75</v>
      </c>
      <c r="J30">
        <v>70</v>
      </c>
      <c r="K30">
        <v>50</v>
      </c>
      <c r="L30">
        <v>75</v>
      </c>
      <c r="AE30">
        <v>75</v>
      </c>
      <c r="AN30">
        <v>50</v>
      </c>
      <c r="AQ30">
        <v>100</v>
      </c>
    </row>
    <row r="31" spans="1:43" x14ac:dyDescent="0.4">
      <c r="A31" t="s">
        <v>42</v>
      </c>
      <c r="B31" t="s">
        <v>184</v>
      </c>
      <c r="C31" t="s">
        <v>53</v>
      </c>
      <c r="D31" t="str">
        <f>SUM(AC31:AQ31,F31:L31)&amp;"/"&amp;SUM(F31:L31)&amp;"/"&amp;SUM(AC31:AQ31)</f>
        <v>710/485/225</v>
      </c>
      <c r="E31">
        <v>1</v>
      </c>
      <c r="F31">
        <v>85</v>
      </c>
      <c r="G31">
        <v>70</v>
      </c>
      <c r="H31">
        <v>85</v>
      </c>
      <c r="I31" s="25">
        <v>55</v>
      </c>
      <c r="J31">
        <v>60</v>
      </c>
      <c r="K31">
        <v>55</v>
      </c>
      <c r="L31">
        <v>75</v>
      </c>
      <c r="AC31">
        <v>50</v>
      </c>
      <c r="AE31">
        <v>50</v>
      </c>
      <c r="AN31">
        <v>50</v>
      </c>
      <c r="AQ31">
        <v>75</v>
      </c>
    </row>
    <row r="32" spans="1:43" x14ac:dyDescent="0.4">
      <c r="A32" t="s">
        <v>182</v>
      </c>
      <c r="B32" t="s">
        <v>183</v>
      </c>
      <c r="C32" t="s">
        <v>53</v>
      </c>
      <c r="D32" t="str">
        <f>SUM(AC32:AQ32,F32:L32)&amp;"/"&amp;SUM(F32:L32)&amp;"/"&amp;SUM(AC32:AQ32)</f>
        <v>710/485/225</v>
      </c>
      <c r="E32">
        <v>1</v>
      </c>
      <c r="F32">
        <v>75</v>
      </c>
      <c r="G32">
        <v>65</v>
      </c>
      <c r="H32">
        <v>65</v>
      </c>
      <c r="I32" s="25">
        <v>85</v>
      </c>
      <c r="J32">
        <v>70</v>
      </c>
      <c r="K32">
        <v>50</v>
      </c>
      <c r="L32">
        <v>75</v>
      </c>
      <c r="AE32">
        <v>75</v>
      </c>
      <c r="AF32">
        <v>25</v>
      </c>
      <c r="AG32">
        <v>25</v>
      </c>
      <c r="AI32">
        <v>50</v>
      </c>
      <c r="AQ32">
        <v>50</v>
      </c>
    </row>
    <row r="33" spans="1:43" x14ac:dyDescent="0.4">
      <c r="C33" t="s">
        <v>53</v>
      </c>
      <c r="D33" t="str">
        <f>SUM(AC33:AQ33,F33:L33)&amp;"/"&amp;SUM(F33:L33)&amp;"/"&amp;SUM(AC33:AQ33)</f>
        <v>0/0/0</v>
      </c>
      <c r="E33">
        <v>1</v>
      </c>
    </row>
    <row r="34" spans="1:43" x14ac:dyDescent="0.4">
      <c r="A34" t="s">
        <v>57</v>
      </c>
      <c r="C34" t="s">
        <v>62</v>
      </c>
      <c r="D34" t="str">
        <f>SUM(AC34:AQ34,F34:L34)&amp;"/"&amp;SUM(F34:L34)&amp;"/"&amp;SUM(AC34:AQ34)</f>
        <v>775/460/315</v>
      </c>
      <c r="E34">
        <v>1</v>
      </c>
      <c r="F34">
        <v>75</v>
      </c>
      <c r="G34">
        <v>70</v>
      </c>
      <c r="H34">
        <v>70</v>
      </c>
      <c r="I34" s="25">
        <v>25</v>
      </c>
      <c r="J34">
        <v>70</v>
      </c>
      <c r="K34">
        <v>70</v>
      </c>
      <c r="L34">
        <v>80</v>
      </c>
      <c r="M34">
        <v>170</v>
      </c>
      <c r="AC34">
        <v>35</v>
      </c>
      <c r="AD34">
        <v>35</v>
      </c>
      <c r="AE34">
        <v>35</v>
      </c>
      <c r="AF34">
        <v>35</v>
      </c>
      <c r="AG34">
        <v>35</v>
      </c>
      <c r="AH34">
        <v>35</v>
      </c>
      <c r="AI34">
        <v>35</v>
      </c>
      <c r="AN34">
        <v>35</v>
      </c>
      <c r="AO34">
        <v>35</v>
      </c>
    </row>
    <row r="35" spans="1:43" x14ac:dyDescent="0.4">
      <c r="A35" t="s">
        <v>59</v>
      </c>
      <c r="C35" t="s">
        <v>62</v>
      </c>
      <c r="D35" t="str">
        <f>SUM(AC35:AQ35,F35:L35)&amp;"/"&amp;SUM(F35:L35)&amp;"/"&amp;SUM(AC35:AQ35)</f>
        <v>775/460/315</v>
      </c>
      <c r="E35">
        <v>1</v>
      </c>
      <c r="F35">
        <v>65</v>
      </c>
      <c r="G35">
        <v>65</v>
      </c>
      <c r="H35">
        <v>70</v>
      </c>
      <c r="I35" s="25">
        <v>25</v>
      </c>
      <c r="J35">
        <v>70</v>
      </c>
      <c r="K35">
        <v>85</v>
      </c>
      <c r="L35">
        <v>80</v>
      </c>
      <c r="M35">
        <v>170</v>
      </c>
      <c r="AC35">
        <v>35</v>
      </c>
      <c r="AE35">
        <v>35</v>
      </c>
      <c r="AF35">
        <v>35</v>
      </c>
      <c r="AH35">
        <v>35</v>
      </c>
      <c r="AI35">
        <v>35</v>
      </c>
      <c r="AJ35">
        <v>35</v>
      </c>
      <c r="AK35">
        <v>35</v>
      </c>
      <c r="AN35">
        <v>35</v>
      </c>
      <c r="AQ35">
        <v>35</v>
      </c>
    </row>
    <row r="36" spans="1:43" x14ac:dyDescent="0.4">
      <c r="A36" t="s">
        <v>61</v>
      </c>
      <c r="C36" t="s">
        <v>62</v>
      </c>
      <c r="D36" t="str">
        <f>SUM(AC36:AQ36,F36:L36)&amp;"/"&amp;SUM(F36:L36)&amp;"/"&amp;SUM(AC36:AQ36)</f>
        <v>775/460/315</v>
      </c>
      <c r="E36">
        <v>1</v>
      </c>
      <c r="F36">
        <v>85</v>
      </c>
      <c r="G36">
        <v>80</v>
      </c>
      <c r="H36">
        <v>80</v>
      </c>
      <c r="I36" s="25">
        <v>25</v>
      </c>
      <c r="J36">
        <v>60</v>
      </c>
      <c r="K36">
        <v>50</v>
      </c>
      <c r="L36">
        <v>80</v>
      </c>
      <c r="M36">
        <v>140</v>
      </c>
      <c r="AC36">
        <v>35</v>
      </c>
      <c r="AD36">
        <v>35</v>
      </c>
      <c r="AG36">
        <v>35</v>
      </c>
      <c r="AH36">
        <v>35</v>
      </c>
      <c r="AI36">
        <v>35</v>
      </c>
      <c r="AM36">
        <v>35</v>
      </c>
      <c r="AN36">
        <v>35</v>
      </c>
      <c r="AO36">
        <v>35</v>
      </c>
      <c r="AP36">
        <v>35</v>
      </c>
    </row>
    <row r="37" spans="1:43" x14ac:dyDescent="0.4">
      <c r="D37" t="str">
        <f>SUM(AC37:AQ37,F37:L37)&amp;"/"&amp;SUM(F37:L37)&amp;"/"&amp;SUM(AC37:AQ37)</f>
        <v>0/0/0</v>
      </c>
    </row>
    <row r="38" spans="1:43" x14ac:dyDescent="0.4">
      <c r="A38" t="s">
        <v>55</v>
      </c>
      <c r="C38" t="s">
        <v>63</v>
      </c>
      <c r="D38" t="str">
        <f>SUM(AC38:AQ38,F38:L38)&amp;"/"&amp;SUM(F38:L38)&amp;"/"&amp;SUM(AC38:AQ38)</f>
        <v>710/490/220</v>
      </c>
      <c r="E38">
        <v>1</v>
      </c>
      <c r="F38">
        <v>85</v>
      </c>
      <c r="G38">
        <v>85</v>
      </c>
      <c r="H38">
        <v>65</v>
      </c>
      <c r="I38" s="25">
        <v>35</v>
      </c>
      <c r="J38">
        <v>50</v>
      </c>
      <c r="K38">
        <v>100</v>
      </c>
      <c r="L38">
        <v>70</v>
      </c>
      <c r="V38">
        <v>-20</v>
      </c>
      <c r="W38">
        <v>10</v>
      </c>
      <c r="Y38">
        <v>10</v>
      </c>
      <c r="AD38">
        <v>50</v>
      </c>
      <c r="AF38">
        <v>50</v>
      </c>
      <c r="AH38">
        <v>70</v>
      </c>
      <c r="AI38">
        <v>50</v>
      </c>
    </row>
    <row r="39" spans="1:43" x14ac:dyDescent="0.4">
      <c r="A39" t="s">
        <v>66</v>
      </c>
      <c r="C39" t="s">
        <v>63</v>
      </c>
      <c r="D39" t="str">
        <f>SUM(AC39:AQ39,F39:L39)&amp;"/"&amp;SUM(F39:L39)&amp;"/"&amp;SUM(AC39:AQ39)</f>
        <v>710/490/220</v>
      </c>
      <c r="E39">
        <v>1</v>
      </c>
      <c r="F39">
        <v>90</v>
      </c>
      <c r="G39">
        <v>90</v>
      </c>
      <c r="H39">
        <v>75</v>
      </c>
      <c r="I39" s="25">
        <v>35</v>
      </c>
      <c r="J39">
        <v>70</v>
      </c>
      <c r="K39">
        <v>55</v>
      </c>
      <c r="L39">
        <v>75</v>
      </c>
      <c r="M39">
        <v>170</v>
      </c>
      <c r="N39" s="17">
        <v>5</v>
      </c>
      <c r="O39" s="17">
        <v>5</v>
      </c>
      <c r="W39">
        <v>15</v>
      </c>
      <c r="Z39">
        <v>-15</v>
      </c>
      <c r="AD39">
        <v>75</v>
      </c>
      <c r="AE39">
        <v>45</v>
      </c>
      <c r="AF39">
        <v>25</v>
      </c>
      <c r="AI39">
        <v>50</v>
      </c>
      <c r="AP39">
        <v>25</v>
      </c>
    </row>
    <row r="40" spans="1:43" x14ac:dyDescent="0.4">
      <c r="A40" t="s">
        <v>44</v>
      </c>
      <c r="C40" t="s">
        <v>63</v>
      </c>
      <c r="D40" t="str">
        <f>SUM(AC40:AQ40,F40:L40)&amp;"/"&amp;SUM(F40:L40)&amp;"/"&amp;SUM(AC40:AQ40)</f>
        <v>710/490/220</v>
      </c>
      <c r="E40">
        <v>1</v>
      </c>
      <c r="F40">
        <v>105</v>
      </c>
      <c r="G40">
        <v>105</v>
      </c>
      <c r="H40">
        <v>65</v>
      </c>
      <c r="I40" s="25">
        <v>55</v>
      </c>
      <c r="J40">
        <v>45</v>
      </c>
      <c r="K40">
        <v>55</v>
      </c>
      <c r="L40">
        <v>60</v>
      </c>
      <c r="M40">
        <v>300</v>
      </c>
      <c r="P40" s="17">
        <v>10</v>
      </c>
      <c r="V40">
        <v>-15</v>
      </c>
      <c r="W40">
        <v>15</v>
      </c>
      <c r="Z40">
        <v>-15</v>
      </c>
      <c r="AD40">
        <v>125</v>
      </c>
      <c r="AE40">
        <v>25</v>
      </c>
      <c r="AF40">
        <v>-25</v>
      </c>
      <c r="AG40">
        <v>-25</v>
      </c>
      <c r="AH40">
        <v>25</v>
      </c>
      <c r="AI40">
        <v>25</v>
      </c>
      <c r="AN40">
        <v>15</v>
      </c>
      <c r="AO40">
        <v>15</v>
      </c>
      <c r="AP40">
        <v>40</v>
      </c>
    </row>
    <row r="41" spans="1:43" x14ac:dyDescent="0.4">
      <c r="A41" t="s">
        <v>68</v>
      </c>
      <c r="C41" t="s">
        <v>63</v>
      </c>
      <c r="D41" t="str">
        <f>SUM(AC41:AQ41,F41:L41)&amp;"/"&amp;SUM(F41:L41)&amp;"/"&amp;SUM(AC41:AQ41)</f>
        <v>710/490/220</v>
      </c>
      <c r="E41">
        <v>1</v>
      </c>
      <c r="F41">
        <v>90</v>
      </c>
      <c r="G41">
        <v>90</v>
      </c>
      <c r="H41">
        <v>70</v>
      </c>
      <c r="I41" s="25">
        <v>25</v>
      </c>
      <c r="J41">
        <v>70</v>
      </c>
      <c r="K41">
        <v>70</v>
      </c>
      <c r="L41">
        <v>75</v>
      </c>
      <c r="M41">
        <v>550</v>
      </c>
      <c r="AC41">
        <v>50</v>
      </c>
      <c r="AD41">
        <v>50</v>
      </c>
      <c r="AF41">
        <v>25</v>
      </c>
      <c r="AG41">
        <v>35</v>
      </c>
      <c r="AN41">
        <v>35</v>
      </c>
      <c r="AP41">
        <v>25</v>
      </c>
    </row>
    <row r="42" spans="1:43" x14ac:dyDescent="0.4">
      <c r="A42" t="s">
        <v>46</v>
      </c>
      <c r="C42" t="s">
        <v>63</v>
      </c>
      <c r="D42" t="str">
        <f>SUM(AC42:AQ42,F42:L42)&amp;"/"&amp;SUM(F42:L42)&amp;"/"&amp;SUM(AC42:AQ42)</f>
        <v>710/490/220</v>
      </c>
      <c r="E42">
        <v>1</v>
      </c>
      <c r="F42">
        <v>90</v>
      </c>
      <c r="G42">
        <v>90</v>
      </c>
      <c r="H42">
        <v>70</v>
      </c>
      <c r="I42" s="25">
        <v>25</v>
      </c>
      <c r="J42">
        <v>55</v>
      </c>
      <c r="K42">
        <v>85</v>
      </c>
      <c r="L42">
        <v>75</v>
      </c>
      <c r="M42">
        <v>100</v>
      </c>
      <c r="S42" s="17">
        <v>15</v>
      </c>
      <c r="V42">
        <v>-15</v>
      </c>
      <c r="AC42">
        <v>25</v>
      </c>
      <c r="AD42">
        <v>-25</v>
      </c>
      <c r="AF42">
        <v>70</v>
      </c>
      <c r="AG42">
        <v>50</v>
      </c>
      <c r="AH42">
        <v>75</v>
      </c>
      <c r="AI42">
        <v>75</v>
      </c>
      <c r="AN42">
        <v>-25</v>
      </c>
      <c r="AO42">
        <v>-25</v>
      </c>
    </row>
    <row r="43" spans="1:43" x14ac:dyDescent="0.4">
      <c r="D43" t="str">
        <f>SUM(AC43:AQ43,F43:L43)&amp;"/"&amp;SUM(F43:L43)&amp;"/"&amp;SUM(AC43:AQ43)</f>
        <v>0/0/0</v>
      </c>
      <c r="E43">
        <v>1</v>
      </c>
    </row>
    <row r="44" spans="1:43" x14ac:dyDescent="0.4">
      <c r="A44" t="s">
        <v>48</v>
      </c>
      <c r="C44" t="s">
        <v>64</v>
      </c>
      <c r="D44" t="str">
        <f>SUM(AC44:AQ44,F44:L44)&amp;"/"&amp;SUM(F44:L44)&amp;"/"&amp;SUM(AC44:AQ44)</f>
        <v>710/515/195</v>
      </c>
      <c r="E44">
        <v>1</v>
      </c>
      <c r="F44">
        <v>90</v>
      </c>
      <c r="G44">
        <v>80</v>
      </c>
      <c r="H44">
        <v>70</v>
      </c>
      <c r="I44" s="25">
        <v>80</v>
      </c>
      <c r="J44">
        <v>60</v>
      </c>
      <c r="K44">
        <v>70</v>
      </c>
      <c r="L44">
        <v>65</v>
      </c>
      <c r="M44">
        <v>170</v>
      </c>
      <c r="N44" s="17">
        <v>10</v>
      </c>
      <c r="O44" s="17">
        <v>5</v>
      </c>
      <c r="P44" s="17">
        <v>15</v>
      </c>
      <c r="Q44" s="17">
        <v>15</v>
      </c>
      <c r="T44" s="17">
        <v>-30</v>
      </c>
      <c r="U44">
        <v>15</v>
      </c>
      <c r="AD44">
        <v>75</v>
      </c>
      <c r="AE44">
        <v>20</v>
      </c>
      <c r="AP44">
        <v>100</v>
      </c>
    </row>
    <row r="45" spans="1:43" x14ac:dyDescent="0.4">
      <c r="A45" t="s">
        <v>50</v>
      </c>
      <c r="C45" t="s">
        <v>64</v>
      </c>
      <c r="D45" t="str">
        <f>SUM(AC45:AQ45,F45:L45)&amp;"/"&amp;SUM(F45:L45)&amp;"/"&amp;SUM(AC45:AQ45)</f>
        <v>710/515/195</v>
      </c>
      <c r="E45">
        <v>1</v>
      </c>
      <c r="F45">
        <v>75</v>
      </c>
      <c r="G45">
        <v>70</v>
      </c>
      <c r="H45">
        <v>80</v>
      </c>
      <c r="I45" s="25">
        <v>80</v>
      </c>
      <c r="J45">
        <v>80</v>
      </c>
      <c r="K45">
        <v>65</v>
      </c>
      <c r="L45">
        <v>65</v>
      </c>
      <c r="M45">
        <v>170</v>
      </c>
      <c r="N45" s="17">
        <v>5</v>
      </c>
      <c r="O45" s="17">
        <v>10</v>
      </c>
      <c r="R45" s="17">
        <v>15</v>
      </c>
      <c r="S45" s="17">
        <v>15</v>
      </c>
      <c r="T45" s="17">
        <v>15</v>
      </c>
      <c r="U45" s="17">
        <v>-30</v>
      </c>
      <c r="AE45">
        <v>75</v>
      </c>
      <c r="AG45">
        <v>20</v>
      </c>
      <c r="AQ45">
        <v>100</v>
      </c>
    </row>
    <row r="46" spans="1:43" x14ac:dyDescent="0.4">
      <c r="A46" t="s">
        <v>52</v>
      </c>
      <c r="C46" t="s">
        <v>64</v>
      </c>
      <c r="D46" t="str">
        <f>SUM(AC46:AQ46,F46:L46)&amp;"/"&amp;SUM(F46:L46)&amp;"/"&amp;SUM(AC46:AQ46)</f>
        <v>710/515/195</v>
      </c>
      <c r="E46">
        <v>1</v>
      </c>
      <c r="F46">
        <v>90</v>
      </c>
      <c r="G46">
        <v>80</v>
      </c>
      <c r="H46">
        <v>60</v>
      </c>
      <c r="I46" s="25">
        <v>80</v>
      </c>
      <c r="J46">
        <v>60</v>
      </c>
      <c r="K46">
        <v>80</v>
      </c>
      <c r="L46">
        <v>65</v>
      </c>
      <c r="M46">
        <v>170</v>
      </c>
      <c r="N46" s="17">
        <v>15</v>
      </c>
      <c r="P46" s="17">
        <v>-30</v>
      </c>
      <c r="S46" s="17">
        <v>100</v>
      </c>
      <c r="T46" s="17">
        <v>-30</v>
      </c>
      <c r="V46">
        <v>100</v>
      </c>
      <c r="X46">
        <v>25</v>
      </c>
      <c r="AD46">
        <v>45</v>
      </c>
      <c r="AE46">
        <v>50</v>
      </c>
      <c r="AH46">
        <v>50</v>
      </c>
      <c r="AI46">
        <v>50</v>
      </c>
    </row>
    <row r="47" spans="1:43" x14ac:dyDescent="0.4">
      <c r="C47" t="s">
        <v>64</v>
      </c>
      <c r="D47" t="str">
        <f>SUM(AC47:AQ47,F47:L47)&amp;"/"&amp;SUM(F47:L47)&amp;"/"&amp;SUM(AC47:AQ47)</f>
        <v>0/0/0</v>
      </c>
      <c r="E47">
        <v>1</v>
      </c>
    </row>
    <row r="48" spans="1:43" x14ac:dyDescent="0.4">
      <c r="A48" t="s">
        <v>195</v>
      </c>
      <c r="C48" t="s">
        <v>64</v>
      </c>
      <c r="D48" t="str">
        <f>SUM(AC48:AQ48,F48:L48)&amp;"/"&amp;SUM(F48:L48)&amp;"/"&amp;SUM(AC48:AQ48)</f>
        <v>535/460/75</v>
      </c>
      <c r="E48">
        <v>1</v>
      </c>
      <c r="F48">
        <v>110</v>
      </c>
      <c r="G48">
        <v>110</v>
      </c>
      <c r="H48">
        <v>40</v>
      </c>
      <c r="I48" s="25">
        <v>50</v>
      </c>
      <c r="J48">
        <v>50</v>
      </c>
      <c r="K48">
        <v>40</v>
      </c>
      <c r="L48">
        <v>60</v>
      </c>
      <c r="M48">
        <v>170</v>
      </c>
      <c r="P48" s="17">
        <v>-25</v>
      </c>
      <c r="T48" s="17">
        <v>-25</v>
      </c>
      <c r="V48">
        <v>100</v>
      </c>
      <c r="W48">
        <v>25</v>
      </c>
      <c r="X48">
        <v>25</v>
      </c>
      <c r="Z48">
        <v>25</v>
      </c>
      <c r="AB48">
        <v>-25</v>
      </c>
      <c r="AH48">
        <v>75</v>
      </c>
    </row>
    <row r="49" spans="1:42" x14ac:dyDescent="0.4">
      <c r="A49" t="s">
        <v>196</v>
      </c>
      <c r="C49" t="s">
        <v>64</v>
      </c>
      <c r="D49" t="str">
        <f>SUM(AC49:AQ49,F49:L49)&amp;"/"&amp;SUM(F49:L49)&amp;"/"&amp;SUM(AC49:AQ49)</f>
        <v>680/505/175</v>
      </c>
      <c r="E49">
        <v>1</v>
      </c>
      <c r="F49">
        <v>80</v>
      </c>
      <c r="G49">
        <v>75</v>
      </c>
      <c r="H49">
        <v>75</v>
      </c>
      <c r="I49" s="25">
        <v>50</v>
      </c>
      <c r="J49">
        <v>75</v>
      </c>
      <c r="K49">
        <v>75</v>
      </c>
      <c r="L49">
        <v>75</v>
      </c>
      <c r="M49">
        <v>170</v>
      </c>
      <c r="N49" s="17">
        <v>10</v>
      </c>
      <c r="P49" s="17">
        <v>-35</v>
      </c>
      <c r="T49" s="17">
        <v>-35</v>
      </c>
      <c r="AD49">
        <v>75</v>
      </c>
      <c r="AF49">
        <v>50</v>
      </c>
      <c r="AH49">
        <v>50</v>
      </c>
    </row>
    <row r="50" spans="1:42" x14ac:dyDescent="0.4">
      <c r="A50" t="s">
        <v>198</v>
      </c>
      <c r="C50" t="s">
        <v>64</v>
      </c>
      <c r="D50" t="str">
        <f>SUM(AC50:AQ50,F50:L50)&amp;"/"&amp;SUM(F50:L50)&amp;"/"&amp;SUM(AC50:AQ50)</f>
        <v>710/515/195</v>
      </c>
      <c r="E50">
        <v>1</v>
      </c>
      <c r="F50">
        <v>65</v>
      </c>
      <c r="G50">
        <v>65</v>
      </c>
      <c r="H50">
        <v>50</v>
      </c>
      <c r="I50" s="25">
        <v>90</v>
      </c>
      <c r="J50">
        <v>90</v>
      </c>
      <c r="K50">
        <v>90</v>
      </c>
      <c r="L50">
        <v>65</v>
      </c>
      <c r="M50">
        <v>170</v>
      </c>
      <c r="N50" s="17">
        <v>25</v>
      </c>
      <c r="AH50">
        <v>75</v>
      </c>
      <c r="AI50">
        <v>50</v>
      </c>
      <c r="AP50">
        <v>70</v>
      </c>
    </row>
    <row r="51" spans="1:42" x14ac:dyDescent="0.4">
      <c r="C51" t="s">
        <v>64</v>
      </c>
      <c r="D51" t="str">
        <f>SUM(AC51:AQ51,F51:L51)&amp;"/"&amp;SUM(F51:L51)&amp;"/"&amp;SUM(AC51:AQ51)</f>
        <v>0/0/0</v>
      </c>
      <c r="E51">
        <v>1</v>
      </c>
    </row>
    <row r="52" spans="1:42" x14ac:dyDescent="0.4">
      <c r="C52" t="s">
        <v>64</v>
      </c>
      <c r="D52" t="str">
        <f>SUM(AC52:AQ52,F52:L52)&amp;"/"&amp;SUM(F52:L52)&amp;"/"&amp;SUM(AC52:AQ52)</f>
        <v>0/0/0</v>
      </c>
      <c r="E52">
        <v>1</v>
      </c>
    </row>
    <row r="53" spans="1:42" x14ac:dyDescent="0.4">
      <c r="C53" t="s">
        <v>64</v>
      </c>
      <c r="D53" t="str">
        <f>SUM(AC53:AQ53,F53:L53)&amp;"/"&amp;SUM(F53:L53)&amp;"/"&amp;SUM(AC53:AQ53)</f>
        <v>0/0/0</v>
      </c>
      <c r="E53">
        <v>1</v>
      </c>
    </row>
    <row r="54" spans="1:42" x14ac:dyDescent="0.4">
      <c r="C54" t="s">
        <v>64</v>
      </c>
      <c r="D54" t="str">
        <f>SUM(AC54:AQ54,F54:L54)&amp;"/"&amp;SUM(F54:L54)&amp;"/"&amp;SUM(AC54:AQ54)</f>
        <v>0/0/0</v>
      </c>
      <c r="E54">
        <v>1</v>
      </c>
    </row>
    <row r="55" spans="1:42" x14ac:dyDescent="0.4">
      <c r="C55" t="s">
        <v>64</v>
      </c>
      <c r="D55" t="str">
        <f>SUM(AC55:AQ55,F55:L55)&amp;"/"&amp;SUM(F55:L55)&amp;"/"&amp;SUM(AC55:AQ55)</f>
        <v>0/0/0</v>
      </c>
      <c r="E55">
        <v>1</v>
      </c>
    </row>
    <row r="56" spans="1:42" x14ac:dyDescent="0.4">
      <c r="C56" t="s">
        <v>64</v>
      </c>
      <c r="D56" t="str">
        <f>SUM(AC56:AQ56,F56:L56)&amp;"/"&amp;SUM(F56:L56)&amp;"/"&amp;SUM(AC56:AQ56)</f>
        <v>0/0/0</v>
      </c>
      <c r="E56">
        <v>1</v>
      </c>
    </row>
    <row r="57" spans="1:42" x14ac:dyDescent="0.4">
      <c r="A57" s="1" t="s">
        <v>73</v>
      </c>
      <c r="B57" t="s">
        <v>71</v>
      </c>
      <c r="C57" t="s">
        <v>64</v>
      </c>
      <c r="D57" t="str">
        <f>SUM(AC57:AQ57,F57:L57)&amp;"/"&amp;SUM(F57:L57)&amp;"/"&amp;SUM(AC57:AQ57)</f>
        <v>690/515/175</v>
      </c>
      <c r="E57">
        <v>1</v>
      </c>
      <c r="F57">
        <v>75</v>
      </c>
      <c r="G57">
        <v>55</v>
      </c>
      <c r="H57">
        <v>60</v>
      </c>
      <c r="I57" s="25">
        <v>100</v>
      </c>
      <c r="J57">
        <v>85</v>
      </c>
      <c r="K57">
        <v>75</v>
      </c>
      <c r="L57">
        <v>65</v>
      </c>
      <c r="M57">
        <v>140</v>
      </c>
      <c r="N57" s="17">
        <v>15</v>
      </c>
      <c r="P57" s="17">
        <v>100</v>
      </c>
      <c r="Q57" s="17">
        <v>-45</v>
      </c>
      <c r="X57">
        <v>100</v>
      </c>
      <c r="AE57">
        <v>75</v>
      </c>
      <c r="AH57">
        <v>75</v>
      </c>
      <c r="AI57">
        <v>25</v>
      </c>
    </row>
    <row r="58" spans="1:42" x14ac:dyDescent="0.4">
      <c r="A58" s="1" t="s">
        <v>75</v>
      </c>
      <c r="B58" t="s">
        <v>71</v>
      </c>
      <c r="C58" t="s">
        <v>64</v>
      </c>
      <c r="D58" t="str">
        <f>SUM(AC58:AQ58,F58:L58)&amp;"/"&amp;SUM(F58:L58)&amp;"/"&amp;SUM(AC58:AQ58)</f>
        <v>690/515/175</v>
      </c>
      <c r="E58">
        <v>1</v>
      </c>
      <c r="F58">
        <v>75</v>
      </c>
      <c r="G58">
        <v>55</v>
      </c>
      <c r="H58">
        <v>60</v>
      </c>
      <c r="I58" s="25">
        <v>100</v>
      </c>
      <c r="J58">
        <v>85</v>
      </c>
      <c r="K58">
        <v>75</v>
      </c>
      <c r="L58">
        <v>65</v>
      </c>
      <c r="M58">
        <v>140</v>
      </c>
      <c r="N58" s="17">
        <v>15</v>
      </c>
      <c r="P58" s="17">
        <v>-45</v>
      </c>
      <c r="Q58" s="17">
        <v>100</v>
      </c>
      <c r="X58">
        <v>100</v>
      </c>
      <c r="AE58">
        <v>75</v>
      </c>
      <c r="AH58">
        <v>75</v>
      </c>
      <c r="AI58">
        <v>25</v>
      </c>
    </row>
    <row r="59" spans="1:42" x14ac:dyDescent="0.4">
      <c r="A59" s="1" t="s">
        <v>77</v>
      </c>
      <c r="B59" t="s">
        <v>71</v>
      </c>
      <c r="C59" t="s">
        <v>64</v>
      </c>
      <c r="D59" t="str">
        <f>SUM(AC59:AQ59,F59:L59)&amp;"/"&amp;SUM(F59:L59)&amp;"/"&amp;SUM(AC59:AQ59)</f>
        <v>690/515/175</v>
      </c>
      <c r="E59">
        <v>1</v>
      </c>
      <c r="F59">
        <v>75</v>
      </c>
      <c r="G59">
        <v>55</v>
      </c>
      <c r="H59">
        <v>60</v>
      </c>
      <c r="I59" s="25">
        <v>100</v>
      </c>
      <c r="J59">
        <v>85</v>
      </c>
      <c r="K59">
        <v>75</v>
      </c>
      <c r="L59">
        <v>65</v>
      </c>
      <c r="M59">
        <v>140</v>
      </c>
      <c r="N59" s="17">
        <v>-15</v>
      </c>
      <c r="R59" s="17">
        <v>100</v>
      </c>
      <c r="X59">
        <v>100</v>
      </c>
      <c r="AE59">
        <v>75</v>
      </c>
      <c r="AH59">
        <v>75</v>
      </c>
      <c r="AI59">
        <v>25</v>
      </c>
    </row>
    <row r="60" spans="1:42" x14ac:dyDescent="0.4">
      <c r="A60" s="1" t="s">
        <v>79</v>
      </c>
      <c r="B60" t="s">
        <v>71</v>
      </c>
      <c r="C60" t="s">
        <v>64</v>
      </c>
      <c r="D60" t="str">
        <f>SUM(AC60:AQ60,F60:L60)&amp;"/"&amp;SUM(F60:L60)&amp;"/"&amp;SUM(AC60:AQ60)</f>
        <v>700/525/175</v>
      </c>
      <c r="E60">
        <v>1</v>
      </c>
      <c r="F60">
        <v>90</v>
      </c>
      <c r="G60">
        <v>90</v>
      </c>
      <c r="H60">
        <v>80</v>
      </c>
      <c r="I60" s="25">
        <v>100</v>
      </c>
      <c r="J60">
        <v>50</v>
      </c>
      <c r="K60">
        <v>50</v>
      </c>
      <c r="L60">
        <v>65</v>
      </c>
      <c r="M60">
        <v>140</v>
      </c>
      <c r="N60" s="17">
        <v>15</v>
      </c>
      <c r="S60" s="17">
        <v>-45</v>
      </c>
      <c r="X60">
        <v>100</v>
      </c>
      <c r="AE60">
        <v>75</v>
      </c>
      <c r="AH60">
        <v>75</v>
      </c>
      <c r="AI60">
        <v>25</v>
      </c>
    </row>
    <row r="61" spans="1:42" x14ac:dyDescent="0.4">
      <c r="C61" t="s">
        <v>64</v>
      </c>
      <c r="D61" t="str">
        <f>SUM(AC61:AQ61,F61:L61)&amp;"/"&amp;SUM(F61:L61)&amp;"/"&amp;SUM(AC61:AQ61)</f>
        <v>0/0/0</v>
      </c>
      <c r="E61">
        <v>1</v>
      </c>
    </row>
    <row r="62" spans="1:42" x14ac:dyDescent="0.4">
      <c r="C62" t="s">
        <v>64</v>
      </c>
      <c r="D62" t="str">
        <f>SUM(AC62:AQ62,F62:L62)&amp;"/"&amp;SUM(F62:L62)&amp;"/"&amp;SUM(AC62:AQ62)</f>
        <v>0/0/0</v>
      </c>
      <c r="E62">
        <v>1</v>
      </c>
    </row>
    <row r="63" spans="1:42" x14ac:dyDescent="0.4">
      <c r="C63" t="s">
        <v>64</v>
      </c>
      <c r="D63" t="str">
        <f>SUM(AC63:AQ63,F63:L63)&amp;"/"&amp;SUM(F63:L63)&amp;"/"&amp;SUM(AC63:AQ63)</f>
        <v>0/0/0</v>
      </c>
      <c r="E63">
        <v>1</v>
      </c>
    </row>
    <row r="64" spans="1:42" x14ac:dyDescent="0.4">
      <c r="C64" t="s">
        <v>64</v>
      </c>
      <c r="D64" t="str">
        <f>SUM(AC64:AQ64,F64:L64)&amp;"/"&amp;SUM(F64:L64)&amp;"/"&amp;SUM(AC64:AQ64)</f>
        <v>0/0/0</v>
      </c>
      <c r="E64">
        <v>1</v>
      </c>
    </row>
    <row r="65" spans="1:35" x14ac:dyDescent="0.4">
      <c r="C65" t="s">
        <v>64</v>
      </c>
      <c r="D65" t="str">
        <f>SUM(AC65:AQ65,F65:L65)&amp;"/"&amp;SUM(F65:L65)&amp;"/"&amp;SUM(AC65:AQ65)</f>
        <v>0/0/0</v>
      </c>
      <c r="E65">
        <v>1</v>
      </c>
    </row>
    <row r="66" spans="1:35" x14ac:dyDescent="0.4">
      <c r="C66" t="s">
        <v>64</v>
      </c>
      <c r="D66" t="str">
        <f>SUM(AC66:AQ66,F66:L66)&amp;"/"&amp;SUM(F66:L66)&amp;"/"&amp;SUM(AC66:AQ66)</f>
        <v>0/0/0</v>
      </c>
      <c r="E66">
        <v>1</v>
      </c>
    </row>
    <row r="67" spans="1:35" x14ac:dyDescent="0.4">
      <c r="C67" t="s">
        <v>64</v>
      </c>
      <c r="D67" t="str">
        <f>SUM(AC67:AQ67,F67:L67)&amp;"/"&amp;SUM(F67:L67)&amp;"/"&amp;SUM(AC67:AQ67)</f>
        <v>0/0/0</v>
      </c>
      <c r="E67">
        <v>1</v>
      </c>
    </row>
    <row r="68" spans="1:35" x14ac:dyDescent="0.4">
      <c r="C68" t="s">
        <v>64</v>
      </c>
      <c r="D68" t="str">
        <f>SUM(AC68:AQ68,F68:L68)&amp;"/"&amp;SUM(F68:L68)&amp;"/"&amp;SUM(AC68:AQ68)</f>
        <v>0/0/0</v>
      </c>
      <c r="E68">
        <v>1</v>
      </c>
    </row>
    <row r="69" spans="1:35" x14ac:dyDescent="0.4">
      <c r="A69" t="s">
        <v>189</v>
      </c>
      <c r="C69" t="s">
        <v>186</v>
      </c>
      <c r="D69" t="str">
        <f>SUM(AC69:AQ69,F69:L69)&amp;"/"&amp;SUM(F69:L69)&amp;"/"&amp;SUM(AC69:AQ69)</f>
        <v>710/490/220</v>
      </c>
      <c r="E69">
        <v>1</v>
      </c>
      <c r="F69">
        <v>100</v>
      </c>
      <c r="G69">
        <v>90</v>
      </c>
      <c r="H69">
        <v>90</v>
      </c>
      <c r="I69" s="25">
        <v>0</v>
      </c>
      <c r="J69">
        <v>50</v>
      </c>
      <c r="K69">
        <v>80</v>
      </c>
      <c r="L69">
        <v>80</v>
      </c>
      <c r="M69">
        <v>230</v>
      </c>
      <c r="V69">
        <v>-35</v>
      </c>
      <c r="W69">
        <v>10</v>
      </c>
      <c r="Y69">
        <v>15</v>
      </c>
      <c r="Z69">
        <v>10</v>
      </c>
      <c r="AD69">
        <v>50</v>
      </c>
      <c r="AF69">
        <v>50</v>
      </c>
      <c r="AH69">
        <v>60</v>
      </c>
      <c r="AI69">
        <v>60</v>
      </c>
    </row>
    <row r="70" spans="1:35" x14ac:dyDescent="0.4">
      <c r="A70" t="s">
        <v>187</v>
      </c>
      <c r="C70" t="s">
        <v>186</v>
      </c>
      <c r="D70" t="str">
        <f>SUM(AC70:AQ70,F70:L70)&amp;"/"&amp;SUM(F70:L70)&amp;"/"&amp;SUM(AC70:AQ70)</f>
        <v>705/485/220</v>
      </c>
      <c r="E70">
        <v>1</v>
      </c>
      <c r="F70">
        <v>90</v>
      </c>
      <c r="G70">
        <v>85</v>
      </c>
      <c r="H70">
        <v>75</v>
      </c>
      <c r="I70" s="25">
        <v>0</v>
      </c>
      <c r="J70">
        <v>50</v>
      </c>
      <c r="K70">
        <v>100</v>
      </c>
      <c r="L70">
        <v>85</v>
      </c>
      <c r="M70">
        <v>175</v>
      </c>
      <c r="V70">
        <v>-35</v>
      </c>
      <c r="W70">
        <v>10</v>
      </c>
      <c r="Y70">
        <v>15</v>
      </c>
      <c r="Z70">
        <v>10</v>
      </c>
      <c r="AD70">
        <v>50</v>
      </c>
      <c r="AF70">
        <v>50</v>
      </c>
      <c r="AH70">
        <v>60</v>
      </c>
      <c r="AI70">
        <v>60</v>
      </c>
    </row>
    <row r="71" spans="1:35" x14ac:dyDescent="0.4">
      <c r="A71" t="s">
        <v>188</v>
      </c>
      <c r="C71" t="s">
        <v>186</v>
      </c>
      <c r="D71" t="str">
        <f>SUM(AC71:AQ71,F71:L71)&amp;"/"&amp;SUM(F71:L71)&amp;"/"&amp;SUM(AC71:AQ71)</f>
        <v>670/450/220</v>
      </c>
      <c r="E71">
        <v>1</v>
      </c>
      <c r="F71">
        <v>90</v>
      </c>
      <c r="G71">
        <v>85</v>
      </c>
      <c r="H71">
        <v>75</v>
      </c>
      <c r="I71" s="25">
        <v>0</v>
      </c>
      <c r="J71">
        <v>50</v>
      </c>
      <c r="K71">
        <v>75</v>
      </c>
      <c r="L71">
        <v>75</v>
      </c>
      <c r="M71">
        <v>150</v>
      </c>
      <c r="V71">
        <v>-35</v>
      </c>
      <c r="W71">
        <v>10</v>
      </c>
      <c r="Y71">
        <v>15</v>
      </c>
      <c r="Z71">
        <v>10</v>
      </c>
      <c r="AD71">
        <v>50</v>
      </c>
      <c r="AF71">
        <v>50</v>
      </c>
      <c r="AH71">
        <v>60</v>
      </c>
      <c r="AI71">
        <v>60</v>
      </c>
    </row>
    <row r="72" spans="1:35" x14ac:dyDescent="0.4">
      <c r="A72" t="s">
        <v>190</v>
      </c>
      <c r="C72" t="s">
        <v>186</v>
      </c>
      <c r="D72" t="str">
        <f>SUM(AC72:AQ72,F72:L72)&amp;"/"&amp;SUM(F72:L72)&amp;"/"&amp;SUM(AC72:AQ72)</f>
        <v>695/475/220</v>
      </c>
      <c r="E72">
        <v>1</v>
      </c>
      <c r="F72">
        <v>75</v>
      </c>
      <c r="G72">
        <v>75</v>
      </c>
      <c r="H72">
        <v>75</v>
      </c>
      <c r="I72" s="25">
        <v>0</v>
      </c>
      <c r="J72">
        <v>50</v>
      </c>
      <c r="K72">
        <v>100</v>
      </c>
      <c r="L72">
        <v>100</v>
      </c>
      <c r="M72">
        <v>145</v>
      </c>
      <c r="V72">
        <v>-35</v>
      </c>
      <c r="W72">
        <v>10</v>
      </c>
      <c r="Y72">
        <v>15</v>
      </c>
      <c r="Z72">
        <v>10</v>
      </c>
      <c r="AD72">
        <v>50</v>
      </c>
      <c r="AF72">
        <v>50</v>
      </c>
      <c r="AH72">
        <v>60</v>
      </c>
      <c r="AI72">
        <v>60</v>
      </c>
    </row>
    <row r="73" spans="1:35" x14ac:dyDescent="0.4">
      <c r="A73" t="s">
        <v>192</v>
      </c>
      <c r="C73" t="s">
        <v>186</v>
      </c>
      <c r="D73" t="str">
        <f>SUM(AC73:AQ73,F73:L73)&amp;"/"&amp;SUM(F73:L73)&amp;"/"&amp;SUM(AC73:AQ73)</f>
        <v>710/490/220</v>
      </c>
      <c r="E73">
        <v>1</v>
      </c>
      <c r="F73">
        <v>100</v>
      </c>
      <c r="G73">
        <v>100</v>
      </c>
      <c r="H73">
        <v>90</v>
      </c>
      <c r="I73" s="25">
        <v>0</v>
      </c>
      <c r="J73">
        <v>50</v>
      </c>
      <c r="K73">
        <v>75</v>
      </c>
      <c r="L73">
        <v>75</v>
      </c>
      <c r="M73">
        <v>300</v>
      </c>
      <c r="V73">
        <v>-35</v>
      </c>
      <c r="W73">
        <v>10</v>
      </c>
      <c r="Y73">
        <v>15</v>
      </c>
      <c r="Z73">
        <v>10</v>
      </c>
      <c r="AD73">
        <v>50</v>
      </c>
      <c r="AF73">
        <v>50</v>
      </c>
      <c r="AH73">
        <v>60</v>
      </c>
      <c r="AI73">
        <v>60</v>
      </c>
    </row>
    <row r="74" spans="1:35" x14ac:dyDescent="0.4">
      <c r="A74" t="s">
        <v>194</v>
      </c>
      <c r="C74" t="s">
        <v>186</v>
      </c>
      <c r="D74" t="str">
        <f>SUM(AC74:AQ74,F74:L74)&amp;"/"&amp;SUM(F74:L74)&amp;"/"&amp;SUM(AC74:AQ74)</f>
        <v>705/485/220</v>
      </c>
      <c r="E74">
        <v>1</v>
      </c>
      <c r="F74">
        <v>100</v>
      </c>
      <c r="G74">
        <v>100</v>
      </c>
      <c r="H74">
        <v>90</v>
      </c>
      <c r="I74" s="25">
        <v>0</v>
      </c>
      <c r="J74">
        <v>50</v>
      </c>
      <c r="K74">
        <v>65</v>
      </c>
      <c r="L74">
        <v>80</v>
      </c>
      <c r="M74">
        <v>280</v>
      </c>
      <c r="V74">
        <v>-35</v>
      </c>
      <c r="W74">
        <v>10</v>
      </c>
      <c r="Y74">
        <v>15</v>
      </c>
      <c r="Z74">
        <v>10</v>
      </c>
      <c r="AD74">
        <v>50</v>
      </c>
      <c r="AF74">
        <v>50</v>
      </c>
      <c r="AH74">
        <v>60</v>
      </c>
      <c r="AI74">
        <v>60</v>
      </c>
    </row>
    <row r="75" spans="1:35" x14ac:dyDescent="0.4">
      <c r="C75" t="s">
        <v>186</v>
      </c>
      <c r="D75" t="str">
        <f>SUM(AC75:AQ75,F75:L75)&amp;"/"&amp;SUM(F75:L75)&amp;"/"&amp;SUM(AC75:AQ75)</f>
        <v>0/0/0</v>
      </c>
      <c r="E75">
        <v>1</v>
      </c>
    </row>
    <row r="76" spans="1:35" x14ac:dyDescent="0.4">
      <c r="C76" t="s">
        <v>186</v>
      </c>
      <c r="D76" t="str">
        <f>SUM(AC76:AQ76,F76:L76)&amp;"/"&amp;SUM(F76:L76)&amp;"/"&amp;SUM(AC76:AQ76)</f>
        <v>0/0/0</v>
      </c>
      <c r="E76">
        <v>1</v>
      </c>
    </row>
    <row r="77" spans="1:35" x14ac:dyDescent="0.4">
      <c r="C77" t="s">
        <v>186</v>
      </c>
      <c r="D77" t="str">
        <f>SUM(AC77:AQ77,F77:L77)&amp;"/"&amp;SUM(F77:L77)&amp;"/"&amp;SUM(AC77:AQ77)</f>
        <v>0/0/0</v>
      </c>
      <c r="E77">
        <v>1</v>
      </c>
    </row>
    <row r="78" spans="1:35" x14ac:dyDescent="0.4">
      <c r="C78" t="s">
        <v>186</v>
      </c>
      <c r="D78" t="str">
        <f>SUM(AC78:AQ78,F78:L78)&amp;"/"&amp;SUM(F78:L78)&amp;"/"&amp;SUM(AC78:AQ78)</f>
        <v>0/0/0</v>
      </c>
      <c r="E78">
        <v>1</v>
      </c>
    </row>
    <row r="79" spans="1:35" x14ac:dyDescent="0.4">
      <c r="C79" t="s">
        <v>186</v>
      </c>
      <c r="D79" t="str">
        <f>SUM(AC79:AQ79,F79:L79)&amp;"/"&amp;SUM(F79:L79)&amp;"/"&amp;SUM(AC79:AQ79)</f>
        <v>0/0/0</v>
      </c>
      <c r="E79">
        <v>1</v>
      </c>
    </row>
    <row r="80" spans="1:35" x14ac:dyDescent="0.4">
      <c r="C80" t="s">
        <v>186</v>
      </c>
      <c r="D80" t="str">
        <f>SUM(AC80:AQ80,F80:L80)&amp;"/"&amp;SUM(F80:L80)&amp;"/"&amp;SUM(AC80:AQ80)</f>
        <v>0/0/0</v>
      </c>
      <c r="E80">
        <v>1</v>
      </c>
    </row>
  </sheetData>
  <mergeCells count="15">
    <mergeCell ref="AD14:AS14"/>
    <mergeCell ref="AD15:AS15"/>
    <mergeCell ref="AD16:AS16"/>
    <mergeCell ref="AD8:AS8"/>
    <mergeCell ref="AD9:AS9"/>
    <mergeCell ref="AD10:AS10"/>
    <mergeCell ref="AD11:AS11"/>
    <mergeCell ref="AD12:AS12"/>
    <mergeCell ref="AD13:AS13"/>
    <mergeCell ref="AD2:AS2"/>
    <mergeCell ref="AD3:AS3"/>
    <mergeCell ref="AD4:AS4"/>
    <mergeCell ref="AD5:AS5"/>
    <mergeCell ref="AD6:AS6"/>
    <mergeCell ref="AD7:AS7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456C-9285-4937-9717-122335B22E41}">
  <dimension ref="A1:B16"/>
  <sheetViews>
    <sheetView workbookViewId="0">
      <selection activeCell="E6" sqref="E6"/>
    </sheetView>
  </sheetViews>
  <sheetFormatPr defaultRowHeight="18.75" x14ac:dyDescent="0.4"/>
  <sheetData>
    <row r="1" spans="1:2" x14ac:dyDescent="0.4">
      <c r="A1" t="s">
        <v>224</v>
      </c>
      <c r="B1" t="s">
        <v>86</v>
      </c>
    </row>
    <row r="2" spans="1:2" x14ac:dyDescent="0.4">
      <c r="A2" t="s">
        <v>0</v>
      </c>
      <c r="B2" t="s">
        <v>225</v>
      </c>
    </row>
    <row r="3" spans="1:2" x14ac:dyDescent="0.4">
      <c r="A3" t="s">
        <v>2</v>
      </c>
      <c r="B3" t="s">
        <v>226</v>
      </c>
    </row>
    <row r="4" spans="1:2" x14ac:dyDescent="0.4">
      <c r="A4" t="s">
        <v>3</v>
      </c>
      <c r="B4" t="s">
        <v>227</v>
      </c>
    </row>
    <row r="5" spans="1:2" x14ac:dyDescent="0.4">
      <c r="A5" t="s">
        <v>108</v>
      </c>
      <c r="B5" t="s">
        <v>228</v>
      </c>
    </row>
    <row r="6" spans="1:2" x14ac:dyDescent="0.4">
      <c r="A6" t="s">
        <v>107</v>
      </c>
      <c r="B6" t="s">
        <v>229</v>
      </c>
    </row>
    <row r="7" spans="1:2" x14ac:dyDescent="0.4">
      <c r="A7" t="s">
        <v>5</v>
      </c>
      <c r="B7" t="s">
        <v>230</v>
      </c>
    </row>
    <row r="8" spans="1:2" x14ac:dyDescent="0.4">
      <c r="A8" t="s">
        <v>4</v>
      </c>
      <c r="B8" t="s">
        <v>231</v>
      </c>
    </row>
    <row r="9" spans="1:2" x14ac:dyDescent="0.4">
      <c r="A9" t="s">
        <v>219</v>
      </c>
      <c r="B9" t="s">
        <v>232</v>
      </c>
    </row>
    <row r="10" spans="1:2" x14ac:dyDescent="0.4">
      <c r="A10" t="s">
        <v>220</v>
      </c>
      <c r="B10" t="s">
        <v>233</v>
      </c>
    </row>
    <row r="11" spans="1:2" x14ac:dyDescent="0.4">
      <c r="A11" t="s">
        <v>221</v>
      </c>
      <c r="B11" t="s">
        <v>234</v>
      </c>
    </row>
    <row r="12" spans="1:2" x14ac:dyDescent="0.4">
      <c r="A12" t="s">
        <v>222</v>
      </c>
      <c r="B12" t="s">
        <v>235</v>
      </c>
    </row>
    <row r="13" spans="1:2" x14ac:dyDescent="0.4">
      <c r="A13" t="s">
        <v>223</v>
      </c>
      <c r="B13" t="s">
        <v>236</v>
      </c>
    </row>
    <row r="14" spans="1:2" x14ac:dyDescent="0.4">
      <c r="A14" t="s">
        <v>11</v>
      </c>
      <c r="B14" t="s">
        <v>237</v>
      </c>
    </row>
    <row r="15" spans="1:2" x14ac:dyDescent="0.4">
      <c r="A15" t="s">
        <v>106</v>
      </c>
      <c r="B15" t="s">
        <v>238</v>
      </c>
    </row>
    <row r="16" spans="1:2" x14ac:dyDescent="0.4">
      <c r="A16" t="s">
        <v>12</v>
      </c>
      <c r="B16" t="s">
        <v>239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7922A-73DC-4912-BBD4-1197EC7EDE86}">
  <dimension ref="A1:T380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342" sqref="H342"/>
    </sheetView>
  </sheetViews>
  <sheetFormatPr defaultRowHeight="18" outlineLevelRow="1" x14ac:dyDescent="0.4"/>
  <cols>
    <col min="1" max="1" width="3.375" style="2" customWidth="1"/>
    <col min="2" max="2" width="16.5" style="2" customWidth="1"/>
    <col min="3" max="3" width="19" style="2" customWidth="1"/>
    <col min="4" max="4" width="4.75" style="2" customWidth="1"/>
    <col min="5" max="5" width="6.75" style="13" customWidth="1"/>
    <col min="6" max="6" width="6.75" style="14" customWidth="1"/>
    <col min="7" max="7" width="7.5" style="19" customWidth="1"/>
    <col min="8" max="8" width="32.125" style="10" customWidth="1"/>
    <col min="9" max="9" width="32" style="6" customWidth="1"/>
    <col min="10" max="10" width="10.25" style="7" customWidth="1"/>
    <col min="11" max="12" width="11" style="15" bestFit="1" customWidth="1"/>
    <col min="13" max="13" width="10.75" style="2" customWidth="1"/>
    <col min="14" max="14" width="11.25" style="2" customWidth="1"/>
    <col min="15" max="15" width="9" style="2"/>
    <col min="16" max="16" width="30" style="10" customWidth="1"/>
    <col min="17" max="17" width="21.25" style="10" customWidth="1"/>
    <col min="18" max="19" width="4.875" style="10" customWidth="1"/>
    <col min="20" max="42" width="4.875" style="2" customWidth="1"/>
    <col min="43" max="16384" width="9" style="2"/>
  </cols>
  <sheetData>
    <row r="1" spans="1:20" ht="31.5" customHeight="1" x14ac:dyDescent="0.4">
      <c r="A1" s="2" t="s">
        <v>16</v>
      </c>
      <c r="B1" s="2" t="s">
        <v>81</v>
      </c>
      <c r="C1" s="2" t="s">
        <v>14</v>
      </c>
      <c r="D1" s="3" t="s">
        <v>82</v>
      </c>
      <c r="E1" s="4" t="s">
        <v>83</v>
      </c>
      <c r="F1" s="5" t="s">
        <v>84</v>
      </c>
      <c r="G1" s="18" t="s">
        <v>118</v>
      </c>
      <c r="H1" s="3" t="s">
        <v>85</v>
      </c>
      <c r="I1" s="6" t="s">
        <v>86</v>
      </c>
      <c r="J1" s="7" t="s">
        <v>87</v>
      </c>
      <c r="K1" s="8" t="s">
        <v>88</v>
      </c>
      <c r="L1" s="8"/>
      <c r="M1" s="3" t="s">
        <v>89</v>
      </c>
      <c r="N1" s="3" t="s">
        <v>90</v>
      </c>
      <c r="O1" s="3" t="s">
        <v>91</v>
      </c>
      <c r="P1" s="9" t="s">
        <v>92</v>
      </c>
      <c r="Q1" s="9" t="s">
        <v>93</v>
      </c>
      <c r="R1" s="9"/>
      <c r="S1" s="9"/>
    </row>
    <row r="2" spans="1:20" ht="103.5" customHeight="1" x14ac:dyDescent="0.4">
      <c r="B2" s="10" t="s">
        <v>94</v>
      </c>
      <c r="C2" s="10" t="s">
        <v>95</v>
      </c>
      <c r="D2" s="3" t="s">
        <v>96</v>
      </c>
      <c r="E2" s="4"/>
      <c r="F2" s="5"/>
      <c r="G2" s="18"/>
      <c r="H2" s="3"/>
      <c r="I2" s="11" t="s">
        <v>97</v>
      </c>
      <c r="J2" s="3" t="s">
        <v>98</v>
      </c>
      <c r="K2" s="8" t="s">
        <v>99</v>
      </c>
      <c r="L2" s="8"/>
      <c r="M2" s="3" t="s">
        <v>100</v>
      </c>
      <c r="N2" s="3" t="s">
        <v>101</v>
      </c>
      <c r="T2" s="12">
        <v>0.3</v>
      </c>
    </row>
    <row r="3" spans="1:20" ht="18" customHeight="1" x14ac:dyDescent="0.4">
      <c r="B3" s="10" t="s">
        <v>102</v>
      </c>
      <c r="C3" s="10" t="s">
        <v>103</v>
      </c>
      <c r="D3" s="3"/>
      <c r="E3" s="4"/>
      <c r="F3" s="5"/>
      <c r="G3" s="18"/>
      <c r="H3" s="3"/>
      <c r="I3" s="11" t="s">
        <v>104</v>
      </c>
      <c r="K3" s="8" t="s">
        <v>105</v>
      </c>
      <c r="L3" s="8"/>
      <c r="M3" s="3"/>
      <c r="N3" s="3"/>
      <c r="T3" s="12"/>
    </row>
    <row r="4" spans="1:20" ht="13.5" customHeight="1" x14ac:dyDescent="0.4"/>
    <row r="5" spans="1:20" ht="33" x14ac:dyDescent="0.4">
      <c r="H5" s="16"/>
    </row>
    <row r="6" spans="1:20" x14ac:dyDescent="0.4">
      <c r="L6" s="15" t="str">
        <f>IF(OR(COUNTIF(クラス!$A$1:$A$1020, $B6),$B6="",COUNTIF(スキル一覧!$A$1:$A$3500, $B6)), "", "存在しない")</f>
        <v/>
      </c>
      <c r="M6" s="2" t="str">
        <f>IF(COUNTIF($B$1:$C5, $B6), "", "存在しない")</f>
        <v>存在しない</v>
      </c>
      <c r="N6" s="2" t="str">
        <f>IF(AND(A6&lt;&gt;"",L6="存在しない",M6="存在しない"),IF(COUNTIF([1]クラス!$A$1:$A$1000, $B6),"",TRUE),"")</f>
        <v/>
      </c>
    </row>
    <row r="7" spans="1:20" x14ac:dyDescent="0.4">
      <c r="C7" s="2" t="s">
        <v>110</v>
      </c>
      <c r="L7" s="15" t="str">
        <f>IF(OR(COUNTIF(クラス!$A$1:$A$1020, $B7),$B7="",COUNTIF(スキル一覧!$A$1:$A$3500, $B7)), "", "存在しない")</f>
        <v/>
      </c>
      <c r="M7" s="2" t="str">
        <f>IF(COUNTIF($B$1:$C6, $B7), "", "存在しない")</f>
        <v>存在しない</v>
      </c>
      <c r="N7" s="2" t="str">
        <f>IF(AND(A7&lt;&gt;"",L7="存在しない",M7="存在しない"),IF(COUNTIF([1]クラス!$A$1:$A$1000, $B7),"",TRUE),"")</f>
        <v/>
      </c>
    </row>
    <row r="8" spans="1:20" x14ac:dyDescent="0.4">
      <c r="B8" s="2" t="s">
        <v>26</v>
      </c>
      <c r="C8" s="2" t="s">
        <v>28</v>
      </c>
      <c r="D8" s="2" t="s">
        <v>82</v>
      </c>
      <c r="E8" s="13" t="s">
        <v>119</v>
      </c>
      <c r="F8" s="14" t="s">
        <v>84</v>
      </c>
      <c r="G8" s="18" t="s">
        <v>118</v>
      </c>
      <c r="H8" s="10" t="s">
        <v>85</v>
      </c>
      <c r="I8" s="6" t="s">
        <v>86</v>
      </c>
      <c r="J8" s="7" t="s">
        <v>87</v>
      </c>
      <c r="L8" s="15" t="str">
        <f>IF(OR(COUNTIF(クラス!$A$1:$A$1020, $B8),$B8="",COUNTIF(スキル一覧!$A$1:$A$3500, $B8)), "", "存在しない")</f>
        <v/>
      </c>
      <c r="M8" s="2" t="str">
        <f>IF(COUNTIF($B$1:$C7, $B8), "", "存在しない")</f>
        <v>存在しない</v>
      </c>
      <c r="N8" s="2" t="str">
        <f>IF(AND(A8&lt;&gt;"",L8="存在しない",M8="存在しない"),IF(COUNTIF([1]クラス!$A$1:$A$1000, $B8),"",TRUE),"")</f>
        <v/>
      </c>
    </row>
    <row r="9" spans="1:20" hidden="1" outlineLevel="1" x14ac:dyDescent="0.4">
      <c r="A9" s="2">
        <v>1</v>
      </c>
      <c r="L9" s="15" t="str">
        <f>IF(OR(COUNTIF(クラス!$A$1:$A$1020, $B9),$B9="",COUNTIF(スキル一覧!$A$1:$A$3500, $B9)), "", "存在しない")</f>
        <v/>
      </c>
      <c r="M9" s="2" t="str">
        <f>IF(COUNTIF($B$1:$C8, $B9), "", "存在しない")</f>
        <v>存在しない</v>
      </c>
      <c r="N9" s="2" t="str">
        <f>IF(AND(A9&lt;&gt;"",L9="存在しない",M9="存在しない"),IF(COUNTIF([1]クラス!$A$1:$A$1000, $B9),"",TRUE),"")</f>
        <v/>
      </c>
    </row>
    <row r="10" spans="1:20" hidden="1" outlineLevel="1" x14ac:dyDescent="0.4">
      <c r="A10" s="2">
        <v>2</v>
      </c>
      <c r="B10" s="2" t="s">
        <v>164</v>
      </c>
      <c r="C10" s="2" t="s">
        <v>165</v>
      </c>
      <c r="E10" s="13" t="s">
        <v>120</v>
      </c>
      <c r="G10" s="19">
        <v>60</v>
      </c>
      <c r="H10" s="10" t="s">
        <v>174</v>
      </c>
      <c r="L10" s="15" t="str">
        <f>IF(OR(COUNTIF(クラス!$A$1:$A$1020, $B10),$B10="",COUNTIF(スキル一覧!$A$1:$A$3500, $B10)), "", "存在しない")</f>
        <v>存在しない</v>
      </c>
      <c r="M10" s="2" t="str">
        <f>IF(COUNTIF($B$1:$C9, $B10), "", "存在しない")</f>
        <v>存在しない</v>
      </c>
      <c r="N10" s="2" t="b">
        <f>IF(AND(A10&lt;&gt;"",L10="存在しない",M10="存在しない"),IF(COUNTIF([1]クラス!$A$1:$A$1000, $B10),"",TRUE),"")</f>
        <v>1</v>
      </c>
    </row>
    <row r="11" spans="1:20" hidden="1" outlineLevel="1" x14ac:dyDescent="0.4">
      <c r="A11" s="2">
        <v>3</v>
      </c>
      <c r="B11" s="2" t="s">
        <v>122</v>
      </c>
      <c r="E11" s="13" t="s">
        <v>121</v>
      </c>
      <c r="H11" s="10" t="s">
        <v>123</v>
      </c>
      <c r="L11" s="15" t="str">
        <f>IF(OR(COUNTIF(クラス!$A$1:$A$1020, $B11),$B11="",COUNTIF(スキル一覧!$A$1:$A$3500, $B11)), "", "存在しない")</f>
        <v>存在しない</v>
      </c>
      <c r="M11" s="2" t="str">
        <f>IF(COUNTIF($B$1:$C10, $B11), "", "存在しない")</f>
        <v>存在しない</v>
      </c>
      <c r="N11" s="2" t="b">
        <f>IF(AND(A11&lt;&gt;"",L11="存在しない",M11="存在しない"),IF(COUNTIF([1]クラス!$A$1:$A$1000, $B11),"",TRUE),"")</f>
        <v>1</v>
      </c>
    </row>
    <row r="12" spans="1:20" hidden="1" outlineLevel="1" x14ac:dyDescent="0.4">
      <c r="A12" s="2">
        <v>4</v>
      </c>
      <c r="L12" s="15" t="str">
        <f>IF(OR(COUNTIF(クラス!$A$1:$A$1020, $B12),$B12="",COUNTIF(スキル一覧!$A$1:$A$3500, $B12)), "", "存在しない")</f>
        <v/>
      </c>
      <c r="M12" s="2" t="str">
        <f>IF(COUNTIF($B$1:$C11, $B12), "", "存在しない")</f>
        <v>存在しない</v>
      </c>
      <c r="N12" s="2" t="str">
        <f>IF(AND(A12&lt;&gt;"",L12="存在しない",M12="存在しない"),IF(COUNTIF([1]クラス!$A$1:$A$1000, $B12),"",TRUE),"")</f>
        <v/>
      </c>
    </row>
    <row r="13" spans="1:20" hidden="1" outlineLevel="1" x14ac:dyDescent="0.4">
      <c r="A13" s="2">
        <v>5</v>
      </c>
      <c r="B13" s="2" t="s">
        <v>166</v>
      </c>
      <c r="C13" s="2" t="s">
        <v>167</v>
      </c>
      <c r="E13" s="13" t="s">
        <v>120</v>
      </c>
      <c r="G13" s="19">
        <v>50</v>
      </c>
      <c r="H13" s="10" t="s">
        <v>176</v>
      </c>
      <c r="L13" s="15" t="str">
        <f>IF(OR(COUNTIF(クラス!$A$1:$A$1020, $B13),$B13="",COUNTIF(スキル一覧!$A$1:$A$3500, $B13)), "", "存在しない")</f>
        <v>存在しない</v>
      </c>
      <c r="M13" s="2" t="str">
        <f>IF(COUNTIF($B$1:$C12, $B13), "", "存在しない")</f>
        <v>存在しない</v>
      </c>
      <c r="N13" s="2" t="b">
        <f>IF(AND(A13&lt;&gt;"",L13="存在しない",M13="存在しない"),IF(COUNTIF([1]クラス!$A$1:$A$1000, $B13),"",TRUE),"")</f>
        <v>1</v>
      </c>
    </row>
    <row r="14" spans="1:20" hidden="1" outlineLevel="1" x14ac:dyDescent="0.4">
      <c r="A14" s="2">
        <v>6</v>
      </c>
      <c r="E14" s="13" t="s">
        <v>121</v>
      </c>
      <c r="L14" s="15" t="str">
        <f>IF(OR(COUNTIF(クラス!$A$1:$A$1020, $B14),$B14="",COUNTIF(スキル一覧!$A$1:$A$3500, $B14)), "", "存在しない")</f>
        <v/>
      </c>
      <c r="M14" s="2" t="str">
        <f>IF(COUNTIF($B$1:$C13, $B14), "", "存在しない")</f>
        <v>存在しない</v>
      </c>
      <c r="N14" s="2" t="str">
        <f>IF(AND(A14&lt;&gt;"",L14="存在しない",M14="存在しない"),IF(COUNTIF([1]クラス!$A$1:$A$1000, $B14),"",TRUE),"")</f>
        <v/>
      </c>
    </row>
    <row r="15" spans="1:20" hidden="1" outlineLevel="1" x14ac:dyDescent="0.4">
      <c r="A15" s="2">
        <v>7</v>
      </c>
      <c r="L15" s="15" t="str">
        <f>IF(OR(COUNTIF(クラス!$A$1:$A$1020, $B15),$B15="",COUNTIF(スキル一覧!$A$1:$A$3500, $B15)), "", "存在しない")</f>
        <v/>
      </c>
      <c r="M15" s="2" t="str">
        <f>IF(COUNTIF($B$1:$C14, $B15), "", "存在しない")</f>
        <v>存在しない</v>
      </c>
      <c r="N15" s="2" t="str">
        <f>IF(AND(A15&lt;&gt;"",L15="存在しない",M15="存在しない"),IF(COUNTIF([1]クラス!$A$1:$A$1000, $B15),"",TRUE),"")</f>
        <v/>
      </c>
    </row>
    <row r="16" spans="1:20" hidden="1" outlineLevel="1" x14ac:dyDescent="0.4">
      <c r="A16" s="2">
        <v>8</v>
      </c>
      <c r="B16" s="2" t="s">
        <v>111</v>
      </c>
      <c r="C16" s="2" t="s">
        <v>112</v>
      </c>
      <c r="E16" s="13" t="s">
        <v>120</v>
      </c>
      <c r="G16" s="19">
        <v>40</v>
      </c>
      <c r="H16" s="10" t="s">
        <v>113</v>
      </c>
      <c r="L16" s="15" t="str">
        <f>IF(OR(COUNTIF(クラス!$A$1:$A$1020, $B16),$B16="",COUNTIF(スキル一覧!$A$1:$A$3500, $B16)), "", "存在しない")</f>
        <v>存在しない</v>
      </c>
      <c r="M16" s="2" t="str">
        <f>IF(COUNTIF($B$1:$C15, $B16), "", "存在しない")</f>
        <v>存在しない</v>
      </c>
      <c r="N16" s="2" t="b">
        <f>IF(AND(A16&lt;&gt;"",L16="存在しない",M16="存在しない"),IF(COUNTIF([1]クラス!$A$1:$A$1000, $B16),"",TRUE),"")</f>
        <v>1</v>
      </c>
    </row>
    <row r="17" spans="1:14" hidden="1" outlineLevel="1" x14ac:dyDescent="0.4">
      <c r="A17" s="2">
        <v>9</v>
      </c>
      <c r="B17" s="2" t="s">
        <v>200</v>
      </c>
      <c r="E17" s="13" t="s">
        <v>121</v>
      </c>
      <c r="H17" s="10" t="s">
        <v>173</v>
      </c>
      <c r="L17" s="15" t="str">
        <f>IF(OR(COUNTIF(クラス!$A$1:$A$1020, $B17),$B17="",COUNTIF(スキル一覧!$A$1:$A$3500, $B17)), "", "存在しない")</f>
        <v>存在しない</v>
      </c>
      <c r="M17" s="2" t="str">
        <f>IF(COUNTIF($B$1:$C16, $B17), "", "存在しない")</f>
        <v>存在しない</v>
      </c>
      <c r="N17" s="2" t="b">
        <f>IF(AND(A17&lt;&gt;"",L17="存在しない",M17="存在しない"),IF(COUNTIF([1]クラス!$A$1:$A$1000, $B17),"",TRUE),"")</f>
        <v>1</v>
      </c>
    </row>
    <row r="18" spans="1:14" ht="36" hidden="1" outlineLevel="1" x14ac:dyDescent="0.4">
      <c r="A18" s="2">
        <v>10</v>
      </c>
      <c r="B18" s="2" t="s">
        <v>171</v>
      </c>
      <c r="C18" s="2" t="s">
        <v>172</v>
      </c>
      <c r="E18" s="13" t="s">
        <v>120</v>
      </c>
      <c r="G18" s="19">
        <v>60</v>
      </c>
      <c r="H18" s="10" t="s">
        <v>175</v>
      </c>
      <c r="L18" s="15" t="str">
        <f>IF(OR(COUNTIF(クラス!$A$1:$A$1020, $B18),$B18="",COUNTIF(スキル一覧!$A$1:$A$3500, $B18)), "", "存在しない")</f>
        <v>存在しない</v>
      </c>
      <c r="M18" s="2" t="str">
        <f>IF(COUNTIF($B$1:$C17, $B18), "", "存在しない")</f>
        <v>存在しない</v>
      </c>
      <c r="N18" s="2" t="b">
        <f>IF(AND(A18&lt;&gt;"",L18="存在しない",M18="存在しない"),IF(COUNTIF([1]クラス!$A$1:$A$1000, $B18),"",TRUE),"")</f>
        <v>1</v>
      </c>
    </row>
    <row r="19" spans="1:14" hidden="1" outlineLevel="1" x14ac:dyDescent="0.4">
      <c r="L19" s="15" t="str">
        <f>IF(OR(COUNTIF(クラス!$A$1:$A$1020, $B19),$B19="",COUNTIF(スキル一覧!$A$1:$A$3500, $B19)), "", "存在しない")</f>
        <v/>
      </c>
      <c r="M19" s="2" t="str">
        <f>IF(COUNTIF($B$1:$C18, $B19), "", "存在しない")</f>
        <v>存在しない</v>
      </c>
      <c r="N19" s="2" t="str">
        <f>IF(AND(A19&lt;&gt;"",L19="存在しない",M19="存在しない"),IF(COUNTIF([1]クラス!$A$1:$A$1000, $B19),"",TRUE),"")</f>
        <v/>
      </c>
    </row>
    <row r="20" spans="1:14" collapsed="1" x14ac:dyDescent="0.4">
      <c r="L20" s="15" t="str">
        <f>IF(OR(COUNTIF(クラス!$A$1:$A$1020, $B20),$B20="",COUNTIF(スキル一覧!$A$1:$A$3500, $B20)), "", "存在しない")</f>
        <v/>
      </c>
      <c r="M20" s="2" t="str">
        <f>IF(COUNTIF($B$1:$C19, $B20), "", "存在しない")</f>
        <v>存在しない</v>
      </c>
      <c r="N20" s="2" t="str">
        <f>IF(AND(A20&lt;&gt;"",L20="存在しない",M20="存在しない"),IF(COUNTIF([1]クラス!$A$1:$A$1000, $B20),"",TRUE),"")</f>
        <v/>
      </c>
    </row>
    <row r="21" spans="1:14" x14ac:dyDescent="0.4">
      <c r="B21" s="2" t="s">
        <v>114</v>
      </c>
      <c r="L21" s="15" t="str">
        <f>IF(OR(COUNTIF(クラス!$A$1:$A$1020, $B21),$B21="",COUNTIF(スキル一覧!$A$1:$A$3500, $B21)), "", "存在しない")</f>
        <v/>
      </c>
      <c r="M21" s="2" t="str">
        <f>IF(COUNTIF($B$1:$C20, $B21), "", "存在しない")</f>
        <v>存在しない</v>
      </c>
      <c r="N21" s="2" t="str">
        <f>IF(AND(A21&lt;&gt;"",L21="存在しない",M21="存在しない"),IF(COUNTIF([1]クラス!$A$1:$A$1000, $B21),"",TRUE),"")</f>
        <v/>
      </c>
    </row>
    <row r="22" spans="1:14" hidden="1" outlineLevel="1" x14ac:dyDescent="0.4">
      <c r="A22" s="2">
        <v>1</v>
      </c>
      <c r="L22" s="15" t="str">
        <f>IF(OR(COUNTIF(クラス!$A$1:$A$1020, $B22),$B22="",COUNTIF(スキル一覧!$A$1:$A$3500, $B22)), "", "存在しない")</f>
        <v/>
      </c>
      <c r="M22" s="2" t="str">
        <f>IF(COUNTIF($B$1:$C21, $B22), "", "存在しない")</f>
        <v>存在しない</v>
      </c>
      <c r="N22" s="2" t="str">
        <f>IF(AND(A22&lt;&gt;"",L22="存在しない",M22="存在しない"),IF(COUNTIF([1]クラス!$A$1:$A$1000, $B22),"",TRUE),"")</f>
        <v/>
      </c>
    </row>
    <row r="23" spans="1:14" hidden="1" outlineLevel="1" x14ac:dyDescent="0.4">
      <c r="A23" s="2">
        <v>2</v>
      </c>
      <c r="B23" s="2" t="s">
        <v>166</v>
      </c>
      <c r="C23" s="2" t="s">
        <v>167</v>
      </c>
      <c r="E23" s="13" t="s">
        <v>120</v>
      </c>
      <c r="G23" s="19">
        <v>60</v>
      </c>
      <c r="H23" s="10" t="s">
        <v>174</v>
      </c>
      <c r="L23" s="15" t="str">
        <f>IF(OR(COUNTIF(クラス!$A$1:$A$1020, $B23),$B23="",COUNTIF(スキル一覧!$A$1:$A$3500, $B23)), "", "存在しない")</f>
        <v>存在しない</v>
      </c>
      <c r="M23" s="2" t="str">
        <f>IF(COUNTIF($B$1:$C22, $B23), "", "存在しない")</f>
        <v/>
      </c>
      <c r="N23" s="2" t="str">
        <f>IF(AND(A23&lt;&gt;"",L23="存在しない",M23="存在しない"),IF(COUNTIF([1]クラス!$A$1:$A$1000, $B23),"",TRUE),"")</f>
        <v/>
      </c>
    </row>
    <row r="24" spans="1:14" hidden="1" outlineLevel="1" x14ac:dyDescent="0.4">
      <c r="A24" s="2">
        <v>3</v>
      </c>
      <c r="B24" s="2" t="s">
        <v>122</v>
      </c>
      <c r="E24" s="13" t="s">
        <v>121</v>
      </c>
      <c r="H24" s="10" t="s">
        <v>123</v>
      </c>
      <c r="L24" s="15" t="str">
        <f>IF(OR(COUNTIF(クラス!$A$1:$A$1020, $B24),$B24="",COUNTIF(スキル一覧!$A$1:$A$3500, $B24)), "", "存在しない")</f>
        <v>存在しない</v>
      </c>
      <c r="M24" s="2" t="str">
        <f>IF(COUNTIF($B$1:$C23, $B24), "", "存在しない")</f>
        <v/>
      </c>
      <c r="N24" s="2" t="str">
        <f>IF(AND(A24&lt;&gt;"",L24="存在しない",M24="存在しない"),IF(COUNTIF([1]クラス!$A$1:$A$1000, $B24),"",TRUE),"")</f>
        <v/>
      </c>
    </row>
    <row r="25" spans="1:14" hidden="1" outlineLevel="1" x14ac:dyDescent="0.4">
      <c r="A25" s="2">
        <v>4</v>
      </c>
      <c r="L25" s="15" t="str">
        <f>IF(OR(COUNTIF(クラス!$A$1:$A$1020, $B25),$B25="",COUNTIF(スキル一覧!$A$1:$A$3500, $B25)), "", "存在しない")</f>
        <v/>
      </c>
      <c r="M25" s="2" t="str">
        <f>IF(COUNTIF($B$1:$C24, $B25), "", "存在しない")</f>
        <v>存在しない</v>
      </c>
      <c r="N25" s="2" t="str">
        <f>IF(AND(A25&lt;&gt;"",L25="存在しない",M25="存在しない"),IF(COUNTIF([1]クラス!$A$1:$A$1000, $B25),"",TRUE),"")</f>
        <v/>
      </c>
    </row>
    <row r="26" spans="1:14" hidden="1" outlineLevel="1" x14ac:dyDescent="0.4">
      <c r="A26" s="2">
        <v>5</v>
      </c>
      <c r="B26" s="2" t="s">
        <v>164</v>
      </c>
      <c r="C26" s="2" t="s">
        <v>165</v>
      </c>
      <c r="E26" s="13" t="s">
        <v>120</v>
      </c>
      <c r="G26" s="19">
        <v>50</v>
      </c>
      <c r="H26" s="10" t="s">
        <v>176</v>
      </c>
      <c r="L26" s="15" t="str">
        <f>IF(OR(COUNTIF(クラス!$A$1:$A$1020, $B26),$B26="",COUNTIF(スキル一覧!$A$1:$A$3500, $B26)), "", "存在しない")</f>
        <v>存在しない</v>
      </c>
      <c r="M26" s="2" t="str">
        <f>IF(COUNTIF($B$1:$C25, $B26), "", "存在しない")</f>
        <v/>
      </c>
      <c r="N26" s="2" t="str">
        <f>IF(AND(A26&lt;&gt;"",L26="存在しない",M26="存在しない"),IF(COUNTIF([1]クラス!$A$1:$A$1000, $B26),"",TRUE),"")</f>
        <v/>
      </c>
    </row>
    <row r="27" spans="1:14" hidden="1" outlineLevel="1" x14ac:dyDescent="0.4">
      <c r="A27" s="2">
        <v>6</v>
      </c>
      <c r="B27" s="2" t="s">
        <v>216</v>
      </c>
      <c r="E27" s="13" t="s">
        <v>121</v>
      </c>
      <c r="H27" s="10" t="s">
        <v>217</v>
      </c>
      <c r="L27" s="15" t="str">
        <f>IF(OR(COUNTIF(クラス!$A$1:$A$1020, $B27),$B27="",COUNTIF(スキル一覧!$A$1:$A$3500, $B27)), "", "存在しない")</f>
        <v>存在しない</v>
      </c>
      <c r="M27" s="2" t="str">
        <f>IF(COUNTIF($B$1:$C26, $B27), "", "存在しない")</f>
        <v>存在しない</v>
      </c>
      <c r="N27" s="2" t="b">
        <f>IF(AND(A27&lt;&gt;"",L27="存在しない",M27="存在しない"),IF(COUNTIF([1]クラス!$A$1:$A$1000, $B27),"",TRUE),"")</f>
        <v>1</v>
      </c>
    </row>
    <row r="28" spans="1:14" hidden="1" outlineLevel="1" x14ac:dyDescent="0.4">
      <c r="A28" s="2">
        <v>7</v>
      </c>
      <c r="L28" s="15" t="str">
        <f>IF(OR(COUNTIF(クラス!$A$1:$A$1020, $B28),$B28="",COUNTIF(スキル一覧!$A$1:$A$3500, $B28)), "", "存在しない")</f>
        <v/>
      </c>
      <c r="M28" s="2" t="str">
        <f>IF(COUNTIF($B$1:$C27, $B28), "", "存在しない")</f>
        <v>存在しない</v>
      </c>
      <c r="N28" s="2" t="str">
        <f>IF(AND(A28&lt;&gt;"",L28="存在しない",M28="存在しない"),IF(COUNTIF([1]クラス!$A$1:$A$1000, $B28),"",TRUE),"")</f>
        <v/>
      </c>
    </row>
    <row r="29" spans="1:14" hidden="1" outlineLevel="1" x14ac:dyDescent="0.4">
      <c r="A29" s="2">
        <v>8</v>
      </c>
      <c r="B29" s="2" t="s">
        <v>111</v>
      </c>
      <c r="C29" s="2" t="s">
        <v>112</v>
      </c>
      <c r="E29" s="13" t="s">
        <v>120</v>
      </c>
      <c r="G29" s="19">
        <v>40</v>
      </c>
      <c r="H29" s="10" t="s">
        <v>113</v>
      </c>
      <c r="L29" s="15" t="str">
        <f>IF(OR(COUNTIF(クラス!$A$1:$A$1020, $B29),$B29="",COUNTIF(スキル一覧!$A$1:$A$3500, $B29)), "", "存在しない")</f>
        <v>存在しない</v>
      </c>
      <c r="M29" s="2" t="str">
        <f>IF(COUNTIF($B$1:$C28, $B29), "", "存在しない")</f>
        <v/>
      </c>
      <c r="N29" s="2" t="str">
        <f>IF(AND(A29&lt;&gt;"",L29="存在しない",M29="存在しない"),IF(COUNTIF([1]クラス!$A$1:$A$1000, $B29),"",TRUE),"")</f>
        <v/>
      </c>
    </row>
    <row r="30" spans="1:14" hidden="1" outlineLevel="1" x14ac:dyDescent="0.4">
      <c r="A30" s="2">
        <v>9</v>
      </c>
      <c r="B30" s="2" t="s">
        <v>201</v>
      </c>
      <c r="E30" s="13" t="s">
        <v>121</v>
      </c>
      <c r="H30" s="10" t="s">
        <v>202</v>
      </c>
      <c r="L30" s="15" t="str">
        <f>IF(OR(COUNTIF(クラス!$A$1:$A$1020, $B30),$B30="",COUNTIF(スキル一覧!$A$1:$A$3500, $B30)), "", "存在しない")</f>
        <v>存在しない</v>
      </c>
      <c r="M30" s="2" t="str">
        <f>IF(COUNTIF($B$1:$C29, $B30), "", "存在しない")</f>
        <v>存在しない</v>
      </c>
      <c r="N30" s="2" t="b">
        <f>IF(AND(A30&lt;&gt;"",L30="存在しない",M30="存在しない"),IF(COUNTIF([1]クラス!$A$1:$A$1000, $B30),"",TRUE),"")</f>
        <v>1</v>
      </c>
    </row>
    <row r="31" spans="1:14" ht="36" hidden="1" outlineLevel="1" x14ac:dyDescent="0.4">
      <c r="A31" s="2">
        <v>10</v>
      </c>
      <c r="B31" s="2" t="s">
        <v>171</v>
      </c>
      <c r="C31" s="2" t="s">
        <v>172</v>
      </c>
      <c r="E31" s="13" t="s">
        <v>120</v>
      </c>
      <c r="G31" s="19">
        <v>60</v>
      </c>
      <c r="H31" s="10" t="s">
        <v>175</v>
      </c>
      <c r="L31" s="15" t="str">
        <f>IF(OR(COUNTIF(クラス!$A$1:$A$1020, $B31),$B31="",COUNTIF(スキル一覧!$A$1:$A$3500, $B31)), "", "存在しない")</f>
        <v>存在しない</v>
      </c>
      <c r="M31" s="2" t="str">
        <f>IF(COUNTIF($B$1:$C30, $B31), "", "存在しない")</f>
        <v/>
      </c>
      <c r="N31" s="2" t="str">
        <f>IF(AND(A31&lt;&gt;"",L31="存在しない",M31="存在しない"),IF(COUNTIF([1]クラス!$A$1:$A$1000, $B31),"",TRUE),"")</f>
        <v/>
      </c>
    </row>
    <row r="32" spans="1:14" hidden="1" outlineLevel="1" x14ac:dyDescent="0.4">
      <c r="L32" s="15" t="str">
        <f>IF(OR(COUNTIF(クラス!$A$1:$A$1020, $B32),$B32="",COUNTIF(スキル一覧!$A$1:$A$3500, $B32)), "", "存在しない")</f>
        <v/>
      </c>
      <c r="M32" s="2" t="str">
        <f>IF(COUNTIF($B$1:$C31, $B32), "", "存在しない")</f>
        <v>存在しない</v>
      </c>
      <c r="N32" s="2" t="str">
        <f>IF(AND(A32&lt;&gt;"",L32="存在しない",M32="存在しない"),IF(COUNTIF([1]クラス!$A$1:$A$1000, $B32),"",TRUE),"")</f>
        <v/>
      </c>
    </row>
    <row r="33" spans="1:14" collapsed="1" x14ac:dyDescent="0.4">
      <c r="L33" s="15" t="str">
        <f>IF(OR(COUNTIF(クラス!$A$1:$A$1020, $B33),$B33="",COUNTIF(スキル一覧!$A$1:$A$3500, $B33)), "", "存在しない")</f>
        <v/>
      </c>
      <c r="M33" s="2" t="str">
        <f>IF(COUNTIF($B$1:$C32, $B33), "", "存在しない")</f>
        <v>存在しない</v>
      </c>
      <c r="N33" s="2" t="str">
        <f>IF(AND(A33&lt;&gt;"",L33="存在しない",M33="存在しない"),IF(COUNTIF([1]クラス!$A$1:$A$1000, $B33),"",TRUE),"")</f>
        <v/>
      </c>
    </row>
    <row r="34" spans="1:14" x14ac:dyDescent="0.4">
      <c r="B34" s="2" t="s">
        <v>115</v>
      </c>
      <c r="L34" s="15" t="str">
        <f>IF(OR(COUNTIF(クラス!$A$1:$A$1020, $B34),$B34="",COUNTIF(スキル一覧!$A$1:$A$3500, $B34)), "", "存在しない")</f>
        <v/>
      </c>
      <c r="M34" s="2" t="str">
        <f>IF(COUNTIF($B$1:$C33, $B34), "", "存在しない")</f>
        <v>存在しない</v>
      </c>
      <c r="N34" s="2" t="str">
        <f>IF(AND(A34&lt;&gt;"",L34="存在しない",M34="存在しない"),IF(COUNTIF([1]クラス!$A$1:$A$1000, $B34),"",TRUE),"")</f>
        <v/>
      </c>
    </row>
    <row r="35" spans="1:14" hidden="1" outlineLevel="1" x14ac:dyDescent="0.4">
      <c r="A35" s="2">
        <v>1</v>
      </c>
      <c r="L35" s="15" t="str">
        <f>IF(OR(COUNTIF(クラス!$A$1:$A$1020, $B35),$B35="",COUNTIF(スキル一覧!$A$1:$A$3500, $B35)), "", "存在しない")</f>
        <v/>
      </c>
      <c r="M35" s="2" t="str">
        <f>IF(COUNTIF($B$1:$C34, $B35), "", "存在しない")</f>
        <v>存在しない</v>
      </c>
      <c r="N35" s="2" t="str">
        <f>IF(AND(A35&lt;&gt;"",L35="存在しない",M35="存在しない"),IF(COUNTIF([1]クラス!$A$1:$A$1000, $B35),"",TRUE),"")</f>
        <v/>
      </c>
    </row>
    <row r="36" spans="1:14" hidden="1" outlineLevel="1" x14ac:dyDescent="0.4">
      <c r="A36" s="2">
        <v>2</v>
      </c>
      <c r="B36" s="2" t="s">
        <v>164</v>
      </c>
      <c r="C36" s="2" t="s">
        <v>165</v>
      </c>
      <c r="E36" s="13" t="s">
        <v>120</v>
      </c>
      <c r="G36" s="19">
        <v>60</v>
      </c>
      <c r="H36" s="10" t="s">
        <v>174</v>
      </c>
      <c r="L36" s="15" t="str">
        <f>IF(OR(COUNTIF(クラス!$A$1:$A$1020, $B36),$B36="",COUNTIF(スキル一覧!$A$1:$A$3500, $B36)), "", "存在しない")</f>
        <v>存在しない</v>
      </c>
      <c r="M36" s="2" t="str">
        <f>IF(COUNTIF($B$1:$C35, $B36), "", "存在しない")</f>
        <v/>
      </c>
      <c r="N36" s="2" t="str">
        <f>IF(AND(A36&lt;&gt;"",L36="存在しない",M36="存在しない"),IF(COUNTIF([1]クラス!$A$1:$A$1000, $B36),"",TRUE),"")</f>
        <v/>
      </c>
    </row>
    <row r="37" spans="1:14" hidden="1" outlineLevel="1" x14ac:dyDescent="0.4">
      <c r="A37" s="2">
        <v>3</v>
      </c>
      <c r="B37" s="2" t="s">
        <v>122</v>
      </c>
      <c r="E37" s="13" t="s">
        <v>121</v>
      </c>
      <c r="H37" s="10" t="s">
        <v>123</v>
      </c>
      <c r="L37" s="15" t="str">
        <f>IF(OR(COUNTIF(クラス!$A$1:$A$1020, $B37),$B37="",COUNTIF(スキル一覧!$A$1:$A$3500, $B37)), "", "存在しない")</f>
        <v>存在しない</v>
      </c>
      <c r="M37" s="2" t="str">
        <f>IF(COUNTIF($B$1:$C36, $B37), "", "存在しない")</f>
        <v/>
      </c>
      <c r="N37" s="2" t="str">
        <f>IF(AND(A37&lt;&gt;"",L37="存在しない",M37="存在しない"),IF(COUNTIF([1]クラス!$A$1:$A$1000, $B37),"",TRUE),"")</f>
        <v/>
      </c>
    </row>
    <row r="38" spans="1:14" hidden="1" outlineLevel="1" x14ac:dyDescent="0.4">
      <c r="A38" s="2">
        <v>4</v>
      </c>
      <c r="L38" s="15" t="str">
        <f>IF(OR(COUNTIF(クラス!$A$1:$A$1020, $B38),$B38="",COUNTIF(スキル一覧!$A$1:$A$3500, $B38)), "", "存在しない")</f>
        <v/>
      </c>
      <c r="M38" s="2" t="str">
        <f>IF(COUNTIF($B$1:$C37, $B38), "", "存在しない")</f>
        <v>存在しない</v>
      </c>
      <c r="N38" s="2" t="str">
        <f>IF(AND(A38&lt;&gt;"",L38="存在しない",M38="存在しない"),IF(COUNTIF([1]クラス!$A$1:$A$1000, $B38),"",TRUE),"")</f>
        <v/>
      </c>
    </row>
    <row r="39" spans="1:14" ht="36" hidden="1" outlineLevel="1" x14ac:dyDescent="0.4">
      <c r="A39" s="2">
        <v>5</v>
      </c>
      <c r="B39" s="2" t="s">
        <v>203</v>
      </c>
      <c r="C39" s="2" t="s">
        <v>204</v>
      </c>
      <c r="E39" s="13" t="s">
        <v>120</v>
      </c>
      <c r="G39" s="19">
        <v>40</v>
      </c>
      <c r="H39" s="10" t="s">
        <v>205</v>
      </c>
      <c r="L39" s="15" t="str">
        <f>IF(OR(COUNTIF(クラス!$A$1:$A$1020, $B39),$B39="",COUNTIF(スキル一覧!$A$1:$A$3500, $B39)), "", "存在しない")</f>
        <v>存在しない</v>
      </c>
      <c r="M39" s="2" t="str">
        <f>IF(COUNTIF($B$1:$C38, $B39), "", "存在しない")</f>
        <v>存在しない</v>
      </c>
      <c r="N39" s="2" t="b">
        <f>IF(AND(A39&lt;&gt;"",L39="存在しない",M39="存在しない"),IF(COUNTIF([1]クラス!$A$1:$A$1000, $B39),"",TRUE),"")</f>
        <v>1</v>
      </c>
    </row>
    <row r="40" spans="1:14" hidden="1" outlineLevel="1" x14ac:dyDescent="0.4">
      <c r="A40" s="2">
        <v>6</v>
      </c>
      <c r="E40" s="13" t="s">
        <v>121</v>
      </c>
      <c r="L40" s="15" t="str">
        <f>IF(OR(COUNTIF(クラス!$A$1:$A$1020, $B40),$B40="",COUNTIF(スキル一覧!$A$1:$A$3500, $B40)), "", "存在しない")</f>
        <v/>
      </c>
      <c r="M40" s="2" t="str">
        <f>IF(COUNTIF($B$1:$C39, $B40), "", "存在しない")</f>
        <v>存在しない</v>
      </c>
      <c r="N40" s="2" t="str">
        <f>IF(AND(A40&lt;&gt;"",L40="存在しない",M40="存在しない"),IF(COUNTIF([1]クラス!$A$1:$A$1000, $B40),"",TRUE),"")</f>
        <v/>
      </c>
    </row>
    <row r="41" spans="1:14" hidden="1" outlineLevel="1" x14ac:dyDescent="0.4">
      <c r="A41" s="2">
        <v>7</v>
      </c>
      <c r="L41" s="15" t="str">
        <f>IF(OR(COUNTIF(クラス!$A$1:$A$1020, $B41),$B41="",COUNTIF(スキル一覧!$A$1:$A$3500, $B41)), "", "存在しない")</f>
        <v/>
      </c>
      <c r="M41" s="2" t="str">
        <f>IF(COUNTIF($B$1:$C40, $B41), "", "存在しない")</f>
        <v>存在しない</v>
      </c>
      <c r="N41" s="2" t="str">
        <f>IF(AND(A41&lt;&gt;"",L41="存在しない",M41="存在しない"),IF(COUNTIF([1]クラス!$A$1:$A$1000, $B41),"",TRUE),"")</f>
        <v/>
      </c>
    </row>
    <row r="42" spans="1:14" hidden="1" outlineLevel="1" x14ac:dyDescent="0.4">
      <c r="A42" s="2">
        <v>8</v>
      </c>
      <c r="B42" s="2" t="s">
        <v>111</v>
      </c>
      <c r="C42" s="2" t="s">
        <v>112</v>
      </c>
      <c r="E42" s="13" t="s">
        <v>120</v>
      </c>
      <c r="G42" s="19">
        <v>40</v>
      </c>
      <c r="H42" s="10" t="s">
        <v>113</v>
      </c>
      <c r="L42" s="15" t="str">
        <f>IF(OR(COUNTIF(クラス!$A$1:$A$1020, $B42),$B42="",COUNTIF(スキル一覧!$A$1:$A$3500, $B42)), "", "存在しない")</f>
        <v>存在しない</v>
      </c>
      <c r="M42" s="2" t="str">
        <f>IF(COUNTIF($B$1:$C41, $B42), "", "存在しない")</f>
        <v/>
      </c>
      <c r="N42" s="2" t="str">
        <f>IF(AND(A42&lt;&gt;"",L42="存在しない",M42="存在しない"),IF(COUNTIF([1]クラス!$A$1:$A$1000, $B42),"",TRUE),"")</f>
        <v/>
      </c>
    </row>
    <row r="43" spans="1:14" hidden="1" outlineLevel="1" x14ac:dyDescent="0.4">
      <c r="A43" s="2">
        <v>9</v>
      </c>
      <c r="B43" s="2" t="s">
        <v>200</v>
      </c>
      <c r="E43" s="13" t="s">
        <v>121</v>
      </c>
      <c r="H43" s="10" t="s">
        <v>173</v>
      </c>
      <c r="L43" s="15" t="str">
        <f>IF(OR(COUNTIF(クラス!$A$1:$A$1020, $B43),$B43="",COUNTIF(スキル一覧!$A$1:$A$3500, $B43)), "", "存在しない")</f>
        <v>存在しない</v>
      </c>
      <c r="M43" s="2" t="str">
        <f>IF(COUNTIF($B$1:$C42, $B43), "", "存在しない")</f>
        <v/>
      </c>
      <c r="N43" s="2" t="str">
        <f>IF(AND(A43&lt;&gt;"",L43="存在しない",M43="存在しない"),IF(COUNTIF([1]クラス!$A$1:$A$1000, $B43),"",TRUE),"")</f>
        <v/>
      </c>
    </row>
    <row r="44" spans="1:14" ht="36" hidden="1" outlineLevel="1" x14ac:dyDescent="0.4">
      <c r="A44" s="2">
        <v>10</v>
      </c>
      <c r="B44" s="2" t="s">
        <v>171</v>
      </c>
      <c r="C44" s="2" t="s">
        <v>172</v>
      </c>
      <c r="E44" s="13" t="s">
        <v>120</v>
      </c>
      <c r="G44" s="19">
        <v>60</v>
      </c>
      <c r="H44" s="10" t="s">
        <v>175</v>
      </c>
      <c r="L44" s="15" t="str">
        <f>IF(OR(COUNTIF(クラス!$A$1:$A$1020, $B44),$B44="",COUNTIF(スキル一覧!$A$1:$A$3500, $B44)), "", "存在しない")</f>
        <v>存在しない</v>
      </c>
      <c r="M44" s="2" t="str">
        <f>IF(COUNTIF($B$1:$C43, $B44), "", "存在しない")</f>
        <v/>
      </c>
      <c r="N44" s="2" t="str">
        <f>IF(AND(A44&lt;&gt;"",L44="存在しない",M44="存在しない"),IF(COUNTIF([1]クラス!$A$1:$A$1000, $B44),"",TRUE),"")</f>
        <v/>
      </c>
    </row>
    <row r="45" spans="1:14" hidden="1" outlineLevel="1" x14ac:dyDescent="0.4">
      <c r="L45" s="15" t="str">
        <f>IF(OR(COUNTIF(クラス!$A$1:$A$1020, $B45),$B45="",COUNTIF(スキル一覧!$A$1:$A$3500, $B45)), "", "存在しない")</f>
        <v/>
      </c>
      <c r="M45" s="2" t="str">
        <f>IF(COUNTIF($B$1:$C44, $B45), "", "存在しない")</f>
        <v>存在しない</v>
      </c>
      <c r="N45" s="2" t="str">
        <f>IF(AND(A45&lt;&gt;"",L45="存在しない",M45="存在しない"),IF(COUNTIF([1]クラス!$A$1:$A$1000, $B45),"",TRUE),"")</f>
        <v/>
      </c>
    </row>
    <row r="46" spans="1:14" collapsed="1" x14ac:dyDescent="0.4">
      <c r="L46" s="15" t="str">
        <f>IF(OR(COUNTIF(クラス!$A$1:$A$1020, $B46),$B46="",COUNTIF(スキル一覧!$A$1:$A$3500, $B46)), "", "存在しない")</f>
        <v/>
      </c>
      <c r="M46" s="2" t="str">
        <f>IF(COUNTIF($B$1:$C45, $B46), "", "存在しない")</f>
        <v>存在しない</v>
      </c>
      <c r="N46" s="2" t="str">
        <f>IF(AND(A46&lt;&gt;"",L46="存在しない",M46="存在しない"),IF(COUNTIF([1]クラス!$A$1:$A$1000, $B46),"",TRUE),"")</f>
        <v/>
      </c>
    </row>
    <row r="47" spans="1:14" x14ac:dyDescent="0.4">
      <c r="L47" s="15" t="str">
        <f>IF(OR(COUNTIF(クラス!$A$1:$A$1020, $B47),$B47="",COUNTIF(スキル一覧!$A$1:$A$3500, $B47)), "", "存在しない")</f>
        <v/>
      </c>
      <c r="M47" s="2" t="str">
        <f>IF(COUNTIF($B$1:$C46, $B47), "", "存在しない")</f>
        <v>存在しない</v>
      </c>
      <c r="N47" s="2" t="str">
        <f>IF(AND(A47&lt;&gt;"",L47="存在しない",M47="存在しない"),IF(COUNTIF([1]クラス!$A$1:$A$1000, $B47),"",TRUE),"")</f>
        <v/>
      </c>
    </row>
    <row r="48" spans="1:14" x14ac:dyDescent="0.4">
      <c r="B48" s="2" t="s">
        <v>247</v>
      </c>
      <c r="L48" s="15" t="str">
        <f>IF(OR(COUNTIF(クラス!$A$1:$A$1020, $B48),$B48="",COUNTIF(スキル一覧!$A$1:$A$3500, $B48)), "", "存在しない")</f>
        <v/>
      </c>
      <c r="M48" s="2" t="str">
        <f>IF(COUNTIF($B$1:$C47, $B48), "", "存在しない")</f>
        <v>存在しない</v>
      </c>
      <c r="N48" s="2" t="str">
        <f>IF(AND(A48&lt;&gt;"",L48="存在しない",M48="存在しない"),IF(COUNTIF([1]クラス!$A$1:$A$1000, $B48),"",TRUE),"")</f>
        <v/>
      </c>
    </row>
    <row r="49" spans="1:14" hidden="1" outlineLevel="1" x14ac:dyDescent="0.4">
      <c r="A49" s="2">
        <v>1</v>
      </c>
      <c r="L49" s="15" t="str">
        <f>IF(OR(COUNTIF(クラス!$A$1:$A$1020, $B49),$B49="",COUNTIF(スキル一覧!$A$1:$A$3500, $B49)), "", "存在しない")</f>
        <v/>
      </c>
      <c r="M49" s="2" t="str">
        <f>IF(COUNTIF($B$1:$C48, $B49), "", "存在しない")</f>
        <v>存在しない</v>
      </c>
      <c r="N49" s="2" t="str">
        <f>IF(AND(A49&lt;&gt;"",L49="存在しない",M49="存在しない"),IF(COUNTIF([1]クラス!$A$1:$A$1000, $B49),"",TRUE),"")</f>
        <v/>
      </c>
    </row>
    <row r="50" spans="1:14" hidden="1" outlineLevel="1" x14ac:dyDescent="0.4">
      <c r="A50" s="2">
        <v>2</v>
      </c>
      <c r="B50" s="2" t="s">
        <v>207</v>
      </c>
      <c r="C50" s="2" t="s">
        <v>208</v>
      </c>
      <c r="E50" s="13" t="s">
        <v>120</v>
      </c>
      <c r="G50" s="19">
        <v>60</v>
      </c>
      <c r="H50" s="10" t="s">
        <v>209</v>
      </c>
      <c r="L50" s="15" t="str">
        <f>IF(OR(COUNTIF(クラス!$A$1:$A$1020, $B50),$B50="",COUNTIF(スキル一覧!$A$1:$A$3500, $B50)), "", "存在しない")</f>
        <v>存在しない</v>
      </c>
      <c r="M50" s="2" t="str">
        <f>IF(COUNTIF($B$1:$C49, $B50), "", "存在しない")</f>
        <v>存在しない</v>
      </c>
      <c r="N50" s="2" t="b">
        <f>IF(AND(A50&lt;&gt;"",L50="存在しない",M50="存在しない"),IF(COUNTIF([1]クラス!$A$1:$A$1000, $B50),"",TRUE),"")</f>
        <v>1</v>
      </c>
    </row>
    <row r="51" spans="1:14" hidden="1" outlineLevel="1" x14ac:dyDescent="0.4">
      <c r="A51" s="2">
        <v>3</v>
      </c>
      <c r="B51" s="2" t="s">
        <v>218</v>
      </c>
      <c r="E51" s="13" t="s">
        <v>121</v>
      </c>
      <c r="L51" s="15" t="str">
        <f>IF(OR(COUNTIF(クラス!$A$1:$A$1020, $B51),$B51="",COUNTIF(スキル一覧!$A$1:$A$3500, $B51)), "", "存在しない")</f>
        <v>存在しない</v>
      </c>
      <c r="M51" s="2" t="str">
        <f>IF(COUNTIF($B$1:$C50, $B51), "", "存在しない")</f>
        <v>存在しない</v>
      </c>
      <c r="N51" s="2" t="b">
        <f>IF(AND(A51&lt;&gt;"",L51="存在しない",M51="存在しない"),IF(COUNTIF([1]クラス!$A$1:$A$1000, $B51),"",TRUE),"")</f>
        <v>1</v>
      </c>
    </row>
    <row r="52" spans="1:14" hidden="1" outlineLevel="1" x14ac:dyDescent="0.4">
      <c r="A52" s="2">
        <v>4</v>
      </c>
      <c r="L52" s="15" t="str">
        <f>IF(OR(COUNTIF(クラス!$A$1:$A$1020, $B52),$B52="",COUNTIF(スキル一覧!$A$1:$A$3500, $B52)), "", "存在しない")</f>
        <v/>
      </c>
      <c r="M52" s="2" t="str">
        <f>IF(COUNTIF($B$1:$C51, $B52), "", "存在しない")</f>
        <v>存在しない</v>
      </c>
      <c r="N52" s="2" t="str">
        <f>IF(AND(A52&lt;&gt;"",L52="存在しない",M52="存在しない"),IF(COUNTIF([1]クラス!$A$1:$A$1000, $B52),"",TRUE),"")</f>
        <v/>
      </c>
    </row>
    <row r="53" spans="1:14" hidden="1" outlineLevel="1" x14ac:dyDescent="0.4">
      <c r="A53" s="2">
        <v>5</v>
      </c>
      <c r="B53" s="2" t="s">
        <v>210</v>
      </c>
      <c r="C53" s="2" t="s">
        <v>211</v>
      </c>
      <c r="E53" s="13" t="s">
        <v>120</v>
      </c>
      <c r="G53" s="19">
        <v>60</v>
      </c>
      <c r="H53" s="10" t="s">
        <v>212</v>
      </c>
      <c r="L53" s="15" t="str">
        <f>IF(OR(COUNTIF(クラス!$A$1:$A$1020, $B53),$B53="",COUNTIF(スキル一覧!$A$1:$A$3500, $B53)), "", "存在しない")</f>
        <v>存在しない</v>
      </c>
      <c r="M53" s="2" t="str">
        <f>IF(COUNTIF($B$1:$C52, $B53), "", "存在しない")</f>
        <v>存在しない</v>
      </c>
      <c r="N53" s="2" t="b">
        <f>IF(AND(A53&lt;&gt;"",L53="存在しない",M53="存在しない"),IF(COUNTIF([1]クラス!$A$1:$A$1000, $B53),"",TRUE),"")</f>
        <v>1</v>
      </c>
    </row>
    <row r="54" spans="1:14" hidden="1" outlineLevel="1" x14ac:dyDescent="0.4">
      <c r="A54" s="2">
        <v>6</v>
      </c>
      <c r="B54" s="2" t="s">
        <v>267</v>
      </c>
      <c r="E54" s="13" t="s">
        <v>121</v>
      </c>
      <c r="L54" s="15" t="str">
        <f>IF(OR(COUNTIF(クラス!$A$1:$A$1020, $B54),$B54="",COUNTIF(スキル一覧!$A$1:$A$3500, $B54)), "", "存在しない")</f>
        <v>存在しない</v>
      </c>
      <c r="M54" s="2" t="str">
        <f>IF(COUNTIF($B$1:$C53, $B54), "", "存在しない")</f>
        <v>存在しない</v>
      </c>
      <c r="N54" s="2" t="b">
        <f>IF(AND(A54&lt;&gt;"",L54="存在しない",M54="存在しない"),IF(COUNTIF([1]クラス!$A$1:$A$1000, $B54),"",TRUE),"")</f>
        <v>1</v>
      </c>
    </row>
    <row r="55" spans="1:14" hidden="1" outlineLevel="1" x14ac:dyDescent="0.4">
      <c r="A55" s="2">
        <v>7</v>
      </c>
      <c r="L55" s="15" t="str">
        <f>IF(OR(COUNTIF(クラス!$A$1:$A$1020, $B55),$B55="",COUNTIF(スキル一覧!$A$1:$A$3500, $B55)), "", "存在しない")</f>
        <v/>
      </c>
      <c r="M55" s="2" t="str">
        <f>IF(COUNTIF($B$1:$C54, $B55), "", "存在しない")</f>
        <v>存在しない</v>
      </c>
      <c r="N55" s="2" t="str">
        <f>IF(AND(A55&lt;&gt;"",L55="存在しない",M55="存在しない"),IF(COUNTIF([1]クラス!$A$1:$A$1000, $B55),"",TRUE),"")</f>
        <v/>
      </c>
    </row>
    <row r="56" spans="1:14" hidden="1" outlineLevel="1" x14ac:dyDescent="0.4">
      <c r="A56" s="2">
        <v>8</v>
      </c>
      <c r="B56" s="2" t="s">
        <v>213</v>
      </c>
      <c r="C56" s="2" t="s">
        <v>214</v>
      </c>
      <c r="E56" s="13" t="s">
        <v>120</v>
      </c>
      <c r="H56" s="10" t="s">
        <v>215</v>
      </c>
      <c r="L56" s="15" t="str">
        <f>IF(OR(COUNTIF(クラス!$A$1:$A$1020, $B56),$B56="",COUNTIF(スキル一覧!$A$1:$A$3500, $B56)), "", "存在しない")</f>
        <v>存在しない</v>
      </c>
      <c r="M56" s="2" t="str">
        <f>IF(COUNTIF($B$1:$C55, $B56), "", "存在しない")</f>
        <v>存在しない</v>
      </c>
      <c r="N56" s="2" t="b">
        <f>IF(AND(A56&lt;&gt;"",L56="存在しない",M56="存在しない"),IF(COUNTIF([1]クラス!$A$1:$A$1000, $B56),"",TRUE),"")</f>
        <v>1</v>
      </c>
    </row>
    <row r="57" spans="1:14" hidden="1" outlineLevel="1" x14ac:dyDescent="0.4">
      <c r="A57" s="2">
        <v>9</v>
      </c>
      <c r="E57" s="13" t="s">
        <v>121</v>
      </c>
      <c r="L57" s="15" t="str">
        <f>IF(OR(COUNTIF(クラス!$A$1:$A$1020, $B57),$B57="",COUNTIF(スキル一覧!$A$1:$A$3500, $B57)), "", "存在しない")</f>
        <v/>
      </c>
      <c r="M57" s="2" t="str">
        <f>IF(COUNTIF($B$1:$C56, $B57), "", "存在しない")</f>
        <v>存在しない</v>
      </c>
      <c r="N57" s="2" t="str">
        <f>IF(AND(A57&lt;&gt;"",L57="存在しない",M57="存在しない"),IF(COUNTIF([1]クラス!$A$1:$A$1000, $B57),"",TRUE),"")</f>
        <v/>
      </c>
    </row>
    <row r="58" spans="1:14" hidden="1" outlineLevel="1" x14ac:dyDescent="0.4">
      <c r="A58" s="2">
        <v>10</v>
      </c>
      <c r="E58" s="13" t="s">
        <v>120</v>
      </c>
      <c r="L58" s="15" t="str">
        <f>IF(OR(COUNTIF(クラス!$A$1:$A$1020, $B58),$B58="",COUNTIF(スキル一覧!$A$1:$A$3500, $B58)), "", "存在しない")</f>
        <v/>
      </c>
      <c r="M58" s="2" t="str">
        <f>IF(COUNTIF($B$1:$C57, $B58), "", "存在しない")</f>
        <v>存在しない</v>
      </c>
      <c r="N58" s="2" t="str">
        <f>IF(AND(A58&lt;&gt;"",L58="存在しない",M58="存在しない"),IF(COUNTIF([1]クラス!$A$1:$A$1000, $B58),"",TRUE),"")</f>
        <v/>
      </c>
    </row>
    <row r="59" spans="1:14" hidden="1" outlineLevel="1" x14ac:dyDescent="0.4">
      <c r="L59" s="15" t="str">
        <f>IF(OR(COUNTIF(クラス!$A$1:$A$1020, $B59),$B59="",COUNTIF(スキル一覧!$A$1:$A$3500, $B59)), "", "存在しない")</f>
        <v/>
      </c>
      <c r="M59" s="2" t="str">
        <f>IF(COUNTIF($B$1:$C58, $B59), "", "存在しない")</f>
        <v>存在しない</v>
      </c>
      <c r="N59" s="2" t="str">
        <f>IF(AND(A59&lt;&gt;"",L59="存在しない",M59="存在しない"),IF(COUNTIF([1]クラス!$A$1:$A$1000, $B59),"",TRUE),"")</f>
        <v/>
      </c>
    </row>
    <row r="60" spans="1:14" collapsed="1" x14ac:dyDescent="0.4">
      <c r="L60" s="15" t="str">
        <f>IF(OR(COUNTIF(クラス!$A$1:$A$1020, $B60),$B60="",COUNTIF(スキル一覧!$A$1:$A$3500, $B60)), "", "存在しない")</f>
        <v/>
      </c>
      <c r="M60" s="2" t="str">
        <f>IF(COUNTIF($B$1:$C59, $B60), "", "存在しない")</f>
        <v>存在しない</v>
      </c>
      <c r="N60" s="2" t="str">
        <f>IF(AND(A60&lt;&gt;"",L60="存在しない",M60="存在しない"),IF(COUNTIF([1]クラス!$A$1:$A$1000, $B60),"",TRUE),"")</f>
        <v/>
      </c>
    </row>
    <row r="61" spans="1:14" x14ac:dyDescent="0.4">
      <c r="B61" s="2" t="s">
        <v>33</v>
      </c>
      <c r="L61" s="15" t="str">
        <f>IF(OR(COUNTIF(クラス!$A$1:$A$1020, $B61),$B61="",COUNTIF(スキル一覧!$A$1:$A$3500, $B61)), "", "存在しない")</f>
        <v/>
      </c>
      <c r="M61" s="2" t="str">
        <f>IF(COUNTIF($B$1:$C60, $B61), "", "存在しない")</f>
        <v>存在しない</v>
      </c>
      <c r="N61" s="2" t="str">
        <f>IF(AND(A61&lt;&gt;"",L61="存在しない",M61="存在しない"),IF(COUNTIF([1]クラス!$A$1:$A$1000, $B61),"",TRUE),"")</f>
        <v/>
      </c>
    </row>
    <row r="62" spans="1:14" hidden="1" outlineLevel="1" x14ac:dyDescent="0.4">
      <c r="A62" s="2">
        <v>1</v>
      </c>
      <c r="L62" s="15" t="str">
        <f>IF(OR(COUNTIF(クラス!$A$1:$A$1020, $B62),$B62="",COUNTIF(スキル一覧!$A$1:$A$3500, $B62)), "", "存在しない")</f>
        <v/>
      </c>
      <c r="M62" s="2" t="str">
        <f>IF(COUNTIF($B$1:$C61, $B62), "", "存在しない")</f>
        <v>存在しない</v>
      </c>
      <c r="N62" s="2" t="str">
        <f>IF(AND(A62&lt;&gt;"",L62="存在しない",M62="存在しない"),IF(COUNTIF([1]クラス!$A$1:$A$1000, $B62),"",TRUE),"")</f>
        <v/>
      </c>
    </row>
    <row r="63" spans="1:14" hidden="1" outlineLevel="1" x14ac:dyDescent="0.4">
      <c r="A63" s="2">
        <v>2</v>
      </c>
      <c r="L63" s="15" t="str">
        <f>IF(OR(COUNTIF(クラス!$A$1:$A$1020, $B63),$B63="",COUNTIF(スキル一覧!$A$1:$A$3500, $B63)), "", "存在しない")</f>
        <v/>
      </c>
      <c r="M63" s="2" t="str">
        <f>IF(COUNTIF($B$1:$C62, $B63), "", "存在しない")</f>
        <v>存在しない</v>
      </c>
      <c r="N63" s="2" t="str">
        <f>IF(AND(A63&lt;&gt;"",L63="存在しない",M63="存在しない"),IF(COUNTIF([1]クラス!$A$1:$A$1000, $B63),"",TRUE),"")</f>
        <v/>
      </c>
    </row>
    <row r="64" spans="1:14" hidden="1" outlineLevel="1" x14ac:dyDescent="0.4">
      <c r="A64" s="2">
        <v>3</v>
      </c>
      <c r="L64" s="15" t="str">
        <f>IF(OR(COUNTIF(クラス!$A$1:$A$1020, $B64),$B64="",COUNTIF(スキル一覧!$A$1:$A$3500, $B64)), "", "存在しない")</f>
        <v/>
      </c>
      <c r="M64" s="2" t="str">
        <f>IF(COUNTIF($B$1:$C63, $B64), "", "存在しない")</f>
        <v>存在しない</v>
      </c>
      <c r="N64" s="2" t="str">
        <f>IF(AND(A64&lt;&gt;"",L64="存在しない",M64="存在しない"),IF(COUNTIF([1]クラス!$A$1:$A$1000, $B64),"",TRUE),"")</f>
        <v/>
      </c>
    </row>
    <row r="65" spans="1:14" hidden="1" outlineLevel="1" x14ac:dyDescent="0.4">
      <c r="A65" s="2">
        <v>4</v>
      </c>
      <c r="L65" s="15" t="str">
        <f>IF(OR(COUNTIF(クラス!$A$1:$A$1020, $B65),$B65="",COUNTIF(スキル一覧!$A$1:$A$3500, $B65)), "", "存在しない")</f>
        <v/>
      </c>
      <c r="M65" s="2" t="str">
        <f>IF(COUNTIF($B$1:$C64, $B65), "", "存在しない")</f>
        <v>存在しない</v>
      </c>
      <c r="N65" s="2" t="str">
        <f>IF(AND(A65&lt;&gt;"",L65="存在しない",M65="存在しない"),IF(COUNTIF([1]クラス!$A$1:$A$1000, $B65),"",TRUE),"")</f>
        <v/>
      </c>
    </row>
    <row r="66" spans="1:14" hidden="1" outlineLevel="1" x14ac:dyDescent="0.4">
      <c r="A66" s="2">
        <v>5</v>
      </c>
      <c r="L66" s="15" t="str">
        <f>IF(OR(COUNTIF(クラス!$A$1:$A$1020, $B66),$B66="",COUNTIF(スキル一覧!$A$1:$A$3500, $B66)), "", "存在しない")</f>
        <v/>
      </c>
      <c r="M66" s="2" t="str">
        <f>IF(COUNTIF($B$1:$C65, $B66), "", "存在しない")</f>
        <v>存在しない</v>
      </c>
      <c r="N66" s="2" t="str">
        <f>IF(AND(A66&lt;&gt;"",L66="存在しない",M66="存在しない"),IF(COUNTIF([1]クラス!$A$1:$A$1000, $B66),"",TRUE),"")</f>
        <v/>
      </c>
    </row>
    <row r="67" spans="1:14" hidden="1" outlineLevel="1" x14ac:dyDescent="0.4">
      <c r="A67" s="2">
        <v>6</v>
      </c>
      <c r="L67" s="15" t="str">
        <f>IF(OR(COUNTIF(クラス!$A$1:$A$1020, $B67),$B67="",COUNTIF(スキル一覧!$A$1:$A$3500, $B67)), "", "存在しない")</f>
        <v/>
      </c>
      <c r="M67" s="2" t="str">
        <f>IF(COUNTIF($B$1:$C66, $B67), "", "存在しない")</f>
        <v>存在しない</v>
      </c>
      <c r="N67" s="2" t="str">
        <f>IF(AND(A67&lt;&gt;"",L67="存在しない",M67="存在しない"),IF(COUNTIF([1]クラス!$A$1:$A$1000, $B67),"",TRUE),"")</f>
        <v/>
      </c>
    </row>
    <row r="68" spans="1:14" hidden="1" outlineLevel="1" x14ac:dyDescent="0.4">
      <c r="A68" s="2">
        <v>7</v>
      </c>
      <c r="L68" s="15" t="str">
        <f>IF(OR(COUNTIF(クラス!$A$1:$A$1020, $B68),$B68="",COUNTIF(スキル一覧!$A$1:$A$3500, $B68)), "", "存在しない")</f>
        <v/>
      </c>
      <c r="M68" s="2" t="str">
        <f>IF(COUNTIF($B$1:$C67, $B68), "", "存在しない")</f>
        <v>存在しない</v>
      </c>
      <c r="N68" s="2" t="str">
        <f>IF(AND(A68&lt;&gt;"",L68="存在しない",M68="存在しない"),IF(COUNTIF([1]クラス!$A$1:$A$1000, $B68),"",TRUE),"")</f>
        <v/>
      </c>
    </row>
    <row r="69" spans="1:14" hidden="1" outlineLevel="1" x14ac:dyDescent="0.4">
      <c r="A69" s="2">
        <v>8</v>
      </c>
      <c r="L69" s="15" t="str">
        <f>IF(OR(COUNTIF(クラス!$A$1:$A$1020, $B69),$B69="",COUNTIF(スキル一覧!$A$1:$A$3500, $B69)), "", "存在しない")</f>
        <v/>
      </c>
      <c r="M69" s="2" t="str">
        <f>IF(COUNTIF($B$1:$C68, $B69), "", "存在しない")</f>
        <v>存在しない</v>
      </c>
      <c r="N69" s="2" t="str">
        <f>IF(AND(A69&lt;&gt;"",L69="存在しない",M69="存在しない"),IF(COUNTIF([1]クラス!$A$1:$A$1000, $B69),"",TRUE),"")</f>
        <v/>
      </c>
    </row>
    <row r="70" spans="1:14" hidden="1" outlineLevel="1" x14ac:dyDescent="0.4">
      <c r="A70" s="2">
        <v>9</v>
      </c>
      <c r="L70" s="15" t="str">
        <f>IF(OR(COUNTIF(クラス!$A$1:$A$1020, $B70),$B70="",COUNTIF(スキル一覧!$A$1:$A$3500, $B70)), "", "存在しない")</f>
        <v/>
      </c>
      <c r="M70" s="2" t="str">
        <f>IF(COUNTIF($B$1:$C69, $B70), "", "存在しない")</f>
        <v>存在しない</v>
      </c>
      <c r="N70" s="2" t="str">
        <f>IF(AND(A70&lt;&gt;"",L70="存在しない",M70="存在しない"),IF(COUNTIF([1]クラス!$A$1:$A$1000, $B70),"",TRUE),"")</f>
        <v/>
      </c>
    </row>
    <row r="71" spans="1:14" hidden="1" outlineLevel="1" x14ac:dyDescent="0.4">
      <c r="A71" s="2">
        <v>10</v>
      </c>
      <c r="L71" s="15" t="str">
        <f>IF(OR(COUNTIF(クラス!$A$1:$A$1020, $B71),$B71="",COUNTIF(スキル一覧!$A$1:$A$3500, $B71)), "", "存在しない")</f>
        <v/>
      </c>
      <c r="M71" s="2" t="str">
        <f>IF(COUNTIF($B$1:$C70, $B71), "", "存在しない")</f>
        <v>存在しない</v>
      </c>
      <c r="N71" s="2" t="str">
        <f>IF(AND(A71&lt;&gt;"",L71="存在しない",M71="存在しない"),IF(COUNTIF([1]クラス!$A$1:$A$1000, $B71),"",TRUE),"")</f>
        <v/>
      </c>
    </row>
    <row r="72" spans="1:14" hidden="1" outlineLevel="1" x14ac:dyDescent="0.4">
      <c r="L72" s="15" t="str">
        <f>IF(OR(COUNTIF(クラス!$A$1:$A$1020, $B72),$B72="",COUNTIF(スキル一覧!$A$1:$A$3500, $B72)), "", "存在しない")</f>
        <v/>
      </c>
      <c r="M72" s="2" t="str">
        <f>IF(COUNTIF($B$1:$C71, $B72), "", "存在しない")</f>
        <v>存在しない</v>
      </c>
      <c r="N72" s="2" t="str">
        <f>IF(AND(A72&lt;&gt;"",L72="存在しない",M72="存在しない"),IF(COUNTIF([1]クラス!$A$1:$A$1000, $B72),"",TRUE),"")</f>
        <v/>
      </c>
    </row>
    <row r="73" spans="1:14" collapsed="1" x14ac:dyDescent="0.4">
      <c r="L73" s="15" t="str">
        <f>IF(OR(COUNTIF(クラス!$A$1:$A$1020, $B73),$B73="",COUNTIF(スキル一覧!$A$1:$A$3500, $B73)), "", "存在しない")</f>
        <v/>
      </c>
      <c r="M73" s="2" t="str">
        <f>IF(COUNTIF($B$1:$C72, $B73), "", "存在しない")</f>
        <v>存在しない</v>
      </c>
      <c r="N73" s="2" t="str">
        <f>IF(AND(A73&lt;&gt;"",L73="存在しない",M73="存在しない"),IF(COUNTIF([1]クラス!$A$1:$A$1000, $B73),"",TRUE),"")</f>
        <v/>
      </c>
    </row>
    <row r="74" spans="1:14" x14ac:dyDescent="0.4">
      <c r="B74" s="2" t="s">
        <v>35</v>
      </c>
      <c r="L74" s="15" t="str">
        <f>IF(OR(COUNTIF(クラス!$A$1:$A$1020, $B74),$B74="",COUNTIF(スキル一覧!$A$1:$A$3500, $B74)), "", "存在しない")</f>
        <v/>
      </c>
      <c r="M74" s="2" t="str">
        <f>IF(COUNTIF($B$1:$C73, $B74), "", "存在しない")</f>
        <v>存在しない</v>
      </c>
      <c r="N74" s="2" t="str">
        <f>IF(AND(A74&lt;&gt;"",L74="存在しない",M74="存在しない"),IF(COUNTIF([1]クラス!$A$1:$A$1000, $B74),"",TRUE),"")</f>
        <v/>
      </c>
    </row>
    <row r="75" spans="1:14" hidden="1" outlineLevel="1" x14ac:dyDescent="0.4">
      <c r="A75" s="2">
        <v>1</v>
      </c>
      <c r="L75" s="15" t="str">
        <f>IF(OR(COUNTIF(クラス!$A$1:$A$1020, $B75),$B75="",COUNTIF(スキル一覧!$A$1:$A$3500, $B75)), "", "存在しない")</f>
        <v/>
      </c>
      <c r="M75" s="2" t="str">
        <f>IF(COUNTIF($B$1:$C74, $B75), "", "存在しない")</f>
        <v>存在しない</v>
      </c>
      <c r="N75" s="2" t="str">
        <f>IF(AND(A75&lt;&gt;"",L75="存在しない",M75="存在しない"),IF(COUNTIF([1]クラス!$A$1:$A$1000, $B75),"",TRUE),"")</f>
        <v/>
      </c>
    </row>
    <row r="76" spans="1:14" hidden="1" outlineLevel="1" x14ac:dyDescent="0.4">
      <c r="A76" s="2">
        <v>2</v>
      </c>
      <c r="L76" s="15" t="str">
        <f>IF(OR(COUNTIF(クラス!$A$1:$A$1020, $B76),$B76="",COUNTIF(スキル一覧!$A$1:$A$3500, $B76)), "", "存在しない")</f>
        <v/>
      </c>
      <c r="M76" s="2" t="str">
        <f>IF(COUNTIF($B$1:$C75, $B76), "", "存在しない")</f>
        <v>存在しない</v>
      </c>
      <c r="N76" s="2" t="str">
        <f>IF(AND(A76&lt;&gt;"",L76="存在しない",M76="存在しない"),IF(COUNTIF([1]クラス!$A$1:$A$1000, $B76),"",TRUE),"")</f>
        <v/>
      </c>
    </row>
    <row r="77" spans="1:14" hidden="1" outlineLevel="1" x14ac:dyDescent="0.4">
      <c r="A77" s="2">
        <v>3</v>
      </c>
      <c r="L77" s="15" t="str">
        <f>IF(OR(COUNTIF(クラス!$A$1:$A$1020, $B77),$B77="",COUNTIF(スキル一覧!$A$1:$A$3500, $B77)), "", "存在しない")</f>
        <v/>
      </c>
      <c r="M77" s="2" t="str">
        <f>IF(COUNTIF($B$1:$C76, $B77), "", "存在しない")</f>
        <v>存在しない</v>
      </c>
      <c r="N77" s="2" t="str">
        <f>IF(AND(A77&lt;&gt;"",L77="存在しない",M77="存在しない"),IF(COUNTIF([1]クラス!$A$1:$A$1000, $B77),"",TRUE),"")</f>
        <v/>
      </c>
    </row>
    <row r="78" spans="1:14" hidden="1" outlineLevel="1" x14ac:dyDescent="0.4">
      <c r="A78" s="2">
        <v>4</v>
      </c>
      <c r="L78" s="15" t="str">
        <f>IF(OR(COUNTIF(クラス!$A$1:$A$1020, $B78),$B78="",COUNTIF(スキル一覧!$A$1:$A$3500, $B78)), "", "存在しない")</f>
        <v/>
      </c>
      <c r="M78" s="2" t="str">
        <f>IF(COUNTIF($B$1:$C77, $B78), "", "存在しない")</f>
        <v>存在しない</v>
      </c>
      <c r="N78" s="2" t="str">
        <f>IF(AND(A78&lt;&gt;"",L78="存在しない",M78="存在しない"),IF(COUNTIF([1]クラス!$A$1:$A$1000, $B78),"",TRUE),"")</f>
        <v/>
      </c>
    </row>
    <row r="79" spans="1:14" hidden="1" outlineLevel="1" x14ac:dyDescent="0.4">
      <c r="A79" s="2">
        <v>5</v>
      </c>
      <c r="L79" s="15" t="str">
        <f>IF(OR(COUNTIF(クラス!$A$1:$A$1020, $B79),$B79="",COUNTIF(スキル一覧!$A$1:$A$3500, $B79)), "", "存在しない")</f>
        <v/>
      </c>
      <c r="M79" s="2" t="str">
        <f>IF(COUNTIF($B$1:$C78, $B79), "", "存在しない")</f>
        <v>存在しない</v>
      </c>
      <c r="N79" s="2" t="str">
        <f>IF(AND(A79&lt;&gt;"",L79="存在しない",M79="存在しない"),IF(COUNTIF([1]クラス!$A$1:$A$1000, $B79),"",TRUE),"")</f>
        <v/>
      </c>
    </row>
    <row r="80" spans="1:14" hidden="1" outlineLevel="1" x14ac:dyDescent="0.4">
      <c r="A80" s="2">
        <v>6</v>
      </c>
      <c r="L80" s="15" t="str">
        <f>IF(OR(COUNTIF(クラス!$A$1:$A$1020, $B80),$B80="",COUNTIF(スキル一覧!$A$1:$A$3500, $B80)), "", "存在しない")</f>
        <v/>
      </c>
      <c r="M80" s="2" t="str">
        <f>IF(COUNTIF($B$1:$C79, $B80), "", "存在しない")</f>
        <v>存在しない</v>
      </c>
      <c r="N80" s="2" t="str">
        <f>IF(AND(A80&lt;&gt;"",L80="存在しない",M80="存在しない"),IF(COUNTIF([1]クラス!$A$1:$A$1000, $B80),"",TRUE),"")</f>
        <v/>
      </c>
    </row>
    <row r="81" spans="1:14" hidden="1" outlineLevel="1" x14ac:dyDescent="0.4">
      <c r="A81" s="2">
        <v>7</v>
      </c>
      <c r="L81" s="15" t="str">
        <f>IF(OR(COUNTIF(クラス!$A$1:$A$1020, $B81),$B81="",COUNTIF(スキル一覧!$A$1:$A$3500, $B81)), "", "存在しない")</f>
        <v/>
      </c>
      <c r="M81" s="2" t="str">
        <f>IF(COUNTIF($B$1:$C80, $B81), "", "存在しない")</f>
        <v>存在しない</v>
      </c>
      <c r="N81" s="2" t="str">
        <f>IF(AND(A81&lt;&gt;"",L81="存在しない",M81="存在しない"),IF(COUNTIF([1]クラス!$A$1:$A$1000, $B81),"",TRUE),"")</f>
        <v/>
      </c>
    </row>
    <row r="82" spans="1:14" hidden="1" outlineLevel="1" x14ac:dyDescent="0.4">
      <c r="A82" s="2">
        <v>8</v>
      </c>
      <c r="L82" s="15" t="str">
        <f>IF(OR(COUNTIF(クラス!$A$1:$A$1020, $B82),$B82="",COUNTIF(スキル一覧!$A$1:$A$3500, $B82)), "", "存在しない")</f>
        <v/>
      </c>
      <c r="M82" s="2" t="str">
        <f>IF(COUNTIF($B$1:$C81, $B82), "", "存在しない")</f>
        <v>存在しない</v>
      </c>
      <c r="N82" s="2" t="str">
        <f>IF(AND(A82&lt;&gt;"",L82="存在しない",M82="存在しない"),IF(COUNTIF([1]クラス!$A$1:$A$1000, $B82),"",TRUE),"")</f>
        <v/>
      </c>
    </row>
    <row r="83" spans="1:14" hidden="1" outlineLevel="1" x14ac:dyDescent="0.4">
      <c r="A83" s="2">
        <v>9</v>
      </c>
      <c r="L83" s="15" t="str">
        <f>IF(OR(COUNTIF(クラス!$A$1:$A$1020, $B83),$B83="",COUNTIF(スキル一覧!$A$1:$A$3500, $B83)), "", "存在しない")</f>
        <v/>
      </c>
      <c r="M83" s="2" t="str">
        <f>IF(COUNTIF($B$1:$C82, $B83), "", "存在しない")</f>
        <v>存在しない</v>
      </c>
      <c r="N83" s="2" t="str">
        <f>IF(AND(A83&lt;&gt;"",L83="存在しない",M83="存在しない"),IF(COUNTIF([1]クラス!$A$1:$A$1000, $B83),"",TRUE),"")</f>
        <v/>
      </c>
    </row>
    <row r="84" spans="1:14" hidden="1" outlineLevel="1" x14ac:dyDescent="0.4">
      <c r="A84" s="2">
        <v>10</v>
      </c>
      <c r="L84" s="15" t="str">
        <f>IF(OR(COUNTIF(クラス!$A$1:$A$1020, $B84),$B84="",COUNTIF(スキル一覧!$A$1:$A$3500, $B84)), "", "存在しない")</f>
        <v/>
      </c>
      <c r="M84" s="2" t="str">
        <f>IF(COUNTIF($B$1:$C83, $B84), "", "存在しない")</f>
        <v>存在しない</v>
      </c>
      <c r="N84" s="2" t="str">
        <f>IF(AND(A84&lt;&gt;"",L84="存在しない",M84="存在しない"),IF(COUNTIF([1]クラス!$A$1:$A$1000, $B84),"",TRUE),"")</f>
        <v/>
      </c>
    </row>
    <row r="85" spans="1:14" hidden="1" outlineLevel="1" x14ac:dyDescent="0.4">
      <c r="L85" s="15" t="str">
        <f>IF(OR(COUNTIF(クラス!$A$1:$A$1020, $B85),$B85="",COUNTIF(スキル一覧!$A$1:$A$3500, $B85)), "", "存在しない")</f>
        <v/>
      </c>
      <c r="M85" s="2" t="str">
        <f>IF(COUNTIF($B$1:$C84, $B85), "", "存在しない")</f>
        <v>存在しない</v>
      </c>
      <c r="N85" s="2" t="str">
        <f>IF(AND(A85&lt;&gt;"",L85="存在しない",M85="存在しない"),IF(COUNTIF([1]クラス!$A$1:$A$1000, $B85),"",TRUE),"")</f>
        <v/>
      </c>
    </row>
    <row r="86" spans="1:14" collapsed="1" x14ac:dyDescent="0.4">
      <c r="L86" s="15" t="str">
        <f>IF(OR(COUNTIF(クラス!$A$1:$A$1020, $B86),$B86="",COUNTIF(スキル一覧!$A$1:$A$3500, $B86)), "", "存在しない")</f>
        <v/>
      </c>
      <c r="M86" s="2" t="str">
        <f>IF(COUNTIF($B$1:$C85, $B86), "", "存在しない")</f>
        <v>存在しない</v>
      </c>
      <c r="N86" s="2" t="str">
        <f>IF(AND(A86&lt;&gt;"",L86="存在しない",M86="存在しない"),IF(COUNTIF([1]クラス!$A$1:$A$1000, $B86),"",TRUE),"")</f>
        <v/>
      </c>
    </row>
    <row r="87" spans="1:14" x14ac:dyDescent="0.4">
      <c r="L87" s="15" t="str">
        <f>IF(OR(COUNTIF(クラス!$A$1:$A$1020, $B87),$B87="",COUNTIF(スキル一覧!$A$1:$A$3500, $B87)), "", "存在しない")</f>
        <v/>
      </c>
      <c r="M87" s="2" t="str">
        <f>IF(COUNTIF($B$1:$C86, $B87), "", "存在しない")</f>
        <v>存在しない</v>
      </c>
      <c r="N87" s="2" t="str">
        <f>IF(AND(A87&lt;&gt;"",L87="存在しない",M87="存在しない"),IF(COUNTIF([1]クラス!$A$1:$A$1000, $B87),"",TRUE),"")</f>
        <v/>
      </c>
    </row>
    <row r="88" spans="1:14" x14ac:dyDescent="0.4">
      <c r="B88" s="2" t="s">
        <v>39</v>
      </c>
      <c r="L88" s="15" t="str">
        <f>IF(OR(COUNTIF(クラス!$A$1:$A$1020, $B88),$B88="",COUNTIF(スキル一覧!$A$1:$A$3500, $B88)), "", "存在しない")</f>
        <v/>
      </c>
      <c r="M88" s="2" t="str">
        <f>IF(COUNTIF($B$1:$C87, $B88), "", "存在しない")</f>
        <v>存在しない</v>
      </c>
      <c r="N88" s="2" t="str">
        <f>IF(AND(A88&lt;&gt;"",L88="存在しない",M88="存在しない"),IF(COUNTIF([1]クラス!$A$1:$A$1000, $B88),"",TRUE),"")</f>
        <v/>
      </c>
    </row>
    <row r="89" spans="1:14" hidden="1" outlineLevel="1" x14ac:dyDescent="0.4">
      <c r="A89" s="2">
        <v>1</v>
      </c>
      <c r="L89" s="15" t="str">
        <f>IF(OR(COUNTIF(クラス!$A$1:$A$1020, $B89),$B89="",COUNTIF(スキル一覧!$A$1:$A$3500, $B89)), "", "存在しない")</f>
        <v/>
      </c>
      <c r="M89" s="2" t="str">
        <f>IF(COUNTIF($B$1:$C88, $B89), "", "存在しない")</f>
        <v>存在しない</v>
      </c>
      <c r="N89" s="2" t="str">
        <f>IF(AND(A89&lt;&gt;"",L89="存在しない",M89="存在しない"),IF(COUNTIF([1]クラス!$A$1:$A$1000, $B89),"",TRUE),"")</f>
        <v/>
      </c>
    </row>
    <row r="90" spans="1:14" hidden="1" outlineLevel="1" x14ac:dyDescent="0.4">
      <c r="A90" s="2">
        <v>2</v>
      </c>
      <c r="L90" s="15" t="str">
        <f>IF(OR(COUNTIF(クラス!$A$1:$A$1020, $B90),$B90="",COUNTIF(スキル一覧!$A$1:$A$3500, $B90)), "", "存在しない")</f>
        <v/>
      </c>
      <c r="M90" s="2" t="str">
        <f>IF(COUNTIF($B$1:$C89, $B90), "", "存在しない")</f>
        <v>存在しない</v>
      </c>
      <c r="N90" s="2" t="str">
        <f>IF(AND(A90&lt;&gt;"",L90="存在しない",M90="存在しない"),IF(COUNTIF([1]クラス!$A$1:$A$1000, $B90),"",TRUE),"")</f>
        <v/>
      </c>
    </row>
    <row r="91" spans="1:14" hidden="1" outlineLevel="1" x14ac:dyDescent="0.4">
      <c r="A91" s="2">
        <v>3</v>
      </c>
      <c r="L91" s="15" t="str">
        <f>IF(OR(COUNTIF(クラス!$A$1:$A$1020, $B91),$B91="",COUNTIF(スキル一覧!$A$1:$A$3500, $B91)), "", "存在しない")</f>
        <v/>
      </c>
      <c r="M91" s="2" t="str">
        <f>IF(COUNTIF($B$1:$C90, $B91), "", "存在しない")</f>
        <v>存在しない</v>
      </c>
      <c r="N91" s="2" t="str">
        <f>IF(AND(A91&lt;&gt;"",L91="存在しない",M91="存在しない"),IF(COUNTIF([1]クラス!$A$1:$A$1000, $B91),"",TRUE),"")</f>
        <v/>
      </c>
    </row>
    <row r="92" spans="1:14" hidden="1" outlineLevel="1" x14ac:dyDescent="0.4">
      <c r="A92" s="2">
        <v>4</v>
      </c>
      <c r="L92" s="15" t="str">
        <f>IF(OR(COUNTIF(クラス!$A$1:$A$1020, $B92),$B92="",COUNTIF(スキル一覧!$A$1:$A$3500, $B92)), "", "存在しない")</f>
        <v/>
      </c>
      <c r="M92" s="2" t="str">
        <f>IF(COUNTIF($B$1:$C91, $B92), "", "存在しない")</f>
        <v>存在しない</v>
      </c>
      <c r="N92" s="2" t="str">
        <f>IF(AND(A92&lt;&gt;"",L92="存在しない",M92="存在しない"),IF(COUNTIF([1]クラス!$A$1:$A$1000, $B92),"",TRUE),"")</f>
        <v/>
      </c>
    </row>
    <row r="93" spans="1:14" hidden="1" outlineLevel="1" x14ac:dyDescent="0.4">
      <c r="A93" s="2">
        <v>5</v>
      </c>
      <c r="L93" s="15" t="str">
        <f>IF(OR(COUNTIF(クラス!$A$1:$A$1020, $B93),$B93="",COUNTIF(スキル一覧!$A$1:$A$3500, $B93)), "", "存在しない")</f>
        <v/>
      </c>
      <c r="M93" s="2" t="str">
        <f>IF(COUNTIF($B$1:$C92, $B93), "", "存在しない")</f>
        <v>存在しない</v>
      </c>
      <c r="N93" s="2" t="str">
        <f>IF(AND(A93&lt;&gt;"",L93="存在しない",M93="存在しない"),IF(COUNTIF([1]クラス!$A$1:$A$1000, $B93),"",TRUE),"")</f>
        <v/>
      </c>
    </row>
    <row r="94" spans="1:14" hidden="1" outlineLevel="1" x14ac:dyDescent="0.4">
      <c r="A94" s="2">
        <v>6</v>
      </c>
      <c r="L94" s="15" t="str">
        <f>IF(OR(COUNTIF(クラス!$A$1:$A$1020, $B94),$B94="",COUNTIF(スキル一覧!$A$1:$A$3500, $B94)), "", "存在しない")</f>
        <v/>
      </c>
      <c r="M94" s="2" t="str">
        <f>IF(COUNTIF($B$1:$C93, $B94), "", "存在しない")</f>
        <v>存在しない</v>
      </c>
      <c r="N94" s="2" t="str">
        <f>IF(AND(A94&lt;&gt;"",L94="存在しない",M94="存在しない"),IF(COUNTIF([1]クラス!$A$1:$A$1000, $B94),"",TRUE),"")</f>
        <v/>
      </c>
    </row>
    <row r="95" spans="1:14" hidden="1" outlineLevel="1" x14ac:dyDescent="0.4">
      <c r="A95" s="2">
        <v>7</v>
      </c>
      <c r="L95" s="15" t="str">
        <f>IF(OR(COUNTIF(クラス!$A$1:$A$1020, $B95),$B95="",COUNTIF(スキル一覧!$A$1:$A$3500, $B95)), "", "存在しない")</f>
        <v/>
      </c>
      <c r="M95" s="2" t="str">
        <f>IF(COUNTIF($B$1:$C94, $B95), "", "存在しない")</f>
        <v>存在しない</v>
      </c>
      <c r="N95" s="2" t="str">
        <f>IF(AND(A95&lt;&gt;"",L95="存在しない",M95="存在しない"),IF(COUNTIF([1]クラス!$A$1:$A$1000, $B95),"",TRUE),"")</f>
        <v/>
      </c>
    </row>
    <row r="96" spans="1:14" hidden="1" outlineLevel="1" x14ac:dyDescent="0.4">
      <c r="A96" s="2">
        <v>8</v>
      </c>
      <c r="L96" s="15" t="str">
        <f>IF(OR(COUNTIF(クラス!$A$1:$A$1020, $B96),$B96="",COUNTIF(スキル一覧!$A$1:$A$3500, $B96)), "", "存在しない")</f>
        <v/>
      </c>
      <c r="M96" s="2" t="str">
        <f>IF(COUNTIF($B$1:$C95, $B96), "", "存在しない")</f>
        <v>存在しない</v>
      </c>
      <c r="N96" s="2" t="str">
        <f>IF(AND(A96&lt;&gt;"",L96="存在しない",M96="存在しない"),IF(COUNTIF([1]クラス!$A$1:$A$1000, $B96),"",TRUE),"")</f>
        <v/>
      </c>
    </row>
    <row r="97" spans="1:14" hidden="1" outlineLevel="1" x14ac:dyDescent="0.4">
      <c r="A97" s="2">
        <v>9</v>
      </c>
      <c r="L97" s="15" t="str">
        <f>IF(OR(COUNTIF(クラス!$A$1:$A$1020, $B97),$B97="",COUNTIF(スキル一覧!$A$1:$A$3500, $B97)), "", "存在しない")</f>
        <v/>
      </c>
      <c r="M97" s="2" t="str">
        <f>IF(COUNTIF($B$1:$C96, $B97), "", "存在しない")</f>
        <v>存在しない</v>
      </c>
      <c r="N97" s="2" t="str">
        <f>IF(AND(A97&lt;&gt;"",L97="存在しない",M97="存在しない"),IF(COUNTIF([1]クラス!$A$1:$A$1000, $B97),"",TRUE),"")</f>
        <v/>
      </c>
    </row>
    <row r="98" spans="1:14" hidden="1" outlineLevel="1" x14ac:dyDescent="0.4">
      <c r="A98" s="2">
        <v>10</v>
      </c>
      <c r="L98" s="15" t="str">
        <f>IF(OR(COUNTIF(クラス!$A$1:$A$1020, $B98),$B98="",COUNTIF(スキル一覧!$A$1:$A$3500, $B98)), "", "存在しない")</f>
        <v/>
      </c>
      <c r="M98" s="2" t="str">
        <f>IF(COUNTIF($B$1:$C97, $B98), "", "存在しない")</f>
        <v>存在しない</v>
      </c>
      <c r="N98" s="2" t="str">
        <f>IF(AND(A98&lt;&gt;"",L98="存在しない",M98="存在しない"),IF(COUNTIF([1]クラス!$A$1:$A$1000, $B98),"",TRUE),"")</f>
        <v/>
      </c>
    </row>
    <row r="99" spans="1:14" hidden="1" outlineLevel="1" x14ac:dyDescent="0.4">
      <c r="L99" s="15" t="str">
        <f>IF(OR(COUNTIF(クラス!$A$1:$A$1020, $B99),$B99="",COUNTIF(スキル一覧!$A$1:$A$3500, $B99)), "", "存在しない")</f>
        <v/>
      </c>
      <c r="M99" s="2" t="str">
        <f>IF(COUNTIF($B$1:$C98, $B99), "", "存在しない")</f>
        <v>存在しない</v>
      </c>
      <c r="N99" s="2" t="str">
        <f>IF(AND(A99&lt;&gt;"",L99="存在しない",M99="存在しない"),IF(COUNTIF([1]クラス!$A$1:$A$1000, $B99),"",TRUE),"")</f>
        <v/>
      </c>
    </row>
    <row r="100" spans="1:14" collapsed="1" x14ac:dyDescent="0.4">
      <c r="L100" s="15" t="str">
        <f>IF(OR(COUNTIF(クラス!$A$1:$A$1020, $B100),$B100="",COUNTIF(スキル一覧!$A$1:$A$3500, $B100)), "", "存在しない")</f>
        <v/>
      </c>
      <c r="M100" s="2" t="str">
        <f>IF(COUNTIF($B$1:$C99, $B100), "", "存在しない")</f>
        <v>存在しない</v>
      </c>
      <c r="N100" s="2" t="str">
        <f>IF(AND(A100&lt;&gt;"",L100="存在しない",M100="存在しない"),IF(COUNTIF([1]クラス!$A$1:$A$1000, $B100),"",TRUE),"")</f>
        <v/>
      </c>
    </row>
    <row r="101" spans="1:14" x14ac:dyDescent="0.4">
      <c r="B101" s="2" t="s">
        <v>41</v>
      </c>
      <c r="L101" s="15" t="str">
        <f>IF(OR(COUNTIF(クラス!$A$1:$A$1020, $B101),$B101="",COUNTIF(スキル一覧!$A$1:$A$3500, $B101)), "", "存在しない")</f>
        <v/>
      </c>
      <c r="M101" s="2" t="str">
        <f>IF(COUNTIF($B$1:$C100, $B101), "", "存在しない")</f>
        <v>存在しない</v>
      </c>
      <c r="N101" s="2" t="str">
        <f>IF(AND(A101&lt;&gt;"",L101="存在しない",M101="存在しない"),IF(COUNTIF([1]クラス!$A$1:$A$1000, $B101),"",TRUE),"")</f>
        <v/>
      </c>
    </row>
    <row r="102" spans="1:14" hidden="1" outlineLevel="1" x14ac:dyDescent="0.4">
      <c r="A102" s="2">
        <v>1</v>
      </c>
      <c r="L102" s="15" t="str">
        <f>IF(OR(COUNTIF(クラス!$A$1:$A$1020, $B102),$B102="",COUNTIF(スキル一覧!$A$1:$A$3500, $B102)), "", "存在しない")</f>
        <v/>
      </c>
      <c r="M102" s="2" t="str">
        <f>IF(COUNTIF($B$1:$C101, $B102), "", "存在しない")</f>
        <v>存在しない</v>
      </c>
      <c r="N102" s="2" t="str">
        <f>IF(AND(A102&lt;&gt;"",L102="存在しない",M102="存在しない"),IF(COUNTIF([1]クラス!$A$1:$A$1000, $B102),"",TRUE),"")</f>
        <v/>
      </c>
    </row>
    <row r="103" spans="1:14" hidden="1" outlineLevel="1" x14ac:dyDescent="0.4">
      <c r="A103" s="2">
        <v>2</v>
      </c>
      <c r="L103" s="15" t="str">
        <f>IF(OR(COUNTIF(クラス!$A$1:$A$1020, $B103),$B103="",COUNTIF(スキル一覧!$A$1:$A$3500, $B103)), "", "存在しない")</f>
        <v/>
      </c>
      <c r="M103" s="2" t="str">
        <f>IF(COUNTIF($B$1:$C102, $B103), "", "存在しない")</f>
        <v>存在しない</v>
      </c>
      <c r="N103" s="2" t="str">
        <f>IF(AND(A103&lt;&gt;"",L103="存在しない",M103="存在しない"),IF(COUNTIF([1]クラス!$A$1:$A$1000, $B103),"",TRUE),"")</f>
        <v/>
      </c>
    </row>
    <row r="104" spans="1:14" hidden="1" outlineLevel="1" x14ac:dyDescent="0.4">
      <c r="A104" s="2">
        <v>3</v>
      </c>
      <c r="L104" s="15" t="str">
        <f>IF(OR(COUNTIF(クラス!$A$1:$A$1020, $B104),$B104="",COUNTIF(スキル一覧!$A$1:$A$3500, $B104)), "", "存在しない")</f>
        <v/>
      </c>
      <c r="M104" s="2" t="str">
        <f>IF(COUNTIF($B$1:$C103, $B104), "", "存在しない")</f>
        <v>存在しない</v>
      </c>
      <c r="N104" s="2" t="str">
        <f>IF(AND(A104&lt;&gt;"",L104="存在しない",M104="存在しない"),IF(COUNTIF([1]クラス!$A$1:$A$1000, $B104),"",TRUE),"")</f>
        <v/>
      </c>
    </row>
    <row r="105" spans="1:14" hidden="1" outlineLevel="1" x14ac:dyDescent="0.4">
      <c r="A105" s="2">
        <v>4</v>
      </c>
      <c r="L105" s="15" t="str">
        <f>IF(OR(COUNTIF(クラス!$A$1:$A$1020, $B105),$B105="",COUNTIF(スキル一覧!$A$1:$A$3500, $B105)), "", "存在しない")</f>
        <v/>
      </c>
      <c r="M105" s="2" t="str">
        <f>IF(COUNTIF($B$1:$C104, $B105), "", "存在しない")</f>
        <v>存在しない</v>
      </c>
      <c r="N105" s="2" t="str">
        <f>IF(AND(A105&lt;&gt;"",L105="存在しない",M105="存在しない"),IF(COUNTIF([1]クラス!$A$1:$A$1000, $B105),"",TRUE),"")</f>
        <v/>
      </c>
    </row>
    <row r="106" spans="1:14" hidden="1" outlineLevel="1" x14ac:dyDescent="0.4">
      <c r="A106" s="2">
        <v>5</v>
      </c>
      <c r="L106" s="15" t="str">
        <f>IF(OR(COUNTIF(クラス!$A$1:$A$1020, $B106),$B106="",COUNTIF(スキル一覧!$A$1:$A$3500, $B106)), "", "存在しない")</f>
        <v/>
      </c>
      <c r="M106" s="2" t="str">
        <f>IF(COUNTIF($B$1:$C105, $B106), "", "存在しない")</f>
        <v>存在しない</v>
      </c>
      <c r="N106" s="2" t="str">
        <f>IF(AND(A106&lt;&gt;"",L106="存在しない",M106="存在しない"),IF(COUNTIF([1]クラス!$A$1:$A$1000, $B106),"",TRUE),"")</f>
        <v/>
      </c>
    </row>
    <row r="107" spans="1:14" hidden="1" outlineLevel="1" x14ac:dyDescent="0.4">
      <c r="A107" s="2">
        <v>6</v>
      </c>
      <c r="L107" s="15" t="str">
        <f>IF(OR(COUNTIF(クラス!$A$1:$A$1020, $B107),$B107="",COUNTIF(スキル一覧!$A$1:$A$3500, $B107)), "", "存在しない")</f>
        <v/>
      </c>
      <c r="M107" s="2" t="str">
        <f>IF(COUNTIF($B$1:$C106, $B107), "", "存在しない")</f>
        <v>存在しない</v>
      </c>
      <c r="N107" s="2" t="str">
        <f>IF(AND(A107&lt;&gt;"",L107="存在しない",M107="存在しない"),IF(COUNTIF([1]クラス!$A$1:$A$1000, $B107),"",TRUE),"")</f>
        <v/>
      </c>
    </row>
    <row r="108" spans="1:14" hidden="1" outlineLevel="1" x14ac:dyDescent="0.4">
      <c r="A108" s="2">
        <v>7</v>
      </c>
      <c r="L108" s="15" t="str">
        <f>IF(OR(COUNTIF(クラス!$A$1:$A$1020, $B108),$B108="",COUNTIF(スキル一覧!$A$1:$A$3500, $B108)), "", "存在しない")</f>
        <v/>
      </c>
      <c r="M108" s="2" t="str">
        <f>IF(COUNTIF($B$1:$C107, $B108), "", "存在しない")</f>
        <v>存在しない</v>
      </c>
      <c r="N108" s="2" t="str">
        <f>IF(AND(A108&lt;&gt;"",L108="存在しない",M108="存在しない"),IF(COUNTIF([1]クラス!$A$1:$A$1000, $B108),"",TRUE),"")</f>
        <v/>
      </c>
    </row>
    <row r="109" spans="1:14" hidden="1" outlineLevel="1" x14ac:dyDescent="0.4">
      <c r="A109" s="2">
        <v>8</v>
      </c>
      <c r="L109" s="15" t="str">
        <f>IF(OR(COUNTIF(クラス!$A$1:$A$1020, $B109),$B109="",COUNTIF(スキル一覧!$A$1:$A$3500, $B109)), "", "存在しない")</f>
        <v/>
      </c>
      <c r="M109" s="2" t="str">
        <f>IF(COUNTIF($B$1:$C108, $B109), "", "存在しない")</f>
        <v>存在しない</v>
      </c>
      <c r="N109" s="2" t="str">
        <f>IF(AND(A109&lt;&gt;"",L109="存在しない",M109="存在しない"),IF(COUNTIF([1]クラス!$A$1:$A$1000, $B109),"",TRUE),"")</f>
        <v/>
      </c>
    </row>
    <row r="110" spans="1:14" hidden="1" outlineLevel="1" x14ac:dyDescent="0.4">
      <c r="A110" s="2">
        <v>9</v>
      </c>
      <c r="L110" s="15" t="str">
        <f>IF(OR(COUNTIF(クラス!$A$1:$A$1020, $B110),$B110="",COUNTIF(スキル一覧!$A$1:$A$3500, $B110)), "", "存在しない")</f>
        <v/>
      </c>
      <c r="M110" s="2" t="str">
        <f>IF(COUNTIF($B$1:$C109, $B110), "", "存在しない")</f>
        <v>存在しない</v>
      </c>
      <c r="N110" s="2" t="str">
        <f>IF(AND(A110&lt;&gt;"",L110="存在しない",M110="存在しない"),IF(COUNTIF([1]クラス!$A$1:$A$1000, $B110),"",TRUE),"")</f>
        <v/>
      </c>
    </row>
    <row r="111" spans="1:14" hidden="1" outlineLevel="1" x14ac:dyDescent="0.4">
      <c r="A111" s="2">
        <v>10</v>
      </c>
      <c r="L111" s="15" t="str">
        <f>IF(OR(COUNTIF(クラス!$A$1:$A$1020, $B111),$B111="",COUNTIF(スキル一覧!$A$1:$A$3500, $B111)), "", "存在しない")</f>
        <v/>
      </c>
      <c r="M111" s="2" t="str">
        <f>IF(COUNTIF($B$1:$C110, $B111), "", "存在しない")</f>
        <v>存在しない</v>
      </c>
      <c r="N111" s="2" t="str">
        <f>IF(AND(A111&lt;&gt;"",L111="存在しない",M111="存在しない"),IF(COUNTIF([1]クラス!$A$1:$A$1000, $B111),"",TRUE),"")</f>
        <v/>
      </c>
    </row>
    <row r="112" spans="1:14" hidden="1" outlineLevel="1" x14ac:dyDescent="0.4">
      <c r="L112" s="15" t="str">
        <f>IF(OR(COUNTIF(クラス!$A$1:$A$1020, $B112),$B112="",COUNTIF(スキル一覧!$A$1:$A$3500, $B112)), "", "存在しない")</f>
        <v/>
      </c>
      <c r="M112" s="2" t="str">
        <f>IF(COUNTIF($B$1:$C111, $B112), "", "存在しない")</f>
        <v>存在しない</v>
      </c>
      <c r="N112" s="2" t="str">
        <f>IF(AND(A112&lt;&gt;"",L112="存在しない",M112="存在しない"),IF(COUNTIF([1]クラス!$A$1:$A$1000, $B112),"",TRUE),"")</f>
        <v/>
      </c>
    </row>
    <row r="113" spans="1:14" collapsed="1" x14ac:dyDescent="0.4">
      <c r="L113" s="15" t="str">
        <f>IF(OR(COUNTIF(クラス!$A$1:$A$1020, $B113),$B113="",COUNTIF(スキル一覧!$A$1:$A$3500, $B113)), "", "存在しない")</f>
        <v/>
      </c>
      <c r="M113" s="2" t="str">
        <f>IF(COUNTIF($B$1:$C112, $B113), "", "存在しない")</f>
        <v>存在しない</v>
      </c>
      <c r="N113" s="2" t="str">
        <f>IF(AND(A113&lt;&gt;"",L113="存在しない",M113="存在しない"),IF(COUNTIF([1]クラス!$A$1:$A$1000, $B113),"",TRUE),"")</f>
        <v/>
      </c>
    </row>
    <row r="114" spans="1:14" x14ac:dyDescent="0.4">
      <c r="B114" s="2" t="s">
        <v>181</v>
      </c>
      <c r="L114" s="15" t="str">
        <f>IF(OR(COUNTIF(クラス!$A$1:$A$1020, $B114),$B114="",COUNTIF(スキル一覧!$A$1:$A$3500, $B114)), "", "存在しない")</f>
        <v/>
      </c>
      <c r="M114" s="2" t="str">
        <f>IF(COUNTIF($B$1:$C113, $B114), "", "存在しない")</f>
        <v>存在しない</v>
      </c>
      <c r="N114" s="2" t="str">
        <f>IF(AND(A114&lt;&gt;"",L114="存在しない",M114="存在しない"),IF(COUNTIF([1]クラス!$A$1:$A$1000, $B114),"",TRUE),"")</f>
        <v/>
      </c>
    </row>
    <row r="115" spans="1:14" hidden="1" outlineLevel="1" x14ac:dyDescent="0.4">
      <c r="A115" s="2">
        <v>1</v>
      </c>
      <c r="L115" s="15" t="str">
        <f>IF(OR(COUNTIF(クラス!$A$1:$A$1020, $B115),$B115="",COUNTIF(スキル一覧!$A$1:$A$3500, $B115)), "", "存在しない")</f>
        <v/>
      </c>
      <c r="M115" s="2" t="str">
        <f>IF(COUNTIF($B$1:$C114, $B115), "", "存在しない")</f>
        <v>存在しない</v>
      </c>
      <c r="N115" s="2" t="str">
        <f>IF(AND(A115&lt;&gt;"",L115="存在しない",M115="存在しない"),IF(COUNTIF([1]クラス!$A$1:$A$1000, $B115),"",TRUE),"")</f>
        <v/>
      </c>
    </row>
    <row r="116" spans="1:14" hidden="1" outlineLevel="1" x14ac:dyDescent="0.4">
      <c r="A116" s="2">
        <v>2</v>
      </c>
      <c r="L116" s="15" t="str">
        <f>IF(OR(COUNTIF(クラス!$A$1:$A$1020, $B116),$B116="",COUNTIF(スキル一覧!$A$1:$A$3500, $B116)), "", "存在しない")</f>
        <v/>
      </c>
      <c r="M116" s="2" t="str">
        <f>IF(COUNTIF($B$1:$C115, $B116), "", "存在しない")</f>
        <v>存在しない</v>
      </c>
      <c r="N116" s="2" t="str">
        <f>IF(AND(A116&lt;&gt;"",L116="存在しない",M116="存在しない"),IF(COUNTIF([1]クラス!$A$1:$A$1000, $B116),"",TRUE),"")</f>
        <v/>
      </c>
    </row>
    <row r="117" spans="1:14" hidden="1" outlineLevel="1" x14ac:dyDescent="0.4">
      <c r="A117" s="2">
        <v>3</v>
      </c>
      <c r="L117" s="15" t="str">
        <f>IF(OR(COUNTIF(クラス!$A$1:$A$1020, $B117),$B117="",COUNTIF(スキル一覧!$A$1:$A$3500, $B117)), "", "存在しない")</f>
        <v/>
      </c>
      <c r="M117" s="2" t="str">
        <f>IF(COUNTIF($B$1:$C116, $B117), "", "存在しない")</f>
        <v>存在しない</v>
      </c>
      <c r="N117" s="2" t="str">
        <f>IF(AND(A117&lt;&gt;"",L117="存在しない",M117="存在しない"),IF(COUNTIF([1]クラス!$A$1:$A$1000, $B117),"",TRUE),"")</f>
        <v/>
      </c>
    </row>
    <row r="118" spans="1:14" hidden="1" outlineLevel="1" x14ac:dyDescent="0.4">
      <c r="A118" s="2">
        <v>4</v>
      </c>
      <c r="L118" s="15" t="str">
        <f>IF(OR(COUNTIF(クラス!$A$1:$A$1020, $B118),$B118="",COUNTIF(スキル一覧!$A$1:$A$3500, $B118)), "", "存在しない")</f>
        <v/>
      </c>
      <c r="M118" s="2" t="str">
        <f>IF(COUNTIF($B$1:$C117, $B118), "", "存在しない")</f>
        <v>存在しない</v>
      </c>
      <c r="N118" s="2" t="str">
        <f>IF(AND(A118&lt;&gt;"",L118="存在しない",M118="存在しない"),IF(COUNTIF([1]クラス!$A$1:$A$1000, $B118),"",TRUE),"")</f>
        <v/>
      </c>
    </row>
    <row r="119" spans="1:14" hidden="1" outlineLevel="1" x14ac:dyDescent="0.4">
      <c r="A119" s="2">
        <v>5</v>
      </c>
      <c r="L119" s="15" t="str">
        <f>IF(OR(COUNTIF(クラス!$A$1:$A$1020, $B119),$B119="",COUNTIF(スキル一覧!$A$1:$A$3500, $B119)), "", "存在しない")</f>
        <v/>
      </c>
      <c r="M119" s="2" t="str">
        <f>IF(COUNTIF($B$1:$C118, $B119), "", "存在しない")</f>
        <v>存在しない</v>
      </c>
      <c r="N119" s="2" t="str">
        <f>IF(AND(A119&lt;&gt;"",L119="存在しない",M119="存在しない"),IF(COUNTIF([1]クラス!$A$1:$A$1000, $B119),"",TRUE),"")</f>
        <v/>
      </c>
    </row>
    <row r="120" spans="1:14" hidden="1" outlineLevel="1" x14ac:dyDescent="0.4">
      <c r="A120" s="2">
        <v>6</v>
      </c>
      <c r="L120" s="15" t="str">
        <f>IF(OR(COUNTIF(クラス!$A$1:$A$1020, $B120),$B120="",COUNTIF(スキル一覧!$A$1:$A$3500, $B120)), "", "存在しない")</f>
        <v/>
      </c>
      <c r="M120" s="2" t="str">
        <f>IF(COUNTIF($B$1:$C119, $B120), "", "存在しない")</f>
        <v>存在しない</v>
      </c>
      <c r="N120" s="2" t="str">
        <f>IF(AND(A120&lt;&gt;"",L120="存在しない",M120="存在しない"),IF(COUNTIF([1]クラス!$A$1:$A$1000, $B120),"",TRUE),"")</f>
        <v/>
      </c>
    </row>
    <row r="121" spans="1:14" hidden="1" outlineLevel="1" x14ac:dyDescent="0.4">
      <c r="A121" s="2">
        <v>7</v>
      </c>
      <c r="L121" s="15" t="str">
        <f>IF(OR(COUNTIF(クラス!$A$1:$A$1020, $B121),$B121="",COUNTIF(スキル一覧!$A$1:$A$3500, $B121)), "", "存在しない")</f>
        <v/>
      </c>
      <c r="M121" s="2" t="str">
        <f>IF(COUNTIF($B$1:$C120, $B121), "", "存在しない")</f>
        <v>存在しない</v>
      </c>
      <c r="N121" s="2" t="str">
        <f>IF(AND(A121&lt;&gt;"",L121="存在しない",M121="存在しない"),IF(COUNTIF([1]クラス!$A$1:$A$1000, $B121),"",TRUE),"")</f>
        <v/>
      </c>
    </row>
    <row r="122" spans="1:14" hidden="1" outlineLevel="1" x14ac:dyDescent="0.4">
      <c r="A122" s="2">
        <v>8</v>
      </c>
      <c r="L122" s="15" t="str">
        <f>IF(OR(COUNTIF(クラス!$A$1:$A$1020, $B122),$B122="",COUNTIF(スキル一覧!$A$1:$A$3500, $B122)), "", "存在しない")</f>
        <v/>
      </c>
      <c r="M122" s="2" t="str">
        <f>IF(COUNTIF($B$1:$C121, $B122), "", "存在しない")</f>
        <v>存在しない</v>
      </c>
      <c r="N122" s="2" t="str">
        <f>IF(AND(A122&lt;&gt;"",L122="存在しない",M122="存在しない"),IF(COUNTIF([1]クラス!$A$1:$A$1000, $B122),"",TRUE),"")</f>
        <v/>
      </c>
    </row>
    <row r="123" spans="1:14" hidden="1" outlineLevel="1" x14ac:dyDescent="0.4">
      <c r="A123" s="2">
        <v>9</v>
      </c>
      <c r="L123" s="15" t="str">
        <f>IF(OR(COUNTIF(クラス!$A$1:$A$1020, $B123),$B123="",COUNTIF(スキル一覧!$A$1:$A$3500, $B123)), "", "存在しない")</f>
        <v/>
      </c>
      <c r="M123" s="2" t="str">
        <f>IF(COUNTIF($B$1:$C122, $B123), "", "存在しない")</f>
        <v>存在しない</v>
      </c>
      <c r="N123" s="2" t="str">
        <f>IF(AND(A123&lt;&gt;"",L123="存在しない",M123="存在しない"),IF(COUNTIF([1]クラス!$A$1:$A$1000, $B123),"",TRUE),"")</f>
        <v/>
      </c>
    </row>
    <row r="124" spans="1:14" hidden="1" outlineLevel="1" x14ac:dyDescent="0.4">
      <c r="A124" s="2">
        <v>10</v>
      </c>
      <c r="L124" s="15" t="str">
        <f>IF(OR(COUNTIF(クラス!$A$1:$A$1020, $B124),$B124="",COUNTIF(スキル一覧!$A$1:$A$3500, $B124)), "", "存在しない")</f>
        <v/>
      </c>
      <c r="M124" s="2" t="str">
        <f>IF(COUNTIF($B$1:$C123, $B124), "", "存在しない")</f>
        <v>存在しない</v>
      </c>
      <c r="N124" s="2" t="str">
        <f>IF(AND(A124&lt;&gt;"",L124="存在しない",M124="存在しない"),IF(COUNTIF([1]クラス!$A$1:$A$1000, $B124),"",TRUE),"")</f>
        <v/>
      </c>
    </row>
    <row r="125" spans="1:14" hidden="1" outlineLevel="1" x14ac:dyDescent="0.4">
      <c r="L125" s="15" t="str">
        <f>IF(OR(COUNTIF(クラス!$A$1:$A$1020, $B125),$B125="",COUNTIF(スキル一覧!$A$1:$A$3500, $B125)), "", "存在しない")</f>
        <v/>
      </c>
      <c r="M125" s="2" t="str">
        <f>IF(COUNTIF($B$1:$C124, $B125), "", "存在しない")</f>
        <v>存在しない</v>
      </c>
      <c r="N125" s="2" t="str">
        <f>IF(AND(A125&lt;&gt;"",L125="存在しない",M125="存在しない"),IF(COUNTIF([1]クラス!$A$1:$A$1000, $B125),"",TRUE),"")</f>
        <v/>
      </c>
    </row>
    <row r="126" spans="1:14" collapsed="1" x14ac:dyDescent="0.4">
      <c r="L126" s="15" t="str">
        <f>IF(OR(COUNTIF(クラス!$A$1:$A$1020, $B126),$B126="",COUNTIF(スキル一覧!$A$1:$A$3500, $B126)), "", "存在しない")</f>
        <v/>
      </c>
      <c r="M126" s="2" t="str">
        <f>IF(COUNTIF($B$1:$C125, $B126), "", "存在しない")</f>
        <v>存在しない</v>
      </c>
      <c r="N126" s="2" t="str">
        <f>IF(AND(A126&lt;&gt;"",L126="存在しない",M126="存在しない"),IF(COUNTIF([1]クラス!$A$1:$A$1000, $B126),"",TRUE),"")</f>
        <v/>
      </c>
    </row>
    <row r="127" spans="1:14" x14ac:dyDescent="0.4">
      <c r="B127" s="2" t="s">
        <v>56</v>
      </c>
      <c r="L127" s="15" t="str">
        <f>IF(OR(COUNTIF(クラス!$A$1:$A$1020, $B127),$B127="",COUNTIF(スキル一覧!$A$1:$A$3500, $B127)), "", "存在しない")</f>
        <v/>
      </c>
      <c r="M127" s="2" t="str">
        <f>IF(COUNTIF($B$1:$C126, $B127), "", "存在しない")</f>
        <v>存在しない</v>
      </c>
      <c r="N127" s="2" t="str">
        <f>IF(AND(A127&lt;&gt;"",L127="存在しない",M127="存在しない"),IF(COUNTIF([1]クラス!$A$1:$A$1000, $B127),"",TRUE),"")</f>
        <v/>
      </c>
    </row>
    <row r="128" spans="1:14" x14ac:dyDescent="0.4">
      <c r="B128" s="2" t="s">
        <v>58</v>
      </c>
      <c r="L128" s="15" t="str">
        <f>IF(OR(COUNTIF(クラス!$A$1:$A$1020, $B128),$B128="",COUNTIF(スキル一覧!$A$1:$A$3500, $B128)), "", "存在しない")</f>
        <v/>
      </c>
      <c r="M128" s="2" t="str">
        <f>IF(COUNTIF($B$1:$C127, $B128), "", "存在しない")</f>
        <v>存在しない</v>
      </c>
      <c r="N128" s="2" t="str">
        <f>IF(AND(A128&lt;&gt;"",L128="存在しない",M128="存在しない"),IF(COUNTIF([1]クラス!$A$1:$A$1000, $B128),"",TRUE),"")</f>
        <v/>
      </c>
    </row>
    <row r="129" spans="1:14" x14ac:dyDescent="0.4">
      <c r="B129" s="2" t="s">
        <v>60</v>
      </c>
      <c r="L129" s="15" t="str">
        <f>IF(OR(COUNTIF(クラス!$A$1:$A$1020, $B129),$B129="",COUNTIF(スキル一覧!$A$1:$A$3500, $B129)), "", "存在しない")</f>
        <v/>
      </c>
      <c r="M129" s="2" t="str">
        <f>IF(COUNTIF($B$1:$C128, $B129), "", "存在しない")</f>
        <v>存在しない</v>
      </c>
      <c r="N129" s="2" t="str">
        <f>IF(AND(A129&lt;&gt;"",L129="存在しない",M129="存在しない"),IF(COUNTIF([1]クラス!$A$1:$A$1000, $B129),"",TRUE),"")</f>
        <v/>
      </c>
    </row>
    <row r="130" spans="1:14" x14ac:dyDescent="0.4">
      <c r="L130" s="15" t="str">
        <f>IF(OR(COUNTIF(クラス!$A$1:$A$1020, $B130),$B130="",COUNTIF(スキル一覧!$A$1:$A$3500, $B130)), "", "存在しない")</f>
        <v/>
      </c>
      <c r="M130" s="2" t="str">
        <f>IF(COUNTIF($B$1:$C129, $B130), "", "存在しない")</f>
        <v>存在しない</v>
      </c>
      <c r="N130" s="2" t="str">
        <f>IF(AND(A130&lt;&gt;"",L130="存在しない",M130="存在しない"),IF(COUNTIF([1]クラス!$A$1:$A$1000, $B130),"",TRUE),"")</f>
        <v/>
      </c>
    </row>
    <row r="131" spans="1:14" x14ac:dyDescent="0.4">
      <c r="B131" s="2" t="s">
        <v>54</v>
      </c>
      <c r="L131" s="15" t="str">
        <f>IF(OR(COUNTIF(クラス!$A$1:$A$1020, $B131),$B131="",COUNTIF(スキル一覧!$A$1:$A$3500, $B131)), "", "存在しない")</f>
        <v/>
      </c>
      <c r="M131" s="2" t="str">
        <f>IF(COUNTIF($B$1:$C130, $B131), "", "存在しない")</f>
        <v>存在しない</v>
      </c>
      <c r="N131" s="2" t="str">
        <f>IF(AND(A131&lt;&gt;"",L131="存在しない",M131="存在しない"),IF(COUNTIF([1]クラス!$A$1:$A$1000, $B131),"",TRUE),"")</f>
        <v/>
      </c>
    </row>
    <row r="132" spans="1:14" hidden="1" outlineLevel="1" x14ac:dyDescent="0.4">
      <c r="A132" s="2">
        <v>1</v>
      </c>
      <c r="L132" s="15" t="str">
        <f>IF(OR(COUNTIF(クラス!$A$1:$A$1020, $B132),$B132="",COUNTIF(スキル一覧!$A$1:$A$3500, $B132)), "", "存在しない")</f>
        <v/>
      </c>
      <c r="M132" s="2" t="str">
        <f>IF(COUNTIF($B$1:$C131, $B132), "", "存在しない")</f>
        <v>存在しない</v>
      </c>
      <c r="N132" s="2" t="str">
        <f>IF(AND(A132&lt;&gt;"",L132="存在しない",M132="存在しない"),IF(COUNTIF([1]クラス!$A$1:$A$1000, $B132),"",TRUE),"")</f>
        <v/>
      </c>
    </row>
    <row r="133" spans="1:14" hidden="1" outlineLevel="1" x14ac:dyDescent="0.4">
      <c r="A133" s="2">
        <v>2</v>
      </c>
      <c r="L133" s="15" t="str">
        <f>IF(OR(COUNTIF(クラス!$A$1:$A$1020, $B133),$B133="",COUNTIF(スキル一覧!$A$1:$A$3500, $B133)), "", "存在しない")</f>
        <v/>
      </c>
      <c r="M133" s="2" t="str">
        <f>IF(COUNTIF($B$1:$C132, $B133), "", "存在しない")</f>
        <v>存在しない</v>
      </c>
      <c r="N133" s="2" t="str">
        <f>IF(AND(A133&lt;&gt;"",L133="存在しない",M133="存在しない"),IF(COUNTIF([1]クラス!$A$1:$A$1000, $B133),"",TRUE),"")</f>
        <v/>
      </c>
    </row>
    <row r="134" spans="1:14" hidden="1" outlineLevel="1" x14ac:dyDescent="0.4">
      <c r="A134" s="2">
        <v>3</v>
      </c>
      <c r="L134" s="15" t="str">
        <f>IF(OR(COUNTIF(クラス!$A$1:$A$1020, $B134),$B134="",COUNTIF(スキル一覧!$A$1:$A$3500, $B134)), "", "存在しない")</f>
        <v/>
      </c>
      <c r="M134" s="2" t="str">
        <f>IF(COUNTIF($B$1:$C133, $B134), "", "存在しない")</f>
        <v>存在しない</v>
      </c>
      <c r="N134" s="2" t="str">
        <f>IF(AND(A134&lt;&gt;"",L134="存在しない",M134="存在しない"),IF(COUNTIF([1]クラス!$A$1:$A$1000, $B134),"",TRUE),"")</f>
        <v/>
      </c>
    </row>
    <row r="135" spans="1:14" hidden="1" outlineLevel="1" x14ac:dyDescent="0.4">
      <c r="A135" s="2">
        <v>4</v>
      </c>
      <c r="L135" s="15" t="str">
        <f>IF(OR(COUNTIF(クラス!$A$1:$A$1020, $B135),$B135="",COUNTIF(スキル一覧!$A$1:$A$3500, $B135)), "", "存在しない")</f>
        <v/>
      </c>
      <c r="M135" s="2" t="str">
        <f>IF(COUNTIF($B$1:$C134, $B135), "", "存在しない")</f>
        <v>存在しない</v>
      </c>
      <c r="N135" s="2" t="str">
        <f>IF(AND(A135&lt;&gt;"",L135="存在しない",M135="存在しない"),IF(COUNTIF([1]クラス!$A$1:$A$1000, $B135),"",TRUE),"")</f>
        <v/>
      </c>
    </row>
    <row r="136" spans="1:14" hidden="1" outlineLevel="1" x14ac:dyDescent="0.4">
      <c r="A136" s="2">
        <v>5</v>
      </c>
      <c r="L136" s="15" t="str">
        <f>IF(OR(COUNTIF(クラス!$A$1:$A$1020, $B136),$B136="",COUNTIF(スキル一覧!$A$1:$A$3500, $B136)), "", "存在しない")</f>
        <v/>
      </c>
      <c r="M136" s="2" t="str">
        <f>IF(COUNTIF($B$1:$C135, $B136), "", "存在しない")</f>
        <v>存在しない</v>
      </c>
      <c r="N136" s="2" t="str">
        <f>IF(AND(A136&lt;&gt;"",L136="存在しない",M136="存在しない"),IF(COUNTIF([1]クラス!$A$1:$A$1000, $B136),"",TRUE),"")</f>
        <v/>
      </c>
    </row>
    <row r="137" spans="1:14" hidden="1" outlineLevel="1" x14ac:dyDescent="0.4">
      <c r="A137" s="2">
        <v>6</v>
      </c>
      <c r="L137" s="15" t="str">
        <f>IF(OR(COUNTIF(クラス!$A$1:$A$1020, $B137),$B137="",COUNTIF(スキル一覧!$A$1:$A$3500, $B137)), "", "存在しない")</f>
        <v/>
      </c>
      <c r="M137" s="2" t="str">
        <f>IF(COUNTIF($B$1:$C136, $B137), "", "存在しない")</f>
        <v>存在しない</v>
      </c>
      <c r="N137" s="2" t="str">
        <f>IF(AND(A137&lt;&gt;"",L137="存在しない",M137="存在しない"),IF(COUNTIF([1]クラス!$A$1:$A$1000, $B137),"",TRUE),"")</f>
        <v/>
      </c>
    </row>
    <row r="138" spans="1:14" hidden="1" outlineLevel="1" x14ac:dyDescent="0.4">
      <c r="A138" s="2">
        <v>7</v>
      </c>
      <c r="L138" s="15" t="str">
        <f>IF(OR(COUNTIF(クラス!$A$1:$A$1020, $B138),$B138="",COUNTIF(スキル一覧!$A$1:$A$3500, $B138)), "", "存在しない")</f>
        <v/>
      </c>
      <c r="M138" s="2" t="str">
        <f>IF(COUNTIF($B$1:$C137, $B138), "", "存在しない")</f>
        <v>存在しない</v>
      </c>
      <c r="N138" s="2" t="str">
        <f>IF(AND(A138&lt;&gt;"",L138="存在しない",M138="存在しない"),IF(COUNTIF([1]クラス!$A$1:$A$1000, $B138),"",TRUE),"")</f>
        <v/>
      </c>
    </row>
    <row r="139" spans="1:14" hidden="1" outlineLevel="1" x14ac:dyDescent="0.4">
      <c r="A139" s="2">
        <v>8</v>
      </c>
      <c r="L139" s="15" t="str">
        <f>IF(OR(COUNTIF(クラス!$A$1:$A$1020, $B139),$B139="",COUNTIF(スキル一覧!$A$1:$A$3500, $B139)), "", "存在しない")</f>
        <v/>
      </c>
      <c r="M139" s="2" t="str">
        <f>IF(COUNTIF($B$1:$C138, $B139), "", "存在しない")</f>
        <v>存在しない</v>
      </c>
      <c r="N139" s="2" t="str">
        <f>IF(AND(A139&lt;&gt;"",L139="存在しない",M139="存在しない"),IF(COUNTIF([1]クラス!$A$1:$A$1000, $B139),"",TRUE),"")</f>
        <v/>
      </c>
    </row>
    <row r="140" spans="1:14" hidden="1" outlineLevel="1" x14ac:dyDescent="0.4">
      <c r="A140" s="2">
        <v>9</v>
      </c>
      <c r="L140" s="15" t="str">
        <f>IF(OR(COUNTIF(クラス!$A$1:$A$1020, $B140),$B140="",COUNTIF(スキル一覧!$A$1:$A$3500, $B140)), "", "存在しない")</f>
        <v/>
      </c>
      <c r="M140" s="2" t="str">
        <f>IF(COUNTIF($B$1:$C139, $B140), "", "存在しない")</f>
        <v>存在しない</v>
      </c>
      <c r="N140" s="2" t="str">
        <f>IF(AND(A140&lt;&gt;"",L140="存在しない",M140="存在しない"),IF(COUNTIF([1]クラス!$A$1:$A$1000, $B140),"",TRUE),"")</f>
        <v/>
      </c>
    </row>
    <row r="141" spans="1:14" hidden="1" outlineLevel="1" x14ac:dyDescent="0.4">
      <c r="A141" s="2">
        <v>10</v>
      </c>
      <c r="L141" s="15" t="str">
        <f>IF(OR(COUNTIF(クラス!$A$1:$A$1020, $B141),$B141="",COUNTIF(スキル一覧!$A$1:$A$3500, $B141)), "", "存在しない")</f>
        <v/>
      </c>
      <c r="M141" s="2" t="str">
        <f>IF(COUNTIF($B$1:$C140, $B141), "", "存在しない")</f>
        <v>存在しない</v>
      </c>
      <c r="N141" s="2" t="str">
        <f>IF(AND(A141&lt;&gt;"",L141="存在しない",M141="存在しない"),IF(COUNTIF([1]クラス!$A$1:$A$1000, $B141),"",TRUE),"")</f>
        <v/>
      </c>
    </row>
    <row r="142" spans="1:14" hidden="1" outlineLevel="1" x14ac:dyDescent="0.4">
      <c r="L142" s="15" t="str">
        <f>IF(OR(COUNTIF(クラス!$A$1:$A$1020, $B142),$B142="",COUNTIF(スキル一覧!$A$1:$A$3500, $B142)), "", "存在しない")</f>
        <v/>
      </c>
      <c r="M142" s="2" t="str">
        <f>IF(COUNTIF($B$1:$C141, $B142), "", "存在しない")</f>
        <v>存在しない</v>
      </c>
      <c r="N142" s="2" t="str">
        <f>IF(AND(A142&lt;&gt;"",L142="存在しない",M142="存在しない"),IF(COUNTIF([1]クラス!$A$1:$A$1000, $B142),"",TRUE),"")</f>
        <v/>
      </c>
    </row>
    <row r="143" spans="1:14" collapsed="1" x14ac:dyDescent="0.4">
      <c r="L143" s="15" t="str">
        <f>IF(OR(COUNTIF(クラス!$A$1:$A$1020, $B143),$B143="",COUNTIF(スキル一覧!$A$1:$A$3500, $B143)), "", "存在しない")</f>
        <v/>
      </c>
      <c r="M143" s="2" t="str">
        <f>IF(COUNTIF($B$1:$C142, $B143), "", "存在しない")</f>
        <v>存在しない</v>
      </c>
      <c r="N143" s="2" t="str">
        <f>IF(AND(A143&lt;&gt;"",L143="存在しない",M143="存在しない"),IF(COUNTIF([1]クラス!$A$1:$A$1000, $B143),"",TRUE),"")</f>
        <v/>
      </c>
    </row>
    <row r="144" spans="1:14" x14ac:dyDescent="0.4">
      <c r="B144" s="2" t="s">
        <v>65</v>
      </c>
      <c r="L144" s="15" t="str">
        <f>IF(OR(COUNTIF(クラス!$A$1:$A$1020, $B144),$B144="",COUNTIF(スキル一覧!$A$1:$A$3500, $B144)), "", "存在しない")</f>
        <v/>
      </c>
      <c r="M144" s="2" t="str">
        <f>IF(COUNTIF($B$1:$C143, $B144), "", "存在しない")</f>
        <v>存在しない</v>
      </c>
      <c r="N144" s="2" t="str">
        <f>IF(AND(A144&lt;&gt;"",L144="存在しない",M144="存在しない"),IF(COUNTIF([1]クラス!$A$1:$A$1000, $B144),"",TRUE),"")</f>
        <v/>
      </c>
    </row>
    <row r="145" spans="1:14" hidden="1" outlineLevel="1" x14ac:dyDescent="0.4">
      <c r="A145" s="2">
        <v>1</v>
      </c>
      <c r="L145" s="15" t="str">
        <f>IF(OR(COUNTIF(クラス!$A$1:$A$1020, $B145),$B145="",COUNTIF(スキル一覧!$A$1:$A$3500, $B145)), "", "存在しない")</f>
        <v/>
      </c>
      <c r="M145" s="2" t="str">
        <f>IF(COUNTIF($B$1:$C144, $B145), "", "存在しない")</f>
        <v>存在しない</v>
      </c>
      <c r="N145" s="2" t="str">
        <f>IF(AND(A145&lt;&gt;"",L145="存在しない",M145="存在しない"),IF(COUNTIF([1]クラス!$A$1:$A$1000, $B145),"",TRUE),"")</f>
        <v/>
      </c>
    </row>
    <row r="146" spans="1:14" hidden="1" outlineLevel="1" x14ac:dyDescent="0.4">
      <c r="A146" s="2">
        <v>2</v>
      </c>
      <c r="L146" s="15" t="str">
        <f>IF(OR(COUNTIF(クラス!$A$1:$A$1020, $B146),$B146="",COUNTIF(スキル一覧!$A$1:$A$3500, $B146)), "", "存在しない")</f>
        <v/>
      </c>
      <c r="M146" s="2" t="str">
        <f>IF(COUNTIF($B$1:$C145, $B146), "", "存在しない")</f>
        <v>存在しない</v>
      </c>
      <c r="N146" s="2" t="str">
        <f>IF(AND(A146&lt;&gt;"",L146="存在しない",M146="存在しない"),IF(COUNTIF([1]クラス!$A$1:$A$1000, $B146),"",TRUE),"")</f>
        <v/>
      </c>
    </row>
    <row r="147" spans="1:14" hidden="1" outlineLevel="1" x14ac:dyDescent="0.4">
      <c r="A147" s="2">
        <v>3</v>
      </c>
      <c r="L147" s="15" t="str">
        <f>IF(OR(COUNTIF(クラス!$A$1:$A$1020, $B147),$B147="",COUNTIF(スキル一覧!$A$1:$A$3500, $B147)), "", "存在しない")</f>
        <v/>
      </c>
      <c r="M147" s="2" t="str">
        <f>IF(COUNTIF($B$1:$C146, $B147), "", "存在しない")</f>
        <v>存在しない</v>
      </c>
      <c r="N147" s="2" t="str">
        <f>IF(AND(A147&lt;&gt;"",L147="存在しない",M147="存在しない"),IF(COUNTIF([1]クラス!$A$1:$A$1000, $B147),"",TRUE),"")</f>
        <v/>
      </c>
    </row>
    <row r="148" spans="1:14" hidden="1" outlineLevel="1" x14ac:dyDescent="0.4">
      <c r="A148" s="2">
        <v>4</v>
      </c>
      <c r="L148" s="15" t="str">
        <f>IF(OR(COUNTIF(クラス!$A$1:$A$1020, $B148),$B148="",COUNTIF(スキル一覧!$A$1:$A$3500, $B148)), "", "存在しない")</f>
        <v/>
      </c>
      <c r="M148" s="2" t="str">
        <f>IF(COUNTIF($B$1:$C147, $B148), "", "存在しない")</f>
        <v>存在しない</v>
      </c>
      <c r="N148" s="2" t="str">
        <f>IF(AND(A148&lt;&gt;"",L148="存在しない",M148="存在しない"),IF(COUNTIF([1]クラス!$A$1:$A$1000, $B148),"",TRUE),"")</f>
        <v/>
      </c>
    </row>
    <row r="149" spans="1:14" hidden="1" outlineLevel="1" x14ac:dyDescent="0.4">
      <c r="A149" s="2">
        <v>5</v>
      </c>
      <c r="L149" s="15" t="str">
        <f>IF(OR(COUNTIF(クラス!$A$1:$A$1020, $B149),$B149="",COUNTIF(スキル一覧!$A$1:$A$3500, $B149)), "", "存在しない")</f>
        <v/>
      </c>
      <c r="M149" s="2" t="str">
        <f>IF(COUNTIF($B$1:$C148, $B149), "", "存在しない")</f>
        <v>存在しない</v>
      </c>
      <c r="N149" s="2" t="str">
        <f>IF(AND(A149&lt;&gt;"",L149="存在しない",M149="存在しない"),IF(COUNTIF([1]クラス!$A$1:$A$1000, $B149),"",TRUE),"")</f>
        <v/>
      </c>
    </row>
    <row r="150" spans="1:14" hidden="1" outlineLevel="1" x14ac:dyDescent="0.4">
      <c r="A150" s="2">
        <v>6</v>
      </c>
      <c r="L150" s="15" t="str">
        <f>IF(OR(COUNTIF(クラス!$A$1:$A$1020, $B150),$B150="",COUNTIF(スキル一覧!$A$1:$A$3500, $B150)), "", "存在しない")</f>
        <v/>
      </c>
      <c r="M150" s="2" t="str">
        <f>IF(COUNTIF($B$1:$C149, $B150), "", "存在しない")</f>
        <v>存在しない</v>
      </c>
      <c r="N150" s="2" t="str">
        <f>IF(AND(A150&lt;&gt;"",L150="存在しない",M150="存在しない"),IF(COUNTIF([1]クラス!$A$1:$A$1000, $B150),"",TRUE),"")</f>
        <v/>
      </c>
    </row>
    <row r="151" spans="1:14" hidden="1" outlineLevel="1" x14ac:dyDescent="0.4">
      <c r="A151" s="2">
        <v>7</v>
      </c>
      <c r="L151" s="15" t="str">
        <f>IF(OR(COUNTIF(クラス!$A$1:$A$1020, $B151),$B151="",COUNTIF(スキル一覧!$A$1:$A$3500, $B151)), "", "存在しない")</f>
        <v/>
      </c>
      <c r="M151" s="2" t="str">
        <f>IF(COUNTIF($B$1:$C150, $B151), "", "存在しない")</f>
        <v>存在しない</v>
      </c>
      <c r="N151" s="2" t="str">
        <f>IF(AND(A151&lt;&gt;"",L151="存在しない",M151="存在しない"),IF(COUNTIF([1]クラス!$A$1:$A$1000, $B151),"",TRUE),"")</f>
        <v/>
      </c>
    </row>
    <row r="152" spans="1:14" hidden="1" outlineLevel="1" x14ac:dyDescent="0.4">
      <c r="A152" s="2">
        <v>8</v>
      </c>
      <c r="L152" s="15" t="str">
        <f>IF(OR(COUNTIF(クラス!$A$1:$A$1020, $B152),$B152="",COUNTIF(スキル一覧!$A$1:$A$3500, $B152)), "", "存在しない")</f>
        <v/>
      </c>
      <c r="M152" s="2" t="str">
        <f>IF(COUNTIF($B$1:$C151, $B152), "", "存在しない")</f>
        <v>存在しない</v>
      </c>
      <c r="N152" s="2" t="str">
        <f>IF(AND(A152&lt;&gt;"",L152="存在しない",M152="存在しない"),IF(COUNTIF([1]クラス!$A$1:$A$1000, $B152),"",TRUE),"")</f>
        <v/>
      </c>
    </row>
    <row r="153" spans="1:14" hidden="1" outlineLevel="1" x14ac:dyDescent="0.4">
      <c r="A153" s="2">
        <v>9</v>
      </c>
      <c r="L153" s="15" t="str">
        <f>IF(OR(COUNTIF(クラス!$A$1:$A$1020, $B153),$B153="",COUNTIF(スキル一覧!$A$1:$A$3500, $B153)), "", "存在しない")</f>
        <v/>
      </c>
      <c r="M153" s="2" t="str">
        <f>IF(COUNTIF($B$1:$C152, $B153), "", "存在しない")</f>
        <v>存在しない</v>
      </c>
      <c r="N153" s="2" t="str">
        <f>IF(AND(A153&lt;&gt;"",L153="存在しない",M153="存在しない"),IF(COUNTIF([1]クラス!$A$1:$A$1000, $B153),"",TRUE),"")</f>
        <v/>
      </c>
    </row>
    <row r="154" spans="1:14" hidden="1" outlineLevel="1" x14ac:dyDescent="0.4">
      <c r="A154" s="2">
        <v>10</v>
      </c>
      <c r="L154" s="15" t="str">
        <f>IF(OR(COUNTIF(クラス!$A$1:$A$1020, $B154),$B154="",COUNTIF(スキル一覧!$A$1:$A$3500, $B154)), "", "存在しない")</f>
        <v/>
      </c>
      <c r="M154" s="2" t="str">
        <f>IF(COUNTIF($B$1:$C153, $B154), "", "存在しない")</f>
        <v>存在しない</v>
      </c>
      <c r="N154" s="2" t="str">
        <f>IF(AND(A154&lt;&gt;"",L154="存在しない",M154="存在しない"),IF(COUNTIF([1]クラス!$A$1:$A$1000, $B154),"",TRUE),"")</f>
        <v/>
      </c>
    </row>
    <row r="155" spans="1:14" hidden="1" outlineLevel="1" x14ac:dyDescent="0.4">
      <c r="L155" s="15" t="str">
        <f>IF(OR(COUNTIF(クラス!$A$1:$A$1020, $B155),$B155="",COUNTIF(スキル一覧!$A$1:$A$3500, $B155)), "", "存在しない")</f>
        <v/>
      </c>
      <c r="M155" s="2" t="str">
        <f>IF(COUNTIF($B$1:$C154, $B155), "", "存在しない")</f>
        <v>存在しない</v>
      </c>
      <c r="N155" s="2" t="str">
        <f>IF(AND(A155&lt;&gt;"",L155="存在しない",M155="存在しない"),IF(COUNTIF([1]クラス!$A$1:$A$1000, $B155),"",TRUE),"")</f>
        <v/>
      </c>
    </row>
    <row r="156" spans="1:14" collapsed="1" x14ac:dyDescent="0.4">
      <c r="L156" s="15" t="str">
        <f>IF(OR(COUNTIF(クラス!$A$1:$A$1020, $B156),$B156="",COUNTIF(スキル一覧!$A$1:$A$3500, $B156)), "", "存在しない")</f>
        <v/>
      </c>
      <c r="M156" s="2" t="str">
        <f>IF(COUNTIF($B$1:$C155, $B156), "", "存在しない")</f>
        <v>存在しない</v>
      </c>
      <c r="N156" s="2" t="str">
        <f>IF(AND(A156&lt;&gt;"",L156="存在しない",M156="存在しない"),IF(COUNTIF([1]クラス!$A$1:$A$1000, $B156),"",TRUE),"")</f>
        <v/>
      </c>
    </row>
    <row r="157" spans="1:14" x14ac:dyDescent="0.4">
      <c r="B157" s="2" t="s">
        <v>43</v>
      </c>
      <c r="L157" s="15" t="str">
        <f>IF(OR(COUNTIF(クラス!$A$1:$A$1020, $B157),$B157="",COUNTIF(スキル一覧!$A$1:$A$3500, $B157)), "", "存在しない")</f>
        <v/>
      </c>
      <c r="M157" s="2" t="str">
        <f>IF(COUNTIF($B$1:$C156, $B157), "", "存在しない")</f>
        <v>存在しない</v>
      </c>
      <c r="N157" s="2" t="str">
        <f>IF(AND(A157&lt;&gt;"",L157="存在しない",M157="存在しない"),IF(COUNTIF([1]クラス!$A$1:$A$1000, $B157),"",TRUE),"")</f>
        <v/>
      </c>
    </row>
    <row r="158" spans="1:14" hidden="1" outlineLevel="1" x14ac:dyDescent="0.4">
      <c r="A158" s="2">
        <v>1</v>
      </c>
      <c r="L158" s="15" t="str">
        <f>IF(OR(COUNTIF(クラス!$A$1:$A$1020, $B158),$B158="",COUNTIF(スキル一覧!$A$1:$A$3500, $B158)), "", "存在しない")</f>
        <v/>
      </c>
      <c r="M158" s="2" t="str">
        <f>IF(COUNTIF($B$1:$C157, $B158), "", "存在しない")</f>
        <v>存在しない</v>
      </c>
      <c r="N158" s="2" t="str">
        <f>IF(AND(A158&lt;&gt;"",L158="存在しない",M158="存在しない"),IF(COUNTIF([1]クラス!$A$1:$A$1000, $B158),"",TRUE),"")</f>
        <v/>
      </c>
    </row>
    <row r="159" spans="1:14" hidden="1" outlineLevel="1" x14ac:dyDescent="0.4">
      <c r="A159" s="2">
        <v>2</v>
      </c>
      <c r="L159" s="15" t="str">
        <f>IF(OR(COUNTIF(クラス!$A$1:$A$1020, $B159),$B159="",COUNTIF(スキル一覧!$A$1:$A$3500, $B159)), "", "存在しない")</f>
        <v/>
      </c>
      <c r="M159" s="2" t="str">
        <f>IF(COUNTIF($B$1:$C158, $B159), "", "存在しない")</f>
        <v>存在しない</v>
      </c>
      <c r="N159" s="2" t="str">
        <f>IF(AND(A159&lt;&gt;"",L159="存在しない",M159="存在しない"),IF(COUNTIF([1]クラス!$A$1:$A$1000, $B159),"",TRUE),"")</f>
        <v/>
      </c>
    </row>
    <row r="160" spans="1:14" hidden="1" outlineLevel="1" x14ac:dyDescent="0.4">
      <c r="A160" s="2">
        <v>3</v>
      </c>
      <c r="L160" s="15" t="str">
        <f>IF(OR(COUNTIF(クラス!$A$1:$A$1020, $B160),$B160="",COUNTIF(スキル一覧!$A$1:$A$3500, $B160)), "", "存在しない")</f>
        <v/>
      </c>
      <c r="M160" s="2" t="str">
        <f>IF(COUNTIF($B$1:$C159, $B160), "", "存在しない")</f>
        <v>存在しない</v>
      </c>
      <c r="N160" s="2" t="str">
        <f>IF(AND(A160&lt;&gt;"",L160="存在しない",M160="存在しない"),IF(COUNTIF([1]クラス!$A$1:$A$1000, $B160),"",TRUE),"")</f>
        <v/>
      </c>
    </row>
    <row r="161" spans="1:14" hidden="1" outlineLevel="1" x14ac:dyDescent="0.4">
      <c r="A161" s="2">
        <v>4</v>
      </c>
      <c r="L161" s="15" t="str">
        <f>IF(OR(COUNTIF(クラス!$A$1:$A$1020, $B161),$B161="",COUNTIF(スキル一覧!$A$1:$A$3500, $B161)), "", "存在しない")</f>
        <v/>
      </c>
      <c r="M161" s="2" t="str">
        <f>IF(COUNTIF($B$1:$C160, $B161), "", "存在しない")</f>
        <v>存在しない</v>
      </c>
      <c r="N161" s="2" t="str">
        <f>IF(AND(A161&lt;&gt;"",L161="存在しない",M161="存在しない"),IF(COUNTIF([1]クラス!$A$1:$A$1000, $B161),"",TRUE),"")</f>
        <v/>
      </c>
    </row>
    <row r="162" spans="1:14" hidden="1" outlineLevel="1" x14ac:dyDescent="0.4">
      <c r="A162" s="2">
        <v>5</v>
      </c>
      <c r="L162" s="15" t="str">
        <f>IF(OR(COUNTIF(クラス!$A$1:$A$1020, $B162),$B162="",COUNTIF(スキル一覧!$A$1:$A$3500, $B162)), "", "存在しない")</f>
        <v/>
      </c>
      <c r="M162" s="2" t="str">
        <f>IF(COUNTIF($B$1:$C161, $B162), "", "存在しない")</f>
        <v>存在しない</v>
      </c>
      <c r="N162" s="2" t="str">
        <f>IF(AND(A162&lt;&gt;"",L162="存在しない",M162="存在しない"),IF(COUNTIF([1]クラス!$A$1:$A$1000, $B162),"",TRUE),"")</f>
        <v/>
      </c>
    </row>
    <row r="163" spans="1:14" hidden="1" outlineLevel="1" x14ac:dyDescent="0.4">
      <c r="A163" s="2">
        <v>6</v>
      </c>
      <c r="L163" s="15" t="str">
        <f>IF(OR(COUNTIF(クラス!$A$1:$A$1020, $B163),$B163="",COUNTIF(スキル一覧!$A$1:$A$3500, $B163)), "", "存在しない")</f>
        <v/>
      </c>
      <c r="M163" s="2" t="str">
        <f>IF(COUNTIF($B$1:$C162, $B163), "", "存在しない")</f>
        <v>存在しない</v>
      </c>
      <c r="N163" s="2" t="str">
        <f>IF(AND(A163&lt;&gt;"",L163="存在しない",M163="存在しない"),IF(COUNTIF([1]クラス!$A$1:$A$1000, $B163),"",TRUE),"")</f>
        <v/>
      </c>
    </row>
    <row r="164" spans="1:14" hidden="1" outlineLevel="1" x14ac:dyDescent="0.4">
      <c r="A164" s="2">
        <v>7</v>
      </c>
      <c r="L164" s="15" t="str">
        <f>IF(OR(COUNTIF(クラス!$A$1:$A$1020, $B164),$B164="",COUNTIF(スキル一覧!$A$1:$A$3500, $B164)), "", "存在しない")</f>
        <v/>
      </c>
      <c r="M164" s="2" t="str">
        <f>IF(COUNTIF($B$1:$C163, $B164), "", "存在しない")</f>
        <v>存在しない</v>
      </c>
      <c r="N164" s="2" t="str">
        <f>IF(AND(A164&lt;&gt;"",L164="存在しない",M164="存在しない"),IF(COUNTIF([1]クラス!$A$1:$A$1000, $B164),"",TRUE),"")</f>
        <v/>
      </c>
    </row>
    <row r="165" spans="1:14" hidden="1" outlineLevel="1" x14ac:dyDescent="0.4">
      <c r="A165" s="2">
        <v>8</v>
      </c>
      <c r="L165" s="15" t="str">
        <f>IF(OR(COUNTIF(クラス!$A$1:$A$1020, $B165),$B165="",COUNTIF(スキル一覧!$A$1:$A$3500, $B165)), "", "存在しない")</f>
        <v/>
      </c>
      <c r="M165" s="2" t="str">
        <f>IF(COUNTIF($B$1:$C164, $B165), "", "存在しない")</f>
        <v>存在しない</v>
      </c>
      <c r="N165" s="2" t="str">
        <f>IF(AND(A165&lt;&gt;"",L165="存在しない",M165="存在しない"),IF(COUNTIF([1]クラス!$A$1:$A$1000, $B165),"",TRUE),"")</f>
        <v/>
      </c>
    </row>
    <row r="166" spans="1:14" hidden="1" outlineLevel="1" x14ac:dyDescent="0.4">
      <c r="A166" s="2">
        <v>9</v>
      </c>
      <c r="L166" s="15" t="str">
        <f>IF(OR(COUNTIF(クラス!$A$1:$A$1020, $B166),$B166="",COUNTIF(スキル一覧!$A$1:$A$3500, $B166)), "", "存在しない")</f>
        <v/>
      </c>
      <c r="M166" s="2" t="str">
        <f>IF(COUNTIF($B$1:$C165, $B166), "", "存在しない")</f>
        <v>存在しない</v>
      </c>
      <c r="N166" s="2" t="str">
        <f>IF(AND(A166&lt;&gt;"",L166="存在しない",M166="存在しない"),IF(COUNTIF([1]クラス!$A$1:$A$1000, $B166),"",TRUE),"")</f>
        <v/>
      </c>
    </row>
    <row r="167" spans="1:14" hidden="1" outlineLevel="1" x14ac:dyDescent="0.4">
      <c r="A167" s="2">
        <v>10</v>
      </c>
      <c r="L167" s="15" t="str">
        <f>IF(OR(COUNTIF(クラス!$A$1:$A$1020, $B167),$B167="",COUNTIF(スキル一覧!$A$1:$A$3500, $B167)), "", "存在しない")</f>
        <v/>
      </c>
      <c r="M167" s="2" t="str">
        <f>IF(COUNTIF($B$1:$C166, $B167), "", "存在しない")</f>
        <v>存在しない</v>
      </c>
      <c r="N167" s="2" t="str">
        <f>IF(AND(A167&lt;&gt;"",L167="存在しない",M167="存在しない"),IF(COUNTIF([1]クラス!$A$1:$A$1000, $B167),"",TRUE),"")</f>
        <v/>
      </c>
    </row>
    <row r="168" spans="1:14" hidden="1" outlineLevel="1" x14ac:dyDescent="0.4">
      <c r="L168" s="15" t="str">
        <f>IF(OR(COUNTIF(クラス!$A$1:$A$1020, $B168),$B168="",COUNTIF(スキル一覧!$A$1:$A$3500, $B168)), "", "存在しない")</f>
        <v/>
      </c>
      <c r="M168" s="2" t="str">
        <f>IF(COUNTIF($B$1:$C167, $B168), "", "存在しない")</f>
        <v>存在しない</v>
      </c>
      <c r="N168" s="2" t="str">
        <f>IF(AND(A168&lt;&gt;"",L168="存在しない",M168="存在しない"),IF(COUNTIF([1]クラス!$A$1:$A$1000, $B168),"",TRUE),"")</f>
        <v/>
      </c>
    </row>
    <row r="169" spans="1:14" collapsed="1" x14ac:dyDescent="0.4">
      <c r="L169" s="15" t="str">
        <f>IF(OR(COUNTIF(クラス!$A$1:$A$1020, $B169),$B169="",COUNTIF(スキル一覧!$A$1:$A$3500, $B169)), "", "存在しない")</f>
        <v/>
      </c>
      <c r="M169" s="2" t="str">
        <f>IF(COUNTIF($B$1:$C168, $B169), "", "存在しない")</f>
        <v>存在しない</v>
      </c>
      <c r="N169" s="2" t="str">
        <f>IF(AND(A169&lt;&gt;"",L169="存在しない",M169="存在しない"),IF(COUNTIF([1]クラス!$A$1:$A$1000, $B169),"",TRUE),"")</f>
        <v/>
      </c>
    </row>
    <row r="170" spans="1:14" x14ac:dyDescent="0.4">
      <c r="B170" s="2" t="s">
        <v>67</v>
      </c>
      <c r="L170" s="15" t="str">
        <f>IF(OR(COUNTIF(クラス!$A$1:$A$1020, $B170),$B170="",COUNTIF(スキル一覧!$A$1:$A$3500, $B170)), "", "存在しない")</f>
        <v/>
      </c>
      <c r="M170" s="2" t="str">
        <f>IF(COUNTIF($B$1:$C169, $B170), "", "存在しない")</f>
        <v>存在しない</v>
      </c>
      <c r="N170" s="2" t="str">
        <f>IF(AND(A170&lt;&gt;"",L170="存在しない",M170="存在しない"),IF(COUNTIF([1]クラス!$A$1:$A$1000, $B170),"",TRUE),"")</f>
        <v/>
      </c>
    </row>
    <row r="171" spans="1:14" hidden="1" outlineLevel="1" x14ac:dyDescent="0.4">
      <c r="A171" s="2">
        <v>1</v>
      </c>
      <c r="L171" s="15" t="str">
        <f>IF(OR(COUNTIF(クラス!$A$1:$A$1020, $B171),$B171="",COUNTIF(スキル一覧!$A$1:$A$3500, $B171)), "", "存在しない")</f>
        <v/>
      </c>
      <c r="M171" s="2" t="str">
        <f>IF(COUNTIF($B$1:$C170, $B171), "", "存在しない")</f>
        <v>存在しない</v>
      </c>
      <c r="N171" s="2" t="str">
        <f>IF(AND(A171&lt;&gt;"",L171="存在しない",M171="存在しない"),IF(COUNTIF([1]クラス!$A$1:$A$1000, $B171),"",TRUE),"")</f>
        <v/>
      </c>
    </row>
    <row r="172" spans="1:14" hidden="1" outlineLevel="1" x14ac:dyDescent="0.4">
      <c r="A172" s="2">
        <v>2</v>
      </c>
      <c r="L172" s="15" t="str">
        <f>IF(OR(COUNTIF(クラス!$A$1:$A$1020, $B172),$B172="",COUNTIF(スキル一覧!$A$1:$A$3500, $B172)), "", "存在しない")</f>
        <v/>
      </c>
      <c r="M172" s="2" t="str">
        <f>IF(COUNTIF($B$1:$C171, $B172), "", "存在しない")</f>
        <v>存在しない</v>
      </c>
      <c r="N172" s="2" t="str">
        <f>IF(AND(A172&lt;&gt;"",L172="存在しない",M172="存在しない"),IF(COUNTIF([1]クラス!$A$1:$A$1000, $B172),"",TRUE),"")</f>
        <v/>
      </c>
    </row>
    <row r="173" spans="1:14" hidden="1" outlineLevel="1" x14ac:dyDescent="0.4">
      <c r="A173" s="2">
        <v>3</v>
      </c>
      <c r="L173" s="15" t="str">
        <f>IF(OR(COUNTIF(クラス!$A$1:$A$1020, $B173),$B173="",COUNTIF(スキル一覧!$A$1:$A$3500, $B173)), "", "存在しない")</f>
        <v/>
      </c>
      <c r="M173" s="2" t="str">
        <f>IF(COUNTIF($B$1:$C172, $B173), "", "存在しない")</f>
        <v>存在しない</v>
      </c>
      <c r="N173" s="2" t="str">
        <f>IF(AND(A173&lt;&gt;"",L173="存在しない",M173="存在しない"),IF(COUNTIF([1]クラス!$A$1:$A$1000, $B173),"",TRUE),"")</f>
        <v/>
      </c>
    </row>
    <row r="174" spans="1:14" hidden="1" outlineLevel="1" x14ac:dyDescent="0.4">
      <c r="A174" s="2">
        <v>4</v>
      </c>
      <c r="L174" s="15" t="str">
        <f>IF(OR(COUNTIF(クラス!$A$1:$A$1020, $B174),$B174="",COUNTIF(スキル一覧!$A$1:$A$3500, $B174)), "", "存在しない")</f>
        <v/>
      </c>
      <c r="M174" s="2" t="str">
        <f>IF(COUNTIF($B$1:$C173, $B174), "", "存在しない")</f>
        <v>存在しない</v>
      </c>
      <c r="N174" s="2" t="str">
        <f>IF(AND(A174&lt;&gt;"",L174="存在しない",M174="存在しない"),IF(COUNTIF([1]クラス!$A$1:$A$1000, $B174),"",TRUE),"")</f>
        <v/>
      </c>
    </row>
    <row r="175" spans="1:14" hidden="1" outlineLevel="1" x14ac:dyDescent="0.4">
      <c r="A175" s="2">
        <v>5</v>
      </c>
      <c r="L175" s="15" t="str">
        <f>IF(OR(COUNTIF(クラス!$A$1:$A$1020, $B175),$B175="",COUNTIF(スキル一覧!$A$1:$A$3500, $B175)), "", "存在しない")</f>
        <v/>
      </c>
      <c r="M175" s="2" t="str">
        <f>IF(COUNTIF($B$1:$C174, $B175), "", "存在しない")</f>
        <v>存在しない</v>
      </c>
      <c r="N175" s="2" t="str">
        <f>IF(AND(A175&lt;&gt;"",L175="存在しない",M175="存在しない"),IF(COUNTIF([1]クラス!$A$1:$A$1000, $B175),"",TRUE),"")</f>
        <v/>
      </c>
    </row>
    <row r="176" spans="1:14" hidden="1" outlineLevel="1" x14ac:dyDescent="0.4">
      <c r="A176" s="2">
        <v>6</v>
      </c>
      <c r="L176" s="15" t="str">
        <f>IF(OR(COUNTIF(クラス!$A$1:$A$1020, $B176),$B176="",COUNTIF(スキル一覧!$A$1:$A$3500, $B176)), "", "存在しない")</f>
        <v/>
      </c>
      <c r="M176" s="2" t="str">
        <f>IF(COUNTIF($B$1:$C175, $B176), "", "存在しない")</f>
        <v>存在しない</v>
      </c>
      <c r="N176" s="2" t="str">
        <f>IF(AND(A176&lt;&gt;"",L176="存在しない",M176="存在しない"),IF(COUNTIF([1]クラス!$A$1:$A$1000, $B176),"",TRUE),"")</f>
        <v/>
      </c>
    </row>
    <row r="177" spans="1:14" hidden="1" outlineLevel="1" x14ac:dyDescent="0.4">
      <c r="A177" s="2">
        <v>7</v>
      </c>
      <c r="L177" s="15" t="str">
        <f>IF(OR(COUNTIF(クラス!$A$1:$A$1020, $B177),$B177="",COUNTIF(スキル一覧!$A$1:$A$3500, $B177)), "", "存在しない")</f>
        <v/>
      </c>
      <c r="M177" s="2" t="str">
        <f>IF(COUNTIF($B$1:$C176, $B177), "", "存在しない")</f>
        <v>存在しない</v>
      </c>
      <c r="N177" s="2" t="str">
        <f>IF(AND(A177&lt;&gt;"",L177="存在しない",M177="存在しない"),IF(COUNTIF([1]クラス!$A$1:$A$1000, $B177),"",TRUE),"")</f>
        <v/>
      </c>
    </row>
    <row r="178" spans="1:14" hidden="1" outlineLevel="1" x14ac:dyDescent="0.4">
      <c r="A178" s="2">
        <v>8</v>
      </c>
      <c r="L178" s="15" t="str">
        <f>IF(OR(COUNTIF(クラス!$A$1:$A$1020, $B178),$B178="",COUNTIF(スキル一覧!$A$1:$A$3500, $B178)), "", "存在しない")</f>
        <v/>
      </c>
      <c r="M178" s="2" t="str">
        <f>IF(COUNTIF($B$1:$C177, $B178), "", "存在しない")</f>
        <v>存在しない</v>
      </c>
      <c r="N178" s="2" t="str">
        <f>IF(AND(A178&lt;&gt;"",L178="存在しない",M178="存在しない"),IF(COUNTIF([1]クラス!$A$1:$A$1000, $B178),"",TRUE),"")</f>
        <v/>
      </c>
    </row>
    <row r="179" spans="1:14" hidden="1" outlineLevel="1" x14ac:dyDescent="0.4">
      <c r="A179" s="2">
        <v>9</v>
      </c>
      <c r="L179" s="15" t="str">
        <f>IF(OR(COUNTIF(クラス!$A$1:$A$1020, $B179),$B179="",COUNTIF(スキル一覧!$A$1:$A$3500, $B179)), "", "存在しない")</f>
        <v/>
      </c>
      <c r="M179" s="2" t="str">
        <f>IF(COUNTIF($B$1:$C178, $B179), "", "存在しない")</f>
        <v>存在しない</v>
      </c>
      <c r="N179" s="2" t="str">
        <f>IF(AND(A179&lt;&gt;"",L179="存在しない",M179="存在しない"),IF(COUNTIF([1]クラス!$A$1:$A$1000, $B179),"",TRUE),"")</f>
        <v/>
      </c>
    </row>
    <row r="180" spans="1:14" hidden="1" outlineLevel="1" x14ac:dyDescent="0.4">
      <c r="A180" s="2">
        <v>10</v>
      </c>
      <c r="L180" s="15" t="str">
        <f>IF(OR(COUNTIF(クラス!$A$1:$A$1020, $B180),$B180="",COUNTIF(スキル一覧!$A$1:$A$3500, $B180)), "", "存在しない")</f>
        <v/>
      </c>
      <c r="M180" s="2" t="str">
        <f>IF(COUNTIF($B$1:$C179, $B180), "", "存在しない")</f>
        <v>存在しない</v>
      </c>
      <c r="N180" s="2" t="str">
        <f>IF(AND(A180&lt;&gt;"",L180="存在しない",M180="存在しない"),IF(COUNTIF([1]クラス!$A$1:$A$1000, $B180),"",TRUE),"")</f>
        <v/>
      </c>
    </row>
    <row r="181" spans="1:14" hidden="1" outlineLevel="1" x14ac:dyDescent="0.4">
      <c r="L181" s="15" t="str">
        <f>IF(OR(COUNTIF(クラス!$A$1:$A$1020, $B181),$B181="",COUNTIF(スキル一覧!$A$1:$A$3500, $B181)), "", "存在しない")</f>
        <v/>
      </c>
      <c r="M181" s="2" t="str">
        <f>IF(COUNTIF($B$1:$C180, $B181), "", "存在しない")</f>
        <v>存在しない</v>
      </c>
      <c r="N181" s="2" t="str">
        <f>IF(AND(A181&lt;&gt;"",L181="存在しない",M181="存在しない"),IF(COUNTIF([1]クラス!$A$1:$A$1000, $B181),"",TRUE),"")</f>
        <v/>
      </c>
    </row>
    <row r="182" spans="1:14" collapsed="1" x14ac:dyDescent="0.4">
      <c r="L182" s="15" t="str">
        <f>IF(OR(COUNTIF(クラス!$A$1:$A$1020, $B182),$B182="",COUNTIF(スキル一覧!$A$1:$A$3500, $B182)), "", "存在しない")</f>
        <v/>
      </c>
      <c r="M182" s="2" t="str">
        <f>IF(COUNTIF($B$1:$C181, $B182), "", "存在しない")</f>
        <v>存在しない</v>
      </c>
      <c r="N182" s="2" t="str">
        <f>IF(AND(A182&lt;&gt;"",L182="存在しない",M182="存在しない"),IF(COUNTIF([1]クラス!$A$1:$A$1000, $B182),"",TRUE),"")</f>
        <v/>
      </c>
    </row>
    <row r="183" spans="1:14" x14ac:dyDescent="0.4">
      <c r="B183" s="2" t="s">
        <v>45</v>
      </c>
      <c r="L183" s="15" t="str">
        <f>IF(OR(COUNTIF(クラス!$A$1:$A$1020, $B183),$B183="",COUNTIF(スキル一覧!$A$1:$A$3500, $B183)), "", "存在しない")</f>
        <v/>
      </c>
      <c r="M183" s="2" t="str">
        <f>IF(COUNTIF($B$1:$C182, $B183), "", "存在しない")</f>
        <v>存在しない</v>
      </c>
      <c r="N183" s="2" t="str">
        <f>IF(AND(A183&lt;&gt;"",L183="存在しない",M183="存在しない"),IF(COUNTIF([1]クラス!$A$1:$A$1000, $B183),"",TRUE),"")</f>
        <v/>
      </c>
    </row>
    <row r="184" spans="1:14" hidden="1" outlineLevel="1" x14ac:dyDescent="0.4">
      <c r="A184" s="2">
        <v>1</v>
      </c>
      <c r="L184" s="15" t="str">
        <f>IF(OR(COUNTIF(クラス!$A$1:$A$1020, $B184),$B184="",COUNTIF(スキル一覧!$A$1:$A$3500, $B184)), "", "存在しない")</f>
        <v/>
      </c>
      <c r="M184" s="2" t="str">
        <f>IF(COUNTIF($B$1:$C183, $B184), "", "存在しない")</f>
        <v>存在しない</v>
      </c>
      <c r="N184" s="2" t="str">
        <f>IF(AND(A184&lt;&gt;"",L184="存在しない",M184="存在しない"),IF(COUNTIF([1]クラス!$A$1:$A$1000, $B184),"",TRUE),"")</f>
        <v/>
      </c>
    </row>
    <row r="185" spans="1:14" hidden="1" outlineLevel="1" x14ac:dyDescent="0.4">
      <c r="A185" s="2">
        <v>2</v>
      </c>
      <c r="L185" s="15" t="str">
        <f>IF(OR(COUNTIF(クラス!$A$1:$A$1020, $B185),$B185="",COUNTIF(スキル一覧!$A$1:$A$3500, $B185)), "", "存在しない")</f>
        <v/>
      </c>
      <c r="M185" s="2" t="str">
        <f>IF(COUNTIF($B$1:$C184, $B185), "", "存在しない")</f>
        <v>存在しない</v>
      </c>
      <c r="N185" s="2" t="str">
        <f>IF(AND(A185&lt;&gt;"",L185="存在しない",M185="存在しない"),IF(COUNTIF([1]クラス!$A$1:$A$1000, $B185),"",TRUE),"")</f>
        <v/>
      </c>
    </row>
    <row r="186" spans="1:14" hidden="1" outlineLevel="1" x14ac:dyDescent="0.4">
      <c r="A186" s="2">
        <v>3</v>
      </c>
      <c r="L186" s="15" t="str">
        <f>IF(OR(COUNTIF(クラス!$A$1:$A$1020, $B186),$B186="",COUNTIF(スキル一覧!$A$1:$A$3500, $B186)), "", "存在しない")</f>
        <v/>
      </c>
      <c r="M186" s="2" t="str">
        <f>IF(COUNTIF($B$1:$C185, $B186), "", "存在しない")</f>
        <v>存在しない</v>
      </c>
      <c r="N186" s="2" t="str">
        <f>IF(AND(A186&lt;&gt;"",L186="存在しない",M186="存在しない"),IF(COUNTIF([1]クラス!$A$1:$A$1000, $B186),"",TRUE),"")</f>
        <v/>
      </c>
    </row>
    <row r="187" spans="1:14" hidden="1" outlineLevel="1" x14ac:dyDescent="0.4">
      <c r="A187" s="2">
        <v>4</v>
      </c>
      <c r="L187" s="15" t="str">
        <f>IF(OR(COUNTIF(クラス!$A$1:$A$1020, $B187),$B187="",COUNTIF(スキル一覧!$A$1:$A$3500, $B187)), "", "存在しない")</f>
        <v/>
      </c>
      <c r="M187" s="2" t="str">
        <f>IF(COUNTIF($B$1:$C186, $B187), "", "存在しない")</f>
        <v>存在しない</v>
      </c>
      <c r="N187" s="2" t="str">
        <f>IF(AND(A187&lt;&gt;"",L187="存在しない",M187="存在しない"),IF(COUNTIF([1]クラス!$A$1:$A$1000, $B187),"",TRUE),"")</f>
        <v/>
      </c>
    </row>
    <row r="188" spans="1:14" hidden="1" outlineLevel="1" x14ac:dyDescent="0.4">
      <c r="A188" s="2">
        <v>5</v>
      </c>
      <c r="L188" s="15" t="str">
        <f>IF(OR(COUNTIF(クラス!$A$1:$A$1020, $B188),$B188="",COUNTIF(スキル一覧!$A$1:$A$3500, $B188)), "", "存在しない")</f>
        <v/>
      </c>
      <c r="M188" s="2" t="str">
        <f>IF(COUNTIF($B$1:$C187, $B188), "", "存在しない")</f>
        <v>存在しない</v>
      </c>
      <c r="N188" s="2" t="str">
        <f>IF(AND(A188&lt;&gt;"",L188="存在しない",M188="存在しない"),IF(COUNTIF([1]クラス!$A$1:$A$1000, $B188),"",TRUE),"")</f>
        <v/>
      </c>
    </row>
    <row r="189" spans="1:14" hidden="1" outlineLevel="1" x14ac:dyDescent="0.4">
      <c r="A189" s="2">
        <v>6</v>
      </c>
      <c r="L189" s="15" t="str">
        <f>IF(OR(COUNTIF(クラス!$A$1:$A$1020, $B189),$B189="",COUNTIF(スキル一覧!$A$1:$A$3500, $B189)), "", "存在しない")</f>
        <v/>
      </c>
      <c r="M189" s="2" t="str">
        <f>IF(COUNTIF($B$1:$C188, $B189), "", "存在しない")</f>
        <v>存在しない</v>
      </c>
      <c r="N189" s="2" t="str">
        <f>IF(AND(A189&lt;&gt;"",L189="存在しない",M189="存在しない"),IF(COUNTIF([1]クラス!$A$1:$A$1000, $B189),"",TRUE),"")</f>
        <v/>
      </c>
    </row>
    <row r="190" spans="1:14" hidden="1" outlineLevel="1" x14ac:dyDescent="0.4">
      <c r="A190" s="2">
        <v>7</v>
      </c>
      <c r="L190" s="15" t="str">
        <f>IF(OR(COUNTIF(クラス!$A$1:$A$1020, $B190),$B190="",COUNTIF(スキル一覧!$A$1:$A$3500, $B190)), "", "存在しない")</f>
        <v/>
      </c>
      <c r="M190" s="2" t="str">
        <f>IF(COUNTIF($B$1:$C189, $B190), "", "存在しない")</f>
        <v>存在しない</v>
      </c>
      <c r="N190" s="2" t="str">
        <f>IF(AND(A190&lt;&gt;"",L190="存在しない",M190="存在しない"),IF(COUNTIF([1]クラス!$A$1:$A$1000, $B190),"",TRUE),"")</f>
        <v/>
      </c>
    </row>
    <row r="191" spans="1:14" hidden="1" outlineLevel="1" x14ac:dyDescent="0.4">
      <c r="A191" s="2">
        <v>8</v>
      </c>
      <c r="L191" s="15" t="str">
        <f>IF(OR(COUNTIF(クラス!$A$1:$A$1020, $B191),$B191="",COUNTIF(スキル一覧!$A$1:$A$3500, $B191)), "", "存在しない")</f>
        <v/>
      </c>
      <c r="M191" s="2" t="str">
        <f>IF(COUNTIF($B$1:$C190, $B191), "", "存在しない")</f>
        <v>存在しない</v>
      </c>
      <c r="N191" s="2" t="str">
        <f>IF(AND(A191&lt;&gt;"",L191="存在しない",M191="存在しない"),IF(COUNTIF([1]クラス!$A$1:$A$1000, $B191),"",TRUE),"")</f>
        <v/>
      </c>
    </row>
    <row r="192" spans="1:14" hidden="1" outlineLevel="1" x14ac:dyDescent="0.4">
      <c r="A192" s="2">
        <v>9</v>
      </c>
      <c r="L192" s="15" t="str">
        <f>IF(OR(COUNTIF(クラス!$A$1:$A$1020, $B192),$B192="",COUNTIF(スキル一覧!$A$1:$A$3500, $B192)), "", "存在しない")</f>
        <v/>
      </c>
      <c r="M192" s="2" t="str">
        <f>IF(COUNTIF($B$1:$C191, $B192), "", "存在しない")</f>
        <v>存在しない</v>
      </c>
      <c r="N192" s="2" t="str">
        <f>IF(AND(A192&lt;&gt;"",L192="存在しない",M192="存在しない"),IF(COUNTIF([1]クラス!$A$1:$A$1000, $B192),"",TRUE),"")</f>
        <v/>
      </c>
    </row>
    <row r="193" spans="1:14" hidden="1" outlineLevel="1" x14ac:dyDescent="0.4">
      <c r="A193" s="2">
        <v>10</v>
      </c>
      <c r="L193" s="15" t="str">
        <f>IF(OR(COUNTIF(クラス!$A$1:$A$1020, $B193),$B193="",COUNTIF(スキル一覧!$A$1:$A$3500, $B193)), "", "存在しない")</f>
        <v/>
      </c>
      <c r="M193" s="2" t="str">
        <f>IF(COUNTIF($B$1:$C192, $B193), "", "存在しない")</f>
        <v>存在しない</v>
      </c>
      <c r="N193" s="2" t="str">
        <f>IF(AND(A193&lt;&gt;"",L193="存在しない",M193="存在しない"),IF(COUNTIF([1]クラス!$A$1:$A$1000, $B193),"",TRUE),"")</f>
        <v/>
      </c>
    </row>
    <row r="194" spans="1:14" hidden="1" outlineLevel="1" x14ac:dyDescent="0.4">
      <c r="L194" s="15" t="str">
        <f>IF(OR(COUNTIF(クラス!$A$1:$A$1020, $B194),$B194="",COUNTIF(スキル一覧!$A$1:$A$3500, $B194)), "", "存在しない")</f>
        <v/>
      </c>
      <c r="M194" s="2" t="str">
        <f>IF(COUNTIF($B$1:$C193, $B194), "", "存在しない")</f>
        <v>存在しない</v>
      </c>
      <c r="N194" s="2" t="str">
        <f>IF(AND(A194&lt;&gt;"",L194="存在しない",M194="存在しない"),IF(COUNTIF([1]クラス!$A$1:$A$1000, $B194),"",TRUE),"")</f>
        <v/>
      </c>
    </row>
    <row r="195" spans="1:14" collapsed="1" x14ac:dyDescent="0.4">
      <c r="L195" s="15" t="str">
        <f>IF(OR(COUNTIF(クラス!$A$1:$A$1020, $B195),$B195="",COUNTIF(スキル一覧!$A$1:$A$3500, $B195)), "", "存在しない")</f>
        <v/>
      </c>
      <c r="M195" s="2" t="str">
        <f>IF(COUNTIF($B$1:$C194, $B195), "", "存在しない")</f>
        <v>存在しない</v>
      </c>
      <c r="N195" s="2" t="str">
        <f>IF(AND(A195&lt;&gt;"",L195="存在しない",M195="存在しない"),IF(COUNTIF([1]クラス!$A$1:$A$1000, $B195),"",TRUE),"")</f>
        <v/>
      </c>
    </row>
    <row r="196" spans="1:14" x14ac:dyDescent="0.4">
      <c r="L196" s="15" t="str">
        <f>IF(OR(COUNTIF(クラス!$A$1:$A$1020, $B196),$B196="",COUNTIF(スキル一覧!$A$1:$A$3500, $B196)), "", "存在しない")</f>
        <v/>
      </c>
      <c r="M196" s="2" t="str">
        <f>IF(COUNTIF($B$1:$C195, $B196), "", "存在しない")</f>
        <v>存在しない</v>
      </c>
      <c r="N196" s="2" t="str">
        <f>IF(AND(A196&lt;&gt;"",L196="存在しない",M196="存在しない"),IF(COUNTIF([1]クラス!$A$1:$A$1000, $B196),"",TRUE),"")</f>
        <v/>
      </c>
    </row>
    <row r="197" spans="1:14" x14ac:dyDescent="0.4">
      <c r="B197" s="2" t="s">
        <v>47</v>
      </c>
      <c r="L197" s="15" t="str">
        <f>IF(OR(COUNTIF(クラス!$A$1:$A$1020, $B197),$B197="",COUNTIF(スキル一覧!$A$1:$A$3500, $B197)), "", "存在しない")</f>
        <v/>
      </c>
      <c r="M197" s="2" t="str">
        <f>IF(COUNTIF($B$1:$C196, $B197), "", "存在しない")</f>
        <v>存在しない</v>
      </c>
      <c r="N197" s="2" t="str">
        <f>IF(AND(A197&lt;&gt;"",L197="存在しない",M197="存在しない"),IF(COUNTIF([1]クラス!$A$1:$A$1000, $B197),"",TRUE),"")</f>
        <v/>
      </c>
    </row>
    <row r="198" spans="1:14" hidden="1" outlineLevel="1" x14ac:dyDescent="0.4">
      <c r="A198" s="2">
        <v>1</v>
      </c>
      <c r="L198" s="15" t="str">
        <f>IF(OR(COUNTIF(クラス!$A$1:$A$1020, $B198),$B198="",COUNTIF(スキル一覧!$A$1:$A$3500, $B198)), "", "存在しない")</f>
        <v/>
      </c>
      <c r="M198" s="2" t="str">
        <f>IF(COUNTIF($B$1:$C197, $B198), "", "存在しない")</f>
        <v>存在しない</v>
      </c>
      <c r="N198" s="2" t="str">
        <f>IF(AND(A198&lt;&gt;"",L198="存在しない",M198="存在しない"),IF(COUNTIF([1]クラス!$A$1:$A$1000, $B198),"",TRUE),"")</f>
        <v/>
      </c>
    </row>
    <row r="199" spans="1:14" hidden="1" outlineLevel="1" x14ac:dyDescent="0.4">
      <c r="A199" s="2">
        <v>2</v>
      </c>
      <c r="L199" s="15" t="str">
        <f>IF(OR(COUNTIF(クラス!$A$1:$A$1020, $B199),$B199="",COUNTIF(スキル一覧!$A$1:$A$3500, $B199)), "", "存在しない")</f>
        <v/>
      </c>
      <c r="M199" s="2" t="str">
        <f>IF(COUNTIF($B$1:$C198, $B199), "", "存在しない")</f>
        <v>存在しない</v>
      </c>
      <c r="N199" s="2" t="str">
        <f>IF(AND(A199&lt;&gt;"",L199="存在しない",M199="存在しない"),IF(COUNTIF([1]クラス!$A$1:$A$1000, $B199),"",TRUE),"")</f>
        <v/>
      </c>
    </row>
    <row r="200" spans="1:14" hidden="1" outlineLevel="1" x14ac:dyDescent="0.4">
      <c r="A200" s="2">
        <v>3</v>
      </c>
      <c r="L200" s="15" t="str">
        <f>IF(OR(COUNTIF(クラス!$A$1:$A$1020, $B200),$B200="",COUNTIF(スキル一覧!$A$1:$A$3500, $B200)), "", "存在しない")</f>
        <v/>
      </c>
      <c r="M200" s="2" t="str">
        <f>IF(COUNTIF($B$1:$C199, $B200), "", "存在しない")</f>
        <v>存在しない</v>
      </c>
      <c r="N200" s="2" t="str">
        <f>IF(AND(A200&lt;&gt;"",L200="存在しない",M200="存在しない"),IF(COUNTIF([1]クラス!$A$1:$A$1000, $B200),"",TRUE),"")</f>
        <v/>
      </c>
    </row>
    <row r="201" spans="1:14" hidden="1" outlineLevel="1" x14ac:dyDescent="0.4">
      <c r="A201" s="2">
        <v>4</v>
      </c>
      <c r="L201" s="15" t="str">
        <f>IF(OR(COUNTIF(クラス!$A$1:$A$1020, $B201),$B201="",COUNTIF(スキル一覧!$A$1:$A$3500, $B201)), "", "存在しない")</f>
        <v/>
      </c>
      <c r="M201" s="2" t="str">
        <f>IF(COUNTIF($B$1:$C200, $B201), "", "存在しない")</f>
        <v>存在しない</v>
      </c>
      <c r="N201" s="2" t="str">
        <f>IF(AND(A201&lt;&gt;"",L201="存在しない",M201="存在しない"),IF(COUNTIF([1]クラス!$A$1:$A$1000, $B201),"",TRUE),"")</f>
        <v/>
      </c>
    </row>
    <row r="202" spans="1:14" hidden="1" outlineLevel="1" x14ac:dyDescent="0.4">
      <c r="A202" s="2">
        <v>5</v>
      </c>
      <c r="L202" s="15" t="str">
        <f>IF(OR(COUNTIF(クラス!$A$1:$A$1020, $B202),$B202="",COUNTIF(スキル一覧!$A$1:$A$3500, $B202)), "", "存在しない")</f>
        <v/>
      </c>
      <c r="M202" s="2" t="str">
        <f>IF(COUNTIF($B$1:$C201, $B202), "", "存在しない")</f>
        <v>存在しない</v>
      </c>
      <c r="N202" s="2" t="str">
        <f>IF(AND(A202&lt;&gt;"",L202="存在しない",M202="存在しない"),IF(COUNTIF([1]クラス!$A$1:$A$1000, $B202),"",TRUE),"")</f>
        <v/>
      </c>
    </row>
    <row r="203" spans="1:14" hidden="1" outlineLevel="1" x14ac:dyDescent="0.4">
      <c r="A203" s="2">
        <v>6</v>
      </c>
      <c r="L203" s="15" t="str">
        <f>IF(OR(COUNTIF(クラス!$A$1:$A$1020, $B203),$B203="",COUNTIF(スキル一覧!$A$1:$A$3500, $B203)), "", "存在しない")</f>
        <v/>
      </c>
      <c r="M203" s="2" t="str">
        <f>IF(COUNTIF($B$1:$C202, $B203), "", "存在しない")</f>
        <v>存在しない</v>
      </c>
      <c r="N203" s="2" t="str">
        <f>IF(AND(A203&lt;&gt;"",L203="存在しない",M203="存在しない"),IF(COUNTIF([1]クラス!$A$1:$A$1000, $B203),"",TRUE),"")</f>
        <v/>
      </c>
    </row>
    <row r="204" spans="1:14" hidden="1" outlineLevel="1" x14ac:dyDescent="0.4">
      <c r="A204" s="2">
        <v>7</v>
      </c>
      <c r="L204" s="15" t="str">
        <f>IF(OR(COUNTIF(クラス!$A$1:$A$1020, $B204),$B204="",COUNTIF(スキル一覧!$A$1:$A$3500, $B204)), "", "存在しない")</f>
        <v/>
      </c>
      <c r="M204" s="2" t="str">
        <f>IF(COUNTIF($B$1:$C203, $B204), "", "存在しない")</f>
        <v>存在しない</v>
      </c>
      <c r="N204" s="2" t="str">
        <f>IF(AND(A204&lt;&gt;"",L204="存在しない",M204="存在しない"),IF(COUNTIF([1]クラス!$A$1:$A$1000, $B204),"",TRUE),"")</f>
        <v/>
      </c>
    </row>
    <row r="205" spans="1:14" hidden="1" outlineLevel="1" x14ac:dyDescent="0.4">
      <c r="A205" s="2">
        <v>8</v>
      </c>
      <c r="L205" s="15" t="str">
        <f>IF(OR(COUNTIF(クラス!$A$1:$A$1020, $B205),$B205="",COUNTIF(スキル一覧!$A$1:$A$3500, $B205)), "", "存在しない")</f>
        <v/>
      </c>
      <c r="M205" s="2" t="str">
        <f>IF(COUNTIF($B$1:$C204, $B205), "", "存在しない")</f>
        <v>存在しない</v>
      </c>
      <c r="N205" s="2" t="str">
        <f>IF(AND(A205&lt;&gt;"",L205="存在しない",M205="存在しない"),IF(COUNTIF([1]クラス!$A$1:$A$1000, $B205),"",TRUE),"")</f>
        <v/>
      </c>
    </row>
    <row r="206" spans="1:14" hidden="1" outlineLevel="1" x14ac:dyDescent="0.4">
      <c r="A206" s="2">
        <v>9</v>
      </c>
      <c r="L206" s="15" t="str">
        <f>IF(OR(COUNTIF(クラス!$A$1:$A$1020, $B206),$B206="",COUNTIF(スキル一覧!$A$1:$A$3500, $B206)), "", "存在しない")</f>
        <v/>
      </c>
      <c r="M206" s="2" t="str">
        <f>IF(COUNTIF($B$1:$C205, $B206), "", "存在しない")</f>
        <v>存在しない</v>
      </c>
      <c r="N206" s="2" t="str">
        <f>IF(AND(A206&lt;&gt;"",L206="存在しない",M206="存在しない"),IF(COUNTIF([1]クラス!$A$1:$A$1000, $B206),"",TRUE),"")</f>
        <v/>
      </c>
    </row>
    <row r="207" spans="1:14" hidden="1" outlineLevel="1" x14ac:dyDescent="0.4">
      <c r="A207" s="2">
        <v>10</v>
      </c>
      <c r="L207" s="15" t="str">
        <f>IF(OR(COUNTIF(クラス!$A$1:$A$1020, $B207),$B207="",COUNTIF(スキル一覧!$A$1:$A$3500, $B207)), "", "存在しない")</f>
        <v/>
      </c>
      <c r="M207" s="2" t="str">
        <f>IF(COUNTIF($B$1:$C206, $B207), "", "存在しない")</f>
        <v>存在しない</v>
      </c>
      <c r="N207" s="2" t="str">
        <f>IF(AND(A207&lt;&gt;"",L207="存在しない",M207="存在しない"),IF(COUNTIF([1]クラス!$A$1:$A$1000, $B207),"",TRUE),"")</f>
        <v/>
      </c>
    </row>
    <row r="208" spans="1:14" hidden="1" outlineLevel="1" x14ac:dyDescent="0.4">
      <c r="L208" s="15" t="str">
        <f>IF(OR(COUNTIF(クラス!$A$1:$A$1020, $B208),$B208="",COUNTIF(スキル一覧!$A$1:$A$3500, $B208)), "", "存在しない")</f>
        <v/>
      </c>
      <c r="M208" s="2" t="str">
        <f>IF(COUNTIF($B$1:$C207, $B208), "", "存在しない")</f>
        <v>存在しない</v>
      </c>
      <c r="N208" s="2" t="str">
        <f>IF(AND(A208&lt;&gt;"",L208="存在しない",M208="存在しない"),IF(COUNTIF([1]クラス!$A$1:$A$1000, $B208),"",TRUE),"")</f>
        <v/>
      </c>
    </row>
    <row r="209" spans="1:14" collapsed="1" x14ac:dyDescent="0.4">
      <c r="L209" s="15" t="str">
        <f>IF(OR(COUNTIF(クラス!$A$1:$A$1020, $B209),$B209="",COUNTIF(スキル一覧!$A$1:$A$3500, $B209)), "", "存在しない")</f>
        <v/>
      </c>
      <c r="M209" s="2" t="str">
        <f>IF(COUNTIF($B$1:$C208, $B209), "", "存在しない")</f>
        <v>存在しない</v>
      </c>
      <c r="N209" s="2" t="str">
        <f>IF(AND(A209&lt;&gt;"",L209="存在しない",M209="存在しない"),IF(COUNTIF([1]クラス!$A$1:$A$1000, $B209),"",TRUE),"")</f>
        <v/>
      </c>
    </row>
    <row r="210" spans="1:14" x14ac:dyDescent="0.4">
      <c r="B210" s="2" t="s">
        <v>49</v>
      </c>
      <c r="L210" s="15" t="str">
        <f>IF(OR(COUNTIF(クラス!$A$1:$A$1020, $B210),$B210="",COUNTIF(スキル一覧!$A$1:$A$3500, $B210)), "", "存在しない")</f>
        <v/>
      </c>
      <c r="M210" s="2" t="str">
        <f>IF(COUNTIF($B$1:$C209, $B210), "", "存在しない")</f>
        <v>存在しない</v>
      </c>
      <c r="N210" s="2" t="str">
        <f>IF(AND(A210&lt;&gt;"",L210="存在しない",M210="存在しない"),IF(COUNTIF([1]クラス!$A$1:$A$1000, $B210),"",TRUE),"")</f>
        <v/>
      </c>
    </row>
    <row r="211" spans="1:14" hidden="1" outlineLevel="1" x14ac:dyDescent="0.4">
      <c r="A211" s="2">
        <v>1</v>
      </c>
      <c r="L211" s="15" t="str">
        <f>IF(OR(COUNTIF(クラス!$A$1:$A$1020, $B211),$B211="",COUNTIF(スキル一覧!$A$1:$A$3500, $B211)), "", "存在しない")</f>
        <v/>
      </c>
      <c r="M211" s="2" t="str">
        <f>IF(COUNTIF($B$1:$C210, $B211), "", "存在しない")</f>
        <v>存在しない</v>
      </c>
      <c r="N211" s="2" t="str">
        <f>IF(AND(A211&lt;&gt;"",L211="存在しない",M211="存在しない"),IF(COUNTIF([1]クラス!$A$1:$A$1000, $B211),"",TRUE),"")</f>
        <v/>
      </c>
    </row>
    <row r="212" spans="1:14" hidden="1" outlineLevel="1" x14ac:dyDescent="0.4">
      <c r="A212" s="2">
        <v>2</v>
      </c>
      <c r="L212" s="15" t="str">
        <f>IF(OR(COUNTIF(クラス!$A$1:$A$1020, $B212),$B212="",COUNTIF(スキル一覧!$A$1:$A$3500, $B212)), "", "存在しない")</f>
        <v/>
      </c>
      <c r="M212" s="2" t="str">
        <f>IF(COUNTIF($B$1:$C211, $B212), "", "存在しない")</f>
        <v>存在しない</v>
      </c>
      <c r="N212" s="2" t="str">
        <f>IF(AND(A212&lt;&gt;"",L212="存在しない",M212="存在しない"),IF(COUNTIF([1]クラス!$A$1:$A$1000, $B212),"",TRUE),"")</f>
        <v/>
      </c>
    </row>
    <row r="213" spans="1:14" hidden="1" outlineLevel="1" x14ac:dyDescent="0.4">
      <c r="A213" s="2">
        <v>3</v>
      </c>
      <c r="L213" s="15" t="str">
        <f>IF(OR(COUNTIF(クラス!$A$1:$A$1020, $B213),$B213="",COUNTIF(スキル一覧!$A$1:$A$3500, $B213)), "", "存在しない")</f>
        <v/>
      </c>
      <c r="M213" s="2" t="str">
        <f>IF(COUNTIF($B$1:$C212, $B213), "", "存在しない")</f>
        <v>存在しない</v>
      </c>
      <c r="N213" s="2" t="str">
        <f>IF(AND(A213&lt;&gt;"",L213="存在しない",M213="存在しない"),IF(COUNTIF([1]クラス!$A$1:$A$1000, $B213),"",TRUE),"")</f>
        <v/>
      </c>
    </row>
    <row r="214" spans="1:14" hidden="1" outlineLevel="1" x14ac:dyDescent="0.4">
      <c r="A214" s="2">
        <v>4</v>
      </c>
      <c r="L214" s="15" t="str">
        <f>IF(OR(COUNTIF(クラス!$A$1:$A$1020, $B214),$B214="",COUNTIF(スキル一覧!$A$1:$A$3500, $B214)), "", "存在しない")</f>
        <v/>
      </c>
      <c r="M214" s="2" t="str">
        <f>IF(COUNTIF($B$1:$C213, $B214), "", "存在しない")</f>
        <v>存在しない</v>
      </c>
      <c r="N214" s="2" t="str">
        <f>IF(AND(A214&lt;&gt;"",L214="存在しない",M214="存在しない"),IF(COUNTIF([1]クラス!$A$1:$A$1000, $B214),"",TRUE),"")</f>
        <v/>
      </c>
    </row>
    <row r="215" spans="1:14" hidden="1" outlineLevel="1" x14ac:dyDescent="0.4">
      <c r="A215" s="2">
        <v>5</v>
      </c>
      <c r="L215" s="15" t="str">
        <f>IF(OR(COUNTIF(クラス!$A$1:$A$1020, $B215),$B215="",COUNTIF(スキル一覧!$A$1:$A$3500, $B215)), "", "存在しない")</f>
        <v/>
      </c>
      <c r="M215" s="2" t="str">
        <f>IF(COUNTIF($B$1:$C214, $B215), "", "存在しない")</f>
        <v>存在しない</v>
      </c>
      <c r="N215" s="2" t="str">
        <f>IF(AND(A215&lt;&gt;"",L215="存在しない",M215="存在しない"),IF(COUNTIF([1]クラス!$A$1:$A$1000, $B215),"",TRUE),"")</f>
        <v/>
      </c>
    </row>
    <row r="216" spans="1:14" hidden="1" outlineLevel="1" x14ac:dyDescent="0.4">
      <c r="A216" s="2">
        <v>6</v>
      </c>
      <c r="L216" s="15" t="str">
        <f>IF(OR(COUNTIF(クラス!$A$1:$A$1020, $B216),$B216="",COUNTIF(スキル一覧!$A$1:$A$3500, $B216)), "", "存在しない")</f>
        <v/>
      </c>
      <c r="M216" s="2" t="str">
        <f>IF(COUNTIF($B$1:$C215, $B216), "", "存在しない")</f>
        <v>存在しない</v>
      </c>
      <c r="N216" s="2" t="str">
        <f>IF(AND(A216&lt;&gt;"",L216="存在しない",M216="存在しない"),IF(COUNTIF([1]クラス!$A$1:$A$1000, $B216),"",TRUE),"")</f>
        <v/>
      </c>
    </row>
    <row r="217" spans="1:14" hidden="1" outlineLevel="1" x14ac:dyDescent="0.4">
      <c r="A217" s="2">
        <v>7</v>
      </c>
      <c r="L217" s="15" t="str">
        <f>IF(OR(COUNTIF(クラス!$A$1:$A$1020, $B217),$B217="",COUNTIF(スキル一覧!$A$1:$A$3500, $B217)), "", "存在しない")</f>
        <v/>
      </c>
      <c r="M217" s="2" t="str">
        <f>IF(COUNTIF($B$1:$C216, $B217), "", "存在しない")</f>
        <v>存在しない</v>
      </c>
      <c r="N217" s="2" t="str">
        <f>IF(AND(A217&lt;&gt;"",L217="存在しない",M217="存在しない"),IF(COUNTIF([1]クラス!$A$1:$A$1000, $B217),"",TRUE),"")</f>
        <v/>
      </c>
    </row>
    <row r="218" spans="1:14" hidden="1" outlineLevel="1" x14ac:dyDescent="0.4">
      <c r="A218" s="2">
        <v>8</v>
      </c>
      <c r="L218" s="15" t="str">
        <f>IF(OR(COUNTIF(クラス!$A$1:$A$1020, $B218),$B218="",COUNTIF(スキル一覧!$A$1:$A$3500, $B218)), "", "存在しない")</f>
        <v/>
      </c>
      <c r="M218" s="2" t="str">
        <f>IF(COUNTIF($B$1:$C217, $B218), "", "存在しない")</f>
        <v>存在しない</v>
      </c>
      <c r="N218" s="2" t="str">
        <f>IF(AND(A218&lt;&gt;"",L218="存在しない",M218="存在しない"),IF(COUNTIF([1]クラス!$A$1:$A$1000, $B218),"",TRUE),"")</f>
        <v/>
      </c>
    </row>
    <row r="219" spans="1:14" hidden="1" outlineLevel="1" x14ac:dyDescent="0.4">
      <c r="A219" s="2">
        <v>9</v>
      </c>
      <c r="L219" s="15" t="str">
        <f>IF(OR(COUNTIF(クラス!$A$1:$A$1020, $B219),$B219="",COUNTIF(スキル一覧!$A$1:$A$3500, $B219)), "", "存在しない")</f>
        <v/>
      </c>
      <c r="M219" s="2" t="str">
        <f>IF(COUNTIF($B$1:$C218, $B219), "", "存在しない")</f>
        <v>存在しない</v>
      </c>
      <c r="N219" s="2" t="str">
        <f>IF(AND(A219&lt;&gt;"",L219="存在しない",M219="存在しない"),IF(COUNTIF([1]クラス!$A$1:$A$1000, $B219),"",TRUE),"")</f>
        <v/>
      </c>
    </row>
    <row r="220" spans="1:14" hidden="1" outlineLevel="1" x14ac:dyDescent="0.4">
      <c r="A220" s="2">
        <v>10</v>
      </c>
      <c r="L220" s="15" t="str">
        <f>IF(OR(COUNTIF(クラス!$A$1:$A$1020, $B220),$B220="",COUNTIF(スキル一覧!$A$1:$A$3500, $B220)), "", "存在しない")</f>
        <v/>
      </c>
      <c r="M220" s="2" t="str">
        <f>IF(COUNTIF($B$1:$C219, $B220), "", "存在しない")</f>
        <v>存在しない</v>
      </c>
      <c r="N220" s="2" t="str">
        <f>IF(AND(A220&lt;&gt;"",L220="存在しない",M220="存在しない"),IF(COUNTIF([1]クラス!$A$1:$A$1000, $B220),"",TRUE),"")</f>
        <v/>
      </c>
    </row>
    <row r="221" spans="1:14" hidden="1" outlineLevel="1" x14ac:dyDescent="0.4">
      <c r="L221" s="15" t="str">
        <f>IF(OR(COUNTIF(クラス!$A$1:$A$1020, $B221),$B221="",COUNTIF(スキル一覧!$A$1:$A$3500, $B221)), "", "存在しない")</f>
        <v/>
      </c>
      <c r="M221" s="2" t="str">
        <f>IF(COUNTIF($B$1:$C220, $B221), "", "存在しない")</f>
        <v>存在しない</v>
      </c>
      <c r="N221" s="2" t="str">
        <f>IF(AND(A221&lt;&gt;"",L221="存在しない",M221="存在しない"),IF(COUNTIF([1]クラス!$A$1:$A$1000, $B221),"",TRUE),"")</f>
        <v/>
      </c>
    </row>
    <row r="222" spans="1:14" collapsed="1" x14ac:dyDescent="0.4">
      <c r="L222" s="15" t="str">
        <f>IF(OR(COUNTIF(クラス!$A$1:$A$1020, $B222),$B222="",COUNTIF(スキル一覧!$A$1:$A$3500, $B222)), "", "存在しない")</f>
        <v/>
      </c>
      <c r="M222" s="2" t="str">
        <f>IF(COUNTIF($B$1:$C221, $B222), "", "存在しない")</f>
        <v>存在しない</v>
      </c>
      <c r="N222" s="2" t="str">
        <f>IF(AND(A222&lt;&gt;"",L222="存在しない",M222="存在しない"),IF(COUNTIF([1]クラス!$A$1:$A$1000, $B222),"",TRUE),"")</f>
        <v/>
      </c>
    </row>
    <row r="223" spans="1:14" x14ac:dyDescent="0.4">
      <c r="B223" s="2" t="s">
        <v>51</v>
      </c>
      <c r="L223" s="15" t="str">
        <f>IF(OR(COUNTIF(クラス!$A$1:$A$1020, $B223),$B223="",COUNTIF(スキル一覧!$A$1:$A$3500, $B223)), "", "存在しない")</f>
        <v/>
      </c>
      <c r="M223" s="2" t="str">
        <f>IF(COUNTIF($B$1:$C222, $B223), "", "存在しない")</f>
        <v>存在しない</v>
      </c>
      <c r="N223" s="2" t="str">
        <f>IF(AND(A223&lt;&gt;"",L223="存在しない",M223="存在しない"),IF(COUNTIF([1]クラス!$A$1:$A$1000, $B223),"",TRUE),"")</f>
        <v/>
      </c>
    </row>
    <row r="224" spans="1:14" hidden="1" outlineLevel="1" x14ac:dyDescent="0.4">
      <c r="A224" s="2">
        <v>1</v>
      </c>
      <c r="L224" s="15" t="str">
        <f>IF(OR(COUNTIF(クラス!$A$1:$A$1020, $B224),$B224="",COUNTIF(スキル一覧!$A$1:$A$3500, $B224)), "", "存在しない")</f>
        <v/>
      </c>
      <c r="M224" s="2" t="str">
        <f>IF(COUNTIF($B$1:$C223, $B224), "", "存在しない")</f>
        <v>存在しない</v>
      </c>
      <c r="N224" s="2" t="str">
        <f>IF(AND(A224&lt;&gt;"",L224="存在しない",M224="存在しない"),IF(COUNTIF([1]クラス!$A$1:$A$1000, $B224),"",TRUE),"")</f>
        <v/>
      </c>
    </row>
    <row r="225" spans="1:14" hidden="1" outlineLevel="1" x14ac:dyDescent="0.4">
      <c r="A225" s="2">
        <v>2</v>
      </c>
      <c r="L225" s="15" t="str">
        <f>IF(OR(COUNTIF(クラス!$A$1:$A$1020, $B225),$B225="",COUNTIF(スキル一覧!$A$1:$A$3500, $B225)), "", "存在しない")</f>
        <v/>
      </c>
      <c r="M225" s="2" t="str">
        <f>IF(COUNTIF($B$1:$C224, $B225), "", "存在しない")</f>
        <v>存在しない</v>
      </c>
      <c r="N225" s="2" t="str">
        <f>IF(AND(A225&lt;&gt;"",L225="存在しない",M225="存在しない"),IF(COUNTIF([1]クラス!$A$1:$A$1000, $B225),"",TRUE),"")</f>
        <v/>
      </c>
    </row>
    <row r="226" spans="1:14" hidden="1" outlineLevel="1" x14ac:dyDescent="0.4">
      <c r="A226" s="2">
        <v>3</v>
      </c>
      <c r="L226" s="15" t="str">
        <f>IF(OR(COUNTIF(クラス!$A$1:$A$1020, $B226),$B226="",COUNTIF(スキル一覧!$A$1:$A$3500, $B226)), "", "存在しない")</f>
        <v/>
      </c>
      <c r="M226" s="2" t="str">
        <f>IF(COUNTIF($B$1:$C225, $B226), "", "存在しない")</f>
        <v>存在しない</v>
      </c>
      <c r="N226" s="2" t="str">
        <f>IF(AND(A226&lt;&gt;"",L226="存在しない",M226="存在しない"),IF(COUNTIF([1]クラス!$A$1:$A$1000, $B226),"",TRUE),"")</f>
        <v/>
      </c>
    </row>
    <row r="227" spans="1:14" hidden="1" outlineLevel="1" x14ac:dyDescent="0.4">
      <c r="A227" s="2">
        <v>4</v>
      </c>
      <c r="L227" s="15" t="str">
        <f>IF(OR(COUNTIF(クラス!$A$1:$A$1020, $B227),$B227="",COUNTIF(スキル一覧!$A$1:$A$3500, $B227)), "", "存在しない")</f>
        <v/>
      </c>
      <c r="M227" s="2" t="str">
        <f>IF(COUNTIF($B$1:$C226, $B227), "", "存在しない")</f>
        <v>存在しない</v>
      </c>
      <c r="N227" s="2" t="str">
        <f>IF(AND(A227&lt;&gt;"",L227="存在しない",M227="存在しない"),IF(COUNTIF([1]クラス!$A$1:$A$1000, $B227),"",TRUE),"")</f>
        <v/>
      </c>
    </row>
    <row r="228" spans="1:14" hidden="1" outlineLevel="1" x14ac:dyDescent="0.4">
      <c r="A228" s="2">
        <v>5</v>
      </c>
      <c r="L228" s="15" t="str">
        <f>IF(OR(COUNTIF(クラス!$A$1:$A$1020, $B228),$B228="",COUNTIF(スキル一覧!$A$1:$A$3500, $B228)), "", "存在しない")</f>
        <v/>
      </c>
      <c r="M228" s="2" t="str">
        <f>IF(COUNTIF($B$1:$C227, $B228), "", "存在しない")</f>
        <v>存在しない</v>
      </c>
      <c r="N228" s="2" t="str">
        <f>IF(AND(A228&lt;&gt;"",L228="存在しない",M228="存在しない"),IF(COUNTIF([1]クラス!$A$1:$A$1000, $B228),"",TRUE),"")</f>
        <v/>
      </c>
    </row>
    <row r="229" spans="1:14" hidden="1" outlineLevel="1" x14ac:dyDescent="0.4">
      <c r="A229" s="2">
        <v>6</v>
      </c>
      <c r="L229" s="15" t="str">
        <f>IF(OR(COUNTIF(クラス!$A$1:$A$1020, $B229),$B229="",COUNTIF(スキル一覧!$A$1:$A$3500, $B229)), "", "存在しない")</f>
        <v/>
      </c>
      <c r="M229" s="2" t="str">
        <f>IF(COUNTIF($B$1:$C228, $B229), "", "存在しない")</f>
        <v>存在しない</v>
      </c>
      <c r="N229" s="2" t="str">
        <f>IF(AND(A229&lt;&gt;"",L229="存在しない",M229="存在しない"),IF(COUNTIF([1]クラス!$A$1:$A$1000, $B229),"",TRUE),"")</f>
        <v/>
      </c>
    </row>
    <row r="230" spans="1:14" hidden="1" outlineLevel="1" x14ac:dyDescent="0.4">
      <c r="A230" s="2">
        <v>7</v>
      </c>
      <c r="L230" s="15" t="str">
        <f>IF(OR(COUNTIF(クラス!$A$1:$A$1020, $B230),$B230="",COUNTIF(スキル一覧!$A$1:$A$3500, $B230)), "", "存在しない")</f>
        <v/>
      </c>
      <c r="M230" s="2" t="str">
        <f>IF(COUNTIF($B$1:$C229, $B230), "", "存在しない")</f>
        <v>存在しない</v>
      </c>
      <c r="N230" s="2" t="str">
        <f>IF(AND(A230&lt;&gt;"",L230="存在しない",M230="存在しない"),IF(COUNTIF([1]クラス!$A$1:$A$1000, $B230),"",TRUE),"")</f>
        <v/>
      </c>
    </row>
    <row r="231" spans="1:14" hidden="1" outlineLevel="1" x14ac:dyDescent="0.4">
      <c r="A231" s="2">
        <v>8</v>
      </c>
      <c r="L231" s="15" t="str">
        <f>IF(OR(COUNTIF(クラス!$A$1:$A$1020, $B231),$B231="",COUNTIF(スキル一覧!$A$1:$A$3500, $B231)), "", "存在しない")</f>
        <v/>
      </c>
      <c r="M231" s="2" t="str">
        <f>IF(COUNTIF($B$1:$C230, $B231), "", "存在しない")</f>
        <v>存在しない</v>
      </c>
      <c r="N231" s="2" t="str">
        <f>IF(AND(A231&lt;&gt;"",L231="存在しない",M231="存在しない"),IF(COUNTIF([1]クラス!$A$1:$A$1000, $B231),"",TRUE),"")</f>
        <v/>
      </c>
    </row>
    <row r="232" spans="1:14" hidden="1" outlineLevel="1" x14ac:dyDescent="0.4">
      <c r="A232" s="2">
        <v>9</v>
      </c>
      <c r="L232" s="15" t="str">
        <f>IF(OR(COUNTIF(クラス!$A$1:$A$1020, $B232),$B232="",COUNTIF(スキル一覧!$A$1:$A$3500, $B232)), "", "存在しない")</f>
        <v/>
      </c>
      <c r="M232" s="2" t="str">
        <f>IF(COUNTIF($B$1:$C231, $B232), "", "存在しない")</f>
        <v>存在しない</v>
      </c>
      <c r="N232" s="2" t="str">
        <f>IF(AND(A232&lt;&gt;"",L232="存在しない",M232="存在しない"),IF(COUNTIF([1]クラス!$A$1:$A$1000, $B232),"",TRUE),"")</f>
        <v/>
      </c>
    </row>
    <row r="233" spans="1:14" hidden="1" outlineLevel="1" x14ac:dyDescent="0.4">
      <c r="A233" s="2">
        <v>10</v>
      </c>
      <c r="L233" s="15" t="str">
        <f>IF(OR(COUNTIF(クラス!$A$1:$A$1020, $B233),$B233="",COUNTIF(スキル一覧!$A$1:$A$3500, $B233)), "", "存在しない")</f>
        <v/>
      </c>
      <c r="M233" s="2" t="str">
        <f>IF(COUNTIF($B$1:$C232, $B233), "", "存在しない")</f>
        <v>存在しない</v>
      </c>
      <c r="N233" s="2" t="str">
        <f>IF(AND(A233&lt;&gt;"",L233="存在しない",M233="存在しない"),IF(COUNTIF([1]クラス!$A$1:$A$1000, $B233),"",TRUE),"")</f>
        <v/>
      </c>
    </row>
    <row r="234" spans="1:14" hidden="1" outlineLevel="1" x14ac:dyDescent="0.4">
      <c r="L234" s="15" t="str">
        <f>IF(OR(COUNTIF(クラス!$A$1:$A$1020, $B234),$B234="",COUNTIF(スキル一覧!$A$1:$A$3500, $B234)), "", "存在しない")</f>
        <v/>
      </c>
      <c r="M234" s="2" t="str">
        <f>IF(COUNTIF($B$1:$C233, $B234), "", "存在しない")</f>
        <v>存在しない</v>
      </c>
      <c r="N234" s="2" t="str">
        <f>IF(AND(A234&lt;&gt;"",L234="存在しない",M234="存在しない"),IF(COUNTIF([1]クラス!$A$1:$A$1000, $B234),"",TRUE),"")</f>
        <v/>
      </c>
    </row>
    <row r="235" spans="1:14" collapsed="1" x14ac:dyDescent="0.4">
      <c r="L235" s="15" t="str">
        <f>IF(OR(COUNTIF(クラス!$A$1:$A$1020, $B235),$B235="",COUNTIF(スキル一覧!$A$1:$A$3500, $B235)), "", "存在しない")</f>
        <v/>
      </c>
      <c r="M235" s="2" t="str">
        <f>IF(COUNTIF($B$1:$C234, $B235), "", "存在しない")</f>
        <v>存在しない</v>
      </c>
      <c r="N235" s="2" t="str">
        <f>IF(AND(A235&lt;&gt;"",L235="存在しない",M235="存在しない"),IF(COUNTIF([1]クラス!$A$1:$A$1000, $B235),"",TRUE),"")</f>
        <v/>
      </c>
    </row>
    <row r="236" spans="1:14" x14ac:dyDescent="0.4">
      <c r="L236" s="15" t="str">
        <f>IF(OR(COUNTIF(クラス!$A$1:$A$1020, $B236),$B236="",COUNTIF(スキル一覧!$A$1:$A$3500, $B236)), "", "存在しない")</f>
        <v/>
      </c>
      <c r="M236" s="2" t="str">
        <f>IF(COUNTIF($B$1:$C235, $B236), "", "存在しない")</f>
        <v>存在しない</v>
      </c>
      <c r="N236" s="2" t="str">
        <f>IF(AND(A236&lt;&gt;"",L236="存在しない",M236="存在しない"),IF(COUNTIF([1]クラス!$A$1:$A$1000, $B236),"",TRUE),"")</f>
        <v/>
      </c>
    </row>
    <row r="237" spans="1:14" x14ac:dyDescent="0.4">
      <c r="B237" s="2" t="s">
        <v>116</v>
      </c>
      <c r="L237" s="15" t="str">
        <f>IF(OR(COUNTIF(クラス!$A$1:$A$1020, $B237),$B237="",COUNTIF(スキル一覧!$A$1:$A$3500, $B237)), "", "存在しない")</f>
        <v/>
      </c>
      <c r="M237" s="2" t="str">
        <f>IF(COUNTIF($B$1:$C236, $B237), "", "存在しない")</f>
        <v>存在しない</v>
      </c>
      <c r="N237" s="2" t="str">
        <f>IF(AND(A237&lt;&gt;"",L237="存在しない",M237="存在しない"),IF(COUNTIF([1]クラス!$A$1:$A$1000, $B237),"",TRUE),"")</f>
        <v/>
      </c>
    </row>
    <row r="238" spans="1:14" hidden="1" outlineLevel="1" x14ac:dyDescent="0.4">
      <c r="A238" s="2">
        <v>1</v>
      </c>
      <c r="L238" s="15" t="str">
        <f>IF(OR(COUNTIF(クラス!$A$1:$A$1020, $B238),$B238="",COUNTIF(スキル一覧!$A$1:$A$3500, $B238)), "", "存在しない")</f>
        <v/>
      </c>
      <c r="M238" s="2" t="str">
        <f>IF(COUNTIF($B$1:$C237, $B238), "", "存在しない")</f>
        <v>存在しない</v>
      </c>
      <c r="N238" s="2" t="str">
        <f>IF(AND(A238&lt;&gt;"",L238="存在しない",M238="存在しない"),IF(COUNTIF([1]クラス!$A$1:$A$1000, $B238),"",TRUE),"")</f>
        <v/>
      </c>
    </row>
    <row r="239" spans="1:14" hidden="1" outlineLevel="1" x14ac:dyDescent="0.4">
      <c r="A239" s="2">
        <v>2</v>
      </c>
      <c r="L239" s="15" t="str">
        <f>IF(OR(COUNTIF(クラス!$A$1:$A$1020, $B239),$B239="",COUNTIF(スキル一覧!$A$1:$A$3500, $B239)), "", "存在しない")</f>
        <v/>
      </c>
      <c r="M239" s="2" t="str">
        <f>IF(COUNTIF($B$1:$C238, $B239), "", "存在しない")</f>
        <v>存在しない</v>
      </c>
      <c r="N239" s="2" t="str">
        <f>IF(AND(A239&lt;&gt;"",L239="存在しない",M239="存在しない"),IF(COUNTIF([1]クラス!$A$1:$A$1000, $B239),"",TRUE),"")</f>
        <v/>
      </c>
    </row>
    <row r="240" spans="1:14" hidden="1" outlineLevel="1" x14ac:dyDescent="0.4">
      <c r="A240" s="2">
        <v>3</v>
      </c>
      <c r="L240" s="15" t="str">
        <f>IF(OR(COUNTIF(クラス!$A$1:$A$1020, $B240),$B240="",COUNTIF(スキル一覧!$A$1:$A$3500, $B240)), "", "存在しない")</f>
        <v/>
      </c>
      <c r="M240" s="2" t="str">
        <f>IF(COUNTIF($B$1:$C239, $B240), "", "存在しない")</f>
        <v>存在しない</v>
      </c>
      <c r="N240" s="2" t="str">
        <f>IF(AND(A240&lt;&gt;"",L240="存在しない",M240="存在しない"),IF(COUNTIF([1]クラス!$A$1:$A$1000, $B240),"",TRUE),"")</f>
        <v/>
      </c>
    </row>
    <row r="241" spans="1:14" hidden="1" outlineLevel="1" x14ac:dyDescent="0.4">
      <c r="A241" s="2">
        <v>4</v>
      </c>
      <c r="L241" s="15" t="str">
        <f>IF(OR(COUNTIF(クラス!$A$1:$A$1020, $B241),$B241="",COUNTIF(スキル一覧!$A$1:$A$3500, $B241)), "", "存在しない")</f>
        <v/>
      </c>
      <c r="M241" s="2" t="str">
        <f>IF(COUNTIF($B$1:$C240, $B241), "", "存在しない")</f>
        <v>存在しない</v>
      </c>
      <c r="N241" s="2" t="str">
        <f>IF(AND(A241&lt;&gt;"",L241="存在しない",M241="存在しない"),IF(COUNTIF([1]クラス!$A$1:$A$1000, $B241),"",TRUE),"")</f>
        <v/>
      </c>
    </row>
    <row r="242" spans="1:14" hidden="1" outlineLevel="1" x14ac:dyDescent="0.4">
      <c r="A242" s="2">
        <v>5</v>
      </c>
      <c r="L242" s="15" t="str">
        <f>IF(OR(COUNTIF(クラス!$A$1:$A$1020, $B242),$B242="",COUNTIF(スキル一覧!$A$1:$A$3500, $B242)), "", "存在しない")</f>
        <v/>
      </c>
      <c r="M242" s="2" t="str">
        <f>IF(COUNTIF($B$1:$C241, $B242), "", "存在しない")</f>
        <v>存在しない</v>
      </c>
      <c r="N242" s="2" t="str">
        <f>IF(AND(A242&lt;&gt;"",L242="存在しない",M242="存在しない"),IF(COUNTIF([1]クラス!$A$1:$A$1000, $B242),"",TRUE),"")</f>
        <v/>
      </c>
    </row>
    <row r="243" spans="1:14" hidden="1" outlineLevel="1" x14ac:dyDescent="0.4">
      <c r="A243" s="2">
        <v>6</v>
      </c>
      <c r="L243" s="15" t="str">
        <f>IF(OR(COUNTIF(クラス!$A$1:$A$1020, $B243),$B243="",COUNTIF(スキル一覧!$A$1:$A$3500, $B243)), "", "存在しない")</f>
        <v/>
      </c>
      <c r="M243" s="2" t="str">
        <f>IF(COUNTIF($B$1:$C242, $B243), "", "存在しない")</f>
        <v>存在しない</v>
      </c>
      <c r="N243" s="2" t="str">
        <f>IF(AND(A243&lt;&gt;"",L243="存在しない",M243="存在しない"),IF(COUNTIF([1]クラス!$A$1:$A$1000, $B243),"",TRUE),"")</f>
        <v/>
      </c>
    </row>
    <row r="244" spans="1:14" hidden="1" outlineLevel="1" x14ac:dyDescent="0.4">
      <c r="A244" s="2">
        <v>7</v>
      </c>
      <c r="L244" s="15" t="str">
        <f>IF(OR(COUNTIF(クラス!$A$1:$A$1020, $B244),$B244="",COUNTIF(スキル一覧!$A$1:$A$3500, $B244)), "", "存在しない")</f>
        <v/>
      </c>
      <c r="M244" s="2" t="str">
        <f>IF(COUNTIF($B$1:$C243, $B244), "", "存在しない")</f>
        <v>存在しない</v>
      </c>
      <c r="N244" s="2" t="str">
        <f>IF(AND(A244&lt;&gt;"",L244="存在しない",M244="存在しない"),IF(COUNTIF([1]クラス!$A$1:$A$1000, $B244),"",TRUE),"")</f>
        <v/>
      </c>
    </row>
    <row r="245" spans="1:14" hidden="1" outlineLevel="1" x14ac:dyDescent="0.4">
      <c r="A245" s="2">
        <v>8</v>
      </c>
      <c r="L245" s="15" t="str">
        <f>IF(OR(COUNTIF(クラス!$A$1:$A$1020, $B245),$B245="",COUNTIF(スキル一覧!$A$1:$A$3500, $B245)), "", "存在しない")</f>
        <v/>
      </c>
      <c r="M245" s="2" t="str">
        <f>IF(COUNTIF($B$1:$C244, $B245), "", "存在しない")</f>
        <v>存在しない</v>
      </c>
      <c r="N245" s="2" t="str">
        <f>IF(AND(A245&lt;&gt;"",L245="存在しない",M245="存在しない"),IF(COUNTIF([1]クラス!$A$1:$A$1000, $B245),"",TRUE),"")</f>
        <v/>
      </c>
    </row>
    <row r="246" spans="1:14" hidden="1" outlineLevel="1" x14ac:dyDescent="0.4">
      <c r="A246" s="2">
        <v>9</v>
      </c>
      <c r="L246" s="15" t="str">
        <f>IF(OR(COUNTIF(クラス!$A$1:$A$1020, $B246),$B246="",COUNTIF(スキル一覧!$A$1:$A$3500, $B246)), "", "存在しない")</f>
        <v/>
      </c>
      <c r="M246" s="2" t="str">
        <f>IF(COUNTIF($B$1:$C245, $B246), "", "存在しない")</f>
        <v>存在しない</v>
      </c>
      <c r="N246" s="2" t="str">
        <f>IF(AND(A246&lt;&gt;"",L246="存在しない",M246="存在しない"),IF(COUNTIF([1]クラス!$A$1:$A$1000, $B246),"",TRUE),"")</f>
        <v/>
      </c>
    </row>
    <row r="247" spans="1:14" hidden="1" outlineLevel="1" x14ac:dyDescent="0.4">
      <c r="A247" s="2">
        <v>10</v>
      </c>
      <c r="L247" s="15" t="str">
        <f>IF(OR(COUNTIF(クラス!$A$1:$A$1020, $B247),$B247="",COUNTIF(スキル一覧!$A$1:$A$3500, $B247)), "", "存在しない")</f>
        <v/>
      </c>
      <c r="M247" s="2" t="str">
        <f>IF(COUNTIF($B$1:$C246, $B247), "", "存在しない")</f>
        <v>存在しない</v>
      </c>
      <c r="N247" s="2" t="str">
        <f>IF(AND(A247&lt;&gt;"",L247="存在しない",M247="存在しない"),IF(COUNTIF([1]クラス!$A$1:$A$1000, $B247),"",TRUE),"")</f>
        <v/>
      </c>
    </row>
    <row r="248" spans="1:14" hidden="1" outlineLevel="1" x14ac:dyDescent="0.4">
      <c r="L248" s="15" t="str">
        <f>IF(OR(COUNTIF(クラス!$A$1:$A$1020, $B248),$B248="",COUNTIF(スキル一覧!$A$1:$A$3500, $B248)), "", "存在しない")</f>
        <v/>
      </c>
      <c r="M248" s="2" t="str">
        <f>IF(COUNTIF($B$1:$C247, $B248), "", "存在しない")</f>
        <v>存在しない</v>
      </c>
      <c r="N248" s="2" t="str">
        <f>IF(AND(A248&lt;&gt;"",L248="存在しない",M248="存在しない"),IF(COUNTIF([1]クラス!$A$1:$A$1000, $B248),"",TRUE),"")</f>
        <v/>
      </c>
    </row>
    <row r="249" spans="1:14" collapsed="1" x14ac:dyDescent="0.4">
      <c r="L249" s="15" t="str">
        <f>IF(OR(COUNTIF(クラス!$A$1:$A$1020, $B249),$B249="",COUNTIF(スキル一覧!$A$1:$A$3500, $B249)), "", "存在しない")</f>
        <v/>
      </c>
      <c r="M249" s="2" t="str">
        <f>IF(COUNTIF($B$1:$C248, $B249), "", "存在しない")</f>
        <v>存在しない</v>
      </c>
      <c r="N249" s="2" t="str">
        <f>IF(AND(A249&lt;&gt;"",L249="存在しない",M249="存在しない"),IF(COUNTIF([1]クラス!$A$1:$A$1000, $B249),"",TRUE),"")</f>
        <v/>
      </c>
    </row>
    <row r="250" spans="1:14" x14ac:dyDescent="0.4">
      <c r="B250" s="2" t="s">
        <v>117</v>
      </c>
      <c r="L250" s="15" t="str">
        <f>IF(OR(COUNTIF(クラス!$A$1:$A$1020, $B250),$B250="",COUNTIF(スキル一覧!$A$1:$A$3500, $B250)), "", "存在しない")</f>
        <v/>
      </c>
      <c r="M250" s="2" t="str">
        <f>IF(COUNTIF($B$1:$C249, $B250), "", "存在しない")</f>
        <v>存在しない</v>
      </c>
      <c r="N250" s="2" t="str">
        <f>IF(AND(A250&lt;&gt;"",L250="存在しない",M250="存在しない"),IF(COUNTIF([1]クラス!$A$1:$A$1000, $B250),"",TRUE),"")</f>
        <v/>
      </c>
    </row>
    <row r="251" spans="1:14" hidden="1" outlineLevel="1" x14ac:dyDescent="0.4">
      <c r="A251" s="2">
        <v>1</v>
      </c>
      <c r="L251" s="15" t="str">
        <f>IF(OR(COUNTIF(クラス!$A$1:$A$1020, $B251),$B251="",COUNTIF(スキル一覧!$A$1:$A$3500, $B251)), "", "存在しない")</f>
        <v/>
      </c>
      <c r="M251" s="2" t="str">
        <f>IF(COUNTIF($B$1:$C250, $B251), "", "存在しない")</f>
        <v>存在しない</v>
      </c>
      <c r="N251" s="2" t="str">
        <f>IF(AND(A251&lt;&gt;"",L251="存在しない",M251="存在しない"),IF(COUNTIF([1]クラス!$A$1:$A$1000, $B251),"",TRUE),"")</f>
        <v/>
      </c>
    </row>
    <row r="252" spans="1:14" hidden="1" outlineLevel="1" x14ac:dyDescent="0.4">
      <c r="A252" s="2">
        <v>2</v>
      </c>
      <c r="L252" s="15" t="str">
        <f>IF(OR(COUNTIF(クラス!$A$1:$A$1020, $B252),$B252="",COUNTIF(スキル一覧!$A$1:$A$3500, $B252)), "", "存在しない")</f>
        <v/>
      </c>
      <c r="M252" s="2" t="str">
        <f>IF(COUNTIF($B$1:$C251, $B252), "", "存在しない")</f>
        <v>存在しない</v>
      </c>
      <c r="N252" s="2" t="str">
        <f>IF(AND(A252&lt;&gt;"",L252="存在しない",M252="存在しない"),IF(COUNTIF([1]クラス!$A$1:$A$1000, $B252),"",TRUE),"")</f>
        <v/>
      </c>
    </row>
    <row r="253" spans="1:14" hidden="1" outlineLevel="1" x14ac:dyDescent="0.4">
      <c r="A253" s="2">
        <v>3</v>
      </c>
      <c r="L253" s="15" t="str">
        <f>IF(OR(COUNTIF(クラス!$A$1:$A$1020, $B253),$B253="",COUNTIF(スキル一覧!$A$1:$A$3500, $B253)), "", "存在しない")</f>
        <v/>
      </c>
      <c r="M253" s="2" t="str">
        <f>IF(COUNTIF($B$1:$C252, $B253), "", "存在しない")</f>
        <v>存在しない</v>
      </c>
      <c r="N253" s="2" t="str">
        <f>IF(AND(A253&lt;&gt;"",L253="存在しない",M253="存在しない"),IF(COUNTIF([1]クラス!$A$1:$A$1000, $B253),"",TRUE),"")</f>
        <v/>
      </c>
    </row>
    <row r="254" spans="1:14" hidden="1" outlineLevel="1" x14ac:dyDescent="0.4">
      <c r="A254" s="2">
        <v>4</v>
      </c>
      <c r="L254" s="15" t="str">
        <f>IF(OR(COUNTIF(クラス!$A$1:$A$1020, $B254),$B254="",COUNTIF(スキル一覧!$A$1:$A$3500, $B254)), "", "存在しない")</f>
        <v/>
      </c>
      <c r="M254" s="2" t="str">
        <f>IF(COUNTIF($B$1:$C253, $B254), "", "存在しない")</f>
        <v>存在しない</v>
      </c>
      <c r="N254" s="2" t="str">
        <f>IF(AND(A254&lt;&gt;"",L254="存在しない",M254="存在しない"),IF(COUNTIF([1]クラス!$A$1:$A$1000, $B254),"",TRUE),"")</f>
        <v/>
      </c>
    </row>
    <row r="255" spans="1:14" hidden="1" outlineLevel="1" x14ac:dyDescent="0.4">
      <c r="A255" s="2">
        <v>5</v>
      </c>
      <c r="L255" s="15" t="str">
        <f>IF(OR(COUNTIF(クラス!$A$1:$A$1020, $B255),$B255="",COUNTIF(スキル一覧!$A$1:$A$3500, $B255)), "", "存在しない")</f>
        <v/>
      </c>
      <c r="M255" s="2" t="str">
        <f>IF(COUNTIF($B$1:$C254, $B255), "", "存在しない")</f>
        <v>存在しない</v>
      </c>
      <c r="N255" s="2" t="str">
        <f>IF(AND(A255&lt;&gt;"",L255="存在しない",M255="存在しない"),IF(COUNTIF([1]クラス!$A$1:$A$1000, $B255),"",TRUE),"")</f>
        <v/>
      </c>
    </row>
    <row r="256" spans="1:14" hidden="1" outlineLevel="1" x14ac:dyDescent="0.4">
      <c r="A256" s="2">
        <v>6</v>
      </c>
      <c r="L256" s="15" t="str">
        <f>IF(OR(COUNTIF(クラス!$A$1:$A$1020, $B256),$B256="",COUNTIF(スキル一覧!$A$1:$A$3500, $B256)), "", "存在しない")</f>
        <v/>
      </c>
      <c r="M256" s="2" t="str">
        <f>IF(COUNTIF($B$1:$C255, $B256), "", "存在しない")</f>
        <v>存在しない</v>
      </c>
      <c r="N256" s="2" t="str">
        <f>IF(AND(A256&lt;&gt;"",L256="存在しない",M256="存在しない"),IF(COUNTIF([1]クラス!$A$1:$A$1000, $B256),"",TRUE),"")</f>
        <v/>
      </c>
    </row>
    <row r="257" spans="1:14" hidden="1" outlineLevel="1" x14ac:dyDescent="0.4">
      <c r="A257" s="2">
        <v>7</v>
      </c>
      <c r="L257" s="15" t="str">
        <f>IF(OR(COUNTIF(クラス!$A$1:$A$1020, $B257),$B257="",COUNTIF(スキル一覧!$A$1:$A$3500, $B257)), "", "存在しない")</f>
        <v/>
      </c>
      <c r="M257" s="2" t="str">
        <f>IF(COUNTIF($B$1:$C256, $B257), "", "存在しない")</f>
        <v>存在しない</v>
      </c>
      <c r="N257" s="2" t="str">
        <f>IF(AND(A257&lt;&gt;"",L257="存在しない",M257="存在しない"),IF(COUNTIF([1]クラス!$A$1:$A$1000, $B257),"",TRUE),"")</f>
        <v/>
      </c>
    </row>
    <row r="258" spans="1:14" hidden="1" outlineLevel="1" x14ac:dyDescent="0.4">
      <c r="A258" s="2">
        <v>8</v>
      </c>
      <c r="L258" s="15" t="str">
        <f>IF(OR(COUNTIF(クラス!$A$1:$A$1020, $B258),$B258="",COUNTIF(スキル一覧!$A$1:$A$3500, $B258)), "", "存在しない")</f>
        <v/>
      </c>
      <c r="M258" s="2" t="str">
        <f>IF(COUNTIF($B$1:$C257, $B258), "", "存在しない")</f>
        <v>存在しない</v>
      </c>
      <c r="N258" s="2" t="str">
        <f>IF(AND(A258&lt;&gt;"",L258="存在しない",M258="存在しない"),IF(COUNTIF([1]クラス!$A$1:$A$1000, $B258),"",TRUE),"")</f>
        <v/>
      </c>
    </row>
    <row r="259" spans="1:14" hidden="1" outlineLevel="1" x14ac:dyDescent="0.4">
      <c r="A259" s="2">
        <v>9</v>
      </c>
      <c r="L259" s="15" t="str">
        <f>IF(OR(COUNTIF(クラス!$A$1:$A$1020, $B259),$B259="",COUNTIF(スキル一覧!$A$1:$A$3500, $B259)), "", "存在しない")</f>
        <v/>
      </c>
      <c r="M259" s="2" t="str">
        <f>IF(COUNTIF($B$1:$C258, $B259), "", "存在しない")</f>
        <v>存在しない</v>
      </c>
      <c r="N259" s="2" t="str">
        <f>IF(AND(A259&lt;&gt;"",L259="存在しない",M259="存在しない"),IF(COUNTIF([1]クラス!$A$1:$A$1000, $B259),"",TRUE),"")</f>
        <v/>
      </c>
    </row>
    <row r="260" spans="1:14" hidden="1" outlineLevel="1" x14ac:dyDescent="0.4">
      <c r="A260" s="2">
        <v>10</v>
      </c>
      <c r="L260" s="15" t="str">
        <f>IF(OR(COUNTIF(クラス!$A$1:$A$1020, $B260),$B260="",COUNTIF(スキル一覧!$A$1:$A$3500, $B260)), "", "存在しない")</f>
        <v/>
      </c>
      <c r="M260" s="2" t="str">
        <f>IF(COUNTIF($B$1:$C259, $B260), "", "存在しない")</f>
        <v>存在しない</v>
      </c>
      <c r="N260" s="2" t="str">
        <f>IF(AND(A260&lt;&gt;"",L260="存在しない",M260="存在しない"),IF(COUNTIF([1]クラス!$A$1:$A$1000, $B260),"",TRUE),"")</f>
        <v/>
      </c>
    </row>
    <row r="261" spans="1:14" hidden="1" outlineLevel="1" x14ac:dyDescent="0.4">
      <c r="L261" s="15" t="str">
        <f>IF(OR(COUNTIF(クラス!$A$1:$A$1020, $B261),$B261="",COUNTIF(スキル一覧!$A$1:$A$3500, $B261)), "", "存在しない")</f>
        <v/>
      </c>
      <c r="M261" s="2" t="str">
        <f>IF(COUNTIF($B$1:$C260, $B261), "", "存在しない")</f>
        <v>存在しない</v>
      </c>
      <c r="N261" s="2" t="str">
        <f>IF(AND(A261&lt;&gt;"",L261="存在しない",M261="存在しない"),IF(COUNTIF([1]クラス!$A$1:$A$1000, $B261),"",TRUE),"")</f>
        <v/>
      </c>
    </row>
    <row r="262" spans="1:14" collapsed="1" x14ac:dyDescent="0.4">
      <c r="L262" s="15" t="str">
        <f>IF(OR(COUNTIF(クラス!$A$1:$A$1020, $B262),$B262="",COUNTIF(スキル一覧!$A$1:$A$3500, $B262)), "", "存在しない")</f>
        <v/>
      </c>
      <c r="M262" s="2" t="str">
        <f>IF(COUNTIF($B$1:$C261, $B262), "", "存在しない")</f>
        <v>存在しない</v>
      </c>
      <c r="N262" s="2" t="str">
        <f>IF(AND(A262&lt;&gt;"",L262="存在しない",M262="存在しない"),IF(COUNTIF([1]クラス!$A$1:$A$1000, $B262),"",TRUE),"")</f>
        <v/>
      </c>
    </row>
    <row r="263" spans="1:14" x14ac:dyDescent="0.4">
      <c r="B263" s="2" t="s">
        <v>197</v>
      </c>
      <c r="L263" s="15" t="str">
        <f>IF(OR(COUNTIF(クラス!$A$1:$A$1020, $B263),$B263="",COUNTIF(スキル一覧!$A$1:$A$3500, $B263)), "", "存在しない")</f>
        <v/>
      </c>
      <c r="M263" s="2" t="str">
        <f>IF(COUNTIF($B$1:$C262, $B263), "", "存在しない")</f>
        <v>存在しない</v>
      </c>
      <c r="N263" s="2" t="str">
        <f>IF(AND(A263&lt;&gt;"",L263="存在しない",M263="存在しない"),IF(COUNTIF([1]クラス!$A$1:$A$1000, $B263),"",TRUE),"")</f>
        <v/>
      </c>
    </row>
    <row r="264" spans="1:14" hidden="1" outlineLevel="1" x14ac:dyDescent="0.4">
      <c r="A264" s="2">
        <v>1</v>
      </c>
      <c r="L264" s="15" t="str">
        <f>IF(OR(COUNTIF(クラス!$A$1:$A$1020, $B264),$B264="",COUNTIF(スキル一覧!$A$1:$A$3500, $B264)), "", "存在しない")</f>
        <v/>
      </c>
      <c r="M264" s="2" t="str">
        <f>IF(COUNTIF($B$1:$C263, $B264), "", "存在しない")</f>
        <v>存在しない</v>
      </c>
      <c r="N264" s="2" t="str">
        <f>IF(AND(A264&lt;&gt;"",L264="存在しない",M264="存在しない"),IF(COUNTIF([1]クラス!$A$1:$A$1000, $B264),"",TRUE),"")</f>
        <v/>
      </c>
    </row>
    <row r="265" spans="1:14" hidden="1" outlineLevel="1" x14ac:dyDescent="0.4">
      <c r="A265" s="2">
        <v>2</v>
      </c>
      <c r="L265" s="15" t="str">
        <f>IF(OR(COUNTIF(クラス!$A$1:$A$1020, $B265),$B265="",COUNTIF(スキル一覧!$A$1:$A$3500, $B265)), "", "存在しない")</f>
        <v/>
      </c>
      <c r="M265" s="2" t="str">
        <f>IF(COUNTIF($B$1:$C264, $B265), "", "存在しない")</f>
        <v>存在しない</v>
      </c>
      <c r="N265" s="2" t="str">
        <f>IF(AND(A265&lt;&gt;"",L265="存在しない",M265="存在しない"),IF(COUNTIF([1]クラス!$A$1:$A$1000, $B265),"",TRUE),"")</f>
        <v/>
      </c>
    </row>
    <row r="266" spans="1:14" hidden="1" outlineLevel="1" x14ac:dyDescent="0.4">
      <c r="A266" s="2">
        <v>3</v>
      </c>
      <c r="L266" s="15" t="str">
        <f>IF(OR(COUNTIF(クラス!$A$1:$A$1020, $B266),$B266="",COUNTIF(スキル一覧!$A$1:$A$3500, $B266)), "", "存在しない")</f>
        <v/>
      </c>
      <c r="M266" s="2" t="str">
        <f>IF(COUNTIF($B$1:$C265, $B266), "", "存在しない")</f>
        <v>存在しない</v>
      </c>
      <c r="N266" s="2" t="str">
        <f>IF(AND(A266&lt;&gt;"",L266="存在しない",M266="存在しない"),IF(COUNTIF([1]クラス!$A$1:$A$1000, $B266),"",TRUE),"")</f>
        <v/>
      </c>
    </row>
    <row r="267" spans="1:14" hidden="1" outlineLevel="1" x14ac:dyDescent="0.4">
      <c r="A267" s="2">
        <v>4</v>
      </c>
      <c r="L267" s="15" t="str">
        <f>IF(OR(COUNTIF(クラス!$A$1:$A$1020, $B267),$B267="",COUNTIF(スキル一覧!$A$1:$A$3500, $B267)), "", "存在しない")</f>
        <v/>
      </c>
      <c r="M267" s="2" t="str">
        <f>IF(COUNTIF($B$1:$C266, $B267), "", "存在しない")</f>
        <v>存在しない</v>
      </c>
      <c r="N267" s="2" t="str">
        <f>IF(AND(A267&lt;&gt;"",L267="存在しない",M267="存在しない"),IF(COUNTIF([1]クラス!$A$1:$A$1000, $B267),"",TRUE),"")</f>
        <v/>
      </c>
    </row>
    <row r="268" spans="1:14" hidden="1" outlineLevel="1" x14ac:dyDescent="0.4">
      <c r="A268" s="2">
        <v>5</v>
      </c>
      <c r="L268" s="15" t="str">
        <f>IF(OR(COUNTIF(クラス!$A$1:$A$1020, $B268),$B268="",COUNTIF(スキル一覧!$A$1:$A$3500, $B268)), "", "存在しない")</f>
        <v/>
      </c>
      <c r="M268" s="2" t="str">
        <f>IF(COUNTIF($B$1:$C267, $B268), "", "存在しない")</f>
        <v>存在しない</v>
      </c>
      <c r="N268" s="2" t="str">
        <f>IF(AND(A268&lt;&gt;"",L268="存在しない",M268="存在しない"),IF(COUNTIF([1]クラス!$A$1:$A$1000, $B268),"",TRUE),"")</f>
        <v/>
      </c>
    </row>
    <row r="269" spans="1:14" hidden="1" outlineLevel="1" x14ac:dyDescent="0.4">
      <c r="A269" s="2">
        <v>6</v>
      </c>
      <c r="L269" s="15" t="str">
        <f>IF(OR(COUNTIF(クラス!$A$1:$A$1020, $B269),$B269="",COUNTIF(スキル一覧!$A$1:$A$3500, $B269)), "", "存在しない")</f>
        <v/>
      </c>
      <c r="M269" s="2" t="str">
        <f>IF(COUNTIF($B$1:$C268, $B269), "", "存在しない")</f>
        <v>存在しない</v>
      </c>
      <c r="N269" s="2" t="str">
        <f>IF(AND(A269&lt;&gt;"",L269="存在しない",M269="存在しない"),IF(COUNTIF([1]クラス!$A$1:$A$1000, $B269),"",TRUE),"")</f>
        <v/>
      </c>
    </row>
    <row r="270" spans="1:14" hidden="1" outlineLevel="1" x14ac:dyDescent="0.4">
      <c r="A270" s="2">
        <v>7</v>
      </c>
      <c r="L270" s="15" t="str">
        <f>IF(OR(COUNTIF(クラス!$A$1:$A$1020, $B270),$B270="",COUNTIF(スキル一覧!$A$1:$A$3500, $B270)), "", "存在しない")</f>
        <v/>
      </c>
      <c r="M270" s="2" t="str">
        <f>IF(COUNTIF($B$1:$C269, $B270), "", "存在しない")</f>
        <v>存在しない</v>
      </c>
      <c r="N270" s="2" t="str">
        <f>IF(AND(A270&lt;&gt;"",L270="存在しない",M270="存在しない"),IF(COUNTIF([1]クラス!$A$1:$A$1000, $B270),"",TRUE),"")</f>
        <v/>
      </c>
    </row>
    <row r="271" spans="1:14" hidden="1" outlineLevel="1" x14ac:dyDescent="0.4">
      <c r="A271" s="2">
        <v>8</v>
      </c>
      <c r="L271" s="15" t="str">
        <f>IF(OR(COUNTIF(クラス!$A$1:$A$1020, $B271),$B271="",COUNTIF(スキル一覧!$A$1:$A$3500, $B271)), "", "存在しない")</f>
        <v/>
      </c>
      <c r="M271" s="2" t="str">
        <f>IF(COUNTIF($B$1:$C270, $B271), "", "存在しない")</f>
        <v>存在しない</v>
      </c>
      <c r="N271" s="2" t="str">
        <f>IF(AND(A271&lt;&gt;"",L271="存在しない",M271="存在しない"),IF(COUNTIF([1]クラス!$A$1:$A$1000, $B271),"",TRUE),"")</f>
        <v/>
      </c>
    </row>
    <row r="272" spans="1:14" hidden="1" outlineLevel="1" x14ac:dyDescent="0.4">
      <c r="A272" s="2">
        <v>9</v>
      </c>
      <c r="L272" s="15" t="str">
        <f>IF(OR(COUNTIF(クラス!$A$1:$A$1020, $B272),$B272="",COUNTIF(スキル一覧!$A$1:$A$3500, $B272)), "", "存在しない")</f>
        <v/>
      </c>
      <c r="M272" s="2" t="str">
        <f>IF(COUNTIF($B$1:$C271, $B272), "", "存在しない")</f>
        <v>存在しない</v>
      </c>
      <c r="N272" s="2" t="str">
        <f>IF(AND(A272&lt;&gt;"",L272="存在しない",M272="存在しない"),IF(COUNTIF([1]クラス!$A$1:$A$1000, $B272),"",TRUE),"")</f>
        <v/>
      </c>
    </row>
    <row r="273" spans="1:14" hidden="1" outlineLevel="1" x14ac:dyDescent="0.4">
      <c r="A273" s="2">
        <v>10</v>
      </c>
      <c r="L273" s="15" t="str">
        <f>IF(OR(COUNTIF(クラス!$A$1:$A$1020, $B273),$B273="",COUNTIF(スキル一覧!$A$1:$A$3500, $B273)), "", "存在しない")</f>
        <v/>
      </c>
      <c r="M273" s="2" t="str">
        <f>IF(COUNTIF($B$1:$C272, $B273), "", "存在しない")</f>
        <v>存在しない</v>
      </c>
      <c r="N273" s="2" t="str">
        <f>IF(AND(A273&lt;&gt;"",L273="存在しない",M273="存在しない"),IF(COUNTIF([1]クラス!$A$1:$A$1000, $B273),"",TRUE),"")</f>
        <v/>
      </c>
    </row>
    <row r="274" spans="1:14" hidden="1" outlineLevel="1" x14ac:dyDescent="0.4">
      <c r="L274" s="15" t="str">
        <f>IF(OR(COUNTIF(クラス!$A$1:$A$1020, $B274),$B274="",COUNTIF(スキル一覧!$A$1:$A$3500, $B274)), "", "存在しない")</f>
        <v/>
      </c>
      <c r="M274" s="2" t="str">
        <f>IF(COUNTIF($B$1:$C273, $B274), "", "存在しない")</f>
        <v>存在しない</v>
      </c>
      <c r="N274" s="2" t="str">
        <f>IF(AND(A274&lt;&gt;"",L274="存在しない",M274="存在しない"),IF(COUNTIF([1]クラス!$A$1:$A$1000, $B274),"",TRUE),"")</f>
        <v/>
      </c>
    </row>
    <row r="275" spans="1:14" collapsed="1" x14ac:dyDescent="0.4">
      <c r="L275" s="15" t="str">
        <f>IF(OR(COUNTIF(クラス!$A$1:$A$1020, $B275),$B275="",COUNTIF(スキル一覧!$A$1:$A$3500, $B275)), "", "存在しない")</f>
        <v/>
      </c>
      <c r="M275" s="2" t="str">
        <f>IF(COUNTIF($B$1:$C274, $B275), "", "存在しない")</f>
        <v>存在しない</v>
      </c>
      <c r="N275" s="2" t="str">
        <f>IF(AND(A275&lt;&gt;"",L275="存在しない",M275="存在しない"),IF(COUNTIF([1]クラス!$A$1:$A$1000, $B275),"",TRUE),"")</f>
        <v/>
      </c>
    </row>
    <row r="276" spans="1:14" x14ac:dyDescent="0.4">
      <c r="B276" s="2" t="s">
        <v>199</v>
      </c>
      <c r="L276" s="15" t="str">
        <f>IF(OR(COUNTIF(クラス!$A$1:$A$1020, $B276),$B276="",COUNTIF(スキル一覧!$A$1:$A$3500, $B276)), "", "存在しない")</f>
        <v>存在しない</v>
      </c>
      <c r="M276" s="2" t="str">
        <f>IF(COUNTIF($B$1:$C275, $B276), "", "存在しない")</f>
        <v>存在しない</v>
      </c>
      <c r="N276" s="2" t="str">
        <f>IF(AND(A276&lt;&gt;"",L276="存在しない",M276="存在しない"),IF(COUNTIF([1]クラス!$A$1:$A$1000, $B276),"",TRUE),"")</f>
        <v/>
      </c>
    </row>
    <row r="277" spans="1:14" hidden="1" outlineLevel="1" x14ac:dyDescent="0.4">
      <c r="A277" s="2">
        <v>1</v>
      </c>
      <c r="L277" s="15" t="str">
        <f>IF(OR(COUNTIF(クラス!$A$1:$A$1020, $B277),$B277="",COUNTIF(スキル一覧!$A$1:$A$3500, $B277)), "", "存在しない")</f>
        <v/>
      </c>
      <c r="M277" s="2" t="str">
        <f>IF(COUNTIF($B$1:$C276, $B277), "", "存在しない")</f>
        <v>存在しない</v>
      </c>
      <c r="N277" s="2" t="str">
        <f>IF(AND(A277&lt;&gt;"",L277="存在しない",M277="存在しない"),IF(COUNTIF([1]クラス!$A$1:$A$1000, $B277),"",TRUE),"")</f>
        <v/>
      </c>
    </row>
    <row r="278" spans="1:14" hidden="1" outlineLevel="1" x14ac:dyDescent="0.4">
      <c r="A278" s="2">
        <v>2</v>
      </c>
      <c r="L278" s="15" t="str">
        <f>IF(OR(COUNTIF(クラス!$A$1:$A$1020, $B278),$B278="",COUNTIF(スキル一覧!$A$1:$A$3500, $B278)), "", "存在しない")</f>
        <v/>
      </c>
      <c r="M278" s="2" t="str">
        <f>IF(COUNTIF($B$1:$C277, $B278), "", "存在しない")</f>
        <v>存在しない</v>
      </c>
      <c r="N278" s="2" t="str">
        <f>IF(AND(A278&lt;&gt;"",L278="存在しない",M278="存在しない"),IF(COUNTIF([1]クラス!$A$1:$A$1000, $B278),"",TRUE),"")</f>
        <v/>
      </c>
    </row>
    <row r="279" spans="1:14" hidden="1" outlineLevel="1" x14ac:dyDescent="0.4">
      <c r="A279" s="2">
        <v>3</v>
      </c>
      <c r="L279" s="15" t="str">
        <f>IF(OR(COUNTIF(クラス!$A$1:$A$1020, $B279),$B279="",COUNTIF(スキル一覧!$A$1:$A$3500, $B279)), "", "存在しない")</f>
        <v/>
      </c>
      <c r="M279" s="2" t="str">
        <f>IF(COUNTIF($B$1:$C278, $B279), "", "存在しない")</f>
        <v>存在しない</v>
      </c>
      <c r="N279" s="2" t="str">
        <f>IF(AND(A279&lt;&gt;"",L279="存在しない",M279="存在しない"),IF(COUNTIF([1]クラス!$A$1:$A$1000, $B279),"",TRUE),"")</f>
        <v/>
      </c>
    </row>
    <row r="280" spans="1:14" hidden="1" outlineLevel="1" x14ac:dyDescent="0.4">
      <c r="A280" s="2">
        <v>4</v>
      </c>
      <c r="L280" s="15" t="str">
        <f>IF(OR(COUNTIF(クラス!$A$1:$A$1020, $B280),$B280="",COUNTIF(スキル一覧!$A$1:$A$3500, $B280)), "", "存在しない")</f>
        <v/>
      </c>
      <c r="M280" s="2" t="str">
        <f>IF(COUNTIF($B$1:$C279, $B280), "", "存在しない")</f>
        <v>存在しない</v>
      </c>
      <c r="N280" s="2" t="str">
        <f>IF(AND(A280&lt;&gt;"",L280="存在しない",M280="存在しない"),IF(COUNTIF([1]クラス!$A$1:$A$1000, $B280),"",TRUE),"")</f>
        <v/>
      </c>
    </row>
    <row r="281" spans="1:14" hidden="1" outlineLevel="1" x14ac:dyDescent="0.4">
      <c r="A281" s="2">
        <v>5</v>
      </c>
      <c r="L281" s="15" t="str">
        <f>IF(OR(COUNTIF(クラス!$A$1:$A$1020, $B281),$B281="",COUNTIF(スキル一覧!$A$1:$A$3500, $B281)), "", "存在しない")</f>
        <v/>
      </c>
      <c r="M281" s="2" t="str">
        <f>IF(COUNTIF($B$1:$C280, $B281), "", "存在しない")</f>
        <v>存在しない</v>
      </c>
      <c r="N281" s="2" t="str">
        <f>IF(AND(A281&lt;&gt;"",L281="存在しない",M281="存在しない"),IF(COUNTIF([1]クラス!$A$1:$A$1000, $B281),"",TRUE),"")</f>
        <v/>
      </c>
    </row>
    <row r="282" spans="1:14" hidden="1" outlineLevel="1" x14ac:dyDescent="0.4">
      <c r="A282" s="2">
        <v>6</v>
      </c>
      <c r="L282" s="15" t="str">
        <f>IF(OR(COUNTIF(クラス!$A$1:$A$1020, $B282),$B282="",COUNTIF(スキル一覧!$A$1:$A$3500, $B282)), "", "存在しない")</f>
        <v/>
      </c>
      <c r="M282" s="2" t="str">
        <f>IF(COUNTIF($B$1:$C281, $B282), "", "存在しない")</f>
        <v>存在しない</v>
      </c>
      <c r="N282" s="2" t="str">
        <f>IF(AND(A282&lt;&gt;"",L282="存在しない",M282="存在しない"),IF(COUNTIF([1]クラス!$A$1:$A$1000, $B282),"",TRUE),"")</f>
        <v/>
      </c>
    </row>
    <row r="283" spans="1:14" hidden="1" outlineLevel="1" x14ac:dyDescent="0.4">
      <c r="A283" s="2">
        <v>7</v>
      </c>
      <c r="L283" s="15" t="str">
        <f>IF(OR(COUNTIF(クラス!$A$1:$A$1020, $B283),$B283="",COUNTIF(スキル一覧!$A$1:$A$3500, $B283)), "", "存在しない")</f>
        <v/>
      </c>
      <c r="M283" s="2" t="str">
        <f>IF(COUNTIF($B$1:$C282, $B283), "", "存在しない")</f>
        <v>存在しない</v>
      </c>
      <c r="N283" s="2" t="str">
        <f>IF(AND(A283&lt;&gt;"",L283="存在しない",M283="存在しない"),IF(COUNTIF([1]クラス!$A$1:$A$1000, $B283),"",TRUE),"")</f>
        <v/>
      </c>
    </row>
    <row r="284" spans="1:14" hidden="1" outlineLevel="1" x14ac:dyDescent="0.4">
      <c r="A284" s="2">
        <v>8</v>
      </c>
      <c r="L284" s="15" t="str">
        <f>IF(OR(COUNTIF(クラス!$A$1:$A$1020, $B284),$B284="",COUNTIF(スキル一覧!$A$1:$A$3500, $B284)), "", "存在しない")</f>
        <v/>
      </c>
      <c r="M284" s="2" t="str">
        <f>IF(COUNTIF($B$1:$C283, $B284), "", "存在しない")</f>
        <v>存在しない</v>
      </c>
      <c r="N284" s="2" t="str">
        <f>IF(AND(A284&lt;&gt;"",L284="存在しない",M284="存在しない"),IF(COUNTIF([1]クラス!$A$1:$A$1000, $B284),"",TRUE),"")</f>
        <v/>
      </c>
    </row>
    <row r="285" spans="1:14" hidden="1" outlineLevel="1" x14ac:dyDescent="0.4">
      <c r="A285" s="2">
        <v>9</v>
      </c>
      <c r="L285" s="15" t="str">
        <f>IF(OR(COUNTIF(クラス!$A$1:$A$1020, $B285),$B285="",COUNTIF(スキル一覧!$A$1:$A$3500, $B285)), "", "存在しない")</f>
        <v/>
      </c>
      <c r="M285" s="2" t="str">
        <f>IF(COUNTIF($B$1:$C284, $B285), "", "存在しない")</f>
        <v>存在しない</v>
      </c>
      <c r="N285" s="2" t="str">
        <f>IF(AND(A285&lt;&gt;"",L285="存在しない",M285="存在しない"),IF(COUNTIF([1]クラス!$A$1:$A$1000, $B285),"",TRUE),"")</f>
        <v/>
      </c>
    </row>
    <row r="286" spans="1:14" hidden="1" outlineLevel="1" x14ac:dyDescent="0.4">
      <c r="A286" s="2">
        <v>10</v>
      </c>
      <c r="L286" s="15" t="str">
        <f>IF(OR(COUNTIF(クラス!$A$1:$A$1020, $B286),$B286="",COUNTIF(スキル一覧!$A$1:$A$3500, $B286)), "", "存在しない")</f>
        <v/>
      </c>
      <c r="M286" s="2" t="str">
        <f>IF(COUNTIF($B$1:$C285, $B286), "", "存在しない")</f>
        <v>存在しない</v>
      </c>
      <c r="N286" s="2" t="str">
        <f>IF(AND(A286&lt;&gt;"",L286="存在しない",M286="存在しない"),IF(COUNTIF([1]クラス!$A$1:$A$1000, $B286),"",TRUE),"")</f>
        <v/>
      </c>
    </row>
    <row r="287" spans="1:14" hidden="1" outlineLevel="1" x14ac:dyDescent="0.4">
      <c r="L287" s="15" t="str">
        <f>IF(OR(COUNTIF(クラス!$A$1:$A$1020, $B287),$B287="",COUNTIF(スキル一覧!$A$1:$A$3500, $B287)), "", "存在しない")</f>
        <v/>
      </c>
      <c r="M287" s="2" t="str">
        <f>IF(COUNTIF($B$1:$C286, $B287), "", "存在しない")</f>
        <v>存在しない</v>
      </c>
      <c r="N287" s="2" t="str">
        <f>IF(AND(A287&lt;&gt;"",L287="存在しない",M287="存在しない"),IF(COUNTIF([1]クラス!$A$1:$A$1000, $B287),"",TRUE),"")</f>
        <v/>
      </c>
    </row>
    <row r="288" spans="1:14" collapsed="1" x14ac:dyDescent="0.4">
      <c r="L288" s="15" t="str">
        <f>IF(OR(COUNTIF(クラス!$A$1:$A$1020, $B288),$B288="",COUNTIF(スキル一覧!$A$1:$A$3500, $B288)), "", "存在しない")</f>
        <v/>
      </c>
      <c r="M288" s="2" t="str">
        <f>IF(COUNTIF($B$1:$C287, $B288), "", "存在しない")</f>
        <v>存在しない</v>
      </c>
      <c r="N288" s="2" t="str">
        <f>IF(AND(A288&lt;&gt;"",L288="存在しない",M288="存在しない"),IF(COUNTIF([1]クラス!$A$1:$A$1000, $B288),"",TRUE),"")</f>
        <v/>
      </c>
    </row>
    <row r="289" spans="1:14" x14ac:dyDescent="0.4">
      <c r="L289" s="15" t="str">
        <f>IF(OR(COUNTIF(クラス!$A$1:$A$1020, $B289),$B289="",COUNTIF(スキル一覧!$A$1:$A$3500, $B289)), "", "存在しない")</f>
        <v/>
      </c>
      <c r="M289" s="2" t="str">
        <f>IF(COUNTIF($B$1:$C288, $B289), "", "存在しない")</f>
        <v>存在しない</v>
      </c>
      <c r="N289" s="2" t="str">
        <f>IF(AND(A289&lt;&gt;"",L289="存在しない",M289="存在しない"),IF(COUNTIF([1]クラス!$A$1:$A$1000, $B289),"",TRUE),"")</f>
        <v/>
      </c>
    </row>
    <row r="290" spans="1:14" x14ac:dyDescent="0.4">
      <c r="L290" s="15" t="str">
        <f>IF(OR(COUNTIF(クラス!$A$1:$A$1020, $B290),$B290="",COUNTIF(スキル一覧!$A$1:$A$3500, $B290)), "", "存在しない")</f>
        <v/>
      </c>
      <c r="M290" s="2" t="str">
        <f>IF(COUNTIF($B$1:$C289, $B290), "", "存在しない")</f>
        <v>存在しない</v>
      </c>
      <c r="N290" s="2" t="str">
        <f>IF(AND(A290&lt;&gt;"",L290="存在しない",M290="存在しない"),IF(COUNTIF([1]クラス!$A$1:$A$1000, $B290),"",TRUE),"")</f>
        <v/>
      </c>
    </row>
    <row r="291" spans="1:14" x14ac:dyDescent="0.4">
      <c r="L291" s="15" t="str">
        <f>IF(OR(COUNTIF(クラス!$A$1:$A$1020, $B291),$B291="",COUNTIF(スキル一覧!$A$1:$A$3500, $B291)), "", "存在しない")</f>
        <v/>
      </c>
      <c r="M291" s="2" t="str">
        <f>IF(COUNTIF($B$1:$C290, $B291), "", "存在しない")</f>
        <v>存在しない</v>
      </c>
      <c r="N291" s="2" t="str">
        <f>IF(AND(A291&lt;&gt;"",L291="存在しない",M291="存在しない"),IF(COUNTIF([1]クラス!$A$1:$A$1000, $B291),"",TRUE),"")</f>
        <v/>
      </c>
    </row>
    <row r="292" spans="1:14" x14ac:dyDescent="0.4">
      <c r="L292" s="15" t="str">
        <f>IF(OR(COUNTIF(クラス!$A$1:$A$1020, $B292),$B292="",COUNTIF(スキル一覧!$A$1:$A$3500, $B292)), "", "存在しない")</f>
        <v/>
      </c>
      <c r="M292" s="2" t="str">
        <f>IF(COUNTIF($B$1:$C291, $B292), "", "存在しない")</f>
        <v>存在しない</v>
      </c>
      <c r="N292" s="2" t="str">
        <f>IF(AND(A292&lt;&gt;"",L292="存在しない",M292="存在しない"),IF(COUNTIF([1]クラス!$A$1:$A$1000, $B292),"",TRUE),"")</f>
        <v/>
      </c>
    </row>
    <row r="293" spans="1:14" x14ac:dyDescent="0.4">
      <c r="L293" s="15" t="str">
        <f>IF(OR(COUNTIF(クラス!$A$1:$A$1020, $B293),$B293="",COUNTIF(スキル一覧!$A$1:$A$3500, $B293)), "", "存在しない")</f>
        <v/>
      </c>
      <c r="M293" s="2" t="str">
        <f>IF(COUNTIF($B$1:$C292, $B293), "", "存在しない")</f>
        <v>存在しない</v>
      </c>
      <c r="N293" s="2" t="str">
        <f>IF(AND(A293&lt;&gt;"",L293="存在しない",M293="存在しない"),IF(COUNTIF([1]クラス!$A$1:$A$1000, $B293),"",TRUE),"")</f>
        <v/>
      </c>
    </row>
    <row r="294" spans="1:14" x14ac:dyDescent="0.4">
      <c r="B294" s="2" t="s">
        <v>72</v>
      </c>
      <c r="D294" s="2" t="s">
        <v>139</v>
      </c>
      <c r="L294" s="15" t="str">
        <f>IF(OR(COUNTIF(クラス!$A$1:$A$1020, $B294),$B294="",COUNTIF(スキル一覧!$A$1:$A$3500, $B294)), "", "存在しない")</f>
        <v/>
      </c>
      <c r="M294" s="2" t="str">
        <f>IF(COUNTIF($B$1:$C293, $B294), "", "存在しない")</f>
        <v>存在しない</v>
      </c>
      <c r="N294" s="2" t="str">
        <f>IF(AND(A294&lt;&gt;"",L294="存在しない",M294="存在しない"),IF(COUNTIF([1]クラス!$A$1:$A$1000, $B294),"",TRUE),"")</f>
        <v/>
      </c>
    </row>
    <row r="295" spans="1:14" ht="36" outlineLevel="1" x14ac:dyDescent="0.4">
      <c r="A295" s="2">
        <v>1</v>
      </c>
      <c r="B295" s="2" t="str">
        <f>D294&amp;"の拳"</f>
        <v>炎の拳</v>
      </c>
      <c r="D295" s="2" t="str">
        <f>D294</f>
        <v>炎</v>
      </c>
      <c r="E295" s="13" t="s">
        <v>120</v>
      </c>
      <c r="G295" s="19">
        <v>60</v>
      </c>
      <c r="H295" s="10" t="str">
        <f>"攻撃手段:素手 打撃+15 "&amp;D294&amp;"+25 判定:攻撃"</f>
        <v>攻撃手段:素手 打撃+15 炎+25 判定:攻撃</v>
      </c>
      <c r="L295" s="15" t="str">
        <f>IF(OR(COUNTIF(クラス!$A$1:$A$1020, $B295),$B295="",COUNTIF(スキル一覧!$A$1:$A$3500, $B295)), "", "存在しない")</f>
        <v>存在しない</v>
      </c>
      <c r="M295" s="2" t="str">
        <f>IF(COUNTIF($B$1:$C294, $B295), "", "存在しない")</f>
        <v>存在しない</v>
      </c>
      <c r="N295" s="2" t="b">
        <f>IF(AND(A295&lt;&gt;"",L295="存在しない",M295="存在しない"),IF(COUNTIF([1]クラス!$A$1:$A$1000, $B295),"",TRUE),"")</f>
        <v>1</v>
      </c>
    </row>
    <row r="296" spans="1:14" outlineLevel="1" x14ac:dyDescent="0.4">
      <c r="A296" s="2">
        <v>2</v>
      </c>
      <c r="L296" s="15" t="str">
        <f>IF(OR(COUNTIF(クラス!$A$1:$A$1020, $B296),$B296="",COUNTIF(スキル一覧!$A$1:$A$3500, $B296)), "", "存在しない")</f>
        <v/>
      </c>
      <c r="M296" s="2" t="str">
        <f>IF(COUNTIF($B$1:$C295, $B296), "", "存在しない")</f>
        <v>存在しない</v>
      </c>
      <c r="N296" s="2" t="str">
        <f>IF(AND(A296&lt;&gt;"",L296="存在しない",M296="存在しない"),IF(COUNTIF([1]クラス!$A$1:$A$1000, $B296),"",TRUE),"")</f>
        <v/>
      </c>
    </row>
    <row r="297" spans="1:14" outlineLevel="1" x14ac:dyDescent="0.4">
      <c r="A297" s="2">
        <v>3</v>
      </c>
      <c r="B297" s="2" t="s">
        <v>268</v>
      </c>
      <c r="E297" s="13" t="s">
        <v>121</v>
      </c>
      <c r="H297" s="10" t="s">
        <v>269</v>
      </c>
      <c r="L297" s="15" t="str">
        <f>IF(OR(COUNTIF(クラス!$A$1:$A$1020, $B297),$B297="",COUNTIF(スキル一覧!$A$1:$A$3500, $B297)), "", "存在しない")</f>
        <v>存在しない</v>
      </c>
      <c r="M297" s="2" t="str">
        <f>IF(COUNTIF($B$1:$C296, $B297), "", "存在しない")</f>
        <v>存在しない</v>
      </c>
      <c r="N297" s="2" t="b">
        <f>IF(AND(A297&lt;&gt;"",L297="存在しない",M297="存在しない"),IF(COUNTIF([1]クラス!$A$1:$A$1000, $B297),"",TRUE),"")</f>
        <v>1</v>
      </c>
    </row>
    <row r="298" spans="1:14" outlineLevel="1" x14ac:dyDescent="0.4">
      <c r="A298" s="2">
        <v>4</v>
      </c>
      <c r="L298" s="15" t="str">
        <f>IF(OR(COUNTIF(クラス!$A$1:$A$1020, $B298),$B298="",COUNTIF(スキル一覧!$A$1:$A$3500, $B298)), "", "存在しない")</f>
        <v/>
      </c>
      <c r="M298" s="2" t="str">
        <f>IF(COUNTIF($B$1:$C297, $B298), "", "存在しない")</f>
        <v>存在しない</v>
      </c>
      <c r="N298" s="2" t="str">
        <f>IF(AND(A298&lt;&gt;"",L298="存在しない",M298="存在しない"),IF(COUNTIF([1]クラス!$A$1:$A$1000, $B298),"",TRUE),"")</f>
        <v/>
      </c>
    </row>
    <row r="299" spans="1:14" outlineLevel="1" x14ac:dyDescent="0.4">
      <c r="A299" s="2">
        <v>5</v>
      </c>
      <c r="L299" s="15" t="str">
        <f>IF(OR(COUNTIF(クラス!$A$1:$A$1020, $B299),$B299="",COUNTIF(スキル一覧!$A$1:$A$3500, $B299)), "", "存在しない")</f>
        <v/>
      </c>
      <c r="M299" s="2" t="str">
        <f>IF(COUNTIF($B$1:$C298, $B299), "", "存在しない")</f>
        <v>存在しない</v>
      </c>
      <c r="N299" s="2" t="str">
        <f>IF(AND(A299&lt;&gt;"",L299="存在しない",M299="存在しない"),IF(COUNTIF([1]クラス!$A$1:$A$1000, $B299),"",TRUE),"")</f>
        <v/>
      </c>
    </row>
    <row r="300" spans="1:14" outlineLevel="1" x14ac:dyDescent="0.4">
      <c r="A300" s="2">
        <v>6</v>
      </c>
      <c r="B300" s="2" t="str">
        <f>D294&amp;"の魔力"</f>
        <v>炎の魔力</v>
      </c>
      <c r="E300" s="13" t="s">
        <v>121</v>
      </c>
      <c r="H300" s="10" t="str">
        <f>"条件系統:"&amp;D294&amp;" 魔力+30"</f>
        <v>条件系統:炎 魔力+30</v>
      </c>
      <c r="L300" s="15" t="str">
        <f>IF(OR(COUNTIF(クラス!$A$1:$A$1020, $B300),$B300="",COUNTIF(スキル一覧!$A$1:$A$3500, $B300)), "", "存在しない")</f>
        <v>存在しない</v>
      </c>
      <c r="M300" s="2" t="str">
        <f>IF(COUNTIF($B$1:$C299, $B300), "", "存在しない")</f>
        <v>存在しない</v>
      </c>
      <c r="N300" s="2" t="b">
        <f>IF(AND(A300&lt;&gt;"",L300="存在しない",M300="存在しない"),IF(COUNTIF([1]クラス!$A$1:$A$1000, $B300),"",TRUE),"")</f>
        <v>1</v>
      </c>
    </row>
    <row r="301" spans="1:14" outlineLevel="1" x14ac:dyDescent="0.4">
      <c r="A301" s="2">
        <v>7</v>
      </c>
      <c r="L301" s="15" t="str">
        <f>IF(OR(COUNTIF(クラス!$A$1:$A$1020, $B301),$B301="",COUNTIF(スキル一覧!$A$1:$A$3500, $B301)), "", "存在しない")</f>
        <v/>
      </c>
      <c r="M301" s="2" t="str">
        <f>IF(COUNTIF($B$1:$C300, $B301), "", "存在しない")</f>
        <v>存在しない</v>
      </c>
      <c r="N301" s="2" t="str">
        <f>IF(AND(A301&lt;&gt;"",L301="存在しない",M301="存在しない"),IF(COUNTIF([1]クラス!$A$1:$A$1000, $B301),"",TRUE),"")</f>
        <v/>
      </c>
    </row>
    <row r="302" spans="1:14" outlineLevel="1" x14ac:dyDescent="0.4">
      <c r="A302" s="2">
        <v>8</v>
      </c>
      <c r="L302" s="15" t="str">
        <f>IF(OR(COUNTIF(クラス!$A$1:$A$1020, $B302),$B302="",COUNTIF(スキル一覧!$A$1:$A$3500, $B302)), "", "存在しない")</f>
        <v/>
      </c>
      <c r="M302" s="2" t="str">
        <f>IF(COUNTIF($B$1:$C301, $B302), "", "存在しない")</f>
        <v>存在しない</v>
      </c>
      <c r="N302" s="2" t="str">
        <f>IF(AND(A302&lt;&gt;"",L302="存在しない",M302="存在しない"),IF(COUNTIF([1]クラス!$A$1:$A$1000, $B302),"",TRUE),"")</f>
        <v/>
      </c>
    </row>
    <row r="303" spans="1:14" outlineLevel="1" x14ac:dyDescent="0.4">
      <c r="A303" s="2">
        <v>9</v>
      </c>
      <c r="B303" s="2" t="str">
        <f>D294&amp;"の力"</f>
        <v>炎の力</v>
      </c>
      <c r="E303" s="13" t="s">
        <v>121</v>
      </c>
      <c r="H303" s="10" t="str">
        <f>"条件系統:"&amp;D294&amp;" 攻撃+30"</f>
        <v>条件系統:炎 攻撃+30</v>
      </c>
      <c r="L303" s="15" t="str">
        <f>IF(OR(COUNTIF(クラス!$A$1:$A$1020, $B303),$B303="",COUNTIF(スキル一覧!$A$1:$A$3500, $B303)), "", "存在しない")</f>
        <v>存在しない</v>
      </c>
      <c r="M303" s="2" t="str">
        <f>IF(COUNTIF($B$1:$C302, $B303), "", "存在しない")</f>
        <v>存在しない</v>
      </c>
      <c r="N303" s="2" t="b">
        <f>IF(AND(A303&lt;&gt;"",L303="存在しない",M303="存在しない"),IF(COUNTIF([1]クラス!$A$1:$A$1000, $B303),"",TRUE),"")</f>
        <v>1</v>
      </c>
    </row>
    <row r="304" spans="1:14" ht="36" outlineLevel="1" x14ac:dyDescent="0.4">
      <c r="A304" s="2">
        <v>10</v>
      </c>
      <c r="B304" s="2" t="str">
        <f>D294&amp;"の吐息"</f>
        <v>炎の吐息</v>
      </c>
      <c r="D304" s="2" t="str">
        <f>D294</f>
        <v>炎</v>
      </c>
      <c r="E304" s="13" t="s">
        <v>120</v>
      </c>
      <c r="G304" s="19">
        <v>80</v>
      </c>
      <c r="H304" s="10" t="str">
        <f>"攻撃手段:吐息 "&amp;D294&amp;"+45 射程:2 範囲:放射"</f>
        <v>攻撃手段:吐息 炎+45 射程:2 範囲:放射</v>
      </c>
      <c r="L304" s="15" t="str">
        <f>IF(OR(COUNTIF(クラス!$A$1:$A$1020, $B304),$B304="",COUNTIF(スキル一覧!$A$1:$A$3500, $B304)), "", "存在しない")</f>
        <v>存在しない</v>
      </c>
      <c r="M304" s="2" t="str">
        <f>IF(COUNTIF($B$1:$C303, $B304), "", "存在しない")</f>
        <v>存在しない</v>
      </c>
      <c r="N304" s="2" t="b">
        <f>IF(AND(A304&lt;&gt;"",L304="存在しない",M304="存在しない"),IF(COUNTIF([1]クラス!$A$1:$A$1000, $B304),"",TRUE),"")</f>
        <v>1</v>
      </c>
    </row>
    <row r="305" spans="1:14" outlineLevel="1" x14ac:dyDescent="0.4">
      <c r="L305" s="15" t="str">
        <f>IF(OR(COUNTIF(クラス!$A$1:$A$1020, $B305),$B305="",COUNTIF(スキル一覧!$A$1:$A$3500, $B305)), "", "存在しない")</f>
        <v/>
      </c>
      <c r="M305" s="2" t="str">
        <f>IF(COUNTIF($B$1:$C304, $B305), "", "存在しない")</f>
        <v>存在しない</v>
      </c>
      <c r="N305" s="2" t="str">
        <f>IF(AND(A305&lt;&gt;"",L305="存在しない",M305="存在しない"),IF(COUNTIF([1]クラス!$A$1:$A$1000, $B305),"",TRUE),"")</f>
        <v/>
      </c>
    </row>
    <row r="306" spans="1:14" x14ac:dyDescent="0.4">
      <c r="L306" s="15" t="str">
        <f>IF(OR(COUNTIF(クラス!$A$1:$A$1020, $B306),$B306="",COUNTIF(スキル一覧!$A$1:$A$3500, $B306)), "", "存在しない")</f>
        <v/>
      </c>
      <c r="M306" s="2" t="str">
        <f>IF(COUNTIF($B$1:$C305, $B306), "", "存在しない")</f>
        <v>存在しない</v>
      </c>
      <c r="N306" s="2" t="str">
        <f>IF(AND(A306&lt;&gt;"",L306="存在しない",M306="存在しない"),IF(COUNTIF([1]クラス!$A$1:$A$1000, $B306),"",TRUE),"")</f>
        <v/>
      </c>
    </row>
    <row r="307" spans="1:14" x14ac:dyDescent="0.4">
      <c r="B307" s="2" t="s">
        <v>74</v>
      </c>
      <c r="D307" s="2" t="s">
        <v>140</v>
      </c>
      <c r="L307" s="15" t="str">
        <f>IF(OR(COUNTIF(クラス!$A$1:$A$1020, $B307),$B307="",COUNTIF(スキル一覧!$A$1:$A$3500, $B307)), "", "存在しない")</f>
        <v/>
      </c>
      <c r="M307" s="2" t="str">
        <f>IF(COUNTIF($B$1:$C306, $B307), "", "存在しない")</f>
        <v>存在しない</v>
      </c>
      <c r="N307" s="2" t="str">
        <f>IF(AND(A307&lt;&gt;"",L307="存在しない",M307="存在しない"),IF(COUNTIF([1]クラス!$A$1:$A$1000, $B307),"",TRUE),"")</f>
        <v/>
      </c>
    </row>
    <row r="308" spans="1:14" ht="36" outlineLevel="1" x14ac:dyDescent="0.4">
      <c r="A308" s="2">
        <v>1</v>
      </c>
      <c r="B308" s="2" t="str">
        <f>D307&amp;"の拳"</f>
        <v>氷の拳</v>
      </c>
      <c r="D308" s="2" t="str">
        <f>D307</f>
        <v>氷</v>
      </c>
      <c r="E308" s="13" t="s">
        <v>120</v>
      </c>
      <c r="G308" s="19">
        <v>60</v>
      </c>
      <c r="H308" s="10" t="str">
        <f>"攻撃手段:素手 打撃+15 "&amp;D307&amp;"+25 判定:攻撃"</f>
        <v>攻撃手段:素手 打撃+15 氷+25 判定:攻撃</v>
      </c>
      <c r="L308" s="15" t="str">
        <f>IF(OR(COUNTIF(クラス!$A$1:$A$1020, $B308),$B308="",COUNTIF(スキル一覧!$A$1:$A$3500, $B308)), "", "存在しない")</f>
        <v>存在しない</v>
      </c>
      <c r="M308" s="2" t="str">
        <f>IF(COUNTIF($B$1:$C307, $B308), "", "存在しない")</f>
        <v>存在しない</v>
      </c>
      <c r="N308" s="2" t="b">
        <f>IF(AND(A308&lt;&gt;"",L308="存在しない",M308="存在しない"),IF(COUNTIF([1]クラス!$A$1:$A$1000, $B308),"",TRUE),"")</f>
        <v>1</v>
      </c>
    </row>
    <row r="309" spans="1:14" outlineLevel="1" x14ac:dyDescent="0.4">
      <c r="A309" s="2">
        <v>2</v>
      </c>
      <c r="L309" s="15" t="str">
        <f>IF(OR(COUNTIF(クラス!$A$1:$A$1020, $B309),$B309="",COUNTIF(スキル一覧!$A$1:$A$3500, $B309)), "", "存在しない")</f>
        <v/>
      </c>
      <c r="M309" s="2" t="str">
        <f>IF(COUNTIF($B$1:$C308, $B309), "", "存在しない")</f>
        <v>存在しない</v>
      </c>
      <c r="N309" s="2" t="str">
        <f>IF(AND(A309&lt;&gt;"",L309="存在しない",M309="存在しない"),IF(COUNTIF([1]クラス!$A$1:$A$1000, $B309),"",TRUE),"")</f>
        <v/>
      </c>
    </row>
    <row r="310" spans="1:14" outlineLevel="1" x14ac:dyDescent="0.4">
      <c r="A310" s="2">
        <v>3</v>
      </c>
      <c r="B310" s="2" t="s">
        <v>268</v>
      </c>
      <c r="E310" s="13" t="s">
        <v>121</v>
      </c>
      <c r="H310" s="10" t="s">
        <v>269</v>
      </c>
      <c r="L310" s="15" t="str">
        <f>IF(OR(COUNTIF(クラス!$A$1:$A$1020, $B310),$B310="",COUNTIF(スキル一覧!$A$1:$A$3500, $B310)), "", "存在しない")</f>
        <v>存在しない</v>
      </c>
      <c r="M310" s="2" t="str">
        <f>IF(COUNTIF($B$1:$C309, $B310), "", "存在しない")</f>
        <v/>
      </c>
      <c r="N310" s="2" t="str">
        <f>IF(AND(A310&lt;&gt;"",L310="存在しない",M310="存在しない"),IF(COUNTIF([1]クラス!$A$1:$A$1000, $B310),"",TRUE),"")</f>
        <v/>
      </c>
    </row>
    <row r="311" spans="1:14" outlineLevel="1" x14ac:dyDescent="0.4">
      <c r="A311" s="2">
        <v>4</v>
      </c>
      <c r="L311" s="15" t="str">
        <f>IF(OR(COUNTIF(クラス!$A$1:$A$1020, $B311),$B311="",COUNTIF(スキル一覧!$A$1:$A$3500, $B311)), "", "存在しない")</f>
        <v/>
      </c>
      <c r="M311" s="2" t="str">
        <f>IF(COUNTIF($B$1:$C310, $B311), "", "存在しない")</f>
        <v>存在しない</v>
      </c>
      <c r="N311" s="2" t="str">
        <f>IF(AND(A311&lt;&gt;"",L311="存在しない",M311="存在しない"),IF(COUNTIF([1]クラス!$A$1:$A$1000, $B311),"",TRUE),"")</f>
        <v/>
      </c>
    </row>
    <row r="312" spans="1:14" outlineLevel="1" x14ac:dyDescent="0.4">
      <c r="A312" s="2">
        <v>5</v>
      </c>
      <c r="L312" s="15" t="str">
        <f>IF(OR(COUNTIF(クラス!$A$1:$A$1020, $B312),$B312="",COUNTIF(スキル一覧!$A$1:$A$3500, $B312)), "", "存在しない")</f>
        <v/>
      </c>
      <c r="M312" s="2" t="str">
        <f>IF(COUNTIF($B$1:$C311, $B312), "", "存在しない")</f>
        <v>存在しない</v>
      </c>
      <c r="N312" s="2" t="str">
        <f>IF(AND(A312&lt;&gt;"",L312="存在しない",M312="存在しない"),IF(COUNTIF([1]クラス!$A$1:$A$1000, $B312),"",TRUE),"")</f>
        <v/>
      </c>
    </row>
    <row r="313" spans="1:14" outlineLevel="1" x14ac:dyDescent="0.4">
      <c r="A313" s="2">
        <v>6</v>
      </c>
      <c r="B313" s="2" t="str">
        <f>D307&amp;"の魔力"</f>
        <v>氷の魔力</v>
      </c>
      <c r="E313" s="13" t="s">
        <v>121</v>
      </c>
      <c r="H313" s="10" t="str">
        <f>"条件系統:"&amp;D307&amp;" 魔力+30"</f>
        <v>条件系統:氷 魔力+30</v>
      </c>
      <c r="L313" s="15" t="str">
        <f>IF(OR(COUNTIF(クラス!$A$1:$A$1020, $B313),$B313="",COUNTIF(スキル一覧!$A$1:$A$3500, $B313)), "", "存在しない")</f>
        <v>存在しない</v>
      </c>
      <c r="M313" s="2" t="str">
        <f>IF(COUNTIF($B$1:$C312, $B313), "", "存在しない")</f>
        <v>存在しない</v>
      </c>
      <c r="N313" s="2" t="b">
        <f>IF(AND(A313&lt;&gt;"",L313="存在しない",M313="存在しない"),IF(COUNTIF([1]クラス!$A$1:$A$1000, $B313),"",TRUE),"")</f>
        <v>1</v>
      </c>
    </row>
    <row r="314" spans="1:14" outlineLevel="1" x14ac:dyDescent="0.4">
      <c r="A314" s="2">
        <v>7</v>
      </c>
      <c r="L314" s="15" t="str">
        <f>IF(OR(COUNTIF(クラス!$A$1:$A$1020, $B314),$B314="",COUNTIF(スキル一覧!$A$1:$A$3500, $B314)), "", "存在しない")</f>
        <v/>
      </c>
      <c r="M314" s="2" t="str">
        <f>IF(COUNTIF($B$1:$C313, $B314), "", "存在しない")</f>
        <v>存在しない</v>
      </c>
      <c r="N314" s="2" t="str">
        <f>IF(AND(A314&lt;&gt;"",L314="存在しない",M314="存在しない"),IF(COUNTIF([1]クラス!$A$1:$A$1000, $B314),"",TRUE),"")</f>
        <v/>
      </c>
    </row>
    <row r="315" spans="1:14" outlineLevel="1" x14ac:dyDescent="0.4">
      <c r="A315" s="2">
        <v>8</v>
      </c>
      <c r="L315" s="15" t="str">
        <f>IF(OR(COUNTIF(クラス!$A$1:$A$1020, $B315),$B315="",COUNTIF(スキル一覧!$A$1:$A$3500, $B315)), "", "存在しない")</f>
        <v/>
      </c>
      <c r="M315" s="2" t="str">
        <f>IF(COUNTIF($B$1:$C314, $B315), "", "存在しない")</f>
        <v>存在しない</v>
      </c>
      <c r="N315" s="2" t="str">
        <f>IF(AND(A315&lt;&gt;"",L315="存在しない",M315="存在しない"),IF(COUNTIF([1]クラス!$A$1:$A$1000, $B315),"",TRUE),"")</f>
        <v/>
      </c>
    </row>
    <row r="316" spans="1:14" outlineLevel="1" x14ac:dyDescent="0.4">
      <c r="A316" s="2">
        <v>9</v>
      </c>
      <c r="B316" s="2" t="str">
        <f>D307&amp;"の力"</f>
        <v>氷の力</v>
      </c>
      <c r="E316" s="13" t="s">
        <v>121</v>
      </c>
      <c r="H316" s="10" t="str">
        <f>"条件系統:"&amp;D307&amp;" 攻撃+30"</f>
        <v>条件系統:氷 攻撃+30</v>
      </c>
      <c r="L316" s="15" t="str">
        <f>IF(OR(COUNTIF(クラス!$A$1:$A$1020, $B316),$B316="",COUNTIF(スキル一覧!$A$1:$A$3500, $B316)), "", "存在しない")</f>
        <v>存在しない</v>
      </c>
      <c r="M316" s="2" t="str">
        <f>IF(COUNTIF($B$1:$C315, $B316), "", "存在しない")</f>
        <v>存在しない</v>
      </c>
      <c r="N316" s="2" t="b">
        <f>IF(AND(A316&lt;&gt;"",L316="存在しない",M316="存在しない"),IF(COUNTIF([1]クラス!$A$1:$A$1000, $B316),"",TRUE),"")</f>
        <v>1</v>
      </c>
    </row>
    <row r="317" spans="1:14" ht="36" outlineLevel="1" x14ac:dyDescent="0.4">
      <c r="A317" s="2">
        <v>10</v>
      </c>
      <c r="B317" s="2" t="str">
        <f>D307&amp;"の吐息"</f>
        <v>氷の吐息</v>
      </c>
      <c r="D317" s="2" t="str">
        <f>D307</f>
        <v>氷</v>
      </c>
      <c r="E317" s="13" t="s">
        <v>120</v>
      </c>
      <c r="G317" s="19">
        <v>80</v>
      </c>
      <c r="H317" s="10" t="str">
        <f>"攻撃手段:吐息 "&amp;D307&amp;"+45 射程:2 範囲:放射"</f>
        <v>攻撃手段:吐息 氷+45 射程:2 範囲:放射</v>
      </c>
      <c r="L317" s="15" t="str">
        <f>IF(OR(COUNTIF(クラス!$A$1:$A$1020, $B317),$B317="",COUNTIF(スキル一覧!$A$1:$A$3500, $B317)), "", "存在しない")</f>
        <v>存在しない</v>
      </c>
      <c r="M317" s="2" t="str">
        <f>IF(COUNTIF($B$1:$C316, $B317), "", "存在しない")</f>
        <v>存在しない</v>
      </c>
      <c r="N317" s="2" t="b">
        <f>IF(AND(A317&lt;&gt;"",L317="存在しない",M317="存在しない"),IF(COUNTIF([1]クラス!$A$1:$A$1000, $B317),"",TRUE),"")</f>
        <v>1</v>
      </c>
    </row>
    <row r="318" spans="1:14" outlineLevel="1" x14ac:dyDescent="0.4">
      <c r="L318" s="15" t="str">
        <f>IF(OR(COUNTIF(クラス!$A$1:$A$1020, $B318),$B318="",COUNTIF(スキル一覧!$A$1:$A$3500, $B318)), "", "存在しない")</f>
        <v/>
      </c>
      <c r="M318" s="2" t="str">
        <f>IF(COUNTIF($B$1:$C317, $B318), "", "存在しない")</f>
        <v>存在しない</v>
      </c>
      <c r="N318" s="2" t="str">
        <f>IF(AND(A318&lt;&gt;"",L318="存在しない",M318="存在しない"),IF(COUNTIF([1]クラス!$A$1:$A$1000, $B318),"",TRUE),"")</f>
        <v/>
      </c>
    </row>
    <row r="319" spans="1:14" x14ac:dyDescent="0.4">
      <c r="L319" s="15" t="str">
        <f>IF(OR(COUNTIF(クラス!$A$1:$A$1020, $B319),$B319="",COUNTIF(スキル一覧!$A$1:$A$3500, $B319)), "", "存在しない")</f>
        <v/>
      </c>
      <c r="M319" s="2" t="str">
        <f>IF(COUNTIF($B$1:$C318, $B319), "", "存在しない")</f>
        <v>存在しない</v>
      </c>
      <c r="N319" s="2" t="str">
        <f>IF(AND(A319&lt;&gt;"",L319="存在しない",M319="存在しない"),IF(COUNTIF([1]クラス!$A$1:$A$1000, $B319),"",TRUE),"")</f>
        <v/>
      </c>
    </row>
    <row r="320" spans="1:14" x14ac:dyDescent="0.4">
      <c r="B320" s="2" t="s">
        <v>76</v>
      </c>
      <c r="D320" s="2" t="s">
        <v>270</v>
      </c>
      <c r="E320" s="13" t="s">
        <v>131</v>
      </c>
      <c r="L320" s="15" t="str">
        <f>IF(OR(COUNTIF(クラス!$A$1:$A$1020, $B320),$B320="",COUNTIF(スキル一覧!$A$1:$A$3500, $B320)), "", "存在しない")</f>
        <v/>
      </c>
      <c r="M320" s="2" t="str">
        <f>IF(COUNTIF($B$1:$C319, $B320), "", "存在しない")</f>
        <v>存在しない</v>
      </c>
      <c r="N320" s="2" t="str">
        <f>IF(AND(A320&lt;&gt;"",L320="存在しない",M320="存在しない"),IF(COUNTIF([1]クラス!$A$1:$A$1000, $B320),"",TRUE),"")</f>
        <v/>
      </c>
    </row>
    <row r="321" spans="1:14" ht="36" outlineLevel="1" x14ac:dyDescent="0.4">
      <c r="A321" s="2">
        <v>1</v>
      </c>
      <c r="B321" s="2" t="str">
        <f>D320&amp;"の拳"</f>
        <v>風の拳</v>
      </c>
      <c r="D321" s="2" t="str">
        <f>D320</f>
        <v>風</v>
      </c>
      <c r="E321" s="13" t="s">
        <v>120</v>
      </c>
      <c r="G321" s="19">
        <v>60</v>
      </c>
      <c r="H321" s="10" t="str">
        <f>"攻撃手段:素手 打撃+15 "&amp;E320&amp;"+25 判定:攻撃"</f>
        <v>攻撃手段:素手 打撃+15 怯み+25 判定:攻撃</v>
      </c>
      <c r="L321" s="15" t="str">
        <f>IF(OR(COUNTIF(クラス!$A$1:$A$1020, $B321),$B321="",COUNTIF(スキル一覧!$A$1:$A$3500, $B321)), "", "存在しない")</f>
        <v>存在しない</v>
      </c>
      <c r="M321" s="2" t="str">
        <f>IF(COUNTIF($B$1:$C320, $B321), "", "存在しない")</f>
        <v>存在しない</v>
      </c>
      <c r="N321" s="2" t="b">
        <f>IF(AND(A321&lt;&gt;"",L321="存在しない",M321="存在しない"),IF(COUNTIF([1]クラス!$A$1:$A$1000, $B321),"",TRUE),"")</f>
        <v>1</v>
      </c>
    </row>
    <row r="322" spans="1:14" outlineLevel="1" x14ac:dyDescent="0.4">
      <c r="A322" s="2">
        <v>2</v>
      </c>
      <c r="L322" s="15" t="str">
        <f>IF(OR(COUNTIF(クラス!$A$1:$A$1020, $B322),$B322="",COUNTIF(スキル一覧!$A$1:$A$3500, $B322)), "", "存在しない")</f>
        <v/>
      </c>
      <c r="M322" s="2" t="str">
        <f>IF(COUNTIF($B$1:$C321, $B322), "", "存在しない")</f>
        <v>存在しない</v>
      </c>
      <c r="N322" s="2" t="str">
        <f>IF(AND(A322&lt;&gt;"",L322="存在しない",M322="存在しない"),IF(COUNTIF([1]クラス!$A$1:$A$1000, $B322),"",TRUE),"")</f>
        <v/>
      </c>
    </row>
    <row r="323" spans="1:14" outlineLevel="1" x14ac:dyDescent="0.4">
      <c r="A323" s="2">
        <v>3</v>
      </c>
      <c r="B323" s="2" t="s">
        <v>268</v>
      </c>
      <c r="E323" s="13" t="s">
        <v>121</v>
      </c>
      <c r="H323" s="10" t="s">
        <v>269</v>
      </c>
      <c r="L323" s="15" t="str">
        <f>IF(OR(COUNTIF(クラス!$A$1:$A$1020, $B323),$B323="",COUNTIF(スキル一覧!$A$1:$A$3500, $B323)), "", "存在しない")</f>
        <v>存在しない</v>
      </c>
      <c r="M323" s="2" t="str">
        <f>IF(COUNTIF($B$1:$C322, $B323), "", "存在しない")</f>
        <v/>
      </c>
      <c r="N323" s="2" t="str">
        <f>IF(AND(A323&lt;&gt;"",L323="存在しない",M323="存在しない"),IF(COUNTIF([1]クラス!$A$1:$A$1000, $B323),"",TRUE),"")</f>
        <v/>
      </c>
    </row>
    <row r="324" spans="1:14" outlineLevel="1" x14ac:dyDescent="0.4">
      <c r="A324" s="2">
        <v>4</v>
      </c>
      <c r="L324" s="15" t="str">
        <f>IF(OR(COUNTIF(クラス!$A$1:$A$1020, $B324),$B324="",COUNTIF(スキル一覧!$A$1:$A$3500, $B324)), "", "存在しない")</f>
        <v/>
      </c>
      <c r="M324" s="2" t="str">
        <f>IF(COUNTIF($B$1:$C323, $B324), "", "存在しない")</f>
        <v>存在しない</v>
      </c>
      <c r="N324" s="2" t="str">
        <f>IF(AND(A324&lt;&gt;"",L324="存在しない",M324="存在しない"),IF(COUNTIF([1]クラス!$A$1:$A$1000, $B324),"",TRUE),"")</f>
        <v/>
      </c>
    </row>
    <row r="325" spans="1:14" outlineLevel="1" x14ac:dyDescent="0.4">
      <c r="A325" s="2">
        <v>5</v>
      </c>
      <c r="L325" s="15" t="str">
        <f>IF(OR(COUNTIF(クラス!$A$1:$A$1020, $B325),$B325="",COUNTIF(スキル一覧!$A$1:$A$3500, $B325)), "", "存在しない")</f>
        <v/>
      </c>
      <c r="M325" s="2" t="str">
        <f>IF(COUNTIF($B$1:$C324, $B325), "", "存在しない")</f>
        <v>存在しない</v>
      </c>
      <c r="N325" s="2" t="str">
        <f>IF(AND(A325&lt;&gt;"",L325="存在しない",M325="存在しない"),IF(COUNTIF([1]クラス!$A$1:$A$1000, $B325),"",TRUE),"")</f>
        <v/>
      </c>
    </row>
    <row r="326" spans="1:14" outlineLevel="1" x14ac:dyDescent="0.4">
      <c r="A326" s="2">
        <v>6</v>
      </c>
      <c r="B326" s="2" t="str">
        <f>D320&amp;"の魔力"</f>
        <v>風の魔力</v>
      </c>
      <c r="E326" s="13" t="s">
        <v>121</v>
      </c>
      <c r="H326" s="10" t="str">
        <f>"条件系統:"&amp;D320&amp;" 魔力+30"</f>
        <v>条件系統:風 魔力+30</v>
      </c>
      <c r="L326" s="15" t="str">
        <f>IF(OR(COUNTIF(クラス!$A$1:$A$1020, $B326),$B326="",COUNTIF(スキル一覧!$A$1:$A$3500, $B326)), "", "存在しない")</f>
        <v>存在しない</v>
      </c>
      <c r="M326" s="2" t="str">
        <f>IF(COUNTIF($B$1:$C325, $B326), "", "存在しない")</f>
        <v>存在しない</v>
      </c>
      <c r="N326" s="2" t="b">
        <f>IF(AND(A326&lt;&gt;"",L326="存在しない",M326="存在しない"),IF(COUNTIF([1]クラス!$A$1:$A$1000, $B326),"",TRUE),"")</f>
        <v>1</v>
      </c>
    </row>
    <row r="327" spans="1:14" outlineLevel="1" x14ac:dyDescent="0.4">
      <c r="A327" s="2">
        <v>7</v>
      </c>
      <c r="L327" s="15" t="str">
        <f>IF(OR(COUNTIF(クラス!$A$1:$A$1020, $B327),$B327="",COUNTIF(スキル一覧!$A$1:$A$3500, $B327)), "", "存在しない")</f>
        <v/>
      </c>
      <c r="M327" s="2" t="str">
        <f>IF(COUNTIF($B$1:$C326, $B327), "", "存在しない")</f>
        <v>存在しない</v>
      </c>
      <c r="N327" s="2" t="str">
        <f>IF(AND(A327&lt;&gt;"",L327="存在しない",M327="存在しない"),IF(COUNTIF([1]クラス!$A$1:$A$1000, $B327),"",TRUE),"")</f>
        <v/>
      </c>
    </row>
    <row r="328" spans="1:14" outlineLevel="1" x14ac:dyDescent="0.4">
      <c r="A328" s="2">
        <v>8</v>
      </c>
      <c r="L328" s="15" t="str">
        <f>IF(OR(COUNTIF(クラス!$A$1:$A$1020, $B328),$B328="",COUNTIF(スキル一覧!$A$1:$A$3500, $B328)), "", "存在しない")</f>
        <v/>
      </c>
      <c r="M328" s="2" t="str">
        <f>IF(COUNTIF($B$1:$C327, $B328), "", "存在しない")</f>
        <v>存在しない</v>
      </c>
      <c r="N328" s="2" t="str">
        <f>IF(AND(A328&lt;&gt;"",L328="存在しない",M328="存在しない"),IF(COUNTIF([1]クラス!$A$1:$A$1000, $B328),"",TRUE),"")</f>
        <v/>
      </c>
    </row>
    <row r="329" spans="1:14" outlineLevel="1" x14ac:dyDescent="0.4">
      <c r="A329" s="2">
        <v>9</v>
      </c>
      <c r="B329" s="2" t="str">
        <f>D320&amp;"の力"</f>
        <v>風の力</v>
      </c>
      <c r="E329" s="13" t="s">
        <v>121</v>
      </c>
      <c r="H329" s="10" t="str">
        <f>"条件系統:"&amp;D320&amp;" 攻撃+30"</f>
        <v>条件系統:風 攻撃+30</v>
      </c>
      <c r="L329" s="15" t="str">
        <f>IF(OR(COUNTIF(クラス!$A$1:$A$1020, $B329),$B329="",COUNTIF(スキル一覧!$A$1:$A$3500, $B329)), "", "存在しない")</f>
        <v>存在しない</v>
      </c>
      <c r="M329" s="2" t="str">
        <f>IF(COUNTIF($B$1:$C328, $B329), "", "存在しない")</f>
        <v>存在しない</v>
      </c>
      <c r="N329" s="2" t="b">
        <f>IF(AND(A329&lt;&gt;"",L329="存在しない",M329="存在しない"),IF(COUNTIF([1]クラス!$A$1:$A$1000, $B329),"",TRUE),"")</f>
        <v>1</v>
      </c>
    </row>
    <row r="330" spans="1:14" ht="36" outlineLevel="1" x14ac:dyDescent="0.4">
      <c r="A330" s="2">
        <v>10</v>
      </c>
      <c r="B330" s="2" t="str">
        <f>D320&amp;"の吐息"</f>
        <v>風の吐息</v>
      </c>
      <c r="D330" s="2" t="str">
        <f>D320</f>
        <v>風</v>
      </c>
      <c r="E330" s="13" t="s">
        <v>120</v>
      </c>
      <c r="G330" s="19">
        <v>80</v>
      </c>
      <c r="H330" s="10" t="str">
        <f>"攻撃手段:吐息 "&amp;E320&amp;"+45 射程:2 範囲:放射"</f>
        <v>攻撃手段:吐息 怯み+45 射程:2 範囲:放射</v>
      </c>
      <c r="L330" s="15" t="str">
        <f>IF(OR(COUNTIF(クラス!$A$1:$A$1020, $B330),$B330="",COUNTIF(スキル一覧!$A$1:$A$3500, $B330)), "", "存在しない")</f>
        <v>存在しない</v>
      </c>
      <c r="M330" s="2" t="str">
        <f>IF(COUNTIF($B$1:$C329, $B330), "", "存在しない")</f>
        <v>存在しない</v>
      </c>
      <c r="N330" s="2" t="b">
        <f>IF(AND(A330&lt;&gt;"",L330="存在しない",M330="存在しない"),IF(COUNTIF([1]クラス!$A$1:$A$1000, $B330),"",TRUE),"")</f>
        <v>1</v>
      </c>
    </row>
    <row r="331" spans="1:14" outlineLevel="1" x14ac:dyDescent="0.4">
      <c r="L331" s="15" t="str">
        <f>IF(OR(COUNTIF(クラス!$A$1:$A$1020, $B331),$B331="",COUNTIF(スキル一覧!$A$1:$A$3500, $B331)), "", "存在しない")</f>
        <v/>
      </c>
      <c r="M331" s="2" t="str">
        <f>IF(COUNTIF($B$1:$C330, $B331), "", "存在しない")</f>
        <v>存在しない</v>
      </c>
      <c r="N331" s="2" t="str">
        <f>IF(AND(A331&lt;&gt;"",L331="存在しない",M331="存在しない"),IF(COUNTIF([1]クラス!$A$1:$A$1000, $B331),"",TRUE),"")</f>
        <v/>
      </c>
    </row>
    <row r="332" spans="1:14" x14ac:dyDescent="0.4">
      <c r="L332" s="15" t="str">
        <f>IF(OR(COUNTIF(クラス!$A$1:$A$1020, $B332),$B332="",COUNTIF(スキル一覧!$A$1:$A$3500, $B332)), "", "存在しない")</f>
        <v/>
      </c>
      <c r="M332" s="2" t="str">
        <f>IF(COUNTIF($B$1:$C331, $B332), "", "存在しない")</f>
        <v>存在しない</v>
      </c>
      <c r="N332" s="2" t="str">
        <f>IF(AND(A332&lt;&gt;"",L332="存在しない",M332="存在しない"),IF(COUNTIF([1]クラス!$A$1:$A$1000, $B332),"",TRUE),"")</f>
        <v/>
      </c>
    </row>
    <row r="333" spans="1:14" x14ac:dyDescent="0.4">
      <c r="B333" s="2" t="s">
        <v>78</v>
      </c>
      <c r="D333" s="2" t="s">
        <v>271</v>
      </c>
      <c r="E333" s="13" t="s">
        <v>168</v>
      </c>
      <c r="L333" s="15" t="str">
        <f>IF(OR(COUNTIF(クラス!$A$1:$A$1020, $B333),$B333="",COUNTIF(スキル一覧!$A$1:$A$3500, $B333)), "", "存在しない")</f>
        <v/>
      </c>
      <c r="M333" s="2" t="str">
        <f>IF(COUNTIF($B$1:$C332, $B333), "", "存在しない")</f>
        <v>存在しない</v>
      </c>
      <c r="N333" s="2" t="str">
        <f>IF(AND(A333&lt;&gt;"",L333="存在しない",M333="存在しない"),IF(COUNTIF([1]クラス!$A$1:$A$1000, $B333),"",TRUE),"")</f>
        <v/>
      </c>
    </row>
    <row r="334" spans="1:14" ht="36" outlineLevel="1" x14ac:dyDescent="0.4">
      <c r="A334" s="2">
        <v>1</v>
      </c>
      <c r="B334" s="2" t="str">
        <f>D333&amp;"の拳"</f>
        <v>地の拳</v>
      </c>
      <c r="D334" s="2" t="str">
        <f>D333</f>
        <v>地</v>
      </c>
      <c r="E334" s="13" t="s">
        <v>120</v>
      </c>
      <c r="G334" s="19">
        <v>60</v>
      </c>
      <c r="H334" s="10" t="str">
        <f>"攻撃手段:素手 打撃+15 "&amp;E333&amp;"+25 判定:攻撃"</f>
        <v>攻撃手段:素手 打撃+15 ガード+25 判定:攻撃</v>
      </c>
      <c r="L334" s="15" t="str">
        <f>IF(OR(COUNTIF(クラス!$A$1:$A$1020, $B334),$B334="",COUNTIF(スキル一覧!$A$1:$A$3500, $B334)), "", "存在しない")</f>
        <v>存在しない</v>
      </c>
      <c r="M334" s="2" t="str">
        <f>IF(COUNTIF($B$1:$C333, $B334), "", "存在しない")</f>
        <v>存在しない</v>
      </c>
      <c r="N334" s="2" t="b">
        <f>IF(AND(A334&lt;&gt;"",L334="存在しない",M334="存在しない"),IF(COUNTIF([1]クラス!$A$1:$A$1000, $B334),"",TRUE),"")</f>
        <v>1</v>
      </c>
    </row>
    <row r="335" spans="1:14" outlineLevel="1" x14ac:dyDescent="0.4">
      <c r="A335" s="2">
        <v>2</v>
      </c>
      <c r="L335" s="15" t="str">
        <f>IF(OR(COUNTIF(クラス!$A$1:$A$1020, $B335),$B335="",COUNTIF(スキル一覧!$A$1:$A$3500, $B335)), "", "存在しない")</f>
        <v/>
      </c>
      <c r="M335" s="2" t="str">
        <f>IF(COUNTIF($B$1:$C334, $B335), "", "存在しない")</f>
        <v>存在しない</v>
      </c>
      <c r="N335" s="2" t="str">
        <f>IF(AND(A335&lt;&gt;"",L335="存在しない",M335="存在しない"),IF(COUNTIF([1]クラス!$A$1:$A$1000, $B335),"",TRUE),"")</f>
        <v/>
      </c>
    </row>
    <row r="336" spans="1:14" outlineLevel="1" x14ac:dyDescent="0.4">
      <c r="A336" s="2">
        <v>3</v>
      </c>
      <c r="B336" s="2" t="s">
        <v>268</v>
      </c>
      <c r="E336" s="13" t="s">
        <v>121</v>
      </c>
      <c r="H336" s="10" t="s">
        <v>269</v>
      </c>
      <c r="L336" s="15" t="str">
        <f>IF(OR(COUNTIF(クラス!$A$1:$A$1020, $B336),$B336="",COUNTIF(スキル一覧!$A$1:$A$3500, $B336)), "", "存在しない")</f>
        <v>存在しない</v>
      </c>
      <c r="M336" s="2" t="str">
        <f>IF(COUNTIF($B$1:$C335, $B336), "", "存在しない")</f>
        <v/>
      </c>
      <c r="N336" s="2" t="str">
        <f>IF(AND(A336&lt;&gt;"",L336="存在しない",M336="存在しない"),IF(COUNTIF([1]クラス!$A$1:$A$1000, $B336),"",TRUE),"")</f>
        <v/>
      </c>
    </row>
    <row r="337" spans="1:14" outlineLevel="1" x14ac:dyDescent="0.4">
      <c r="A337" s="2">
        <v>4</v>
      </c>
      <c r="L337" s="15" t="str">
        <f>IF(OR(COUNTIF(クラス!$A$1:$A$1020, $B337),$B337="",COUNTIF(スキル一覧!$A$1:$A$3500, $B337)), "", "存在しない")</f>
        <v/>
      </c>
      <c r="M337" s="2" t="str">
        <f>IF(COUNTIF($B$1:$C336, $B337), "", "存在しない")</f>
        <v>存在しない</v>
      </c>
      <c r="N337" s="2" t="str">
        <f>IF(AND(A337&lt;&gt;"",L337="存在しない",M337="存在しない"),IF(COUNTIF([1]クラス!$A$1:$A$1000, $B337),"",TRUE),"")</f>
        <v/>
      </c>
    </row>
    <row r="338" spans="1:14" outlineLevel="1" x14ac:dyDescent="0.4">
      <c r="A338" s="2">
        <v>5</v>
      </c>
      <c r="L338" s="15" t="str">
        <f>IF(OR(COUNTIF(クラス!$A$1:$A$1020, $B338),$B338="",COUNTIF(スキル一覧!$A$1:$A$3500, $B338)), "", "存在しない")</f>
        <v/>
      </c>
      <c r="M338" s="2" t="str">
        <f>IF(COUNTIF($B$1:$C337, $B338), "", "存在しない")</f>
        <v>存在しない</v>
      </c>
      <c r="N338" s="2" t="str">
        <f>IF(AND(A338&lt;&gt;"",L338="存在しない",M338="存在しない"),IF(COUNTIF([1]クラス!$A$1:$A$1000, $B338),"",TRUE),"")</f>
        <v/>
      </c>
    </row>
    <row r="339" spans="1:14" outlineLevel="1" x14ac:dyDescent="0.4">
      <c r="A339" s="2">
        <v>6</v>
      </c>
      <c r="B339" s="2" t="str">
        <f>D333&amp;"の魔力"</f>
        <v>地の魔力</v>
      </c>
      <c r="E339" s="13" t="s">
        <v>121</v>
      </c>
      <c r="H339" s="10" t="str">
        <f>"条件系統:"&amp;D333&amp;" 魔力+30"</f>
        <v>条件系統:地 魔力+30</v>
      </c>
      <c r="L339" s="15" t="str">
        <f>IF(OR(COUNTIF(クラス!$A$1:$A$1020, $B339),$B339="",COUNTIF(スキル一覧!$A$1:$A$3500, $B339)), "", "存在しない")</f>
        <v>存在しない</v>
      </c>
      <c r="M339" s="2" t="str">
        <f>IF(COUNTIF($B$1:$C338, $B339), "", "存在しない")</f>
        <v>存在しない</v>
      </c>
      <c r="N339" s="2" t="b">
        <f>IF(AND(A339&lt;&gt;"",L339="存在しない",M339="存在しない"),IF(COUNTIF([1]クラス!$A$1:$A$1000, $B339),"",TRUE),"")</f>
        <v>1</v>
      </c>
    </row>
    <row r="340" spans="1:14" outlineLevel="1" x14ac:dyDescent="0.4">
      <c r="A340" s="2">
        <v>7</v>
      </c>
      <c r="L340" s="15" t="str">
        <f>IF(OR(COUNTIF(クラス!$A$1:$A$1020, $B340),$B340="",COUNTIF(スキル一覧!$A$1:$A$3500, $B340)), "", "存在しない")</f>
        <v/>
      </c>
      <c r="M340" s="2" t="str">
        <f>IF(COUNTIF($B$1:$C339, $B340), "", "存在しない")</f>
        <v>存在しない</v>
      </c>
      <c r="N340" s="2" t="str">
        <f>IF(AND(A340&lt;&gt;"",L340="存在しない",M340="存在しない"),IF(COUNTIF([1]クラス!$A$1:$A$1000, $B340),"",TRUE),"")</f>
        <v/>
      </c>
    </row>
    <row r="341" spans="1:14" outlineLevel="1" x14ac:dyDescent="0.4">
      <c r="A341" s="2">
        <v>8</v>
      </c>
      <c r="L341" s="15" t="str">
        <f>IF(OR(COUNTIF(クラス!$A$1:$A$1020, $B341),$B341="",COUNTIF(スキル一覧!$A$1:$A$3500, $B341)), "", "存在しない")</f>
        <v/>
      </c>
      <c r="M341" s="2" t="str">
        <f>IF(COUNTIF($B$1:$C340, $B341), "", "存在しない")</f>
        <v>存在しない</v>
      </c>
      <c r="N341" s="2" t="str">
        <f>IF(AND(A341&lt;&gt;"",L341="存在しない",M341="存在しない"),IF(COUNTIF([1]クラス!$A$1:$A$1000, $B341),"",TRUE),"")</f>
        <v/>
      </c>
    </row>
    <row r="342" spans="1:14" outlineLevel="1" x14ac:dyDescent="0.4">
      <c r="A342" s="2">
        <v>9</v>
      </c>
      <c r="B342" s="2" t="str">
        <f>D333&amp;"の力"</f>
        <v>地の力</v>
      </c>
      <c r="E342" s="13" t="s">
        <v>121</v>
      </c>
      <c r="H342" s="10" t="str">
        <f>"条件系統:"&amp;D333&amp;" 攻撃+30"</f>
        <v>条件系統:地 攻撃+30</v>
      </c>
      <c r="L342" s="15" t="str">
        <f>IF(OR(COUNTIF(クラス!$A$1:$A$1020, $B342),$B342="",COUNTIF(スキル一覧!$A$1:$A$3500, $B342)), "", "存在しない")</f>
        <v>存在しない</v>
      </c>
      <c r="M342" s="2" t="str">
        <f>IF(COUNTIF($B$1:$C341, $B342), "", "存在しない")</f>
        <v>存在しない</v>
      </c>
      <c r="N342" s="2" t="b">
        <f>IF(AND(A342&lt;&gt;"",L342="存在しない",M342="存在しない"),IF(COUNTIF([1]クラス!$A$1:$A$1000, $B342),"",TRUE),"")</f>
        <v>1</v>
      </c>
    </row>
    <row r="343" spans="1:14" ht="36" outlineLevel="1" x14ac:dyDescent="0.4">
      <c r="A343" s="2">
        <v>10</v>
      </c>
      <c r="B343" s="2" t="str">
        <f>"石礫の吐息"</f>
        <v>石礫の吐息</v>
      </c>
      <c r="D343" s="2" t="str">
        <f>D333</f>
        <v>地</v>
      </c>
      <c r="E343" s="13" t="s">
        <v>120</v>
      </c>
      <c r="G343" s="19">
        <v>80</v>
      </c>
      <c r="H343" s="10" t="str">
        <f>"攻撃手段:吐息 打撃+45 射程:2 範囲:放射"</f>
        <v>攻撃手段:吐息 打撃+45 射程:2 範囲:放射</v>
      </c>
      <c r="L343" s="15" t="str">
        <f>IF(OR(COUNTIF(クラス!$A$1:$A$1020, $B343),$B343="",COUNTIF(スキル一覧!$A$1:$A$3500, $B343)), "", "存在しない")</f>
        <v>存在しない</v>
      </c>
      <c r="M343" s="2" t="str">
        <f>IF(COUNTIF($B$1:$C342, $B343), "", "存在しない")</f>
        <v>存在しない</v>
      </c>
      <c r="N343" s="2" t="b">
        <f>IF(AND(A343&lt;&gt;"",L343="存在しない",M343="存在しない"),IF(COUNTIF([1]クラス!$A$1:$A$1000, $B343),"",TRUE),"")</f>
        <v>1</v>
      </c>
    </row>
    <row r="344" spans="1:14" outlineLevel="1" x14ac:dyDescent="0.4">
      <c r="L344" s="15" t="str">
        <f>IF(OR(COUNTIF(クラス!$A$1:$A$1020, $B344),$B344="",COUNTIF(スキル一覧!$A$1:$A$3500, $B344)), "", "存在しない")</f>
        <v/>
      </c>
      <c r="M344" s="2" t="str">
        <f>IF(COUNTIF($B$1:$C343, $B344), "", "存在しない")</f>
        <v>存在しない</v>
      </c>
      <c r="N344" s="2" t="str">
        <f>IF(AND(A344&lt;&gt;"",L344="存在しない",M344="存在しない"),IF(COUNTIF([1]クラス!$A$1:$A$1000, $B344),"",TRUE),"")</f>
        <v/>
      </c>
    </row>
    <row r="345" spans="1:14" x14ac:dyDescent="0.4">
      <c r="L345" s="15" t="str">
        <f>IF(OR(COUNTIF(クラス!$A$1:$A$1020, $B345),$B345="",COUNTIF(スキル一覧!$A$1:$A$3500, $B345)), "", "存在しない")</f>
        <v/>
      </c>
      <c r="M345" s="2" t="str">
        <f>IF(COUNTIF($B$1:$C344, $B345), "", "存在しない")</f>
        <v>存在しない</v>
      </c>
      <c r="N345" s="2" t="str">
        <f>IF(AND(A345&lt;&gt;"",L345="存在しない",M345="存在しない"),IF(COUNTIF([1]クラス!$A$1:$A$1000, $B345),"",TRUE),"")</f>
        <v/>
      </c>
    </row>
    <row r="346" spans="1:14" x14ac:dyDescent="0.4">
      <c r="B346" s="2" t="s">
        <v>191</v>
      </c>
      <c r="L346" s="15" t="str">
        <f>IF(OR(COUNTIF(クラス!$A$1:$A$1020, $B346),$B346="",COUNTIF(スキル一覧!$A$1:$A$3500, $B346)), "", "存在しない")</f>
        <v/>
      </c>
      <c r="M346" s="2" t="str">
        <f>IF(COUNTIF($B$1:$C345, $B346), "", "存在しない")</f>
        <v>存在しない</v>
      </c>
      <c r="N346" s="2" t="str">
        <f>IF(AND(A346&lt;&gt;"",L346="存在しない",M346="存在しない"),IF(COUNTIF([1]クラス!$A$1:$A$1000, $B346),"",TRUE),"")</f>
        <v/>
      </c>
    </row>
    <row r="347" spans="1:14" hidden="1" outlineLevel="1" x14ac:dyDescent="0.4">
      <c r="A347" s="2">
        <v>1</v>
      </c>
      <c r="L347" s="15" t="str">
        <f>IF(OR(COUNTIF(クラス!$A$1:$A$1020, $B347),$B347="",COUNTIF(スキル一覧!$A$1:$A$3500, $B347)), "", "存在しない")</f>
        <v/>
      </c>
      <c r="M347" s="2" t="str">
        <f>IF(COUNTIF($B$1:$C346, $B347), "", "存在しない")</f>
        <v>存在しない</v>
      </c>
      <c r="N347" s="2" t="str">
        <f>IF(AND(A347&lt;&gt;"",L347="存在しない",M347="存在しない"),IF(COUNTIF([1]クラス!$A$1:$A$1000, $B347),"",TRUE),"")</f>
        <v/>
      </c>
    </row>
    <row r="348" spans="1:14" hidden="1" outlineLevel="1" x14ac:dyDescent="0.4">
      <c r="A348" s="2">
        <v>2</v>
      </c>
      <c r="L348" s="15" t="str">
        <f>IF(OR(COUNTIF(クラス!$A$1:$A$1020, $B348),$B348="",COUNTIF(スキル一覧!$A$1:$A$3500, $B348)), "", "存在しない")</f>
        <v/>
      </c>
      <c r="M348" s="2" t="str">
        <f>IF(COUNTIF($B$1:$C347, $B348), "", "存在しない")</f>
        <v>存在しない</v>
      </c>
      <c r="N348" s="2" t="str">
        <f>IF(AND(A348&lt;&gt;"",L348="存在しない",M348="存在しない"),IF(COUNTIF([1]クラス!$A$1:$A$1000, $B348),"",TRUE),"")</f>
        <v/>
      </c>
    </row>
    <row r="349" spans="1:14" hidden="1" outlineLevel="1" x14ac:dyDescent="0.4">
      <c r="A349" s="2">
        <v>3</v>
      </c>
      <c r="L349" s="15" t="str">
        <f>IF(OR(COUNTIF(クラス!$A$1:$A$1020, $B349),$B349="",COUNTIF(スキル一覧!$A$1:$A$3500, $B349)), "", "存在しない")</f>
        <v/>
      </c>
      <c r="M349" s="2" t="str">
        <f>IF(COUNTIF($B$1:$C348, $B349), "", "存在しない")</f>
        <v>存在しない</v>
      </c>
      <c r="N349" s="2" t="str">
        <f>IF(AND(A349&lt;&gt;"",L349="存在しない",M349="存在しない"),IF(COUNTIF([1]クラス!$A$1:$A$1000, $B349),"",TRUE),"")</f>
        <v/>
      </c>
    </row>
    <row r="350" spans="1:14" hidden="1" outlineLevel="1" x14ac:dyDescent="0.4">
      <c r="A350" s="2">
        <v>4</v>
      </c>
      <c r="L350" s="15" t="str">
        <f>IF(OR(COUNTIF(クラス!$A$1:$A$1020, $B350),$B350="",COUNTIF(スキル一覧!$A$1:$A$3500, $B350)), "", "存在しない")</f>
        <v/>
      </c>
      <c r="M350" s="2" t="str">
        <f>IF(COUNTIF($B$1:$C349, $B350), "", "存在しない")</f>
        <v>存在しない</v>
      </c>
      <c r="N350" s="2" t="str">
        <f>IF(AND(A350&lt;&gt;"",L350="存在しない",M350="存在しない"),IF(COUNTIF([1]クラス!$A$1:$A$1000, $B350),"",TRUE),"")</f>
        <v/>
      </c>
    </row>
    <row r="351" spans="1:14" hidden="1" outlineLevel="1" x14ac:dyDescent="0.4">
      <c r="A351" s="2">
        <v>5</v>
      </c>
      <c r="L351" s="15" t="str">
        <f>IF(OR(COUNTIF(クラス!$A$1:$A$1020, $B351),$B351="",COUNTIF(スキル一覧!$A$1:$A$3500, $B351)), "", "存在しない")</f>
        <v/>
      </c>
      <c r="M351" s="2" t="str">
        <f>IF(COUNTIF($B$1:$C350, $B351), "", "存在しない")</f>
        <v>存在しない</v>
      </c>
      <c r="N351" s="2" t="str">
        <f>IF(AND(A351&lt;&gt;"",L351="存在しない",M351="存在しない"),IF(COUNTIF([1]クラス!$A$1:$A$1000, $B351),"",TRUE),"")</f>
        <v/>
      </c>
    </row>
    <row r="352" spans="1:14" hidden="1" outlineLevel="1" x14ac:dyDescent="0.4">
      <c r="A352" s="2">
        <v>6</v>
      </c>
      <c r="L352" s="15" t="str">
        <f>IF(OR(COUNTIF(クラス!$A$1:$A$1020, $B352),$B352="",COUNTIF(スキル一覧!$A$1:$A$3500, $B352)), "", "存在しない")</f>
        <v/>
      </c>
      <c r="M352" s="2" t="str">
        <f>IF(COUNTIF($B$1:$C351, $B352), "", "存在しない")</f>
        <v>存在しない</v>
      </c>
      <c r="N352" s="2" t="str">
        <f>IF(AND(A352&lt;&gt;"",L352="存在しない",M352="存在しない"),IF(COUNTIF([1]クラス!$A$1:$A$1000, $B352),"",TRUE),"")</f>
        <v/>
      </c>
    </row>
    <row r="353" spans="1:14" hidden="1" outlineLevel="1" x14ac:dyDescent="0.4">
      <c r="A353" s="2">
        <v>7</v>
      </c>
      <c r="L353" s="15" t="str">
        <f>IF(OR(COUNTIF(クラス!$A$1:$A$1020, $B353),$B353="",COUNTIF(スキル一覧!$A$1:$A$3500, $B353)), "", "存在しない")</f>
        <v/>
      </c>
      <c r="M353" s="2" t="str">
        <f>IF(COUNTIF($B$1:$C352, $B353), "", "存在しない")</f>
        <v>存在しない</v>
      </c>
      <c r="N353" s="2" t="str">
        <f>IF(AND(A353&lt;&gt;"",L353="存在しない",M353="存在しない"),IF(COUNTIF([1]クラス!$A$1:$A$1000, $B353),"",TRUE),"")</f>
        <v/>
      </c>
    </row>
    <row r="354" spans="1:14" hidden="1" outlineLevel="1" x14ac:dyDescent="0.4">
      <c r="A354" s="2">
        <v>8</v>
      </c>
      <c r="L354" s="15" t="str">
        <f>IF(OR(COUNTIF(クラス!$A$1:$A$1020, $B354),$B354="",COUNTIF(スキル一覧!$A$1:$A$3500, $B354)), "", "存在しない")</f>
        <v/>
      </c>
      <c r="M354" s="2" t="str">
        <f>IF(COUNTIF($B$1:$C353, $B354), "", "存在しない")</f>
        <v>存在しない</v>
      </c>
      <c r="N354" s="2" t="str">
        <f>IF(AND(A354&lt;&gt;"",L354="存在しない",M354="存在しない"),IF(COUNTIF([1]クラス!$A$1:$A$1000, $B354),"",TRUE),"")</f>
        <v/>
      </c>
    </row>
    <row r="355" spans="1:14" hidden="1" outlineLevel="1" x14ac:dyDescent="0.4">
      <c r="A355" s="2">
        <v>9</v>
      </c>
      <c r="L355" s="15" t="str">
        <f>IF(OR(COUNTIF(クラス!$A$1:$A$1020, $B355),$B355="",COUNTIF(スキル一覧!$A$1:$A$3500, $B355)), "", "存在しない")</f>
        <v/>
      </c>
      <c r="M355" s="2" t="str">
        <f>IF(COUNTIF($B$1:$C354, $B355), "", "存在しない")</f>
        <v>存在しない</v>
      </c>
      <c r="N355" s="2" t="str">
        <f>IF(AND(A355&lt;&gt;"",L355="存在しない",M355="存在しない"),IF(COUNTIF([1]クラス!$A$1:$A$1000, $B355),"",TRUE),"")</f>
        <v/>
      </c>
    </row>
    <row r="356" spans="1:14" hidden="1" outlineLevel="1" x14ac:dyDescent="0.4">
      <c r="A356" s="2">
        <v>10</v>
      </c>
      <c r="L356" s="15" t="str">
        <f>IF(OR(COUNTIF(クラス!$A$1:$A$1020, $B356),$B356="",COUNTIF(スキル一覧!$A$1:$A$3500, $B356)), "", "存在しない")</f>
        <v/>
      </c>
      <c r="M356" s="2" t="str">
        <f>IF(COUNTIF($B$1:$C355, $B356), "", "存在しない")</f>
        <v>存在しない</v>
      </c>
      <c r="N356" s="2" t="str">
        <f>IF(AND(A356&lt;&gt;"",L356="存在しない",M356="存在しない"),IF(COUNTIF([1]クラス!$A$1:$A$1000, $B356),"",TRUE),"")</f>
        <v/>
      </c>
    </row>
    <row r="357" spans="1:14" hidden="1" outlineLevel="1" x14ac:dyDescent="0.4">
      <c r="L357" s="15" t="str">
        <f>IF(OR(COUNTIF(クラス!$A$1:$A$1020, $B357),$B357="",COUNTIF(スキル一覧!$A$1:$A$3500, $B357)), "", "存在しない")</f>
        <v/>
      </c>
      <c r="M357" s="2" t="str">
        <f>IF(COUNTIF($B$1:$C356, $B357), "", "存在しない")</f>
        <v>存在しない</v>
      </c>
      <c r="N357" s="2" t="str">
        <f>IF(AND(A357&lt;&gt;"",L357="存在しない",M357="存在しない"),IF(COUNTIF([1]クラス!$A$1:$A$1000, $B357),"",TRUE),"")</f>
        <v/>
      </c>
    </row>
    <row r="358" spans="1:14" collapsed="1" x14ac:dyDescent="0.4">
      <c r="L358" s="15" t="str">
        <f>IF(OR(COUNTIF(クラス!$A$1:$A$1020, $B358),$B358="",COUNTIF(スキル一覧!$A$1:$A$3500, $B358)), "", "存在しない")</f>
        <v/>
      </c>
      <c r="M358" s="2" t="str">
        <f>IF(COUNTIF($B$1:$C357, $B358), "", "存在しない")</f>
        <v>存在しない</v>
      </c>
      <c r="N358" s="2" t="str">
        <f>IF(AND(A358&lt;&gt;"",L358="存在しない",M358="存在しない"),IF(COUNTIF([1]クラス!$A$1:$A$1000, $B358),"",TRUE),"")</f>
        <v/>
      </c>
    </row>
    <row r="359" spans="1:14" x14ac:dyDescent="0.4">
      <c r="B359" s="2" t="s">
        <v>193</v>
      </c>
      <c r="L359" s="15" t="str">
        <f>IF(OR(COUNTIF(クラス!$A$1:$A$1020, $B359),$B359="",COUNTIF(スキル一覧!$A$1:$A$3500, $B359)), "", "存在しない")</f>
        <v/>
      </c>
      <c r="M359" s="2" t="str">
        <f>IF(COUNTIF($B$1:$C358, $B359), "", "存在しない")</f>
        <v>存在しない</v>
      </c>
      <c r="N359" s="2" t="str">
        <f>IF(AND(A359&lt;&gt;"",L359="存在しない",M359="存在しない"),IF(COUNTIF([1]クラス!$A$1:$A$1000, $B359),"",TRUE),"")</f>
        <v/>
      </c>
    </row>
    <row r="360" spans="1:14" hidden="1" outlineLevel="1" x14ac:dyDescent="0.4">
      <c r="A360" s="2">
        <v>1</v>
      </c>
      <c r="L360" s="15" t="str">
        <f>IF(OR(COUNTIF(クラス!$A$1:$A$1020, $B360),$B360="",COUNTIF(スキル一覧!$A$1:$A$3500, $B360)), "", "存在しない")</f>
        <v/>
      </c>
      <c r="M360" s="2" t="str">
        <f>IF(COUNTIF($B$1:$C359, $B360), "", "存在しない")</f>
        <v>存在しない</v>
      </c>
      <c r="N360" s="2" t="str">
        <f>IF(AND(A360&lt;&gt;"",L360="存在しない",M360="存在しない"),IF(COUNTIF([1]クラス!$A$1:$A$1000, $B360),"",TRUE),"")</f>
        <v/>
      </c>
    </row>
    <row r="361" spans="1:14" hidden="1" outlineLevel="1" x14ac:dyDescent="0.4">
      <c r="A361" s="2">
        <v>2</v>
      </c>
      <c r="L361" s="15" t="str">
        <f>IF(OR(COUNTIF(クラス!$A$1:$A$1020, $B361),$B361="",COUNTIF(スキル一覧!$A$1:$A$3500, $B361)), "", "存在しない")</f>
        <v/>
      </c>
      <c r="M361" s="2" t="str">
        <f>IF(COUNTIF($B$1:$C360, $B361), "", "存在しない")</f>
        <v>存在しない</v>
      </c>
      <c r="N361" s="2" t="str">
        <f>IF(AND(A361&lt;&gt;"",L361="存在しない",M361="存在しない"),IF(COUNTIF([1]クラス!$A$1:$A$1000, $B361),"",TRUE),"")</f>
        <v/>
      </c>
    </row>
    <row r="362" spans="1:14" hidden="1" outlineLevel="1" x14ac:dyDescent="0.4">
      <c r="A362" s="2">
        <v>3</v>
      </c>
      <c r="L362" s="15" t="str">
        <f>IF(OR(COUNTIF(クラス!$A$1:$A$1020, $B362),$B362="",COUNTIF(スキル一覧!$A$1:$A$3500, $B362)), "", "存在しない")</f>
        <v/>
      </c>
      <c r="M362" s="2" t="str">
        <f>IF(COUNTIF($B$1:$C361, $B362), "", "存在しない")</f>
        <v>存在しない</v>
      </c>
      <c r="N362" s="2" t="str">
        <f>IF(AND(A362&lt;&gt;"",L362="存在しない",M362="存在しない"),IF(COUNTIF([1]クラス!$A$1:$A$1000, $B362),"",TRUE),"")</f>
        <v/>
      </c>
    </row>
    <row r="363" spans="1:14" hidden="1" outlineLevel="1" x14ac:dyDescent="0.4">
      <c r="A363" s="2">
        <v>4</v>
      </c>
      <c r="L363" s="15" t="str">
        <f>IF(OR(COUNTIF(クラス!$A$1:$A$1020, $B363),$B363="",COUNTIF(スキル一覧!$A$1:$A$3500, $B363)), "", "存在しない")</f>
        <v/>
      </c>
      <c r="M363" s="2" t="str">
        <f>IF(COUNTIF($B$1:$C362, $B363), "", "存在しない")</f>
        <v>存在しない</v>
      </c>
      <c r="N363" s="2" t="str">
        <f>IF(AND(A363&lt;&gt;"",L363="存在しない",M363="存在しない"),IF(COUNTIF([1]クラス!$A$1:$A$1000, $B363),"",TRUE),"")</f>
        <v/>
      </c>
    </row>
    <row r="364" spans="1:14" hidden="1" outlineLevel="1" x14ac:dyDescent="0.4">
      <c r="A364" s="2">
        <v>5</v>
      </c>
      <c r="L364" s="15" t="str">
        <f>IF(OR(COUNTIF(クラス!$A$1:$A$1020, $B364),$B364="",COUNTIF(スキル一覧!$A$1:$A$3500, $B364)), "", "存在しない")</f>
        <v/>
      </c>
      <c r="M364" s="2" t="str">
        <f>IF(COUNTIF($B$1:$C363, $B364), "", "存在しない")</f>
        <v>存在しない</v>
      </c>
      <c r="N364" s="2" t="str">
        <f>IF(AND(A364&lt;&gt;"",L364="存在しない",M364="存在しない"),IF(COUNTIF([1]クラス!$A$1:$A$1000, $B364),"",TRUE),"")</f>
        <v/>
      </c>
    </row>
    <row r="365" spans="1:14" hidden="1" outlineLevel="1" x14ac:dyDescent="0.4">
      <c r="A365" s="2">
        <v>6</v>
      </c>
      <c r="L365" s="15" t="str">
        <f>IF(OR(COUNTIF(クラス!$A$1:$A$1020, $B365),$B365="",COUNTIF(スキル一覧!$A$1:$A$3500, $B365)), "", "存在しない")</f>
        <v/>
      </c>
      <c r="M365" s="2" t="str">
        <f>IF(COUNTIF($B$1:$C364, $B365), "", "存在しない")</f>
        <v>存在しない</v>
      </c>
      <c r="N365" s="2" t="str">
        <f>IF(AND(A365&lt;&gt;"",L365="存在しない",M365="存在しない"),IF(COUNTIF([1]クラス!$A$1:$A$1000, $B365),"",TRUE),"")</f>
        <v/>
      </c>
    </row>
    <row r="366" spans="1:14" hidden="1" outlineLevel="1" x14ac:dyDescent="0.4">
      <c r="A366" s="2">
        <v>7</v>
      </c>
      <c r="L366" s="15" t="str">
        <f>IF(OR(COUNTIF(クラス!$A$1:$A$1020, $B366),$B366="",COUNTIF(スキル一覧!$A$1:$A$3500, $B366)), "", "存在しない")</f>
        <v/>
      </c>
      <c r="M366" s="2" t="str">
        <f>IF(COUNTIF($B$1:$C365, $B366), "", "存在しない")</f>
        <v>存在しない</v>
      </c>
      <c r="N366" s="2" t="str">
        <f>IF(AND(A366&lt;&gt;"",L366="存在しない",M366="存在しない"),IF(COUNTIF([1]クラス!$A$1:$A$1000, $B366),"",TRUE),"")</f>
        <v/>
      </c>
    </row>
    <row r="367" spans="1:14" hidden="1" outlineLevel="1" x14ac:dyDescent="0.4">
      <c r="A367" s="2">
        <v>8</v>
      </c>
      <c r="L367" s="15" t="str">
        <f>IF(OR(COUNTIF(クラス!$A$1:$A$1020, $B367),$B367="",COUNTIF(スキル一覧!$A$1:$A$3500, $B367)), "", "存在しない")</f>
        <v/>
      </c>
      <c r="M367" s="2" t="str">
        <f>IF(COUNTIF($B$1:$C366, $B367), "", "存在しない")</f>
        <v>存在しない</v>
      </c>
      <c r="N367" s="2" t="str">
        <f>IF(AND(A367&lt;&gt;"",L367="存在しない",M367="存在しない"),IF(COUNTIF([1]クラス!$A$1:$A$1000, $B367),"",TRUE),"")</f>
        <v/>
      </c>
    </row>
    <row r="368" spans="1:14" hidden="1" outlineLevel="1" x14ac:dyDescent="0.4">
      <c r="A368" s="2">
        <v>9</v>
      </c>
      <c r="L368" s="15" t="str">
        <f>IF(OR(COUNTIF(クラス!$A$1:$A$1020, $B368),$B368="",COUNTIF(スキル一覧!$A$1:$A$3500, $B368)), "", "存在しない")</f>
        <v/>
      </c>
      <c r="M368" s="2" t="str">
        <f>IF(COUNTIF($B$1:$C367, $B368), "", "存在しない")</f>
        <v>存在しない</v>
      </c>
      <c r="N368" s="2" t="str">
        <f>IF(AND(A368&lt;&gt;"",L368="存在しない",M368="存在しない"),IF(COUNTIF([1]クラス!$A$1:$A$1000, $B368),"",TRUE),"")</f>
        <v/>
      </c>
    </row>
    <row r="369" spans="1:14" hidden="1" outlineLevel="1" x14ac:dyDescent="0.4">
      <c r="A369" s="2">
        <v>10</v>
      </c>
      <c r="L369" s="15" t="str">
        <f>IF(OR(COUNTIF(クラス!$A$1:$A$1020, $B369),$B369="",COUNTIF(スキル一覧!$A$1:$A$3500, $B369)), "", "存在しない")</f>
        <v/>
      </c>
      <c r="M369" s="2" t="str">
        <f>IF(COUNTIF($B$1:$C368, $B369), "", "存在しない")</f>
        <v>存在しない</v>
      </c>
      <c r="N369" s="2" t="str">
        <f>IF(AND(A369&lt;&gt;"",L369="存在しない",M369="存在しない"),IF(COUNTIF([1]クラス!$A$1:$A$1000, $B369),"",TRUE),"")</f>
        <v/>
      </c>
    </row>
    <row r="370" spans="1:14" hidden="1" outlineLevel="1" x14ac:dyDescent="0.4">
      <c r="L370" s="15" t="str">
        <f>IF(OR(COUNTIF(クラス!$A$1:$A$1020, $B370),$B370="",COUNTIF(スキル一覧!$A$1:$A$3500, $B370)), "", "存在しない")</f>
        <v/>
      </c>
      <c r="M370" s="2" t="str">
        <f>IF(COUNTIF($B$1:$C369, $B370), "", "存在しない")</f>
        <v>存在しない</v>
      </c>
      <c r="N370" s="2" t="str">
        <f>IF(AND(A370&lt;&gt;"",L370="存在しない",M370="存在しない"),IF(COUNTIF([1]クラス!$A$1:$A$1000, $B370),"",TRUE),"")</f>
        <v/>
      </c>
    </row>
    <row r="371" spans="1:14" collapsed="1" x14ac:dyDescent="0.4">
      <c r="L371" s="15" t="str">
        <f>IF(OR(COUNTIF(クラス!$A$1:$A$1020, $B371),$B371="",COUNTIF(スキル一覧!$A$1:$A$3500, $B371)), "", "存在しない")</f>
        <v/>
      </c>
      <c r="M371" s="2" t="str">
        <f>IF(COUNTIF($B$1:$C370, $B371), "", "存在しない")</f>
        <v>存在しない</v>
      </c>
      <c r="N371" s="2" t="str">
        <f>IF(AND(A371&lt;&gt;"",L371="存在しない",M371="存在しない"),IF(COUNTIF([1]クラス!$A$1:$A$1000, $B371),"",TRUE),"")</f>
        <v/>
      </c>
    </row>
    <row r="372" spans="1:14" x14ac:dyDescent="0.4">
      <c r="L372" s="15" t="str">
        <f>IF(OR(COUNTIF(クラス!$A$1:$A$1020, $B372),$B372="",COUNTIF(スキル一覧!$A$1:$A$3500, $B372)), "", "存在しない")</f>
        <v/>
      </c>
      <c r="M372" s="2" t="str">
        <f>IF(COUNTIF($B$1:$C371, $B372), "", "存在しない")</f>
        <v>存在しない</v>
      </c>
      <c r="N372" s="2" t="str">
        <f>IF(AND(A372&lt;&gt;"",L372="存在しない",M372="存在しない"),IF(COUNTIF([1]クラス!$A$1:$A$1000, $B372),"",TRUE),"")</f>
        <v/>
      </c>
    </row>
    <row r="373" spans="1:14" x14ac:dyDescent="0.4">
      <c r="L373" s="15" t="str">
        <f>IF(OR(COUNTIF(クラス!$A$1:$A$1020, $B373),$B373="",COUNTIF(スキル一覧!$A$1:$A$3500, $B373)), "", "存在しない")</f>
        <v/>
      </c>
      <c r="M373" s="2" t="str">
        <f>IF(COUNTIF($B$1:$C372, $B373), "", "存在しない")</f>
        <v>存在しない</v>
      </c>
      <c r="N373" s="2" t="str">
        <f>IF(AND(A373&lt;&gt;"",L373="存在しない",M373="存在しない"),IF(COUNTIF([1]クラス!$A$1:$A$1000, $B373),"",TRUE),"")</f>
        <v/>
      </c>
    </row>
    <row r="374" spans="1:14" x14ac:dyDescent="0.4">
      <c r="L374" s="15" t="str">
        <f>IF(OR(COUNTIF(クラス!$A$1:$A$1020, $B374),$B374="",COUNTIF(スキル一覧!$A$1:$A$3500, $B374)), "", "存在しない")</f>
        <v/>
      </c>
      <c r="M374" s="2" t="str">
        <f>IF(COUNTIF($B$1:$C373, $B374), "", "存在しない")</f>
        <v>存在しない</v>
      </c>
      <c r="N374" s="2" t="str">
        <f>IF(AND(A374&lt;&gt;"",L374="存在しない",M374="存在しない"),IF(COUNTIF([1]クラス!$A$1:$A$1000, $B374),"",TRUE),"")</f>
        <v/>
      </c>
    </row>
    <row r="375" spans="1:14" x14ac:dyDescent="0.4">
      <c r="L375" s="15" t="str">
        <f>IF(OR(COUNTIF(クラス!$A$1:$A$1020, $B375),$B375="",COUNTIF(スキル一覧!$A$1:$A$3500, $B375)), "", "存在しない")</f>
        <v/>
      </c>
      <c r="M375" s="2" t="str">
        <f>IF(COUNTIF($B$1:$C374, $B375), "", "存在しない")</f>
        <v>存在しない</v>
      </c>
      <c r="N375" s="2" t="str">
        <f>IF(AND(A375&lt;&gt;"",L375="存在しない",M375="存在しない"),IF(COUNTIF([1]クラス!$A$1:$A$1000, $B375),"",TRUE),"")</f>
        <v/>
      </c>
    </row>
    <row r="376" spans="1:14" x14ac:dyDescent="0.4">
      <c r="L376" s="15" t="str">
        <f>IF(OR(COUNTIF(クラス!$A$1:$A$1020, $B376),$B376="",COUNTIF(スキル一覧!$A$1:$A$3500, $B376)), "", "存在しない")</f>
        <v/>
      </c>
      <c r="M376" s="2" t="str">
        <f>IF(COUNTIF($B$1:$C375, $B376), "", "存在しない")</f>
        <v>存在しない</v>
      </c>
      <c r="N376" s="2" t="str">
        <f>IF(AND(A376&lt;&gt;"",L376="存在しない",M376="存在しない"),IF(COUNTIF([1]クラス!$A$1:$A$1000, $B376),"",TRUE),"")</f>
        <v/>
      </c>
    </row>
    <row r="377" spans="1:14" x14ac:dyDescent="0.4">
      <c r="L377" s="15" t="str">
        <f>IF(OR(COUNTIF(クラス!$A$1:$A$1020, $B377),$B377="",COUNTIF(スキル一覧!$A$1:$A$3500, $B377)), "", "存在しない")</f>
        <v/>
      </c>
      <c r="M377" s="2" t="str">
        <f>IF(COUNTIF($B$1:$C376, $B377), "", "存在しない")</f>
        <v>存在しない</v>
      </c>
      <c r="N377" s="2" t="str">
        <f>IF(AND(A377&lt;&gt;"",L377="存在しない",M377="存在しない"),IF(COUNTIF([1]クラス!$A$1:$A$1000, $B377),"",TRUE),"")</f>
        <v/>
      </c>
    </row>
    <row r="378" spans="1:14" x14ac:dyDescent="0.4">
      <c r="L378" s="15" t="str">
        <f>IF(OR(COUNTIF(クラス!$A$1:$A$1020, $B378),$B378="",COUNTIF(スキル一覧!$A$1:$A$3500, $B378)), "", "存在しない")</f>
        <v/>
      </c>
      <c r="M378" s="2" t="str">
        <f>IF(COUNTIF($B$1:$C377, $B378), "", "存在しない")</f>
        <v>存在しない</v>
      </c>
      <c r="N378" s="2" t="str">
        <f>IF(AND(A378&lt;&gt;"",L378="存在しない",M378="存在しない"),IF(COUNTIF([1]クラス!$A$1:$A$1000, $B378),"",TRUE),"")</f>
        <v/>
      </c>
    </row>
    <row r="379" spans="1:14" x14ac:dyDescent="0.4">
      <c r="L379" s="15" t="str">
        <f>IF(OR(COUNTIF(クラス!$A$1:$A$1020, $B379),$B379="",COUNTIF(スキル一覧!$A$1:$A$3500, $B379)), "", "存在しない")</f>
        <v/>
      </c>
      <c r="M379" s="2" t="str">
        <f>IF(COUNTIF($B$1:$C378, $B379), "", "存在しない")</f>
        <v>存在しない</v>
      </c>
      <c r="N379" s="2" t="str">
        <f>IF(AND(A379&lt;&gt;"",L379="存在しない",M379="存在しない"),IF(COUNTIF([1]クラス!$A$1:$A$1000, $B379),"",TRUE),"")</f>
        <v/>
      </c>
    </row>
    <row r="380" spans="1:14" x14ac:dyDescent="0.4">
      <c r="L380" s="15" t="str">
        <f>IF(OR(COUNTIF(クラス!$A$1:$A$1020, $B380),$B380="",COUNTIF(スキル一覧!$A$1:$A$3500, $B380)), "", "存在しない")</f>
        <v/>
      </c>
      <c r="M380" s="2" t="str">
        <f>IF(COUNTIF($B$1:$C379, $B380), "", "存在しない")</f>
        <v>存在しない</v>
      </c>
      <c r="N380" s="2" t="str">
        <f>IF(AND(A380&lt;&gt;"",L380="存在しない",M380="存在しない"),IF(COUNTIF([1]クラス!$A$1:$A$1000, $B380),"",TRUE),"")</f>
        <v/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C196-6ACB-43D4-A2AD-35AA78DAEC1F}">
  <dimension ref="A1:BX2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1" sqref="U1"/>
    </sheetView>
  </sheetViews>
  <sheetFormatPr defaultRowHeight="18.75" outlineLevelCol="1" x14ac:dyDescent="0.4"/>
  <cols>
    <col min="1" max="2" width="15.25" customWidth="1"/>
    <col min="3" max="4" width="5.5" bestFit="1" customWidth="1"/>
    <col min="5" max="6" width="5.125" customWidth="1"/>
    <col min="7" max="9" width="5.5" customWidth="1"/>
    <col min="10" max="10" width="6.5" style="17" customWidth="1" collapsed="1"/>
    <col min="11" max="11" width="5.375" style="17" customWidth="1"/>
    <col min="12" max="12" width="4.875" style="17" customWidth="1" collapsed="1"/>
    <col min="13" max="18" width="4.875" style="17" customWidth="1" outlineLevel="1"/>
    <col min="19" max="24" width="4.875" customWidth="1" outlineLevel="1"/>
    <col min="25" max="25" width="5.25" customWidth="1" outlineLevel="1"/>
    <col min="26" max="26" width="7.125" customWidth="1" outlineLevel="1"/>
    <col min="27" max="27" width="4.125" bestFit="1" customWidth="1"/>
    <col min="28" max="33" width="5.25" hidden="1" customWidth="1" outlineLevel="1"/>
    <col min="34" max="34" width="4.25" hidden="1" customWidth="1" outlineLevel="1"/>
    <col min="35" max="35" width="5.25" bestFit="1" customWidth="1" collapsed="1"/>
    <col min="36" max="41" width="5.25" customWidth="1" outlineLevel="1"/>
    <col min="42" max="42" width="7.125" customWidth="1" outlineLevel="1"/>
    <col min="43" max="50" width="5.25" customWidth="1" outlineLevel="1"/>
    <col min="51" max="51" width="4.875" style="17" customWidth="1"/>
    <col min="52" max="57" width="4.875" style="17" customWidth="1" outlineLevel="1"/>
    <col min="58" max="63" width="4.875" customWidth="1" outlineLevel="1"/>
    <col min="64" max="64" width="5" customWidth="1" outlineLevel="1"/>
    <col min="65" max="65" width="6.625" customWidth="1" outlineLevel="1"/>
    <col min="66" max="76" width="4.875" customWidth="1"/>
  </cols>
  <sheetData>
    <row r="1" spans="1:76" s="10" customFormat="1" ht="34.5" customHeight="1" x14ac:dyDescent="0.4">
      <c r="A1" s="10" t="s">
        <v>13</v>
      </c>
      <c r="B1" s="10" t="s">
        <v>15</v>
      </c>
      <c r="C1" s="3" t="s">
        <v>82</v>
      </c>
      <c r="D1" s="4" t="s">
        <v>83</v>
      </c>
      <c r="E1" s="5" t="s">
        <v>84</v>
      </c>
      <c r="F1" s="18" t="s">
        <v>118</v>
      </c>
      <c r="G1" s="24" t="s">
        <v>150</v>
      </c>
      <c r="H1" s="24" t="s">
        <v>151</v>
      </c>
      <c r="I1" s="24" t="s">
        <v>152</v>
      </c>
      <c r="J1" s="21" t="s">
        <v>168</v>
      </c>
      <c r="K1" s="21" t="s">
        <v>206</v>
      </c>
      <c r="L1" s="21" t="s">
        <v>138</v>
      </c>
      <c r="M1" s="21" t="s">
        <v>169</v>
      </c>
      <c r="N1" s="21" t="s">
        <v>139</v>
      </c>
      <c r="O1" s="21" t="s">
        <v>140</v>
      </c>
      <c r="P1" s="21" t="s">
        <v>141</v>
      </c>
      <c r="Q1" s="21" t="s">
        <v>142</v>
      </c>
      <c r="R1" s="21" t="s">
        <v>128</v>
      </c>
      <c r="S1" s="21" t="s">
        <v>143</v>
      </c>
      <c r="T1" s="21" t="s">
        <v>22</v>
      </c>
      <c r="U1" s="21" t="s">
        <v>131</v>
      </c>
      <c r="V1" s="21" t="s">
        <v>109</v>
      </c>
      <c r="W1" s="21" t="s">
        <v>144</v>
      </c>
      <c r="X1" s="21" t="s">
        <v>145</v>
      </c>
      <c r="Y1" s="21" t="s">
        <v>146</v>
      </c>
      <c r="Z1" s="21" t="s">
        <v>147</v>
      </c>
      <c r="AA1" s="22" t="s">
        <v>18</v>
      </c>
      <c r="AB1" s="22" t="s">
        <v>19</v>
      </c>
      <c r="AC1" s="22" t="s">
        <v>20</v>
      </c>
      <c r="AD1" s="22" t="s">
        <v>21</v>
      </c>
      <c r="AE1" s="22" t="s">
        <v>22</v>
      </c>
      <c r="AF1" s="22" t="s">
        <v>23</v>
      </c>
      <c r="AG1" s="22" t="s">
        <v>24</v>
      </c>
      <c r="AH1" s="22" t="s">
        <v>31</v>
      </c>
      <c r="AI1" s="23" t="s">
        <v>0</v>
      </c>
      <c r="AJ1" s="23" t="s">
        <v>1</v>
      </c>
      <c r="AK1" s="23" t="s">
        <v>2</v>
      </c>
      <c r="AL1" s="23" t="s">
        <v>3</v>
      </c>
      <c r="AM1" s="23" t="s">
        <v>4</v>
      </c>
      <c r="AN1" s="23" t="s">
        <v>5</v>
      </c>
      <c r="AO1" s="23" t="s">
        <v>80</v>
      </c>
      <c r="AP1" s="23" t="s">
        <v>6</v>
      </c>
      <c r="AQ1" s="23" t="s">
        <v>7</v>
      </c>
      <c r="AR1" s="23" t="s">
        <v>8</v>
      </c>
      <c r="AS1" s="23" t="s">
        <v>9</v>
      </c>
      <c r="AT1" s="23" t="s">
        <v>10</v>
      </c>
      <c r="AU1" s="23" t="s">
        <v>69</v>
      </c>
      <c r="AV1" s="23" t="s">
        <v>11</v>
      </c>
      <c r="AW1" s="23" t="s">
        <v>70</v>
      </c>
      <c r="AX1" s="23" t="s">
        <v>12</v>
      </c>
      <c r="AY1" s="20" t="s">
        <v>137</v>
      </c>
      <c r="AZ1" s="20" t="s">
        <v>170</v>
      </c>
      <c r="BA1" s="20" t="s">
        <v>124</v>
      </c>
      <c r="BB1" s="20" t="s">
        <v>125</v>
      </c>
      <c r="BC1" s="20" t="s">
        <v>126</v>
      </c>
      <c r="BD1" s="20" t="s">
        <v>127</v>
      </c>
      <c r="BE1" s="20" t="s">
        <v>129</v>
      </c>
      <c r="BF1" s="20" t="s">
        <v>130</v>
      </c>
      <c r="BG1" s="20" t="s">
        <v>132</v>
      </c>
      <c r="BH1" s="20" t="s">
        <v>133</v>
      </c>
      <c r="BI1" s="20" t="s">
        <v>134</v>
      </c>
      <c r="BJ1" s="20" t="s">
        <v>135</v>
      </c>
      <c r="BK1" s="20" t="s">
        <v>136</v>
      </c>
      <c r="BL1" s="20" t="s">
        <v>148</v>
      </c>
      <c r="BM1" s="20" t="s">
        <v>149</v>
      </c>
      <c r="BN1" s="24" t="s">
        <v>153</v>
      </c>
      <c r="BO1" s="24" t="s">
        <v>154</v>
      </c>
      <c r="BP1" s="24" t="s">
        <v>155</v>
      </c>
      <c r="BQ1" s="24" t="s">
        <v>156</v>
      </c>
      <c r="BR1" s="24" t="s">
        <v>157</v>
      </c>
      <c r="BS1" s="24" t="s">
        <v>158</v>
      </c>
      <c r="BT1" s="24" t="s">
        <v>159</v>
      </c>
      <c r="BU1" s="24" t="s">
        <v>160</v>
      </c>
      <c r="BV1" s="24" t="s">
        <v>161</v>
      </c>
      <c r="BW1" s="24" t="s">
        <v>162</v>
      </c>
      <c r="BX1" s="24" t="s">
        <v>163</v>
      </c>
    </row>
    <row r="2" spans="1:76" x14ac:dyDescent="0.4">
      <c r="A2">
        <v>1</v>
      </c>
      <c r="B2">
        <v>2</v>
      </c>
      <c r="C2">
        <v>3</v>
      </c>
      <c r="D2">
        <v>4</v>
      </c>
      <c r="E2">
        <v>8</v>
      </c>
      <c r="F2">
        <v>9</v>
      </c>
      <c r="G2">
        <v>5</v>
      </c>
      <c r="H2">
        <v>6</v>
      </c>
      <c r="I2">
        <v>7</v>
      </c>
      <c r="J2">
        <v>10</v>
      </c>
      <c r="K2"/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6D0E-B8F4-4AA9-A0C5-16AE04F9EEAF}">
  <dimension ref="A1"/>
  <sheetViews>
    <sheetView workbookViewId="0"/>
  </sheetViews>
  <sheetFormatPr defaultRowHeight="18.75" x14ac:dyDescent="0.4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クラス</vt:lpstr>
      <vt:lpstr>説明</vt:lpstr>
      <vt:lpstr>スキル作成</vt:lpstr>
      <vt:lpstr>スキル一覧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syuya kikuti</dc:creator>
  <cp:lastModifiedBy>syuya kikuti</cp:lastModifiedBy>
  <dcterms:created xsi:type="dcterms:W3CDTF">2026-02-28T14:20:31Z</dcterms:created>
  <dcterms:modified xsi:type="dcterms:W3CDTF">2026-03-01T04:37:02Z</dcterms:modified>
</cp:coreProperties>
</file>