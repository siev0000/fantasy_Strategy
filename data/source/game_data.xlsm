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skkt3\ドキュメント\Github\fantasy_Strategy\data\source\"/>
    </mc:Choice>
  </mc:AlternateContent>
  <xr:revisionPtr revIDLastSave="0" documentId="13_ncr:1_{67871F15-9CA5-4DC1-8CC7-0A732C79EA60}" xr6:coauthVersionLast="47" xr6:coauthVersionMax="47" xr10:uidLastSave="{00000000-0000-0000-0000-000000000000}"/>
  <bookViews>
    <workbookView xWindow="720" yWindow="1590" windowWidth="28080" windowHeight="18750" tabRatio="799" xr2:uid="{CD34EA3F-E03D-49D9-9A92-BA0D6A51F991}"/>
  </bookViews>
  <sheets>
    <sheet name="CS" sheetId="3" r:id="rId1"/>
    <sheet name="クラス" sheetId="1" r:id="rId2"/>
    <sheet name="種族" sheetId="26" r:id="rId3"/>
    <sheet name="勢力" sheetId="19" r:id="rId4"/>
    <sheet name="説明" sheetId="2" r:id="rId5"/>
    <sheet name="スキル一覧" sheetId="4" r:id="rId6"/>
    <sheet name="範囲" sheetId="6" r:id="rId7"/>
    <sheet name="効果" sheetId="7" r:id="rId8"/>
    <sheet name="地形" sheetId="11" r:id="rId9"/>
    <sheet name="出現敵" sheetId="18" r:id="rId10"/>
    <sheet name="災害" sheetId="8" r:id="rId11"/>
    <sheet name="都市基本データ" sheetId="16" r:id="rId12"/>
    <sheet name="都市" sheetId="13" r:id="rId13"/>
    <sheet name="外交姿勢" sheetId="12" r:id="rId14"/>
    <sheet name="組織" sheetId="10" r:id="rId15"/>
    <sheet name="体制" sheetId="9" r:id="rId16"/>
    <sheet name="施設" sheetId="15" r:id="rId17"/>
    <sheet name="画面" sheetId="23" r:id="rId18"/>
    <sheet name="研究" sheetId="17" r:id="rId19"/>
    <sheet name="付与" sheetId="20" r:id="rId20"/>
    <sheet name="消費量" sheetId="22" r:id="rId21"/>
    <sheet name="装備" sheetId="14" r:id="rId22"/>
  </sheets>
  <definedNames>
    <definedName name="_xlnm._FilterDatabase" localSheetId="0" hidden="1">CS!$A$4:$T$782</definedName>
    <definedName name="_xlnm._FilterDatabase" localSheetId="5" hidden="1">スキル一覧!$A$3:$CM$100</definedName>
    <definedName name="_xlpm.baseCost" hidden="1" xlm="1">#NAME?</definedName>
    <definedName name="_xlpm.baseLv" hidden="1" xlm="1">#NAME?</definedName>
    <definedName name="_xlpm.col" hidden="1" xlm="1">#NAME?</definedName>
    <definedName name="_xlpm.d" hidden="1" xlm="1">#NAME?</definedName>
    <definedName name="_xlpm.dOK" hidden="1" xlm="1">#NAME?</definedName>
    <definedName name="_xlpm.e" hidden="1" xlm="1">#NAME?</definedName>
    <definedName name="_xlpm.eOK" hidden="1" xlm="1">#NAME?</definedName>
    <definedName name="_xlpm.faithCost" hidden="1" xlm="1">#NAME?</definedName>
    <definedName name="_xlpm.faithLv" hidden="1" xlm="1">#NAME?</definedName>
    <definedName name="_xlpm.h" hidden="1" xlm="1">#NAME?</definedName>
    <definedName name="_xlpm.magicCost" hidden="1" xlm="1">#NAME?</definedName>
    <definedName name="_xlpm.magicLv" hidden="1" xlm="1">#NAME?</definedName>
    <definedName name="_xlpm.v"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3" i="3" l="1"/>
  <c r="H49" i="3"/>
  <c r="H50" i="3"/>
  <c r="H51" i="3"/>
  <c r="H52" i="3"/>
  <c r="H54" i="3"/>
  <c r="H55" i="3"/>
  <c r="H56" i="3"/>
  <c r="H57" i="3"/>
  <c r="H58" i="3"/>
  <c r="H59" i="3"/>
  <c r="H60" i="3"/>
  <c r="H61" i="3"/>
  <c r="H62" i="3"/>
  <c r="H63" i="3"/>
  <c r="H48" i="3"/>
  <c r="B57" i="3"/>
  <c r="B58" i="3"/>
  <c r="J58" i="3"/>
  <c r="M58" i="3"/>
  <c r="B59" i="3"/>
  <c r="J59" i="3"/>
  <c r="B60" i="3"/>
  <c r="J60" i="3"/>
  <c r="B61" i="3"/>
  <c r="J61" i="3"/>
  <c r="B62" i="3"/>
  <c r="J62" i="3"/>
  <c r="B63" i="3"/>
  <c r="J63" i="3"/>
  <c r="BF54" i="1"/>
  <c r="BE54" i="1"/>
  <c r="BD54" i="1"/>
  <c r="BC54" i="1"/>
  <c r="BB54" i="1"/>
  <c r="BA54" i="1"/>
  <c r="AZ54" i="1"/>
  <c r="AY54" i="1"/>
  <c r="AX54" i="1"/>
  <c r="D54" i="1"/>
  <c r="B49" i="3"/>
  <c r="B50" i="3"/>
  <c r="B51" i="3"/>
  <c r="B52" i="3"/>
  <c r="B53" i="3"/>
  <c r="B54" i="3"/>
  <c r="B55" i="3"/>
  <c r="B56" i="3"/>
  <c r="B48" i="3"/>
  <c r="J71" i="3"/>
  <c r="J70" i="3"/>
  <c r="J69" i="3"/>
  <c r="J68" i="3"/>
  <c r="J67" i="3"/>
  <c r="J66" i="3"/>
  <c r="J65" i="3"/>
  <c r="J64" i="3"/>
  <c r="J57" i="3"/>
  <c r="J56" i="3"/>
  <c r="J55" i="3"/>
  <c r="J54" i="3"/>
  <c r="J53" i="3"/>
  <c r="J52" i="3"/>
  <c r="J51" i="3"/>
  <c r="J50" i="3"/>
  <c r="J49" i="3"/>
  <c r="J48" i="3"/>
  <c r="J47" i="3"/>
  <c r="C47" i="3"/>
  <c r="H679" i="3"/>
  <c r="H666" i="3"/>
  <c r="H653" i="3"/>
  <c r="H640" i="3"/>
  <c r="H627" i="3"/>
  <c r="H614" i="3"/>
  <c r="H522" i="3"/>
  <c r="H509" i="3"/>
  <c r="H483" i="3"/>
  <c r="H470" i="3"/>
  <c r="BJ17" i="11"/>
  <c r="BJ16" i="11"/>
  <c r="BJ11" i="11"/>
  <c r="BJ10" i="11"/>
  <c r="BJ9" i="11"/>
  <c r="BJ7" i="11"/>
  <c r="BJ6" i="11"/>
  <c r="BJ5" i="11"/>
  <c r="BJ4" i="11"/>
  <c r="BJ3" i="11"/>
  <c r="BJ2" i="11"/>
  <c r="G5" i="4"/>
  <c r="G6" i="4"/>
  <c r="G7" i="4"/>
  <c r="G8" i="4"/>
  <c r="G9" i="4"/>
  <c r="G10" i="4"/>
  <c r="G4" i="4"/>
  <c r="F4" i="4"/>
  <c r="H4" i="4"/>
  <c r="C73" i="3"/>
  <c r="J112" i="3"/>
  <c r="J111" i="3"/>
  <c r="J110" i="3"/>
  <c r="J109" i="3"/>
  <c r="J108" i="3"/>
  <c r="J107" i="3"/>
  <c r="J106" i="3"/>
  <c r="J120" i="3"/>
  <c r="J119" i="3"/>
  <c r="J118" i="3"/>
  <c r="J117" i="3"/>
  <c r="J116" i="3"/>
  <c r="J115" i="3"/>
  <c r="J114" i="3"/>
  <c r="J113" i="3"/>
  <c r="J73" i="3"/>
  <c r="AX21" i="1"/>
  <c r="AY21" i="1"/>
  <c r="AZ21" i="1"/>
  <c r="BA21" i="1"/>
  <c r="BB21" i="1"/>
  <c r="BC21" i="1"/>
  <c r="BD21" i="1"/>
  <c r="BE21" i="1"/>
  <c r="BF21" i="1"/>
  <c r="BG21" i="1"/>
  <c r="AX28" i="1"/>
  <c r="AY28" i="1"/>
  <c r="AZ28" i="1"/>
  <c r="BA28" i="1"/>
  <c r="BB28" i="1"/>
  <c r="BC28" i="1"/>
  <c r="BD28" i="1"/>
  <c r="BE28" i="1"/>
  <c r="BF28" i="1"/>
  <c r="BG28" i="1"/>
  <c r="AX32" i="1"/>
  <c r="AY32" i="1"/>
  <c r="AZ32" i="1"/>
  <c r="BA32" i="1"/>
  <c r="BB32" i="1"/>
  <c r="BC32" i="1"/>
  <c r="BD32" i="1"/>
  <c r="BE32" i="1"/>
  <c r="BF32" i="1"/>
  <c r="BG32" i="1"/>
  <c r="AX36" i="1"/>
  <c r="AY36" i="1"/>
  <c r="AZ36" i="1"/>
  <c r="BA36" i="1"/>
  <c r="BB36" i="1"/>
  <c r="BC36" i="1"/>
  <c r="BD36" i="1"/>
  <c r="BE36" i="1"/>
  <c r="BF36" i="1"/>
  <c r="BG36" i="1"/>
  <c r="AX37" i="1"/>
  <c r="AY37" i="1"/>
  <c r="AZ37" i="1"/>
  <c r="BA37" i="1"/>
  <c r="BB37" i="1"/>
  <c r="BC37" i="1"/>
  <c r="BD37" i="1"/>
  <c r="BE37" i="1"/>
  <c r="BF37" i="1"/>
  <c r="BG37" i="1"/>
  <c r="AX38" i="1"/>
  <c r="AY38" i="1"/>
  <c r="AZ38" i="1"/>
  <c r="BA38" i="1"/>
  <c r="BB38" i="1"/>
  <c r="BC38" i="1"/>
  <c r="BD38" i="1"/>
  <c r="BE38" i="1"/>
  <c r="BF38" i="1"/>
  <c r="BG38" i="1"/>
  <c r="AX39" i="1"/>
  <c r="AY39" i="1"/>
  <c r="AZ39" i="1"/>
  <c r="BA39" i="1"/>
  <c r="BB39" i="1"/>
  <c r="BC39" i="1"/>
  <c r="BD39" i="1"/>
  <c r="BE39" i="1"/>
  <c r="BF39" i="1"/>
  <c r="BG39" i="1"/>
  <c r="AX40" i="1"/>
  <c r="AY40" i="1"/>
  <c r="AZ40" i="1"/>
  <c r="BA40" i="1"/>
  <c r="BB40" i="1"/>
  <c r="BC40" i="1"/>
  <c r="BD40" i="1"/>
  <c r="BE40" i="1"/>
  <c r="BF40" i="1"/>
  <c r="BG40" i="1"/>
  <c r="AX41" i="1"/>
  <c r="AY41" i="1"/>
  <c r="AZ41" i="1"/>
  <c r="BA41" i="1"/>
  <c r="BB41" i="1"/>
  <c r="BC41" i="1"/>
  <c r="BD41" i="1"/>
  <c r="BE41" i="1"/>
  <c r="BF41" i="1"/>
  <c r="BG41" i="1"/>
  <c r="AX47" i="1"/>
  <c r="AY47" i="1"/>
  <c r="AZ47" i="1"/>
  <c r="BA47" i="1"/>
  <c r="BB47" i="1"/>
  <c r="BC47" i="1"/>
  <c r="BD47" i="1"/>
  <c r="BE47" i="1"/>
  <c r="BF47" i="1"/>
  <c r="BG47" i="1"/>
  <c r="AX48" i="1"/>
  <c r="AY48" i="1"/>
  <c r="AZ48" i="1"/>
  <c r="BA48" i="1"/>
  <c r="BB48" i="1"/>
  <c r="BC48" i="1"/>
  <c r="BD48" i="1"/>
  <c r="BE48" i="1"/>
  <c r="BF48" i="1"/>
  <c r="BG48" i="1"/>
  <c r="AX49" i="1"/>
  <c r="AY49" i="1"/>
  <c r="AZ49" i="1"/>
  <c r="BA49" i="1"/>
  <c r="BB49" i="1"/>
  <c r="BC49" i="1"/>
  <c r="BD49" i="1"/>
  <c r="BE49" i="1"/>
  <c r="BF49" i="1"/>
  <c r="BG49" i="1"/>
  <c r="AX50" i="1"/>
  <c r="AY50" i="1"/>
  <c r="AZ50" i="1"/>
  <c r="BA50" i="1"/>
  <c r="BB50" i="1"/>
  <c r="BC50" i="1"/>
  <c r="BD50" i="1"/>
  <c r="BE50" i="1"/>
  <c r="BF50" i="1"/>
  <c r="BG50" i="1"/>
  <c r="AX51" i="1"/>
  <c r="AY51" i="1"/>
  <c r="AZ51" i="1"/>
  <c r="BA51" i="1"/>
  <c r="BB51" i="1"/>
  <c r="BC51" i="1"/>
  <c r="BD51" i="1"/>
  <c r="BE51" i="1"/>
  <c r="BF51" i="1"/>
  <c r="BG51" i="1"/>
  <c r="AX52" i="1"/>
  <c r="AY52" i="1"/>
  <c r="AZ52" i="1"/>
  <c r="BA52" i="1"/>
  <c r="BB52" i="1"/>
  <c r="BC52" i="1"/>
  <c r="BD52" i="1"/>
  <c r="BE52" i="1"/>
  <c r="BF52" i="1"/>
  <c r="BG52" i="1"/>
  <c r="AX53" i="1"/>
  <c r="AY53" i="1"/>
  <c r="AZ53" i="1"/>
  <c r="BA53" i="1"/>
  <c r="BB53" i="1"/>
  <c r="BC53" i="1"/>
  <c r="BD53" i="1"/>
  <c r="BE53" i="1"/>
  <c r="BF53" i="1"/>
  <c r="BG53" i="1"/>
  <c r="AX55" i="1"/>
  <c r="AY55" i="1"/>
  <c r="AZ55" i="1"/>
  <c r="BA55" i="1"/>
  <c r="BB55" i="1"/>
  <c r="BC55" i="1"/>
  <c r="BD55" i="1"/>
  <c r="BE55" i="1"/>
  <c r="BF55" i="1"/>
  <c r="BG55" i="1"/>
  <c r="AX59" i="1"/>
  <c r="AY59" i="1"/>
  <c r="AZ59" i="1"/>
  <c r="BA59" i="1"/>
  <c r="BB59" i="1"/>
  <c r="BC59" i="1"/>
  <c r="BD59" i="1"/>
  <c r="BE59" i="1"/>
  <c r="BF59" i="1"/>
  <c r="BG59" i="1"/>
  <c r="AX63" i="1"/>
  <c r="AY63" i="1"/>
  <c r="AZ63" i="1"/>
  <c r="BA63" i="1"/>
  <c r="BB63" i="1"/>
  <c r="BC63" i="1"/>
  <c r="BD63" i="1"/>
  <c r="BE63" i="1"/>
  <c r="BF63" i="1"/>
  <c r="BG63" i="1"/>
  <c r="AX67" i="1"/>
  <c r="AY67" i="1"/>
  <c r="AZ67" i="1"/>
  <c r="BA67" i="1"/>
  <c r="BB67" i="1"/>
  <c r="BC67" i="1"/>
  <c r="BD67" i="1"/>
  <c r="BE67" i="1"/>
  <c r="BF67" i="1"/>
  <c r="BG67" i="1"/>
  <c r="AX71" i="1"/>
  <c r="AY71" i="1"/>
  <c r="AZ71" i="1"/>
  <c r="BA71" i="1"/>
  <c r="BB71" i="1"/>
  <c r="BC71" i="1"/>
  <c r="BD71" i="1"/>
  <c r="BE71" i="1"/>
  <c r="BF71" i="1"/>
  <c r="BG71" i="1"/>
  <c r="AX72" i="1"/>
  <c r="AY72" i="1"/>
  <c r="AZ72" i="1"/>
  <c r="BA72" i="1"/>
  <c r="BB72" i="1"/>
  <c r="BC72" i="1"/>
  <c r="BD72" i="1"/>
  <c r="BE72" i="1"/>
  <c r="BF72" i="1"/>
  <c r="BG72" i="1"/>
  <c r="AX73" i="1"/>
  <c r="AY73" i="1"/>
  <c r="AZ73" i="1"/>
  <c r="BA73" i="1"/>
  <c r="BB73" i="1"/>
  <c r="BC73" i="1"/>
  <c r="BD73" i="1"/>
  <c r="BE73" i="1"/>
  <c r="BF73" i="1"/>
  <c r="BG73" i="1"/>
  <c r="AX75" i="1"/>
  <c r="AY75" i="1"/>
  <c r="AZ75" i="1"/>
  <c r="BA75" i="1"/>
  <c r="BB75" i="1"/>
  <c r="BC75" i="1"/>
  <c r="BD75" i="1"/>
  <c r="BE75" i="1"/>
  <c r="BF75" i="1"/>
  <c r="BG75" i="1"/>
  <c r="AX76" i="1"/>
  <c r="AY76" i="1"/>
  <c r="AZ76" i="1"/>
  <c r="BA76" i="1"/>
  <c r="BB76" i="1"/>
  <c r="BC76" i="1"/>
  <c r="BD76" i="1"/>
  <c r="BE76" i="1"/>
  <c r="BF76" i="1"/>
  <c r="BG76" i="1"/>
  <c r="AX77" i="1"/>
  <c r="AY77" i="1"/>
  <c r="AZ77" i="1"/>
  <c r="BA77" i="1"/>
  <c r="BB77" i="1"/>
  <c r="BC77" i="1"/>
  <c r="BD77" i="1"/>
  <c r="BE77" i="1"/>
  <c r="BF77" i="1"/>
  <c r="BG77" i="1"/>
  <c r="AX78" i="1"/>
  <c r="AY78" i="1"/>
  <c r="AZ78" i="1"/>
  <c r="BA78" i="1"/>
  <c r="BB78" i="1"/>
  <c r="BC78" i="1"/>
  <c r="BD78" i="1"/>
  <c r="BE78" i="1"/>
  <c r="BF78" i="1"/>
  <c r="BG78" i="1"/>
  <c r="AX79" i="1"/>
  <c r="AY79" i="1"/>
  <c r="AZ79" i="1"/>
  <c r="BA79" i="1"/>
  <c r="BB79" i="1"/>
  <c r="BC79" i="1"/>
  <c r="BD79" i="1"/>
  <c r="BE79" i="1"/>
  <c r="BF79" i="1"/>
  <c r="BG79" i="1"/>
  <c r="AX86" i="1"/>
  <c r="AY86" i="1"/>
  <c r="AZ86" i="1"/>
  <c r="BA86" i="1"/>
  <c r="BB86" i="1"/>
  <c r="BC86" i="1"/>
  <c r="BD86" i="1"/>
  <c r="BE86" i="1"/>
  <c r="BF86" i="1"/>
  <c r="BG86" i="1"/>
  <c r="AX87" i="1"/>
  <c r="AY87" i="1"/>
  <c r="AZ87" i="1"/>
  <c r="BA87" i="1"/>
  <c r="BB87" i="1"/>
  <c r="BC87" i="1"/>
  <c r="BD87" i="1"/>
  <c r="BE87" i="1"/>
  <c r="BF87" i="1"/>
  <c r="BG87" i="1"/>
  <c r="AX94" i="1"/>
  <c r="AY94" i="1"/>
  <c r="AZ94" i="1"/>
  <c r="BA94" i="1"/>
  <c r="BB94" i="1"/>
  <c r="BC94" i="1"/>
  <c r="BD94" i="1"/>
  <c r="BE94" i="1"/>
  <c r="BF94" i="1"/>
  <c r="BG94" i="1"/>
  <c r="AX95" i="1"/>
  <c r="AY95" i="1"/>
  <c r="AZ95" i="1"/>
  <c r="BA95" i="1"/>
  <c r="BB95" i="1"/>
  <c r="BC95" i="1"/>
  <c r="BD95" i="1"/>
  <c r="BE95" i="1"/>
  <c r="BF95" i="1"/>
  <c r="BG95" i="1"/>
  <c r="AX97" i="1"/>
  <c r="AY97" i="1"/>
  <c r="AZ97" i="1"/>
  <c r="BA97" i="1"/>
  <c r="BB97" i="1"/>
  <c r="BC97" i="1"/>
  <c r="BD97" i="1"/>
  <c r="BE97" i="1"/>
  <c r="BF97" i="1"/>
  <c r="BG97" i="1"/>
  <c r="AX98" i="1"/>
  <c r="AY98" i="1"/>
  <c r="AZ98" i="1"/>
  <c r="BA98" i="1"/>
  <c r="BB98" i="1"/>
  <c r="BC98" i="1"/>
  <c r="BD98" i="1"/>
  <c r="BE98" i="1"/>
  <c r="BF98" i="1"/>
  <c r="BG98" i="1"/>
  <c r="AX99" i="1"/>
  <c r="AY99" i="1"/>
  <c r="AZ99" i="1"/>
  <c r="BA99" i="1"/>
  <c r="BB99" i="1"/>
  <c r="BC99" i="1"/>
  <c r="BD99" i="1"/>
  <c r="BE99" i="1"/>
  <c r="BF99" i="1"/>
  <c r="BG99" i="1"/>
  <c r="AX100" i="1"/>
  <c r="AY100" i="1"/>
  <c r="AZ100" i="1"/>
  <c r="BA100" i="1"/>
  <c r="BB100" i="1"/>
  <c r="BC100" i="1"/>
  <c r="BD100" i="1"/>
  <c r="BE100" i="1"/>
  <c r="BF100" i="1"/>
  <c r="BG100" i="1"/>
  <c r="AX101" i="1"/>
  <c r="AY101" i="1"/>
  <c r="AZ101" i="1"/>
  <c r="BA101" i="1"/>
  <c r="BB101" i="1"/>
  <c r="BC101" i="1"/>
  <c r="BD101" i="1"/>
  <c r="BE101" i="1"/>
  <c r="BF101" i="1"/>
  <c r="BG101" i="1"/>
  <c r="AX102" i="1"/>
  <c r="AY102" i="1"/>
  <c r="AZ102" i="1"/>
  <c r="BA102" i="1"/>
  <c r="BB102" i="1"/>
  <c r="BC102" i="1"/>
  <c r="BD102" i="1"/>
  <c r="BE102" i="1"/>
  <c r="BF102" i="1"/>
  <c r="BG102" i="1"/>
  <c r="AX103" i="1"/>
  <c r="AY103" i="1"/>
  <c r="AZ103" i="1"/>
  <c r="BA103" i="1"/>
  <c r="BB103" i="1"/>
  <c r="BC103" i="1"/>
  <c r="BD103" i="1"/>
  <c r="BE103" i="1"/>
  <c r="BF103" i="1"/>
  <c r="BG103" i="1"/>
  <c r="AX104" i="1"/>
  <c r="AY104" i="1"/>
  <c r="AZ104" i="1"/>
  <c r="BA104" i="1"/>
  <c r="BB104" i="1"/>
  <c r="BC104" i="1"/>
  <c r="BD104" i="1"/>
  <c r="BE104" i="1"/>
  <c r="BF104" i="1"/>
  <c r="BG104" i="1"/>
  <c r="AX105" i="1"/>
  <c r="AY105" i="1"/>
  <c r="AZ105" i="1"/>
  <c r="BA105" i="1"/>
  <c r="BB105" i="1"/>
  <c r="BC105" i="1"/>
  <c r="BD105" i="1"/>
  <c r="BE105" i="1"/>
  <c r="BF105" i="1"/>
  <c r="BG105" i="1"/>
  <c r="AX106" i="1"/>
  <c r="AY106" i="1"/>
  <c r="AZ106" i="1"/>
  <c r="BA106" i="1"/>
  <c r="BB106" i="1"/>
  <c r="BC106" i="1"/>
  <c r="BD106" i="1"/>
  <c r="BE106" i="1"/>
  <c r="BF106" i="1"/>
  <c r="BG106" i="1"/>
  <c r="AX107" i="1"/>
  <c r="AY107" i="1"/>
  <c r="AZ107" i="1"/>
  <c r="BA107" i="1"/>
  <c r="BB107" i="1"/>
  <c r="BC107" i="1"/>
  <c r="BD107" i="1"/>
  <c r="BE107" i="1"/>
  <c r="BF107" i="1"/>
  <c r="BG107" i="1"/>
  <c r="AX108" i="1"/>
  <c r="AY108" i="1"/>
  <c r="AZ108" i="1"/>
  <c r="BA108" i="1"/>
  <c r="BB108" i="1"/>
  <c r="BC108" i="1"/>
  <c r="BD108" i="1"/>
  <c r="BE108" i="1"/>
  <c r="BF108" i="1"/>
  <c r="BG108" i="1"/>
  <c r="AX109" i="1"/>
  <c r="AY109" i="1"/>
  <c r="AZ109" i="1"/>
  <c r="BA109" i="1"/>
  <c r="BB109" i="1"/>
  <c r="BC109" i="1"/>
  <c r="BD109" i="1"/>
  <c r="BE109" i="1"/>
  <c r="BF109" i="1"/>
  <c r="BG109" i="1"/>
  <c r="AX110" i="1"/>
  <c r="AY110" i="1"/>
  <c r="AZ110" i="1"/>
  <c r="BA110" i="1"/>
  <c r="BB110" i="1"/>
  <c r="BC110" i="1"/>
  <c r="BD110" i="1"/>
  <c r="BE110" i="1"/>
  <c r="BF110" i="1"/>
  <c r="BG110" i="1"/>
  <c r="AX111" i="1"/>
  <c r="AY111" i="1"/>
  <c r="AZ111" i="1"/>
  <c r="BA111" i="1"/>
  <c r="BB111" i="1"/>
  <c r="BC111" i="1"/>
  <c r="BD111" i="1"/>
  <c r="BE111" i="1"/>
  <c r="BF111" i="1"/>
  <c r="BG111" i="1"/>
  <c r="AX112" i="1"/>
  <c r="AY112" i="1"/>
  <c r="AZ112" i="1"/>
  <c r="BA112" i="1"/>
  <c r="BB112" i="1"/>
  <c r="BC112" i="1"/>
  <c r="BD112" i="1"/>
  <c r="BE112" i="1"/>
  <c r="BF112" i="1"/>
  <c r="BG112" i="1"/>
  <c r="AX113" i="1"/>
  <c r="AY113" i="1"/>
  <c r="AZ113" i="1"/>
  <c r="BA113" i="1"/>
  <c r="BB113" i="1"/>
  <c r="BC113" i="1"/>
  <c r="BD113" i="1"/>
  <c r="BE113" i="1"/>
  <c r="BF113" i="1"/>
  <c r="BG113" i="1"/>
  <c r="AX114" i="1"/>
  <c r="AY114" i="1"/>
  <c r="AZ114" i="1"/>
  <c r="BA114" i="1"/>
  <c r="BB114" i="1"/>
  <c r="BC114" i="1"/>
  <c r="BD114" i="1"/>
  <c r="BE114" i="1"/>
  <c r="BF114" i="1"/>
  <c r="BG114" i="1"/>
  <c r="AX115" i="1"/>
  <c r="AY115" i="1"/>
  <c r="AZ115" i="1"/>
  <c r="BA115" i="1"/>
  <c r="BB115" i="1"/>
  <c r="BC115" i="1"/>
  <c r="BD115" i="1"/>
  <c r="BE115" i="1"/>
  <c r="BF115" i="1"/>
  <c r="BG115" i="1"/>
  <c r="AX116" i="1"/>
  <c r="AY116" i="1"/>
  <c r="AZ116" i="1"/>
  <c r="BA116" i="1"/>
  <c r="BB116" i="1"/>
  <c r="BC116" i="1"/>
  <c r="BD116" i="1"/>
  <c r="BE116" i="1"/>
  <c r="BF116" i="1"/>
  <c r="BG116" i="1"/>
  <c r="AX117" i="1"/>
  <c r="AY117" i="1"/>
  <c r="AZ117" i="1"/>
  <c r="BA117" i="1"/>
  <c r="BB117" i="1"/>
  <c r="BC117" i="1"/>
  <c r="BD117" i="1"/>
  <c r="BE117" i="1"/>
  <c r="BF117" i="1"/>
  <c r="BG117" i="1"/>
  <c r="AX118" i="1"/>
  <c r="AY118" i="1"/>
  <c r="AZ118" i="1"/>
  <c r="BA118" i="1"/>
  <c r="BB118" i="1"/>
  <c r="BC118" i="1"/>
  <c r="BD118" i="1"/>
  <c r="BE118" i="1"/>
  <c r="BF118" i="1"/>
  <c r="BG118" i="1"/>
  <c r="AX119" i="1"/>
  <c r="AY119" i="1"/>
  <c r="AZ119" i="1"/>
  <c r="BA119" i="1"/>
  <c r="BB119" i="1"/>
  <c r="BC119" i="1"/>
  <c r="BD119" i="1"/>
  <c r="BE119" i="1"/>
  <c r="BF119" i="1"/>
  <c r="BG119" i="1"/>
  <c r="AX120" i="1"/>
  <c r="AY120" i="1"/>
  <c r="AZ120" i="1"/>
  <c r="BA120" i="1"/>
  <c r="BB120" i="1"/>
  <c r="BC120" i="1"/>
  <c r="BD120" i="1"/>
  <c r="BE120" i="1"/>
  <c r="BF120" i="1"/>
  <c r="BG120" i="1"/>
  <c r="AX121" i="1"/>
  <c r="AY121" i="1"/>
  <c r="AZ121" i="1"/>
  <c r="BA121" i="1"/>
  <c r="BB121" i="1"/>
  <c r="BC121" i="1"/>
  <c r="BD121" i="1"/>
  <c r="BE121" i="1"/>
  <c r="BF121" i="1"/>
  <c r="BG121" i="1"/>
  <c r="AX122" i="1"/>
  <c r="AY122" i="1"/>
  <c r="AZ122" i="1"/>
  <c r="BA122" i="1"/>
  <c r="BB122" i="1"/>
  <c r="BC122" i="1"/>
  <c r="BD122" i="1"/>
  <c r="BE122" i="1"/>
  <c r="BF122" i="1"/>
  <c r="BG122" i="1"/>
  <c r="AX123" i="1"/>
  <c r="AY123" i="1"/>
  <c r="AZ123" i="1"/>
  <c r="BA123" i="1"/>
  <c r="BB123" i="1"/>
  <c r="BC123" i="1"/>
  <c r="BD123" i="1"/>
  <c r="BE123" i="1"/>
  <c r="BF123" i="1"/>
  <c r="BG123" i="1"/>
  <c r="AX124" i="1"/>
  <c r="AY124" i="1"/>
  <c r="AZ124" i="1"/>
  <c r="BA124" i="1"/>
  <c r="BB124" i="1"/>
  <c r="BC124" i="1"/>
  <c r="BD124" i="1"/>
  <c r="BE124" i="1"/>
  <c r="BF124" i="1"/>
  <c r="BG124" i="1"/>
  <c r="AX125" i="1"/>
  <c r="AY125" i="1"/>
  <c r="AZ125" i="1"/>
  <c r="BA125" i="1"/>
  <c r="BB125" i="1"/>
  <c r="BC125" i="1"/>
  <c r="BD125" i="1"/>
  <c r="BE125" i="1"/>
  <c r="BF125" i="1"/>
  <c r="BG125" i="1"/>
  <c r="AX126" i="1"/>
  <c r="AY126" i="1"/>
  <c r="AZ126" i="1"/>
  <c r="BA126" i="1"/>
  <c r="BB126" i="1"/>
  <c r="BC126" i="1"/>
  <c r="BD126" i="1"/>
  <c r="BE126" i="1"/>
  <c r="BF126" i="1"/>
  <c r="BG126" i="1"/>
  <c r="AX127" i="1"/>
  <c r="AY127" i="1"/>
  <c r="AZ127" i="1"/>
  <c r="BA127" i="1"/>
  <c r="BB127" i="1"/>
  <c r="BC127" i="1"/>
  <c r="BD127" i="1"/>
  <c r="BE127" i="1"/>
  <c r="BF127" i="1"/>
  <c r="BG127" i="1"/>
  <c r="AX128" i="1"/>
  <c r="AY128" i="1"/>
  <c r="AZ128" i="1"/>
  <c r="BA128" i="1"/>
  <c r="BB128" i="1"/>
  <c r="BC128" i="1"/>
  <c r="BD128" i="1"/>
  <c r="BE128" i="1"/>
  <c r="BF128" i="1"/>
  <c r="BG128" i="1"/>
  <c r="AX129" i="1"/>
  <c r="AY129" i="1"/>
  <c r="AZ129" i="1"/>
  <c r="BA129" i="1"/>
  <c r="BB129" i="1"/>
  <c r="BC129" i="1"/>
  <c r="BD129" i="1"/>
  <c r="BE129" i="1"/>
  <c r="BF129" i="1"/>
  <c r="BG129" i="1"/>
  <c r="AX130" i="1"/>
  <c r="AY130" i="1"/>
  <c r="AZ130" i="1"/>
  <c r="BA130" i="1"/>
  <c r="BB130" i="1"/>
  <c r="BC130" i="1"/>
  <c r="BD130" i="1"/>
  <c r="BE130" i="1"/>
  <c r="BF130" i="1"/>
  <c r="BG130" i="1"/>
  <c r="AX131" i="1"/>
  <c r="AY131" i="1"/>
  <c r="AZ131" i="1"/>
  <c r="BA131" i="1"/>
  <c r="BB131" i="1"/>
  <c r="BC131" i="1"/>
  <c r="BD131" i="1"/>
  <c r="BE131" i="1"/>
  <c r="BF131" i="1"/>
  <c r="BG131" i="1"/>
  <c r="AX132" i="1"/>
  <c r="AY132" i="1"/>
  <c r="AZ132" i="1"/>
  <c r="BA132" i="1"/>
  <c r="BB132" i="1"/>
  <c r="BC132" i="1"/>
  <c r="BD132" i="1"/>
  <c r="BE132" i="1"/>
  <c r="BF132" i="1"/>
  <c r="BG132" i="1"/>
  <c r="AX133" i="1"/>
  <c r="AY133" i="1"/>
  <c r="AZ133" i="1"/>
  <c r="BA133" i="1"/>
  <c r="BB133" i="1"/>
  <c r="BC133" i="1"/>
  <c r="BD133" i="1"/>
  <c r="BE133" i="1"/>
  <c r="BF133" i="1"/>
  <c r="BG133" i="1"/>
  <c r="AX134" i="1"/>
  <c r="AY134" i="1"/>
  <c r="AZ134" i="1"/>
  <c r="BA134" i="1"/>
  <c r="BB134" i="1"/>
  <c r="BC134" i="1"/>
  <c r="BD134" i="1"/>
  <c r="BE134" i="1"/>
  <c r="BF134" i="1"/>
  <c r="BG134" i="1"/>
  <c r="AX135" i="1"/>
  <c r="AY135" i="1"/>
  <c r="AZ135" i="1"/>
  <c r="BA135" i="1"/>
  <c r="BB135" i="1"/>
  <c r="BC135" i="1"/>
  <c r="BD135" i="1"/>
  <c r="BE135" i="1"/>
  <c r="BF135" i="1"/>
  <c r="BG135" i="1"/>
  <c r="AX136" i="1"/>
  <c r="AY136" i="1"/>
  <c r="AZ136" i="1"/>
  <c r="BA136" i="1"/>
  <c r="BB136" i="1"/>
  <c r="BC136" i="1"/>
  <c r="BD136" i="1"/>
  <c r="BE136" i="1"/>
  <c r="BF136" i="1"/>
  <c r="BG136" i="1"/>
  <c r="AX137" i="1"/>
  <c r="AY137" i="1"/>
  <c r="AZ137" i="1"/>
  <c r="BA137" i="1"/>
  <c r="BB137" i="1"/>
  <c r="BC137" i="1"/>
  <c r="BD137" i="1"/>
  <c r="BE137" i="1"/>
  <c r="BF137" i="1"/>
  <c r="BG137" i="1"/>
  <c r="AX138" i="1"/>
  <c r="AY138" i="1"/>
  <c r="AZ138" i="1"/>
  <c r="BA138" i="1"/>
  <c r="BB138" i="1"/>
  <c r="BC138" i="1"/>
  <c r="BD138" i="1"/>
  <c r="BE138" i="1"/>
  <c r="BF138" i="1"/>
  <c r="BG138" i="1"/>
  <c r="AX139" i="1"/>
  <c r="AY139" i="1"/>
  <c r="AZ139" i="1"/>
  <c r="BA139" i="1"/>
  <c r="BB139" i="1"/>
  <c r="BC139" i="1"/>
  <c r="BD139" i="1"/>
  <c r="BE139" i="1"/>
  <c r="BF139" i="1"/>
  <c r="BG139" i="1"/>
  <c r="AX140" i="1"/>
  <c r="AY140" i="1"/>
  <c r="AZ140" i="1"/>
  <c r="BA140" i="1"/>
  <c r="BB140" i="1"/>
  <c r="BC140" i="1"/>
  <c r="BD140" i="1"/>
  <c r="BE140" i="1"/>
  <c r="BF140" i="1"/>
  <c r="BG140" i="1"/>
  <c r="AX141" i="1"/>
  <c r="AY141" i="1"/>
  <c r="AZ141" i="1"/>
  <c r="BA141" i="1"/>
  <c r="BB141" i="1"/>
  <c r="BC141" i="1"/>
  <c r="BD141" i="1"/>
  <c r="BE141" i="1"/>
  <c r="BF141" i="1"/>
  <c r="BG141" i="1"/>
  <c r="AX142" i="1"/>
  <c r="AY142" i="1"/>
  <c r="AZ142" i="1"/>
  <c r="BA142" i="1"/>
  <c r="BB142" i="1"/>
  <c r="BC142" i="1"/>
  <c r="BD142" i="1"/>
  <c r="BE142" i="1"/>
  <c r="BF142" i="1"/>
  <c r="BG142" i="1"/>
  <c r="AX143" i="1"/>
  <c r="AY143" i="1"/>
  <c r="AZ143" i="1"/>
  <c r="BA143" i="1"/>
  <c r="BB143" i="1"/>
  <c r="BC143" i="1"/>
  <c r="BD143" i="1"/>
  <c r="BE143" i="1"/>
  <c r="BF143" i="1"/>
  <c r="BG143" i="1"/>
  <c r="AX144" i="1"/>
  <c r="AY144" i="1"/>
  <c r="AZ144" i="1"/>
  <c r="BA144" i="1"/>
  <c r="BB144" i="1"/>
  <c r="BC144" i="1"/>
  <c r="BD144" i="1"/>
  <c r="BE144" i="1"/>
  <c r="BF144" i="1"/>
  <c r="BG144" i="1"/>
  <c r="AX145" i="1"/>
  <c r="AY145" i="1"/>
  <c r="AZ145" i="1"/>
  <c r="BA145" i="1"/>
  <c r="BB145" i="1"/>
  <c r="BC145" i="1"/>
  <c r="BD145" i="1"/>
  <c r="BE145" i="1"/>
  <c r="BF145" i="1"/>
  <c r="BG145" i="1"/>
  <c r="AX146" i="1"/>
  <c r="AY146" i="1"/>
  <c r="AZ146" i="1"/>
  <c r="BA146" i="1"/>
  <c r="BB146" i="1"/>
  <c r="BC146" i="1"/>
  <c r="BD146" i="1"/>
  <c r="BE146" i="1"/>
  <c r="BF146" i="1"/>
  <c r="BG146" i="1"/>
  <c r="AX147" i="1"/>
  <c r="AY147" i="1"/>
  <c r="AZ147" i="1"/>
  <c r="BA147" i="1"/>
  <c r="BB147" i="1"/>
  <c r="BC147" i="1"/>
  <c r="BD147" i="1"/>
  <c r="BE147" i="1"/>
  <c r="BF147" i="1"/>
  <c r="BG147" i="1"/>
  <c r="AX148" i="1"/>
  <c r="AY148" i="1"/>
  <c r="AZ148" i="1"/>
  <c r="BA148" i="1"/>
  <c r="BB148" i="1"/>
  <c r="BC148" i="1"/>
  <c r="BD148" i="1"/>
  <c r="BE148" i="1"/>
  <c r="BF148" i="1"/>
  <c r="BG148" i="1"/>
  <c r="AX149" i="1"/>
  <c r="AY149" i="1"/>
  <c r="AZ149" i="1"/>
  <c r="BA149" i="1"/>
  <c r="BB149" i="1"/>
  <c r="BC149" i="1"/>
  <c r="BD149" i="1"/>
  <c r="BE149" i="1"/>
  <c r="BF149" i="1"/>
  <c r="BG149" i="1"/>
  <c r="AX150" i="1"/>
  <c r="AY150" i="1"/>
  <c r="AZ150" i="1"/>
  <c r="BA150" i="1"/>
  <c r="BB150" i="1"/>
  <c r="BC150" i="1"/>
  <c r="BD150" i="1"/>
  <c r="BE150" i="1"/>
  <c r="BF150" i="1"/>
  <c r="BG150" i="1"/>
  <c r="AX151" i="1"/>
  <c r="AY151" i="1"/>
  <c r="AZ151" i="1"/>
  <c r="BA151" i="1"/>
  <c r="BB151" i="1"/>
  <c r="BC151" i="1"/>
  <c r="BD151" i="1"/>
  <c r="BE151" i="1"/>
  <c r="BF151" i="1"/>
  <c r="BG151" i="1"/>
  <c r="AX152" i="1"/>
  <c r="AY152" i="1"/>
  <c r="AZ152" i="1"/>
  <c r="BA152" i="1"/>
  <c r="BB152" i="1"/>
  <c r="BC152" i="1"/>
  <c r="BD152" i="1"/>
  <c r="BE152" i="1"/>
  <c r="BF152" i="1"/>
  <c r="BG152" i="1"/>
  <c r="AX153" i="1"/>
  <c r="AY153" i="1"/>
  <c r="AZ153" i="1"/>
  <c r="BA153" i="1"/>
  <c r="BB153" i="1"/>
  <c r="BC153" i="1"/>
  <c r="BD153" i="1"/>
  <c r="BE153" i="1"/>
  <c r="BF153" i="1"/>
  <c r="BG153" i="1"/>
  <c r="AX154" i="1"/>
  <c r="AY154" i="1"/>
  <c r="AZ154" i="1"/>
  <c r="BA154" i="1"/>
  <c r="BB154" i="1"/>
  <c r="BC154" i="1"/>
  <c r="BD154" i="1"/>
  <c r="BE154" i="1"/>
  <c r="BF154" i="1"/>
  <c r="BG154" i="1"/>
  <c r="AX155" i="1"/>
  <c r="AY155" i="1"/>
  <c r="AZ155" i="1"/>
  <c r="BA155" i="1"/>
  <c r="BB155" i="1"/>
  <c r="BC155" i="1"/>
  <c r="BD155" i="1"/>
  <c r="BE155" i="1"/>
  <c r="BF155" i="1"/>
  <c r="BG155" i="1"/>
  <c r="AX156" i="1"/>
  <c r="AY156" i="1"/>
  <c r="AZ156" i="1"/>
  <c r="BA156" i="1"/>
  <c r="BB156" i="1"/>
  <c r="BC156" i="1"/>
  <c r="BD156" i="1"/>
  <c r="BE156" i="1"/>
  <c r="BF156" i="1"/>
  <c r="BG156" i="1"/>
  <c r="AX157" i="1"/>
  <c r="AY157" i="1"/>
  <c r="AZ157" i="1"/>
  <c r="BA157" i="1"/>
  <c r="BB157" i="1"/>
  <c r="BC157" i="1"/>
  <c r="BD157" i="1"/>
  <c r="BE157" i="1"/>
  <c r="BF157" i="1"/>
  <c r="BG157" i="1"/>
  <c r="AX158" i="1"/>
  <c r="AY158" i="1"/>
  <c r="AZ158" i="1"/>
  <c r="BA158" i="1"/>
  <c r="BB158" i="1"/>
  <c r="BC158" i="1"/>
  <c r="BD158" i="1"/>
  <c r="BE158" i="1"/>
  <c r="BF158" i="1"/>
  <c r="BG158" i="1"/>
  <c r="AX159" i="1"/>
  <c r="AY159" i="1"/>
  <c r="AZ159" i="1"/>
  <c r="BA159" i="1"/>
  <c r="BB159" i="1"/>
  <c r="BC159" i="1"/>
  <c r="BD159" i="1"/>
  <c r="BE159" i="1"/>
  <c r="BF159" i="1"/>
  <c r="BG159" i="1"/>
  <c r="AX160" i="1"/>
  <c r="AY160" i="1"/>
  <c r="AZ160" i="1"/>
  <c r="BA160" i="1"/>
  <c r="BB160" i="1"/>
  <c r="BC160" i="1"/>
  <c r="BD160" i="1"/>
  <c r="BE160" i="1"/>
  <c r="BF160" i="1"/>
  <c r="BG160" i="1"/>
  <c r="AX161" i="1"/>
  <c r="AY161" i="1"/>
  <c r="AZ161" i="1"/>
  <c r="BA161" i="1"/>
  <c r="BB161" i="1"/>
  <c r="BC161" i="1"/>
  <c r="BD161" i="1"/>
  <c r="BE161" i="1"/>
  <c r="BF161" i="1"/>
  <c r="BG161" i="1"/>
  <c r="AX162" i="1"/>
  <c r="AY162" i="1"/>
  <c r="AZ162" i="1"/>
  <c r="BA162" i="1"/>
  <c r="BB162" i="1"/>
  <c r="BC162" i="1"/>
  <c r="BD162" i="1"/>
  <c r="BE162" i="1"/>
  <c r="BF162" i="1"/>
  <c r="BG162" i="1"/>
  <c r="AX163" i="1"/>
  <c r="AY163" i="1"/>
  <c r="AZ163" i="1"/>
  <c r="BA163" i="1"/>
  <c r="BB163" i="1"/>
  <c r="BC163" i="1"/>
  <c r="BD163" i="1"/>
  <c r="BE163" i="1"/>
  <c r="BF163" i="1"/>
  <c r="BG163" i="1"/>
  <c r="AX164" i="1"/>
  <c r="AY164" i="1"/>
  <c r="AZ164" i="1"/>
  <c r="BA164" i="1"/>
  <c r="BB164" i="1"/>
  <c r="BC164" i="1"/>
  <c r="BD164" i="1"/>
  <c r="BE164" i="1"/>
  <c r="BF164" i="1"/>
  <c r="BG164" i="1"/>
  <c r="AX165" i="1"/>
  <c r="AY165" i="1"/>
  <c r="AZ165" i="1"/>
  <c r="BA165" i="1"/>
  <c r="BB165" i="1"/>
  <c r="BC165" i="1"/>
  <c r="BD165" i="1"/>
  <c r="BE165" i="1"/>
  <c r="BF165" i="1"/>
  <c r="BG165" i="1"/>
  <c r="AX166" i="1"/>
  <c r="AY166" i="1"/>
  <c r="AZ166" i="1"/>
  <c r="BA166" i="1"/>
  <c r="BB166" i="1"/>
  <c r="BC166" i="1"/>
  <c r="BD166" i="1"/>
  <c r="BE166" i="1"/>
  <c r="BF166" i="1"/>
  <c r="BG166" i="1"/>
  <c r="AX167" i="1"/>
  <c r="AY167" i="1"/>
  <c r="AZ167" i="1"/>
  <c r="BA167" i="1"/>
  <c r="BB167" i="1"/>
  <c r="BC167" i="1"/>
  <c r="BD167" i="1"/>
  <c r="BE167" i="1"/>
  <c r="BF167" i="1"/>
  <c r="BG167" i="1"/>
  <c r="AX168" i="1"/>
  <c r="AY168" i="1"/>
  <c r="AZ168" i="1"/>
  <c r="BA168" i="1"/>
  <c r="BB168" i="1"/>
  <c r="BC168" i="1"/>
  <c r="BD168" i="1"/>
  <c r="BE168" i="1"/>
  <c r="BF168" i="1"/>
  <c r="BG168" i="1"/>
  <c r="AX169" i="1"/>
  <c r="AY169" i="1"/>
  <c r="AZ169" i="1"/>
  <c r="BA169" i="1"/>
  <c r="BB169" i="1"/>
  <c r="BC169" i="1"/>
  <c r="BD169" i="1"/>
  <c r="BE169" i="1"/>
  <c r="BF169" i="1"/>
  <c r="BG169" i="1"/>
  <c r="AX170" i="1"/>
  <c r="AY170" i="1"/>
  <c r="AZ170" i="1"/>
  <c r="BA170" i="1"/>
  <c r="BB170" i="1"/>
  <c r="BC170" i="1"/>
  <c r="BD170" i="1"/>
  <c r="BE170" i="1"/>
  <c r="BF170" i="1"/>
  <c r="BG170" i="1"/>
  <c r="AX171" i="1"/>
  <c r="AY171" i="1"/>
  <c r="AZ171" i="1"/>
  <c r="BA171" i="1"/>
  <c r="BB171" i="1"/>
  <c r="BC171" i="1"/>
  <c r="BD171" i="1"/>
  <c r="BE171" i="1"/>
  <c r="BF171" i="1"/>
  <c r="BG171" i="1"/>
  <c r="AX172" i="1"/>
  <c r="AY172" i="1"/>
  <c r="AZ172" i="1"/>
  <c r="BA172" i="1"/>
  <c r="BB172" i="1"/>
  <c r="BC172" i="1"/>
  <c r="BD172" i="1"/>
  <c r="BE172" i="1"/>
  <c r="BF172" i="1"/>
  <c r="BG172" i="1"/>
  <c r="AX173" i="1"/>
  <c r="AY173" i="1"/>
  <c r="AZ173" i="1"/>
  <c r="BA173" i="1"/>
  <c r="BB173" i="1"/>
  <c r="BC173" i="1"/>
  <c r="BD173" i="1"/>
  <c r="BE173" i="1"/>
  <c r="BF173" i="1"/>
  <c r="BG173" i="1"/>
  <c r="AX174" i="1"/>
  <c r="AY174" i="1"/>
  <c r="AZ174" i="1"/>
  <c r="BA174" i="1"/>
  <c r="BB174" i="1"/>
  <c r="BC174" i="1"/>
  <c r="BD174" i="1"/>
  <c r="BE174" i="1"/>
  <c r="BF174" i="1"/>
  <c r="BG174" i="1"/>
  <c r="AX175" i="1"/>
  <c r="AY175" i="1"/>
  <c r="AZ175" i="1"/>
  <c r="BA175" i="1"/>
  <c r="BB175" i="1"/>
  <c r="BC175" i="1"/>
  <c r="BD175" i="1"/>
  <c r="BE175" i="1"/>
  <c r="BF175" i="1"/>
  <c r="BG175" i="1"/>
  <c r="AX176" i="1"/>
  <c r="AY176" i="1"/>
  <c r="AZ176" i="1"/>
  <c r="BA176" i="1"/>
  <c r="BB176" i="1"/>
  <c r="BC176" i="1"/>
  <c r="BD176" i="1"/>
  <c r="BE176" i="1"/>
  <c r="BF176" i="1"/>
  <c r="BG176" i="1"/>
  <c r="AX177" i="1"/>
  <c r="AY177" i="1"/>
  <c r="AZ177" i="1"/>
  <c r="BA177" i="1"/>
  <c r="BB177" i="1"/>
  <c r="BC177" i="1"/>
  <c r="BD177" i="1"/>
  <c r="BE177" i="1"/>
  <c r="BF177" i="1"/>
  <c r="BG177" i="1"/>
  <c r="AX178" i="1"/>
  <c r="AY178" i="1"/>
  <c r="AZ178" i="1"/>
  <c r="BA178" i="1"/>
  <c r="BB178" i="1"/>
  <c r="BC178" i="1"/>
  <c r="BD178" i="1"/>
  <c r="BE178" i="1"/>
  <c r="BF178" i="1"/>
  <c r="BG178" i="1"/>
  <c r="AX179" i="1"/>
  <c r="AY179" i="1"/>
  <c r="AZ179" i="1"/>
  <c r="BA179" i="1"/>
  <c r="BB179" i="1"/>
  <c r="BC179" i="1"/>
  <c r="BD179" i="1"/>
  <c r="BE179" i="1"/>
  <c r="BF179" i="1"/>
  <c r="BG179" i="1"/>
  <c r="AX180" i="1"/>
  <c r="AY180" i="1"/>
  <c r="AZ180" i="1"/>
  <c r="BA180" i="1"/>
  <c r="BB180" i="1"/>
  <c r="BC180" i="1"/>
  <c r="BD180" i="1"/>
  <c r="BE180" i="1"/>
  <c r="BF180" i="1"/>
  <c r="BG180" i="1"/>
  <c r="AX181" i="1"/>
  <c r="AY181" i="1"/>
  <c r="AZ181" i="1"/>
  <c r="BA181" i="1"/>
  <c r="BB181" i="1"/>
  <c r="BC181" i="1"/>
  <c r="BD181" i="1"/>
  <c r="BE181" i="1"/>
  <c r="BF181" i="1"/>
  <c r="BG181" i="1"/>
  <c r="AX182" i="1"/>
  <c r="AY182" i="1"/>
  <c r="AZ182" i="1"/>
  <c r="BA182" i="1"/>
  <c r="BB182" i="1"/>
  <c r="BC182" i="1"/>
  <c r="BD182" i="1"/>
  <c r="BE182" i="1"/>
  <c r="BF182" i="1"/>
  <c r="BG182" i="1"/>
  <c r="AX183" i="1"/>
  <c r="AY183" i="1"/>
  <c r="AZ183" i="1"/>
  <c r="BA183" i="1"/>
  <c r="BB183" i="1"/>
  <c r="BC183" i="1"/>
  <c r="BD183" i="1"/>
  <c r="BE183" i="1"/>
  <c r="BF183" i="1"/>
  <c r="BG183" i="1"/>
  <c r="AX184" i="1"/>
  <c r="AY184" i="1"/>
  <c r="AZ184" i="1"/>
  <c r="BA184" i="1"/>
  <c r="BB184" i="1"/>
  <c r="BC184" i="1"/>
  <c r="BD184" i="1"/>
  <c r="BE184" i="1"/>
  <c r="BF184" i="1"/>
  <c r="BG184" i="1"/>
  <c r="AX185" i="1"/>
  <c r="AY185" i="1"/>
  <c r="AZ185" i="1"/>
  <c r="BA185" i="1"/>
  <c r="BB185" i="1"/>
  <c r="BC185" i="1"/>
  <c r="BD185" i="1"/>
  <c r="BE185" i="1"/>
  <c r="BF185" i="1"/>
  <c r="BG185" i="1"/>
  <c r="AX186" i="1"/>
  <c r="AY186" i="1"/>
  <c r="AZ186" i="1"/>
  <c r="BA186" i="1"/>
  <c r="BB186" i="1"/>
  <c r="BC186" i="1"/>
  <c r="BD186" i="1"/>
  <c r="BE186" i="1"/>
  <c r="BF186" i="1"/>
  <c r="BG186" i="1"/>
  <c r="AX187" i="1"/>
  <c r="AY187" i="1"/>
  <c r="AZ187" i="1"/>
  <c r="BA187" i="1"/>
  <c r="BB187" i="1"/>
  <c r="BC187" i="1"/>
  <c r="BD187" i="1"/>
  <c r="BE187" i="1"/>
  <c r="BF187" i="1"/>
  <c r="BG187" i="1"/>
  <c r="AX188" i="1"/>
  <c r="AY188" i="1"/>
  <c r="AZ188" i="1"/>
  <c r="BA188" i="1"/>
  <c r="BB188" i="1"/>
  <c r="BC188" i="1"/>
  <c r="BD188" i="1"/>
  <c r="BE188" i="1"/>
  <c r="BF188" i="1"/>
  <c r="BG188" i="1"/>
  <c r="AX189" i="1"/>
  <c r="AY189" i="1"/>
  <c r="AZ189" i="1"/>
  <c r="BA189" i="1"/>
  <c r="BB189" i="1"/>
  <c r="BC189" i="1"/>
  <c r="BD189" i="1"/>
  <c r="BE189" i="1"/>
  <c r="BF189" i="1"/>
  <c r="BG189" i="1"/>
  <c r="BF66" i="1" l="1"/>
  <c r="BG20" i="1"/>
  <c r="AZ68" i="1"/>
  <c r="AX64" i="1"/>
  <c r="BA68" i="1"/>
  <c r="M62" i="3"/>
  <c r="BF60" i="1"/>
  <c r="AY64" i="1"/>
  <c r="BG68" i="1"/>
  <c r="AY42" i="1"/>
  <c r="BG60" i="1"/>
  <c r="BE64" i="1"/>
  <c r="BF69" i="1"/>
  <c r="AY33" i="1"/>
  <c r="AX56" i="1"/>
  <c r="BC61" i="1"/>
  <c r="BD65" i="1"/>
  <c r="BG69" i="1"/>
  <c r="AX34" i="1"/>
  <c r="BE56" i="1"/>
  <c r="BB62" i="1"/>
  <c r="BE65" i="1"/>
  <c r="BC70" i="1"/>
  <c r="M63" i="3"/>
  <c r="BD35" i="1"/>
  <c r="BD57" i="1"/>
  <c r="BC62" i="1"/>
  <c r="BA58" i="1"/>
  <c r="M59" i="3"/>
  <c r="BG54" i="1"/>
  <c r="BG29" i="1"/>
  <c r="BC31" i="1"/>
  <c r="M60" i="3"/>
  <c r="BB19" i="1"/>
  <c r="BC22" i="1"/>
  <c r="AY24" i="1"/>
  <c r="BE25" i="1"/>
  <c r="M61" i="3"/>
  <c r="BA19" i="1"/>
  <c r="G14" i="4"/>
  <c r="BE34" i="1"/>
  <c r="BE66" i="1"/>
  <c r="BB70" i="1"/>
  <c r="BF68" i="1"/>
  <c r="BD64" i="1"/>
  <c r="BB61" i="1"/>
  <c r="AZ58" i="1"/>
  <c r="BD56" i="1"/>
  <c r="BD34" i="1"/>
  <c r="AX33" i="1"/>
  <c r="BB31" i="1"/>
  <c r="BF29" i="1"/>
  <c r="BD25" i="1"/>
  <c r="AX24" i="1"/>
  <c r="BB22" i="1"/>
  <c r="BF20" i="1"/>
  <c r="AZ19" i="1"/>
  <c r="G45" i="4"/>
  <c r="G12" i="4"/>
  <c r="G46" i="4"/>
  <c r="BE68" i="1"/>
  <c r="BG62" i="1"/>
  <c r="BA61" i="1"/>
  <c r="BC56" i="1"/>
  <c r="BE42" i="1"/>
  <c r="BC34" i="1"/>
  <c r="BA31" i="1"/>
  <c r="BE29" i="1"/>
  <c r="BC25" i="1"/>
  <c r="BG23" i="1"/>
  <c r="BA22" i="1"/>
  <c r="BE20" i="1"/>
  <c r="AY19" i="1"/>
  <c r="G44" i="4"/>
  <c r="G11" i="4"/>
  <c r="G13" i="4"/>
  <c r="BA70" i="1"/>
  <c r="BC64" i="1"/>
  <c r="AY58" i="1"/>
  <c r="AZ70" i="1"/>
  <c r="BD68" i="1"/>
  <c r="BB64" i="1"/>
  <c r="BF62" i="1"/>
  <c r="AZ61" i="1"/>
  <c r="AX58" i="1"/>
  <c r="BB56" i="1"/>
  <c r="BD42" i="1"/>
  <c r="BB34" i="1"/>
  <c r="AZ31" i="1"/>
  <c r="BD29" i="1"/>
  <c r="BB25" i="1"/>
  <c r="BF23" i="1"/>
  <c r="AZ22" i="1"/>
  <c r="BD20" i="1"/>
  <c r="AX19" i="1"/>
  <c r="G59" i="4"/>
  <c r="G43" i="4"/>
  <c r="AY70" i="1"/>
  <c r="BG65" i="1"/>
  <c r="BA64" i="1"/>
  <c r="AY61" i="1"/>
  <c r="BG57" i="1"/>
  <c r="BA56" i="1"/>
  <c r="BB42" i="1"/>
  <c r="BG35" i="1"/>
  <c r="BA34" i="1"/>
  <c r="AY31" i="1"/>
  <c r="BC29" i="1"/>
  <c r="BG26" i="1"/>
  <c r="BA25" i="1"/>
  <c r="BE23" i="1"/>
  <c r="AY22" i="1"/>
  <c r="BC20" i="1"/>
  <c r="BG18" i="1"/>
  <c r="G58" i="4"/>
  <c r="G42" i="4"/>
  <c r="BC68" i="1"/>
  <c r="BE62" i="1"/>
  <c r="AX70" i="1"/>
  <c r="BB68" i="1"/>
  <c r="BF65" i="1"/>
  <c r="AZ64" i="1"/>
  <c r="BD62" i="1"/>
  <c r="AX61" i="1"/>
  <c r="BF57" i="1"/>
  <c r="AZ56" i="1"/>
  <c r="BA42" i="1"/>
  <c r="BF35" i="1"/>
  <c r="AZ34" i="1"/>
  <c r="AX31" i="1"/>
  <c r="BB29" i="1"/>
  <c r="BF26" i="1"/>
  <c r="AZ25" i="1"/>
  <c r="BD23" i="1"/>
  <c r="AX22" i="1"/>
  <c r="BB20" i="1"/>
  <c r="BF18" i="1"/>
  <c r="G57" i="4"/>
  <c r="G24" i="4"/>
  <c r="BE57" i="1"/>
  <c r="AY56" i="1"/>
  <c r="AZ42" i="1"/>
  <c r="BE35" i="1"/>
  <c r="AY34" i="1"/>
  <c r="BG30" i="1"/>
  <c r="BA29" i="1"/>
  <c r="BE26" i="1"/>
  <c r="AY25" i="1"/>
  <c r="BC23" i="1"/>
  <c r="BA20" i="1"/>
  <c r="BE18" i="1"/>
  <c r="G56" i="4"/>
  <c r="G23" i="4"/>
  <c r="BD26" i="1"/>
  <c r="BE69" i="1"/>
  <c r="BC65" i="1"/>
  <c r="BA62" i="1"/>
  <c r="BE60" i="1"/>
  <c r="BC57" i="1"/>
  <c r="BC35" i="1"/>
  <c r="BG33" i="1"/>
  <c r="BE30" i="1"/>
  <c r="AY29" i="1"/>
  <c r="BC26" i="1"/>
  <c r="BG24" i="1"/>
  <c r="BA23" i="1"/>
  <c r="AY20" i="1"/>
  <c r="BC18" i="1"/>
  <c r="G54" i="4"/>
  <c r="G21" i="4"/>
  <c r="BF30" i="1"/>
  <c r="AZ20" i="1"/>
  <c r="AY68" i="1"/>
  <c r="BD69" i="1"/>
  <c r="AX68" i="1"/>
  <c r="BB65" i="1"/>
  <c r="AZ62" i="1"/>
  <c r="BD60" i="1"/>
  <c r="BB57" i="1"/>
  <c r="BB35" i="1"/>
  <c r="BF33" i="1"/>
  <c r="BD30" i="1"/>
  <c r="AX29" i="1"/>
  <c r="BB26" i="1"/>
  <c r="BF24" i="1"/>
  <c r="AZ23" i="1"/>
  <c r="AX20" i="1"/>
  <c r="BB18" i="1"/>
  <c r="G53" i="4"/>
  <c r="G20" i="4"/>
  <c r="AZ29" i="1"/>
  <c r="BB23" i="1"/>
  <c r="AY62" i="1"/>
  <c r="BA35" i="1"/>
  <c r="BE33" i="1"/>
  <c r="BC30" i="1"/>
  <c r="BA26" i="1"/>
  <c r="BE24" i="1"/>
  <c r="AY23" i="1"/>
  <c r="BG19" i="1"/>
  <c r="BA18" i="1"/>
  <c r="G52" i="4"/>
  <c r="G19" i="4"/>
  <c r="BA57" i="1"/>
  <c r="BB69" i="1"/>
  <c r="AZ65" i="1"/>
  <c r="AX62" i="1"/>
  <c r="BB60" i="1"/>
  <c r="BF58" i="1"/>
  <c r="AZ57" i="1"/>
  <c r="AZ35" i="1"/>
  <c r="BD33" i="1"/>
  <c r="BB30" i="1"/>
  <c r="AZ26" i="1"/>
  <c r="BD24" i="1"/>
  <c r="AX23" i="1"/>
  <c r="BF19" i="1"/>
  <c r="AZ18" i="1"/>
  <c r="G51" i="4"/>
  <c r="G18" i="4"/>
  <c r="G22" i="4"/>
  <c r="BG58" i="1"/>
  <c r="B13" i="4"/>
  <c r="BG70" i="1"/>
  <c r="BA69" i="1"/>
  <c r="AY65" i="1"/>
  <c r="BG61" i="1"/>
  <c r="BA60" i="1"/>
  <c r="BE58" i="1"/>
  <c r="AY57" i="1"/>
  <c r="AY35" i="1"/>
  <c r="BC33" i="1"/>
  <c r="BG31" i="1"/>
  <c r="BA30" i="1"/>
  <c r="AY26" i="1"/>
  <c r="BC24" i="1"/>
  <c r="BG22" i="1"/>
  <c r="BE19" i="1"/>
  <c r="AY18" i="1"/>
  <c r="G50" i="4"/>
  <c r="G17" i="4"/>
  <c r="BA65" i="1"/>
  <c r="BD66" i="1"/>
  <c r="BF70" i="1"/>
  <c r="AZ69" i="1"/>
  <c r="AX65" i="1"/>
  <c r="BF61" i="1"/>
  <c r="AZ60" i="1"/>
  <c r="BD58" i="1"/>
  <c r="AX57" i="1"/>
  <c r="AX35" i="1"/>
  <c r="BB33" i="1"/>
  <c r="BF31" i="1"/>
  <c r="AZ30" i="1"/>
  <c r="AX26" i="1"/>
  <c r="BB24" i="1"/>
  <c r="BF22" i="1"/>
  <c r="BD19" i="1"/>
  <c r="AX18" i="1"/>
  <c r="G49" i="4"/>
  <c r="G16" i="4"/>
  <c r="G55" i="4"/>
  <c r="BC69" i="1"/>
  <c r="BC66" i="1"/>
  <c r="BE70" i="1"/>
  <c r="AY69" i="1"/>
  <c r="BG64" i="1"/>
  <c r="BE61" i="1"/>
  <c r="AY60" i="1"/>
  <c r="BC58" i="1"/>
  <c r="BG56" i="1"/>
  <c r="BG34" i="1"/>
  <c r="BA33" i="1"/>
  <c r="BE31" i="1"/>
  <c r="AY30" i="1"/>
  <c r="BG25" i="1"/>
  <c r="BA24" i="1"/>
  <c r="BE22" i="1"/>
  <c r="BC19" i="1"/>
  <c r="G48" i="4"/>
  <c r="G15" i="4"/>
  <c r="AX25" i="1"/>
  <c r="BD18" i="1"/>
  <c r="BC60" i="1"/>
  <c r="BG66" i="1"/>
  <c r="BD70" i="1"/>
  <c r="AX69" i="1"/>
  <c r="BF64" i="1"/>
  <c r="BD61" i="1"/>
  <c r="AX60" i="1"/>
  <c r="BB58" i="1"/>
  <c r="BF56" i="1"/>
  <c r="BF34" i="1"/>
  <c r="AZ33" i="1"/>
  <c r="BD31" i="1"/>
  <c r="AX30" i="1"/>
  <c r="BF25" i="1"/>
  <c r="AZ24" i="1"/>
  <c r="BD22" i="1"/>
  <c r="E46" i="4"/>
  <c r="G47" i="4"/>
  <c r="S4" i="18"/>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S42" i="18"/>
  <c r="S43" i="18"/>
  <c r="S44" i="18"/>
  <c r="S45" i="18"/>
  <c r="S46" i="18"/>
  <c r="S47" i="18"/>
  <c r="S48" i="18"/>
  <c r="S49" i="18"/>
  <c r="S50" i="18"/>
  <c r="S51" i="18"/>
  <c r="S52" i="18"/>
  <c r="S53" i="18"/>
  <c r="S54" i="18"/>
  <c r="S55" i="18"/>
  <c r="S56" i="18"/>
  <c r="S57" i="18"/>
  <c r="S58" i="18"/>
  <c r="S59" i="18"/>
  <c r="S60" i="18"/>
  <c r="S61" i="18"/>
  <c r="S62" i="18"/>
  <c r="S63" i="18"/>
  <c r="S64" i="18"/>
  <c r="S65" i="18"/>
  <c r="S66" i="18"/>
  <c r="S67" i="18"/>
  <c r="S68" i="18"/>
  <c r="S69" i="18"/>
  <c r="S70" i="18"/>
  <c r="S71" i="18"/>
  <c r="S72" i="18"/>
  <c r="S73" i="18"/>
  <c r="S74" i="18"/>
  <c r="S75" i="18"/>
  <c r="S76" i="18"/>
  <c r="S77" i="18"/>
  <c r="S78" i="18"/>
  <c r="S79" i="18"/>
  <c r="S80" i="18"/>
  <c r="S81" i="18"/>
  <c r="S82" i="18"/>
  <c r="S83" i="18"/>
  <c r="S84" i="18"/>
  <c r="S85" i="18"/>
  <c r="S86" i="18"/>
  <c r="S87" i="18"/>
  <c r="S88" i="18"/>
  <c r="S89" i="18"/>
  <c r="S90" i="18"/>
  <c r="S91" i="18"/>
  <c r="S92" i="18"/>
  <c r="S93" i="18"/>
  <c r="S94" i="18"/>
  <c r="S95" i="18"/>
  <c r="S96" i="18"/>
  <c r="S97" i="18"/>
  <c r="S98" i="18"/>
  <c r="S99" i="18"/>
  <c r="S100" i="18"/>
  <c r="S101" i="18"/>
  <c r="S102" i="18"/>
  <c r="S103" i="18"/>
  <c r="S104" i="18"/>
  <c r="S105" i="18"/>
  <c r="S106" i="18"/>
  <c r="S107" i="18"/>
  <c r="S108" i="18"/>
  <c r="S109" i="18"/>
  <c r="S110" i="18"/>
  <c r="S111" i="18"/>
  <c r="S112" i="18"/>
  <c r="S113" i="18"/>
  <c r="S114" i="18"/>
  <c r="S115" i="18"/>
  <c r="S116" i="18"/>
  <c r="S117" i="18"/>
  <c r="S118" i="18"/>
  <c r="S119" i="18"/>
  <c r="S3" i="18"/>
  <c r="D2" i="23"/>
  <c r="E2" i="23" s="1"/>
  <c r="F2" i="23" s="1"/>
  <c r="G2" i="23" s="1"/>
  <c r="H2" i="23" s="1"/>
  <c r="I2" i="23" s="1"/>
  <c r="J2" i="23" s="1"/>
  <c r="K2" i="23" s="1"/>
  <c r="L2" i="23" s="1"/>
  <c r="M2" i="23" s="1"/>
  <c r="N2" i="23" s="1"/>
  <c r="O2" i="23" s="1"/>
  <c r="P2" i="23" s="1"/>
  <c r="Q2" i="23" s="1"/>
  <c r="R2" i="23" s="1"/>
  <c r="S2" i="23" s="1"/>
  <c r="T2" i="23" s="1"/>
  <c r="U2" i="23" s="1"/>
  <c r="V2" i="23" s="1"/>
  <c r="W2" i="23" s="1"/>
  <c r="X2" i="23" s="1"/>
  <c r="Y2" i="23" s="1"/>
  <c r="Z2" i="23" s="1"/>
  <c r="AA2" i="23" s="1"/>
  <c r="AB2" i="23" s="1"/>
  <c r="AC2" i="23" s="1"/>
  <c r="AD2" i="23" s="1"/>
  <c r="AE2" i="23" s="1"/>
  <c r="AF2" i="23" s="1"/>
  <c r="AG2" i="23" s="1"/>
  <c r="AH2" i="23" s="1"/>
  <c r="AI2" i="23" s="1"/>
  <c r="AJ2" i="23" s="1"/>
  <c r="AK2" i="23" s="1"/>
  <c r="AL2" i="23" s="1"/>
  <c r="AM2" i="23" s="1"/>
  <c r="AN2" i="23" s="1"/>
  <c r="AO2" i="23" s="1"/>
  <c r="AP2" i="23" s="1"/>
  <c r="AQ2" i="23" s="1"/>
  <c r="AR2" i="23" s="1"/>
  <c r="AS2" i="23" s="1"/>
  <c r="AT2" i="23" s="1"/>
  <c r="AU2" i="23" s="1"/>
  <c r="AV2" i="23" s="1"/>
  <c r="AW2" i="23" s="1"/>
  <c r="AX2" i="23" s="1"/>
  <c r="AY2" i="23" s="1"/>
  <c r="AZ2" i="23" s="1"/>
  <c r="BA2" i="23" s="1"/>
  <c r="BB2" i="23" s="1"/>
  <c r="BC2" i="23" s="1"/>
  <c r="BD2" i="23" s="1"/>
  <c r="BE2" i="23" s="1"/>
  <c r="BF2" i="23" s="1"/>
  <c r="BG2" i="23" s="1"/>
  <c r="BH2" i="23" s="1"/>
  <c r="BI2" i="23" s="1"/>
  <c r="C2" i="23"/>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C18" i="18"/>
  <c r="C17" i="18"/>
  <c r="C16" i="18"/>
  <c r="C15" i="18"/>
  <c r="C14" i="18"/>
  <c r="C13" i="18"/>
  <c r="C12" i="18"/>
  <c r="C11" i="18"/>
  <c r="D18" i="1"/>
  <c r="D27" i="1"/>
  <c r="P6" i="15" a="1"/>
  <c r="P6" i="15" s="1"/>
  <c r="O7" i="15" a="1"/>
  <c r="O7" i="15" s="1"/>
  <c r="O8" i="15" a="1"/>
  <c r="O8" i="15" s="1"/>
  <c r="O9" i="15" a="1"/>
  <c r="O9" i="15" s="1"/>
  <c r="O10" i="15" a="1"/>
  <c r="O10" i="15" s="1"/>
  <c r="O11" i="15" a="1"/>
  <c r="O11" i="15" s="1"/>
  <c r="O12" i="15" a="1"/>
  <c r="O12" i="15" s="1"/>
  <c r="O13" i="15" a="1"/>
  <c r="O13" i="15" s="1"/>
  <c r="O14" i="15" a="1"/>
  <c r="O14" i="15" s="1"/>
  <c r="O15" i="15" a="1"/>
  <c r="O15" i="15" s="1"/>
  <c r="O16" i="15" a="1"/>
  <c r="O16" i="15" s="1"/>
  <c r="O17" i="15" a="1"/>
  <c r="O17" i="15" s="1"/>
  <c r="O18" i="15" a="1"/>
  <c r="O18" i="15" s="1"/>
  <c r="O19" i="15" a="1"/>
  <c r="O19" i="15" s="1"/>
  <c r="O20" i="15" a="1"/>
  <c r="O20" i="15" s="1"/>
  <c r="O21" i="15" a="1"/>
  <c r="O21" i="15" s="1"/>
  <c r="O22" i="15" a="1"/>
  <c r="O22" i="15" s="1"/>
  <c r="O23" i="15" a="1"/>
  <c r="O23" i="15" s="1"/>
  <c r="O24" i="15" a="1"/>
  <c r="O24" i="15" s="1"/>
  <c r="O25" i="15" a="1"/>
  <c r="O25" i="15" s="1"/>
  <c r="O26" i="15" a="1"/>
  <c r="O26" i="15" s="1"/>
  <c r="O27" i="15" a="1"/>
  <c r="O27" i="15" s="1"/>
  <c r="O28" i="15" a="1"/>
  <c r="O28" i="15" s="1"/>
  <c r="O29" i="15" a="1"/>
  <c r="O29" i="15" s="1"/>
  <c r="O30" i="15" a="1"/>
  <c r="O30" i="15" s="1"/>
  <c r="O31" i="15" a="1"/>
  <c r="O31" i="15" s="1"/>
  <c r="O32" i="15" a="1"/>
  <c r="O32" i="15" s="1"/>
  <c r="O33" i="15" a="1"/>
  <c r="O33" i="15" s="1"/>
  <c r="O34" i="15" a="1"/>
  <c r="O34" i="15" s="1"/>
  <c r="O35" i="15" a="1"/>
  <c r="O35" i="15" s="1"/>
  <c r="O36" i="15" a="1"/>
  <c r="O36" i="15" s="1"/>
  <c r="O37" i="15" a="1"/>
  <c r="O37" i="15" s="1"/>
  <c r="O38" i="15" a="1"/>
  <c r="O38" i="15" s="1"/>
  <c r="O6" i="15" a="1"/>
  <c r="O6" i="15" s="1"/>
  <c r="U5" i="15"/>
  <c r="X5" i="15" a="1"/>
  <c r="X5" i="15" s="1"/>
  <c r="T5" i="15"/>
  <c r="S5" i="15"/>
  <c r="R5" i="15"/>
  <c r="Q5" i="15"/>
  <c r="N5" i="15"/>
  <c r="M5" i="15"/>
  <c r="P3" i="15"/>
  <c r="P4" i="15" s="1"/>
  <c r="P5" i="15" s="1"/>
  <c r="O3" i="15"/>
  <c r="O4" i="15" s="1"/>
  <c r="O5" i="15" s="1"/>
  <c r="L3" i="15"/>
  <c r="L4" i="15" s="1"/>
  <c r="L5" i="15" s="1"/>
  <c r="N3" i="15" a="1"/>
  <c r="N3" i="15" s="1"/>
  <c r="L31" i="15" a="1"/>
  <c r="L31" i="15" s="1"/>
  <c r="J173" i="3"/>
  <c r="J172" i="3"/>
  <c r="J171" i="3"/>
  <c r="J170" i="3"/>
  <c r="J169" i="3"/>
  <c r="J168" i="3"/>
  <c r="J167" i="3"/>
  <c r="J166" i="3"/>
  <c r="J165" i="3"/>
  <c r="J164" i="3"/>
  <c r="J163" i="3"/>
  <c r="J162" i="3"/>
  <c r="J161" i="3"/>
  <c r="E42" i="20"/>
  <c r="E41" i="20"/>
  <c r="E40" i="20"/>
  <c r="E39" i="20"/>
  <c r="E38" i="20"/>
  <c r="E37" i="20"/>
  <c r="E36" i="20"/>
  <c r="E35" i="20"/>
  <c r="E34" i="20"/>
  <c r="E33" i="20"/>
  <c r="E32" i="20"/>
  <c r="E31" i="20"/>
  <c r="E30" i="20"/>
  <c r="E29" i="20"/>
  <c r="E28" i="20"/>
  <c r="E27" i="20"/>
  <c r="E26" i="20"/>
  <c r="E25" i="20"/>
  <c r="E24" i="20"/>
  <c r="E23" i="20"/>
  <c r="E22" i="20"/>
  <c r="E4" i="20"/>
  <c r="E5" i="20"/>
  <c r="E6" i="20"/>
  <c r="E7" i="20"/>
  <c r="E8" i="20"/>
  <c r="E9" i="20"/>
  <c r="E10" i="20"/>
  <c r="E11" i="20"/>
  <c r="E12" i="20"/>
  <c r="E13" i="20"/>
  <c r="E14" i="20"/>
  <c r="E15" i="20"/>
  <c r="E16" i="20"/>
  <c r="E17" i="20"/>
  <c r="E18" i="20"/>
  <c r="E19" i="20"/>
  <c r="E20" i="20"/>
  <c r="E3" i="20"/>
  <c r="W17" i="20"/>
  <c r="W16" i="20"/>
  <c r="W15" i="20"/>
  <c r="X20" i="20"/>
  <c r="X19" i="20"/>
  <c r="X18" i="20"/>
  <c r="V14" i="20"/>
  <c r="V13" i="20"/>
  <c r="V12" i="20"/>
  <c r="U11" i="20"/>
  <c r="U10" i="20"/>
  <c r="U9" i="20"/>
  <c r="T8" i="20"/>
  <c r="T7" i="20"/>
  <c r="T6" i="20"/>
  <c r="S5" i="20"/>
  <c r="S4" i="20"/>
  <c r="S3" i="20"/>
  <c r="A19" i="20"/>
  <c r="A20" i="20"/>
  <c r="A18" i="20"/>
  <c r="A17" i="20"/>
  <c r="A16" i="20"/>
  <c r="A15" i="20"/>
  <c r="A14" i="20"/>
  <c r="A13" i="20"/>
  <c r="A11" i="20"/>
  <c r="A10" i="20"/>
  <c r="A8" i="20"/>
  <c r="A7" i="20"/>
  <c r="A12" i="20"/>
  <c r="A9" i="20"/>
  <c r="A6" i="20"/>
  <c r="A4" i="20"/>
  <c r="A5" i="20"/>
  <c r="A3" i="20"/>
  <c r="C14" i="17"/>
  <c r="C17" i="17" s="1"/>
  <c r="C20" i="17" s="1"/>
  <c r="C15" i="17"/>
  <c r="C18" i="17" s="1"/>
  <c r="C21" i="17" s="1"/>
  <c r="C16" i="17"/>
  <c r="C19" i="17" s="1"/>
  <c r="C100" i="17"/>
  <c r="C103" i="17" s="1"/>
  <c r="C106" i="17" s="1"/>
  <c r="C99" i="17"/>
  <c r="C102" i="17" s="1"/>
  <c r="C105" i="17" s="1"/>
  <c r="C98" i="17"/>
  <c r="C101" i="17" s="1"/>
  <c r="C104" i="17" s="1"/>
  <c r="C78" i="17"/>
  <c r="C81" i="17" s="1"/>
  <c r="C84" i="17" s="1"/>
  <c r="C77" i="17"/>
  <c r="C80" i="17" s="1"/>
  <c r="C83" i="17" s="1"/>
  <c r="C79" i="17"/>
  <c r="C82" i="17" s="1"/>
  <c r="C85" i="17" s="1"/>
  <c r="C58" i="17"/>
  <c r="C61" i="17" s="1"/>
  <c r="C64" i="17" s="1"/>
  <c r="C57" i="17"/>
  <c r="C60" i="17" s="1"/>
  <c r="C63" i="17" s="1"/>
  <c r="C56" i="17"/>
  <c r="C59" i="17" s="1"/>
  <c r="C62" i="17" s="1"/>
  <c r="C37" i="17"/>
  <c r="C40" i="17" s="1"/>
  <c r="C36" i="17"/>
  <c r="C39" i="17" s="1"/>
  <c r="C42" i="17" s="1"/>
  <c r="C35" i="17"/>
  <c r="C38" i="17" s="1"/>
  <c r="C41" i="17" s="1"/>
  <c r="M31" i="15" a="1"/>
  <c r="M31" i="15" s="1"/>
  <c r="N31" i="15" a="1"/>
  <c r="N31" i="15" s="1"/>
  <c r="P31" i="15" a="1"/>
  <c r="P31" i="15" s="1"/>
  <c r="Q31" i="15" a="1"/>
  <c r="Q31" i="15" s="1"/>
  <c r="R31" i="15" a="1"/>
  <c r="R31" i="15" s="1"/>
  <c r="S31" i="15" a="1"/>
  <c r="S31" i="15" s="1"/>
  <c r="T31" i="15" a="1"/>
  <c r="T31" i="15" s="1"/>
  <c r="U31" i="15" a="1"/>
  <c r="U31" i="15" s="1"/>
  <c r="V31" i="15" a="1"/>
  <c r="V31" i="15" s="1"/>
  <c r="W31" i="15" a="1"/>
  <c r="W31" i="15" s="1"/>
  <c r="X31" i="15" a="1"/>
  <c r="X31" i="15" s="1"/>
  <c r="L32" i="15" a="1"/>
  <c r="L32" i="15" s="1"/>
  <c r="M32" i="15" a="1"/>
  <c r="M32" i="15" s="1"/>
  <c r="N32" i="15" a="1"/>
  <c r="N32" i="15" s="1"/>
  <c r="P32" i="15" a="1"/>
  <c r="P32" i="15" s="1"/>
  <c r="Q32" i="15" a="1"/>
  <c r="Q32" i="15" s="1"/>
  <c r="R32" i="15" a="1"/>
  <c r="R32" i="15" s="1"/>
  <c r="S32" i="15" a="1"/>
  <c r="S32" i="15" s="1"/>
  <c r="T32" i="15" a="1"/>
  <c r="T32" i="15" s="1"/>
  <c r="U32" i="15" a="1"/>
  <c r="U32" i="15" s="1"/>
  <c r="V32" i="15" a="1"/>
  <c r="V32" i="15" s="1"/>
  <c r="W32" i="15" a="1"/>
  <c r="W32" i="15" s="1"/>
  <c r="X32" i="15" a="1"/>
  <c r="X32" i="15" s="1"/>
  <c r="Q2" i="15" a="1"/>
  <c r="Q2" i="15" s="1"/>
  <c r="R2" i="15" a="1"/>
  <c r="R2" i="15" s="1"/>
  <c r="S2" i="15" a="1"/>
  <c r="S2" i="15" s="1"/>
  <c r="T2" i="15" a="1"/>
  <c r="T2" i="15" s="1"/>
  <c r="U2" i="15" a="1"/>
  <c r="U2" i="15" s="1"/>
  <c r="V2" i="15" a="1"/>
  <c r="V2" i="15" s="1"/>
  <c r="W2" i="15" a="1"/>
  <c r="W2" i="15" s="1"/>
  <c r="X2" i="15" a="1"/>
  <c r="X2" i="15" s="1"/>
  <c r="Q3" i="15" a="1"/>
  <c r="Q3" i="15" s="1"/>
  <c r="R3" i="15" a="1"/>
  <c r="R3" i="15" s="1"/>
  <c r="S3" i="15" a="1"/>
  <c r="S3" i="15" s="1"/>
  <c r="T3" i="15" a="1"/>
  <c r="T3" i="15" s="1"/>
  <c r="U3" i="15" a="1"/>
  <c r="U3" i="15" s="1"/>
  <c r="V3" i="15" a="1"/>
  <c r="V3" i="15" s="1"/>
  <c r="W3" i="15" a="1"/>
  <c r="W3" i="15" s="1"/>
  <c r="X3" i="15" a="1"/>
  <c r="X3" i="15" s="1"/>
  <c r="V4" i="15" a="1"/>
  <c r="V4" i="15" s="1"/>
  <c r="W4" i="15" a="1"/>
  <c r="W4" i="15" s="1"/>
  <c r="X4" i="15" a="1"/>
  <c r="X4" i="15" s="1"/>
  <c r="V5" i="15" a="1"/>
  <c r="V5" i="15" s="1"/>
  <c r="W5" i="15" a="1"/>
  <c r="W5" i="15" s="1"/>
  <c r="L33" i="15" a="1"/>
  <c r="L33" i="15" s="1"/>
  <c r="M33" i="15" a="1"/>
  <c r="M33" i="15" s="1"/>
  <c r="N33" i="15" a="1"/>
  <c r="N33" i="15" s="1"/>
  <c r="P33" i="15" a="1"/>
  <c r="P33" i="15" s="1"/>
  <c r="Q33" i="15" a="1"/>
  <c r="Q33" i="15" s="1"/>
  <c r="R33" i="15" a="1"/>
  <c r="R33" i="15" s="1"/>
  <c r="S33" i="15" a="1"/>
  <c r="S33" i="15" s="1"/>
  <c r="T33" i="15" a="1"/>
  <c r="T33" i="15" s="1"/>
  <c r="U33" i="15" a="1"/>
  <c r="U33" i="15" s="1"/>
  <c r="V33" i="15" a="1"/>
  <c r="V33" i="15" s="1"/>
  <c r="W33" i="15" a="1"/>
  <c r="W33" i="15" s="1"/>
  <c r="X33" i="15" a="1"/>
  <c r="X33" i="15" s="1"/>
  <c r="L34" i="15" a="1"/>
  <c r="L34" i="15" s="1"/>
  <c r="M34" i="15" a="1"/>
  <c r="M34" i="15" s="1"/>
  <c r="N34" i="15" a="1"/>
  <c r="N34" i="15" s="1"/>
  <c r="P34" i="15" a="1"/>
  <c r="P34" i="15" s="1"/>
  <c r="Q34" i="15" a="1"/>
  <c r="Q34" i="15" s="1"/>
  <c r="R34" i="15" a="1"/>
  <c r="R34" i="15" s="1"/>
  <c r="S34" i="15" a="1"/>
  <c r="S34" i="15" s="1"/>
  <c r="T34" i="15" a="1"/>
  <c r="T34" i="15" s="1"/>
  <c r="U34" i="15" a="1"/>
  <c r="U34" i="15" s="1"/>
  <c r="V34" i="15" a="1"/>
  <c r="V34" i="15" s="1"/>
  <c r="W34" i="15" a="1"/>
  <c r="W34" i="15" s="1"/>
  <c r="X34" i="15" a="1"/>
  <c r="X34" i="15" s="1"/>
  <c r="L35" i="15" a="1"/>
  <c r="L35" i="15" s="1"/>
  <c r="M35" i="15" a="1"/>
  <c r="M35" i="15" s="1"/>
  <c r="N35" i="15" a="1"/>
  <c r="N35" i="15" s="1"/>
  <c r="P35" i="15" a="1"/>
  <c r="P35" i="15" s="1"/>
  <c r="Q35" i="15" a="1"/>
  <c r="Q35" i="15" s="1"/>
  <c r="R35" i="15" a="1"/>
  <c r="R35" i="15" s="1"/>
  <c r="S35" i="15" a="1"/>
  <c r="S35" i="15" s="1"/>
  <c r="T35" i="15" a="1"/>
  <c r="T35" i="15" s="1"/>
  <c r="U35" i="15" a="1"/>
  <c r="U35" i="15" s="1"/>
  <c r="V35" i="15" a="1"/>
  <c r="V35" i="15" s="1"/>
  <c r="W35" i="15" a="1"/>
  <c r="W35" i="15" s="1"/>
  <c r="X35" i="15" a="1"/>
  <c r="X35" i="15" s="1"/>
  <c r="L36" i="15" a="1"/>
  <c r="L36" i="15" s="1"/>
  <c r="M36" i="15" a="1"/>
  <c r="M36" i="15" s="1"/>
  <c r="N36" i="15" a="1"/>
  <c r="N36" i="15" s="1"/>
  <c r="P36" i="15" a="1"/>
  <c r="P36" i="15" s="1"/>
  <c r="Q36" i="15" a="1"/>
  <c r="Q36" i="15" s="1"/>
  <c r="R36" i="15" a="1"/>
  <c r="R36" i="15" s="1"/>
  <c r="S36" i="15" a="1"/>
  <c r="S36" i="15" s="1"/>
  <c r="T36" i="15" a="1"/>
  <c r="T36" i="15" s="1"/>
  <c r="U36" i="15" a="1"/>
  <c r="U36" i="15" s="1"/>
  <c r="V36" i="15" a="1"/>
  <c r="V36" i="15" s="1"/>
  <c r="W36" i="15" a="1"/>
  <c r="W36" i="15" s="1"/>
  <c r="X36" i="15" a="1"/>
  <c r="X36" i="15" s="1"/>
  <c r="L37" i="15" a="1"/>
  <c r="L37" i="15" s="1"/>
  <c r="M37" i="15" a="1"/>
  <c r="M37" i="15" s="1"/>
  <c r="N37" i="15" a="1"/>
  <c r="N37" i="15" s="1"/>
  <c r="P37" i="15" a="1"/>
  <c r="P37" i="15" s="1"/>
  <c r="Q37" i="15" a="1"/>
  <c r="Q37" i="15" s="1"/>
  <c r="R37" i="15" a="1"/>
  <c r="R37" i="15" s="1"/>
  <c r="S37" i="15" a="1"/>
  <c r="S37" i="15" s="1"/>
  <c r="T37" i="15" a="1"/>
  <c r="T37" i="15" s="1"/>
  <c r="U37" i="15" a="1"/>
  <c r="U37" i="15" s="1"/>
  <c r="V37" i="15" a="1"/>
  <c r="V37" i="15" s="1"/>
  <c r="W37" i="15" a="1"/>
  <c r="W37" i="15" s="1"/>
  <c r="X37" i="15" a="1"/>
  <c r="X37" i="15" s="1"/>
  <c r="L38" i="15" a="1"/>
  <c r="L38" i="15" s="1"/>
  <c r="M38" i="15" a="1"/>
  <c r="M38" i="15" s="1"/>
  <c r="N38" i="15" a="1"/>
  <c r="N38" i="15" s="1"/>
  <c r="P38" i="15" a="1"/>
  <c r="P38" i="15" s="1"/>
  <c r="Q38" i="15" a="1"/>
  <c r="Q38" i="15" s="1"/>
  <c r="R38" i="15" a="1"/>
  <c r="R38" i="15" s="1"/>
  <c r="S38" i="15" a="1"/>
  <c r="S38" i="15" s="1"/>
  <c r="T38" i="15" a="1"/>
  <c r="T38" i="15" s="1"/>
  <c r="U38" i="15" a="1"/>
  <c r="U38" i="15" s="1"/>
  <c r="V38" i="15" a="1"/>
  <c r="V38" i="15" s="1"/>
  <c r="W38" i="15" a="1"/>
  <c r="W38" i="15" s="1"/>
  <c r="X38" i="15" a="1"/>
  <c r="X38" i="15" s="1"/>
  <c r="L7" i="15" a="1"/>
  <c r="L7" i="15" s="1"/>
  <c r="M7" i="15" a="1"/>
  <c r="M7" i="15" s="1"/>
  <c r="N7" i="15" a="1"/>
  <c r="N7" i="15" s="1"/>
  <c r="P7" i="15" a="1"/>
  <c r="P7" i="15" s="1"/>
  <c r="Q7" i="15" a="1"/>
  <c r="Q7" i="15" s="1"/>
  <c r="R7" i="15" a="1"/>
  <c r="R7" i="15" s="1"/>
  <c r="S7" i="15" a="1"/>
  <c r="S7" i="15" s="1"/>
  <c r="T7" i="15" a="1"/>
  <c r="T7" i="15" s="1"/>
  <c r="U7" i="15" a="1"/>
  <c r="U7" i="15" s="1"/>
  <c r="V7" i="15" a="1"/>
  <c r="V7" i="15" s="1"/>
  <c r="W7" i="15" a="1"/>
  <c r="W7" i="15" s="1"/>
  <c r="X7" i="15" a="1"/>
  <c r="X7" i="15" s="1"/>
  <c r="L8" i="15" a="1"/>
  <c r="L8" i="15" s="1"/>
  <c r="M8" i="15" a="1"/>
  <c r="M8" i="15" s="1"/>
  <c r="N8" i="15" a="1"/>
  <c r="N8" i="15" s="1"/>
  <c r="P8" i="15" a="1"/>
  <c r="P8" i="15" s="1"/>
  <c r="Q8" i="15" a="1"/>
  <c r="Q8" i="15" s="1"/>
  <c r="R8" i="15" a="1"/>
  <c r="R8" i="15" s="1"/>
  <c r="S8" i="15" a="1"/>
  <c r="S8" i="15" s="1"/>
  <c r="T8" i="15" a="1"/>
  <c r="T8" i="15" s="1"/>
  <c r="U8" i="15" a="1"/>
  <c r="U8" i="15" s="1"/>
  <c r="V8" i="15" a="1"/>
  <c r="V8" i="15" s="1"/>
  <c r="W8" i="15" a="1"/>
  <c r="W8" i="15" s="1"/>
  <c r="X8" i="15" a="1"/>
  <c r="X8" i="15" s="1"/>
  <c r="L9" i="15" a="1"/>
  <c r="L9" i="15" s="1"/>
  <c r="M9" i="15" a="1"/>
  <c r="M9" i="15" s="1"/>
  <c r="N9" i="15" a="1"/>
  <c r="N9" i="15" s="1"/>
  <c r="P9" i="15" a="1"/>
  <c r="P9" i="15" s="1"/>
  <c r="Q9" i="15" a="1"/>
  <c r="Q9" i="15" s="1"/>
  <c r="R9" i="15" a="1"/>
  <c r="R9" i="15" s="1"/>
  <c r="S9" i="15" a="1"/>
  <c r="S9" i="15" s="1"/>
  <c r="T9" i="15" a="1"/>
  <c r="T9" i="15" s="1"/>
  <c r="U9" i="15" a="1"/>
  <c r="U9" i="15" s="1"/>
  <c r="V9" i="15" a="1"/>
  <c r="V9" i="15" s="1"/>
  <c r="W9" i="15" a="1"/>
  <c r="W9" i="15" s="1"/>
  <c r="X9" i="15" a="1"/>
  <c r="X9" i="15" s="1"/>
  <c r="L10" i="15" a="1"/>
  <c r="L10" i="15" s="1"/>
  <c r="M10" i="15" a="1"/>
  <c r="M10" i="15" s="1"/>
  <c r="N10" i="15" a="1"/>
  <c r="N10" i="15" s="1"/>
  <c r="P10" i="15" a="1"/>
  <c r="P10" i="15" s="1"/>
  <c r="Q10" i="15" a="1"/>
  <c r="Q10" i="15" s="1"/>
  <c r="R10" i="15" a="1"/>
  <c r="R10" i="15" s="1"/>
  <c r="S10" i="15" a="1"/>
  <c r="S10" i="15" s="1"/>
  <c r="T10" i="15" a="1"/>
  <c r="T10" i="15" s="1"/>
  <c r="U10" i="15" a="1"/>
  <c r="U10" i="15" s="1"/>
  <c r="V10" i="15" a="1"/>
  <c r="V10" i="15" s="1"/>
  <c r="W10" i="15" a="1"/>
  <c r="W10" i="15" s="1"/>
  <c r="X10" i="15" a="1"/>
  <c r="X10" i="15" s="1"/>
  <c r="L11" i="15" a="1"/>
  <c r="L11" i="15" s="1"/>
  <c r="M11" i="15" a="1"/>
  <c r="M11" i="15" s="1"/>
  <c r="N11" i="15" a="1"/>
  <c r="N11" i="15" s="1"/>
  <c r="P11" i="15" a="1"/>
  <c r="P11" i="15" s="1"/>
  <c r="Q11" i="15" a="1"/>
  <c r="Q11" i="15" s="1"/>
  <c r="R11" i="15" a="1"/>
  <c r="R11" i="15" s="1"/>
  <c r="S11" i="15" a="1"/>
  <c r="S11" i="15" s="1"/>
  <c r="T11" i="15" a="1"/>
  <c r="T11" i="15" s="1"/>
  <c r="U11" i="15" a="1"/>
  <c r="U11" i="15" s="1"/>
  <c r="V11" i="15" a="1"/>
  <c r="V11" i="15" s="1"/>
  <c r="W11" i="15" a="1"/>
  <c r="W11" i="15" s="1"/>
  <c r="X11" i="15" a="1"/>
  <c r="X11" i="15" s="1"/>
  <c r="L12" i="15" a="1"/>
  <c r="L12" i="15" s="1"/>
  <c r="M12" i="15" a="1"/>
  <c r="M12" i="15" s="1"/>
  <c r="N12" i="15" a="1"/>
  <c r="N12" i="15" s="1"/>
  <c r="P12" i="15" a="1"/>
  <c r="P12" i="15" s="1"/>
  <c r="Q12" i="15" a="1"/>
  <c r="Q12" i="15" s="1"/>
  <c r="R12" i="15" a="1"/>
  <c r="R12" i="15" s="1"/>
  <c r="S12" i="15" a="1"/>
  <c r="S12" i="15" s="1"/>
  <c r="T12" i="15" a="1"/>
  <c r="T12" i="15" s="1"/>
  <c r="U12" i="15" a="1"/>
  <c r="U12" i="15" s="1"/>
  <c r="V12" i="15" a="1"/>
  <c r="V12" i="15" s="1"/>
  <c r="W12" i="15" a="1"/>
  <c r="W12" i="15" s="1"/>
  <c r="X12" i="15" a="1"/>
  <c r="X12" i="15" s="1"/>
  <c r="L13" i="15" a="1"/>
  <c r="L13" i="15" s="1"/>
  <c r="M13" i="15" a="1"/>
  <c r="M13" i="15" s="1"/>
  <c r="N13" i="15" a="1"/>
  <c r="N13" i="15" s="1"/>
  <c r="P13" i="15" a="1"/>
  <c r="P13" i="15" s="1"/>
  <c r="Q13" i="15" a="1"/>
  <c r="Q13" i="15" s="1"/>
  <c r="R13" i="15" a="1"/>
  <c r="R13" i="15" s="1"/>
  <c r="S13" i="15" a="1"/>
  <c r="S13" i="15" s="1"/>
  <c r="T13" i="15" a="1"/>
  <c r="T13" i="15" s="1"/>
  <c r="U13" i="15" a="1"/>
  <c r="U13" i="15" s="1"/>
  <c r="V13" i="15" a="1"/>
  <c r="V13" i="15" s="1"/>
  <c r="W13" i="15" a="1"/>
  <c r="W13" i="15" s="1"/>
  <c r="X13" i="15" a="1"/>
  <c r="X13" i="15" s="1"/>
  <c r="L14" i="15" a="1"/>
  <c r="L14" i="15" s="1"/>
  <c r="M14" i="15" a="1"/>
  <c r="M14" i="15" s="1"/>
  <c r="N14" i="15" a="1"/>
  <c r="N14" i="15" s="1"/>
  <c r="P14" i="15" a="1"/>
  <c r="P14" i="15" s="1"/>
  <c r="Q14" i="15" a="1"/>
  <c r="Q14" i="15" s="1"/>
  <c r="R14" i="15" a="1"/>
  <c r="R14" i="15" s="1"/>
  <c r="S14" i="15" a="1"/>
  <c r="S14" i="15" s="1"/>
  <c r="T14" i="15" a="1"/>
  <c r="T14" i="15" s="1"/>
  <c r="U14" i="15" a="1"/>
  <c r="U14" i="15" s="1"/>
  <c r="V14" i="15" a="1"/>
  <c r="V14" i="15" s="1"/>
  <c r="W14" i="15" a="1"/>
  <c r="W14" i="15" s="1"/>
  <c r="X14" i="15" a="1"/>
  <c r="X14" i="15" s="1"/>
  <c r="L15" i="15" a="1"/>
  <c r="L15" i="15" s="1"/>
  <c r="M15" i="15" a="1"/>
  <c r="M15" i="15" s="1"/>
  <c r="N15" i="15" a="1"/>
  <c r="N15" i="15" s="1"/>
  <c r="P15" i="15" a="1"/>
  <c r="P15" i="15" s="1"/>
  <c r="Q15" i="15" a="1"/>
  <c r="Q15" i="15" s="1"/>
  <c r="R15" i="15" a="1"/>
  <c r="R15" i="15" s="1"/>
  <c r="S15" i="15" a="1"/>
  <c r="S15" i="15" s="1"/>
  <c r="T15" i="15" a="1"/>
  <c r="T15" i="15" s="1"/>
  <c r="U15" i="15" a="1"/>
  <c r="U15" i="15" s="1"/>
  <c r="V15" i="15" a="1"/>
  <c r="V15" i="15" s="1"/>
  <c r="W15" i="15" a="1"/>
  <c r="W15" i="15" s="1"/>
  <c r="X15" i="15" a="1"/>
  <c r="X15" i="15" s="1"/>
  <c r="L16" i="15" a="1"/>
  <c r="L16" i="15" s="1"/>
  <c r="M16" i="15" a="1"/>
  <c r="M16" i="15" s="1"/>
  <c r="N16" i="15" a="1"/>
  <c r="N16" i="15" s="1"/>
  <c r="P16" i="15" a="1"/>
  <c r="P16" i="15" s="1"/>
  <c r="Q16" i="15" a="1"/>
  <c r="Q16" i="15" s="1"/>
  <c r="R16" i="15" a="1"/>
  <c r="R16" i="15" s="1"/>
  <c r="S16" i="15" a="1"/>
  <c r="S16" i="15" s="1"/>
  <c r="T16" i="15" a="1"/>
  <c r="T16" i="15" s="1"/>
  <c r="U16" i="15" a="1"/>
  <c r="U16" i="15" s="1"/>
  <c r="V16" i="15" a="1"/>
  <c r="V16" i="15" s="1"/>
  <c r="W16" i="15" a="1"/>
  <c r="W16" i="15" s="1"/>
  <c r="X16" i="15" a="1"/>
  <c r="X16" i="15" s="1"/>
  <c r="L17" i="15" a="1"/>
  <c r="L17" i="15" s="1"/>
  <c r="M17" i="15" a="1"/>
  <c r="M17" i="15" s="1"/>
  <c r="N17" i="15" a="1"/>
  <c r="N17" i="15" s="1"/>
  <c r="P17" i="15" a="1"/>
  <c r="P17" i="15" s="1"/>
  <c r="Q17" i="15" a="1"/>
  <c r="Q17" i="15" s="1"/>
  <c r="R17" i="15" a="1"/>
  <c r="R17" i="15" s="1"/>
  <c r="S17" i="15" a="1"/>
  <c r="S17" i="15" s="1"/>
  <c r="T17" i="15" a="1"/>
  <c r="T17" i="15" s="1"/>
  <c r="U17" i="15" a="1"/>
  <c r="U17" i="15" s="1"/>
  <c r="V17" i="15" a="1"/>
  <c r="V17" i="15" s="1"/>
  <c r="W17" i="15" a="1"/>
  <c r="W17" i="15" s="1"/>
  <c r="X17" i="15" a="1"/>
  <c r="X17" i="15" s="1"/>
  <c r="L18" i="15" a="1"/>
  <c r="L18" i="15" s="1"/>
  <c r="M18" i="15" a="1"/>
  <c r="M18" i="15" s="1"/>
  <c r="N18" i="15" a="1"/>
  <c r="N18" i="15" s="1"/>
  <c r="P18" i="15" a="1"/>
  <c r="P18" i="15" s="1"/>
  <c r="Q18" i="15" a="1"/>
  <c r="Q18" i="15" s="1"/>
  <c r="R18" i="15" a="1"/>
  <c r="R18" i="15" s="1"/>
  <c r="S18" i="15" a="1"/>
  <c r="S18" i="15" s="1"/>
  <c r="T18" i="15" a="1"/>
  <c r="T18" i="15" s="1"/>
  <c r="U18" i="15" a="1"/>
  <c r="U18" i="15" s="1"/>
  <c r="V18" i="15" a="1"/>
  <c r="V18" i="15" s="1"/>
  <c r="W18" i="15" a="1"/>
  <c r="W18" i="15" s="1"/>
  <c r="X18" i="15" a="1"/>
  <c r="X18" i="15" s="1"/>
  <c r="L19" i="15" a="1"/>
  <c r="L19" i="15" s="1"/>
  <c r="M19" i="15" a="1"/>
  <c r="M19" i="15" s="1"/>
  <c r="N19" i="15" a="1"/>
  <c r="N19" i="15" s="1"/>
  <c r="P19" i="15" a="1"/>
  <c r="P19" i="15" s="1"/>
  <c r="Q19" i="15" a="1"/>
  <c r="Q19" i="15" s="1"/>
  <c r="R19" i="15" a="1"/>
  <c r="R19" i="15" s="1"/>
  <c r="S19" i="15" a="1"/>
  <c r="S19" i="15" s="1"/>
  <c r="T19" i="15" a="1"/>
  <c r="T19" i="15" s="1"/>
  <c r="U19" i="15" a="1"/>
  <c r="U19" i="15" s="1"/>
  <c r="V19" i="15" a="1"/>
  <c r="V19" i="15" s="1"/>
  <c r="W19" i="15" a="1"/>
  <c r="W19" i="15" s="1"/>
  <c r="X19" i="15" a="1"/>
  <c r="X19" i="15" s="1"/>
  <c r="L20" i="15" a="1"/>
  <c r="L20" i="15" s="1"/>
  <c r="M20" i="15" a="1"/>
  <c r="M20" i="15" s="1"/>
  <c r="N20" i="15" a="1"/>
  <c r="N20" i="15" s="1"/>
  <c r="P20" i="15" a="1"/>
  <c r="P20" i="15" s="1"/>
  <c r="Q20" i="15" a="1"/>
  <c r="Q20" i="15" s="1"/>
  <c r="R20" i="15" a="1"/>
  <c r="R20" i="15" s="1"/>
  <c r="S20" i="15" a="1"/>
  <c r="S20" i="15" s="1"/>
  <c r="T20" i="15" a="1"/>
  <c r="T20" i="15" s="1"/>
  <c r="U20" i="15" a="1"/>
  <c r="U20" i="15" s="1"/>
  <c r="V20" i="15" a="1"/>
  <c r="V20" i="15" s="1"/>
  <c r="W20" i="15" a="1"/>
  <c r="W20" i="15" s="1"/>
  <c r="X20" i="15" a="1"/>
  <c r="X20" i="15" s="1"/>
  <c r="L21" i="15" a="1"/>
  <c r="L21" i="15" s="1"/>
  <c r="M21" i="15" a="1"/>
  <c r="M21" i="15" s="1"/>
  <c r="N21" i="15" a="1"/>
  <c r="N21" i="15" s="1"/>
  <c r="P21" i="15" a="1"/>
  <c r="P21" i="15" s="1"/>
  <c r="Q21" i="15" a="1"/>
  <c r="Q21" i="15" s="1"/>
  <c r="R21" i="15" a="1"/>
  <c r="R21" i="15" s="1"/>
  <c r="S21" i="15" a="1"/>
  <c r="S21" i="15" s="1"/>
  <c r="T21" i="15" a="1"/>
  <c r="T21" i="15" s="1"/>
  <c r="U21" i="15" a="1"/>
  <c r="U21" i="15" s="1"/>
  <c r="V21" i="15" a="1"/>
  <c r="V21" i="15" s="1"/>
  <c r="W21" i="15" a="1"/>
  <c r="W21" i="15" s="1"/>
  <c r="X21" i="15" a="1"/>
  <c r="X21" i="15" s="1"/>
  <c r="L22" i="15" a="1"/>
  <c r="L22" i="15" s="1"/>
  <c r="M22" i="15" a="1"/>
  <c r="M22" i="15" s="1"/>
  <c r="N22" i="15" a="1"/>
  <c r="N22" i="15" s="1"/>
  <c r="P22" i="15" a="1"/>
  <c r="P22" i="15" s="1"/>
  <c r="Q22" i="15" a="1"/>
  <c r="Q22" i="15" s="1"/>
  <c r="R22" i="15" a="1"/>
  <c r="R22" i="15" s="1"/>
  <c r="S22" i="15" a="1"/>
  <c r="S22" i="15" s="1"/>
  <c r="T22" i="15" a="1"/>
  <c r="T22" i="15" s="1"/>
  <c r="U22" i="15" a="1"/>
  <c r="U22" i="15" s="1"/>
  <c r="V22" i="15" a="1"/>
  <c r="V22" i="15" s="1"/>
  <c r="W22" i="15" a="1"/>
  <c r="W22" i="15" s="1"/>
  <c r="X22" i="15" a="1"/>
  <c r="X22" i="15" s="1"/>
  <c r="L23" i="15" a="1"/>
  <c r="L23" i="15" s="1"/>
  <c r="M23" i="15" a="1"/>
  <c r="M23" i="15" s="1"/>
  <c r="N23" i="15" a="1"/>
  <c r="N23" i="15" s="1"/>
  <c r="P23" i="15" a="1"/>
  <c r="P23" i="15" s="1"/>
  <c r="Q23" i="15" a="1"/>
  <c r="Q23" i="15" s="1"/>
  <c r="R23" i="15" a="1"/>
  <c r="R23" i="15" s="1"/>
  <c r="S23" i="15" a="1"/>
  <c r="S23" i="15" s="1"/>
  <c r="T23" i="15" a="1"/>
  <c r="T23" i="15" s="1"/>
  <c r="U23" i="15" a="1"/>
  <c r="U23" i="15" s="1"/>
  <c r="V23" i="15" a="1"/>
  <c r="V23" i="15" s="1"/>
  <c r="W23" i="15" a="1"/>
  <c r="W23" i="15" s="1"/>
  <c r="X23" i="15" a="1"/>
  <c r="X23" i="15" s="1"/>
  <c r="L24" i="15" a="1"/>
  <c r="L24" i="15" s="1"/>
  <c r="M24" i="15" a="1"/>
  <c r="M24" i="15" s="1"/>
  <c r="N24" i="15" a="1"/>
  <c r="N24" i="15" s="1"/>
  <c r="P24" i="15" a="1"/>
  <c r="P24" i="15" s="1"/>
  <c r="Q24" i="15" a="1"/>
  <c r="Q24" i="15" s="1"/>
  <c r="R24" i="15" a="1"/>
  <c r="R24" i="15" s="1"/>
  <c r="S24" i="15" a="1"/>
  <c r="S24" i="15" s="1"/>
  <c r="T24" i="15" a="1"/>
  <c r="T24" i="15" s="1"/>
  <c r="U24" i="15" a="1"/>
  <c r="U24" i="15" s="1"/>
  <c r="V24" i="15" a="1"/>
  <c r="V24" i="15" s="1"/>
  <c r="W24" i="15" a="1"/>
  <c r="W24" i="15" s="1"/>
  <c r="X24" i="15" a="1"/>
  <c r="X24" i="15" s="1"/>
  <c r="L25" i="15" a="1"/>
  <c r="L25" i="15" s="1"/>
  <c r="M25" i="15" a="1"/>
  <c r="M25" i="15" s="1"/>
  <c r="N25" i="15" a="1"/>
  <c r="N25" i="15" s="1"/>
  <c r="P25" i="15" a="1"/>
  <c r="P25" i="15" s="1"/>
  <c r="Q25" i="15" a="1"/>
  <c r="Q25" i="15" s="1"/>
  <c r="R25" i="15" a="1"/>
  <c r="R25" i="15" s="1"/>
  <c r="S25" i="15" a="1"/>
  <c r="S25" i="15" s="1"/>
  <c r="T25" i="15" a="1"/>
  <c r="T25" i="15" s="1"/>
  <c r="U25" i="15" a="1"/>
  <c r="U25" i="15" s="1"/>
  <c r="V25" i="15" a="1"/>
  <c r="V25" i="15" s="1"/>
  <c r="W25" i="15" a="1"/>
  <c r="W25" i="15" s="1"/>
  <c r="X25" i="15" a="1"/>
  <c r="X25" i="15" s="1"/>
  <c r="L26" i="15" a="1"/>
  <c r="L26" i="15" s="1"/>
  <c r="M26" i="15" a="1"/>
  <c r="M26" i="15" s="1"/>
  <c r="N26" i="15" a="1"/>
  <c r="N26" i="15" s="1"/>
  <c r="P26" i="15" a="1"/>
  <c r="P26" i="15" s="1"/>
  <c r="Q26" i="15" a="1"/>
  <c r="Q26" i="15" s="1"/>
  <c r="R26" i="15" a="1"/>
  <c r="R26" i="15" s="1"/>
  <c r="S26" i="15" a="1"/>
  <c r="S26" i="15" s="1"/>
  <c r="T26" i="15" a="1"/>
  <c r="T26" i="15" s="1"/>
  <c r="U26" i="15" a="1"/>
  <c r="U26" i="15" s="1"/>
  <c r="V26" i="15" a="1"/>
  <c r="V26" i="15" s="1"/>
  <c r="W26" i="15" a="1"/>
  <c r="W26" i="15" s="1"/>
  <c r="X26" i="15" a="1"/>
  <c r="X26" i="15" s="1"/>
  <c r="L27" i="15" a="1"/>
  <c r="L27" i="15" s="1"/>
  <c r="M27" i="15" a="1"/>
  <c r="M27" i="15" s="1"/>
  <c r="N27" i="15" a="1"/>
  <c r="N27" i="15" s="1"/>
  <c r="P27" i="15" a="1"/>
  <c r="P27" i="15" s="1"/>
  <c r="Q27" i="15" a="1"/>
  <c r="Q27" i="15" s="1"/>
  <c r="R27" i="15" a="1"/>
  <c r="R27" i="15" s="1"/>
  <c r="S27" i="15" a="1"/>
  <c r="S27" i="15" s="1"/>
  <c r="T27" i="15" a="1"/>
  <c r="T27" i="15" s="1"/>
  <c r="U27" i="15" a="1"/>
  <c r="U27" i="15" s="1"/>
  <c r="V27" i="15" a="1"/>
  <c r="V27" i="15" s="1"/>
  <c r="W27" i="15" a="1"/>
  <c r="W27" i="15" s="1"/>
  <c r="X27" i="15" a="1"/>
  <c r="X27" i="15" s="1"/>
  <c r="L28" i="15" a="1"/>
  <c r="L28" i="15" s="1"/>
  <c r="M28" i="15" a="1"/>
  <c r="M28" i="15" s="1"/>
  <c r="N28" i="15" a="1"/>
  <c r="N28" i="15" s="1"/>
  <c r="P28" i="15" a="1"/>
  <c r="P28" i="15" s="1"/>
  <c r="Q28" i="15" a="1"/>
  <c r="Q28" i="15" s="1"/>
  <c r="R28" i="15" a="1"/>
  <c r="R28" i="15" s="1"/>
  <c r="S28" i="15" a="1"/>
  <c r="S28" i="15" s="1"/>
  <c r="T28" i="15" a="1"/>
  <c r="T28" i="15" s="1"/>
  <c r="U28" i="15" a="1"/>
  <c r="U28" i="15" s="1"/>
  <c r="V28" i="15" a="1"/>
  <c r="V28" i="15" s="1"/>
  <c r="W28" i="15" a="1"/>
  <c r="W28" i="15" s="1"/>
  <c r="X28" i="15" a="1"/>
  <c r="X28" i="15" s="1"/>
  <c r="L29" i="15" a="1"/>
  <c r="L29" i="15" s="1"/>
  <c r="M29" i="15" a="1"/>
  <c r="M29" i="15" s="1"/>
  <c r="N29" i="15" a="1"/>
  <c r="N29" i="15" s="1"/>
  <c r="P29" i="15" a="1"/>
  <c r="P29" i="15" s="1"/>
  <c r="Q29" i="15" a="1"/>
  <c r="Q29" i="15" s="1"/>
  <c r="R29" i="15" a="1"/>
  <c r="R29" i="15" s="1"/>
  <c r="S29" i="15" a="1"/>
  <c r="S29" i="15" s="1"/>
  <c r="T29" i="15" a="1"/>
  <c r="T29" i="15" s="1"/>
  <c r="U29" i="15" a="1"/>
  <c r="U29" i="15" s="1"/>
  <c r="V29" i="15" a="1"/>
  <c r="V29" i="15" s="1"/>
  <c r="W29" i="15" a="1"/>
  <c r="W29" i="15" s="1"/>
  <c r="X29" i="15" a="1"/>
  <c r="X29" i="15" s="1"/>
  <c r="L30" i="15" a="1"/>
  <c r="L30" i="15" s="1"/>
  <c r="M30" i="15" a="1"/>
  <c r="M30" i="15" s="1"/>
  <c r="N30" i="15" a="1"/>
  <c r="N30" i="15" s="1"/>
  <c r="P30" i="15" a="1"/>
  <c r="P30" i="15" s="1"/>
  <c r="Q30" i="15" a="1"/>
  <c r="Q30" i="15" s="1"/>
  <c r="R30" i="15" a="1"/>
  <c r="R30" i="15" s="1"/>
  <c r="S30" i="15" a="1"/>
  <c r="S30" i="15" s="1"/>
  <c r="T30" i="15" a="1"/>
  <c r="T30" i="15" s="1"/>
  <c r="U30" i="15" a="1"/>
  <c r="U30" i="15" s="1"/>
  <c r="V30" i="15" a="1"/>
  <c r="V30" i="15" s="1"/>
  <c r="W30" i="15" a="1"/>
  <c r="W30" i="15" s="1"/>
  <c r="X30" i="15" a="1"/>
  <c r="X30" i="15" s="1"/>
  <c r="M6" i="15" a="1"/>
  <c r="M6" i="15" s="1"/>
  <c r="N6" i="15" a="1"/>
  <c r="N6" i="15" s="1"/>
  <c r="Q6" i="15" a="1"/>
  <c r="Q6" i="15" s="1"/>
  <c r="R6" i="15" a="1"/>
  <c r="R6" i="15" s="1"/>
  <c r="S6" i="15" a="1"/>
  <c r="S6" i="15" s="1"/>
  <c r="T6" i="15" a="1"/>
  <c r="T6" i="15" s="1"/>
  <c r="U6" i="15" a="1"/>
  <c r="U6" i="15" s="1"/>
  <c r="V6" i="15" a="1"/>
  <c r="V6" i="15" s="1"/>
  <c r="W6" i="15" a="1"/>
  <c r="W6" i="15" s="1"/>
  <c r="X6" i="15" a="1"/>
  <c r="X6" i="15" s="1"/>
  <c r="L6" i="15" a="1"/>
  <c r="L6" i="15" s="1"/>
  <c r="H7" i="22"/>
  <c r="H8" i="22" s="1"/>
  <c r="I7" i="22"/>
  <c r="I8" i="22" s="1"/>
  <c r="K7" i="22"/>
  <c r="K8" i="22" s="1"/>
  <c r="L7" i="22"/>
  <c r="L8" i="22" s="1"/>
  <c r="M7" i="22"/>
  <c r="M8" i="22" s="1"/>
  <c r="N7" i="22"/>
  <c r="N8" i="22" s="1"/>
  <c r="G7" i="22"/>
  <c r="G8" i="22" s="1"/>
  <c r="J22" i="3"/>
  <c r="J23" i="3"/>
  <c r="J24" i="3"/>
  <c r="J25" i="3"/>
  <c r="J26" i="3"/>
  <c r="J27" i="3"/>
  <c r="J28" i="3"/>
  <c r="J29" i="3"/>
  <c r="J30" i="3"/>
  <c r="J31" i="3"/>
  <c r="J32" i="3"/>
  <c r="J33" i="3"/>
  <c r="J34" i="3"/>
  <c r="J35" i="3"/>
  <c r="J36" i="3"/>
  <c r="J37" i="3"/>
  <c r="J38" i="3"/>
  <c r="J39" i="3"/>
  <c r="J40" i="3"/>
  <c r="J41" i="3"/>
  <c r="J42" i="3"/>
  <c r="J43" i="3"/>
  <c r="J44" i="3"/>
  <c r="J45" i="3"/>
  <c r="J121" i="3"/>
  <c r="C21" i="3"/>
  <c r="J21" i="3"/>
  <c r="J20" i="3"/>
  <c r="D73" i="1"/>
  <c r="D77" i="1"/>
  <c r="D76" i="1"/>
  <c r="D75" i="1"/>
  <c r="D74" i="1"/>
  <c r="D72" i="1"/>
  <c r="C52" i="18"/>
  <c r="C51" i="18"/>
  <c r="C28" i="18"/>
  <c r="C48" i="18"/>
  <c r="C69" i="18"/>
  <c r="C93" i="18"/>
  <c r="C103" i="18"/>
  <c r="C68" i="18"/>
  <c r="C57" i="18"/>
  <c r="C61" i="18"/>
  <c r="C60" i="18"/>
  <c r="C59" i="18"/>
  <c r="C7" i="18"/>
  <c r="C6" i="18"/>
  <c r="C39" i="18"/>
  <c r="C38" i="18"/>
  <c r="C5" i="18"/>
  <c r="C3" i="18"/>
  <c r="C4" i="18"/>
  <c r="C9" i="18"/>
  <c r="C10" i="18"/>
  <c r="C30" i="18"/>
  <c r="C31" i="18"/>
  <c r="C32" i="18"/>
  <c r="C33" i="18"/>
  <c r="C34" i="18"/>
  <c r="C35" i="18"/>
  <c r="C36" i="18"/>
  <c r="C37" i="18"/>
  <c r="C40" i="18"/>
  <c r="C62" i="18"/>
  <c r="C63" i="18"/>
  <c r="C64" i="18"/>
  <c r="C65" i="18"/>
  <c r="C66" i="18"/>
  <c r="C67" i="18"/>
  <c r="C83" i="18"/>
  <c r="C50" i="18"/>
  <c r="C53" i="18"/>
  <c r="C54" i="18"/>
  <c r="C55" i="18"/>
  <c r="C56" i="18"/>
  <c r="C58" i="18"/>
  <c r="C84" i="18"/>
  <c r="C85" i="18"/>
  <c r="C86" i="18"/>
  <c r="C87" i="18"/>
  <c r="C88" i="18"/>
  <c r="C89" i="18"/>
  <c r="C90" i="18"/>
  <c r="C91" i="18"/>
  <c r="C92" i="18"/>
  <c r="C19" i="18"/>
  <c r="C20" i="18"/>
  <c r="C21" i="18"/>
  <c r="C22" i="18"/>
  <c r="C23" i="18"/>
  <c r="C24" i="18"/>
  <c r="C25" i="18"/>
  <c r="C26" i="18"/>
  <c r="C27" i="18"/>
  <c r="C29" i="18"/>
  <c r="C41" i="18"/>
  <c r="C42" i="18"/>
  <c r="C43" i="18"/>
  <c r="C44" i="18"/>
  <c r="C45" i="18"/>
  <c r="C46" i="18"/>
  <c r="C47" i="18"/>
  <c r="C49" i="18"/>
  <c r="C70" i="18"/>
  <c r="C71" i="18"/>
  <c r="C72" i="18"/>
  <c r="C73" i="18"/>
  <c r="C74" i="18"/>
  <c r="C75" i="18"/>
  <c r="C76" i="18"/>
  <c r="C77" i="18"/>
  <c r="C78" i="18"/>
  <c r="C79" i="18"/>
  <c r="C80" i="18"/>
  <c r="C81" i="18"/>
  <c r="C82" i="18"/>
  <c r="C104" i="18"/>
  <c r="C105" i="18"/>
  <c r="C106" i="18"/>
  <c r="C107" i="18"/>
  <c r="C108" i="18"/>
  <c r="C94" i="18"/>
  <c r="C95" i="18"/>
  <c r="C96" i="18"/>
  <c r="C97" i="18"/>
  <c r="C98" i="18"/>
  <c r="C99" i="18"/>
  <c r="C100" i="18"/>
  <c r="C101" i="18"/>
  <c r="C102" i="18"/>
  <c r="C109" i="18"/>
  <c r="C110" i="18"/>
  <c r="C111" i="18"/>
  <c r="C112" i="18"/>
  <c r="C113" i="18"/>
  <c r="C114" i="18"/>
  <c r="C115" i="18"/>
  <c r="C116" i="18"/>
  <c r="C117" i="18"/>
  <c r="C118" i="18"/>
  <c r="C8" i="18"/>
  <c r="H495" i="3"/>
  <c r="J498" i="3"/>
  <c r="J497" i="3"/>
  <c r="J496" i="3"/>
  <c r="J495" i="3"/>
  <c r="J494" i="3"/>
  <c r="J493" i="3"/>
  <c r="J492" i="3"/>
  <c r="H492" i="3"/>
  <c r="J491" i="3"/>
  <c r="J490" i="3"/>
  <c r="J489" i="3"/>
  <c r="J488" i="3"/>
  <c r="J487" i="3"/>
  <c r="J486" i="3"/>
  <c r="D44" i="1"/>
  <c r="BG219" i="1"/>
  <c r="BF219" i="1"/>
  <c r="BE219" i="1"/>
  <c r="BD219" i="1"/>
  <c r="BC219" i="1"/>
  <c r="BB219" i="1"/>
  <c r="BA219" i="1"/>
  <c r="AZ219" i="1"/>
  <c r="AY219" i="1"/>
  <c r="AX219" i="1"/>
  <c r="D219" i="1"/>
  <c r="BG218" i="1"/>
  <c r="BF218" i="1"/>
  <c r="BE218" i="1"/>
  <c r="BD218" i="1"/>
  <c r="BC218" i="1"/>
  <c r="BB218" i="1"/>
  <c r="BA218" i="1"/>
  <c r="AZ218" i="1"/>
  <c r="AY218" i="1"/>
  <c r="AX218" i="1"/>
  <c r="D218" i="1"/>
  <c r="BG217" i="1"/>
  <c r="BF217" i="1"/>
  <c r="BE217" i="1"/>
  <c r="BD217" i="1"/>
  <c r="BC217" i="1"/>
  <c r="BB217" i="1"/>
  <c r="BA217" i="1"/>
  <c r="AZ217" i="1"/>
  <c r="AY217" i="1"/>
  <c r="AX217" i="1"/>
  <c r="D217" i="1"/>
  <c r="BG216" i="1"/>
  <c r="BF216" i="1"/>
  <c r="BE216" i="1"/>
  <c r="BD216" i="1"/>
  <c r="BC216" i="1"/>
  <c r="BB216" i="1"/>
  <c r="BA216" i="1"/>
  <c r="AZ216" i="1"/>
  <c r="AY216" i="1"/>
  <c r="AX216" i="1"/>
  <c r="D216" i="1"/>
  <c r="BG215" i="1"/>
  <c r="BF215" i="1"/>
  <c r="BE215" i="1"/>
  <c r="BD215" i="1"/>
  <c r="BC215" i="1"/>
  <c r="BB215" i="1"/>
  <c r="BA215" i="1"/>
  <c r="AZ215" i="1"/>
  <c r="AY215" i="1"/>
  <c r="AX215" i="1"/>
  <c r="D215" i="1"/>
  <c r="BG214" i="1"/>
  <c r="BF214" i="1"/>
  <c r="BE214" i="1"/>
  <c r="BD214" i="1"/>
  <c r="BC214" i="1"/>
  <c r="BB214" i="1"/>
  <c r="BA214" i="1"/>
  <c r="AZ214" i="1"/>
  <c r="AY214" i="1"/>
  <c r="AX214" i="1"/>
  <c r="D214" i="1"/>
  <c r="BG213" i="1"/>
  <c r="BF213" i="1"/>
  <c r="BE213" i="1"/>
  <c r="BD213" i="1"/>
  <c r="BC213" i="1"/>
  <c r="BB213" i="1"/>
  <c r="BA213" i="1"/>
  <c r="AZ213" i="1"/>
  <c r="AY213" i="1"/>
  <c r="AX213" i="1"/>
  <c r="D213" i="1"/>
  <c r="BG212" i="1"/>
  <c r="BF212" i="1"/>
  <c r="BE212" i="1"/>
  <c r="BD212" i="1"/>
  <c r="BC212" i="1"/>
  <c r="BB212" i="1"/>
  <c r="BA212" i="1"/>
  <c r="AZ212" i="1"/>
  <c r="AY212" i="1"/>
  <c r="AX212" i="1"/>
  <c r="D212" i="1"/>
  <c r="BG211" i="1"/>
  <c r="BF211" i="1"/>
  <c r="BE211" i="1"/>
  <c r="BD211" i="1"/>
  <c r="BC211" i="1"/>
  <c r="BB211" i="1"/>
  <c r="BA211" i="1"/>
  <c r="AZ211" i="1"/>
  <c r="AY211" i="1"/>
  <c r="AX211" i="1"/>
  <c r="D211" i="1"/>
  <c r="BG210" i="1"/>
  <c r="BF210" i="1"/>
  <c r="BE210" i="1"/>
  <c r="BD210" i="1"/>
  <c r="BC210" i="1"/>
  <c r="BB210" i="1"/>
  <c r="BA210" i="1"/>
  <c r="AZ210" i="1"/>
  <c r="AY210" i="1"/>
  <c r="AX210" i="1"/>
  <c r="D210" i="1"/>
  <c r="BG209" i="1"/>
  <c r="BF209" i="1"/>
  <c r="BE209" i="1"/>
  <c r="BD209" i="1"/>
  <c r="BC209" i="1"/>
  <c r="BB209" i="1"/>
  <c r="BA209" i="1"/>
  <c r="AZ209" i="1"/>
  <c r="AY209" i="1"/>
  <c r="AX209" i="1"/>
  <c r="D209" i="1"/>
  <c r="BG208" i="1"/>
  <c r="BF208" i="1"/>
  <c r="BE208" i="1"/>
  <c r="BD208" i="1"/>
  <c r="BC208" i="1"/>
  <c r="BB208" i="1"/>
  <c r="BA208" i="1"/>
  <c r="AZ208" i="1"/>
  <c r="AY208" i="1"/>
  <c r="AX208" i="1"/>
  <c r="D208" i="1"/>
  <c r="BG207" i="1"/>
  <c r="BF207" i="1"/>
  <c r="BE207" i="1"/>
  <c r="BD207" i="1"/>
  <c r="BC207" i="1"/>
  <c r="BB207" i="1"/>
  <c r="BA207" i="1"/>
  <c r="AZ207" i="1"/>
  <c r="AY207" i="1"/>
  <c r="AX207" i="1"/>
  <c r="D207" i="1"/>
  <c r="BG206" i="1"/>
  <c r="BF206" i="1"/>
  <c r="BE206" i="1"/>
  <c r="BD206" i="1"/>
  <c r="BC206" i="1"/>
  <c r="BB206" i="1"/>
  <c r="BA206" i="1"/>
  <c r="AZ206" i="1"/>
  <c r="AY206" i="1"/>
  <c r="AX206" i="1"/>
  <c r="D206" i="1"/>
  <c r="BG205" i="1"/>
  <c r="BF205" i="1"/>
  <c r="BE205" i="1"/>
  <c r="BD205" i="1"/>
  <c r="BC205" i="1"/>
  <c r="BB205" i="1"/>
  <c r="BA205" i="1"/>
  <c r="AZ205" i="1"/>
  <c r="AY205" i="1"/>
  <c r="AX205" i="1"/>
  <c r="D205" i="1"/>
  <c r="BG204" i="1"/>
  <c r="BF204" i="1"/>
  <c r="BE204" i="1"/>
  <c r="BD204" i="1"/>
  <c r="BC204" i="1"/>
  <c r="BB204" i="1"/>
  <c r="BA204" i="1"/>
  <c r="AZ204" i="1"/>
  <c r="AY204" i="1"/>
  <c r="AX204" i="1"/>
  <c r="D204" i="1"/>
  <c r="BG203" i="1"/>
  <c r="BF203" i="1"/>
  <c r="BE203" i="1"/>
  <c r="BD203" i="1"/>
  <c r="BC203" i="1"/>
  <c r="BB203" i="1"/>
  <c r="BA203" i="1"/>
  <c r="AZ203" i="1"/>
  <c r="AY203" i="1"/>
  <c r="AX203" i="1"/>
  <c r="D203" i="1"/>
  <c r="BG202" i="1"/>
  <c r="BF202" i="1"/>
  <c r="BE202" i="1"/>
  <c r="BD202" i="1"/>
  <c r="BC202" i="1"/>
  <c r="BB202" i="1"/>
  <c r="BA202" i="1"/>
  <c r="AZ202" i="1"/>
  <c r="AY202" i="1"/>
  <c r="AX202" i="1"/>
  <c r="D202" i="1"/>
  <c r="BG201" i="1"/>
  <c r="BF201" i="1"/>
  <c r="BE201" i="1"/>
  <c r="BD201" i="1"/>
  <c r="BC201" i="1"/>
  <c r="BB201" i="1"/>
  <c r="BA201" i="1"/>
  <c r="AZ201" i="1"/>
  <c r="AY201" i="1"/>
  <c r="AX201" i="1"/>
  <c r="D201" i="1"/>
  <c r="BG200" i="1"/>
  <c r="BF200" i="1"/>
  <c r="BE200" i="1"/>
  <c r="BD200" i="1"/>
  <c r="BC200" i="1"/>
  <c r="BB200" i="1"/>
  <c r="BA200" i="1"/>
  <c r="AZ200" i="1"/>
  <c r="AY200" i="1"/>
  <c r="AX200" i="1"/>
  <c r="D200" i="1"/>
  <c r="BG199" i="1"/>
  <c r="BF199" i="1"/>
  <c r="BE199" i="1"/>
  <c r="BD199" i="1"/>
  <c r="BC199" i="1"/>
  <c r="BB199" i="1"/>
  <c r="BA199" i="1"/>
  <c r="AZ199" i="1"/>
  <c r="AY199" i="1"/>
  <c r="AX199" i="1"/>
  <c r="D199" i="1"/>
  <c r="BG198" i="1"/>
  <c r="BF198" i="1"/>
  <c r="BE198" i="1"/>
  <c r="BD198" i="1"/>
  <c r="BC198" i="1"/>
  <c r="BB198" i="1"/>
  <c r="BA198" i="1"/>
  <c r="AZ198" i="1"/>
  <c r="AY198" i="1"/>
  <c r="AX198" i="1"/>
  <c r="D198" i="1"/>
  <c r="BG197" i="1"/>
  <c r="BF197" i="1"/>
  <c r="BE197" i="1"/>
  <c r="BD197" i="1"/>
  <c r="BC197" i="1"/>
  <c r="BB197" i="1"/>
  <c r="BA197" i="1"/>
  <c r="AZ197" i="1"/>
  <c r="AY197" i="1"/>
  <c r="AX197" i="1"/>
  <c r="D197" i="1"/>
  <c r="BG196" i="1"/>
  <c r="BF196" i="1"/>
  <c r="BE196" i="1"/>
  <c r="BD196" i="1"/>
  <c r="BC196" i="1"/>
  <c r="BB196" i="1"/>
  <c r="BA196" i="1"/>
  <c r="AZ196" i="1"/>
  <c r="AY196" i="1"/>
  <c r="AX196" i="1"/>
  <c r="D196" i="1"/>
  <c r="BG195" i="1"/>
  <c r="BF195" i="1"/>
  <c r="BE195" i="1"/>
  <c r="BD195" i="1"/>
  <c r="BC195" i="1"/>
  <c r="BB195" i="1"/>
  <c r="BA195" i="1"/>
  <c r="AZ195" i="1"/>
  <c r="AY195" i="1"/>
  <c r="AX195" i="1"/>
  <c r="D195" i="1"/>
  <c r="BG194" i="1"/>
  <c r="BF194" i="1"/>
  <c r="BE194" i="1"/>
  <c r="BD194" i="1"/>
  <c r="BC194" i="1"/>
  <c r="BB194" i="1"/>
  <c r="BA194" i="1"/>
  <c r="AZ194" i="1"/>
  <c r="AY194" i="1"/>
  <c r="AX194" i="1"/>
  <c r="D194" i="1"/>
  <c r="BG193" i="1"/>
  <c r="BF193" i="1"/>
  <c r="BE193" i="1"/>
  <c r="BD193" i="1"/>
  <c r="BC193" i="1"/>
  <c r="BB193" i="1"/>
  <c r="BA193" i="1"/>
  <c r="AZ193" i="1"/>
  <c r="AY193" i="1"/>
  <c r="AX193" i="1"/>
  <c r="D193" i="1"/>
  <c r="BG192" i="1"/>
  <c r="BF192" i="1"/>
  <c r="BE192" i="1"/>
  <c r="BD192" i="1"/>
  <c r="BC192" i="1"/>
  <c r="BB192" i="1"/>
  <c r="BA192" i="1"/>
  <c r="AZ192" i="1"/>
  <c r="AY192" i="1"/>
  <c r="AX192" i="1"/>
  <c r="D192" i="1"/>
  <c r="BG191" i="1"/>
  <c r="BF191" i="1"/>
  <c r="BE191" i="1"/>
  <c r="BD191" i="1"/>
  <c r="BC191" i="1"/>
  <c r="BB191" i="1"/>
  <c r="BA191" i="1"/>
  <c r="AZ191" i="1"/>
  <c r="AY191" i="1"/>
  <c r="AX191" i="1"/>
  <c r="D191" i="1"/>
  <c r="BG190" i="1"/>
  <c r="BF190" i="1"/>
  <c r="BE190" i="1"/>
  <c r="BD190" i="1"/>
  <c r="BC190" i="1"/>
  <c r="BB190" i="1"/>
  <c r="BA190" i="1"/>
  <c r="AZ190" i="1"/>
  <c r="AY190" i="1"/>
  <c r="AX190"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J122" i="3"/>
  <c r="H672" i="3"/>
  <c r="H639" i="3"/>
  <c r="J5" i="3"/>
  <c r="J6" i="3"/>
  <c r="J7" i="3"/>
  <c r="J8" i="3"/>
  <c r="J9" i="3"/>
  <c r="J10" i="3"/>
  <c r="J11" i="3"/>
  <c r="J12" i="3"/>
  <c r="J13" i="3"/>
  <c r="J14" i="3"/>
  <c r="J15" i="3"/>
  <c r="J16" i="3"/>
  <c r="J17" i="3"/>
  <c r="J18" i="3"/>
  <c r="J19"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740" i="3"/>
  <c r="J741" i="3"/>
  <c r="J742" i="3"/>
  <c r="J743" i="3"/>
  <c r="J744" i="3"/>
  <c r="J745" i="3"/>
  <c r="J746" i="3"/>
  <c r="J747" i="3"/>
  <c r="J748" i="3"/>
  <c r="J749" i="3"/>
  <c r="J750" i="3"/>
  <c r="J751" i="3"/>
  <c r="J752" i="3"/>
  <c r="J753" i="3"/>
  <c r="J754" i="3"/>
  <c r="J755" i="3"/>
  <c r="J756" i="3"/>
  <c r="J757" i="3"/>
  <c r="J758" i="3"/>
  <c r="J759" i="3"/>
  <c r="J760" i="3"/>
  <c r="J761" i="3"/>
  <c r="J762" i="3"/>
  <c r="J763" i="3"/>
  <c r="J764" i="3"/>
  <c r="J765" i="3"/>
  <c r="J766" i="3"/>
  <c r="J767" i="3"/>
  <c r="J768" i="3"/>
  <c r="J769" i="3"/>
  <c r="J770" i="3"/>
  <c r="J771" i="3"/>
  <c r="J772" i="3"/>
  <c r="J773" i="3"/>
  <c r="J774" i="3"/>
  <c r="J775" i="3"/>
  <c r="J776" i="3"/>
  <c r="J777" i="3"/>
  <c r="J778" i="3"/>
  <c r="J779" i="3"/>
  <c r="J780" i="3"/>
  <c r="J781" i="3"/>
  <c r="J782" i="3"/>
  <c r="J783" i="3"/>
  <c r="J784" i="3"/>
  <c r="J785" i="3"/>
  <c r="J786" i="3"/>
  <c r="J787" i="3"/>
  <c r="J788" i="3"/>
  <c r="J789" i="3"/>
  <c r="J790" i="3"/>
  <c r="J791" i="3"/>
  <c r="J792" i="3"/>
  <c r="J793" i="3"/>
  <c r="J794" i="3"/>
  <c r="J795" i="3"/>
  <c r="J796" i="3"/>
  <c r="J797" i="3"/>
  <c r="J798" i="3"/>
  <c r="J799" i="3"/>
  <c r="J800" i="3"/>
  <c r="J801" i="3"/>
  <c r="J802" i="3"/>
  <c r="J803" i="3"/>
  <c r="J804" i="3"/>
  <c r="J805" i="3"/>
  <c r="J806" i="3"/>
  <c r="J807" i="3"/>
  <c r="J808" i="3"/>
  <c r="J809" i="3"/>
  <c r="J810" i="3"/>
  <c r="J811" i="3"/>
  <c r="J812" i="3"/>
  <c r="J813" i="3"/>
  <c r="J814" i="3"/>
  <c r="J4" i="3"/>
  <c r="H678" i="3"/>
  <c r="H675" i="3"/>
  <c r="H670" i="3"/>
  <c r="D666" i="3"/>
  <c r="B666" i="3"/>
  <c r="H665" i="3"/>
  <c r="B665" i="3"/>
  <c r="H662" i="3"/>
  <c r="D662" i="3"/>
  <c r="B662" i="3"/>
  <c r="H659" i="3"/>
  <c r="B659" i="3"/>
  <c r="H657" i="3"/>
  <c r="B657" i="3"/>
  <c r="D653" i="3"/>
  <c r="B653" i="3"/>
  <c r="H652" i="3"/>
  <c r="B652" i="3"/>
  <c r="H649" i="3"/>
  <c r="D649" i="3"/>
  <c r="B649" i="3"/>
  <c r="H646" i="3"/>
  <c r="B646" i="3"/>
  <c r="H644" i="3"/>
  <c r="B644" i="3"/>
  <c r="D627" i="3"/>
  <c r="B627" i="3"/>
  <c r="H626" i="3"/>
  <c r="B626" i="3"/>
  <c r="H623" i="3"/>
  <c r="D623" i="3"/>
  <c r="B623" i="3"/>
  <c r="H620" i="3"/>
  <c r="B620" i="3"/>
  <c r="H618" i="3"/>
  <c r="B618" i="3"/>
  <c r="H610" i="3"/>
  <c r="H605" i="3"/>
  <c r="B605" i="3"/>
  <c r="D614" i="3"/>
  <c r="D610" i="3"/>
  <c r="H613" i="3"/>
  <c r="B613" i="3"/>
  <c r="B610" i="3"/>
  <c r="H607" i="3"/>
  <c r="B607" i="3"/>
  <c r="B614" i="3"/>
  <c r="D90" i="1"/>
  <c r="D89" i="1"/>
  <c r="D88" i="1"/>
  <c r="D87" i="1"/>
  <c r="H10" i="4"/>
  <c r="H513" i="3"/>
  <c r="H474" i="3"/>
  <c r="H500" i="3"/>
  <c r="H461" i="3"/>
  <c r="B5" i="4"/>
  <c r="C5" i="4"/>
  <c r="D5" i="4"/>
  <c r="E5" i="4"/>
  <c r="F5" i="4"/>
  <c r="H5" i="4"/>
  <c r="B6" i="4"/>
  <c r="C6" i="4"/>
  <c r="D6" i="4"/>
  <c r="E6" i="4"/>
  <c r="F6" i="4"/>
  <c r="H6" i="4"/>
  <c r="B7" i="4"/>
  <c r="C7" i="4"/>
  <c r="D7" i="4"/>
  <c r="E7" i="4"/>
  <c r="F7" i="4"/>
  <c r="H7" i="4"/>
  <c r="B8" i="4"/>
  <c r="C8" i="4"/>
  <c r="D8" i="4"/>
  <c r="E8" i="4"/>
  <c r="F8" i="4"/>
  <c r="H8" i="4"/>
  <c r="B9" i="4"/>
  <c r="C9" i="4"/>
  <c r="D9" i="4"/>
  <c r="E9" i="4"/>
  <c r="F9" i="4"/>
  <c r="H9" i="4"/>
  <c r="B10" i="4"/>
  <c r="C10" i="4"/>
  <c r="D10" i="4"/>
  <c r="E10" i="4"/>
  <c r="F10" i="4"/>
  <c r="B11" i="4"/>
  <c r="C11" i="4"/>
  <c r="D11" i="4"/>
  <c r="E11" i="4"/>
  <c r="F11" i="4"/>
  <c r="H11" i="4"/>
  <c r="B12" i="4"/>
  <c r="C12" i="4"/>
  <c r="D12" i="4"/>
  <c r="E12" i="4"/>
  <c r="F12" i="4"/>
  <c r="H12" i="4"/>
  <c r="C13" i="4"/>
  <c r="D13" i="4"/>
  <c r="E13" i="4"/>
  <c r="F13" i="4"/>
  <c r="H13" i="4"/>
  <c r="B14" i="4"/>
  <c r="C14" i="4"/>
  <c r="D14" i="4"/>
  <c r="E14" i="4"/>
  <c r="F14" i="4"/>
  <c r="H14" i="4"/>
  <c r="B15" i="4"/>
  <c r="C15" i="4"/>
  <c r="D15" i="4"/>
  <c r="E15" i="4"/>
  <c r="F15" i="4"/>
  <c r="H15" i="4"/>
  <c r="B16" i="4"/>
  <c r="C16" i="4"/>
  <c r="D16" i="4"/>
  <c r="E16" i="4"/>
  <c r="F16" i="4"/>
  <c r="H16" i="4"/>
  <c r="B17" i="4"/>
  <c r="C17" i="4"/>
  <c r="D17" i="4"/>
  <c r="E17" i="4"/>
  <c r="F17" i="4"/>
  <c r="H17" i="4"/>
  <c r="B18" i="4"/>
  <c r="C18" i="4"/>
  <c r="D18" i="4"/>
  <c r="E18" i="4"/>
  <c r="F18" i="4"/>
  <c r="H18" i="4"/>
  <c r="B19" i="4"/>
  <c r="C19" i="4"/>
  <c r="D19" i="4"/>
  <c r="E19" i="4"/>
  <c r="F19" i="4"/>
  <c r="H19" i="4"/>
  <c r="B20" i="4"/>
  <c r="C20" i="4"/>
  <c r="D20" i="4"/>
  <c r="E20" i="4"/>
  <c r="F20" i="4"/>
  <c r="H20" i="4"/>
  <c r="B21" i="4"/>
  <c r="C21" i="4"/>
  <c r="D21" i="4"/>
  <c r="E21" i="4"/>
  <c r="F21" i="4"/>
  <c r="H21" i="4"/>
  <c r="B22" i="4"/>
  <c r="C22" i="4"/>
  <c r="D22" i="4"/>
  <c r="E22" i="4"/>
  <c r="F22" i="4"/>
  <c r="H22" i="4"/>
  <c r="B23" i="4"/>
  <c r="C23" i="4"/>
  <c r="D23" i="4"/>
  <c r="E23" i="4"/>
  <c r="F23" i="4"/>
  <c r="H23" i="4"/>
  <c r="B24" i="4"/>
  <c r="C24" i="4"/>
  <c r="D24" i="4"/>
  <c r="E24" i="4"/>
  <c r="F24" i="4"/>
  <c r="H24" i="4"/>
  <c r="C4" i="4"/>
  <c r="D4" i="4"/>
  <c r="E4" i="4"/>
  <c r="B4" i="4"/>
  <c r="M6" i="3"/>
  <c r="M7" i="3"/>
  <c r="C7" i="3"/>
  <c r="B522" i="3"/>
  <c r="H521" i="3"/>
  <c r="H518" i="3"/>
  <c r="H505" i="3"/>
  <c r="D522" i="3"/>
  <c r="D509" i="3"/>
  <c r="D483" i="3"/>
  <c r="D470" i="3"/>
  <c r="D513" i="3"/>
  <c r="D500" i="3"/>
  <c r="D474" i="3"/>
  <c r="D461" i="3"/>
  <c r="B521" i="3"/>
  <c r="B518" i="3"/>
  <c r="B513" i="3"/>
  <c r="B509" i="3"/>
  <c r="H508" i="3"/>
  <c r="B508" i="3"/>
  <c r="B505" i="3"/>
  <c r="B500" i="3"/>
  <c r="B483" i="3"/>
  <c r="H482" i="3"/>
  <c r="B482" i="3"/>
  <c r="H479" i="3"/>
  <c r="B479" i="3"/>
  <c r="B474" i="3"/>
  <c r="H469" i="3"/>
  <c r="H466" i="3"/>
  <c r="B470" i="3"/>
  <c r="B469" i="3"/>
  <c r="BF42" i="1" s="1"/>
  <c r="B466" i="3"/>
  <c r="B461" i="3"/>
  <c r="D66" i="1"/>
  <c r="D65" i="1"/>
  <c r="D64" i="1"/>
  <c r="D63" i="1"/>
  <c r="D67" i="1"/>
  <c r="D68" i="1"/>
  <c r="D69" i="1"/>
  <c r="D70" i="1"/>
  <c r="D61" i="1"/>
  <c r="D56" i="1"/>
  <c r="D57" i="1"/>
  <c r="D58" i="1"/>
  <c r="D59" i="1"/>
  <c r="D60" i="1"/>
  <c r="D62" i="1"/>
  <c r="D71" i="1"/>
  <c r="D19" i="1"/>
  <c r="D20" i="1"/>
  <c r="D21" i="1"/>
  <c r="D22" i="1"/>
  <c r="D23" i="1"/>
  <c r="D24" i="1"/>
  <c r="D25" i="1"/>
  <c r="D26" i="1"/>
  <c r="D28" i="1"/>
  <c r="D29" i="1"/>
  <c r="D30" i="1"/>
  <c r="D31" i="1"/>
  <c r="D32" i="1"/>
  <c r="D33" i="1"/>
  <c r="D34" i="1"/>
  <c r="D35" i="1"/>
  <c r="D36" i="1"/>
  <c r="D37" i="1"/>
  <c r="D38" i="1"/>
  <c r="D39" i="1"/>
  <c r="D40" i="1"/>
  <c r="D41" i="1"/>
  <c r="D42" i="1"/>
  <c r="D43" i="1"/>
  <c r="D45" i="1"/>
  <c r="D46" i="1"/>
  <c r="D47" i="1"/>
  <c r="D48" i="1"/>
  <c r="D49" i="1"/>
  <c r="D50" i="1"/>
  <c r="D51" i="1"/>
  <c r="D52" i="1"/>
  <c r="D78" i="1"/>
  <c r="D79" i="1"/>
  <c r="D80" i="1"/>
  <c r="D81" i="1"/>
  <c r="D82" i="1"/>
  <c r="D83" i="1"/>
  <c r="D84" i="1"/>
  <c r="D85" i="1"/>
  <c r="D86" i="1"/>
  <c r="D91" i="1"/>
  <c r="D92" i="1"/>
  <c r="D93" i="1"/>
  <c r="D94" i="1"/>
  <c r="D95" i="1"/>
  <c r="M71" i="3" l="1"/>
  <c r="M55" i="3"/>
  <c r="M65" i="3"/>
  <c r="M49" i="3"/>
  <c r="M50" i="3"/>
  <c r="M70" i="3"/>
  <c r="M54" i="3"/>
  <c r="M64" i="3"/>
  <c r="M48" i="3"/>
  <c r="M66" i="3"/>
  <c r="M69" i="3"/>
  <c r="M53" i="3"/>
  <c r="M47" i="3"/>
  <c r="M68" i="3"/>
  <c r="M52" i="3"/>
  <c r="M57" i="3"/>
  <c r="M67" i="3"/>
  <c r="M51" i="3"/>
  <c r="M56" i="3"/>
  <c r="G32" i="4"/>
  <c r="G80" i="4"/>
  <c r="G96" i="4"/>
  <c r="G33" i="4"/>
  <c r="G34" i="4"/>
  <c r="G82" i="4"/>
  <c r="G98" i="4"/>
  <c r="G35" i="4"/>
  <c r="G83" i="4"/>
  <c r="G99" i="4"/>
  <c r="G36" i="4"/>
  <c r="G84" i="4"/>
  <c r="G100" i="4"/>
  <c r="G37" i="4"/>
  <c r="G85" i="4"/>
  <c r="G38" i="4"/>
  <c r="G86" i="4"/>
  <c r="G39" i="4"/>
  <c r="G87" i="4"/>
  <c r="G97" i="4"/>
  <c r="G40" i="4"/>
  <c r="G88" i="4"/>
  <c r="G25" i="4"/>
  <c r="G41" i="4"/>
  <c r="G89" i="4"/>
  <c r="G26" i="4"/>
  <c r="G90" i="4"/>
  <c r="G27" i="4"/>
  <c r="G91" i="4"/>
  <c r="G28" i="4"/>
  <c r="G76" i="4"/>
  <c r="G92" i="4"/>
  <c r="G81" i="4"/>
  <c r="G29" i="4"/>
  <c r="G77" i="4"/>
  <c r="G93" i="4"/>
  <c r="G30" i="4"/>
  <c r="G78" i="4"/>
  <c r="G94" i="4"/>
  <c r="G31" i="4"/>
  <c r="G79" i="4"/>
  <c r="G95" i="4"/>
  <c r="M104" i="3"/>
  <c r="M93" i="3"/>
  <c r="M98" i="3"/>
  <c r="M103" i="3"/>
  <c r="M92" i="3"/>
  <c r="M97" i="3"/>
  <c r="M102" i="3"/>
  <c r="M91" i="3"/>
  <c r="M96" i="3"/>
  <c r="M101" i="3"/>
  <c r="M99" i="3"/>
  <c r="M90" i="3"/>
  <c r="M95" i="3"/>
  <c r="M100" i="3"/>
  <c r="M94" i="3"/>
  <c r="M112" i="3"/>
  <c r="M106" i="3"/>
  <c r="M111" i="3"/>
  <c r="M105" i="3"/>
  <c r="M110" i="3"/>
  <c r="M109" i="3"/>
  <c r="M108" i="3"/>
  <c r="M107" i="3"/>
  <c r="BG42" i="1"/>
  <c r="AX44" i="1"/>
  <c r="AZ80" i="1"/>
  <c r="AX85" i="1"/>
  <c r="BA88" i="1"/>
  <c r="BF91" i="1"/>
  <c r="BC85" i="1"/>
  <c r="BD85" i="1"/>
  <c r="BA92" i="1"/>
  <c r="AY44" i="1"/>
  <c r="BE45" i="1"/>
  <c r="BA80" i="1"/>
  <c r="BG81" i="1"/>
  <c r="BC83" i="1"/>
  <c r="BC44" i="1"/>
  <c r="BE96" i="1"/>
  <c r="BF96" i="1"/>
  <c r="BA84" i="1"/>
  <c r="AZ44" i="1"/>
  <c r="BF45" i="1"/>
  <c r="AX74" i="1"/>
  <c r="BB80" i="1"/>
  <c r="AX82" i="1"/>
  <c r="BD83" i="1"/>
  <c r="AZ85" i="1"/>
  <c r="BB88" i="1"/>
  <c r="AX90" i="1"/>
  <c r="BD91" i="1"/>
  <c r="AZ93" i="1"/>
  <c r="BB96" i="1"/>
  <c r="BA44" i="1"/>
  <c r="BC80" i="1"/>
  <c r="BE83" i="1"/>
  <c r="BB93" i="1"/>
  <c r="AY46" i="1"/>
  <c r="BE88" i="1"/>
  <c r="AX84" i="1"/>
  <c r="BG45" i="1"/>
  <c r="AY74" i="1"/>
  <c r="AY82" i="1"/>
  <c r="BA85" i="1"/>
  <c r="BD96" i="1"/>
  <c r="BE80" i="1"/>
  <c r="BB90" i="1"/>
  <c r="AY81" i="1"/>
  <c r="BB44" i="1"/>
  <c r="AX46" i="1"/>
  <c r="AZ74" i="1"/>
  <c r="BD80" i="1"/>
  <c r="AZ82" i="1"/>
  <c r="BF83" i="1"/>
  <c r="BB85" i="1"/>
  <c r="BD88" i="1"/>
  <c r="AZ90" i="1"/>
  <c r="BA82" i="1"/>
  <c r="BB82" i="1"/>
  <c r="BG85" i="1"/>
  <c r="AX27" i="1"/>
  <c r="AX43" i="1"/>
  <c r="BD44" i="1"/>
  <c r="AZ46" i="1"/>
  <c r="BB74" i="1"/>
  <c r="BF80" i="1"/>
  <c r="BE90" i="1"/>
  <c r="AY27" i="1"/>
  <c r="AY43" i="1"/>
  <c r="BE44" i="1"/>
  <c r="BA46" i="1"/>
  <c r="BC74" i="1"/>
  <c r="BG80" i="1"/>
  <c r="BC82" i="1"/>
  <c r="AY84" i="1"/>
  <c r="BE85" i="1"/>
  <c r="BG88" i="1"/>
  <c r="BC90" i="1"/>
  <c r="AY92" i="1"/>
  <c r="BE93" i="1"/>
  <c r="BG96" i="1"/>
  <c r="AZ27" i="1"/>
  <c r="AZ43" i="1"/>
  <c r="BF44" i="1"/>
  <c r="BB46" i="1"/>
  <c r="BD74" i="1"/>
  <c r="AX81" i="1"/>
  <c r="BD82" i="1"/>
  <c r="AZ84" i="1"/>
  <c r="BF85" i="1"/>
  <c r="AX89" i="1"/>
  <c r="BD90" i="1"/>
  <c r="AZ92" i="1"/>
  <c r="BF93" i="1"/>
  <c r="BA27" i="1"/>
  <c r="BA43" i="1"/>
  <c r="BG44" i="1"/>
  <c r="BC46" i="1"/>
  <c r="AY89" i="1"/>
  <c r="BB27" i="1"/>
  <c r="BB43" i="1"/>
  <c r="AX45" i="1"/>
  <c r="BD46" i="1"/>
  <c r="BF74" i="1"/>
  <c r="AZ81" i="1"/>
  <c r="BF82" i="1"/>
  <c r="BB84" i="1"/>
  <c r="AZ89" i="1"/>
  <c r="BF90" i="1"/>
  <c r="BB92" i="1"/>
  <c r="BC27" i="1"/>
  <c r="BC43" i="1"/>
  <c r="AY45" i="1"/>
  <c r="BE46" i="1"/>
  <c r="BG74" i="1"/>
  <c r="BA81" i="1"/>
  <c r="BG82" i="1"/>
  <c r="BC84" i="1"/>
  <c r="BA89" i="1"/>
  <c r="BG90" i="1"/>
  <c r="BC92" i="1"/>
  <c r="BG46" i="1"/>
  <c r="BE84" i="1"/>
  <c r="BE92" i="1"/>
  <c r="AZ88" i="1"/>
  <c r="BA96" i="1"/>
  <c r="BC96" i="1"/>
  <c r="BC93" i="1"/>
  <c r="AX92" i="1"/>
  <c r="BG93" i="1"/>
  <c r="BD27" i="1"/>
  <c r="AX42" i="1"/>
  <c r="BD43" i="1"/>
  <c r="AZ45" i="1"/>
  <c r="BF46" i="1"/>
  <c r="BB81" i="1"/>
  <c r="AX83" i="1"/>
  <c r="BD84" i="1"/>
  <c r="BB89" i="1"/>
  <c r="AX91" i="1"/>
  <c r="BD92" i="1"/>
  <c r="BA45" i="1"/>
  <c r="BC81" i="1"/>
  <c r="BC89" i="1"/>
  <c r="AX93" i="1"/>
  <c r="AY85" i="1"/>
  <c r="BC88" i="1"/>
  <c r="BG83" i="1"/>
  <c r="BE74" i="1"/>
  <c r="BE27" i="1"/>
  <c r="BE43" i="1"/>
  <c r="AY83" i="1"/>
  <c r="AY91" i="1"/>
  <c r="BF89" i="1"/>
  <c r="AY93" i="1"/>
  <c r="BE91" i="1"/>
  <c r="BG91" i="1"/>
  <c r="BF27" i="1"/>
  <c r="BF43" i="1"/>
  <c r="BB45" i="1"/>
  <c r="AX80" i="1"/>
  <c r="BD81" i="1"/>
  <c r="AZ83" i="1"/>
  <c r="BF84" i="1"/>
  <c r="AX88" i="1"/>
  <c r="BD89" i="1"/>
  <c r="AZ91" i="1"/>
  <c r="BF92" i="1"/>
  <c r="AX96" i="1"/>
  <c r="BB83" i="1"/>
  <c r="AZ96" i="1"/>
  <c r="BG89" i="1"/>
  <c r="AY90" i="1"/>
  <c r="BA74" i="1"/>
  <c r="BD93" i="1"/>
  <c r="BE82" i="1"/>
  <c r="BG27" i="1"/>
  <c r="BG43" i="1"/>
  <c r="BC45" i="1"/>
  <c r="AY80" i="1"/>
  <c r="BE81" i="1"/>
  <c r="BA83" i="1"/>
  <c r="BG84" i="1"/>
  <c r="AY88" i="1"/>
  <c r="BE89" i="1"/>
  <c r="BA91" i="1"/>
  <c r="BG92" i="1"/>
  <c r="AY96" i="1"/>
  <c r="BD45" i="1"/>
  <c r="BF81" i="1"/>
  <c r="BB91" i="1"/>
  <c r="BC91" i="1"/>
  <c r="BA93" i="1"/>
  <c r="BA90" i="1"/>
  <c r="BF88" i="1"/>
  <c r="M716" i="3"/>
  <c r="M120" i="3"/>
  <c r="M81" i="3"/>
  <c r="M86" i="3"/>
  <c r="M114" i="3"/>
  <c r="M75" i="3"/>
  <c r="M119" i="3"/>
  <c r="M80" i="3"/>
  <c r="M85" i="3"/>
  <c r="M113" i="3"/>
  <c r="M118" i="3"/>
  <c r="M79" i="3"/>
  <c r="M84" i="3"/>
  <c r="M89" i="3"/>
  <c r="M73" i="3"/>
  <c r="M117" i="3"/>
  <c r="M78" i="3"/>
  <c r="M83" i="3"/>
  <c r="M88" i="3"/>
  <c r="M116" i="3"/>
  <c r="M77" i="3"/>
  <c r="M82" i="3"/>
  <c r="M74" i="3"/>
  <c r="M87" i="3"/>
  <c r="M115" i="3"/>
  <c r="M76" i="3"/>
  <c r="BC42" i="1"/>
  <c r="M509" i="3"/>
  <c r="M627" i="3"/>
  <c r="M607" i="3"/>
  <c r="M518" i="3"/>
  <c r="M626" i="3"/>
  <c r="M34" i="3"/>
  <c r="M23" i="3"/>
  <c r="M777" i="3"/>
  <c r="M766" i="3"/>
  <c r="M732" i="3"/>
  <c r="M662" i="3"/>
  <c r="M651" i="3"/>
  <c r="M469" i="3"/>
  <c r="M657" i="3"/>
  <c r="M521" i="3"/>
  <c r="M610" i="3"/>
  <c r="M39" i="3"/>
  <c r="M755" i="3"/>
  <c r="M708" i="3"/>
  <c r="M612" i="3"/>
  <c r="M572" i="3"/>
  <c r="M44" i="3"/>
  <c r="M28" i="3"/>
  <c r="M742" i="3"/>
  <c r="M731" i="3"/>
  <c r="M684" i="3"/>
  <c r="M33" i="3"/>
  <c r="M22" i="3"/>
  <c r="M764" i="3"/>
  <c r="M718" i="3"/>
  <c r="M707" i="3"/>
  <c r="M660" i="3"/>
  <c r="M636" i="3"/>
  <c r="M611" i="3"/>
  <c r="M556" i="3"/>
  <c r="M38" i="3"/>
  <c r="M774" i="3"/>
  <c r="M694" i="3"/>
  <c r="M683" i="3"/>
  <c r="M43" i="3"/>
  <c r="M27" i="3"/>
  <c r="M763" i="3"/>
  <c r="M740" i="3"/>
  <c r="M670" i="3"/>
  <c r="M659" i="3"/>
  <c r="M635" i="3"/>
  <c r="M596" i="3"/>
  <c r="M540" i="3"/>
  <c r="M513" i="3"/>
  <c r="M482" i="3"/>
  <c r="M32" i="3"/>
  <c r="M646" i="3"/>
  <c r="M614" i="3"/>
  <c r="M474" i="3"/>
  <c r="M173" i="3"/>
  <c r="M169" i="3"/>
  <c r="M165" i="3"/>
  <c r="M161" i="3"/>
  <c r="M123" i="3"/>
  <c r="M131" i="3"/>
  <c r="M139" i="3"/>
  <c r="M147" i="3"/>
  <c r="M155" i="3"/>
  <c r="M176" i="3"/>
  <c r="M184" i="3"/>
  <c r="M192" i="3"/>
  <c r="M200" i="3"/>
  <c r="M208" i="3"/>
  <c r="M216" i="3"/>
  <c r="M224" i="3"/>
  <c r="M232" i="3"/>
  <c r="M240" i="3"/>
  <c r="M248" i="3"/>
  <c r="M256" i="3"/>
  <c r="M264" i="3"/>
  <c r="M272" i="3"/>
  <c r="M280" i="3"/>
  <c r="M288" i="3"/>
  <c r="M296" i="3"/>
  <c r="M304" i="3"/>
  <c r="M312" i="3"/>
  <c r="M320" i="3"/>
  <c r="M328" i="3"/>
  <c r="M336" i="3"/>
  <c r="M344" i="3"/>
  <c r="M352" i="3"/>
  <c r="M360" i="3"/>
  <c r="M368" i="3"/>
  <c r="M376" i="3"/>
  <c r="M384" i="3"/>
  <c r="M392" i="3"/>
  <c r="M400" i="3"/>
  <c r="M408" i="3"/>
  <c r="M416" i="3"/>
  <c r="M424" i="3"/>
  <c r="M432" i="3"/>
  <c r="M440" i="3"/>
  <c r="M448" i="3"/>
  <c r="M456" i="3"/>
  <c r="M464" i="3"/>
  <c r="M472" i="3"/>
  <c r="M480" i="3"/>
  <c r="M488" i="3"/>
  <c r="M496" i="3"/>
  <c r="M504" i="3"/>
  <c r="M512" i="3"/>
  <c r="M520" i="3"/>
  <c r="M528" i="3"/>
  <c r="M536" i="3"/>
  <c r="M544" i="3"/>
  <c r="M552" i="3"/>
  <c r="M560" i="3"/>
  <c r="M568" i="3"/>
  <c r="M576" i="3"/>
  <c r="M584" i="3"/>
  <c r="M592" i="3"/>
  <c r="M600" i="3"/>
  <c r="M608" i="3"/>
  <c r="M616" i="3"/>
  <c r="M624" i="3"/>
  <c r="M632" i="3"/>
  <c r="M640" i="3"/>
  <c r="M648" i="3"/>
  <c r="M656" i="3"/>
  <c r="M664" i="3"/>
  <c r="M672" i="3"/>
  <c r="M680" i="3"/>
  <c r="M688" i="3"/>
  <c r="M696" i="3"/>
  <c r="M704" i="3"/>
  <c r="M712" i="3"/>
  <c r="M720" i="3"/>
  <c r="M728" i="3"/>
  <c r="M736" i="3"/>
  <c r="M744" i="3"/>
  <c r="M752" i="3"/>
  <c r="M760" i="3"/>
  <c r="M768" i="3"/>
  <c r="M776" i="3"/>
  <c r="M124" i="3"/>
  <c r="M132" i="3"/>
  <c r="M140" i="3"/>
  <c r="M148" i="3"/>
  <c r="M156" i="3"/>
  <c r="M177" i="3"/>
  <c r="M185" i="3"/>
  <c r="M193" i="3"/>
  <c r="M201" i="3"/>
  <c r="M209" i="3"/>
  <c r="M217" i="3"/>
  <c r="M225" i="3"/>
  <c r="M233" i="3"/>
  <c r="M241" i="3"/>
  <c r="M249" i="3"/>
  <c r="M257" i="3"/>
  <c r="M265" i="3"/>
  <c r="M273" i="3"/>
  <c r="M281" i="3"/>
  <c r="M289" i="3"/>
  <c r="M297" i="3"/>
  <c r="M305" i="3"/>
  <c r="M313" i="3"/>
  <c r="M321" i="3"/>
  <c r="M329" i="3"/>
  <c r="M337" i="3"/>
  <c r="M345" i="3"/>
  <c r="M353" i="3"/>
  <c r="M361" i="3"/>
  <c r="M369" i="3"/>
  <c r="M377" i="3"/>
  <c r="M385" i="3"/>
  <c r="M393" i="3"/>
  <c r="M401" i="3"/>
  <c r="M409" i="3"/>
  <c r="M417" i="3"/>
  <c r="M425" i="3"/>
  <c r="M433" i="3"/>
  <c r="M441" i="3"/>
  <c r="M449" i="3"/>
  <c r="M457" i="3"/>
  <c r="M465" i="3"/>
  <c r="M473" i="3"/>
  <c r="M481" i="3"/>
  <c r="M489" i="3"/>
  <c r="M497" i="3"/>
  <c r="M529" i="3"/>
  <c r="M537" i="3"/>
  <c r="M545" i="3"/>
  <c r="M553" i="3"/>
  <c r="M561" i="3"/>
  <c r="M569" i="3"/>
  <c r="M577" i="3"/>
  <c r="M585" i="3"/>
  <c r="M593" i="3"/>
  <c r="M601" i="3"/>
  <c r="M609" i="3"/>
  <c r="M617" i="3"/>
  <c r="M625" i="3"/>
  <c r="M633" i="3"/>
  <c r="M641" i="3"/>
  <c r="M673" i="3"/>
  <c r="M681" i="3"/>
  <c r="M689" i="3"/>
  <c r="M697" i="3"/>
  <c r="M705" i="3"/>
  <c r="M713" i="3"/>
  <c r="M721" i="3"/>
  <c r="M729" i="3"/>
  <c r="M737" i="3"/>
  <c r="M745" i="3"/>
  <c r="M753" i="3"/>
  <c r="M172" i="3"/>
  <c r="M168" i="3"/>
  <c r="M164" i="3"/>
  <c r="M125" i="3"/>
  <c r="M133" i="3"/>
  <c r="M141" i="3"/>
  <c r="M149" i="3"/>
  <c r="M157" i="3"/>
  <c r="M178" i="3"/>
  <c r="M186" i="3"/>
  <c r="M194" i="3"/>
  <c r="M202" i="3"/>
  <c r="M210" i="3"/>
  <c r="M218" i="3"/>
  <c r="M226" i="3"/>
  <c r="M234" i="3"/>
  <c r="M242" i="3"/>
  <c r="M250" i="3"/>
  <c r="M258" i="3"/>
  <c r="M266" i="3"/>
  <c r="M274" i="3"/>
  <c r="M282" i="3"/>
  <c r="M290" i="3"/>
  <c r="M298" i="3"/>
  <c r="M306" i="3"/>
  <c r="M314" i="3"/>
  <c r="M322" i="3"/>
  <c r="M330" i="3"/>
  <c r="M338" i="3"/>
  <c r="M346" i="3"/>
  <c r="M354" i="3"/>
  <c r="M362" i="3"/>
  <c r="M370" i="3"/>
  <c r="M378" i="3"/>
  <c r="M386" i="3"/>
  <c r="M394" i="3"/>
  <c r="M402" i="3"/>
  <c r="M410" i="3"/>
  <c r="M418" i="3"/>
  <c r="M426" i="3"/>
  <c r="M434" i="3"/>
  <c r="M442" i="3"/>
  <c r="M450" i="3"/>
  <c r="M458" i="3"/>
  <c r="M490" i="3"/>
  <c r="M498" i="3"/>
  <c r="M506" i="3"/>
  <c r="M514" i="3"/>
  <c r="M530" i="3"/>
  <c r="M538" i="3"/>
  <c r="M546" i="3"/>
  <c r="M554" i="3"/>
  <c r="M562" i="3"/>
  <c r="M570" i="3"/>
  <c r="M578" i="3"/>
  <c r="M586" i="3"/>
  <c r="M594" i="3"/>
  <c r="M602" i="3"/>
  <c r="M634" i="3"/>
  <c r="M642" i="3"/>
  <c r="M650" i="3"/>
  <c r="M658" i="3"/>
  <c r="M674" i="3"/>
  <c r="M682" i="3"/>
  <c r="M690" i="3"/>
  <c r="M698" i="3"/>
  <c r="M706" i="3"/>
  <c r="M714" i="3"/>
  <c r="M722" i="3"/>
  <c r="M730" i="3"/>
  <c r="M738" i="3"/>
  <c r="M746" i="3"/>
  <c r="M754" i="3"/>
  <c r="M762" i="3"/>
  <c r="M770" i="3"/>
  <c r="M778" i="3"/>
  <c r="M126" i="3"/>
  <c r="M134" i="3"/>
  <c r="M142" i="3"/>
  <c r="M150" i="3"/>
  <c r="M158" i="3"/>
  <c r="M179" i="3"/>
  <c r="M187" i="3"/>
  <c r="M195" i="3"/>
  <c r="M203" i="3"/>
  <c r="M211" i="3"/>
  <c r="M219" i="3"/>
  <c r="M227" i="3"/>
  <c r="M235" i="3"/>
  <c r="M243" i="3"/>
  <c r="M251" i="3"/>
  <c r="M259" i="3"/>
  <c r="M267" i="3"/>
  <c r="M275" i="3"/>
  <c r="M283" i="3"/>
  <c r="M291" i="3"/>
  <c r="M299" i="3"/>
  <c r="M307" i="3"/>
  <c r="M315" i="3"/>
  <c r="M323" i="3"/>
  <c r="M331" i="3"/>
  <c r="M339" i="3"/>
  <c r="M347" i="3"/>
  <c r="M355" i="3"/>
  <c r="M363" i="3"/>
  <c r="M371" i="3"/>
  <c r="M379" i="3"/>
  <c r="M387" i="3"/>
  <c r="M395" i="3"/>
  <c r="M403" i="3"/>
  <c r="M411" i="3"/>
  <c r="M419" i="3"/>
  <c r="M427" i="3"/>
  <c r="M435" i="3"/>
  <c r="M443" i="3"/>
  <c r="M451" i="3"/>
  <c r="M459" i="3"/>
  <c r="M467" i="3"/>
  <c r="M475" i="3"/>
  <c r="M491" i="3"/>
  <c r="M499" i="3"/>
  <c r="M507" i="3"/>
  <c r="M515" i="3"/>
  <c r="M523" i="3"/>
  <c r="M531" i="3"/>
  <c r="M539" i="3"/>
  <c r="M547" i="3"/>
  <c r="M555" i="3"/>
  <c r="M563" i="3"/>
  <c r="M571" i="3"/>
  <c r="M579" i="3"/>
  <c r="M587" i="3"/>
  <c r="M171" i="3"/>
  <c r="M167" i="3"/>
  <c r="M163" i="3"/>
  <c r="M127" i="3"/>
  <c r="M135" i="3"/>
  <c r="M143" i="3"/>
  <c r="M151" i="3"/>
  <c r="M159" i="3"/>
  <c r="M180" i="3"/>
  <c r="M188" i="3"/>
  <c r="M196" i="3"/>
  <c r="M204" i="3"/>
  <c r="M212" i="3"/>
  <c r="M220" i="3"/>
  <c r="M228" i="3"/>
  <c r="M236" i="3"/>
  <c r="M244" i="3"/>
  <c r="M252" i="3"/>
  <c r="M260" i="3"/>
  <c r="M268" i="3"/>
  <c r="M276" i="3"/>
  <c r="M284" i="3"/>
  <c r="M292" i="3"/>
  <c r="M300" i="3"/>
  <c r="M308" i="3"/>
  <c r="M316" i="3"/>
  <c r="M324" i="3"/>
  <c r="M332" i="3"/>
  <c r="M340" i="3"/>
  <c r="M348" i="3"/>
  <c r="M356" i="3"/>
  <c r="M364" i="3"/>
  <c r="M372" i="3"/>
  <c r="M380" i="3"/>
  <c r="M388" i="3"/>
  <c r="M396" i="3"/>
  <c r="M404" i="3"/>
  <c r="M412" i="3"/>
  <c r="M420" i="3"/>
  <c r="M428" i="3"/>
  <c r="M436" i="3"/>
  <c r="M444" i="3"/>
  <c r="M452" i="3"/>
  <c r="M460" i="3"/>
  <c r="M468" i="3"/>
  <c r="M476" i="3"/>
  <c r="M484" i="3"/>
  <c r="M492" i="3"/>
  <c r="M516" i="3"/>
  <c r="M524" i="3"/>
  <c r="M532" i="3"/>
  <c r="M128" i="3"/>
  <c r="M136" i="3"/>
  <c r="M144" i="3"/>
  <c r="M152" i="3"/>
  <c r="M160" i="3"/>
  <c r="M181" i="3"/>
  <c r="M189" i="3"/>
  <c r="M197" i="3"/>
  <c r="M205" i="3"/>
  <c r="M213" i="3"/>
  <c r="M221" i="3"/>
  <c r="M229" i="3"/>
  <c r="M237" i="3"/>
  <c r="M245" i="3"/>
  <c r="M253" i="3"/>
  <c r="M261" i="3"/>
  <c r="M269" i="3"/>
  <c r="M277" i="3"/>
  <c r="M285" i="3"/>
  <c r="M293" i="3"/>
  <c r="M301" i="3"/>
  <c r="M309" i="3"/>
  <c r="M317" i="3"/>
  <c r="M325" i="3"/>
  <c r="M333" i="3"/>
  <c r="M341" i="3"/>
  <c r="M349" i="3"/>
  <c r="M357" i="3"/>
  <c r="M365" i="3"/>
  <c r="M373" i="3"/>
  <c r="M381" i="3"/>
  <c r="M389" i="3"/>
  <c r="M397" i="3"/>
  <c r="M405" i="3"/>
  <c r="M413" i="3"/>
  <c r="M421" i="3"/>
  <c r="M429" i="3"/>
  <c r="M437" i="3"/>
  <c r="M445" i="3"/>
  <c r="M453" i="3"/>
  <c r="M477" i="3"/>
  <c r="M485" i="3"/>
  <c r="M493" i="3"/>
  <c r="M501" i="3"/>
  <c r="M517" i="3"/>
  <c r="M525" i="3"/>
  <c r="M533" i="3"/>
  <c r="M541" i="3"/>
  <c r="M549" i="3"/>
  <c r="M557" i="3"/>
  <c r="M565" i="3"/>
  <c r="M573" i="3"/>
  <c r="M581" i="3"/>
  <c r="M589" i="3"/>
  <c r="M597" i="3"/>
  <c r="M621" i="3"/>
  <c r="M629" i="3"/>
  <c r="M637" i="3"/>
  <c r="M645" i="3"/>
  <c r="M661" i="3"/>
  <c r="M669" i="3"/>
  <c r="M677" i="3"/>
  <c r="M685" i="3"/>
  <c r="M693" i="3"/>
  <c r="M701" i="3"/>
  <c r="M709" i="3"/>
  <c r="M717" i="3"/>
  <c r="M725" i="3"/>
  <c r="M733" i="3"/>
  <c r="M741" i="3"/>
  <c r="M749" i="3"/>
  <c r="M757" i="3"/>
  <c r="M765" i="3"/>
  <c r="M773" i="3"/>
  <c r="M781" i="3"/>
  <c r="M25" i="3"/>
  <c r="M170" i="3"/>
  <c r="M166" i="3"/>
  <c r="M162" i="3"/>
  <c r="M129" i="3"/>
  <c r="M137" i="3"/>
  <c r="M145" i="3"/>
  <c r="M153" i="3"/>
  <c r="M174" i="3"/>
  <c r="M182" i="3"/>
  <c r="M190" i="3"/>
  <c r="M198" i="3"/>
  <c r="M206" i="3"/>
  <c r="M214" i="3"/>
  <c r="M222" i="3"/>
  <c r="M230" i="3"/>
  <c r="M238" i="3"/>
  <c r="M246" i="3"/>
  <c r="M254" i="3"/>
  <c r="M262" i="3"/>
  <c r="M270" i="3"/>
  <c r="M278" i="3"/>
  <c r="M286" i="3"/>
  <c r="M294" i="3"/>
  <c r="M302" i="3"/>
  <c r="M310" i="3"/>
  <c r="M318" i="3"/>
  <c r="M326" i="3"/>
  <c r="M334" i="3"/>
  <c r="M342" i="3"/>
  <c r="M350" i="3"/>
  <c r="M358" i="3"/>
  <c r="M366" i="3"/>
  <c r="M374" i="3"/>
  <c r="M382" i="3"/>
  <c r="M390" i="3"/>
  <c r="M398" i="3"/>
  <c r="M406" i="3"/>
  <c r="M414" i="3"/>
  <c r="M422" i="3"/>
  <c r="M430" i="3"/>
  <c r="M438" i="3"/>
  <c r="M446" i="3"/>
  <c r="M454" i="3"/>
  <c r="M462" i="3"/>
  <c r="M478" i="3"/>
  <c r="M486" i="3"/>
  <c r="M494" i="3"/>
  <c r="M502" i="3"/>
  <c r="M510" i="3"/>
  <c r="M526" i="3"/>
  <c r="M534" i="3"/>
  <c r="M542" i="3"/>
  <c r="M550" i="3"/>
  <c r="M558" i="3"/>
  <c r="M566" i="3"/>
  <c r="M574" i="3"/>
  <c r="M582" i="3"/>
  <c r="M590" i="3"/>
  <c r="M598" i="3"/>
  <c r="M606" i="3"/>
  <c r="M622" i="3"/>
  <c r="M630" i="3"/>
  <c r="M638" i="3"/>
  <c r="M122" i="3"/>
  <c r="M130" i="3"/>
  <c r="M138" i="3"/>
  <c r="M146" i="3"/>
  <c r="M154" i="3"/>
  <c r="M175" i="3"/>
  <c r="M183" i="3"/>
  <c r="M191" i="3"/>
  <c r="M199" i="3"/>
  <c r="M207" i="3"/>
  <c r="M215" i="3"/>
  <c r="M223" i="3"/>
  <c r="M231" i="3"/>
  <c r="M239" i="3"/>
  <c r="M247" i="3"/>
  <c r="M255" i="3"/>
  <c r="M263" i="3"/>
  <c r="M271" i="3"/>
  <c r="M279" i="3"/>
  <c r="M287" i="3"/>
  <c r="M295" i="3"/>
  <c r="M303" i="3"/>
  <c r="M311" i="3"/>
  <c r="M319" i="3"/>
  <c r="M327" i="3"/>
  <c r="M335" i="3"/>
  <c r="M343" i="3"/>
  <c r="M351" i="3"/>
  <c r="M359" i="3"/>
  <c r="M367" i="3"/>
  <c r="M375" i="3"/>
  <c r="M383" i="3"/>
  <c r="M391" i="3"/>
  <c r="M399" i="3"/>
  <c r="M407" i="3"/>
  <c r="M415" i="3"/>
  <c r="M423" i="3"/>
  <c r="M431" i="3"/>
  <c r="M439" i="3"/>
  <c r="M447" i="3"/>
  <c r="M455" i="3"/>
  <c r="M463" i="3"/>
  <c r="M471" i="3"/>
  <c r="M487" i="3"/>
  <c r="M495" i="3"/>
  <c r="M503" i="3"/>
  <c r="M511" i="3"/>
  <c r="M519" i="3"/>
  <c r="M527" i="3"/>
  <c r="M535" i="3"/>
  <c r="M543" i="3"/>
  <c r="M551" i="3"/>
  <c r="M559" i="3"/>
  <c r="M567" i="3"/>
  <c r="M575" i="3"/>
  <c r="M583" i="3"/>
  <c r="M591" i="3"/>
  <c r="M599" i="3"/>
  <c r="M615" i="3"/>
  <c r="M631" i="3"/>
  <c r="M639" i="3"/>
  <c r="M647" i="3"/>
  <c r="M655" i="3"/>
  <c r="M663" i="3"/>
  <c r="M671" i="3"/>
  <c r="M679" i="3"/>
  <c r="M687" i="3"/>
  <c r="M695" i="3"/>
  <c r="M703" i="3"/>
  <c r="M711" i="3"/>
  <c r="M719" i="3"/>
  <c r="M727" i="3"/>
  <c r="M735" i="3"/>
  <c r="M743" i="3"/>
  <c r="M751" i="3"/>
  <c r="M759" i="3"/>
  <c r="M767" i="3"/>
  <c r="M775" i="3"/>
  <c r="M605" i="3"/>
  <c r="M665" i="3"/>
  <c r="M37" i="3"/>
  <c r="M121" i="3"/>
  <c r="M772" i="3"/>
  <c r="M750" i="3"/>
  <c r="M739" i="3"/>
  <c r="M692" i="3"/>
  <c r="M620" i="3"/>
  <c r="M595" i="3"/>
  <c r="M613" i="3"/>
  <c r="M479" i="3"/>
  <c r="M483" i="3"/>
  <c r="M649" i="3"/>
  <c r="M666" i="3"/>
  <c r="M42" i="3"/>
  <c r="M26" i="3"/>
  <c r="M782" i="3"/>
  <c r="M761" i="3"/>
  <c r="M726" i="3"/>
  <c r="M715" i="3"/>
  <c r="M668" i="3"/>
  <c r="M580" i="3"/>
  <c r="M31" i="3"/>
  <c r="M771" i="3"/>
  <c r="M702" i="3"/>
  <c r="M691" i="3"/>
  <c r="M644" i="3"/>
  <c r="M619" i="3"/>
  <c r="M500" i="3"/>
  <c r="M36" i="3"/>
  <c r="M748" i="3"/>
  <c r="M678" i="3"/>
  <c r="M667" i="3"/>
  <c r="M564" i="3"/>
  <c r="M618" i="3"/>
  <c r="M505" i="3"/>
  <c r="M41" i="3"/>
  <c r="M780" i="3"/>
  <c r="M724" i="3"/>
  <c r="M654" i="3"/>
  <c r="M643" i="3"/>
  <c r="M604" i="3"/>
  <c r="M30" i="3"/>
  <c r="M769" i="3"/>
  <c r="M758" i="3"/>
  <c r="M747" i="3"/>
  <c r="M700" i="3"/>
  <c r="M548" i="3"/>
  <c r="M470" i="3"/>
  <c r="M461" i="3"/>
  <c r="M508" i="3"/>
  <c r="M466" i="3"/>
  <c r="M522" i="3"/>
  <c r="M623" i="3"/>
  <c r="M653" i="3"/>
  <c r="M35" i="3"/>
  <c r="M24" i="3"/>
  <c r="M779" i="3"/>
  <c r="M734" i="3"/>
  <c r="M723" i="3"/>
  <c r="M676" i="3"/>
  <c r="M628" i="3"/>
  <c r="M603" i="3"/>
  <c r="M40" i="3"/>
  <c r="M710" i="3"/>
  <c r="M699" i="3"/>
  <c r="M652" i="3"/>
  <c r="M45" i="3"/>
  <c r="M29" i="3"/>
  <c r="M756" i="3"/>
  <c r="M686" i="3"/>
  <c r="M675" i="3"/>
  <c r="M588" i="3"/>
  <c r="M20" i="3"/>
  <c r="M21" i="3"/>
  <c r="H100" i="4"/>
  <c r="C98" i="4"/>
  <c r="E95" i="4"/>
  <c r="H92" i="4"/>
  <c r="C90" i="4"/>
  <c r="E87" i="4"/>
  <c r="H84" i="4"/>
  <c r="C82" i="4"/>
  <c r="E79" i="4"/>
  <c r="H76" i="4"/>
  <c r="C58" i="4"/>
  <c r="E55" i="4"/>
  <c r="H52" i="4"/>
  <c r="C50" i="4"/>
  <c r="E47" i="4"/>
  <c r="H44" i="4"/>
  <c r="C42" i="4"/>
  <c r="E39" i="4"/>
  <c r="H36" i="4"/>
  <c r="C34" i="4"/>
  <c r="E31" i="4"/>
  <c r="H28" i="4"/>
  <c r="C26" i="4"/>
  <c r="F100" i="4"/>
  <c r="B98" i="4"/>
  <c r="D95" i="4"/>
  <c r="F92" i="4"/>
  <c r="B90" i="4"/>
  <c r="D87" i="4"/>
  <c r="F84" i="4"/>
  <c r="B82" i="4"/>
  <c r="D79" i="4"/>
  <c r="F76" i="4"/>
  <c r="B58" i="4"/>
  <c r="D55" i="4"/>
  <c r="F52" i="4"/>
  <c r="B50" i="4"/>
  <c r="D47" i="4"/>
  <c r="F44" i="4"/>
  <c r="B42" i="4"/>
  <c r="D39" i="4"/>
  <c r="F36" i="4"/>
  <c r="B34" i="4"/>
  <c r="D31" i="4"/>
  <c r="F28" i="4"/>
  <c r="B26" i="4"/>
  <c r="E100" i="4"/>
  <c r="H97" i="4"/>
  <c r="C95" i="4"/>
  <c r="E92" i="4"/>
  <c r="H89" i="4"/>
  <c r="C87" i="4"/>
  <c r="E84" i="4"/>
  <c r="H81" i="4"/>
  <c r="C79" i="4"/>
  <c r="E76" i="4"/>
  <c r="H57" i="4"/>
  <c r="C55" i="4"/>
  <c r="E52" i="4"/>
  <c r="H49" i="4"/>
  <c r="C47" i="4"/>
  <c r="E44" i="4"/>
  <c r="H41" i="4"/>
  <c r="C39" i="4"/>
  <c r="E36" i="4"/>
  <c r="H33" i="4"/>
  <c r="C31" i="4"/>
  <c r="E28" i="4"/>
  <c r="H25" i="4"/>
  <c r="D100" i="4"/>
  <c r="F97" i="4"/>
  <c r="B95" i="4"/>
  <c r="D92" i="4"/>
  <c r="F89" i="4"/>
  <c r="B87" i="4"/>
  <c r="D84" i="4"/>
  <c r="F81" i="4"/>
  <c r="B79" i="4"/>
  <c r="D76" i="4"/>
  <c r="F57" i="4"/>
  <c r="B55" i="4"/>
  <c r="D52" i="4"/>
  <c r="F49" i="4"/>
  <c r="B47" i="4"/>
  <c r="D44" i="4"/>
  <c r="F41" i="4"/>
  <c r="B39" i="4"/>
  <c r="D36" i="4"/>
  <c r="F33" i="4"/>
  <c r="B31" i="4"/>
  <c r="D28" i="4"/>
  <c r="F25" i="4"/>
  <c r="C100" i="4"/>
  <c r="E97" i="4"/>
  <c r="H94" i="4"/>
  <c r="C92" i="4"/>
  <c r="E89" i="4"/>
  <c r="H86" i="4"/>
  <c r="C84" i="4"/>
  <c r="E81" i="4"/>
  <c r="H78" i="4"/>
  <c r="C76" i="4"/>
  <c r="E57" i="4"/>
  <c r="H54" i="4"/>
  <c r="C52" i="4"/>
  <c r="E49" i="4"/>
  <c r="H46" i="4"/>
  <c r="C44" i="4"/>
  <c r="E41" i="4"/>
  <c r="H38" i="4"/>
  <c r="C36" i="4"/>
  <c r="E33" i="4"/>
  <c r="H30" i="4"/>
  <c r="C28" i="4"/>
  <c r="E25" i="4"/>
  <c r="B100" i="4"/>
  <c r="D97" i="4"/>
  <c r="F94" i="4"/>
  <c r="B92" i="4"/>
  <c r="D89" i="4"/>
  <c r="F86" i="4"/>
  <c r="B84" i="4"/>
  <c r="D81" i="4"/>
  <c r="F78" i="4"/>
  <c r="B76" i="4"/>
  <c r="D57" i="4"/>
  <c r="F54" i="4"/>
  <c r="B52" i="4"/>
  <c r="D49" i="4"/>
  <c r="F46" i="4"/>
  <c r="B44" i="4"/>
  <c r="D41" i="4"/>
  <c r="F38" i="4"/>
  <c r="B36" i="4"/>
  <c r="D33" i="4"/>
  <c r="F30" i="4"/>
  <c r="B28" i="4"/>
  <c r="D25" i="4"/>
  <c r="H99" i="4"/>
  <c r="C97" i="4"/>
  <c r="E94" i="4"/>
  <c r="H91" i="4"/>
  <c r="C89" i="4"/>
  <c r="E86" i="4"/>
  <c r="H83" i="4"/>
  <c r="C81" i="4"/>
  <c r="E78" i="4"/>
  <c r="H59" i="4"/>
  <c r="C57" i="4"/>
  <c r="E54" i="4"/>
  <c r="H51" i="4"/>
  <c r="C49" i="4"/>
  <c r="H43" i="4"/>
  <c r="C41" i="4"/>
  <c r="E38" i="4"/>
  <c r="H35" i="4"/>
  <c r="C33" i="4"/>
  <c r="E30" i="4"/>
  <c r="H27" i="4"/>
  <c r="C25" i="4"/>
  <c r="F99" i="4"/>
  <c r="B97" i="4"/>
  <c r="D94" i="4"/>
  <c r="F91" i="4"/>
  <c r="B89" i="4"/>
  <c r="D86" i="4"/>
  <c r="F83" i="4"/>
  <c r="B81" i="4"/>
  <c r="D78" i="4"/>
  <c r="F59" i="4"/>
  <c r="B57" i="4"/>
  <c r="D54" i="4"/>
  <c r="F51" i="4"/>
  <c r="B49" i="4"/>
  <c r="D46" i="4"/>
  <c r="F43" i="4"/>
  <c r="B41" i="4"/>
  <c r="D38" i="4"/>
  <c r="F35" i="4"/>
  <c r="B33" i="4"/>
  <c r="D30" i="4"/>
  <c r="F27" i="4"/>
  <c r="B25" i="4"/>
  <c r="E99" i="4"/>
  <c r="H96" i="4"/>
  <c r="C94" i="4"/>
  <c r="E91" i="4"/>
  <c r="H88" i="4"/>
  <c r="C86" i="4"/>
  <c r="E83" i="4"/>
  <c r="H80" i="4"/>
  <c r="C78" i="4"/>
  <c r="E59" i="4"/>
  <c r="H56" i="4"/>
  <c r="C54" i="4"/>
  <c r="E51" i="4"/>
  <c r="H48" i="4"/>
  <c r="C46" i="4"/>
  <c r="E43" i="4"/>
  <c r="H40" i="4"/>
  <c r="C38" i="4"/>
  <c r="E35" i="4"/>
  <c r="H32" i="4"/>
  <c r="C30" i="4"/>
  <c r="E27" i="4"/>
  <c r="D99" i="4"/>
  <c r="F96" i="4"/>
  <c r="B94" i="4"/>
  <c r="D91" i="4"/>
  <c r="F88" i="4"/>
  <c r="B86" i="4"/>
  <c r="D83" i="4"/>
  <c r="F80" i="4"/>
  <c r="B78" i="4"/>
  <c r="D59" i="4"/>
  <c r="F56" i="4"/>
  <c r="B54" i="4"/>
  <c r="D51" i="4"/>
  <c r="F48" i="4"/>
  <c r="B46" i="4"/>
  <c r="D43" i="4"/>
  <c r="F40" i="4"/>
  <c r="B38" i="4"/>
  <c r="D35" i="4"/>
  <c r="F32" i="4"/>
  <c r="B30" i="4"/>
  <c r="D27" i="4"/>
  <c r="B3" i="4"/>
  <c r="C99" i="4"/>
  <c r="E96" i="4"/>
  <c r="H93" i="4"/>
  <c r="C91" i="4"/>
  <c r="E88" i="4"/>
  <c r="H85" i="4"/>
  <c r="C83" i="4"/>
  <c r="E80" i="4"/>
  <c r="H77" i="4"/>
  <c r="C59" i="4"/>
  <c r="E56" i="4"/>
  <c r="H53" i="4"/>
  <c r="C51" i="4"/>
  <c r="E48" i="4"/>
  <c r="H45" i="4"/>
  <c r="C43" i="4"/>
  <c r="E40" i="4"/>
  <c r="H37" i="4"/>
  <c r="C35" i="4"/>
  <c r="E32" i="4"/>
  <c r="H29" i="4"/>
  <c r="C27" i="4"/>
  <c r="C3" i="4"/>
  <c r="B99" i="4"/>
  <c r="D96" i="4"/>
  <c r="F93" i="4"/>
  <c r="B91" i="4"/>
  <c r="D88" i="4"/>
  <c r="F85" i="4"/>
  <c r="B83" i="4"/>
  <c r="D80" i="4"/>
  <c r="F77" i="4"/>
  <c r="B59" i="4"/>
  <c r="D56" i="4"/>
  <c r="F53" i="4"/>
  <c r="B51" i="4"/>
  <c r="D48" i="4"/>
  <c r="F45" i="4"/>
  <c r="B43" i="4"/>
  <c r="D40" i="4"/>
  <c r="F37" i="4"/>
  <c r="B35" i="4"/>
  <c r="D32" i="4"/>
  <c r="F29" i="4"/>
  <c r="B27" i="4"/>
  <c r="D3" i="4"/>
  <c r="H98" i="4"/>
  <c r="C96" i="4"/>
  <c r="E93" i="4"/>
  <c r="H90" i="4"/>
  <c r="C88" i="4"/>
  <c r="E85" i="4"/>
  <c r="H82" i="4"/>
  <c r="C80" i="4"/>
  <c r="E77" i="4"/>
  <c r="H58" i="4"/>
  <c r="C56" i="4"/>
  <c r="E53" i="4"/>
  <c r="H50" i="4"/>
  <c r="C48" i="4"/>
  <c r="E45" i="4"/>
  <c r="H42" i="4"/>
  <c r="C40" i="4"/>
  <c r="E37" i="4"/>
  <c r="H34" i="4"/>
  <c r="C32" i="4"/>
  <c r="E29" i="4"/>
  <c r="H26" i="4"/>
  <c r="E3" i="4"/>
  <c r="F98" i="4"/>
  <c r="B96" i="4"/>
  <c r="D93" i="4"/>
  <c r="F90" i="4"/>
  <c r="B88" i="4"/>
  <c r="D85" i="4"/>
  <c r="F82" i="4"/>
  <c r="B80" i="4"/>
  <c r="D77" i="4"/>
  <c r="F58" i="4"/>
  <c r="B56" i="4"/>
  <c r="D53" i="4"/>
  <c r="F50" i="4"/>
  <c r="B48" i="4"/>
  <c r="D45" i="4"/>
  <c r="F42" i="4"/>
  <c r="B40" i="4"/>
  <c r="D37" i="4"/>
  <c r="F34" i="4"/>
  <c r="B32" i="4"/>
  <c r="D29" i="4"/>
  <c r="F26" i="4"/>
  <c r="F3" i="4"/>
  <c r="E98" i="4"/>
  <c r="H95" i="4"/>
  <c r="C93" i="4"/>
  <c r="E90" i="4"/>
  <c r="H87" i="4"/>
  <c r="C85" i="4"/>
  <c r="E82" i="4"/>
  <c r="H79" i="4"/>
  <c r="C77" i="4"/>
  <c r="E58" i="4"/>
  <c r="H55" i="4"/>
  <c r="C53" i="4"/>
  <c r="E50" i="4"/>
  <c r="H47" i="4"/>
  <c r="C45" i="4"/>
  <c r="E42" i="4"/>
  <c r="H39" i="4"/>
  <c r="C37" i="4"/>
  <c r="E34" i="4"/>
  <c r="H31" i="4"/>
  <c r="C29" i="4"/>
  <c r="E26" i="4"/>
  <c r="H3" i="4"/>
  <c r="D98" i="4"/>
  <c r="F95" i="4"/>
  <c r="B93" i="4"/>
  <c r="D90" i="4"/>
  <c r="F87" i="4"/>
  <c r="B85" i="4"/>
  <c r="D82" i="4"/>
  <c r="F79" i="4"/>
  <c r="B77" i="4"/>
  <c r="D58" i="4"/>
  <c r="F55" i="4"/>
  <c r="B53" i="4"/>
  <c r="D50" i="4"/>
  <c r="F47" i="4"/>
  <c r="B45" i="4"/>
  <c r="D42" i="4"/>
  <c r="F39" i="4"/>
  <c r="B37" i="4"/>
  <c r="D34" i="4"/>
  <c r="F31" i="4"/>
  <c r="B29" i="4"/>
  <c r="D26" i="4"/>
  <c r="M13" i="3"/>
  <c r="M11" i="3"/>
  <c r="M12" i="3"/>
  <c r="M9" i="3"/>
  <c r="M15" i="3"/>
  <c r="M17" i="3"/>
  <c r="M18" i="3"/>
  <c r="M10" i="3"/>
  <c r="M19" i="3"/>
  <c r="M14" i="3"/>
  <c r="M8" i="3"/>
  <c r="M16" i="3"/>
  <c r="AX66" i="1"/>
  <c r="BB66" i="1"/>
  <c r="BA66" i="1"/>
  <c r="AZ66" i="1"/>
  <c r="AY66" i="1"/>
  <c r="D74" i="4"/>
  <c r="C74" i="4"/>
  <c r="G74" i="4"/>
  <c r="E74" i="4"/>
  <c r="H74" i="4"/>
  <c r="B74" i="4"/>
  <c r="F74" i="4"/>
  <c r="D64" i="4"/>
  <c r="C64" i="4"/>
  <c r="H64" i="4"/>
  <c r="G64" i="4"/>
  <c r="E64" i="4"/>
  <c r="B64" i="4"/>
  <c r="F64" i="4"/>
  <c r="D75" i="4"/>
  <c r="C75" i="4"/>
  <c r="G75" i="4"/>
  <c r="H75" i="4"/>
  <c r="F75" i="4"/>
  <c r="B75" i="4"/>
  <c r="E75" i="4"/>
  <c r="H68" i="4"/>
  <c r="F68" i="4"/>
  <c r="E68" i="4"/>
  <c r="D68" i="4"/>
  <c r="C68" i="4"/>
  <c r="B68" i="4"/>
  <c r="G68" i="4"/>
  <c r="E72" i="4"/>
  <c r="C72" i="4"/>
  <c r="G72" i="4"/>
  <c r="H72" i="4"/>
  <c r="F72" i="4"/>
  <c r="B72" i="4"/>
  <c r="D72" i="4"/>
  <c r="H66" i="4"/>
  <c r="G66" i="4"/>
  <c r="D66" i="4"/>
  <c r="C66" i="4"/>
  <c r="E66" i="4"/>
  <c r="B66" i="4"/>
  <c r="F66" i="4"/>
  <c r="F69" i="4"/>
  <c r="E69" i="4"/>
  <c r="G69" i="4"/>
  <c r="H69" i="4"/>
  <c r="D69" i="4"/>
  <c r="B69" i="4"/>
  <c r="C69" i="4"/>
  <c r="H67" i="4"/>
  <c r="G67" i="4"/>
  <c r="F67" i="4"/>
  <c r="C67" i="4"/>
  <c r="E67" i="4"/>
  <c r="B67" i="4"/>
  <c r="D67" i="4"/>
  <c r="D62" i="4"/>
  <c r="E62" i="4"/>
  <c r="C62" i="4"/>
  <c r="G62" i="4"/>
  <c r="H62" i="4"/>
  <c r="B62" i="4"/>
  <c r="F62" i="4"/>
  <c r="G71" i="4"/>
  <c r="D71" i="4"/>
  <c r="C71" i="4"/>
  <c r="F71" i="4"/>
  <c r="E71" i="4"/>
  <c r="B71" i="4"/>
  <c r="H71" i="4"/>
  <c r="E61" i="4"/>
  <c r="F61" i="4"/>
  <c r="D61" i="4"/>
  <c r="C61" i="4"/>
  <c r="G61" i="4"/>
  <c r="B61" i="4"/>
  <c r="H61" i="4"/>
  <c r="F70" i="4"/>
  <c r="E70" i="4"/>
  <c r="G70" i="4"/>
  <c r="D70" i="4"/>
  <c r="C70" i="4"/>
  <c r="B70" i="4"/>
  <c r="H70" i="4"/>
  <c r="G65" i="4"/>
  <c r="H65" i="4"/>
  <c r="F65" i="4"/>
  <c r="E65" i="4"/>
  <c r="C65" i="4"/>
  <c r="B65" i="4"/>
  <c r="D65" i="4"/>
  <c r="C73" i="4"/>
  <c r="H73" i="4"/>
  <c r="F73" i="4"/>
  <c r="G73" i="4"/>
  <c r="D73" i="4"/>
  <c r="B73" i="4"/>
  <c r="E73" i="4"/>
  <c r="C63" i="4"/>
  <c r="G63" i="4"/>
  <c r="D63" i="4"/>
  <c r="H63" i="4"/>
  <c r="F63" i="4"/>
  <c r="B63" i="4"/>
  <c r="E63" i="4"/>
  <c r="L665" i="3"/>
  <c r="L466" i="3"/>
  <c r="F60" i="4"/>
  <c r="L613" i="3"/>
  <c r="L653" i="3"/>
  <c r="L627" i="3"/>
  <c r="G60" i="4"/>
  <c r="L659" i="3"/>
  <c r="L479" i="3"/>
  <c r="L483" i="3"/>
  <c r="L614" i="3"/>
  <c r="E60" i="4"/>
  <c r="L646" i="3"/>
  <c r="L662" i="3"/>
  <c r="D60" i="4"/>
  <c r="L521" i="3"/>
  <c r="L482" i="3"/>
  <c r="L618" i="3"/>
  <c r="L505" i="3"/>
  <c r="L657" i="3"/>
  <c r="L500" i="3"/>
  <c r="L623" i="3"/>
  <c r="L607" i="3"/>
  <c r="L626" i="3"/>
  <c r="L461" i="3"/>
  <c r="L652" i="3"/>
  <c r="L605" i="3"/>
  <c r="L509" i="3"/>
  <c r="L620" i="3"/>
  <c r="L666" i="3"/>
  <c r="L470" i="3"/>
  <c r="L513" i="3"/>
  <c r="C60" i="4"/>
  <c r="L469" i="3"/>
  <c r="L508" i="3"/>
  <c r="L644" i="3"/>
  <c r="L474" i="3"/>
  <c r="L610" i="3"/>
  <c r="L522" i="3"/>
  <c r="H60" i="4"/>
  <c r="L518" i="3"/>
  <c r="L649" i="3"/>
  <c r="L601" i="3"/>
  <c r="L313" i="3"/>
  <c r="L281" i="3"/>
  <c r="L249" i="3"/>
  <c r="L201" i="3"/>
  <c r="L185" i="3"/>
  <c r="L156" i="3"/>
  <c r="L140" i="3"/>
  <c r="L124" i="3"/>
  <c r="L167" i="3"/>
  <c r="L625" i="3"/>
  <c r="L345" i="3"/>
  <c r="L600" i="3"/>
  <c r="L536" i="3"/>
  <c r="L517" i="3"/>
  <c r="L496" i="3"/>
  <c r="L477" i="3"/>
  <c r="L456" i="3"/>
  <c r="L440" i="3"/>
  <c r="L424" i="3"/>
  <c r="L408" i="3"/>
  <c r="L392" i="3"/>
  <c r="L376" i="3"/>
  <c r="L360" i="3"/>
  <c r="L344" i="3"/>
  <c r="L328" i="3"/>
  <c r="L312" i="3"/>
  <c r="L296" i="3"/>
  <c r="L280" i="3"/>
  <c r="L264" i="3"/>
  <c r="L248" i="3"/>
  <c r="L232" i="3"/>
  <c r="L216" i="3"/>
  <c r="L200" i="3"/>
  <c r="L184" i="3"/>
  <c r="L155" i="3"/>
  <c r="L139" i="3"/>
  <c r="L123" i="3"/>
  <c r="L749" i="3"/>
  <c r="L409" i="3"/>
  <c r="L700" i="3"/>
  <c r="L7" i="3"/>
  <c r="L35" i="3"/>
  <c r="L779" i="3"/>
  <c r="L747" i="3"/>
  <c r="L715" i="3"/>
  <c r="L699" i="3"/>
  <c r="L683" i="3"/>
  <c r="L667" i="3"/>
  <c r="L641" i="3"/>
  <c r="L622" i="3"/>
  <c r="L599" i="3"/>
  <c r="L583" i="3"/>
  <c r="L567" i="3"/>
  <c r="L551" i="3"/>
  <c r="L535" i="3"/>
  <c r="L516" i="3"/>
  <c r="L495" i="3"/>
  <c r="L476" i="3"/>
  <c r="L455" i="3"/>
  <c r="L439" i="3"/>
  <c r="L423" i="3"/>
  <c r="L407" i="3"/>
  <c r="L391" i="3"/>
  <c r="L375" i="3"/>
  <c r="L359" i="3"/>
  <c r="L343" i="3"/>
  <c r="L327" i="3"/>
  <c r="L311" i="3"/>
  <c r="L295" i="3"/>
  <c r="L279" i="3"/>
  <c r="L263" i="3"/>
  <c r="L247" i="3"/>
  <c r="L231" i="3"/>
  <c r="L215" i="3"/>
  <c r="L199" i="3"/>
  <c r="L183" i="3"/>
  <c r="L154" i="3"/>
  <c r="L138" i="3"/>
  <c r="L122" i="3"/>
  <c r="L168" i="3"/>
  <c r="L54" i="3"/>
  <c r="L717" i="3"/>
  <c r="L377" i="3"/>
  <c r="L624" i="3"/>
  <c r="L43" i="3"/>
  <c r="L27" i="3"/>
  <c r="L763" i="3"/>
  <c r="L731" i="3"/>
  <c r="L778" i="3"/>
  <c r="L762" i="3"/>
  <c r="L746" i="3"/>
  <c r="L730" i="3"/>
  <c r="L714" i="3"/>
  <c r="L698" i="3"/>
  <c r="L682" i="3"/>
  <c r="L664" i="3"/>
  <c r="L640" i="3"/>
  <c r="L621" i="3"/>
  <c r="L598" i="3"/>
  <c r="L582" i="3"/>
  <c r="L566" i="3"/>
  <c r="L550" i="3"/>
  <c r="L534" i="3"/>
  <c r="L515" i="3"/>
  <c r="L494" i="3"/>
  <c r="L475" i="3"/>
  <c r="L454" i="3"/>
  <c r="L438" i="3"/>
  <c r="L422" i="3"/>
  <c r="L406" i="3"/>
  <c r="L390" i="3"/>
  <c r="L374" i="3"/>
  <c r="L358" i="3"/>
  <c r="L342" i="3"/>
  <c r="L326" i="3"/>
  <c r="L310" i="3"/>
  <c r="L294" i="3"/>
  <c r="L278" i="3"/>
  <c r="L262" i="3"/>
  <c r="L246" i="3"/>
  <c r="L230" i="3"/>
  <c r="L214" i="3"/>
  <c r="L198" i="3"/>
  <c r="L182" i="3"/>
  <c r="L153" i="3"/>
  <c r="L137" i="3"/>
  <c r="L685" i="3"/>
  <c r="L643" i="3"/>
  <c r="L329" i="3"/>
  <c r="L584" i="3"/>
  <c r="L552" i="3"/>
  <c r="L42" i="3"/>
  <c r="L34" i="3"/>
  <c r="L26" i="3"/>
  <c r="L777" i="3"/>
  <c r="L761" i="3"/>
  <c r="L745" i="3"/>
  <c r="L729" i="3"/>
  <c r="L713" i="3"/>
  <c r="L697" i="3"/>
  <c r="L681" i="3"/>
  <c r="L663" i="3"/>
  <c r="L639" i="3"/>
  <c r="L619" i="3"/>
  <c r="L597" i="3"/>
  <c r="L581" i="3"/>
  <c r="L565" i="3"/>
  <c r="L549" i="3"/>
  <c r="L533" i="3"/>
  <c r="L514" i="3"/>
  <c r="L493" i="3"/>
  <c r="L473" i="3"/>
  <c r="L453" i="3"/>
  <c r="L437" i="3"/>
  <c r="L421" i="3"/>
  <c r="L405" i="3"/>
  <c r="L389" i="3"/>
  <c r="L373" i="3"/>
  <c r="L357" i="3"/>
  <c r="L341" i="3"/>
  <c r="L325" i="3"/>
  <c r="L309" i="3"/>
  <c r="L293" i="3"/>
  <c r="L277" i="3"/>
  <c r="L261" i="3"/>
  <c r="L245" i="3"/>
  <c r="L229" i="3"/>
  <c r="L213" i="3"/>
  <c r="L197" i="3"/>
  <c r="L181" i="3"/>
  <c r="L152" i="3"/>
  <c r="L136" i="3"/>
  <c r="L161" i="3"/>
  <c r="L169" i="3"/>
  <c r="L701" i="3"/>
  <c r="L669" i="3"/>
  <c r="L361" i="3"/>
  <c r="L297" i="3"/>
  <c r="L568" i="3"/>
  <c r="L10" i="3"/>
  <c r="L6" i="3"/>
  <c r="L11" i="3"/>
  <c r="L776" i="3"/>
  <c r="L760" i="3"/>
  <c r="L744" i="3"/>
  <c r="L728" i="3"/>
  <c r="L712" i="3"/>
  <c r="L696" i="3"/>
  <c r="L680" i="3"/>
  <c r="L661" i="3"/>
  <c r="L638" i="3"/>
  <c r="L617" i="3"/>
  <c r="L596" i="3"/>
  <c r="L580" i="3"/>
  <c r="L564" i="3"/>
  <c r="L548" i="3"/>
  <c r="L532" i="3"/>
  <c r="L512" i="3"/>
  <c r="L492" i="3"/>
  <c r="L472" i="3"/>
  <c r="L452" i="3"/>
  <c r="L436" i="3"/>
  <c r="L420" i="3"/>
  <c r="L404" i="3"/>
  <c r="L388" i="3"/>
  <c r="L372" i="3"/>
  <c r="L356" i="3"/>
  <c r="L340" i="3"/>
  <c r="L324" i="3"/>
  <c r="L308" i="3"/>
  <c r="L292" i="3"/>
  <c r="L276" i="3"/>
  <c r="L260" i="3"/>
  <c r="L244" i="3"/>
  <c r="L228" i="3"/>
  <c r="L212" i="3"/>
  <c r="L196" i="3"/>
  <c r="L180" i="3"/>
  <c r="L151" i="3"/>
  <c r="L135" i="3"/>
  <c r="L61" i="3"/>
  <c r="L781" i="3"/>
  <c r="L457" i="3"/>
  <c r="L748" i="3"/>
  <c r="L775" i="3"/>
  <c r="L759" i="3"/>
  <c r="L743" i="3"/>
  <c r="L727" i="3"/>
  <c r="L711" i="3"/>
  <c r="L695" i="3"/>
  <c r="L679" i="3"/>
  <c r="L660" i="3"/>
  <c r="L637" i="3"/>
  <c r="L616" i="3"/>
  <c r="L595" i="3"/>
  <c r="L579" i="3"/>
  <c r="L563" i="3"/>
  <c r="L547" i="3"/>
  <c r="L531" i="3"/>
  <c r="L511" i="3"/>
  <c r="L491" i="3"/>
  <c r="L471" i="3"/>
  <c r="L451" i="3"/>
  <c r="L435" i="3"/>
  <c r="L419" i="3"/>
  <c r="L403" i="3"/>
  <c r="L387" i="3"/>
  <c r="L371" i="3"/>
  <c r="L355" i="3"/>
  <c r="L339" i="3"/>
  <c r="L323" i="3"/>
  <c r="L307" i="3"/>
  <c r="L291" i="3"/>
  <c r="L275" i="3"/>
  <c r="L259" i="3"/>
  <c r="L243" i="3"/>
  <c r="L227" i="3"/>
  <c r="L211" i="3"/>
  <c r="L195" i="3"/>
  <c r="L179" i="3"/>
  <c r="L150" i="3"/>
  <c r="L134" i="3"/>
  <c r="L162" i="3"/>
  <c r="L170" i="3"/>
  <c r="L537" i="3"/>
  <c r="L217" i="3"/>
  <c r="L41" i="3"/>
  <c r="L33" i="3"/>
  <c r="L25" i="3"/>
  <c r="L13" i="3"/>
  <c r="L774" i="3"/>
  <c r="L758" i="3"/>
  <c r="L742" i="3"/>
  <c r="L726" i="3"/>
  <c r="L710" i="3"/>
  <c r="L694" i="3"/>
  <c r="L678" i="3"/>
  <c r="L658" i="3"/>
  <c r="L636" i="3"/>
  <c r="L615" i="3"/>
  <c r="L594" i="3"/>
  <c r="L578" i="3"/>
  <c r="L562" i="3"/>
  <c r="L546" i="3"/>
  <c r="L530" i="3"/>
  <c r="L510" i="3"/>
  <c r="L490" i="3"/>
  <c r="L468" i="3"/>
  <c r="L450" i="3"/>
  <c r="L434" i="3"/>
  <c r="L418" i="3"/>
  <c r="L402" i="3"/>
  <c r="L386" i="3"/>
  <c r="L370" i="3"/>
  <c r="L354" i="3"/>
  <c r="L338" i="3"/>
  <c r="L322" i="3"/>
  <c r="L306" i="3"/>
  <c r="L290" i="3"/>
  <c r="L274" i="3"/>
  <c r="L258" i="3"/>
  <c r="L242" i="3"/>
  <c r="L226" i="3"/>
  <c r="L210" i="3"/>
  <c r="L194" i="3"/>
  <c r="L178" i="3"/>
  <c r="L149" i="3"/>
  <c r="L133" i="3"/>
  <c r="L585" i="3"/>
  <c r="L553" i="3"/>
  <c r="L233" i="3"/>
  <c r="L773" i="3"/>
  <c r="L741" i="3"/>
  <c r="L725" i="3"/>
  <c r="L709" i="3"/>
  <c r="L693" i="3"/>
  <c r="L677" i="3"/>
  <c r="L656" i="3"/>
  <c r="L635" i="3"/>
  <c r="L612" i="3"/>
  <c r="L593" i="3"/>
  <c r="L577" i="3"/>
  <c r="L561" i="3"/>
  <c r="L545" i="3"/>
  <c r="L529" i="3"/>
  <c r="L507" i="3"/>
  <c r="L489" i="3"/>
  <c r="L467" i="3"/>
  <c r="L449" i="3"/>
  <c r="L433" i="3"/>
  <c r="L417" i="3"/>
  <c r="L401" i="3"/>
  <c r="L385" i="3"/>
  <c r="L369" i="3"/>
  <c r="L353" i="3"/>
  <c r="L337" i="3"/>
  <c r="L321" i="3"/>
  <c r="L305" i="3"/>
  <c r="L289" i="3"/>
  <c r="L273" i="3"/>
  <c r="L257" i="3"/>
  <c r="L241" i="3"/>
  <c r="L225" i="3"/>
  <c r="L209" i="3"/>
  <c r="L193" i="3"/>
  <c r="L177" i="3"/>
  <c r="L148" i="3"/>
  <c r="L132" i="3"/>
  <c r="L163" i="3"/>
  <c r="L171" i="3"/>
  <c r="L57" i="3"/>
  <c r="L733" i="3"/>
  <c r="L393" i="3"/>
  <c r="L668" i="3"/>
  <c r="L14" i="3"/>
  <c r="L772" i="3"/>
  <c r="L756" i="3"/>
  <c r="L740" i="3"/>
  <c r="L724" i="3"/>
  <c r="L708" i="3"/>
  <c r="L692" i="3"/>
  <c r="L676" i="3"/>
  <c r="L655" i="3"/>
  <c r="L634" i="3"/>
  <c r="L611" i="3"/>
  <c r="L592" i="3"/>
  <c r="L576" i="3"/>
  <c r="L560" i="3"/>
  <c r="L544" i="3"/>
  <c r="L528" i="3"/>
  <c r="L506" i="3"/>
  <c r="L488" i="3"/>
  <c r="L465" i="3"/>
  <c r="L448" i="3"/>
  <c r="L432" i="3"/>
  <c r="L416" i="3"/>
  <c r="L400" i="3"/>
  <c r="L384" i="3"/>
  <c r="L368" i="3"/>
  <c r="L352" i="3"/>
  <c r="L336" i="3"/>
  <c r="L320" i="3"/>
  <c r="L304" i="3"/>
  <c r="L288" i="3"/>
  <c r="L272" i="3"/>
  <c r="L256" i="3"/>
  <c r="L240" i="3"/>
  <c r="L224" i="3"/>
  <c r="L208" i="3"/>
  <c r="L192" i="3"/>
  <c r="L176" i="3"/>
  <c r="L147" i="3"/>
  <c r="L131" i="3"/>
  <c r="L478" i="3"/>
  <c r="L642" i="3"/>
  <c r="L16" i="3"/>
  <c r="L39" i="3"/>
  <c r="L31" i="3"/>
  <c r="L23" i="3"/>
  <c r="L771" i="3"/>
  <c r="L755" i="3"/>
  <c r="L739" i="3"/>
  <c r="L723" i="3"/>
  <c r="L707" i="3"/>
  <c r="L691" i="3"/>
  <c r="L675" i="3"/>
  <c r="L654" i="3"/>
  <c r="L633" i="3"/>
  <c r="L609" i="3"/>
  <c r="L591" i="3"/>
  <c r="L575" i="3"/>
  <c r="L559" i="3"/>
  <c r="L543" i="3"/>
  <c r="L527" i="3"/>
  <c r="L504" i="3"/>
  <c r="L487" i="3"/>
  <c r="L464" i="3"/>
  <c r="L447" i="3"/>
  <c r="L431" i="3"/>
  <c r="L415" i="3"/>
  <c r="L399" i="3"/>
  <c r="L383" i="3"/>
  <c r="L367" i="3"/>
  <c r="L351" i="3"/>
  <c r="L335" i="3"/>
  <c r="L319" i="3"/>
  <c r="L303" i="3"/>
  <c r="L287" i="3"/>
  <c r="L271" i="3"/>
  <c r="L255" i="3"/>
  <c r="L239" i="3"/>
  <c r="L223" i="3"/>
  <c r="L207" i="3"/>
  <c r="L191" i="3"/>
  <c r="L175" i="3"/>
  <c r="L146" i="3"/>
  <c r="L130" i="3"/>
  <c r="L164" i="3"/>
  <c r="L172" i="3"/>
  <c r="L569" i="3"/>
  <c r="L265" i="3"/>
  <c r="L40" i="3"/>
  <c r="L32" i="3"/>
  <c r="L24" i="3"/>
  <c r="L21" i="3"/>
  <c r="L770" i="3"/>
  <c r="L754" i="3"/>
  <c r="L738" i="3"/>
  <c r="L722" i="3"/>
  <c r="L706" i="3"/>
  <c r="L690" i="3"/>
  <c r="L674" i="3"/>
  <c r="L651" i="3"/>
  <c r="L632" i="3"/>
  <c r="L608" i="3"/>
  <c r="L590" i="3"/>
  <c r="L574" i="3"/>
  <c r="L558" i="3"/>
  <c r="L542" i="3"/>
  <c r="L526" i="3"/>
  <c r="L503" i="3"/>
  <c r="L486" i="3"/>
  <c r="L463" i="3"/>
  <c r="L446" i="3"/>
  <c r="L430" i="3"/>
  <c r="L414" i="3"/>
  <c r="L398" i="3"/>
  <c r="L382" i="3"/>
  <c r="L366" i="3"/>
  <c r="L350" i="3"/>
  <c r="L334" i="3"/>
  <c r="L318" i="3"/>
  <c r="L302" i="3"/>
  <c r="L286" i="3"/>
  <c r="L270" i="3"/>
  <c r="L254" i="3"/>
  <c r="L238" i="3"/>
  <c r="L222" i="3"/>
  <c r="L206" i="3"/>
  <c r="L190" i="3"/>
  <c r="L174" i="3"/>
  <c r="L145" i="3"/>
  <c r="L129" i="3"/>
  <c r="L519" i="3"/>
  <c r="L780" i="3"/>
  <c r="L38" i="3"/>
  <c r="L30" i="3"/>
  <c r="L22" i="3"/>
  <c r="L753" i="3"/>
  <c r="L737" i="3"/>
  <c r="L721" i="3"/>
  <c r="L705" i="3"/>
  <c r="L689" i="3"/>
  <c r="L673" i="3"/>
  <c r="L650" i="3"/>
  <c r="L631" i="3"/>
  <c r="L606" i="3"/>
  <c r="L589" i="3"/>
  <c r="L573" i="3"/>
  <c r="L557" i="3"/>
  <c r="L541" i="3"/>
  <c r="L525" i="3"/>
  <c r="L502" i="3"/>
  <c r="L485" i="3"/>
  <c r="L462" i="3"/>
  <c r="L445" i="3"/>
  <c r="L429" i="3"/>
  <c r="L413" i="3"/>
  <c r="L397" i="3"/>
  <c r="L381" i="3"/>
  <c r="L365" i="3"/>
  <c r="L349" i="3"/>
  <c r="L333" i="3"/>
  <c r="L317" i="3"/>
  <c r="L301" i="3"/>
  <c r="L285" i="3"/>
  <c r="L269" i="3"/>
  <c r="L253" i="3"/>
  <c r="L237" i="3"/>
  <c r="L221" i="3"/>
  <c r="L205" i="3"/>
  <c r="L189" i="3"/>
  <c r="L160" i="3"/>
  <c r="L144" i="3"/>
  <c r="L128" i="3"/>
  <c r="L165" i="3"/>
  <c r="L173" i="3"/>
  <c r="L44" i="3"/>
  <c r="L28" i="3"/>
  <c r="L425" i="3"/>
  <c r="L716" i="3"/>
  <c r="L20" i="3"/>
  <c r="L17" i="3"/>
  <c r="L769" i="3"/>
  <c r="L19" i="3"/>
  <c r="L768" i="3"/>
  <c r="L752" i="3"/>
  <c r="L736" i="3"/>
  <c r="L720" i="3"/>
  <c r="L704" i="3"/>
  <c r="L688" i="3"/>
  <c r="L672" i="3"/>
  <c r="L648" i="3"/>
  <c r="L630" i="3"/>
  <c r="L604" i="3"/>
  <c r="L588" i="3"/>
  <c r="L572" i="3"/>
  <c r="L556" i="3"/>
  <c r="L540" i="3"/>
  <c r="L524" i="3"/>
  <c r="L501" i="3"/>
  <c r="L484" i="3"/>
  <c r="L460" i="3"/>
  <c r="L444" i="3"/>
  <c r="L428" i="3"/>
  <c r="L412" i="3"/>
  <c r="L396" i="3"/>
  <c r="L380" i="3"/>
  <c r="L364" i="3"/>
  <c r="L348" i="3"/>
  <c r="L332" i="3"/>
  <c r="L316" i="3"/>
  <c r="L300" i="3"/>
  <c r="L284" i="3"/>
  <c r="L268" i="3"/>
  <c r="L252" i="3"/>
  <c r="L236" i="3"/>
  <c r="L220" i="3"/>
  <c r="L204" i="3"/>
  <c r="L188" i="3"/>
  <c r="L159" i="3"/>
  <c r="L143" i="3"/>
  <c r="L127" i="3"/>
  <c r="L765" i="3"/>
  <c r="L441" i="3"/>
  <c r="L732" i="3"/>
  <c r="L684" i="3"/>
  <c r="L12" i="3"/>
  <c r="L18" i="3"/>
  <c r="L45" i="3"/>
  <c r="L121" i="3"/>
  <c r="L751" i="3"/>
  <c r="L735" i="3"/>
  <c r="L719" i="3"/>
  <c r="L703" i="3"/>
  <c r="L687" i="3"/>
  <c r="L671" i="3"/>
  <c r="L647" i="3"/>
  <c r="L629" i="3"/>
  <c r="L603" i="3"/>
  <c r="L587" i="3"/>
  <c r="L571" i="3"/>
  <c r="L555" i="3"/>
  <c r="L539" i="3"/>
  <c r="L523" i="3"/>
  <c r="L499" i="3"/>
  <c r="L481" i="3"/>
  <c r="L459" i="3"/>
  <c r="L443" i="3"/>
  <c r="L427" i="3"/>
  <c r="L411" i="3"/>
  <c r="L395" i="3"/>
  <c r="L379" i="3"/>
  <c r="L363" i="3"/>
  <c r="L347" i="3"/>
  <c r="L331" i="3"/>
  <c r="L315" i="3"/>
  <c r="L299" i="3"/>
  <c r="L283" i="3"/>
  <c r="L267" i="3"/>
  <c r="L251" i="3"/>
  <c r="L235" i="3"/>
  <c r="L219" i="3"/>
  <c r="L203" i="3"/>
  <c r="L187" i="3"/>
  <c r="L158" i="3"/>
  <c r="L142" i="3"/>
  <c r="L126" i="3"/>
  <c r="L166" i="3"/>
  <c r="L53" i="3"/>
  <c r="L8" i="3"/>
  <c r="L36" i="3"/>
  <c r="L497" i="3"/>
  <c r="L764" i="3"/>
  <c r="L757" i="3"/>
  <c r="L15" i="3"/>
  <c r="L37" i="3"/>
  <c r="L29" i="3"/>
  <c r="L767" i="3"/>
  <c r="L9" i="3"/>
  <c r="L782" i="3"/>
  <c r="L766" i="3"/>
  <c r="L750" i="3"/>
  <c r="L734" i="3"/>
  <c r="L718" i="3"/>
  <c r="L702" i="3"/>
  <c r="L686" i="3"/>
  <c r="L670" i="3"/>
  <c r="L645" i="3"/>
  <c r="L628" i="3"/>
  <c r="L602" i="3"/>
  <c r="L586" i="3"/>
  <c r="L570" i="3"/>
  <c r="L554" i="3"/>
  <c r="L538" i="3"/>
  <c r="L520" i="3"/>
  <c r="L498" i="3"/>
  <c r="L480" i="3"/>
  <c r="L458" i="3"/>
  <c r="L442" i="3"/>
  <c r="L426" i="3"/>
  <c r="L410" i="3"/>
  <c r="L394" i="3"/>
  <c r="L378" i="3"/>
  <c r="L362" i="3"/>
  <c r="L346" i="3"/>
  <c r="L330" i="3"/>
  <c r="L314" i="3"/>
  <c r="L298" i="3"/>
  <c r="L282" i="3"/>
  <c r="L266" i="3"/>
  <c r="L250" i="3"/>
  <c r="L234" i="3"/>
  <c r="L218" i="3"/>
  <c r="L202" i="3"/>
  <c r="L186" i="3"/>
  <c r="L157" i="3"/>
  <c r="L141" i="3"/>
  <c r="L125" i="3"/>
  <c r="L60" i="3"/>
  <c r="L81" i="3"/>
  <c r="L117" i="3"/>
  <c r="L100" i="3"/>
  <c r="L52" i="3"/>
  <c r="L66" i="3"/>
  <c r="L110" i="3"/>
  <c r="L101" i="3"/>
  <c r="L68" i="3"/>
  <c r="L67" i="3"/>
  <c r="L83" i="3"/>
  <c r="L84" i="3"/>
  <c r="L85" i="3"/>
  <c r="L118" i="3"/>
  <c r="L102" i="3"/>
  <c r="L111" i="3"/>
  <c r="L103" i="3"/>
  <c r="L69" i="3"/>
  <c r="L108" i="3"/>
  <c r="L119" i="3"/>
  <c r="L104" i="3"/>
  <c r="L55" i="3"/>
  <c r="L112" i="3"/>
  <c r="L70" i="3"/>
  <c r="L59" i="3"/>
  <c r="L109" i="3"/>
  <c r="L87" i="3"/>
  <c r="L89" i="3"/>
  <c r="L120" i="3"/>
  <c r="L90" i="3"/>
  <c r="L47" i="3"/>
  <c r="L56" i="3"/>
  <c r="L80" i="3"/>
  <c r="L105" i="3"/>
  <c r="L91" i="3"/>
  <c r="L71" i="3"/>
  <c r="L116" i="3"/>
  <c r="L98" i="3"/>
  <c r="L51" i="3"/>
  <c r="L62" i="3"/>
  <c r="L82" i="3"/>
  <c r="L86" i="3"/>
  <c r="L88" i="3"/>
  <c r="L74" i="3"/>
  <c r="L75" i="3"/>
  <c r="L113" i="3"/>
  <c r="L92" i="3"/>
  <c r="L48" i="3"/>
  <c r="L97" i="3"/>
  <c r="L106" i="3"/>
  <c r="L93" i="3"/>
  <c r="L64" i="3"/>
  <c r="L58" i="3"/>
  <c r="L73" i="3"/>
  <c r="L76" i="3"/>
  <c r="L77" i="3"/>
  <c r="L114" i="3"/>
  <c r="L94" i="3"/>
  <c r="L49" i="3"/>
  <c r="L99" i="3"/>
  <c r="L78" i="3"/>
  <c r="L95" i="3"/>
  <c r="L65" i="3"/>
  <c r="L63" i="3"/>
  <c r="L107" i="3"/>
  <c r="L79" i="3"/>
  <c r="L115" i="3"/>
  <c r="L96" i="3"/>
  <c r="B60" i="4"/>
  <c r="L50"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<sst xmlns="http://schemas.openxmlformats.org/spreadsheetml/2006/main" count="4614" uniqueCount="1879">
  <si>
    <t>指揮</t>
  </si>
  <si>
    <t>威圧</t>
  </si>
  <si>
    <t>看破</t>
  </si>
  <si>
    <t>索敵</t>
  </si>
  <si>
    <t>隠密</t>
  </si>
  <si>
    <t>交渉</t>
  </si>
  <si>
    <t>信仰</t>
  </si>
  <si>
    <t>名前</t>
    <rPh sb="0" eb="2">
      <t>ナマエ</t>
    </rPh>
    <phoneticPr fontId="2"/>
  </si>
  <si>
    <t>ルビ</t>
  </si>
  <si>
    <t>ルビ</t>
    <phoneticPr fontId="2"/>
  </si>
  <si>
    <t>Lv</t>
  </si>
  <si>
    <t>HP</t>
    <phoneticPr fontId="2"/>
  </si>
  <si>
    <t>攻撃</t>
  </si>
  <si>
    <t>攻撃</t>
    <rPh sb="0" eb="2">
      <t>コウゲキ</t>
    </rPh>
    <phoneticPr fontId="2"/>
  </si>
  <si>
    <t>防御</t>
  </si>
  <si>
    <t>防御</t>
    <rPh sb="0" eb="2">
      <t>ボウギョ</t>
    </rPh>
    <phoneticPr fontId="2"/>
  </si>
  <si>
    <t>魔力</t>
  </si>
  <si>
    <t>魔力</t>
    <rPh sb="0" eb="2">
      <t>マリョク</t>
    </rPh>
    <phoneticPr fontId="2"/>
  </si>
  <si>
    <t>精神</t>
    <rPh sb="0" eb="2">
      <t>セイシン</t>
    </rPh>
    <phoneticPr fontId="2"/>
  </si>
  <si>
    <t>速度</t>
  </si>
  <si>
    <t>速度</t>
    <rPh sb="0" eb="2">
      <t>ソクド</t>
    </rPh>
    <phoneticPr fontId="2"/>
  </si>
  <si>
    <t>命中</t>
  </si>
  <si>
    <t>命中</t>
    <rPh sb="0" eb="2">
      <t>メイチュウ</t>
    </rPh>
    <phoneticPr fontId="2"/>
  </si>
  <si>
    <t>合計</t>
    <rPh sb="0" eb="2">
      <t>ゴウケイ</t>
    </rPh>
    <phoneticPr fontId="2"/>
  </si>
  <si>
    <t>ファイター</t>
  </si>
  <si>
    <t>ファイター</t>
    <phoneticPr fontId="2"/>
  </si>
  <si>
    <t>戦士</t>
  </si>
  <si>
    <t>戦士</t>
    <rPh sb="0" eb="2">
      <t>センシ</t>
    </rPh>
    <phoneticPr fontId="2"/>
  </si>
  <si>
    <t>種類</t>
    <rPh sb="0" eb="2">
      <t>シュルイ</t>
    </rPh>
    <phoneticPr fontId="2"/>
  </si>
  <si>
    <t>SIZ</t>
    <phoneticPr fontId="2"/>
  </si>
  <si>
    <t>盗賊</t>
    <rPh sb="0" eb="2">
      <t>トウゾク</t>
    </rPh>
    <phoneticPr fontId="2"/>
  </si>
  <si>
    <t>レンジャー</t>
  </si>
  <si>
    <t>レンジャー</t>
    <phoneticPr fontId="2"/>
  </si>
  <si>
    <t>スカウト</t>
  </si>
  <si>
    <t>スカウト</t>
    <phoneticPr fontId="2"/>
  </si>
  <si>
    <t>密偵</t>
    <rPh sb="0" eb="2">
      <t>ミッテイ</t>
    </rPh>
    <phoneticPr fontId="2"/>
  </si>
  <si>
    <t>狩人</t>
    <rPh sb="0" eb="2">
      <t>カリウド</t>
    </rPh>
    <phoneticPr fontId="2"/>
  </si>
  <si>
    <t>クレリック</t>
  </si>
  <si>
    <t>クレリック</t>
    <phoneticPr fontId="2"/>
  </si>
  <si>
    <t>パラディン</t>
  </si>
  <si>
    <t>パラディン</t>
    <phoneticPr fontId="2"/>
  </si>
  <si>
    <t>オーガ</t>
  </si>
  <si>
    <t>オーガ</t>
    <phoneticPr fontId="2"/>
  </si>
  <si>
    <t>ゴブリン</t>
  </si>
  <si>
    <t>ゴブリン</t>
    <phoneticPr fontId="2"/>
  </si>
  <si>
    <t>デヴィル</t>
  </si>
  <si>
    <t>デヴィル</t>
    <phoneticPr fontId="2"/>
  </si>
  <si>
    <t>エンジェル</t>
  </si>
  <si>
    <t>エンジェル</t>
    <phoneticPr fontId="2"/>
  </si>
  <si>
    <t>ヴァンパイア</t>
  </si>
  <si>
    <t>ヴァンパイア</t>
    <phoneticPr fontId="2"/>
  </si>
  <si>
    <t>職業</t>
    <rPh sb="0" eb="2">
      <t>ショクギョウ</t>
    </rPh>
    <phoneticPr fontId="2"/>
  </si>
  <si>
    <t>ビーストマン</t>
  </si>
  <si>
    <t>ビーストマン</t>
    <phoneticPr fontId="2"/>
  </si>
  <si>
    <t>ヒューマン</t>
  </si>
  <si>
    <t>ヒューマン</t>
    <phoneticPr fontId="2"/>
  </si>
  <si>
    <t>エルフ</t>
  </si>
  <si>
    <t>エルフ</t>
    <phoneticPr fontId="2"/>
  </si>
  <si>
    <t>ドワーフ</t>
  </si>
  <si>
    <t>ドワーフ</t>
    <phoneticPr fontId="2"/>
  </si>
  <si>
    <t>人族</t>
    <rPh sb="0" eb="2">
      <t>ヒトゾク</t>
    </rPh>
    <phoneticPr fontId="2"/>
  </si>
  <si>
    <t>亜人</t>
    <rPh sb="0" eb="2">
      <t>アジン</t>
    </rPh>
    <phoneticPr fontId="2"/>
  </si>
  <si>
    <t>魔族</t>
    <rPh sb="0" eb="2">
      <t>マゾク</t>
    </rPh>
    <phoneticPr fontId="2"/>
  </si>
  <si>
    <t>ドラゴニュート</t>
  </si>
  <si>
    <t>ドラゴニュート</t>
    <phoneticPr fontId="2"/>
  </si>
  <si>
    <t>ジャイアント</t>
  </si>
  <si>
    <t>ジャイアント</t>
    <phoneticPr fontId="2"/>
  </si>
  <si>
    <t>精霊</t>
    <rPh sb="0" eb="2">
      <t>セイレイ</t>
    </rPh>
    <phoneticPr fontId="2"/>
  </si>
  <si>
    <t>フレイムエレメンタル</t>
  </si>
  <si>
    <t>フレイムエレメンタル</t>
    <phoneticPr fontId="2"/>
  </si>
  <si>
    <t>フロストエレメンタル</t>
  </si>
  <si>
    <t>フロストエレメンタル</t>
    <phoneticPr fontId="2"/>
  </si>
  <si>
    <t>エアエレメンタル</t>
  </si>
  <si>
    <t>エアエレメンタル</t>
    <phoneticPr fontId="2"/>
  </si>
  <si>
    <t>アースエレメンタル</t>
  </si>
  <si>
    <t>アースエレメンタル</t>
    <phoneticPr fontId="2"/>
  </si>
  <si>
    <t>スキル名</t>
  </si>
  <si>
    <t>系統</t>
  </si>
  <si>
    <t>行動</t>
  </si>
  <si>
    <t>HP消費</t>
  </si>
  <si>
    <t>効果</t>
  </si>
  <si>
    <t>説明</t>
  </si>
  <si>
    <t>取得条件</t>
  </si>
  <si>
    <t>ダブり確認</t>
    <rPh sb="3" eb="5">
      <t>カクニン</t>
    </rPh>
    <phoneticPr fontId="2"/>
  </si>
  <si>
    <t>戦闘ルール</t>
    <rPh sb="0" eb="2">
      <t>セントウ</t>
    </rPh>
    <phoneticPr fontId="2"/>
  </si>
  <si>
    <t>盾装備でデメリットは威力が下がる、軽減値が増える。</t>
    <rPh sb="0" eb="1">
      <t>タテ</t>
    </rPh>
    <rPh sb="1" eb="3">
      <t>ソウビ</t>
    </rPh>
    <rPh sb="10" eb="12">
      <t>イリョク</t>
    </rPh>
    <rPh sb="13" eb="14">
      <t>サ</t>
    </rPh>
    <rPh sb="17" eb="19">
      <t>ケイゲン</t>
    </rPh>
    <rPh sb="19" eb="20">
      <t>チ</t>
    </rPh>
    <rPh sb="21" eb="22">
      <t>フ</t>
    </rPh>
    <phoneticPr fontId="2"/>
  </si>
  <si>
    <t xml:space="preserve">モンク
シーフ
レンジャー
スカウト
ウィザード
アルケミスト
イリュージョニスト
エレメント・マスター
クレリック
ビショップ
プリースト
パラディン
ゴブリン
オーガ
トレント
インプ
エンジェル
ソードマスター
スピアマスター
ブロウマスター
シールドマスター
ソードセイント
スピアセイント
ブロウセイント
シールドセイント
</t>
    <phoneticPr fontId="2"/>
  </si>
  <si>
    <t>1:初級 1 2:下級 23
3:中級 34 4:上級 56
5:下級神 7
6:中級神 89
7:上級神 10</t>
  </si>
  <si>
    <t>35 55 75 95 115 145 175
攻撃追加+1
攻撃回数:2 2倍加 など</t>
  </si>
  <si>
    <t>条件
条件系統</t>
  </si>
  <si>
    <t>範囲について 単体,全体,縦,ライン 前後ろ縦を選択してダメージ,周囲(同じ列のみ)
効果に「連鎖」があると周囲に50%ダメージ</t>
  </si>
  <si>
    <t>3.魔法強化
3.射程
4倍速
4.魔法極強化
4.三重</t>
  </si>
  <si>
    <t xml:space="preserve">回復:35 魔力105~210
10.5~21
</t>
    <rPh sb="0" eb="2">
      <t>カイフク</t>
    </rPh>
    <rPh sb="6" eb="8">
      <t>マリョク</t>
    </rPh>
    <phoneticPr fontId="2"/>
  </si>
  <si>
    <t xml:space="preserve">回復:115 魔力565~1130
34.5~69
</t>
    <rPh sb="0" eb="2">
      <t>カイフク</t>
    </rPh>
    <rPh sb="7" eb="9">
      <t>マリョク</t>
    </rPh>
    <phoneticPr fontId="2"/>
  </si>
  <si>
    <t>微5~10 小11~20 中21~35
大36~50 極51~</t>
  </si>
  <si>
    <t>〇〇の接続 で魔法取得
〇〇魔法強化</t>
  </si>
  <si>
    <t>攻撃手段:魔法 特殊:攻撃</t>
  </si>
  <si>
    <t>属性: ロール:
技能: スキル:|</t>
  </si>
  <si>
    <t>炎</t>
  </si>
  <si>
    <t>氷</t>
  </si>
  <si>
    <t>凍結</t>
  </si>
  <si>
    <t>風</t>
  </si>
  <si>
    <t>地</t>
  </si>
  <si>
    <t>魔法</t>
  </si>
  <si>
    <t>技術</t>
  </si>
  <si>
    <t>早業</t>
  </si>
  <si>
    <t>素手</t>
  </si>
  <si>
    <t>角</t>
  </si>
  <si>
    <t>牙</t>
  </si>
  <si>
    <t>爪</t>
  </si>
  <si>
    <t>尾</t>
  </si>
  <si>
    <t>出血</t>
  </si>
  <si>
    <t>炎の力</t>
  </si>
  <si>
    <t>氷の力</t>
  </si>
  <si>
    <t>炎の吐息</t>
  </si>
  <si>
    <t>氷の吐息</t>
  </si>
  <si>
    <t>------------基本職 ------------</t>
  </si>
  <si>
    <t>雄叫び</t>
  </si>
  <si>
    <t>ロアー</t>
  </si>
  <si>
    <t>ナイト</t>
  </si>
  <si>
    <t>フェンサー</t>
  </si>
  <si>
    <t>ゾンビ</t>
  </si>
  <si>
    <t>スケルトン</t>
  </si>
  <si>
    <t>吸血</t>
  </si>
  <si>
    <t>ウルフ</t>
  </si>
  <si>
    <t>スネーク</t>
  </si>
  <si>
    <t>AP消費</t>
    <phoneticPr fontId="2"/>
  </si>
  <si>
    <t>スキルタイプ</t>
    <phoneticPr fontId="2"/>
  </si>
  <si>
    <t>A</t>
    <phoneticPr fontId="2"/>
  </si>
  <si>
    <t>P</t>
    <phoneticPr fontId="2"/>
  </si>
  <si>
    <t>武器の扱い</t>
    <rPh sb="0" eb="2">
      <t>ブキ</t>
    </rPh>
    <rPh sb="3" eb="4">
      <t>アツカ</t>
    </rPh>
    <phoneticPr fontId="2"/>
  </si>
  <si>
    <t>攻撃手段:武器 命中+10</t>
    <rPh sb="0" eb="4">
      <t>コウゲキシュダン</t>
    </rPh>
    <rPh sb="5" eb="7">
      <t>ブキ</t>
    </rPh>
    <rPh sb="8" eb="10">
      <t>メイチュウ</t>
    </rPh>
    <phoneticPr fontId="2"/>
  </si>
  <si>
    <t>炎耐性</t>
    <rPh sb="0" eb="1">
      <t>ホノオ</t>
    </rPh>
    <rPh sb="1" eb="3">
      <t>タイセイ</t>
    </rPh>
    <phoneticPr fontId="2"/>
  </si>
  <si>
    <t>氷耐性</t>
    <rPh sb="0" eb="1">
      <t>コオリ</t>
    </rPh>
    <rPh sb="1" eb="3">
      <t>タイセイ</t>
    </rPh>
    <phoneticPr fontId="2"/>
  </si>
  <si>
    <t>雷耐性</t>
    <rPh sb="0" eb="1">
      <t>イカヅチ</t>
    </rPh>
    <rPh sb="1" eb="3">
      <t>タイセイ</t>
    </rPh>
    <phoneticPr fontId="2"/>
  </si>
  <si>
    <t>毒耐性</t>
    <rPh sb="0" eb="1">
      <t>ドク</t>
    </rPh>
    <rPh sb="1" eb="3">
      <t>タイセイ</t>
    </rPh>
    <phoneticPr fontId="2"/>
  </si>
  <si>
    <t>光</t>
    <rPh sb="0" eb="1">
      <t>ヒカリ</t>
    </rPh>
    <phoneticPr fontId="2"/>
  </si>
  <si>
    <t>光耐性</t>
    <rPh sb="0" eb="1">
      <t>ヒカリ</t>
    </rPh>
    <rPh sb="1" eb="3">
      <t>タイセイ</t>
    </rPh>
    <phoneticPr fontId="2"/>
  </si>
  <si>
    <t>闇耐性</t>
    <rPh sb="0" eb="3">
      <t>ヤミタイセイ</t>
    </rPh>
    <phoneticPr fontId="2"/>
  </si>
  <si>
    <t>怯み</t>
    <rPh sb="0" eb="1">
      <t>ヒル</t>
    </rPh>
    <phoneticPr fontId="2"/>
  </si>
  <si>
    <t>精神耐性</t>
    <rPh sb="0" eb="2">
      <t>セイシン</t>
    </rPh>
    <phoneticPr fontId="2"/>
  </si>
  <si>
    <t>怯み耐性</t>
    <rPh sb="0" eb="1">
      <t>ヒル</t>
    </rPh>
    <phoneticPr fontId="2"/>
  </si>
  <si>
    <t>出血耐性</t>
    <phoneticPr fontId="2"/>
  </si>
  <si>
    <t>拘束耐性</t>
    <rPh sb="0" eb="2">
      <t>コウソク</t>
    </rPh>
    <phoneticPr fontId="2"/>
  </si>
  <si>
    <t>幻覚耐性</t>
    <rPh sb="0" eb="2">
      <t>ゲンカク</t>
    </rPh>
    <rPh sb="2" eb="4">
      <t>タイセイ</t>
    </rPh>
    <phoneticPr fontId="2"/>
  </si>
  <si>
    <t>物理耐性</t>
    <rPh sb="0" eb="4">
      <t>ブツリタイセイ</t>
    </rPh>
    <phoneticPr fontId="2"/>
  </si>
  <si>
    <t>物理</t>
    <phoneticPr fontId="2"/>
  </si>
  <si>
    <t>炎</t>
    <rPh sb="0" eb="1">
      <t>ホノオ</t>
    </rPh>
    <phoneticPr fontId="2"/>
  </si>
  <si>
    <t>氷</t>
    <rPh sb="0" eb="1">
      <t>コオリ</t>
    </rPh>
    <phoneticPr fontId="2"/>
  </si>
  <si>
    <t>雷</t>
    <rPh sb="0" eb="1">
      <t>イカヅチ</t>
    </rPh>
    <phoneticPr fontId="2"/>
  </si>
  <si>
    <t>毒</t>
    <rPh sb="0" eb="1">
      <t>ドク</t>
    </rPh>
    <phoneticPr fontId="2"/>
  </si>
  <si>
    <t>闇</t>
    <phoneticPr fontId="2"/>
  </si>
  <si>
    <t>拘束</t>
    <rPh sb="0" eb="2">
      <t>コウソク</t>
    </rPh>
    <phoneticPr fontId="2"/>
  </si>
  <si>
    <t>幻覚</t>
    <rPh sb="0" eb="2">
      <t>ゲンカク</t>
    </rPh>
    <phoneticPr fontId="2"/>
  </si>
  <si>
    <t>Cr率</t>
    <rPh sb="2" eb="3">
      <t>リツ</t>
    </rPh>
    <phoneticPr fontId="2"/>
  </si>
  <si>
    <t>Cr威力</t>
    <rPh sb="2" eb="4">
      <t>イリョク</t>
    </rPh>
    <phoneticPr fontId="2"/>
  </si>
  <si>
    <t>Cr率耐性</t>
    <rPh sb="2" eb="3">
      <t>リツ</t>
    </rPh>
    <phoneticPr fontId="2"/>
  </si>
  <si>
    <t>Cr威力耐性</t>
    <rPh sb="2" eb="4">
      <t>イリョク</t>
    </rPh>
    <phoneticPr fontId="2"/>
  </si>
  <si>
    <t>攻撃手段</t>
    <rPh sb="0" eb="4">
      <t>コウゲキシュダン</t>
    </rPh>
    <phoneticPr fontId="2"/>
  </si>
  <si>
    <t>条件</t>
    <rPh sb="0" eb="2">
      <t>ジョウケン</t>
    </rPh>
    <phoneticPr fontId="2"/>
  </si>
  <si>
    <t>条件系統</t>
    <rPh sb="0" eb="2">
      <t>ジョウケン</t>
    </rPh>
    <rPh sb="2" eb="4">
      <t>ケイトウ</t>
    </rPh>
    <phoneticPr fontId="2"/>
  </si>
  <si>
    <t>射程</t>
    <rPh sb="0" eb="2">
      <t>シャテイ</t>
    </rPh>
    <phoneticPr fontId="2"/>
  </si>
  <si>
    <t>範囲</t>
    <rPh sb="0" eb="2">
      <t>ハンイ</t>
    </rPh>
    <phoneticPr fontId="2"/>
  </si>
  <si>
    <t>対象</t>
    <rPh sb="0" eb="2">
      <t>タイショウ</t>
    </rPh>
    <phoneticPr fontId="2"/>
  </si>
  <si>
    <t>効果</t>
    <rPh sb="0" eb="2">
      <t>コウカ</t>
    </rPh>
    <phoneticPr fontId="2"/>
  </si>
  <si>
    <t>攻撃回数</t>
    <rPh sb="0" eb="4">
      <t>コウゲキカイスウ</t>
    </rPh>
    <phoneticPr fontId="2"/>
  </si>
  <si>
    <t>攻撃追加</t>
    <rPh sb="0" eb="2">
      <t>コウゲキ</t>
    </rPh>
    <rPh sb="2" eb="4">
      <t>ツイカ</t>
    </rPh>
    <phoneticPr fontId="2"/>
  </si>
  <si>
    <t>追加威力</t>
    <rPh sb="0" eb="2">
      <t>ツイカ</t>
    </rPh>
    <rPh sb="2" eb="4">
      <t>イリョク</t>
    </rPh>
    <phoneticPr fontId="2"/>
  </si>
  <si>
    <t>判定</t>
    <rPh sb="0" eb="2">
      <t>ハンテイ</t>
    </rPh>
    <phoneticPr fontId="2"/>
  </si>
  <si>
    <t>効果時間</t>
    <rPh sb="0" eb="4">
      <t>コウカジカン</t>
    </rPh>
    <phoneticPr fontId="2"/>
  </si>
  <si>
    <t>待機</t>
    <rPh sb="0" eb="2">
      <t>タイキ</t>
    </rPh>
    <phoneticPr fontId="2"/>
  </si>
  <si>
    <t>闘気撃</t>
    <rPh sb="0" eb="2">
      <t>トウキ</t>
    </rPh>
    <rPh sb="2" eb="3">
      <t>ゲキ</t>
    </rPh>
    <phoneticPr fontId="2"/>
  </si>
  <si>
    <t>オーラ・ストライク</t>
    <phoneticPr fontId="2"/>
  </si>
  <si>
    <t>闘気守</t>
    <rPh sb="0" eb="2">
      <t>トウキ</t>
    </rPh>
    <rPh sb="2" eb="3">
      <t>マモ</t>
    </rPh>
    <phoneticPr fontId="2"/>
  </si>
  <si>
    <t>オーラ・ガード</t>
    <phoneticPr fontId="2"/>
  </si>
  <si>
    <t>ガード</t>
    <phoneticPr fontId="2"/>
  </si>
  <si>
    <t>魔法</t>
    <rPh sb="0" eb="2">
      <t>マホウ</t>
    </rPh>
    <phoneticPr fontId="2"/>
  </si>
  <si>
    <t>魔法耐性</t>
    <rPh sb="0" eb="2">
      <t>マホウ</t>
    </rPh>
    <rPh sb="2" eb="4">
      <t>タイセイ</t>
    </rPh>
    <phoneticPr fontId="2"/>
  </si>
  <si>
    <t>一閃撃</t>
    <rPh sb="0" eb="3">
      <t>イッセンゲキ</t>
    </rPh>
    <phoneticPr fontId="2"/>
  </si>
  <si>
    <t>ブランデッシュ</t>
    <phoneticPr fontId="2"/>
  </si>
  <si>
    <t>攻撃手段:武器 物理+2 命中+5</t>
    <rPh sb="0" eb="4">
      <t>コウゲキシュダン</t>
    </rPh>
    <rPh sb="5" eb="7">
      <t>ブキ</t>
    </rPh>
    <rPh sb="13" eb="15">
      <t>メイチュウ</t>
    </rPh>
    <phoneticPr fontId="2"/>
  </si>
  <si>
    <t>攻撃手段:武器 物理+25 判定:攻撃</t>
    <rPh sb="0" eb="4">
      <t>コウゲキシュダン</t>
    </rPh>
    <rPh sb="5" eb="7">
      <t>ブキ</t>
    </rPh>
    <rPh sb="8" eb="10">
      <t>ブツリ</t>
    </rPh>
    <rPh sb="14" eb="16">
      <t>ハンテイ</t>
    </rPh>
    <rPh sb="17" eb="19">
      <t>コウゲキ</t>
    </rPh>
    <phoneticPr fontId="2"/>
  </si>
  <si>
    <t>攻撃手段:武器 物理+15 命中+25 判定:攻撃</t>
    <rPh sb="0" eb="4">
      <t>コウゲキシュダン</t>
    </rPh>
    <rPh sb="5" eb="7">
      <t>ブキ</t>
    </rPh>
    <rPh sb="14" eb="16">
      <t>メイチュウ</t>
    </rPh>
    <phoneticPr fontId="2"/>
  </si>
  <si>
    <t>攻撃手段:武器 ガード+25 判定:防御</t>
    <rPh sb="0" eb="4">
      <t>コウゲキシュダン</t>
    </rPh>
    <rPh sb="5" eb="7">
      <t>ブキ</t>
    </rPh>
    <rPh sb="18" eb="20">
      <t>ボウギョ</t>
    </rPh>
    <phoneticPr fontId="2"/>
  </si>
  <si>
    <t>ナイト</t>
    <phoneticPr fontId="2"/>
  </si>
  <si>
    <t>フェンサー</t>
    <phoneticPr fontId="2"/>
  </si>
  <si>
    <t>騎士</t>
    <rPh sb="0" eb="2">
      <t>キシ</t>
    </rPh>
    <phoneticPr fontId="2"/>
  </si>
  <si>
    <t>軽戦士</t>
    <rPh sb="0" eb="3">
      <t>ケイセンシ</t>
    </rPh>
    <phoneticPr fontId="2"/>
  </si>
  <si>
    <t>ドルイド</t>
  </si>
  <si>
    <t>ドルイド</t>
    <phoneticPr fontId="2"/>
  </si>
  <si>
    <t>森司祭</t>
    <rPh sb="0" eb="1">
      <t>モリ</t>
    </rPh>
    <rPh sb="1" eb="3">
      <t>シサイ</t>
    </rPh>
    <phoneticPr fontId="2"/>
  </si>
  <si>
    <t>聖騎士</t>
    <rPh sb="0" eb="3">
      <t>セイキシ</t>
    </rPh>
    <phoneticPr fontId="2"/>
  </si>
  <si>
    <t>神官</t>
    <rPh sb="0" eb="2">
      <t>シンカン</t>
    </rPh>
    <phoneticPr fontId="2"/>
  </si>
  <si>
    <t>動物</t>
    <rPh sb="0" eb="2">
      <t>ドウブツ</t>
    </rPh>
    <phoneticPr fontId="2"/>
  </si>
  <si>
    <t>ウルフ</t>
    <phoneticPr fontId="2"/>
  </si>
  <si>
    <t>スネーク</t>
    <phoneticPr fontId="2"/>
  </si>
  <si>
    <t>タイガー</t>
  </si>
  <si>
    <t>タイガー</t>
    <phoneticPr fontId="2"/>
  </si>
  <si>
    <t>ホーク</t>
  </si>
  <si>
    <t>ホーク</t>
    <phoneticPr fontId="2"/>
  </si>
  <si>
    <t>ベア</t>
  </si>
  <si>
    <t>ベア</t>
    <phoneticPr fontId="2"/>
  </si>
  <si>
    <t>クロコダイル</t>
  </si>
  <si>
    <t>クロコダイル</t>
    <phoneticPr fontId="2"/>
  </si>
  <si>
    <t>ゾンビ</t>
    <phoneticPr fontId="2"/>
  </si>
  <si>
    <t>スケルトン</t>
    <phoneticPr fontId="2"/>
  </si>
  <si>
    <t>ゴースト</t>
  </si>
  <si>
    <t>ゴースト</t>
    <phoneticPr fontId="2"/>
  </si>
  <si>
    <t>ポルターガイスト</t>
  </si>
  <si>
    <t>武器の攻め</t>
    <rPh sb="0" eb="2">
      <t>ブキ</t>
    </rPh>
    <rPh sb="3" eb="4">
      <t>セ</t>
    </rPh>
    <phoneticPr fontId="2"/>
  </si>
  <si>
    <t>武器の守り</t>
    <rPh sb="0" eb="2">
      <t>ブキ</t>
    </rPh>
    <rPh sb="3" eb="4">
      <t>マモ</t>
    </rPh>
    <phoneticPr fontId="2"/>
  </si>
  <si>
    <t>攻撃手段:武器 ガード+2 命中+5</t>
    <rPh sb="0" eb="4">
      <t>コウゲキシュダン</t>
    </rPh>
    <rPh sb="5" eb="7">
      <t>ブキ</t>
    </rPh>
    <rPh sb="14" eb="16">
      <t>メイチュウ</t>
    </rPh>
    <phoneticPr fontId="2"/>
  </si>
  <si>
    <t>闘気速</t>
    <rPh sb="0" eb="2">
      <t>トウキ</t>
    </rPh>
    <rPh sb="2" eb="3">
      <t>ハヤ</t>
    </rPh>
    <phoneticPr fontId="2"/>
  </si>
  <si>
    <t>オーラ・クイック</t>
    <phoneticPr fontId="2"/>
  </si>
  <si>
    <t xml:space="preserve">攻撃手段:武器 物理+15 速度+25 判定:速度 </t>
    <rPh sb="0" eb="4">
      <t>コウゲキシュダン</t>
    </rPh>
    <rPh sb="5" eb="7">
      <t>ブキ</t>
    </rPh>
    <rPh sb="8" eb="10">
      <t>ブツリ</t>
    </rPh>
    <rPh sb="14" eb="16">
      <t>ソクド</t>
    </rPh>
    <rPh sb="23" eb="25">
      <t>ソクド</t>
    </rPh>
    <phoneticPr fontId="2"/>
  </si>
  <si>
    <t>回復</t>
    <rPh sb="0" eb="2">
      <t>カイフク</t>
    </rPh>
    <phoneticPr fontId="2"/>
  </si>
  <si>
    <t>急所撃</t>
    <rPh sb="0" eb="3">
      <t>キュウショゲキ</t>
    </rPh>
    <phoneticPr fontId="2"/>
  </si>
  <si>
    <t>ポイントストライク</t>
    <phoneticPr fontId="2"/>
  </si>
  <si>
    <t xml:space="preserve">条件:不意打ち 物理+35 判定:命中 </t>
    <rPh sb="0" eb="2">
      <t>ジョウケン</t>
    </rPh>
    <rPh sb="3" eb="6">
      <t>フイウ</t>
    </rPh>
    <rPh sb="8" eb="10">
      <t>ブツリ</t>
    </rPh>
    <rPh sb="14" eb="16">
      <t>ハンテイ</t>
    </rPh>
    <rPh sb="17" eb="19">
      <t>メイチュウ</t>
    </rPh>
    <phoneticPr fontId="2"/>
  </si>
  <si>
    <t>痛撃</t>
    <rPh sb="0" eb="1">
      <t>イタ</t>
    </rPh>
    <rPh sb="1" eb="2">
      <t>ゲキ</t>
    </rPh>
    <phoneticPr fontId="2"/>
  </si>
  <si>
    <t>ペイン・ストライク</t>
    <phoneticPr fontId="2"/>
  </si>
  <si>
    <t>攻撃手段:武器 怯み+30 判定:命中</t>
    <rPh sb="0" eb="4">
      <t>コウゲキシュダン</t>
    </rPh>
    <rPh sb="5" eb="7">
      <t>ブキ</t>
    </rPh>
    <rPh sb="8" eb="9">
      <t>ヒル</t>
    </rPh>
    <rPh sb="14" eb="16">
      <t>ハンテイ</t>
    </rPh>
    <rPh sb="17" eb="19">
      <t>メイチュウ</t>
    </rPh>
    <phoneticPr fontId="2"/>
  </si>
  <si>
    <t>狙い</t>
    <rPh sb="0" eb="1">
      <t>ネラ</t>
    </rPh>
    <phoneticPr fontId="2"/>
  </si>
  <si>
    <t>ターゲット</t>
    <phoneticPr fontId="2"/>
  </si>
  <si>
    <t>反撃</t>
    <rPh sb="0" eb="2">
      <t>ハンゲキ</t>
    </rPh>
    <phoneticPr fontId="2"/>
  </si>
  <si>
    <t>隠密</t>
    <rPh sb="0" eb="2">
      <t>オンミツ</t>
    </rPh>
    <phoneticPr fontId="2"/>
  </si>
  <si>
    <t>農業</t>
  </si>
  <si>
    <t>林業</t>
  </si>
  <si>
    <t>漁業</t>
  </si>
  <si>
    <t>工業</t>
  </si>
  <si>
    <t>統治</t>
  </si>
  <si>
    <t>技能名</t>
  </si>
  <si>
    <t>部隊への命令効率を高める。士気上昇量やバフ効果量が増加し、部隊スキルの性能が向上する。</t>
  </si>
  <si>
    <t>騙すを併合。敵やNPCに心理的圧力を与える。敵士気低下や怯え付与、会話時の威圧成功率が上昇する。</t>
  </si>
  <si>
    <t>知識を含む。敵能力・弱点・嘘・罠・アイテムの性質を見破る。不意打ち耐性や情報取得能力が向上する。</t>
  </si>
  <si>
    <t>軽業を併合。攻撃速度や回避率が上昇し、移動系スキルの消費が軽減される。連撃性能が向上する。</t>
  </si>
  <si>
    <t>装置操作・罠設置・修理・制作補助能力。戦闘中のトラップ性能や道具効果が向上する。</t>
  </si>
  <si>
    <t>発見されにくくなる。奇襲成功率や離脱成功率が上昇し、不意打ち時の威力が増加する。</t>
  </si>
  <si>
    <t>敵や資源を発見しやすくなる。遭遇率制御、罠発見、危険察知能力が向上する。</t>
  </si>
  <si>
    <t>穀物・家畜など農業生産効率を上昇させる。災害による収穫減少を軽減する。</t>
  </si>
  <si>
    <t>木材資源の取得量と森林管理効率を上昇させる。森林枯渇速度を軽減する。</t>
  </si>
  <si>
    <t>水域資源の取得量を上昇させる。食料安定度に補正を与える。</t>
  </si>
  <si>
    <t>加工・生産効率を上昇させる。装備や施設の生産速度が向上する。</t>
  </si>
  <si>
    <t>都市安定度や治安を向上させる。反乱発生率を低下させ、維持費効率を改善する。</t>
  </si>
  <si>
    <t>交易価格や外交成功率を上昇させる。条約締結や取引条件が有利になる。</t>
  </si>
  <si>
    <t>魔法スキルの威力や成功率を向上させる。魔法系制作や研究効率に補正を与える。</t>
  </si>
  <si>
    <t>宗教効果や祝福系能力を強化する。士気回復や精神耐性補正が向上する。</t>
  </si>
  <si>
    <t>指揮</t>
    <phoneticPr fontId="2"/>
  </si>
  <si>
    <t>ウィザード</t>
    <phoneticPr fontId="2"/>
  </si>
  <si>
    <t>アルケミスト</t>
    <phoneticPr fontId="2"/>
  </si>
  <si>
    <t>エレメンタラー</t>
    <phoneticPr fontId="2"/>
  </si>
  <si>
    <t>魔導士</t>
    <rPh sb="0" eb="3">
      <t>マドウシ</t>
    </rPh>
    <phoneticPr fontId="2"/>
  </si>
  <si>
    <t>精霊師</t>
    <rPh sb="0" eb="2">
      <t>セイレイ</t>
    </rPh>
    <rPh sb="2" eb="3">
      <t>シ</t>
    </rPh>
    <phoneticPr fontId="2"/>
  </si>
  <si>
    <t>錬金術師</t>
    <rPh sb="0" eb="4">
      <t>レンキンジュツシ</t>
    </rPh>
    <phoneticPr fontId="2"/>
  </si>
  <si>
    <t>シーフ</t>
    <phoneticPr fontId="2"/>
  </si>
  <si>
    <t>Skill1</t>
    <phoneticPr fontId="2"/>
  </si>
  <si>
    <t>Skill2</t>
  </si>
  <si>
    <t>Skill3</t>
  </si>
  <si>
    <t>Skill4</t>
  </si>
  <si>
    <t>Skill5</t>
  </si>
  <si>
    <t>Skill6</t>
  </si>
  <si>
    <t>Skill7</t>
  </si>
  <si>
    <t>Skill8</t>
  </si>
  <si>
    <t>Skill9</t>
  </si>
  <si>
    <t>Skill10</t>
  </si>
  <si>
    <t>条件Lv</t>
    <rPh sb="0" eb="2">
      <t>ジョウケン</t>
    </rPh>
    <phoneticPr fontId="2"/>
  </si>
  <si>
    <t>条件_1</t>
    <rPh sb="0" eb="2">
      <t>ジョウケン</t>
    </rPh>
    <phoneticPr fontId="2"/>
  </si>
  <si>
    <t>Lv_1</t>
    <phoneticPr fontId="2"/>
  </si>
  <si>
    <t>条件_2</t>
    <rPh sb="0" eb="2">
      <t>ジョウケン</t>
    </rPh>
    <phoneticPr fontId="2"/>
  </si>
  <si>
    <t>Lv_2</t>
  </si>
  <si>
    <t>条件_3</t>
    <rPh sb="0" eb="2">
      <t>ジョウケン</t>
    </rPh>
    <phoneticPr fontId="2"/>
  </si>
  <si>
    <t>Lv_3</t>
  </si>
  <si>
    <t>条件_4</t>
    <rPh sb="0" eb="2">
      <t>ジョウケン</t>
    </rPh>
    <phoneticPr fontId="2"/>
  </si>
  <si>
    <t>Lv_4</t>
  </si>
  <si>
    <t>罠技術</t>
    <rPh sb="0" eb="1">
      <t>ワナ</t>
    </rPh>
    <rPh sb="1" eb="3">
      <t>ギジュツ</t>
    </rPh>
    <phoneticPr fontId="2"/>
  </si>
  <si>
    <t>炎の拳</t>
  </si>
  <si>
    <t>炎の魔力</t>
  </si>
  <si>
    <t>浮遊</t>
  </si>
  <si>
    <t>浮遊</t>
    <rPh sb="0" eb="2">
      <t>フユウ</t>
    </rPh>
    <phoneticPr fontId="2"/>
  </si>
  <si>
    <t>効果:浮遊</t>
    <rPh sb="0" eb="2">
      <t>コウカ</t>
    </rPh>
    <rPh sb="3" eb="5">
      <t>フユウ</t>
    </rPh>
    <phoneticPr fontId="2"/>
  </si>
  <si>
    <t>風</t>
    <rPh sb="0" eb="1">
      <t>カゼ</t>
    </rPh>
    <phoneticPr fontId="2"/>
  </si>
  <si>
    <t>地</t>
    <rPh sb="0" eb="1">
      <t>チ</t>
    </rPh>
    <phoneticPr fontId="2"/>
  </si>
  <si>
    <t>爪</t>
    <rPh sb="0" eb="1">
      <t>ツメ</t>
    </rPh>
    <phoneticPr fontId="2"/>
  </si>
  <si>
    <t>牙</t>
    <rPh sb="0" eb="1">
      <t>キバ</t>
    </rPh>
    <phoneticPr fontId="2"/>
  </si>
  <si>
    <t>肉体攻撃</t>
    <rPh sb="0" eb="4">
      <t>ニクタイコウゲキ</t>
    </rPh>
    <phoneticPr fontId="2"/>
  </si>
  <si>
    <t>角</t>
    <rPh sb="0" eb="1">
      <t>ツノ</t>
    </rPh>
    <phoneticPr fontId="2"/>
  </si>
  <si>
    <t>尾</t>
    <rPh sb="0" eb="1">
      <t>オ</t>
    </rPh>
    <phoneticPr fontId="2"/>
  </si>
  <si>
    <t>尾針</t>
    <rPh sb="0" eb="1">
      <t>オ</t>
    </rPh>
    <rPh sb="1" eb="2">
      <t>ハリ</t>
    </rPh>
    <phoneticPr fontId="2"/>
  </si>
  <si>
    <t>翼</t>
    <rPh sb="0" eb="1">
      <t>ツバサ</t>
    </rPh>
    <phoneticPr fontId="2"/>
  </si>
  <si>
    <t>尾の巻き付き</t>
    <rPh sb="0" eb="1">
      <t>オ</t>
    </rPh>
    <rPh sb="2" eb="3">
      <t>マ</t>
    </rPh>
    <rPh sb="4" eb="5">
      <t>ツ</t>
    </rPh>
    <phoneticPr fontId="2"/>
  </si>
  <si>
    <t>攻撃手段:尾 物理+10 拘束+30 判定:攻撃</t>
    <rPh sb="0" eb="4">
      <t>コウゲキシュダン</t>
    </rPh>
    <rPh sb="5" eb="6">
      <t>オ</t>
    </rPh>
    <rPh sb="7" eb="9">
      <t>ブツリ</t>
    </rPh>
    <rPh sb="13" eb="15">
      <t>コウソク</t>
    </rPh>
    <rPh sb="19" eb="21">
      <t>ハンテイ</t>
    </rPh>
    <rPh sb="22" eb="24">
      <t>コウゲキ</t>
    </rPh>
    <phoneticPr fontId="2"/>
  </si>
  <si>
    <t>攻撃手段:尾 物理+25  判定:攻撃</t>
    <rPh sb="0" eb="4">
      <t>コウゲキシュダン</t>
    </rPh>
    <rPh sb="5" eb="6">
      <t>オ</t>
    </rPh>
    <rPh sb="7" eb="9">
      <t>ブツリ</t>
    </rPh>
    <phoneticPr fontId="2"/>
  </si>
  <si>
    <t>攻撃手段:尾 物理+15 判定:攻撃</t>
    <rPh sb="0" eb="4">
      <t>コウゲキシュダン</t>
    </rPh>
    <rPh sb="5" eb="6">
      <t>オ</t>
    </rPh>
    <rPh sb="7" eb="9">
      <t>ブツリ</t>
    </rPh>
    <phoneticPr fontId="2"/>
  </si>
  <si>
    <t>攻撃手段:牙 物理+20 判定:攻撃</t>
    <rPh sb="0" eb="4">
      <t>コウゲキシュダン</t>
    </rPh>
    <rPh sb="5" eb="6">
      <t>キバ</t>
    </rPh>
    <rPh sb="7" eb="9">
      <t>ブツリ</t>
    </rPh>
    <phoneticPr fontId="2"/>
  </si>
  <si>
    <t>攻撃手段:角 物理+25 判定:攻撃</t>
    <rPh sb="0" eb="4">
      <t>コウゲキシュダン</t>
    </rPh>
    <rPh sb="5" eb="6">
      <t>ツノ</t>
    </rPh>
    <rPh sb="7" eb="9">
      <t>ブツリ</t>
    </rPh>
    <phoneticPr fontId="2"/>
  </si>
  <si>
    <t>氷の拳</t>
  </si>
  <si>
    <t>氷の魔力</t>
  </si>
  <si>
    <t>風の拳</t>
  </si>
  <si>
    <t>風の魔力</t>
  </si>
  <si>
    <t>風の力</t>
  </si>
  <si>
    <t>風の吐息</t>
  </si>
  <si>
    <t>地の拳</t>
  </si>
  <si>
    <t>地の魔力</t>
  </si>
  <si>
    <t>地の力</t>
  </si>
  <si>
    <t>石礫の吐息</t>
  </si>
  <si>
    <t>詳細</t>
    <rPh sb="0" eb="2">
      <t>ショウサイ</t>
    </rPh>
    <phoneticPr fontId="2"/>
  </si>
  <si>
    <t>光粒</t>
    <rPh sb="0" eb="1">
      <t>ヒカリ</t>
    </rPh>
    <rPh sb="1" eb="2">
      <t>ツブ</t>
    </rPh>
    <phoneticPr fontId="2"/>
  </si>
  <si>
    <t>治癒</t>
    <rPh sb="0" eb="2">
      <t>チユ</t>
    </rPh>
    <phoneticPr fontId="2"/>
  </si>
  <si>
    <t>軽回復</t>
    <rPh sb="0" eb="1">
      <t>カル</t>
    </rPh>
    <rPh sb="1" eb="3">
      <t>カイフク</t>
    </rPh>
    <phoneticPr fontId="2"/>
  </si>
  <si>
    <t>ライト・ヒール</t>
    <phoneticPr fontId="2"/>
  </si>
  <si>
    <t>植物の絡み</t>
    <rPh sb="0" eb="2">
      <t>ショクブツ</t>
    </rPh>
    <rPh sb="3" eb="4">
      <t>カラ</t>
    </rPh>
    <phoneticPr fontId="2"/>
  </si>
  <si>
    <t>ヴァイン・プラント</t>
    <phoneticPr fontId="2"/>
  </si>
  <si>
    <t>全威力</t>
    <rPh sb="0" eb="3">
      <t>ゼンイリョク</t>
    </rPh>
    <phoneticPr fontId="2"/>
  </si>
  <si>
    <t>武器</t>
  </si>
  <si>
    <t>ガード時</t>
  </si>
  <si>
    <t>不意打ち</t>
  </si>
  <si>
    <t>吐息</t>
  </si>
  <si>
    <t>放射</t>
  </si>
  <si>
    <t xml:space="preserve">条件:ガード時 物理+3 </t>
    <rPh sb="0" eb="2">
      <t>ジョウケン</t>
    </rPh>
    <rPh sb="5" eb="7">
      <t>ト</t>
    </rPh>
    <rPh sb="8" eb="10">
      <t>ブツリ</t>
    </rPh>
    <phoneticPr fontId="2"/>
  </si>
  <si>
    <t>盲目耐性</t>
    <rPh sb="0" eb="2">
      <t>モウモク</t>
    </rPh>
    <rPh sb="2" eb="4">
      <t>タイセイ</t>
    </rPh>
    <phoneticPr fontId="2"/>
  </si>
  <si>
    <t>盲目</t>
    <rPh sb="0" eb="2">
      <t>モウモク</t>
    </rPh>
    <phoneticPr fontId="2"/>
  </si>
  <si>
    <t>効果時間:4t 攻撃+15 精神耐性+10</t>
  </si>
  <si>
    <t>効果時間:4t 命中+20 Cr率+5</t>
    <rPh sb="8" eb="10">
      <t>メイチュウ</t>
    </rPh>
    <rPh sb="16" eb="17">
      <t>リツ</t>
    </rPh>
    <phoneticPr fontId="2"/>
  </si>
  <si>
    <t>4t</t>
  </si>
  <si>
    <t>攻撃手段:爪 物理+15 攻撃回数:2 判定:攻撃</t>
    <rPh sb="0" eb="4">
      <t>コウゲキシュダン</t>
    </rPh>
    <rPh sb="5" eb="6">
      <t>ツメ</t>
    </rPh>
    <rPh sb="7" eb="9">
      <t>ブツリ</t>
    </rPh>
    <phoneticPr fontId="2"/>
  </si>
  <si>
    <t>攻撃手段:爪 物理+15 攻撃回数:2</t>
    <rPh sb="0" eb="4">
      <t>コウゲキシュダン</t>
    </rPh>
    <rPh sb="5" eb="6">
      <t>ツメ</t>
    </rPh>
    <rPh sb="7" eb="9">
      <t>ブツリ</t>
    </rPh>
    <phoneticPr fontId="2"/>
  </si>
  <si>
    <t>単体</t>
  </si>
  <si>
    <t>直線</t>
  </si>
  <si>
    <t>扇</t>
  </si>
  <si>
    <t>円</t>
  </si>
  <si>
    <t>周囲</t>
  </si>
  <si>
    <t>前方</t>
  </si>
  <si>
    <t>連鎖</t>
  </si>
  <si>
    <t>味方</t>
    <rPh sb="0" eb="2">
      <t>ミカタ</t>
    </rPh>
    <phoneticPr fontId="2"/>
  </si>
  <si>
    <t>敵</t>
    <rPh sb="0" eb="1">
      <t>テキ</t>
    </rPh>
    <phoneticPr fontId="2"/>
  </si>
  <si>
    <t>全て</t>
    <rPh sb="0" eb="1">
      <t>スベ</t>
    </rPh>
    <phoneticPr fontId="2"/>
  </si>
  <si>
    <t>自身以外</t>
    <rPh sb="0" eb="2">
      <t>ジシン</t>
    </rPh>
    <rPh sb="2" eb="4">
      <t>イガイ</t>
    </rPh>
    <phoneticPr fontId="2"/>
  </si>
  <si>
    <t>範囲タイプ</t>
  </si>
  <si>
    <t>指定した1体のみを対象にする</t>
  </si>
  <si>
    <t>指定方向へ一直線上の対象を貫通して攻撃する</t>
  </si>
  <si>
    <t>自分前方に扇形範囲で攻撃する</t>
  </si>
  <si>
    <t>対象から近くの別対象へ順に連鎖して効果が及ぶ</t>
  </si>
  <si>
    <t>対象陣営全体に効果が及ぶ</t>
  </si>
  <si>
    <t>指定地点を中心とした円形範囲を攻撃する</t>
    <phoneticPr fontId="2"/>
  </si>
  <si>
    <t>自分を中心とした円形範囲を攻撃する。間に対象がいると後ろには当たらない</t>
    <rPh sb="18" eb="19">
      <t>アイダ</t>
    </rPh>
    <rPh sb="20" eb="22">
      <t>タイショウ</t>
    </rPh>
    <rPh sb="26" eb="27">
      <t>ウシ</t>
    </rPh>
    <rPh sb="30" eb="31">
      <t>ア</t>
    </rPh>
    <phoneticPr fontId="2"/>
  </si>
  <si>
    <t>自分前方の矩形（長方形）範囲を攻撃する。</t>
    <phoneticPr fontId="2"/>
  </si>
  <si>
    <t>ライン</t>
    <phoneticPr fontId="2"/>
  </si>
  <si>
    <t>2か所を指定しその間を攻撃</t>
    <rPh sb="2" eb="3">
      <t>ショ</t>
    </rPh>
    <rPh sb="4" eb="6">
      <t>シテイ</t>
    </rPh>
    <rPh sb="9" eb="10">
      <t>アイダ</t>
    </rPh>
    <rPh sb="11" eb="13">
      <t>コウゲキ</t>
    </rPh>
    <phoneticPr fontId="2"/>
  </si>
  <si>
    <t>AP回復</t>
  </si>
  <si>
    <t>HPダメージ</t>
  </si>
  <si>
    <t>攻撃ダメージ</t>
  </si>
  <si>
    <t>防御ダメージ</t>
  </si>
  <si>
    <t>魔力ダメージ</t>
  </si>
  <si>
    <t>精神ダメージ</t>
  </si>
  <si>
    <t>速度ダメージ</t>
  </si>
  <si>
    <t>命中ダメージ</t>
  </si>
  <si>
    <t>技能ダメージ</t>
  </si>
  <si>
    <t>炎上</t>
  </si>
  <si>
    <t>帯電</t>
  </si>
  <si>
    <t>気絶</t>
  </si>
  <si>
    <t>腐蝕</t>
  </si>
  <si>
    <t>遮断</t>
  </si>
  <si>
    <t>恐怖</t>
  </si>
  <si>
    <t>混乱</t>
  </si>
  <si>
    <t>魅了</t>
  </si>
  <si>
    <t>吸収</t>
  </si>
  <si>
    <t>反射</t>
  </si>
  <si>
    <t>障壁</t>
  </si>
  <si>
    <t>APダメージ</t>
  </si>
  <si>
    <t>能力値回復</t>
  </si>
  <si>
    <t>時間停止</t>
  </si>
  <si>
    <t>AP増加</t>
  </si>
  <si>
    <t>追加効果</t>
  </si>
  <si>
    <t>対象の能力値（攻撃・防御・魔力・精神・速度・命中など）を回復する</t>
  </si>
  <si>
    <t>対象のAPを回復する</t>
  </si>
  <si>
    <t>対象の最大APまたは現在AP上限を一時的に増加させる</t>
  </si>
  <si>
    <t>対象のAPを減少させる</t>
  </si>
  <si>
    <t>対象のHPにダメージを与える</t>
  </si>
  <si>
    <t>対象の攻撃値を一時的に減少させる</t>
  </si>
  <si>
    <t>対象の防御値を一時的に減少させる</t>
  </si>
  <si>
    <t>対象の魔力を一時的に減少させる</t>
  </si>
  <si>
    <t>対象の精神を一時的に減少させる</t>
  </si>
  <si>
    <t>対象の速度を一時的に減少させる</t>
  </si>
  <si>
    <t>対象の命中を一時的に減少させる</t>
  </si>
  <si>
    <t>対象の技能値を一時的に減少させる</t>
  </si>
  <si>
    <t>一定時間行動不能になる状態</t>
  </si>
  <si>
    <t>一時的に敵対行動ができなくなる、または味方扱いになる状態</t>
  </si>
  <si>
    <t>受けたダメージの一部を攻撃者へ返す</t>
  </si>
  <si>
    <t>一定時間対象の行動や時間経過を停止させる</t>
  </si>
  <si>
    <t>速度とAPと防御にダメージ</t>
    <rPh sb="0" eb="2">
      <t>ソクド</t>
    </rPh>
    <rPh sb="6" eb="8">
      <t>ボウギョ</t>
    </rPh>
    <phoneticPr fontId="2"/>
  </si>
  <si>
    <t>速度とAPと怯みにダメージ</t>
    <phoneticPr fontId="2"/>
  </si>
  <si>
    <t>毎ターンHPダメージ＋防御にダメージ</t>
    <phoneticPr fontId="2"/>
  </si>
  <si>
    <t>毎ターンHPダメージを受ける状態</t>
    <phoneticPr fontId="2"/>
  </si>
  <si>
    <t>自身の後ろに攻撃が届かなくなる</t>
    <rPh sb="0" eb="2">
      <t>ジシン</t>
    </rPh>
    <rPh sb="3" eb="4">
      <t>ウシ</t>
    </rPh>
    <rPh sb="6" eb="8">
      <t>コウゲキ</t>
    </rPh>
    <rPh sb="9" eb="10">
      <t>トド</t>
    </rPh>
    <phoneticPr fontId="2"/>
  </si>
  <si>
    <t>攻撃・命中・士気などが低下する状態</t>
    <phoneticPr fontId="2"/>
  </si>
  <si>
    <t>行動が指定したスキル、近くに攻撃、自分に攻撃、このターンAPがなくなるのどれかになる。</t>
    <rPh sb="0" eb="2">
      <t>コウドウ</t>
    </rPh>
    <rPh sb="3" eb="5">
      <t>シテイ</t>
    </rPh>
    <rPh sb="11" eb="12">
      <t>チカ</t>
    </rPh>
    <rPh sb="14" eb="16">
      <t>コウゲキ</t>
    </rPh>
    <rPh sb="17" eb="19">
      <t>ジブン</t>
    </rPh>
    <rPh sb="20" eb="22">
      <t>コウゲキ</t>
    </rPh>
    <phoneticPr fontId="2"/>
  </si>
  <si>
    <t>与えた出血ダメージ分をHPとして回復する</t>
    <rPh sb="3" eb="5">
      <t>シュッケツ</t>
    </rPh>
    <rPh sb="9" eb="10">
      <t>ブン</t>
    </rPh>
    <phoneticPr fontId="2"/>
  </si>
  <si>
    <t>与えたダメージや効果の一部を自分の能力値に変換する</t>
    <phoneticPr fontId="2"/>
  </si>
  <si>
    <t>追加HPを得て、なくなるまで追加効果を受けなくなる</t>
    <rPh sb="14" eb="16">
      <t>ツイカ</t>
    </rPh>
    <rPh sb="16" eb="18">
      <t>コウカ</t>
    </rPh>
    <rPh sb="19" eb="20">
      <t>ウ</t>
    </rPh>
    <phoneticPr fontId="2"/>
  </si>
  <si>
    <t>対象を後方へ移動させる</t>
  </si>
  <si>
    <t>引き寄せ</t>
  </si>
  <si>
    <t>対象を自分の方へ移動させる</t>
  </si>
  <si>
    <t>位置交換</t>
  </si>
  <si>
    <t>対象と位置を入れ替える</t>
  </si>
  <si>
    <t>転倒</t>
  </si>
  <si>
    <t>移動不可＋回避低下</t>
  </si>
  <si>
    <t>地形効果を無視する</t>
  </si>
  <si>
    <t>固定</t>
  </si>
  <si>
    <t>指定位置から移動不可</t>
  </si>
  <si>
    <t>不死</t>
  </si>
  <si>
    <t>HP0でも一定ターン生存</t>
  </si>
  <si>
    <t>復活</t>
  </si>
  <si>
    <t>戦闘不能から復帰</t>
  </si>
  <si>
    <t>封印</t>
  </si>
  <si>
    <t>特定属性無効化</t>
  </si>
  <si>
    <t>重力増加</t>
    <rPh sb="0" eb="2">
      <t>ジュウリョク</t>
    </rPh>
    <rPh sb="2" eb="4">
      <t>ゾウカ</t>
    </rPh>
    <phoneticPr fontId="2"/>
  </si>
  <si>
    <t>威力と攻撃との差に応じて速度とAPにダメージを与える。飛行ができなくなる。</t>
    <rPh sb="0" eb="2">
      <t>イリョク</t>
    </rPh>
    <rPh sb="3" eb="5">
      <t>コウゲキ</t>
    </rPh>
    <rPh sb="7" eb="8">
      <t>サ</t>
    </rPh>
    <rPh sb="9" eb="10">
      <t>オウ</t>
    </rPh>
    <rPh sb="12" eb="14">
      <t>ソクド</t>
    </rPh>
    <rPh sb="23" eb="24">
      <t>アタ</t>
    </rPh>
    <rPh sb="27" eb="29">
      <t>ヒコウ</t>
    </rPh>
    <phoneticPr fontId="2"/>
  </si>
  <si>
    <t>耐性無視</t>
    <rPh sb="0" eb="4">
      <t>タイセイムシ</t>
    </rPh>
    <phoneticPr fontId="2"/>
  </si>
  <si>
    <t>耐性の割合軽減を無視できる。</t>
    <rPh sb="0" eb="2">
      <t>タイセイ</t>
    </rPh>
    <rPh sb="3" eb="7">
      <t>ワリアイケイゲン</t>
    </rPh>
    <rPh sb="8" eb="10">
      <t>ムシ</t>
    </rPh>
    <phoneticPr fontId="2"/>
  </si>
  <si>
    <t>吹き飛ばし</t>
    <rPh sb="0" eb="1">
      <t>フ</t>
    </rPh>
    <rPh sb="2" eb="3">
      <t>ト</t>
    </rPh>
    <phoneticPr fontId="2"/>
  </si>
  <si>
    <t>地形変化_森</t>
  </si>
  <si>
    <t>地形変化_平地</t>
  </si>
  <si>
    <t>対象マスを平地へ変更する</t>
  </si>
  <si>
    <t>対象マスを森へ変更する</t>
  </si>
  <si>
    <t>地形変化_深森</t>
  </si>
  <si>
    <t>対象マスを深い森へ変更する（回避上昇・視界低下）</t>
  </si>
  <si>
    <t>地形変化_沼地</t>
  </si>
  <si>
    <t>対象マスを沼地へ変更する（速度低下）</t>
  </si>
  <si>
    <t>地形変化_湿地</t>
  </si>
  <si>
    <t>対象マスを湿地へ変更する（雷耐性低下）</t>
  </si>
  <si>
    <t>地形変化_氷原</t>
  </si>
  <si>
    <t>対象マスを氷地形へ変更する（移動不安定）</t>
  </si>
  <si>
    <t>地形変化_雪原</t>
  </si>
  <si>
    <t>対象マスを雪地形へ変更する（速度低下）</t>
  </si>
  <si>
    <t>地形変化_火炎地</t>
  </si>
  <si>
    <t>対象マスを炎地形へ変更する（毎ターンダメージ）</t>
  </si>
  <si>
    <t>地形変化_溶岩地</t>
  </si>
  <si>
    <t>対象マスを溶岩地へ変更する（大ダメージ・通行困難）</t>
  </si>
  <si>
    <t>地形変化_岩地</t>
  </si>
  <si>
    <t>対象マスを岩地へ変更する（防御上昇）</t>
  </si>
  <si>
    <t>地形変化_山地</t>
  </si>
  <si>
    <t>対象マスを山地へ変更する（高所補正）</t>
  </si>
  <si>
    <t>地形変化_断崖</t>
  </si>
  <si>
    <t>対象マスを断崖へ変更する（通行不可）</t>
  </si>
  <si>
    <t>地形変化_荒廃地</t>
  </si>
  <si>
    <t>対象マスを荒廃地へ変更する（回復効果減少）</t>
  </si>
  <si>
    <t>地形変化_毒地</t>
  </si>
  <si>
    <t>対象マスを毒地へ変更する（毒付与）</t>
  </si>
  <si>
    <t>地形変化_呪域</t>
  </si>
  <si>
    <t>対象マスを闇強化地形へ変更する</t>
  </si>
  <si>
    <t>地形変化_聖域</t>
  </si>
  <si>
    <t>対象マスを光強化地形へ変更する</t>
  </si>
  <si>
    <t>地形変化_結界地</t>
  </si>
  <si>
    <t>対象マスを結界地へ変更する（魔法軽減）</t>
  </si>
  <si>
    <t>地形変化_砂地</t>
  </si>
  <si>
    <t>対象マスを砂地へ変更する（命中低下）</t>
  </si>
  <si>
    <t>対象マスを水地形へ変更する（移動制限）</t>
  </si>
  <si>
    <t>地形変化_浅瀬</t>
  </si>
  <si>
    <t>対象マスを浅瀬へ変更する（速度低下）</t>
  </si>
  <si>
    <t>地形変化_都市</t>
  </si>
  <si>
    <t>対象マスを都市地形へ変更する（統治補正）</t>
  </si>
  <si>
    <t>地形変化_農地</t>
  </si>
  <si>
    <t>対象マスを農地へ変更する（資源補正）</t>
  </si>
  <si>
    <t>地形変化_廃墟</t>
  </si>
  <si>
    <t>対象マスを廃墟へ変更する（探索効果）</t>
  </si>
  <si>
    <t>地形変化_湖</t>
    <rPh sb="5" eb="6">
      <t>ミズウミ</t>
    </rPh>
    <phoneticPr fontId="2"/>
  </si>
  <si>
    <t>壁生成</t>
    <rPh sb="0" eb="1">
      <t>カベ</t>
    </rPh>
    <rPh sb="1" eb="3">
      <t>セイセイ</t>
    </rPh>
    <phoneticPr fontId="2"/>
  </si>
  <si>
    <t>高さ+1マスの壁を作る。耐久値は魔法の値</t>
    <rPh sb="0" eb="1">
      <t>タカ</t>
    </rPh>
    <rPh sb="7" eb="8">
      <t>カベ</t>
    </rPh>
    <rPh sb="9" eb="10">
      <t>ツク</t>
    </rPh>
    <rPh sb="12" eb="16">
      <t>タイキュ</t>
    </rPh>
    <rPh sb="16" eb="18">
      <t>マホウ</t>
    </rPh>
    <rPh sb="19" eb="20">
      <t>アタイ</t>
    </rPh>
    <phoneticPr fontId="2"/>
  </si>
  <si>
    <t>P</t>
  </si>
  <si>
    <t>P</t>
    <phoneticPr fontId="2"/>
  </si>
  <si>
    <t>森の歩み</t>
    <rPh sb="0" eb="1">
      <t>モリ</t>
    </rPh>
    <rPh sb="2" eb="3">
      <t>アユ</t>
    </rPh>
    <phoneticPr fontId="2"/>
  </si>
  <si>
    <t xml:space="preserve">条件:森 隠密+40 </t>
    <rPh sb="0" eb="2">
      <t>ジョウケン</t>
    </rPh>
    <rPh sb="3" eb="4">
      <t>モリ</t>
    </rPh>
    <rPh sb="5" eb="7">
      <t>オンミツ</t>
    </rPh>
    <phoneticPr fontId="2"/>
  </si>
  <si>
    <t>指揮	戦術	威圧	看破	索敵	隠密	生存	罠設置	農耕	伐採	採掘	錬成	統率	交渉	政治	信仰</t>
    <phoneticPr fontId="2"/>
  </si>
  <si>
    <t>地形</t>
  </si>
  <si>
    <t>穀物</t>
  </si>
  <si>
    <t>野菜</t>
  </si>
  <si>
    <t>肉</t>
  </si>
  <si>
    <t>魚</t>
  </si>
  <si>
    <t>木材</t>
  </si>
  <si>
    <t>黒木</t>
  </si>
  <si>
    <t>特木</t>
  </si>
  <si>
    <t>石材</t>
  </si>
  <si>
    <t>鉄</t>
  </si>
  <si>
    <t>銀鉄</t>
  </si>
  <si>
    <t>青金鋼</t>
  </si>
  <si>
    <t>赤黒鋼</t>
  </si>
  <si>
    <t>金</t>
  </si>
  <si>
    <t>銀</t>
  </si>
  <si>
    <t>宝石</t>
  </si>
  <si>
    <t>台風</t>
  </si>
  <si>
    <t>竜巻</t>
  </si>
  <si>
    <t>吹雪</t>
  </si>
  <si>
    <t>噴火</t>
  </si>
  <si>
    <t>砂嵐</t>
  </si>
  <si>
    <t>洪水</t>
  </si>
  <si>
    <t>地震</t>
  </si>
  <si>
    <t>雷嵐</t>
  </si>
  <si>
    <t>開拓難易度</t>
  </si>
  <si>
    <t>平地</t>
  </si>
  <si>
    <t>森</t>
  </si>
  <si>
    <t>山岳</t>
  </si>
  <si>
    <t>丘陵</t>
  </si>
  <si>
    <t>河川</t>
  </si>
  <si>
    <t>湖</t>
  </si>
  <si>
    <t>海</t>
  </si>
  <si>
    <t>砂漠</t>
  </si>
  <si>
    <t>沼地</t>
  </si>
  <si>
    <t>峡谷</t>
  </si>
  <si>
    <t>洞窟</t>
  </si>
  <si>
    <t>雪原</t>
  </si>
  <si>
    <t>火山</t>
  </si>
  <si>
    <t>項目カテゴリ</t>
  </si>
  <si>
    <t>項目名</t>
  </si>
  <si>
    <t>影響タイプ</t>
  </si>
  <si>
    <t>影響先パラメータ</t>
  </si>
  <si>
    <t>備考</t>
  </si>
  <si>
    <t>通常</t>
  </si>
  <si>
    <t>魔法都市</t>
  </si>
  <si>
    <t>都市補正</t>
  </si>
  <si>
    <t>資源産出|防衛力|人口成長|文化獲得|信仰力獲得</t>
  </si>
  <si>
    <t>(仮)調整予定</t>
  </si>
  <si>
    <t>軍事都市</t>
  </si>
  <si>
    <t>交易都市</t>
  </si>
  <si>
    <t>信仰都市</t>
  </si>
  <si>
    <t>産業都市</t>
  </si>
  <si>
    <t>農業都市</t>
  </si>
  <si>
    <t>学術都市</t>
  </si>
  <si>
    <t>放浪都市</t>
  </si>
  <si>
    <t>水上都市</t>
  </si>
  <si>
    <t>地下都市</t>
  </si>
  <si>
    <t>死者の都</t>
  </si>
  <si>
    <t>神秘都市</t>
  </si>
  <si>
    <t>城塞都市</t>
  </si>
  <si>
    <t>空中都市</t>
  </si>
  <si>
    <t>レア</t>
  </si>
  <si>
    <t>古代遺跡都市</t>
  </si>
  <si>
    <t>追加ボーナス</t>
  </si>
  <si>
    <t>通常枠加算ボーナス|特殊アクション解放</t>
  </si>
  <si>
    <t>通常枠と重複可</t>
  </si>
  <si>
    <t>龍脈都市</t>
  </si>
  <si>
    <t>門都市（異界接続）</t>
  </si>
  <si>
    <t>遺産</t>
  </si>
  <si>
    <t>世界樹の苗床</t>
  </si>
  <si>
    <t>恒久強化</t>
  </si>
  <si>
    <t>国家全体補正|恒久バフ|特殊勝利補助</t>
  </si>
  <si>
    <t>星見塔</t>
  </si>
  <si>
    <t>鍛冶神の炉</t>
  </si>
  <si>
    <t>カテゴリ名</t>
    <phoneticPr fontId="2"/>
  </si>
  <si>
    <t>災害種別</t>
  </si>
  <si>
    <t>山火事</t>
  </si>
  <si>
    <t>干ばつ</t>
  </si>
  <si>
    <t>暴風</t>
  </si>
  <si>
    <t>落雷嵐</t>
  </si>
  <si>
    <t>大寒波</t>
  </si>
  <si>
    <t>熱波</t>
  </si>
  <si>
    <t>火山噴火</t>
  </si>
  <si>
    <t>土砂崩れ</t>
  </si>
  <si>
    <t>山地周辺が通行不可になる</t>
  </si>
  <si>
    <t>聖光暴発</t>
  </si>
  <si>
    <t>重力異常</t>
  </si>
  <si>
    <t>時間歪曲</t>
  </si>
  <si>
    <t>魂嵐</t>
  </si>
  <si>
    <t>疫病</t>
  </si>
  <si>
    <t>反乱</t>
  </si>
  <si>
    <t>飢饉</t>
  </si>
  <si>
    <t>資源枯渇</t>
  </si>
  <si>
    <t>信仰崩壊</t>
  </si>
  <si>
    <t>士気低下・聖系弱体</t>
  </si>
  <si>
    <t>経済恐慌</t>
  </si>
  <si>
    <t>収入減少</t>
  </si>
  <si>
    <t>流星落下</t>
  </si>
  <si>
    <t>平地の生産量が半減</t>
    <rPh sb="3" eb="6">
      <t>セイサンリョウ</t>
    </rPh>
    <rPh sb="7" eb="9">
      <t>ハンゲン</t>
    </rPh>
    <phoneticPr fontId="2"/>
  </si>
  <si>
    <t>雪原・氷原が拡大し移動コスト2倍</t>
    <rPh sb="9" eb="11">
      <t>イドウ</t>
    </rPh>
    <rPh sb="15" eb="16">
      <t>バイ</t>
    </rPh>
    <phoneticPr fontId="2"/>
  </si>
  <si>
    <t>範囲内の岩地・山地が断崖へ変化する5%か土砂崩れ10%が起きる可能性 洞窟が10%で崩落。スキルの場合は威力/200毎に起きる倍率がかかる。</t>
    <rPh sb="0" eb="2">
      <t>ハンイ</t>
    </rPh>
    <rPh sb="2" eb="3">
      <t>ナイ</t>
    </rPh>
    <rPh sb="20" eb="23">
      <t>ドシャクズ</t>
    </rPh>
    <rPh sb="28" eb="29">
      <t>オ</t>
    </rPh>
    <rPh sb="31" eb="34">
      <t>カノウセイ</t>
    </rPh>
    <rPh sb="35" eb="37">
      <t>ドウクツ</t>
    </rPh>
    <rPh sb="42" eb="44">
      <t>ホウラク</t>
    </rPh>
    <rPh sb="49" eb="51">
      <t>バアイ</t>
    </rPh>
    <rPh sb="52" eb="54">
      <t>イリョク</t>
    </rPh>
    <rPh sb="58" eb="59">
      <t>ゴト</t>
    </rPh>
    <rPh sb="60" eb="61">
      <t>オ</t>
    </rPh>
    <rPh sb="63" eb="65">
      <t>バイリツ</t>
    </rPh>
    <phoneticPr fontId="2"/>
  </si>
  <si>
    <t>農地の資源生産が低下する</t>
    <phoneticPr fontId="2"/>
  </si>
  <si>
    <t>川と海近辺の土地から収穫量が半減し、都市にダメージ</t>
    <rPh sb="0" eb="1">
      <t>カワ</t>
    </rPh>
    <rPh sb="2" eb="3">
      <t>ウミ</t>
    </rPh>
    <rPh sb="3" eb="5">
      <t>キンペン</t>
    </rPh>
    <rPh sb="6" eb="8">
      <t>トチ</t>
    </rPh>
    <rPh sb="10" eb="13">
      <t>シュウカクリョウ</t>
    </rPh>
    <rPh sb="14" eb="16">
      <t>ハンゲン</t>
    </rPh>
    <rPh sb="18" eb="20">
      <t>トシ</t>
    </rPh>
    <phoneticPr fontId="2"/>
  </si>
  <si>
    <t>ランダム地点に雷属性ダメージ20~50が発生する</t>
    <phoneticPr fontId="2"/>
  </si>
  <si>
    <t>飛行ユニットの移動コストが3倍 射撃の命中が-25%</t>
    <rPh sb="14" eb="15">
      <t>バイ</t>
    </rPh>
    <rPh sb="16" eb="18">
      <t>シャゲキ</t>
    </rPh>
    <rPh sb="19" eb="21">
      <t>メイチュウ</t>
    </rPh>
    <phoneticPr fontId="2"/>
  </si>
  <si>
    <t>森地形に発生し、一定範囲が火炎地へ変化する。通り抜けると炎20~70のダメージ</t>
    <rPh sb="22" eb="23">
      <t>トオ</t>
    </rPh>
    <rPh sb="24" eb="25">
      <t>ヌ</t>
    </rPh>
    <rPh sb="28" eb="29">
      <t>ホノオ</t>
    </rPh>
    <phoneticPr fontId="2"/>
  </si>
  <si>
    <t>呪域が拡大し精神低下</t>
    <phoneticPr fontId="2"/>
  </si>
  <si>
    <t>闇侵食</t>
    <phoneticPr fontId="2"/>
  </si>
  <si>
    <t>瘴気</t>
    <phoneticPr fontId="2"/>
  </si>
  <si>
    <t>地形にいると毒20~50ダメージ</t>
    <rPh sb="0" eb="2">
      <t>チケイ</t>
    </rPh>
    <rPh sb="6" eb="7">
      <t>ドク</t>
    </rPh>
    <phoneticPr fontId="2"/>
  </si>
  <si>
    <t>精神ダメージが20~40継続発生</t>
    <phoneticPr fontId="2"/>
  </si>
  <si>
    <t>移動力コスト倍・飛行不可</t>
    <rPh sb="6" eb="7">
      <t>バイ</t>
    </rPh>
    <phoneticPr fontId="2"/>
  </si>
  <si>
    <t>光属性ダメージが定期発生</t>
    <phoneticPr fontId="2"/>
  </si>
  <si>
    <t>APの自然回復量がランダムで75%~125%になる</t>
    <rPh sb="3" eb="5">
      <t>シゼン</t>
    </rPh>
    <rPh sb="5" eb="8">
      <t>カイフクリョウ</t>
    </rPh>
    <phoneticPr fontId="2"/>
  </si>
  <si>
    <t>空間歪曲</t>
    <rPh sb="2" eb="4">
      <t>ワイキョク</t>
    </rPh>
    <phoneticPr fontId="2"/>
  </si>
  <si>
    <t>移動コストがランダムで50%~150%になる
射程がランダムで50%~150%になる</t>
    <rPh sb="0" eb="2">
      <t>イドウ</t>
    </rPh>
    <rPh sb="23" eb="25">
      <t>シャテイ</t>
    </rPh>
    <phoneticPr fontId="2"/>
  </si>
  <si>
    <t>食料不足で発生 指揮が大幅低下、行動成功率-25%</t>
    <rPh sb="0" eb="4">
      <t>ショクリョウブソク</t>
    </rPh>
    <rPh sb="5" eb="7">
      <t>ハッセイ</t>
    </rPh>
    <rPh sb="8" eb="10">
      <t>シキ</t>
    </rPh>
    <rPh sb="11" eb="15">
      <t>オオハバテイカ</t>
    </rPh>
    <rPh sb="16" eb="21">
      <t>コウドウセイコウリツ</t>
    </rPh>
    <phoneticPr fontId="2"/>
  </si>
  <si>
    <t>資源不足で発生。町の壁の耐久が半減する。</t>
    <rPh sb="2" eb="4">
      <t>ブソク</t>
    </rPh>
    <rPh sb="5" eb="7">
      <t>ハッセイ</t>
    </rPh>
    <rPh sb="8" eb="9">
      <t>マチ</t>
    </rPh>
    <rPh sb="10" eb="11">
      <t>カベ</t>
    </rPh>
    <rPh sb="12" eb="14">
      <t>タイキュウ</t>
    </rPh>
    <rPh sb="15" eb="17">
      <t>ハンゲン</t>
    </rPh>
    <phoneticPr fontId="2"/>
  </si>
  <si>
    <t>魔獣暴走</t>
    <rPh sb="0" eb="2">
      <t>マジュウ</t>
    </rPh>
    <phoneticPr fontId="2"/>
  </si>
  <si>
    <t>野外動物ユニットが増加</t>
    <rPh sb="2" eb="4">
      <t>ドウブツ</t>
    </rPh>
    <phoneticPr fontId="2"/>
  </si>
  <si>
    <t>道路1</t>
  </si>
  <si>
    <t>人口減少・戦闘力低下</t>
    <phoneticPr fontId="2"/>
  </si>
  <si>
    <t>幸福度が不満になると発生。一定地域で敵対勢力が発生。レベルは都市レベルによる</t>
    <rPh sb="0" eb="3">
      <t>コウフクド</t>
    </rPh>
    <rPh sb="4" eb="6">
      <t>フマン</t>
    </rPh>
    <rPh sb="10" eb="12">
      <t>ハッセイ</t>
    </rPh>
    <rPh sb="30" eb="32">
      <t>トシ</t>
    </rPh>
    <phoneticPr fontId="2"/>
  </si>
  <si>
    <t>高威力範囲ダメージ</t>
    <phoneticPr fontId="2"/>
  </si>
  <si>
    <t>レア度</t>
    <rPh sb="2" eb="3">
      <t>ド</t>
    </rPh>
    <phoneticPr fontId="2"/>
  </si>
  <si>
    <t>地形:海</t>
    <rPh sb="0" eb="2">
      <t>チケイ</t>
    </rPh>
    <rPh sb="3" eb="4">
      <t>ウミ</t>
    </rPh>
    <phoneticPr fontId="2"/>
  </si>
  <si>
    <t>メイン種族:死者</t>
    <rPh sb="3" eb="5">
      <t>シュゾク</t>
    </rPh>
    <rPh sb="6" eb="8">
      <t>シシャ</t>
    </rPh>
    <phoneticPr fontId="2"/>
  </si>
  <si>
    <t>防衛Lv:30以上</t>
    <rPh sb="0" eb="2">
      <t>ボウエイ</t>
    </rPh>
    <rPh sb="7" eb="9">
      <t>イジョウ</t>
    </rPh>
    <phoneticPr fontId="2"/>
  </si>
  <si>
    <t>都市特性:浮遊</t>
    <rPh sb="0" eb="2">
      <t>トシ</t>
    </rPh>
    <rPh sb="2" eb="4">
      <t>トクセイ</t>
    </rPh>
    <rPh sb="5" eb="7">
      <t>フユウ</t>
    </rPh>
    <phoneticPr fontId="2"/>
  </si>
  <si>
    <t>都市特性:地下</t>
    <rPh sb="0" eb="2">
      <t>トシ</t>
    </rPh>
    <rPh sb="2" eb="4">
      <t>トクセイ</t>
    </rPh>
    <rPh sb="5" eb="7">
      <t>チカ</t>
    </rPh>
    <phoneticPr fontId="2"/>
  </si>
  <si>
    <t>都市技能:知識Lv30以上</t>
    <rPh sb="0" eb="4">
      <t>トシギノウ</t>
    </rPh>
    <rPh sb="5" eb="7">
      <t>チシキ</t>
    </rPh>
    <rPh sb="11" eb="13">
      <t>イジョウ</t>
    </rPh>
    <phoneticPr fontId="2"/>
  </si>
  <si>
    <t>農地:50%以上</t>
    <rPh sb="0" eb="2">
      <t>ノウチ</t>
    </rPh>
    <rPh sb="6" eb="8">
      <t>イジョウ</t>
    </rPh>
    <phoneticPr fontId="2"/>
  </si>
  <si>
    <t>工場:50%以上</t>
    <rPh sb="0" eb="2">
      <t>コウジョウ</t>
    </rPh>
    <rPh sb="6" eb="8">
      <t>イジョウ</t>
    </rPh>
    <phoneticPr fontId="2"/>
  </si>
  <si>
    <t>信仰Lv:30以上</t>
    <rPh sb="0" eb="2">
      <t>シンコウ</t>
    </rPh>
    <rPh sb="7" eb="9">
      <t>イジョウ</t>
    </rPh>
    <phoneticPr fontId="2"/>
  </si>
  <si>
    <t>開拓完了数:30以上</t>
    <rPh sb="4" eb="5">
      <t>カズ</t>
    </rPh>
    <rPh sb="8" eb="10">
      <t>イジョウ</t>
    </rPh>
    <phoneticPr fontId="2"/>
  </si>
  <si>
    <t>キャラ数:30以上</t>
    <rPh sb="3" eb="4">
      <t>スウ</t>
    </rPh>
    <rPh sb="7" eb="9">
      <t>イジョウ</t>
    </rPh>
    <phoneticPr fontId="2"/>
  </si>
  <si>
    <t>魔法Lv:30以上</t>
    <rPh sb="0" eb="2">
      <t>マホウ</t>
    </rPh>
    <rPh sb="7" eb="9">
      <t>イジョウ</t>
    </rPh>
    <phoneticPr fontId="2"/>
  </si>
  <si>
    <t>国宝:世界樹の根</t>
    <rPh sb="0" eb="2">
      <t>コクホウ</t>
    </rPh>
    <rPh sb="3" eb="6">
      <t>セカイジュ</t>
    </rPh>
    <rPh sb="7" eb="8">
      <t>ネ</t>
    </rPh>
    <phoneticPr fontId="2"/>
  </si>
  <si>
    <t>国宝:天の眼</t>
    <rPh sb="0" eb="2">
      <t>コクホウ</t>
    </rPh>
    <rPh sb="3" eb="4">
      <t>テン</t>
    </rPh>
    <rPh sb="5" eb="6">
      <t>メ</t>
    </rPh>
    <phoneticPr fontId="2"/>
  </si>
  <si>
    <t>国宝:巨炎の炉</t>
    <rPh sb="0" eb="2">
      <t>コクホウ</t>
    </rPh>
    <rPh sb="3" eb="5">
      <t>キョエン</t>
    </rPh>
    <rPh sb="6" eb="7">
      <t>ロ</t>
    </rPh>
    <phoneticPr fontId="2"/>
  </si>
  <si>
    <t>都市規模</t>
  </si>
  <si>
    <t>軍事Lv</t>
  </si>
  <si>
    <t>魔法Lv</t>
  </si>
  <si>
    <t>信仰Lv</t>
  </si>
  <si>
    <t>人口</t>
  </si>
  <si>
    <t>労働人口</t>
  </si>
  <si>
    <t>徴兵率</t>
  </si>
  <si>
    <t>冒険者率</t>
  </si>
  <si>
    <t>治安</t>
  </si>
  <si>
    <t>イベント設定</t>
  </si>
  <si>
    <t>道路発展数</t>
  </si>
  <si>
    <t>環境安定度</t>
  </si>
  <si>
    <t>外交姿勢</t>
  </si>
  <si>
    <t>孤立主義</t>
  </si>
  <si>
    <t>外交補正</t>
  </si>
  <si>
    <t>同盟成功率|交易効率|宣戦コスト|停戦受諾率</t>
  </si>
  <si>
    <t>拡張主義</t>
  </si>
  <si>
    <t>同盟重視</t>
  </si>
  <si>
    <t>復讐主義</t>
  </si>
  <si>
    <t>中立均衡</t>
  </si>
  <si>
    <t>魔術師団</t>
  </si>
  <si>
    <t>内政/政策補正</t>
  </si>
  <si>
    <t>政策追加効果|イベント分岐|内政安定度</t>
  </si>
  <si>
    <t>商人連合</t>
  </si>
  <si>
    <t>聖騎士団</t>
  </si>
  <si>
    <t>暗部</t>
  </si>
  <si>
    <t>光の神</t>
  </si>
  <si>
    <t>信仰補正</t>
  </si>
  <si>
    <t>信仰力獲得|祝福効果|宗教外交|民心|不満度緩和|イベント分岐|都市特性解放条件</t>
  </si>
  <si>
    <t>信仰と信仰対象を統合管理</t>
  </si>
  <si>
    <t>戦の神</t>
  </si>
  <si>
    <t>知識の神</t>
  </si>
  <si>
    <t>大地の神</t>
  </si>
  <si>
    <t>混沌の神</t>
  </si>
  <si>
    <t>聖なる大地</t>
  </si>
  <si>
    <t>精霊信仰</t>
  </si>
  <si>
    <t>火山信仰</t>
  </si>
  <si>
    <t>海の信仰</t>
  </si>
  <si>
    <t>風の信仰</t>
  </si>
  <si>
    <t>祖霊信仰</t>
  </si>
  <si>
    <t>英雄信仰</t>
    <phoneticPr fontId="2"/>
  </si>
  <si>
    <t>分類</t>
  </si>
  <si>
    <t>詳細</t>
  </si>
  <si>
    <t>軍事</t>
  </si>
  <si>
    <t>斧</t>
  </si>
  <si>
    <t>杖</t>
  </si>
  <si>
    <t>装備名</t>
    <rPh sb="0" eb="3">
      <t>ソウビメイ</t>
    </rPh>
    <phoneticPr fontId="2"/>
  </si>
  <si>
    <t>棍棒</t>
    <rPh sb="0" eb="2">
      <t>コンボウ</t>
    </rPh>
    <phoneticPr fontId="2"/>
  </si>
  <si>
    <t>戦槌</t>
    <rPh sb="0" eb="1">
      <t>イクサ</t>
    </rPh>
    <rPh sb="1" eb="2">
      <t>ツチ</t>
    </rPh>
    <phoneticPr fontId="2"/>
  </si>
  <si>
    <t>銃</t>
    <phoneticPr fontId="2"/>
  </si>
  <si>
    <t>魔法AP</t>
    <rPh sb="0" eb="2">
      <t>マホウ</t>
    </rPh>
    <phoneticPr fontId="2"/>
  </si>
  <si>
    <t>攻撃AP</t>
    <rPh sb="0" eb="2">
      <t>コウゲキ</t>
    </rPh>
    <phoneticPr fontId="2"/>
  </si>
  <si>
    <t>威力</t>
    <rPh sb="0" eb="2">
      <t>イリョク</t>
    </rPh>
    <phoneticPr fontId="2"/>
  </si>
  <si>
    <t>射撃</t>
    <rPh sb="0" eb="2">
      <t>シャゲキ</t>
    </rPh>
    <phoneticPr fontId="2"/>
  </si>
  <si>
    <t>射撃耐性</t>
    <rPh sb="0" eb="2">
      <t>シャゲキ</t>
    </rPh>
    <rPh sb="2" eb="4">
      <t>タイセイ</t>
    </rPh>
    <phoneticPr fontId="2"/>
  </si>
  <si>
    <t>射撃</t>
    <rPh sb="0" eb="2">
      <t>シャゲキ</t>
    </rPh>
    <phoneticPr fontId="2"/>
  </si>
  <si>
    <t>不意打ち:強化</t>
    <rPh sb="0" eb="3">
      <t>フイウ</t>
    </rPh>
    <rPh sb="5" eb="7">
      <t>キョウカ</t>
    </rPh>
    <phoneticPr fontId="2"/>
  </si>
  <si>
    <t>特性1</t>
    <rPh sb="0" eb="2">
      <t>トクセイ</t>
    </rPh>
    <phoneticPr fontId="2"/>
  </si>
  <si>
    <t>特性2</t>
    <rPh sb="0" eb="2">
      <t>トクセイ</t>
    </rPh>
    <phoneticPr fontId="2"/>
  </si>
  <si>
    <t>特性3</t>
    <rPh sb="0" eb="2">
      <t>トクセイ</t>
    </rPh>
    <phoneticPr fontId="2"/>
  </si>
  <si>
    <t>特性4</t>
    <rPh sb="0" eb="2">
      <t>トクセイ</t>
    </rPh>
    <phoneticPr fontId="2"/>
  </si>
  <si>
    <t>投擲補正</t>
    <rPh sb="0" eb="2">
      <t>トウテキ</t>
    </rPh>
    <rPh sb="2" eb="4">
      <t>ホセイ</t>
    </rPh>
    <phoneticPr fontId="2"/>
  </si>
  <si>
    <t>片手補正</t>
    <rPh sb="0" eb="2">
      <t>カタテ</t>
    </rPh>
    <rPh sb="2" eb="4">
      <t>ホセイ</t>
    </rPh>
    <phoneticPr fontId="2"/>
  </si>
  <si>
    <t>剣</t>
    <phoneticPr fontId="2"/>
  </si>
  <si>
    <t>長剣</t>
    <rPh sb="0" eb="1">
      <t>チョウ</t>
    </rPh>
    <phoneticPr fontId="2"/>
  </si>
  <si>
    <t>投擲補正</t>
    <rPh sb="0" eb="4">
      <t>トウテキホセイ</t>
    </rPh>
    <phoneticPr fontId="2"/>
  </si>
  <si>
    <t>出血</t>
    <rPh sb="0" eb="2">
      <t>シュッケツ</t>
    </rPh>
    <phoneticPr fontId="2"/>
  </si>
  <si>
    <t>火器</t>
    <rPh sb="0" eb="2">
      <t>カキ</t>
    </rPh>
    <phoneticPr fontId="2"/>
  </si>
  <si>
    <t>盾</t>
    <rPh sb="0" eb="1">
      <t>タテ</t>
    </rPh>
    <phoneticPr fontId="2"/>
  </si>
  <si>
    <t>大盾</t>
    <rPh sb="0" eb="1">
      <t>ダイ</t>
    </rPh>
    <rPh sb="1" eb="2">
      <t>タテ</t>
    </rPh>
    <phoneticPr fontId="2"/>
  </si>
  <si>
    <t>公衆浴場</t>
  </si>
  <si>
    <t>兵舎</t>
  </si>
  <si>
    <t>射撃場</t>
  </si>
  <si>
    <t>鍛冶場</t>
  </si>
  <si>
    <t>防壁</t>
  </si>
  <si>
    <t>見張り塔</t>
  </si>
  <si>
    <t>司令部</t>
  </si>
  <si>
    <t>魔導塔</t>
  </si>
  <si>
    <t>結界装置</t>
  </si>
  <si>
    <t>神殿</t>
  </si>
  <si>
    <t>大聖堂</t>
  </si>
  <si>
    <t>農場</t>
  </si>
  <si>
    <t>伐採場</t>
  </si>
  <si>
    <t>採石場</t>
  </si>
  <si>
    <t>鉱山</t>
  </si>
  <si>
    <t>市場</t>
  </si>
  <si>
    <t>倉庫</t>
  </si>
  <si>
    <t>港</t>
  </si>
  <si>
    <t>施設名</t>
  </si>
  <si>
    <t>学校</t>
  </si>
  <si>
    <t>修道院</t>
  </si>
  <si>
    <t>条件地形</t>
  </si>
  <si>
    <t>海辺</t>
  </si>
  <si>
    <t>山</t>
  </si>
  <si>
    <t>温泉</t>
  </si>
  <si>
    <t>火山:4マス以内</t>
  </si>
  <si>
    <t>歩兵系兵種を徴兵可能にする。Lv上昇で兵士上限と基礎訓練補正が上昇</t>
  </si>
  <si>
    <t>なし</t>
  </si>
  <si>
    <t>弓・遠距離兵を訓練可能にする。遠距離攻撃の命中と射程補正</t>
  </si>
  <si>
    <t>索敵範囲拡張。奇襲防止・飛行敵早期発見</t>
  </si>
  <si>
    <t>部隊編成上限増加。指揮・統率補正</t>
  </si>
  <si>
    <t>魔法兵解放。魔法攻撃力と結界耐久補正</t>
  </si>
  <si>
    <t>都市全体に防御魔法付与。属性耐性上昇</t>
  </si>
  <si>
    <t>負傷兵回復速度上昇。状態異常回復補正</t>
  </si>
  <si>
    <t>信仰Lv上昇。士気と治安上昇</t>
  </si>
  <si>
    <t>信仰Lv大幅上昇。不死・呪い耐性補正</t>
  </si>
  <si>
    <t>都市全体士気大幅上昇。災害発生率低下</t>
  </si>
  <si>
    <t>食料（穀物）生産</t>
  </si>
  <si>
    <t>木材生産</t>
  </si>
  <si>
    <t>石材生産</t>
  </si>
  <si>
    <t>丘</t>
  </si>
  <si>
    <t>金属資源生産</t>
  </si>
  <si>
    <t>交易力・補給力上昇。海路接続可能</t>
  </si>
  <si>
    <t>交易力上昇。資源交換可能</t>
  </si>
  <si>
    <t>資源上限増加。補給安定度上昇</t>
  </si>
  <si>
    <t>幸福度上昇。軽度状態異常発生率低下</t>
  </si>
  <si>
    <t>環境安定度上昇。兵士の回復速度上昇</t>
  </si>
  <si>
    <t>突撃</t>
  </si>
  <si>
    <t>突撃</t>
    <rPh sb="0" eb="2">
      <t>トツゲキ</t>
    </rPh>
    <phoneticPr fontId="2"/>
  </si>
  <si>
    <t>A</t>
    <phoneticPr fontId="2"/>
  </si>
  <si>
    <t>幸福度</t>
    <rPh sb="0" eb="3">
      <t>コウフクド</t>
    </rPh>
    <phoneticPr fontId="2"/>
  </si>
  <si>
    <t>指揮</t>
    <rPh sb="0" eb="2">
      <t>シキ</t>
    </rPh>
    <phoneticPr fontId="2"/>
  </si>
  <si>
    <t>同盟成功率|交易効率|宣戦コスト|停戦受諾率</t>
    <phoneticPr fontId="2"/>
  </si>
  <si>
    <t>同盟成功率</t>
    <phoneticPr fontId="2"/>
  </si>
  <si>
    <t>交易効率</t>
    <phoneticPr fontId="2"/>
  </si>
  <si>
    <t>アライメント</t>
    <phoneticPr fontId="2"/>
  </si>
  <si>
    <t>溶岩</t>
  </si>
  <si>
    <t>出現地形</t>
    <rPh sb="0" eb="2">
      <t>シュツゲン</t>
    </rPh>
    <rPh sb="2" eb="4">
      <t>チケイ</t>
    </rPh>
    <phoneticPr fontId="2"/>
  </si>
  <si>
    <t>種族名</t>
    <rPh sb="0" eb="3">
      <t>シュゾクメイ</t>
    </rPh>
    <phoneticPr fontId="2"/>
  </si>
  <si>
    <t>Lv_Max</t>
    <phoneticPr fontId="2"/>
  </si>
  <si>
    <t>Lv_Min</t>
    <phoneticPr fontId="2"/>
  </si>
  <si>
    <t>備考</t>
    <rPh sb="0" eb="2">
      <t>ビコウ</t>
    </rPh>
    <phoneticPr fontId="2"/>
  </si>
  <si>
    <t>装飾1</t>
    <rPh sb="0" eb="2">
      <t>ソウショク</t>
    </rPh>
    <phoneticPr fontId="2"/>
  </si>
  <si>
    <t>装飾2</t>
    <rPh sb="0" eb="2">
      <t>ソウショク</t>
    </rPh>
    <phoneticPr fontId="2"/>
  </si>
  <si>
    <t>胴</t>
  </si>
  <si>
    <t>頭</t>
  </si>
  <si>
    <t>足</t>
  </si>
  <si>
    <t>副武器</t>
    <phoneticPr fontId="2"/>
  </si>
  <si>
    <t>移動コスト1。基準マス。都市建設可。生産補正なし。視界良好。</t>
  </si>
  <si>
    <t>移動コスト2（橋で1）。農業+20%。都市隣接で成長+。</t>
  </si>
  <si>
    <t>水上ユニットのみ移動可。食料+中。防御補正なし。</t>
  </si>
  <si>
    <t>水上ユニットのみ移動可。交易+。港設置可。嵐イベント発生。</t>
  </si>
  <si>
    <t>移動コスト2。生産-20%。水源があれば都市可。特殊資源あり。</t>
  </si>
  <si>
    <t>移動コスト3。防御+5%。毒耐性判定発生。農業不可。</t>
  </si>
  <si>
    <t>通常通行不可（橋必須）。防御+20%。地形要塞。</t>
  </si>
  <si>
    <t>地下扱い。視界制限。特殊資源+。地上ユニット制限あり。</t>
  </si>
  <si>
    <t>移動コスト2。生産-10%。寒冷耐性でペナルティ無効。</t>
  </si>
  <si>
    <t>移動コスト-1（最低1）。建設コスト低。交易+小。</t>
  </si>
  <si>
    <t>道路2</t>
  </si>
  <si>
    <t>移動コスト1固定。交易+中。軍移動速度+。</t>
  </si>
  <si>
    <t>道路3</t>
  </si>
  <si>
    <t>移動コスト1固定。交易+大。補給効率+。軍事道路扱い。</t>
  </si>
  <si>
    <t>通常移動不可（飛行/特殊のみ可）。鉱石資源+大。都市建設不可。</t>
    <phoneticPr fontId="2"/>
  </si>
  <si>
    <t>移動コスト2。鉱石資源+中。都市建設可。</t>
    <phoneticPr fontId="2"/>
  </si>
  <si>
    <t>アンケグ</t>
  </si>
  <si>
    <t>ブレット</t>
  </si>
  <si>
    <t>マンティコア</t>
  </si>
  <si>
    <t>ヒルジャイアント</t>
  </si>
  <si>
    <t>グリフォン</t>
  </si>
  <si>
    <t>キメラ</t>
  </si>
  <si>
    <t>ワイバーン</t>
  </si>
  <si>
    <t>ドライアド</t>
  </si>
  <si>
    <t>トレント</t>
  </si>
  <si>
    <t>アウルベア</t>
  </si>
  <si>
    <t>グリーンハグ</t>
  </si>
  <si>
    <t>シャンブリングマウンド</t>
  </si>
  <si>
    <t>レシー</t>
  </si>
  <si>
    <t>ニンフ</t>
  </si>
  <si>
    <t>フェアリードラゴン</t>
  </si>
  <si>
    <t>ストーンジャイアント</t>
  </si>
  <si>
    <t>フロストジャイアント</t>
  </si>
  <si>
    <t>ローパー</t>
  </si>
  <si>
    <t>レッドドラゴン</t>
  </si>
  <si>
    <t>ロック</t>
  </si>
  <si>
    <t>バシリスク</t>
  </si>
  <si>
    <t>ウォーターエレメンタル</t>
  </si>
  <si>
    <t>シーサーペント</t>
  </si>
  <si>
    <t>マミー</t>
  </si>
  <si>
    <t>ラミア</t>
  </si>
  <si>
    <t>ブルードラゴン</t>
  </si>
  <si>
    <t>パープルワーム</t>
  </si>
  <si>
    <t>ジャイアントスコーピオン</t>
  </si>
  <si>
    <t>スフィンクス</t>
  </si>
  <si>
    <t>サンドエレメンタル</t>
  </si>
  <si>
    <t>デザートワーム</t>
  </si>
  <si>
    <t>デザートレイス</t>
  </si>
  <si>
    <t>ブラックドラゴン</t>
  </si>
  <si>
    <t>マッドゴーレム</t>
  </si>
  <si>
    <t>スワンプドラゴン</t>
  </si>
  <si>
    <t>ハーピー</t>
  </si>
  <si>
    <t>マインドフレイヤー</t>
  </si>
  <si>
    <t>イエティ</t>
  </si>
  <si>
    <t>ファイアエレメンタル</t>
  </si>
  <si>
    <t>サラマンダー</t>
  </si>
  <si>
    <t>マグマエレメンタル</t>
  </si>
  <si>
    <t>ラヴァスライム</t>
    <phoneticPr fontId="2"/>
  </si>
  <si>
    <t>ウィンターウルフ</t>
    <phoneticPr fontId="2"/>
  </si>
  <si>
    <t>サブクラス</t>
    <phoneticPr fontId="2"/>
  </si>
  <si>
    <t>フレイムアニマル</t>
    <phoneticPr fontId="2"/>
  </si>
  <si>
    <t>フロストアニマル</t>
    <phoneticPr fontId="2"/>
  </si>
  <si>
    <t>ウィンドアニマル</t>
    <phoneticPr fontId="2"/>
  </si>
  <si>
    <t>スパークアニマル</t>
    <phoneticPr fontId="2"/>
  </si>
  <si>
    <t>ポイズンアニマル</t>
    <phoneticPr fontId="2"/>
  </si>
  <si>
    <t>シーアニマル</t>
    <phoneticPr fontId="2"/>
  </si>
  <si>
    <t>炎</t>
    <rPh sb="0" eb="1">
      <t>ホノオ</t>
    </rPh>
    <phoneticPr fontId="2"/>
  </si>
  <si>
    <t>火炎</t>
    <rPh sb="0" eb="2">
      <t>カエン</t>
    </rPh>
    <phoneticPr fontId="2"/>
  </si>
  <si>
    <t>CT</t>
    <phoneticPr fontId="2"/>
  </si>
  <si>
    <t>氷</t>
    <rPh sb="0" eb="1">
      <t>コオリ</t>
    </rPh>
    <phoneticPr fontId="2"/>
  </si>
  <si>
    <t>氷結</t>
    <rPh sb="0" eb="2">
      <t>ヒョウケツ</t>
    </rPh>
    <phoneticPr fontId="2"/>
  </si>
  <si>
    <t>雷</t>
    <rPh sb="0" eb="1">
      <t>イカヅチ</t>
    </rPh>
    <phoneticPr fontId="2"/>
  </si>
  <si>
    <t>電撃</t>
    <rPh sb="0" eb="2">
      <t>デンゲキ</t>
    </rPh>
    <phoneticPr fontId="2"/>
  </si>
  <si>
    <t>毒</t>
    <rPh sb="0" eb="1">
      <t>ドク</t>
    </rPh>
    <phoneticPr fontId="2"/>
  </si>
  <si>
    <t>腐蝕</t>
    <rPh sb="0" eb="2">
      <t>フショク</t>
    </rPh>
    <phoneticPr fontId="2"/>
  </si>
  <si>
    <t>翼</t>
  </si>
  <si>
    <t>毒の尾</t>
  </si>
  <si>
    <t>毒の唾</t>
  </si>
  <si>
    <t>攻撃手段:尾 物理+15 毒+15 判定:攻撃</t>
    <rPh sb="0" eb="4">
      <t>コウゲキシュダン</t>
    </rPh>
    <rPh sb="5" eb="6">
      <t>オ</t>
    </rPh>
    <rPh sb="7" eb="9">
      <t>ブツリ</t>
    </rPh>
    <rPh sb="13" eb="14">
      <t>ドク</t>
    </rPh>
    <rPh sb="18" eb="20">
      <t>ハンテイ</t>
    </rPh>
    <rPh sb="21" eb="23">
      <t>コウゲキ</t>
    </rPh>
    <phoneticPr fontId="2"/>
  </si>
  <si>
    <t>威圧</t>
    <rPh sb="0" eb="2">
      <t>イアツ</t>
    </rPh>
    <phoneticPr fontId="2"/>
  </si>
  <si>
    <t>威圧+25</t>
    <rPh sb="0" eb="2">
      <t>イアツ</t>
    </rPh>
    <phoneticPr fontId="2"/>
  </si>
  <si>
    <t>物理ガード+5</t>
    <rPh sb="0" eb="2">
      <t>ブツリ</t>
    </rPh>
    <phoneticPr fontId="2"/>
  </si>
  <si>
    <t>外皮</t>
    <rPh sb="0" eb="2">
      <t>ガイヒ</t>
    </rPh>
    <phoneticPr fontId="2"/>
  </si>
  <si>
    <t>風</t>
    <rPh sb="0" eb="1">
      <t>カゼ</t>
    </rPh>
    <phoneticPr fontId="2"/>
  </si>
  <si>
    <t>風の適用</t>
  </si>
  <si>
    <t>風の体</t>
  </si>
  <si>
    <t>風強化</t>
  </si>
  <si>
    <t>風の唾</t>
  </si>
  <si>
    <t>射撃耐性+30</t>
  </si>
  <si>
    <t>怯み</t>
    <rPh sb="0" eb="1">
      <t>ヒル</t>
    </rPh>
    <phoneticPr fontId="2"/>
  </si>
  <si>
    <t>攻撃手段:肉体 打撃+15 怯み+20 追加威力:速度 判定:攻撃 溜め:1t CT:5t</t>
  </si>
  <si>
    <t>効果</t>
    <rPh sb="0" eb="2">
      <t>コウカ</t>
    </rPh>
    <phoneticPr fontId="2"/>
  </si>
  <si>
    <t xml:space="preserve">効果時間6t 攻撃手段:肉体 打撃+5 </t>
    <rPh sb="15" eb="17">
      <t>ダゲキ</t>
    </rPh>
    <phoneticPr fontId="2"/>
  </si>
  <si>
    <t>効果説明</t>
    <rPh sb="0" eb="4">
      <t>コウカセツメイ</t>
    </rPh>
    <phoneticPr fontId="2"/>
  </si>
  <si>
    <t>水</t>
  </si>
  <si>
    <t>水の適用</t>
  </si>
  <si>
    <t>水の体</t>
  </si>
  <si>
    <t>水強化</t>
  </si>
  <si>
    <t>水の唾</t>
  </si>
  <si>
    <t>打撃</t>
    <rPh sb="0" eb="2">
      <t>ダゲキ</t>
    </rPh>
    <phoneticPr fontId="2"/>
  </si>
  <si>
    <t>暴風</t>
    <rPh sb="0" eb="2">
      <t>ボウフウ</t>
    </rPh>
    <phoneticPr fontId="2"/>
  </si>
  <si>
    <t>暴風突撃</t>
    <phoneticPr fontId="2"/>
  </si>
  <si>
    <t>ワイバーン</t>
    <phoneticPr fontId="2"/>
  </si>
  <si>
    <t>種族</t>
    <rPh sb="0" eb="2">
      <t>シュゾク</t>
    </rPh>
    <phoneticPr fontId="2"/>
  </si>
  <si>
    <t>ウォーターエレメンタル</t>
    <phoneticPr fontId="2"/>
  </si>
  <si>
    <t>ウォーターエレメンタル</t>
    <phoneticPr fontId="2"/>
  </si>
  <si>
    <t>水</t>
    <rPh sb="0" eb="1">
      <t>ミズ</t>
    </rPh>
    <phoneticPr fontId="2"/>
  </si>
  <si>
    <t>水の拳</t>
  </si>
  <si>
    <t>水の魔力</t>
  </si>
  <si>
    <t>水の力</t>
  </si>
  <si>
    <t>水の吐息</t>
  </si>
  <si>
    <t>条件:水辺 隠密+25 索敵+25</t>
    <rPh sb="0" eb="2">
      <t>ジョウケン</t>
    </rPh>
    <rPh sb="3" eb="4">
      <t>ミズ</t>
    </rPh>
    <rPh sb="4" eb="5">
      <t>ベ</t>
    </rPh>
    <rPh sb="6" eb="8">
      <t>オンミツ</t>
    </rPh>
    <rPh sb="12" eb="14">
      <t>サクテキ</t>
    </rPh>
    <phoneticPr fontId="2"/>
  </si>
  <si>
    <t>水の精霊</t>
    <rPh sb="0" eb="1">
      <t>ミズ</t>
    </rPh>
    <rPh sb="2" eb="4">
      <t>セイレイ</t>
    </rPh>
    <phoneticPr fontId="2"/>
  </si>
  <si>
    <t>攻撃手段:素手 物理ガード+10 射撃耐性+10 判定:攻撃</t>
    <rPh sb="17" eb="19">
      <t>シャゲキ</t>
    </rPh>
    <rPh sb="19" eb="21">
      <t>タイセイ</t>
    </rPh>
    <phoneticPr fontId="2"/>
  </si>
  <si>
    <t>ポイズンスネーク</t>
    <phoneticPr fontId="2"/>
  </si>
  <si>
    <t>サンダーバード</t>
    <phoneticPr fontId="2"/>
  </si>
  <si>
    <t>ロックベア</t>
    <phoneticPr fontId="2"/>
  </si>
  <si>
    <t>チェック用</t>
    <rPh sb="4" eb="5">
      <t>ヨウ</t>
    </rPh>
    <phoneticPr fontId="2"/>
  </si>
  <si>
    <t>出現数</t>
    <rPh sb="0" eb="2">
      <t>シュツゲン</t>
    </rPh>
    <rPh sb="2" eb="3">
      <t>スウ</t>
    </rPh>
    <phoneticPr fontId="2"/>
  </si>
  <si>
    <t>2~4</t>
    <phoneticPr fontId="2"/>
  </si>
  <si>
    <t>1~2</t>
    <phoneticPr fontId="2"/>
  </si>
  <si>
    <t>1~4</t>
    <phoneticPr fontId="2"/>
  </si>
  <si>
    <t>死の霧</t>
    <rPh sb="0" eb="1">
      <t>シ</t>
    </rPh>
    <rPh sb="2" eb="3">
      <t>キリ</t>
    </rPh>
    <phoneticPr fontId="2"/>
  </si>
  <si>
    <t>アンデッドが発生するようになる霧。
そのマスで倒されたキャラや出現する敵にアンデッドが付与されることがある。</t>
    <rPh sb="6" eb="8">
      <t>ハッセイ</t>
    </rPh>
    <rPh sb="15" eb="16">
      <t>キリ</t>
    </rPh>
    <rPh sb="23" eb="24">
      <t>タオ</t>
    </rPh>
    <rPh sb="31" eb="33">
      <t>シュツゲン</t>
    </rPh>
    <rPh sb="35" eb="36">
      <t>テキ</t>
    </rPh>
    <rPh sb="43" eb="45">
      <t>フヨ</t>
    </rPh>
    <phoneticPr fontId="2"/>
  </si>
  <si>
    <t>人間</t>
    <rPh sb="0" eb="2">
      <t>ニンゲン</t>
    </rPh>
    <phoneticPr fontId="2"/>
  </si>
  <si>
    <t>森人</t>
    <rPh sb="0" eb="1">
      <t>モリ</t>
    </rPh>
    <rPh sb="1" eb="2">
      <t>ヒト</t>
    </rPh>
    <phoneticPr fontId="2"/>
  </si>
  <si>
    <t>土人</t>
    <rPh sb="0" eb="2">
      <t>ツチビト</t>
    </rPh>
    <phoneticPr fontId="2"/>
  </si>
  <si>
    <t>獣人</t>
    <rPh sb="0" eb="2">
      <t>ジュウジン</t>
    </rPh>
    <phoneticPr fontId="2"/>
  </si>
  <si>
    <t>竜人</t>
    <rPh sb="0" eb="2">
      <t>リュウジン</t>
    </rPh>
    <phoneticPr fontId="2"/>
  </si>
  <si>
    <t>大鬼</t>
    <rPh sb="0" eb="2">
      <t>オオオニ</t>
    </rPh>
    <phoneticPr fontId="2"/>
  </si>
  <si>
    <t>巨人</t>
    <rPh sb="0" eb="2">
      <t>キョジン</t>
    </rPh>
    <phoneticPr fontId="2"/>
  </si>
  <si>
    <t>鬼妖</t>
    <rPh sb="0" eb="1">
      <t>オニ</t>
    </rPh>
    <rPh sb="1" eb="2">
      <t>ヨウ</t>
    </rPh>
    <phoneticPr fontId="2"/>
  </si>
  <si>
    <t>悪魔</t>
    <rPh sb="0" eb="2">
      <t>アクマ</t>
    </rPh>
    <phoneticPr fontId="2"/>
  </si>
  <si>
    <t>天使</t>
    <rPh sb="0" eb="2">
      <t>テンシ</t>
    </rPh>
    <phoneticPr fontId="2"/>
  </si>
  <si>
    <t>吸血鬼</t>
    <rPh sb="0" eb="3">
      <t>キュウケツキ</t>
    </rPh>
    <phoneticPr fontId="2"/>
  </si>
  <si>
    <t>カナ</t>
    <phoneticPr fontId="2"/>
  </si>
  <si>
    <t>Tire</t>
    <phoneticPr fontId="2"/>
  </si>
  <si>
    <t>初期</t>
    <rPh sb="0" eb="2">
      <t>ショキ</t>
    </rPh>
    <phoneticPr fontId="2"/>
  </si>
  <si>
    <t>Lv5</t>
    <phoneticPr fontId="2"/>
  </si>
  <si>
    <t>Lv6</t>
  </si>
  <si>
    <t>Lv7</t>
  </si>
  <si>
    <t>Lv8</t>
  </si>
  <si>
    <t>Lv9</t>
  </si>
  <si>
    <t>Lv10</t>
  </si>
  <si>
    <t>初期人数</t>
    <rPh sb="0" eb="4">
      <t>ショキニンズウ</t>
    </rPh>
    <phoneticPr fontId="2"/>
  </si>
  <si>
    <t>初期職業</t>
    <rPh sb="0" eb="4">
      <t>ショキショクギョウ</t>
    </rPh>
    <phoneticPr fontId="2"/>
  </si>
  <si>
    <t>盗賊系</t>
    <rPh sb="0" eb="3">
      <t>トウゾクケイ</t>
    </rPh>
    <phoneticPr fontId="2"/>
  </si>
  <si>
    <t>スパイ</t>
    <phoneticPr fontId="2"/>
  </si>
  <si>
    <t>諜報部</t>
    <rPh sb="0" eb="3">
      <t>チョウホウブ</t>
    </rPh>
    <phoneticPr fontId="2"/>
  </si>
  <si>
    <t>コスト</t>
    <phoneticPr fontId="2"/>
  </si>
  <si>
    <t>種族</t>
  </si>
  <si>
    <t>魂</t>
    <rPh sb="0" eb="1">
      <t>タマシイ</t>
    </rPh>
    <phoneticPr fontId="2"/>
  </si>
  <si>
    <t>増加条件</t>
    <rPh sb="0" eb="2">
      <t>ゾウカ</t>
    </rPh>
    <rPh sb="2" eb="4">
      <t>ジョウケン</t>
    </rPh>
    <phoneticPr fontId="2"/>
  </si>
  <si>
    <t>食事</t>
    <rPh sb="0" eb="2">
      <t>ショクジ</t>
    </rPh>
    <phoneticPr fontId="2"/>
  </si>
  <si>
    <t>死体</t>
    <rPh sb="0" eb="2">
      <t>シタイ</t>
    </rPh>
    <phoneticPr fontId="2"/>
  </si>
  <si>
    <t>死人</t>
    <rPh sb="0" eb="2">
      <t>シニン</t>
    </rPh>
    <phoneticPr fontId="2"/>
  </si>
  <si>
    <t>誕生</t>
    <rPh sb="0" eb="2">
      <t>タンジョウ</t>
    </rPh>
    <phoneticPr fontId="2"/>
  </si>
  <si>
    <t>装備枠</t>
    <rPh sb="0" eb="2">
      <t>ソウビ</t>
    </rPh>
    <rPh sb="2" eb="3">
      <t>ワク</t>
    </rPh>
    <phoneticPr fontId="2"/>
  </si>
  <si>
    <t>頭</t>
    <rPh sb="0" eb="1">
      <t>アタマ</t>
    </rPh>
    <phoneticPr fontId="2"/>
  </si>
  <si>
    <t>武器1</t>
    <rPh sb="0" eb="2">
      <t>ブキ</t>
    </rPh>
    <phoneticPr fontId="2"/>
  </si>
  <si>
    <t>武器2</t>
    <rPh sb="0" eb="2">
      <t>ブキ</t>
    </rPh>
    <phoneticPr fontId="2"/>
  </si>
  <si>
    <t>体</t>
    <rPh sb="0" eb="1">
      <t>カラダ</t>
    </rPh>
    <phoneticPr fontId="2"/>
  </si>
  <si>
    <t>足</t>
    <rPh sb="0" eb="1">
      <t>アシ</t>
    </rPh>
    <phoneticPr fontId="2"/>
  </si>
  <si>
    <t>×</t>
    <phoneticPr fontId="2"/>
  </si>
  <si>
    <t>装備箇所</t>
    <rPh sb="0" eb="4">
      <t>ソウビカショ</t>
    </rPh>
    <phoneticPr fontId="2"/>
  </si>
  <si>
    <t>武器</t>
    <rPh sb="0" eb="2">
      <t>ブキ</t>
    </rPh>
    <phoneticPr fontId="2"/>
  </si>
  <si>
    <t>兜</t>
    <rPh sb="0" eb="1">
      <t>カブト</t>
    </rPh>
    <phoneticPr fontId="2"/>
  </si>
  <si>
    <t>冠</t>
    <rPh sb="0" eb="1">
      <t>カンムリ</t>
    </rPh>
    <phoneticPr fontId="2"/>
  </si>
  <si>
    <t>帽子</t>
    <rPh sb="0" eb="2">
      <t>ボウシ</t>
    </rPh>
    <phoneticPr fontId="2"/>
  </si>
  <si>
    <t>ペナルティ</t>
    <phoneticPr fontId="2"/>
  </si>
  <si>
    <t>鎧</t>
    <rPh sb="0" eb="1">
      <t>ヨロイ</t>
    </rPh>
    <phoneticPr fontId="2"/>
  </si>
  <si>
    <t>服</t>
    <rPh sb="0" eb="1">
      <t>フク</t>
    </rPh>
    <phoneticPr fontId="2"/>
  </si>
  <si>
    <t>法衣</t>
    <rPh sb="0" eb="2">
      <t>ホウイ</t>
    </rPh>
    <phoneticPr fontId="2"/>
  </si>
  <si>
    <t>首飾り</t>
    <rPh sb="0" eb="2">
      <t>クビカザ</t>
    </rPh>
    <phoneticPr fontId="2"/>
  </si>
  <si>
    <t>耳飾り</t>
    <rPh sb="0" eb="2">
      <t>ミミカザ</t>
    </rPh>
    <phoneticPr fontId="2"/>
  </si>
  <si>
    <t>指輪</t>
    <rPh sb="0" eb="2">
      <t>ユビワ</t>
    </rPh>
    <phoneticPr fontId="2"/>
  </si>
  <si>
    <t>腕輪</t>
    <rPh sb="0" eb="2">
      <t>ウデワ</t>
    </rPh>
    <phoneticPr fontId="2"/>
  </si>
  <si>
    <t>装飾</t>
    <rPh sb="0" eb="2">
      <t>ソウショク</t>
    </rPh>
    <phoneticPr fontId="2"/>
  </si>
  <si>
    <t>耐性</t>
    <rPh sb="0" eb="2">
      <t>タイセイ</t>
    </rPh>
    <phoneticPr fontId="2"/>
  </si>
  <si>
    <t>魔力強化</t>
    <rPh sb="0" eb="2">
      <t>マリョク</t>
    </rPh>
    <rPh sb="2" eb="4">
      <t>キョウカ</t>
    </rPh>
    <phoneticPr fontId="2"/>
  </si>
  <si>
    <t>魔防強化</t>
    <rPh sb="0" eb="2">
      <t>マボウ</t>
    </rPh>
    <rPh sb="2" eb="4">
      <t>キョウカ</t>
    </rPh>
    <phoneticPr fontId="2"/>
  </si>
  <si>
    <t>速度強化</t>
    <rPh sb="0" eb="2">
      <t>ソクド</t>
    </rPh>
    <rPh sb="2" eb="4">
      <t>キョウカ</t>
    </rPh>
    <phoneticPr fontId="2"/>
  </si>
  <si>
    <t>命中強化</t>
    <rPh sb="0" eb="4">
      <t>メイチュウキョウカ</t>
    </rPh>
    <phoneticPr fontId="2"/>
  </si>
  <si>
    <t>スキル獲得</t>
    <rPh sb="3" eb="5">
      <t>カクトク</t>
    </rPh>
    <phoneticPr fontId="2"/>
  </si>
  <si>
    <t>攻撃強化</t>
    <rPh sb="0" eb="2">
      <t>コウゲキ</t>
    </rPh>
    <rPh sb="2" eb="4">
      <t>キョウカ</t>
    </rPh>
    <phoneticPr fontId="2"/>
  </si>
  <si>
    <t>防御強化</t>
    <rPh sb="0" eb="2">
      <t>ボウギョ</t>
    </rPh>
    <rPh sb="2" eb="4">
      <t>キョウカ</t>
    </rPh>
    <phoneticPr fontId="2"/>
  </si>
  <si>
    <t>値段倍率</t>
    <rPh sb="0" eb="2">
      <t>ネダン</t>
    </rPh>
    <rPh sb="2" eb="4">
      <t>バイリツ</t>
    </rPh>
    <phoneticPr fontId="2"/>
  </si>
  <si>
    <t>鉱石</t>
  </si>
  <si>
    <t>データ分類</t>
    <rPh sb="3" eb="5">
      <t>ブンルイ</t>
    </rPh>
    <phoneticPr fontId="2"/>
  </si>
  <si>
    <t>他都市接続数や道路整備度。貿易力・補給力・軍移動速度に影響</t>
    <phoneticPr fontId="2"/>
  </si>
  <si>
    <t>宗教効果や祝福系能力を強化する。回復速度が上昇、アンデッドの出現を抑制できる。</t>
    <rPh sb="16" eb="20">
      <t>カイフクソクド</t>
    </rPh>
    <rPh sb="21" eb="23">
      <t>ジョウショウ</t>
    </rPh>
    <rPh sb="30" eb="32">
      <t>シュツゲン</t>
    </rPh>
    <rPh sb="33" eb="35">
      <t>ヨクセイ</t>
    </rPh>
    <phoneticPr fontId="2"/>
  </si>
  <si>
    <t>魔法スキルの威力や成功率を向上させる。魔法道具の作成ができるようになり、防衛力が上昇する。</t>
    <rPh sb="19" eb="21">
      <t>マホウ</t>
    </rPh>
    <rPh sb="21" eb="23">
      <t>ドウグ</t>
    </rPh>
    <rPh sb="24" eb="26">
      <t>サクセイ</t>
    </rPh>
    <rPh sb="36" eb="39">
      <t>ボウエイリョク</t>
    </rPh>
    <rPh sb="40" eb="42">
      <t>ジョウショウ</t>
    </rPh>
    <phoneticPr fontId="2"/>
  </si>
  <si>
    <t>移動コスト2。木材資源+。隠密+35 過剰採取で平地化。</t>
    <phoneticPr fontId="2"/>
  </si>
  <si>
    <t>都市外活動人口割合。ダンジョン攻略や外征イベント発生率に影響</t>
    <phoneticPr fontId="2"/>
  </si>
  <si>
    <t>工業</t>
    <phoneticPr fontId="2"/>
  </si>
  <si>
    <t>モンスター被害を軽減できる。探索・ダンジョン・外征イベント発生率上昇</t>
    <rPh sb="5" eb="7">
      <t>ヒガイ</t>
    </rPh>
    <rPh sb="8" eb="10">
      <t>ケイゲン</t>
    </rPh>
    <phoneticPr fontId="2"/>
  </si>
  <si>
    <t>ギルド</t>
    <phoneticPr fontId="2"/>
  </si>
  <si>
    <t>モンスター危険度</t>
    <phoneticPr fontId="2"/>
  </si>
  <si>
    <t>モンスター被害を軽減し、都市防衛力上昇。攻城戦時に防壁から攻撃が可能になる。</t>
    <rPh sb="5" eb="7">
      <t>ヒガイ</t>
    </rPh>
    <rPh sb="8" eb="10">
      <t>ケイゲン</t>
    </rPh>
    <rPh sb="25" eb="27">
      <t>ボウヘキ</t>
    </rPh>
    <rPh sb="29" eb="31">
      <t>コウゲキ</t>
    </rPh>
    <rPh sb="32" eb="34">
      <t>カノウ</t>
    </rPh>
    <phoneticPr fontId="2"/>
  </si>
  <si>
    <t>魔術工房</t>
    <rPh sb="0" eb="4">
      <t>マジュツコウボウ</t>
    </rPh>
    <phoneticPr fontId="2"/>
  </si>
  <si>
    <t>魔道具を作成できるようになる。</t>
    <rPh sb="0" eb="3">
      <t>マドウグ</t>
    </rPh>
    <rPh sb="4" eb="6">
      <t>サクセイ</t>
    </rPh>
    <phoneticPr fontId="2"/>
  </si>
  <si>
    <t>付与能力</t>
    <rPh sb="0" eb="4">
      <t>フヨノウリョク</t>
    </rPh>
    <phoneticPr fontId="2"/>
  </si>
  <si>
    <t>貴金属</t>
    <phoneticPr fontId="2"/>
  </si>
  <si>
    <t>金属</t>
    <phoneticPr fontId="2"/>
  </si>
  <si>
    <t>装備</t>
    <rPh sb="0" eb="2">
      <t>ソウビ</t>
    </rPh>
    <phoneticPr fontId="2"/>
  </si>
  <si>
    <t>鍛冶Lv</t>
  </si>
  <si>
    <t>経済Lv</t>
  </si>
  <si>
    <t>対応技能</t>
    <rPh sb="0" eb="2">
      <t>タイオウ</t>
    </rPh>
    <phoneticPr fontId="2"/>
  </si>
  <si>
    <t>Lv</t>
    <phoneticPr fontId="2"/>
  </si>
  <si>
    <t>種別</t>
    <rPh sb="0" eb="2">
      <t>シュベツ</t>
    </rPh>
    <phoneticPr fontId="2"/>
  </si>
  <si>
    <t>特殊アイテム</t>
    <rPh sb="0" eb="2">
      <t>トクシュ</t>
    </rPh>
    <phoneticPr fontId="2"/>
  </si>
  <si>
    <t>〇</t>
    <phoneticPr fontId="2"/>
  </si>
  <si>
    <t>城壁</t>
    <rPh sb="0" eb="2">
      <t>ジョウヘキ</t>
    </rPh>
    <phoneticPr fontId="2"/>
  </si>
  <si>
    <t>なし</t>
    <phoneticPr fontId="2"/>
  </si>
  <si>
    <t>鍛冶Lv</t>
    <phoneticPr fontId="2"/>
  </si>
  <si>
    <t>武器防具の品質補正。鍛冶Lvに応じて装備性能上昇</t>
    <phoneticPr fontId="2"/>
  </si>
  <si>
    <t>対魔装備や上位兵装素材</t>
    <phoneticPr fontId="2"/>
  </si>
  <si>
    <t>開発効率・幸福度補正</t>
    <phoneticPr fontId="2"/>
  </si>
  <si>
    <t>穀物</t>
    <phoneticPr fontId="2"/>
  </si>
  <si>
    <t>通常移動不可。耐熱ユニットのみ可。ダメージ地形。</t>
    <phoneticPr fontId="2"/>
  </si>
  <si>
    <t>土地</t>
    <rPh sb="0" eb="2">
      <t>トチ</t>
    </rPh>
    <phoneticPr fontId="2"/>
  </si>
  <si>
    <t>高さ</t>
    <rPh sb="0" eb="1">
      <t>タカ</t>
    </rPh>
    <phoneticPr fontId="2"/>
  </si>
  <si>
    <t>森</t>
    <rPh sb="0" eb="1">
      <t>モリ</t>
    </rPh>
    <phoneticPr fontId="2"/>
  </si>
  <si>
    <t>平地</t>
    <rPh sb="0" eb="2">
      <t>ヘイチ</t>
    </rPh>
    <phoneticPr fontId="2"/>
  </si>
  <si>
    <t>洞窟</t>
    <rPh sb="0" eb="2">
      <t>ドウクツ</t>
    </rPh>
    <phoneticPr fontId="2"/>
  </si>
  <si>
    <t>丘,平地,森,山</t>
    <rPh sb="0" eb="1">
      <t>オカ</t>
    </rPh>
    <rPh sb="2" eb="4">
      <t>ヘイチ</t>
    </rPh>
    <rPh sb="5" eb="6">
      <t>モリ</t>
    </rPh>
    <rPh sb="7" eb="8">
      <t>ヤマ</t>
    </rPh>
    <phoneticPr fontId="2"/>
  </si>
  <si>
    <t>丘,森</t>
    <rPh sb="0" eb="1">
      <t>オカ</t>
    </rPh>
    <rPh sb="2" eb="3">
      <t>モリ</t>
    </rPh>
    <phoneticPr fontId="2"/>
  </si>
  <si>
    <t>丘,平地,山</t>
    <rPh sb="0" eb="1">
      <t>オカ</t>
    </rPh>
    <rPh sb="2" eb="4">
      <t>ヘイチ</t>
    </rPh>
    <rPh sb="5" eb="6">
      <t>ヤマ</t>
    </rPh>
    <phoneticPr fontId="2"/>
  </si>
  <si>
    <t>丘,山,平地,沼</t>
    <rPh sb="0" eb="1">
      <t>オカ</t>
    </rPh>
    <rPh sb="2" eb="3">
      <t>ヤマ</t>
    </rPh>
    <rPh sb="4" eb="6">
      <t>ヘイチ</t>
    </rPh>
    <rPh sb="7" eb="8">
      <t>ヌマ</t>
    </rPh>
    <phoneticPr fontId="2"/>
  </si>
  <si>
    <t>火山,山,丘,洞窟</t>
    <rPh sb="0" eb="2">
      <t>カザン</t>
    </rPh>
    <rPh sb="3" eb="4">
      <t>ヤマ</t>
    </rPh>
    <rPh sb="5" eb="6">
      <t>オカ</t>
    </rPh>
    <rPh sb="7" eb="9">
      <t>ドウクツ</t>
    </rPh>
    <phoneticPr fontId="2"/>
  </si>
  <si>
    <t>山,森,湖</t>
    <rPh sb="0" eb="1">
      <t>ヤマ</t>
    </rPh>
    <rPh sb="2" eb="3">
      <t>モリ</t>
    </rPh>
    <rPh sb="4" eb="5">
      <t>ミズウミ</t>
    </rPh>
    <phoneticPr fontId="2"/>
  </si>
  <si>
    <t>洞窟,森,渓谷</t>
    <rPh sb="0" eb="2">
      <t>ドウクツ</t>
    </rPh>
    <rPh sb="3" eb="4">
      <t>モリ</t>
    </rPh>
    <rPh sb="5" eb="7">
      <t>ケイコク</t>
    </rPh>
    <phoneticPr fontId="2"/>
  </si>
  <si>
    <t>画像ID</t>
    <rPh sb="0" eb="2">
      <t>ガゾウ</t>
    </rPh>
    <phoneticPr fontId="2"/>
  </si>
  <si>
    <t>只人</t>
    <rPh sb="0" eb="2">
      <t>タダビト</t>
    </rPh>
    <phoneticPr fontId="2"/>
  </si>
  <si>
    <t>土人</t>
    <rPh sb="0" eb="1">
      <t>ツチ</t>
    </rPh>
    <rPh sb="1" eb="2">
      <t>ヒト</t>
    </rPh>
    <phoneticPr fontId="2"/>
  </si>
  <si>
    <t>動死体</t>
    <rPh sb="0" eb="1">
      <t>ウゴ</t>
    </rPh>
    <rPh sb="1" eb="3">
      <t>シタイ</t>
    </rPh>
    <phoneticPr fontId="2"/>
  </si>
  <si>
    <t>骸骨</t>
    <rPh sb="0" eb="2">
      <t>ガイコツ</t>
    </rPh>
    <phoneticPr fontId="2"/>
  </si>
  <si>
    <t>幽霊</t>
    <rPh sb="0" eb="2">
      <t>ユウレイ</t>
    </rPh>
    <phoneticPr fontId="2"/>
  </si>
  <si>
    <t>竜</t>
    <rPh sb="0" eb="1">
      <t>リュウ</t>
    </rPh>
    <phoneticPr fontId="2"/>
  </si>
  <si>
    <t>峡谷</t>
    <phoneticPr fontId="2"/>
  </si>
  <si>
    <t>魔術</t>
  </si>
  <si>
    <t>狩人</t>
    <rPh sb="0" eb="1">
      <t>カ</t>
    </rPh>
    <rPh sb="1" eb="2">
      <t>ビト</t>
    </rPh>
    <phoneticPr fontId="2"/>
  </si>
  <si>
    <t>鍛冶</t>
  </si>
  <si>
    <t>鍛冶</t>
    <phoneticPr fontId="2"/>
  </si>
  <si>
    <t>魔法</t>
    <phoneticPr fontId="2"/>
  </si>
  <si>
    <t>信仰</t>
    <phoneticPr fontId="2"/>
  </si>
  <si>
    <t>軍事</t>
    <phoneticPr fontId="2"/>
  </si>
  <si>
    <t>経済</t>
  </si>
  <si>
    <t>経済</t>
    <phoneticPr fontId="2"/>
  </si>
  <si>
    <t>技術対象</t>
  </si>
  <si>
    <t>武器製造コスト-10%</t>
  </si>
  <si>
    <t>防具製造コスト-10%</t>
  </si>
  <si>
    <t>鍛冶経験値増加+5%</t>
  </si>
  <si>
    <t>魔法経験値増加+5%</t>
  </si>
  <si>
    <t>信仰経験値増加+5%</t>
  </si>
  <si>
    <t>軍事経験値増加+5%</t>
  </si>
  <si>
    <t>経済経験値増加+5%</t>
  </si>
  <si>
    <t>魔術+15</t>
  </si>
  <si>
    <t>信仰+15</t>
  </si>
  <si>
    <t>指揮+10</t>
  </si>
  <si>
    <t>建設コスト-10%</t>
  </si>
  <si>
    <t>訓練時間-10%</t>
  </si>
  <si>
    <t>維持費-10%</t>
  </si>
  <si>
    <t>部隊HP+10%</t>
  </si>
  <si>
    <t>軍隊</t>
    <rPh sb="0" eb="2">
      <t>グンタイ</t>
    </rPh>
    <phoneticPr fontId="2"/>
  </si>
  <si>
    <t>軍隊ユニット数+1</t>
  </si>
  <si>
    <t>騎兵ユニット作成</t>
  </si>
  <si>
    <t>指揮+25</t>
  </si>
  <si>
    <t>軍隊ユニットの移動力+1</t>
  </si>
  <si>
    <t>軍隊ユニットの攻撃回数+1</t>
  </si>
  <si>
    <t>部隊HP+15%</t>
  </si>
  <si>
    <t>装備作成時間-10%</t>
  </si>
  <si>
    <t>鉄素材の取得量+10%</t>
  </si>
  <si>
    <t>装備の品質ランク上限+1</t>
  </si>
  <si>
    <t>建物の耐久度+15%</t>
  </si>
  <si>
    <t>建物の耐久度+10%</t>
  </si>
  <si>
    <t>鍛造技術</t>
  </si>
  <si>
    <t>高ランクの金属消費減少-30%</t>
  </si>
  <si>
    <t>高ランクの金属消費減少-20%</t>
  </si>
  <si>
    <t>合金加工</t>
  </si>
  <si>
    <t>装備作成時間-20%</t>
  </si>
  <si>
    <t>建築強化Ⅱ</t>
  </si>
  <si>
    <t>武器製造効率Ⅰ</t>
  </si>
  <si>
    <t>防具製造効率Ⅰ</t>
  </si>
  <si>
    <t>鍛冶熟練Ⅰ</t>
  </si>
  <si>
    <t>製作効率Ⅰ</t>
  </si>
  <si>
    <t>鉄資源効率Ⅰ</t>
  </si>
  <si>
    <t>建築強化Ⅰ</t>
  </si>
  <si>
    <t>品質向上Ⅰ</t>
  </si>
  <si>
    <t>製作効率Ⅱ</t>
  </si>
  <si>
    <t>高級金属効率</t>
  </si>
  <si>
    <t>貴金属消費量-10%</t>
  </si>
  <si>
    <t>魔法儀式</t>
  </si>
  <si>
    <t>信仰儀式</t>
  </si>
  <si>
    <t>魔道具生成時間-10%</t>
  </si>
  <si>
    <t>貴金属取得量+10%</t>
  </si>
  <si>
    <t>建物建築速度+10%</t>
  </si>
  <si>
    <t>大魔法儀式</t>
  </si>
  <si>
    <t>都市内にいると3人分の行動を消費することで1つ上位の魔法が使える</t>
  </si>
  <si>
    <t>都市内にいると2人分の行動を消費することで1つ上位の魔法が使える</t>
  </si>
  <si>
    <t>魔術+10</t>
  </si>
  <si>
    <t>聖具生成時間-10%</t>
  </si>
  <si>
    <t>都市内にいると3人分の行動を消費することで1つ上位の信仰魔法が使える</t>
  </si>
  <si>
    <t>都市内にいると2人分の行動を消費することで1つ上位の信仰魔法が使える</t>
  </si>
  <si>
    <t>穀物収穫量+10%</t>
  </si>
  <si>
    <t>野菜収穫量+10%</t>
  </si>
  <si>
    <t>木材収穫量+10%</t>
  </si>
  <si>
    <t>環境安定度+20</t>
  </si>
  <si>
    <t>人口保有率+10%</t>
  </si>
  <si>
    <t>高速道路</t>
  </si>
  <si>
    <t>治安+5 幸福度+5</t>
  </si>
  <si>
    <t>高層住居</t>
  </si>
  <si>
    <t>人口保有率+15%</t>
  </si>
  <si>
    <t>都市</t>
    <rPh sb="0" eb="2">
      <t>トシ</t>
    </rPh>
    <phoneticPr fontId="2"/>
  </si>
  <si>
    <t>建設効率Ⅰ</t>
  </si>
  <si>
    <t>住居整備Ⅰ</t>
  </si>
  <si>
    <t>経済基盤教育Ⅰ</t>
  </si>
  <si>
    <t>催事制度Ⅰ</t>
  </si>
  <si>
    <t>イベント発生率+10%</t>
  </si>
  <si>
    <t>都市整備Ⅰ</t>
  </si>
  <si>
    <t>労働効率化Ⅰ</t>
  </si>
  <si>
    <t>人口による資源生産量+10%</t>
  </si>
  <si>
    <t>都市内の移動効率上昇（建設・行動時間短縮）</t>
  </si>
  <si>
    <t>市場制度</t>
  </si>
  <si>
    <t>余剰資源を別資源へ変換可能になる</t>
  </si>
  <si>
    <t>建設効率Ⅱ</t>
  </si>
  <si>
    <t>建設コスト-20%</t>
  </si>
  <si>
    <t>都市整備Ⅱ</t>
  </si>
  <si>
    <t>治安+10 幸福度+10</t>
  </si>
  <si>
    <t>労働効率化Ⅱ</t>
  </si>
  <si>
    <t>人口による資源生産量+20%</t>
  </si>
  <si>
    <t>指揮訓練Ⅰ</t>
  </si>
  <si>
    <t>編成拡張Ⅰ</t>
  </si>
  <si>
    <t>軍事基礎教育Ⅰ</t>
  </si>
  <si>
    <t>訓練効率化Ⅰ</t>
  </si>
  <si>
    <t>兵站管理Ⅰ</t>
  </si>
  <si>
    <t>騎兵運用</t>
  </si>
  <si>
    <t>編成拡張Ⅱ</t>
  </si>
  <si>
    <t>機動戦術Ⅰ</t>
  </si>
  <si>
    <t>耐久訓練Ⅰ</t>
  </si>
  <si>
    <t>指揮訓練Ⅱ</t>
  </si>
  <si>
    <t>耐久訓練Ⅱ</t>
  </si>
  <si>
    <t>連携攻撃</t>
  </si>
  <si>
    <t>魔術強化Ⅰ</t>
  </si>
  <si>
    <t>貴金属効率Ⅰ</t>
  </si>
  <si>
    <t>魔術基礎教育Ⅰ</t>
  </si>
  <si>
    <t>魔道具製作効率Ⅰ</t>
  </si>
  <si>
    <t>貴金属採取Ⅰ</t>
  </si>
  <si>
    <t>建築補助魔術Ⅰ</t>
  </si>
  <si>
    <t>環境制御Ⅰ</t>
  </si>
  <si>
    <t>環境安定度+10</t>
  </si>
  <si>
    <t>魔術強化Ⅱ</t>
  </si>
  <si>
    <t>魔術強化Ⅲ</t>
  </si>
  <si>
    <t>魔術+25</t>
  </si>
  <si>
    <t>環境制御Ⅱ</t>
  </si>
  <si>
    <t>信仰強化Ⅰ</t>
  </si>
  <si>
    <t>穀物加護Ⅰ</t>
  </si>
  <si>
    <t>信仰教育Ⅰ</t>
  </si>
  <si>
    <t>聖具製作効率Ⅰ</t>
  </si>
  <si>
    <t>野菜加護Ⅰ</t>
  </si>
  <si>
    <t>神聖建築術Ⅰ</t>
  </si>
  <si>
    <t>環境浄化Ⅰ</t>
  </si>
  <si>
    <t>木材加護Ⅰ</t>
  </si>
  <si>
    <t>環境浄化Ⅱ</t>
  </si>
  <si>
    <t>信仰強化Ⅱ</t>
  </si>
  <si>
    <t>信仰+25</t>
  </si>
  <si>
    <t>大信仰儀式</t>
  </si>
  <si>
    <t>画像</t>
    <rPh sb="0" eb="2">
      <t>ガゾウ</t>
    </rPh>
    <phoneticPr fontId="2"/>
  </si>
  <si>
    <t>イーグル</t>
    <phoneticPr fontId="2"/>
  </si>
  <si>
    <t>ファングウルフ</t>
    <phoneticPr fontId="2"/>
  </si>
  <si>
    <t>炎の精霊</t>
    <rPh sb="0" eb="1">
      <t>ホノオ</t>
    </rPh>
    <rPh sb="2" eb="4">
      <t>セイレイ</t>
    </rPh>
    <phoneticPr fontId="2"/>
  </si>
  <si>
    <t>地の精霊</t>
    <rPh sb="0" eb="1">
      <t>チ</t>
    </rPh>
    <rPh sb="2" eb="4">
      <t>セイレイ</t>
    </rPh>
    <phoneticPr fontId="2"/>
  </si>
  <si>
    <t>ラッシュベア</t>
    <phoneticPr fontId="2"/>
  </si>
  <si>
    <t>トレント</t>
    <phoneticPr fontId="2"/>
  </si>
  <si>
    <t>貫通</t>
    <rPh sb="0" eb="2">
      <t>カンツウ</t>
    </rPh>
    <phoneticPr fontId="2"/>
  </si>
  <si>
    <t>靴</t>
    <rPh sb="0" eb="1">
      <t>クツ</t>
    </rPh>
    <phoneticPr fontId="2"/>
  </si>
  <si>
    <t>重靴</t>
    <rPh sb="0" eb="1">
      <t>ジュウ</t>
    </rPh>
    <rPh sb="1" eb="2">
      <t>クツ</t>
    </rPh>
    <phoneticPr fontId="2"/>
  </si>
  <si>
    <t>移動強化</t>
    <rPh sb="0" eb="2">
      <t>イドウ</t>
    </rPh>
    <rPh sb="2" eb="4">
      <t>キョウカ</t>
    </rPh>
    <phoneticPr fontId="2"/>
  </si>
  <si>
    <t>防具_物理</t>
    <rPh sb="0" eb="2">
      <t>ボウグ</t>
    </rPh>
    <rPh sb="3" eb="5">
      <t>ブツリ</t>
    </rPh>
    <phoneticPr fontId="2"/>
  </si>
  <si>
    <t>防具_魔法</t>
    <rPh sb="0" eb="2">
      <t>ボウグ</t>
    </rPh>
    <rPh sb="3" eb="5">
      <t>マホウ</t>
    </rPh>
    <phoneticPr fontId="2"/>
  </si>
  <si>
    <t>軽盾</t>
    <rPh sb="0" eb="1">
      <t>カル</t>
    </rPh>
    <rPh sb="1" eb="2">
      <t>タテ</t>
    </rPh>
    <phoneticPr fontId="2"/>
  </si>
  <si>
    <t>対象装備</t>
    <rPh sb="0" eb="2">
      <t>タイショウ</t>
    </rPh>
    <rPh sb="2" eb="4">
      <t>ソウビ</t>
    </rPh>
    <phoneticPr fontId="2"/>
  </si>
  <si>
    <t>獲得スキル</t>
    <rPh sb="0" eb="2">
      <t>カクトク</t>
    </rPh>
    <phoneticPr fontId="2"/>
  </si>
  <si>
    <t>武器は盾を含む</t>
    <phoneticPr fontId="2"/>
  </si>
  <si>
    <t>Ⅰ</t>
    <phoneticPr fontId="2"/>
  </si>
  <si>
    <t>Ⅱ</t>
    <phoneticPr fontId="2"/>
  </si>
  <si>
    <t>Ⅲ</t>
    <phoneticPr fontId="2"/>
  </si>
  <si>
    <t>HP強化Ⅰ</t>
  </si>
  <si>
    <t>HP強化Ⅱ</t>
  </si>
  <si>
    <t>HP強化Ⅲ</t>
  </si>
  <si>
    <t>攻撃強化Ⅰ</t>
  </si>
  <si>
    <t>攻撃強化Ⅱ</t>
  </si>
  <si>
    <t>攻撃強化Ⅲ</t>
  </si>
  <si>
    <t>防御強化Ⅰ</t>
  </si>
  <si>
    <t>防御強化Ⅱ</t>
  </si>
  <si>
    <t>防御強化Ⅲ</t>
  </si>
  <si>
    <t>魔力強化Ⅰ</t>
  </si>
  <si>
    <t>魔力強化Ⅱ</t>
  </si>
  <si>
    <t>魔力強化Ⅲ</t>
  </si>
  <si>
    <t>精神強化Ⅰ</t>
  </si>
  <si>
    <t>精神強化Ⅱ</t>
  </si>
  <si>
    <t>精神強化Ⅲ</t>
  </si>
  <si>
    <t>速度強化Ⅰ</t>
  </si>
  <si>
    <t>速度強化Ⅱ</t>
  </si>
  <si>
    <t>速度強化Ⅲ</t>
  </si>
  <si>
    <t>命中強化Ⅰ</t>
  </si>
  <si>
    <t>命中強化Ⅱ</t>
  </si>
  <si>
    <t>命中強化Ⅲ</t>
  </si>
  <si>
    <t>耳飾り</t>
    <phoneticPr fontId="2"/>
  </si>
  <si>
    <t>眼鏡</t>
    <rPh sb="0" eb="2">
      <t>メガネ</t>
    </rPh>
    <phoneticPr fontId="2"/>
  </si>
  <si>
    <t>鎧,服,兜</t>
    <rPh sb="0" eb="1">
      <t>ヨロイ</t>
    </rPh>
    <rPh sb="2" eb="3">
      <t>フク</t>
    </rPh>
    <rPh sb="4" eb="5">
      <t>カブト</t>
    </rPh>
    <phoneticPr fontId="2"/>
  </si>
  <si>
    <t>腕輪,指輪</t>
    <rPh sb="0" eb="2">
      <t>ウデワ</t>
    </rPh>
    <rPh sb="3" eb="5">
      <t>ユビワ</t>
    </rPh>
    <phoneticPr fontId="2"/>
  </si>
  <si>
    <t>杖</t>
    <phoneticPr fontId="2"/>
  </si>
  <si>
    <t>杖,冠,帽子,首飾り</t>
    <rPh sb="2" eb="3">
      <t>カンムリ</t>
    </rPh>
    <rPh sb="4" eb="6">
      <t>ボウシ</t>
    </rPh>
    <rPh sb="7" eb="9">
      <t>クビカザ</t>
    </rPh>
    <phoneticPr fontId="2"/>
  </si>
  <si>
    <t>法衣,冠,帽子</t>
    <phoneticPr fontId="2"/>
  </si>
  <si>
    <t>付与</t>
    <rPh sb="0" eb="2">
      <t>フヨ</t>
    </rPh>
    <phoneticPr fontId="2"/>
  </si>
  <si>
    <t>必要道具</t>
    <rPh sb="0" eb="2">
      <t>ヒツヨウ</t>
    </rPh>
    <rPh sb="2" eb="4">
      <t>ドウグ</t>
    </rPh>
    <phoneticPr fontId="2"/>
  </si>
  <si>
    <t>ヒーロー</t>
    <phoneticPr fontId="2"/>
  </si>
  <si>
    <t>経験値</t>
    <rPh sb="0" eb="3">
      <t>ケイケンチ</t>
    </rPh>
    <phoneticPr fontId="2"/>
  </si>
  <si>
    <t>モンク</t>
    <phoneticPr fontId="2"/>
  </si>
  <si>
    <t>格闘家</t>
    <rPh sb="0" eb="3">
      <t>カクトウカ</t>
    </rPh>
    <phoneticPr fontId="2"/>
  </si>
  <si>
    <t>攻撃手段:素手 物理+25 判定:攻撃</t>
    <rPh sb="0" eb="4">
      <t>コウゲキシュダン</t>
    </rPh>
    <rPh sb="5" eb="7">
      <t>スデ</t>
    </rPh>
    <rPh sb="8" eb="10">
      <t>ブツリ</t>
    </rPh>
    <rPh sb="14" eb="16">
      <t>ハンテイ</t>
    </rPh>
    <rPh sb="17" eb="19">
      <t>コウゲキ</t>
    </rPh>
    <phoneticPr fontId="2"/>
  </si>
  <si>
    <t>素手の扱い</t>
    <rPh sb="0" eb="2">
      <t>スデ</t>
    </rPh>
    <rPh sb="3" eb="4">
      <t>アツカ</t>
    </rPh>
    <phoneticPr fontId="2"/>
  </si>
  <si>
    <t>攻撃手段:素手 物理+5 命中+10</t>
    <rPh sb="0" eb="4">
      <t>コウゲキシュダン</t>
    </rPh>
    <rPh sb="5" eb="7">
      <t>スデ</t>
    </rPh>
    <rPh sb="8" eb="10">
      <t>ブツリ</t>
    </rPh>
    <rPh sb="13" eb="15">
      <t>メイチュウ</t>
    </rPh>
    <phoneticPr fontId="2"/>
  </si>
  <si>
    <t>槍</t>
    <phoneticPr fontId="2"/>
  </si>
  <si>
    <t>長剣</t>
    <phoneticPr fontId="2"/>
  </si>
  <si>
    <t>軽盾</t>
    <phoneticPr fontId="2"/>
  </si>
  <si>
    <t>短剣</t>
    <phoneticPr fontId="2"/>
  </si>
  <si>
    <t>弓</t>
    <phoneticPr fontId="2"/>
  </si>
  <si>
    <t>棍棒</t>
    <phoneticPr fontId="2"/>
  </si>
  <si>
    <t>村</t>
    <rPh sb="0" eb="1">
      <t>ムラ</t>
    </rPh>
    <phoneticPr fontId="2"/>
  </si>
  <si>
    <t>町</t>
    <rPh sb="0" eb="1">
      <t>マチ</t>
    </rPh>
    <phoneticPr fontId="2"/>
  </si>
  <si>
    <t>大都市</t>
    <rPh sb="0" eb="3">
      <t>ダイトシ</t>
    </rPh>
    <phoneticPr fontId="2"/>
  </si>
  <si>
    <t>村2</t>
    <rPh sb="0" eb="1">
      <t>ムラ</t>
    </rPh>
    <phoneticPr fontId="2"/>
  </si>
  <si>
    <t>住居3</t>
    <rPh sb="0" eb="2">
      <t>ジュウキョ</t>
    </rPh>
    <phoneticPr fontId="2"/>
  </si>
  <si>
    <t>住居7</t>
    <rPh sb="0" eb="2">
      <t>ジュウキョ</t>
    </rPh>
    <phoneticPr fontId="2"/>
  </si>
  <si>
    <t>保有人数25</t>
    <rPh sb="0" eb="4">
      <t>ホユウニンズウ</t>
    </rPh>
    <phoneticPr fontId="2"/>
  </si>
  <si>
    <t>保有人数50</t>
    <rPh sb="0" eb="4">
      <t>ホユウニンズウ</t>
    </rPh>
    <phoneticPr fontId="2"/>
  </si>
  <si>
    <t>保有人数100</t>
    <rPh sb="0" eb="4">
      <t>ホユウニンズウ</t>
    </rPh>
    <phoneticPr fontId="2"/>
  </si>
  <si>
    <t>保有人数150</t>
    <rPh sb="0" eb="4">
      <t>ホユウニンズウ</t>
    </rPh>
    <phoneticPr fontId="2"/>
  </si>
  <si>
    <t>建築時間</t>
    <rPh sb="0" eb="4">
      <t>ケンチクジカン</t>
    </rPh>
    <phoneticPr fontId="2"/>
  </si>
  <si>
    <t>生産力</t>
    <rPh sb="0" eb="3">
      <t>セイサンリョク</t>
    </rPh>
    <phoneticPr fontId="2"/>
  </si>
  <si>
    <t>保有可能人数</t>
    <rPh sb="0" eb="4">
      <t>ホユウカノウ</t>
    </rPh>
    <rPh sb="4" eb="6">
      <t>ニンズウ</t>
    </rPh>
    <phoneticPr fontId="2"/>
  </si>
  <si>
    <t>浄化</t>
    <rPh sb="0" eb="2">
      <t>ジョウカ</t>
    </rPh>
    <phoneticPr fontId="2"/>
  </si>
  <si>
    <t>穢れ</t>
    <rPh sb="0" eb="1">
      <t>ケガ</t>
    </rPh>
    <phoneticPr fontId="2"/>
  </si>
  <si>
    <t/>
  </si>
  <si>
    <t>建築数</t>
    <rPh sb="0" eb="3">
      <t>ケンチクスウ</t>
    </rPh>
    <phoneticPr fontId="2"/>
  </si>
  <si>
    <t>ディスプレイサービースト</t>
    <phoneticPr fontId="2"/>
  </si>
  <si>
    <t>ハイドラ</t>
    <phoneticPr fontId="2"/>
  </si>
  <si>
    <t>シャンブリングマウンド</t>
    <phoneticPr fontId="2"/>
  </si>
  <si>
    <t>ウィルオウィスプ</t>
    <phoneticPr fontId="2"/>
  </si>
  <si>
    <t>トロル</t>
    <phoneticPr fontId="2"/>
  </si>
  <si>
    <t>ブレット</t>
    <phoneticPr fontId="2"/>
  </si>
  <si>
    <t>ビホルダー</t>
    <phoneticPr fontId="2"/>
  </si>
  <si>
    <t>薬草の群生地</t>
    <rPh sb="0" eb="2">
      <t>ヤクソウ</t>
    </rPh>
    <rPh sb="3" eb="6">
      <t>グンセイチ</t>
    </rPh>
    <phoneticPr fontId="2"/>
  </si>
  <si>
    <t>金山</t>
    <rPh sb="0" eb="2">
      <t>キンザン</t>
    </rPh>
    <phoneticPr fontId="2"/>
  </si>
  <si>
    <t>銀鉱脈</t>
    <rPh sb="0" eb="3">
      <t>ギンコウミャク</t>
    </rPh>
    <phoneticPr fontId="2"/>
  </si>
  <si>
    <t>宝石脈</t>
    <rPh sb="0" eb="2">
      <t>ホウセキ</t>
    </rPh>
    <rPh sb="2" eb="3">
      <t>ミャク</t>
    </rPh>
    <phoneticPr fontId="2"/>
  </si>
  <si>
    <t>水脈</t>
    <rPh sb="0" eb="1">
      <t>ミズ</t>
    </rPh>
    <phoneticPr fontId="2"/>
  </si>
  <si>
    <t>戦場後</t>
    <rPh sb="0" eb="3">
      <t>センジョウアト</t>
    </rPh>
    <phoneticPr fontId="2"/>
  </si>
  <si>
    <t>ヒーロー</t>
  </si>
  <si>
    <t>基本情報</t>
    <phoneticPr fontId="2"/>
  </si>
  <si>
    <t>影響範囲</t>
    <rPh sb="0" eb="2">
      <t>エイキョウ</t>
    </rPh>
    <rPh sb="2" eb="4">
      <t>ハンイ</t>
    </rPh>
    <phoneticPr fontId="2"/>
  </si>
  <si>
    <t>全体</t>
    <rPh sb="0" eb="2">
      <t>ゼンタイ</t>
    </rPh>
    <phoneticPr fontId="2"/>
  </si>
  <si>
    <t>単体マス</t>
    <rPh sb="0" eb="2">
      <t>タンタイ</t>
    </rPh>
    <phoneticPr fontId="2"/>
  </si>
  <si>
    <t>技術</t>
    <phoneticPr fontId="2"/>
  </si>
  <si>
    <t>教会</t>
    <phoneticPr fontId="2"/>
  </si>
  <si>
    <t>アウルベア</t>
    <phoneticPr fontId="2"/>
  </si>
  <si>
    <t>ディスプレイサービースト</t>
  </si>
  <si>
    <t>スコーピオン</t>
    <phoneticPr fontId="2"/>
  </si>
  <si>
    <t>切断耐性</t>
    <rPh sb="0" eb="2">
      <t>セツダン</t>
    </rPh>
    <rPh sb="2" eb="4">
      <t>タイセイ</t>
    </rPh>
    <phoneticPr fontId="2"/>
  </si>
  <si>
    <t>貫通耐性</t>
    <rPh sb="0" eb="2">
      <t>カンツウ</t>
    </rPh>
    <rPh sb="2" eb="4">
      <t>タイセイ</t>
    </rPh>
    <phoneticPr fontId="2"/>
  </si>
  <si>
    <t>打撃耐性</t>
    <rPh sb="0" eb="2">
      <t>ダゲキ</t>
    </rPh>
    <rPh sb="2" eb="4">
      <t>タイセイ</t>
    </rPh>
    <phoneticPr fontId="2"/>
  </si>
  <si>
    <t>切断</t>
    <rPh sb="0" eb="2">
      <t>セツダン</t>
    </rPh>
    <phoneticPr fontId="2"/>
  </si>
  <si>
    <t>貫通</t>
    <rPh sb="0" eb="2">
      <t>カンツウ</t>
    </rPh>
    <phoneticPr fontId="2"/>
  </si>
  <si>
    <t>打撃</t>
    <rPh sb="0" eb="2">
      <t>ダゲキ</t>
    </rPh>
    <phoneticPr fontId="2"/>
  </si>
  <si>
    <t>MP</t>
    <phoneticPr fontId="2"/>
  </si>
  <si>
    <t>ST</t>
    <phoneticPr fontId="2"/>
  </si>
  <si>
    <t>全体</t>
    <phoneticPr fontId="2"/>
  </si>
  <si>
    <t>荒野</t>
    <rPh sb="0" eb="2">
      <t>コウヤ</t>
    </rPh>
    <phoneticPr fontId="2"/>
  </si>
  <si>
    <t>移動コスト1。基準マス。都市建設可。生産補正なし。視界良好。</t>
    <phoneticPr fontId="2"/>
  </si>
  <si>
    <t>好戦的</t>
    <rPh sb="0" eb="3">
      <t>コウセンテキ</t>
    </rPh>
    <phoneticPr fontId="2"/>
  </si>
  <si>
    <t>大河</t>
    <rPh sb="0" eb="2">
      <t>タイガ</t>
    </rPh>
    <phoneticPr fontId="2"/>
  </si>
  <si>
    <t>移動コスト4（橋で1）水上ユニットはペナルティなし</t>
    <rPh sb="11" eb="13">
      <t>スイジョウ</t>
    </rPh>
    <phoneticPr fontId="2"/>
  </si>
  <si>
    <t>湿地</t>
    <rPh sb="0" eb="2">
      <t>シッチ</t>
    </rPh>
    <phoneticPr fontId="2"/>
  </si>
  <si>
    <t>移動コスト</t>
    <rPh sb="0" eb="2">
      <t>イドウ</t>
    </rPh>
    <phoneticPr fontId="2"/>
  </si>
  <si>
    <t>移動条件</t>
    <rPh sb="0" eb="4">
      <t>イドウジョウケン</t>
    </rPh>
    <phoneticPr fontId="2"/>
  </si>
  <si>
    <t>-</t>
    <phoneticPr fontId="2"/>
  </si>
  <si>
    <t>遊泳</t>
    <rPh sb="0" eb="2">
      <t>ユウエイ</t>
    </rPh>
    <phoneticPr fontId="2"/>
  </si>
  <si>
    <t>飛行</t>
    <rPh sb="0" eb="2">
      <t>ヒコウ</t>
    </rPh>
    <phoneticPr fontId="2"/>
  </si>
  <si>
    <t>河川</t>
    <phoneticPr fontId="2"/>
  </si>
  <si>
    <t>アンケグ</t>
    <phoneticPr fontId="2"/>
  </si>
  <si>
    <t>鳥系生物の巣</t>
  </si>
  <si>
    <t>肉食生物の巣</t>
  </si>
  <si>
    <t>虫系の巣</t>
  </si>
  <si>
    <t>地中生物の巣</t>
  </si>
  <si>
    <t>飛竜の巣</t>
  </si>
  <si>
    <t>死霊の巣</t>
  </si>
  <si>
    <t>毒生成物の巣</t>
  </si>
  <si>
    <t>土の輪</t>
  </si>
  <si>
    <t>植物生物の巣</t>
  </si>
  <si>
    <t>風の輪</t>
  </si>
  <si>
    <t>ウィルオウィスプ</t>
  </si>
  <si>
    <t>闇の輪</t>
  </si>
  <si>
    <t>トロル</t>
  </si>
  <si>
    <t>ハイドラ</t>
  </si>
  <si>
    <t>サンダーバード</t>
  </si>
  <si>
    <t>ロックベア</t>
  </si>
  <si>
    <t>水の輪</t>
  </si>
  <si>
    <t>ビホルダー</t>
  </si>
  <si>
    <t>ポイズンスネーク</t>
  </si>
  <si>
    <t>炎の輪</t>
  </si>
  <si>
    <t>ラヴァスライム</t>
  </si>
  <si>
    <t>ウィンターウルフ</t>
  </si>
  <si>
    <t>巣</t>
    <rPh sb="0" eb="1">
      <t>ス</t>
    </rPh>
    <phoneticPr fontId="2"/>
  </si>
  <si>
    <t>キャラ</t>
    <phoneticPr fontId="2"/>
  </si>
  <si>
    <t>炸裂</t>
    <rPh sb="0" eb="2">
      <t>サクレツ</t>
    </rPh>
    <phoneticPr fontId="2"/>
  </si>
  <si>
    <t>爆薬</t>
    <rPh sb="0" eb="2">
      <t>バクヤク</t>
    </rPh>
    <phoneticPr fontId="2"/>
  </si>
  <si>
    <t>ボム</t>
    <phoneticPr fontId="2"/>
  </si>
  <si>
    <t>A</t>
    <phoneticPr fontId="2"/>
  </si>
  <si>
    <t>錬金</t>
    <rPh sb="0" eb="2">
      <t>レンキン</t>
    </rPh>
    <phoneticPr fontId="2"/>
  </si>
  <si>
    <t>火球</t>
  </si>
  <si>
    <t>火炎</t>
  </si>
  <si>
    <t>バーニング</t>
  </si>
  <si>
    <t>A</t>
  </si>
  <si>
    <t>炎の雨</t>
  </si>
  <si>
    <t>ファイアーレイン</t>
  </si>
  <si>
    <t>ファイアーボール</t>
  </si>
  <si>
    <t>落下火球</t>
  </si>
  <si>
    <t>フォール・ファイアー</t>
  </si>
  <si>
    <t>炎の壁</t>
  </si>
  <si>
    <t>ファイアー・ウォール</t>
  </si>
  <si>
    <t>爆裂</t>
  </si>
  <si>
    <t>エクスプロージョン</t>
  </si>
  <si>
    <t>火炎放射</t>
  </si>
  <si>
    <t>バーニング・レディエーション</t>
  </si>
  <si>
    <t>燃焼火炎</t>
  </si>
  <si>
    <t>バーニング・ナパーム</t>
  </si>
  <si>
    <t>煉獄</t>
  </si>
  <si>
    <t>インフェルノ</t>
  </si>
  <si>
    <t>煙幕</t>
  </si>
  <si>
    <t>スモーク</t>
  </si>
  <si>
    <t>炎の嵐</t>
  </si>
  <si>
    <t>ファイアーストーム</t>
  </si>
  <si>
    <t>獄炎</t>
  </si>
  <si>
    <t>聖炎</t>
  </si>
  <si>
    <t>火山灰</t>
  </si>
  <si>
    <t>大噴火</t>
  </si>
  <si>
    <t>核火山</t>
  </si>
  <si>
    <t>地底噴火</t>
  </si>
  <si>
    <t>燃焼点</t>
  </si>
  <si>
    <t>バーン・ポイント</t>
  </si>
  <si>
    <t>熱線</t>
  </si>
  <si>
    <t>バーニング・レイ</t>
  </si>
  <si>
    <t>電漿球</t>
  </si>
  <si>
    <t>プラズマ・キャノン</t>
  </si>
  <si>
    <t>電漿熱線</t>
  </si>
  <si>
    <t>プラズマレディエーション</t>
  </si>
  <si>
    <t>放射熱線</t>
  </si>
  <si>
    <t>核爆発</t>
  </si>
  <si>
    <t>クリアブラスト</t>
  </si>
  <si>
    <t>新星爆発</t>
  </si>
  <si>
    <t>ノヴァ・ブラスト</t>
  </si>
  <si>
    <t>散弾</t>
  </si>
  <si>
    <t>全体</t>
  </si>
  <si>
    <t>ライン</t>
  </si>
  <si>
    <t>爆発</t>
  </si>
  <si>
    <t>縦</t>
  </si>
  <si>
    <t>炸裂</t>
  </si>
  <si>
    <t>設置</t>
  </si>
  <si>
    <t>アニメ</t>
    <phoneticPr fontId="2"/>
  </si>
  <si>
    <t>火炎</t>
    <rPh sb="0" eb="2">
      <t>カエン</t>
    </rPh>
    <phoneticPr fontId="2"/>
  </si>
  <si>
    <t>炎の雨</t>
    <rPh sb="0" eb="1">
      <t>ホノオ</t>
    </rPh>
    <rPh sb="2" eb="3">
      <t>アメ</t>
    </rPh>
    <phoneticPr fontId="2"/>
  </si>
  <si>
    <t>炎の雨:火球2</t>
    <rPh sb="4" eb="6">
      <t>カキュウ</t>
    </rPh>
    <phoneticPr fontId="2"/>
  </si>
  <si>
    <t>炎溜め:火球2</t>
    <rPh sb="0" eb="1">
      <t>ホノオ</t>
    </rPh>
    <rPh sb="1" eb="2">
      <t>タ</t>
    </rPh>
    <phoneticPr fontId="2"/>
  </si>
  <si>
    <t>火球2</t>
    <phoneticPr fontId="2"/>
  </si>
  <si>
    <t>爆裂</t>
    <rPh sb="0" eb="2">
      <t>バクレツ</t>
    </rPh>
    <phoneticPr fontId="2"/>
  </si>
  <si>
    <t>攻撃手段:翼 物理+10 ガード+15 攻撃回数:2 判定:攻撃</t>
    <rPh sb="0" eb="4">
      <t>コウゲキシュダン</t>
    </rPh>
    <rPh sb="5" eb="6">
      <t>ツバサ</t>
    </rPh>
    <rPh sb="7" eb="9">
      <t>ブツリ</t>
    </rPh>
    <phoneticPr fontId="2"/>
  </si>
  <si>
    <t>角</t>
    <rPh sb="0" eb="1">
      <t>ツノ</t>
    </rPh>
    <phoneticPr fontId="2"/>
  </si>
  <si>
    <t>牙</t>
    <rPh sb="0" eb="1">
      <t>キバ</t>
    </rPh>
    <phoneticPr fontId="2"/>
  </si>
  <si>
    <t>爪</t>
    <rPh sb="0" eb="1">
      <t>ツメ</t>
    </rPh>
    <phoneticPr fontId="2"/>
  </si>
  <si>
    <t>尾</t>
    <rPh sb="0" eb="1">
      <t>オ</t>
    </rPh>
    <phoneticPr fontId="2"/>
  </si>
  <si>
    <t>行動</t>
    <phoneticPr fontId="2"/>
  </si>
  <si>
    <t>溶岩地が発生し周囲に120ダメージ</t>
    <phoneticPr fontId="2"/>
  </si>
  <si>
    <t>マーカー文字</t>
  </si>
  <si>
    <t>マーカー色</t>
  </si>
  <si>
    <t>只</t>
  </si>
  <si>
    <t>#3e5d84</t>
  </si>
  <si>
    <t>#4a7d3c</t>
  </si>
  <si>
    <t>土</t>
  </si>
  <si>
    <t>#7a5f3a</t>
  </si>
  <si>
    <t>獣</t>
  </si>
  <si>
    <t>#8a6d2e</t>
  </si>
  <si>
    <t>竜</t>
  </si>
  <si>
    <t>#39687f</t>
  </si>
  <si>
    <t>鬼</t>
  </si>
  <si>
    <t>#7f3f2e</t>
  </si>
  <si>
    <t>巨</t>
  </si>
  <si>
    <t>#6b5c4b</t>
  </si>
  <si>
    <t>妖</t>
  </si>
  <si>
    <t>#5f7c3a</t>
  </si>
  <si>
    <t>魔</t>
  </si>
  <si>
    <t>#6a2f4f</t>
  </si>
  <si>
    <t>天</t>
  </si>
  <si>
    <t>#5c6fa2</t>
  </si>
  <si>
    <t>吸</t>
  </si>
  <si>
    <t>#662f4a</t>
  </si>
  <si>
    <t>必要ユニットLv</t>
  </si>
  <si>
    <t>ユニット作成</t>
  </si>
  <si>
    <t>武器分類</t>
  </si>
  <si>
    <t>近接</t>
  </si>
  <si>
    <t>射撃</t>
  </si>
  <si>
    <t>盾</t>
  </si>
  <si>
    <t>地図表示優先度</t>
  </si>
  <si>
    <t>表示名</t>
  </si>
  <si>
    <t>ユニット種別</t>
  </si>
  <si>
    <t>必要軍事Lv</t>
  </si>
  <si>
    <t>人口消費</t>
  </si>
  <si>
    <t>HP倍率</t>
  </si>
  <si>
    <t>攻撃回数</t>
  </si>
  <si>
    <t>簡易行動限定</t>
  </si>
  <si>
    <t>表示順</t>
  </si>
  <si>
    <t>収入倍率</t>
  </si>
  <si>
    <t>都市名</t>
    <phoneticPr fontId="2"/>
  </si>
  <si>
    <t>基本情報</t>
    <phoneticPr fontId="2"/>
  </si>
  <si>
    <t>都市の名称</t>
    <phoneticPr fontId="2"/>
  </si>
  <si>
    <t>都市規模</t>
    <phoneticPr fontId="2"/>
  </si>
  <si>
    <t>人口規模段階（小都市・中都市・大都市など）。上限人口や建設可能施設数に影響</t>
    <phoneticPr fontId="2"/>
  </si>
  <si>
    <t>鍛冶Lv</t>
    <phoneticPr fontId="2"/>
  </si>
  <si>
    <t>研究Lv</t>
    <phoneticPr fontId="2"/>
  </si>
  <si>
    <t>作成できる武具などに影響、建設にもかかわってる</t>
    <phoneticPr fontId="2"/>
  </si>
  <si>
    <t>魔法Lv</t>
    <phoneticPr fontId="2"/>
  </si>
  <si>
    <t>魔法研究・結界・魔導兵器の水準。魔法系兵種や防衛魔法に影響</t>
    <phoneticPr fontId="2"/>
  </si>
  <si>
    <t>魔術</t>
    <phoneticPr fontId="2"/>
  </si>
  <si>
    <t>信仰Lv</t>
    <phoneticPr fontId="2"/>
  </si>
  <si>
    <t>神殿規模や宗教影響力。不死対策・祝福効果・士気補正に影響</t>
    <phoneticPr fontId="2"/>
  </si>
  <si>
    <t>信仰</t>
    <phoneticPr fontId="2"/>
  </si>
  <si>
    <t>軍事Lv</t>
    <phoneticPr fontId="2"/>
  </si>
  <si>
    <t>兵舎・防壁・兵器開発の水準。徴兵上限・防衛力・上位兵種解放に影響</t>
    <phoneticPr fontId="2"/>
  </si>
  <si>
    <t>指揮</t>
    <phoneticPr fontId="2"/>
  </si>
  <si>
    <t>経済Lv</t>
    <phoneticPr fontId="2"/>
  </si>
  <si>
    <t>技術発展・住民意識の高さ。幸福度・開発効率・反乱抑制に影響</t>
    <phoneticPr fontId="2"/>
  </si>
  <si>
    <t>統治</t>
    <phoneticPr fontId="2"/>
  </si>
  <si>
    <t>人口</t>
    <phoneticPr fontId="2"/>
  </si>
  <si>
    <t>都市の総人口。税収・徴兵可能人数の基礎</t>
    <phoneticPr fontId="2"/>
  </si>
  <si>
    <t>保有可能人数</t>
    <phoneticPr fontId="2"/>
  </si>
  <si>
    <t>安定する人口数、多すぎたり少なすぎるとペナルティ</t>
    <phoneticPr fontId="2"/>
  </si>
  <si>
    <t>労働人口</t>
    <phoneticPr fontId="2"/>
  </si>
  <si>
    <t>生産に従事可能な人数。資源生産量に影響</t>
    <phoneticPr fontId="2"/>
  </si>
  <si>
    <t>徴兵率</t>
    <phoneticPr fontId="2"/>
  </si>
  <si>
    <t>軍事</t>
    <phoneticPr fontId="2"/>
  </si>
  <si>
    <t>人口に対する兵役割合。軍事力↑ 治安↓ 幸福↓</t>
    <phoneticPr fontId="2"/>
  </si>
  <si>
    <t>冒険者率</t>
    <phoneticPr fontId="2"/>
  </si>
  <si>
    <t>軍事/外部</t>
    <phoneticPr fontId="2"/>
  </si>
  <si>
    <t>ヒーロー</t>
    <phoneticPr fontId="2"/>
  </si>
  <si>
    <t>表示しない</t>
    <phoneticPr fontId="2"/>
  </si>
  <si>
    <t>英雄の発生率。</t>
    <phoneticPr fontId="2"/>
  </si>
  <si>
    <t>軍隊</t>
  </si>
  <si>
    <t>軍隊</t>
    <phoneticPr fontId="2"/>
  </si>
  <si>
    <t>軍隊の所持可能率</t>
    <phoneticPr fontId="2"/>
  </si>
  <si>
    <t>イベント設定</t>
    <phoneticPr fontId="2"/>
  </si>
  <si>
    <t>運営</t>
    <phoneticPr fontId="2"/>
  </si>
  <si>
    <t>祭り・宗教儀式・徴兵強化などの都市方針設定</t>
    <phoneticPr fontId="2"/>
  </si>
  <si>
    <t>道路発展数</t>
    <phoneticPr fontId="2"/>
  </si>
  <si>
    <t>インフラ</t>
    <phoneticPr fontId="2"/>
  </si>
  <si>
    <t>治安</t>
    <phoneticPr fontId="2"/>
  </si>
  <si>
    <t>安定度</t>
    <phoneticPr fontId="2"/>
  </si>
  <si>
    <t>犯罪・反乱発生率に影響。低いと災害・暴動発生</t>
    <phoneticPr fontId="2"/>
  </si>
  <si>
    <t>幸福度</t>
    <phoneticPr fontId="2"/>
  </si>
  <si>
    <t>市民の不満がどのくらいあるか。高いと指揮にボーナス。低いと指揮にペナルティ</t>
    <phoneticPr fontId="2"/>
  </si>
  <si>
    <t>環境安定度</t>
    <phoneticPr fontId="2"/>
  </si>
  <si>
    <t>環境</t>
    <phoneticPr fontId="2"/>
  </si>
  <si>
    <t>自然災害発生率や資源回復速度に影響</t>
    <phoneticPr fontId="2"/>
  </si>
  <si>
    <t>回復</t>
    <phoneticPr fontId="2"/>
  </si>
  <si>
    <t>治癒力</t>
    <phoneticPr fontId="2"/>
  </si>
  <si>
    <t>自陣営内でのHP回復量</t>
    <phoneticPr fontId="2"/>
  </si>
  <si>
    <t>浄化</t>
    <phoneticPr fontId="2"/>
  </si>
  <si>
    <t>アンデッドが発生しにくくなる。弱体化する。</t>
    <phoneticPr fontId="2"/>
  </si>
  <si>
    <t>穢れ</t>
    <phoneticPr fontId="2"/>
  </si>
  <si>
    <t>アンデッドが発生しやすくなる。強化される。</t>
    <phoneticPr fontId="2"/>
  </si>
  <si>
    <t>生産力</t>
    <phoneticPr fontId="2"/>
  </si>
  <si>
    <t>穀物</t>
    <phoneticPr fontId="2"/>
  </si>
  <si>
    <t>食料</t>
    <phoneticPr fontId="2"/>
  </si>
  <si>
    <t>主食資源。人口維持の基礎</t>
    <phoneticPr fontId="2"/>
  </si>
  <si>
    <t>野菜</t>
    <phoneticPr fontId="2"/>
  </si>
  <si>
    <t>食料多様性補正。幸福度に影響</t>
    <phoneticPr fontId="2"/>
  </si>
  <si>
    <t>肉</t>
    <phoneticPr fontId="2"/>
  </si>
  <si>
    <t>兵士向け高栄養資源。軍維持効率に影響</t>
    <phoneticPr fontId="2"/>
  </si>
  <si>
    <t>魚</t>
    <phoneticPr fontId="2"/>
  </si>
  <si>
    <t>沿岸都市補正資源。食料安定性に影響</t>
    <phoneticPr fontId="2"/>
  </si>
  <si>
    <t>木材</t>
    <phoneticPr fontId="2"/>
  </si>
  <si>
    <t>建設・兵器材料の基礎資源</t>
    <phoneticPr fontId="2"/>
  </si>
  <si>
    <t>黒木</t>
    <phoneticPr fontId="2"/>
  </si>
  <si>
    <t>高級建築・特殊兵装用素材</t>
    <phoneticPr fontId="2"/>
  </si>
  <si>
    <t>特木</t>
    <phoneticPr fontId="2"/>
  </si>
  <si>
    <t>魔法装備や特別施設用素材</t>
    <phoneticPr fontId="2"/>
  </si>
  <si>
    <t>石材</t>
    <phoneticPr fontId="2"/>
  </si>
  <si>
    <t>城壁・建築物の基礎資源</t>
    <phoneticPr fontId="2"/>
  </si>
  <si>
    <t>鉄</t>
    <phoneticPr fontId="2"/>
  </si>
  <si>
    <t>通常武器防具の基礎素材</t>
    <phoneticPr fontId="2"/>
  </si>
  <si>
    <t>銀鉄</t>
    <phoneticPr fontId="2"/>
  </si>
  <si>
    <t>金属</t>
    <phoneticPr fontId="2"/>
  </si>
  <si>
    <t>青金鋼</t>
    <phoneticPr fontId="2"/>
  </si>
  <si>
    <t>高級兵装・重装兵解放素材</t>
    <phoneticPr fontId="2"/>
  </si>
  <si>
    <t>赤黒鋼</t>
    <phoneticPr fontId="2"/>
  </si>
  <si>
    <t>最上級武器・特殊兵器用素材</t>
    <phoneticPr fontId="2"/>
  </si>
  <si>
    <t>金</t>
    <phoneticPr fontId="2"/>
  </si>
  <si>
    <t>貨幣基礎・高級取引素材</t>
    <phoneticPr fontId="2"/>
  </si>
  <si>
    <t>銀</t>
    <phoneticPr fontId="2"/>
  </si>
  <si>
    <t>貴金属</t>
    <phoneticPr fontId="2"/>
  </si>
  <si>
    <t>中級貨幣・宗教用途</t>
    <phoneticPr fontId="2"/>
  </si>
  <si>
    <t>宝石</t>
    <phoneticPr fontId="2"/>
  </si>
  <si>
    <t>魔法触媒・上級装備素材・交易高額品</t>
    <phoneticPr fontId="2"/>
  </si>
  <si>
    <t>死体</t>
    <phoneticPr fontId="2"/>
  </si>
  <si>
    <t>特殊資源</t>
    <phoneticPr fontId="2"/>
  </si>
  <si>
    <t>アンデッドの増加に必要</t>
    <phoneticPr fontId="2"/>
  </si>
  <si>
    <t>魂</t>
    <phoneticPr fontId="2"/>
  </si>
  <si>
    <t>特殊な種族の増加に必要</t>
    <phoneticPr fontId="2"/>
  </si>
  <si>
    <t>死人</t>
    <phoneticPr fontId="2"/>
  </si>
  <si>
    <t>合計死亡数</t>
    <phoneticPr fontId="2"/>
  </si>
  <si>
    <t>誕生</t>
    <phoneticPr fontId="2"/>
  </si>
  <si>
    <t>合計誕生数</t>
    <phoneticPr fontId="2"/>
  </si>
  <si>
    <t>normal</t>
  </si>
  <si>
    <t>ヒーローユニット</t>
  </si>
  <si>
    <t>ネームドキャラクター用の通常ユニット</t>
  </si>
  <si>
    <t>army</t>
  </si>
  <si>
    <t>軍隊ユニット</t>
  </si>
  <si>
    <t>モブ兵士4人分をまとめた軍隊ユニット</t>
  </si>
  <si>
    <t>elite_army</t>
  </si>
  <si>
    <t>強化軍隊ユニット</t>
  </si>
  <si>
    <t>精鋭軍隊</t>
  </si>
  <si>
    <t>高研究Lvで作成できる強化軍隊ユニット</t>
  </si>
  <si>
    <t>経済Lv倍率</t>
  </si>
  <si>
    <t>経済Lv1の資源収入倍率</t>
  </si>
  <si>
    <t>経済Lv2の資源収入倍率</t>
  </si>
  <si>
    <t>経済Lv3の資源収入倍率</t>
  </si>
  <si>
    <t>経済Lv4の資源収入倍率</t>
  </si>
  <si>
    <t>key</t>
  </si>
  <si>
    <t>name</t>
  </si>
  <si>
    <t>className</t>
  </si>
  <si>
    <t>icon</t>
  </si>
  <si>
    <t>summary</t>
  </si>
  <si>
    <t>detail</t>
  </si>
  <si>
    <t>traits</t>
  </si>
  <si>
    <t>hp</t>
  </si>
  <si>
    <t>atk</t>
  </si>
  <si>
    <t>只人</t>
  </si>
  <si>
    <t>/assets/images/role/人間.webp</t>
  </si>
  <si>
    <t>都市運営と前線維持の両面が安定した標準種族。</t>
  </si>
  <si>
    <t>制度適応が高く、どの国家体制でも扱いやすい。初期拡張や内政立ち上げを堅実に進められる。</t>
  </si>
  <si>
    <t>["統治適応","兵站安定","万能型"]</t>
  </si>
  <si>
    <t>/assets/images/role/森人.webp</t>
  </si>
  <si>
    <t>魔法・索敵に秀でた長命種。</t>
  </si>
  <si>
    <t>森地形と相性が良く、精密運用で真価を発揮する。防衛よりも戦術優位を取り続ける構成向き。</t>
  </si>
  <si>
    <t>["魔術適性","索敵強化","森林親和"]</t>
  </si>
  <si>
    <t>/assets/images/illust/オーガ.webp</t>
  </si>
  <si>
    <t>高耐久と打撃力で前線を押し込む巨躯種。</t>
  </si>
  <si>
    <t>初動から強く、接敵後の制圧戦に強い。継戦コストは重いが、局地戦の突破力は全種族でも上位。</t>
  </si>
  <si>
    <t>["高耐久","前線圧力","近接制圧"]</t>
  </si>
  <si>
    <t>/assets/images/illust/ゴブリン.webp</t>
  </si>
  <si>
    <t>機動と数で優位を作る群体運用向け種族。</t>
  </si>
  <si>
    <t>単体性能は低いが展開速度が高く、補給線妨害や攪乱が得意。長期戦では構成次第で化ける。</t>
  </si>
  <si>
    <t>["展開速度","攪乱","低コスト運用"]</t>
  </si>
  <si>
    <t>竜人</t>
  </si>
  <si>
    <t>/assets/images/role/竜人.webp</t>
  </si>
  <si>
    <t>範囲攻撃と高い制圧力を持つ高位戦闘種。</t>
  </si>
  <si>
    <t>攻守の基礎値が高く、軍事ルートとの相性が良い。主戦力として扱いやすく、対多数でも崩れにくい。</t>
  </si>
  <si>
    <t>["範囲制圧","高火力","高耐性"]</t>
  </si>
  <si>
    <t>悪魔</t>
  </si>
  <si>
    <t>/assets/images/role/悪魔.webp</t>
  </si>
  <si>
    <t>吸収・圧殺に寄った攻勢特化種族。</t>
  </si>
  <si>
    <t>短期決戦の爆発力が高い。治安や内政の管理負荷は上がるが、戦闘リターンは非常に大きい。</t>
  </si>
  <si>
    <t>["吸収戦闘","攻勢特化","高リスク高リターン"]</t>
  </si>
  <si>
    <t>天使</t>
  </si>
  <si>
    <t>/assets/images/role/天使.webp</t>
  </si>
  <si>
    <t>支援と維持戦に優れた加護系種族。</t>
  </si>
  <si>
    <t>部隊全体の安定性を上げる効果が多く、長期戦で有利。信仰系スキルや統治との噛み合わせが良い。</t>
  </si>
  <si>
    <t>["全体支援","持久戦","信仰適性"]</t>
  </si>
  <si>
    <t>/assets/images/role/吸血鬼.webp</t>
  </si>
  <si>
    <t>継戦吸収型の技巧種族。</t>
  </si>
  <si>
    <t>削り合いに強く、戦線維持能力が高い。瞬間火力よりも、戦闘テンポの主導権を握る運用向き。</t>
  </si>
  <si>
    <t>["自己回復","持久戦","夜戦適性"]</t>
  </si>
  <si>
    <t>蘇生</t>
    <rPh sb="0" eb="2">
      <t>ソセイ</t>
    </rPh>
    <phoneticPr fontId="2"/>
  </si>
  <si>
    <t>死者復活</t>
    <rPh sb="0" eb="2">
      <t>シシャ</t>
    </rPh>
    <rPh sb="2" eb="4">
      <t>フッカツ</t>
    </rPh>
    <phoneticPr fontId="2"/>
  </si>
  <si>
    <t>完全蘇生</t>
    <rPh sb="0" eb="2">
      <t>カンゼン</t>
    </rPh>
    <rPh sb="2" eb="4">
      <t>ソセイ</t>
    </rPh>
    <phoneticPr fontId="2"/>
  </si>
  <si>
    <t>リザレクション</t>
    <phoneticPr fontId="2"/>
  </si>
  <si>
    <t>レイズデッド</t>
    <phoneticPr fontId="2"/>
  </si>
  <si>
    <t>トゥルーリザレクション</t>
    <phoneticPr fontId="2"/>
  </si>
  <si>
    <t>A</t>
    <phoneticPr fontId="2"/>
  </si>
  <si>
    <t>ID</t>
  </si>
  <si>
    <t>生成対象</t>
  </si>
  <si>
    <t>生成順</t>
  </si>
  <si>
    <t>生成色</t>
  </si>
  <si>
    <t>生成重み</t>
  </si>
  <si>
    <t>生成略称</t>
  </si>
  <si>
    <t>休火山候補率</t>
  </si>
  <si>
    <t>別名</t>
  </si>
  <si>
    <t>ターンダメージ最大HP率</t>
  </si>
  <si>
    <t>ターンダメージ耐性</t>
  </si>
  <si>
    <t>出現敵:平地:ホーク:5:8</t>
    <phoneticPr fontId="2"/>
  </si>
  <si>
    <t>出現敵:平地:スネーク:4:7</t>
    <phoneticPr fontId="2"/>
  </si>
  <si>
    <t>出現敵:平地:アンケグ::</t>
    <phoneticPr fontId="2"/>
  </si>
  <si>
    <t>出現敵:平地:ブレット::</t>
    <phoneticPr fontId="2"/>
  </si>
  <si>
    <t>出現敵:平地:マンティコア:12:15</t>
    <phoneticPr fontId="2"/>
  </si>
  <si>
    <t>出現敵:平地:ディスプレイサービースト:12:15</t>
    <phoneticPr fontId="2"/>
  </si>
  <si>
    <t>出現敵:平地:ワイバーン:15:20</t>
    <phoneticPr fontId="2"/>
  </si>
  <si>
    <t>出現敵:荒野:ウルフ:5:8</t>
    <phoneticPr fontId="2"/>
  </si>
  <si>
    <t>出現敵:荒野:スネーク:4:7</t>
    <phoneticPr fontId="2"/>
  </si>
  <si>
    <t>出現敵:荒野:クロコダイル:7:9</t>
    <phoneticPr fontId="2"/>
  </si>
  <si>
    <t>出現敵:荒野:デザートワーム:8:12</t>
    <phoneticPr fontId="2"/>
  </si>
  <si>
    <t>出現敵:荒野:マンティコア:12:15</t>
    <phoneticPr fontId="2"/>
  </si>
  <si>
    <t>出現敵:荒野:ディスプレイサービースト:12:15</t>
    <phoneticPr fontId="2"/>
  </si>
  <si>
    <t>出現敵:荒野:ワイバーン:15:20</t>
    <phoneticPr fontId="2"/>
  </si>
  <si>
    <t>出現敵:砂漠:マミー::</t>
    <phoneticPr fontId="2"/>
  </si>
  <si>
    <t>出現敵:砂漠:ラミア::</t>
    <phoneticPr fontId="2"/>
  </si>
  <si>
    <t>出現敵:砂漠:ブルードラゴン::</t>
    <phoneticPr fontId="2"/>
  </si>
  <si>
    <t>出現敵:砂漠:パープルワーム::</t>
    <phoneticPr fontId="2"/>
  </si>
  <si>
    <t>出現敵:砂漠:ジャイアントスコーピオン::</t>
    <phoneticPr fontId="2"/>
  </si>
  <si>
    <t>出現敵:砂漠:スフィンクス::</t>
    <phoneticPr fontId="2"/>
  </si>
  <si>
    <t>出現敵:砂漠:サンドエレメンタル::</t>
    <phoneticPr fontId="2"/>
  </si>
  <si>
    <t>出現敵:砂漠:デザートワーム::</t>
    <phoneticPr fontId="2"/>
  </si>
  <si>
    <t>出現敵:砂漠:デザートレイス::</t>
    <phoneticPr fontId="2"/>
  </si>
  <si>
    <t>出現敵:森:ドライアド::</t>
    <phoneticPr fontId="2"/>
  </si>
  <si>
    <t>出現敵:森:トレント::</t>
    <phoneticPr fontId="2"/>
  </si>
  <si>
    <t>出現敵:森:アウルベア:15:25</t>
    <phoneticPr fontId="2"/>
  </si>
  <si>
    <t>出現敵:森:グリーンハグ::</t>
    <phoneticPr fontId="2"/>
  </si>
  <si>
    <t>出現敵:森:シャンブリングマウンド::</t>
    <phoneticPr fontId="2"/>
  </si>
  <si>
    <t>出現敵:森:レシー::</t>
    <phoneticPr fontId="2"/>
  </si>
  <si>
    <t>出現敵:森:ニンフ::</t>
    <phoneticPr fontId="2"/>
  </si>
  <si>
    <t>出現敵:森:フェアリードラゴン::</t>
    <phoneticPr fontId="2"/>
  </si>
  <si>
    <t>出現敵:森:タイガー:9:15</t>
    <phoneticPr fontId="2"/>
  </si>
  <si>
    <t>出現敵:森:ウルフ:9:15</t>
    <phoneticPr fontId="2"/>
  </si>
  <si>
    <t>出現敵:沼地:ブラックドラゴン::</t>
    <phoneticPr fontId="2"/>
  </si>
  <si>
    <t>出現敵:沼地:シャンブリングマウンド::</t>
    <phoneticPr fontId="2"/>
  </si>
  <si>
    <t>出現敵:沼地:ウィルオウィスプ::</t>
    <phoneticPr fontId="2"/>
  </si>
  <si>
    <t>出現敵:沼地:トロル::</t>
    <phoneticPr fontId="2"/>
  </si>
  <si>
    <t>出現敵:沼地:ハイドラ::</t>
    <phoneticPr fontId="2"/>
  </si>
  <si>
    <t>出現敵:沼地:マッドゴーレム::</t>
    <phoneticPr fontId="2"/>
  </si>
  <si>
    <t>出現敵:沼地:スワンプドラゴン::</t>
    <phoneticPr fontId="2"/>
  </si>
  <si>
    <t>出現敵:丘陵:グリフォン:8:12</t>
    <phoneticPr fontId="2"/>
  </si>
  <si>
    <t>出現敵:丘陵:ホーク:10:15</t>
    <phoneticPr fontId="2"/>
  </si>
  <si>
    <t>出現敵:丘陵:アースエレメンタル:7:12</t>
    <phoneticPr fontId="2"/>
  </si>
  <si>
    <t>出現敵:丘陵:キメラ:14:18</t>
    <phoneticPr fontId="2"/>
  </si>
  <si>
    <t>出現敵:丘陵:ブレット::</t>
    <phoneticPr fontId="2"/>
  </si>
  <si>
    <t>出現敵:丘陵:ヒルジャイアント::</t>
    <phoneticPr fontId="2"/>
  </si>
  <si>
    <t>出現敵:丘陵:マンティコア::</t>
    <phoneticPr fontId="2"/>
  </si>
  <si>
    <t>出現敵:丘陵:ワイバーン:15:20</t>
    <phoneticPr fontId="2"/>
  </si>
  <si>
    <t>出現敵:山岳:サンダーバード:15:25</t>
    <phoneticPr fontId="2"/>
  </si>
  <si>
    <t>出現敵:山岳:アースエレメンタル:15:20</t>
    <phoneticPr fontId="2"/>
  </si>
  <si>
    <t>出現敵:山岳:ロックベア:25:30</t>
    <phoneticPr fontId="2"/>
  </si>
  <si>
    <t>出現敵:山岳:ストーンジャイアント::</t>
    <phoneticPr fontId="2"/>
  </si>
  <si>
    <t>出現敵:山岳:フロストジャイアント::</t>
    <phoneticPr fontId="2"/>
  </si>
  <si>
    <t>出現敵:山岳:ローパー::</t>
    <phoneticPr fontId="2"/>
  </si>
  <si>
    <t>出現敵:山岳:レッドドラゴン::</t>
    <phoneticPr fontId="2"/>
  </si>
  <si>
    <t>出現敵:山岳:ロック::</t>
    <phoneticPr fontId="2"/>
  </si>
  <si>
    <t>出現敵:山岳:バシリスク::</t>
    <phoneticPr fontId="2"/>
  </si>
  <si>
    <t>出現敵:峡谷:ローパー::</t>
    <phoneticPr fontId="2"/>
  </si>
  <si>
    <t>出現敵:峡谷:ワイバーン::</t>
    <phoneticPr fontId="2"/>
  </si>
  <si>
    <t>出現敵:峡谷:マンティコア::</t>
    <phoneticPr fontId="2"/>
  </si>
  <si>
    <t>出現敵:峡谷:ストーンジャイアント::</t>
    <phoneticPr fontId="2"/>
  </si>
  <si>
    <t>出現敵:峡谷:ハーピー::</t>
    <phoneticPr fontId="2"/>
  </si>
  <si>
    <t>出現敵:洞窟:ビホルダー::</t>
    <phoneticPr fontId="2"/>
  </si>
  <si>
    <t>出現敵:洞窟:マインドフレイヤー::</t>
    <phoneticPr fontId="2"/>
  </si>
  <si>
    <t>出現敵:洞窟:アンケグ::</t>
    <phoneticPr fontId="2"/>
  </si>
  <si>
    <t>出現敵:洞窟:ローパー::</t>
    <phoneticPr fontId="2"/>
  </si>
  <si>
    <t>出現敵:洞窟:バシリスク::</t>
    <phoneticPr fontId="2"/>
  </si>
  <si>
    <t>出現敵:洞窟:パープルワーム::</t>
    <phoneticPr fontId="2"/>
  </si>
  <si>
    <t>出現敵:河川:ウォーターエレメンタル:5:10</t>
    <phoneticPr fontId="2"/>
  </si>
  <si>
    <t>出現敵:河川:ポイズンスネーク:7:10</t>
    <phoneticPr fontId="2"/>
  </si>
  <si>
    <t>出現敵:湖:ウォーターエレメンタル:15:30</t>
    <phoneticPr fontId="2"/>
  </si>
  <si>
    <t>出現敵:湖:シーサーペント:15:20</t>
    <phoneticPr fontId="2"/>
  </si>
  <si>
    <t>出現敵:海:シーサーペント:5:20</t>
    <phoneticPr fontId="2"/>
  </si>
  <si>
    <t>出現敵:海:ウォーターエレメンタル:15:30</t>
    <phoneticPr fontId="2"/>
  </si>
  <si>
    <t>出現敵:火山:レッドドラゴン::</t>
    <phoneticPr fontId="2"/>
  </si>
  <si>
    <t>出現敵:火山:ファイアエレメンタル:15:30</t>
    <phoneticPr fontId="2"/>
  </si>
  <si>
    <t>出現敵:火山:サラマンダー::</t>
    <phoneticPr fontId="2"/>
  </si>
  <si>
    <t>出現敵:溶岩:ファイアエレメンタル:10:15</t>
    <phoneticPr fontId="2"/>
  </si>
  <si>
    <t>出現敵:溶岩:マグマエレメンタル::</t>
    <phoneticPr fontId="2"/>
  </si>
  <si>
    <t>出現敵:溶岩:ラヴァスライム::</t>
    <phoneticPr fontId="2"/>
  </si>
  <si>
    <t>出現敵:雪原:フロストジャイアント::</t>
    <phoneticPr fontId="2"/>
  </si>
  <si>
    <t>出現敵:雪原:イエティ::</t>
    <phoneticPr fontId="2"/>
  </si>
  <si>
    <t>出現敵:雪原:ウィンターウルフ::</t>
    <phoneticPr fontId="2"/>
  </si>
  <si>
    <t>出現敵:雪原:フロストエレメンタル:15:25</t>
    <phoneticPr fontId="2"/>
  </si>
  <si>
    <t>識別キー</t>
  </si>
  <si>
    <t>規模Lv</t>
  </si>
  <si>
    <t>規模下限人口</t>
  </si>
  <si>
    <t>ネームド上限</t>
  </si>
  <si>
    <t>表示画像</t>
  </si>
  <si>
    <t>表示サイズ</t>
  </si>
  <si>
    <t>1マス収容人数</t>
  </si>
  <si>
    <t>占有マス数</t>
  </si>
  <si>
    <t>品質キー</t>
  </si>
  <si>
    <t>品質名</t>
  </si>
  <si>
    <t>品質略称</t>
  </si>
  <si>
    <t>品質倍率</t>
  </si>
  <si>
    <t>基本発生率</t>
  </si>
  <si>
    <t>初期判定ターン数</t>
  </si>
  <si>
    <t>影響半径</t>
  </si>
  <si>
    <t>溶岩最大進行マス</t>
  </si>
  <si>
    <t>溶岩停止率</t>
  </si>
  <si>
    <t>溶岩方向維持角度</t>
  </si>
  <si>
    <t>周囲産出倍率</t>
  </si>
  <si>
    <t>効果継続ターン</t>
  </si>
  <si>
    <t>人口減少最小</t>
  </si>
  <si>
    <t>人口減少最大</t>
  </si>
  <si>
    <t>治安減少</t>
  </si>
  <si>
    <t>#b6cc71</t>
    <phoneticPr fontId="2"/>
  </si>
  <si>
    <t>平</t>
    <phoneticPr fontId="2"/>
  </si>
  <si>
    <t>基本</t>
    <phoneticPr fontId="2"/>
  </si>
  <si>
    <t>#7fa56a</t>
    <phoneticPr fontId="2"/>
  </si>
  <si>
    <t>森</t>
    <phoneticPr fontId="2"/>
  </si>
  <si>
    <t>#a49367</t>
    <phoneticPr fontId="2"/>
  </si>
  <si>
    <t>丘</t>
    <phoneticPr fontId="2"/>
  </si>
  <si>
    <t>#8b847d</t>
    <phoneticPr fontId="2"/>
  </si>
  <si>
    <t>山</t>
    <phoneticPr fontId="2"/>
  </si>
  <si>
    <t>#6ea5d1</t>
    <phoneticPr fontId="2"/>
  </si>
  <si>
    <t>湖</t>
    <phoneticPr fontId="2"/>
  </si>
  <si>
    <t>#78aed8</t>
    <phoneticPr fontId="2"/>
  </si>
  <si>
    <t>川</t>
    <phoneticPr fontId="2"/>
  </si>
  <si>
    <t>河</t>
    <phoneticPr fontId="2"/>
  </si>
  <si>
    <t>#4f88ba</t>
    <phoneticPr fontId="2"/>
  </si>
  <si>
    <t>海</t>
    <phoneticPr fontId="2"/>
  </si>
  <si>
    <t>#d9c98b</t>
    <phoneticPr fontId="2"/>
  </si>
  <si>
    <t>荒</t>
    <phoneticPr fontId="2"/>
  </si>
  <si>
    <t>#d8be76</t>
    <phoneticPr fontId="2"/>
  </si>
  <si>
    <t>砂</t>
    <phoneticPr fontId="2"/>
  </si>
  <si>
    <t>特殊</t>
    <phoneticPr fontId="2"/>
  </si>
  <si>
    <t>沼</t>
    <phoneticPr fontId="2"/>
  </si>
  <si>
    <t>渓谷</t>
    <phoneticPr fontId="2"/>
  </si>
  <si>
    <t>洞</t>
    <phoneticPr fontId="2"/>
  </si>
  <si>
    <t>#cfdbe8</t>
    <phoneticPr fontId="2"/>
  </si>
  <si>
    <t>雪</t>
    <phoneticPr fontId="2"/>
  </si>
  <si>
    <t>#7e4f45</t>
    <phoneticPr fontId="2"/>
  </si>
  <si>
    <t>火</t>
    <phoneticPr fontId="2"/>
  </si>
  <si>
    <t>炎耐性</t>
    <phoneticPr fontId="2"/>
  </si>
  <si>
    <t>拠点規模</t>
    <phoneticPr fontId="2"/>
  </si>
  <si>
    <t>village</t>
    <phoneticPr fontId="2"/>
  </si>
  <si>
    <t>村</t>
    <phoneticPr fontId="2"/>
  </si>
  <si>
    <t>town</t>
    <phoneticPr fontId="2"/>
  </si>
  <si>
    <t>町</t>
    <phoneticPr fontId="2"/>
  </si>
  <si>
    <t>city</t>
    <phoneticPr fontId="2"/>
  </si>
  <si>
    <t>都市</t>
    <phoneticPr fontId="2"/>
  </si>
  <si>
    <t>metropolis</t>
    <phoneticPr fontId="2"/>
  </si>
  <si>
    <t>大都市</t>
    <phoneticPr fontId="2"/>
  </si>
  <si>
    <t>common</t>
    <phoneticPr fontId="2"/>
  </si>
  <si>
    <t>コモン</t>
    <phoneticPr fontId="2"/>
  </si>
  <si>
    <t>C</t>
    <phoneticPr fontId="2"/>
  </si>
  <si>
    <t>uncommon</t>
    <phoneticPr fontId="2"/>
  </si>
  <si>
    <t>アンコモン</t>
    <phoneticPr fontId="2"/>
  </si>
  <si>
    <t>U</t>
    <phoneticPr fontId="2"/>
  </si>
  <si>
    <t>rare</t>
    <phoneticPr fontId="2"/>
  </si>
  <si>
    <t>レア</t>
    <phoneticPr fontId="2"/>
  </si>
  <si>
    <t>R</t>
    <phoneticPr fontId="2"/>
  </si>
  <si>
    <t>epic</t>
    <phoneticPr fontId="2"/>
  </si>
  <si>
    <t>エピック</t>
    <phoneticPr fontId="2"/>
  </si>
  <si>
    <t>E</t>
    <phoneticPr fontId="2"/>
  </si>
  <si>
    <t>legendary</t>
    <phoneticPr fontId="2"/>
  </si>
  <si>
    <t>レジェンダリー</t>
    <phoneticPr fontId="2"/>
  </si>
  <si>
    <t>L</t>
    <phoneticPr fontId="2"/>
  </si>
  <si>
    <t>災害:山火事</t>
    <phoneticPr fontId="2"/>
  </si>
  <si>
    <t>災害:洪水</t>
    <phoneticPr fontId="2"/>
  </si>
  <si>
    <t>災害:干ばつ</t>
    <phoneticPr fontId="2"/>
  </si>
  <si>
    <t>災害:暴風</t>
    <phoneticPr fontId="2"/>
  </si>
  <si>
    <t>災害:地震</t>
    <phoneticPr fontId="2"/>
  </si>
  <si>
    <t>災害:落雷嵐</t>
    <phoneticPr fontId="2"/>
  </si>
  <si>
    <t>災害:大寒波</t>
    <phoneticPr fontId="2"/>
  </si>
  <si>
    <t>災害:熱波</t>
    <phoneticPr fontId="2"/>
  </si>
  <si>
    <t>災害:火山噴火</t>
    <phoneticPr fontId="2"/>
  </si>
  <si>
    <t>災害:土砂崩れ</t>
    <phoneticPr fontId="2"/>
  </si>
  <si>
    <t>災害:闇侵食</t>
    <phoneticPr fontId="2"/>
  </si>
  <si>
    <t>災害:聖光暴発</t>
    <phoneticPr fontId="2"/>
  </si>
  <si>
    <t>災害:重力異常</t>
    <phoneticPr fontId="2"/>
  </si>
  <si>
    <t>災害:時間歪曲</t>
    <phoneticPr fontId="2"/>
  </si>
  <si>
    <t>災害:空間歪曲</t>
    <phoneticPr fontId="2"/>
  </si>
  <si>
    <t>災害:魂嵐</t>
    <phoneticPr fontId="2"/>
  </si>
  <si>
    <t>災害:瘴気</t>
    <phoneticPr fontId="2"/>
  </si>
  <si>
    <t>災害:疫病</t>
    <phoneticPr fontId="2"/>
  </si>
  <si>
    <t>災害:反乱</t>
    <phoneticPr fontId="2"/>
  </si>
  <si>
    <t>災害:飢饉</t>
    <phoneticPr fontId="2"/>
  </si>
  <si>
    <t>災害:資源枯渇</t>
    <phoneticPr fontId="2"/>
  </si>
  <si>
    <t>災害:信仰崩壊</t>
    <phoneticPr fontId="2"/>
  </si>
  <si>
    <t>災害:経済恐慌</t>
    <phoneticPr fontId="2"/>
  </si>
  <si>
    <t>災害:魔獣暴走</t>
    <phoneticPr fontId="2"/>
  </si>
  <si>
    <t>災害:流星落下</t>
    <phoneticPr fontId="2"/>
  </si>
  <si>
    <t>鍛冶Lv:1:武器製造効率Ⅰ</t>
    <phoneticPr fontId="2"/>
  </si>
  <si>
    <t>鍛冶Lv:1:防具製造効率Ⅰ</t>
    <phoneticPr fontId="2"/>
  </si>
  <si>
    <t>鍛冶Lv:1:鍛冶熟練Ⅰ</t>
    <phoneticPr fontId="2"/>
  </si>
  <si>
    <t>鍛冶Lv:2:製作効率Ⅰ</t>
    <phoneticPr fontId="2"/>
  </si>
  <si>
    <t>鍛冶Lv:2:鉄資源効率Ⅰ</t>
    <phoneticPr fontId="2"/>
  </si>
  <si>
    <t>鍛冶Lv:2:建築強化Ⅰ</t>
    <phoneticPr fontId="2"/>
  </si>
  <si>
    <t>鍛冶Lv:3:品質向上Ⅰ</t>
    <phoneticPr fontId="2"/>
  </si>
  <si>
    <t>鍛冶Lv:3:鍛造技術</t>
    <phoneticPr fontId="2"/>
  </si>
  <si>
    <t>鍛冶Lv:3:合金加工</t>
    <phoneticPr fontId="2"/>
  </si>
  <si>
    <t>鍛冶Lv:4:製作効率Ⅱ</t>
    <phoneticPr fontId="2"/>
  </si>
  <si>
    <t>鍛冶Lv:4:建築強化Ⅱ</t>
    <phoneticPr fontId="2"/>
  </si>
  <si>
    <t>鍛冶Lv:4:高級金属効率</t>
    <phoneticPr fontId="2"/>
  </si>
  <si>
    <t>魔法Lv:1:魔術強化Ⅰ</t>
  </si>
  <si>
    <t>魔法Lv:1:貴金属効率Ⅰ</t>
  </si>
  <si>
    <t>魔法Lv:1:魔術基礎教育Ⅰ</t>
  </si>
  <si>
    <t>魔法Lv:2:魔道具製作効率Ⅰ</t>
  </si>
  <si>
    <t>魔法Lv:2:貴金属採取Ⅰ</t>
  </si>
  <si>
    <t>魔法Lv:2:建築補助魔術Ⅰ</t>
  </si>
  <si>
    <t>魔法Lv:3:環境制御Ⅰ</t>
  </si>
  <si>
    <t>魔法Lv:3:魔術強化Ⅱ</t>
  </si>
  <si>
    <t>魔法Lv:3:魔法儀式</t>
  </si>
  <si>
    <t>魔法Lv:4:魔術強化Ⅲ</t>
  </si>
  <si>
    <t>魔法Lv:4:環境制御Ⅱ</t>
  </si>
  <si>
    <t>魔法Lv:4:大魔法儀式</t>
  </si>
  <si>
    <t>信仰Lv:1:信仰強化Ⅰ</t>
  </si>
  <si>
    <t>信仰Lv:1:穀物加護Ⅰ</t>
  </si>
  <si>
    <t>信仰Lv:1:信仰教育Ⅰ</t>
  </si>
  <si>
    <t>信仰Lv:2:聖具製作効率Ⅰ</t>
  </si>
  <si>
    <t>信仰Lv:2:野菜加護Ⅰ</t>
  </si>
  <si>
    <t>信仰Lv:2:神聖建築術Ⅰ</t>
  </si>
  <si>
    <t>信仰Lv:3:環境浄化Ⅰ</t>
  </si>
  <si>
    <t>信仰Lv:3:木材加護Ⅰ</t>
  </si>
  <si>
    <t>信仰Lv:3:信仰儀式</t>
  </si>
  <si>
    <t>信仰Lv:4:環境浄化Ⅱ</t>
  </si>
  <si>
    <t>信仰Lv:4:信仰強化Ⅱ</t>
  </si>
  <si>
    <t>信仰Lv:4:大信仰儀式</t>
  </si>
  <si>
    <t>軍事Lv:1:指揮訓練Ⅰ</t>
  </si>
  <si>
    <t>軍事Lv:1:編成拡張Ⅰ</t>
  </si>
  <si>
    <t>軍事Lv:1:軍事基礎教育Ⅰ</t>
  </si>
  <si>
    <t>軍事Lv:2:訓練効率化Ⅰ</t>
  </si>
  <si>
    <t>軍事Lv:2:兵站管理Ⅰ</t>
  </si>
  <si>
    <t>軍事Lv:2:騎兵運用</t>
  </si>
  <si>
    <t>軍事Lv:3:編成拡張Ⅱ</t>
  </si>
  <si>
    <t>軍事Lv:3:機動戦術Ⅰ</t>
  </si>
  <si>
    <t>軍事Lv:3:耐久訓練Ⅰ</t>
  </si>
  <si>
    <t>軍事Lv:4:指揮訓練Ⅱ</t>
  </si>
  <si>
    <t>軍事Lv:4:耐久訓練Ⅱ</t>
  </si>
  <si>
    <t>軍事Lv:4:連携攻撃</t>
  </si>
  <si>
    <t>経済Lv:1:建設効率Ⅰ</t>
  </si>
  <si>
    <t>経済Lv:1:住居整備Ⅰ</t>
  </si>
  <si>
    <t>経済Lv:1:経済基盤教育Ⅰ</t>
  </si>
  <si>
    <t>経済Lv:2:催事制度Ⅰ</t>
  </si>
  <si>
    <t>経済Lv:2:都市整備Ⅰ</t>
  </si>
  <si>
    <t>経済Lv:2:労働効率化Ⅰ</t>
  </si>
  <si>
    <t>経済Lv:3:高速道路</t>
  </si>
  <si>
    <t>経済Lv:3:高層住居</t>
  </si>
  <si>
    <t>経済Lv:3:市場制度</t>
  </si>
  <si>
    <t>経済Lv:4:建設効率Ⅱ</t>
  </si>
  <si>
    <t>経済Lv:4:都市整備Ⅱ</t>
  </si>
  <si>
    <t>経済Lv:4:労働効率化Ⅱ</t>
  </si>
  <si>
    <t>処理タイプ</t>
  </si>
  <si>
    <t>single</t>
  </si>
  <si>
    <t>line</t>
  </si>
  <si>
    <t>fan</t>
  </si>
  <si>
    <t>circle</t>
  </si>
  <si>
    <t>around</t>
  </si>
  <si>
    <t>front</t>
  </si>
  <si>
    <t>all</t>
  </si>
  <si>
    <t>使用者の前方へ扇状に放射する</t>
  </si>
  <si>
    <t>指定方向の複数マスへ散開して攻撃する</t>
  </si>
  <si>
    <t>指定方向へ縦一列を攻撃する</t>
  </si>
  <si>
    <t>指定地点を中心に円形範囲を攻撃する</t>
  </si>
  <si>
    <t>指定地点を中心に炸裂し周囲へ効果を与える</t>
  </si>
  <si>
    <t>遊泳</t>
    <phoneticPr fontId="2"/>
  </si>
  <si>
    <t>耐熱|炎耐性:100</t>
    <phoneticPr fontId="2"/>
  </si>
  <si>
    <t>都市不可。鉱石+大。噴火イベントあり。防御+15%。</t>
    <phoneticPr fontId="2"/>
  </si>
  <si>
    <t>蘇生_Lv-8</t>
  </si>
  <si>
    <t>蘇生_Lv-5</t>
  </si>
  <si>
    <t>蘇生_Lv-2</t>
  </si>
  <si>
    <t>工業</t>
    <phoneticPr fontId="2"/>
  </si>
  <si>
    <t>部隊への命令効率を高める。士気上昇量やバフ効果量が増加し、部隊スキルの性能が向上する。</t>
    <phoneticPr fontId="2"/>
  </si>
  <si>
    <t>技術</t>
    <phoneticPr fontId="2"/>
  </si>
  <si>
    <t>加工・生産効率を上昇させる。装備や施設の生産速度が向上する。</t>
    <phoneticPr fontId="2"/>
  </si>
  <si>
    <t>魔力</t>
    <rPh sb="0" eb="2">
      <t>マリョク</t>
    </rPh>
    <phoneticPr fontId="2"/>
  </si>
  <si>
    <t>精神攻撃</t>
    <rPh sb="0" eb="1">
      <t>セイ</t>
    </rPh>
    <rPh sb="2" eb="4">
      <t>コウゲキ</t>
    </rPh>
    <phoneticPr fontId="2"/>
  </si>
  <si>
    <t>精神攻撃耐性</t>
    <rPh sb="0" eb="2">
      <t>セイシン</t>
    </rPh>
    <rPh sb="2" eb="4">
      <t>コウゲキ</t>
    </rPh>
    <rPh sb="4" eb="6">
      <t>タイセイ</t>
    </rPh>
    <phoneticPr fontId="2"/>
  </si>
  <si>
    <t>攻撃手段:魔法 特殊:攻撃 炎+35 射程:10 判定:魔力</t>
  </si>
  <si>
    <t>攻撃手段:魔法 盲目+45 疲労+15 射程:10 範囲:炸裂 効果:設置</t>
  </si>
  <si>
    <t>攻撃手段:魔法 炎+28 効果:視認不可 射程:10</t>
  </si>
  <si>
    <t xml:space="preserve">攻撃手段:魔法 回復+35 効果:蘇生_Lv-8 射程:10 </t>
    <rPh sb="8" eb="10">
      <t>カイフク</t>
    </rPh>
    <rPh sb="14" eb="16">
      <t>コウカ</t>
    </rPh>
    <rPh sb="17" eb="19">
      <t>ソセイ</t>
    </rPh>
    <phoneticPr fontId="2"/>
  </si>
  <si>
    <t>攻撃手段:魔法 回復+75 効果:蘇生_Lv-5 射程:10</t>
    <rPh sb="8" eb="10">
      <t>カイフク</t>
    </rPh>
    <rPh sb="15" eb="17">
      <t>コウカ</t>
    </rPh>
    <rPh sb="18" eb="20">
      <t>ソセイ</t>
    </rPh>
    <phoneticPr fontId="2"/>
  </si>
  <si>
    <t xml:space="preserve">攻撃手段:魔法 炎+15 射程:10 炸裂:1 判定:魔力 追加威力:技術 </t>
    <rPh sb="0" eb="4">
      <t>コウゲキシュダン</t>
    </rPh>
    <rPh sb="5" eb="7">
      <t>マホウ</t>
    </rPh>
    <rPh sb="8" eb="9">
      <t>ホノオ</t>
    </rPh>
    <rPh sb="19" eb="21">
      <t>サクレツ</t>
    </rPh>
    <rPh sb="24" eb="26">
      <t>ハンテイ</t>
    </rPh>
    <rPh sb="27" eb="29">
      <t>マリョク</t>
    </rPh>
    <rPh sb="30" eb="34">
      <t>ツイカイリョク</t>
    </rPh>
    <rPh sb="35" eb="37">
      <t>ギジュツ</t>
    </rPh>
    <phoneticPr fontId="2"/>
  </si>
  <si>
    <t xml:space="preserve">攻撃手段:魔法 光+25 盲目+20 射程:10 判定:魔力 </t>
    <rPh sb="0" eb="4">
      <t>コウゲキシュダン</t>
    </rPh>
    <rPh sb="5" eb="7">
      <t>マホウ</t>
    </rPh>
    <rPh sb="8" eb="9">
      <t>ヒカリ</t>
    </rPh>
    <rPh sb="13" eb="15">
      <t>モウモク</t>
    </rPh>
    <rPh sb="25" eb="27">
      <t>ハンテイ</t>
    </rPh>
    <rPh sb="28" eb="30">
      <t>マリョク</t>
    </rPh>
    <phoneticPr fontId="2"/>
  </si>
  <si>
    <t>攻撃手段:魔法 回復+15 射程:10 追加威力:魔力</t>
    <rPh sb="0" eb="4">
      <t>コウゲキシュダン</t>
    </rPh>
    <rPh sb="5" eb="7">
      <t>マホウ</t>
    </rPh>
    <rPh sb="8" eb="10">
      <t>カイフク</t>
    </rPh>
    <rPh sb="20" eb="24">
      <t>ツイカイリョク</t>
    </rPh>
    <rPh sb="25" eb="27">
      <t>マリョク</t>
    </rPh>
    <phoneticPr fontId="2"/>
  </si>
  <si>
    <t>攻撃手段:魔法 炎+16 攻撃回数4 射程:20 範囲:散弾 判定:魔力</t>
  </si>
  <si>
    <t>攻撃手段:魔法 特殊:攻撃 炎+49 射程:20 炸裂:0.5 判定:魔力</t>
    <rPh sb="25" eb="27">
      <t>サクレツ</t>
    </rPh>
    <phoneticPr fontId="2"/>
  </si>
  <si>
    <t>攻撃手段:魔法 特殊:攻撃 炎+56 射程:20 炸裂1 判定:魔力</t>
    <rPh sb="25" eb="27">
      <t>サクレツ</t>
    </rPh>
    <phoneticPr fontId="2"/>
  </si>
  <si>
    <t>効果時間2t 攻撃手段:魔法 特殊:攻撃 炎+35 射程:20 範囲:ライン 判定:魔力</t>
  </si>
  <si>
    <t>攻撃手段:魔法 特殊:攻撃 打撃+25 炎+65 射程:20 炸裂:1 判定:魔力</t>
  </si>
  <si>
    <t>攻撃手段:魔法 特殊:攻撃 炎+95 射程:20 範囲:縦 判定:魔力</t>
  </si>
  <si>
    <t>攻撃手段:魔法 特殊:攻撃 炎+105 射程:20 範囲:爆発 判定:魔力</t>
  </si>
  <si>
    <t>攻撃手段:魔法 特殊:攻撃 炎+135 射程:20 範囲:爆発 判定:魔力</t>
  </si>
  <si>
    <t>攻撃手段:魔法 回復+100 効果:蘇生_Lv-2 射程:20 待機時間1t</t>
    <rPh sb="8" eb="10">
      <t>カイフク</t>
    </rPh>
    <rPh sb="23" eb="25">
      <t>コウカ</t>
    </rPh>
    <rPh sb="35" eb="37">
      <t>シャテイ</t>
    </rPh>
    <phoneticPr fontId="2"/>
  </si>
  <si>
    <t>攻撃手段:魔法 物理+10 拘束+30 射程:20 判定:魔力</t>
    <rPh sb="0" eb="4">
      <t>コウゲキシュダン</t>
    </rPh>
    <rPh sb="5" eb="7">
      <t>マホウ</t>
    </rPh>
    <rPh sb="8" eb="10">
      <t>ブツリ</t>
    </rPh>
    <rPh sb="14" eb="16">
      <t>コウソク</t>
    </rPh>
    <rPh sb="26" eb="28">
      <t>ハンテイ</t>
    </rPh>
    <rPh sb="29" eb="31">
      <t>マリョク</t>
    </rPh>
    <phoneticPr fontId="2"/>
  </si>
  <si>
    <t>攻撃手段:吐息 打撃+25 怯み+15 射程:20 範囲:放射</t>
    <rPh sb="8" eb="10">
      <t>ダゲキ</t>
    </rPh>
    <rPh sb="14" eb="15">
      <t>ヒル</t>
    </rPh>
    <phoneticPr fontId="2"/>
  </si>
  <si>
    <t>攻撃手段:吐息 毒+30 射程:20</t>
    <rPh sb="0" eb="4">
      <t>コウゲキシュダン</t>
    </rPh>
    <rPh sb="5" eb="7">
      <t>トイキ</t>
    </rPh>
    <rPh sb="8" eb="9">
      <t>ドク</t>
    </rPh>
    <phoneticPr fontId="2"/>
  </si>
  <si>
    <t>攻撃手段:魔法 特殊:攻撃 炎+115 射程:40 範囲:全体 判定:魔力</t>
  </si>
  <si>
    <t>変換レイヤー</t>
    <phoneticPr fontId="2"/>
  </si>
  <si>
    <t>勢力配置区分</t>
    <phoneticPr fontId="2"/>
  </si>
  <si>
    <t>ジオマンサー</t>
    <phoneticPr fontId="2"/>
  </si>
  <si>
    <t>開拓者</t>
    <rPh sb="0" eb="3">
      <t>カイタクシャ</t>
    </rPh>
    <phoneticPr fontId="2"/>
  </si>
  <si>
    <t>薬草繁茂</t>
    <phoneticPr fontId="2"/>
  </si>
  <si>
    <t>平地化</t>
  </si>
  <si>
    <t>森化</t>
  </si>
  <si>
    <t>山岳化</t>
  </si>
  <si>
    <t>丘陵化</t>
  </si>
  <si>
    <t>河川化</t>
  </si>
  <si>
    <t>湖化</t>
  </si>
  <si>
    <t>海化</t>
  </si>
  <si>
    <t>砂漠化</t>
  </si>
  <si>
    <t>沼地化</t>
  </si>
  <si>
    <t>薬草繁茂化</t>
  </si>
  <si>
    <t>峡谷化</t>
  </si>
  <si>
    <t>洞窟化</t>
  </si>
  <si>
    <t>雪原化</t>
  </si>
  <si>
    <t>火山化</t>
  </si>
  <si>
    <t>溶岩化</t>
  </si>
  <si>
    <t>死の霧化</t>
  </si>
  <si>
    <t>平地_変換</t>
  </si>
  <si>
    <t>森_変換</t>
  </si>
  <si>
    <t>山岳_変換</t>
  </si>
  <si>
    <t>丘陵_変換</t>
  </si>
  <si>
    <t>河川_変換</t>
  </si>
  <si>
    <t>湖_変換</t>
  </si>
  <si>
    <t>海_変換</t>
  </si>
  <si>
    <t>砂漠_変換</t>
  </si>
  <si>
    <t>沼地_変換</t>
  </si>
  <si>
    <t>薬草繁茂_変換</t>
  </si>
  <si>
    <t>峡谷_変換</t>
  </si>
  <si>
    <t>洞窟_変換</t>
  </si>
  <si>
    <t>雪原_変換</t>
  </si>
  <si>
    <t>火山_変換</t>
  </si>
  <si>
    <t>溶岩_変換</t>
  </si>
  <si>
    <t>死の霧_変換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</si>
</sst>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19" x14ac:knownFonts="1">
    <font>
      <sz val="11"/>
      <color theme="1"/>
      <name val="游ゴシック"/>
      <family val="2"/>
      <charset val="128"/>
      <scheme val="minor"/>
    </font>
    <font>
      <b/>
      <sz val="11"/>
      <color theme="1"/>
      <name val="游ゴシック"/>
      <family val="2"/>
      <charset val="128"/>
      <scheme val="minor"/>
    </font>
    <font>
      <sz val="6"/>
      <name val="游ゴシック"/>
      <family val="2"/>
      <charset val="128"/>
      <scheme val="minor"/>
    </font>
    <font>
      <sz val="10"/>
      <color theme="1"/>
      <name val="ＭＳ Ｐゴシック"/>
      <family val="3"/>
      <charset val="128"/>
    </font>
    <font>
      <b/>
      <sz val="11"/>
      <color theme="1"/>
      <name val="游ゴシック"/>
      <family val="3"/>
      <charset val="128"/>
      <scheme val="minor"/>
    </font>
    <font>
      <b/>
      <sz val="11"/>
      <color theme="9" tint="-0.249977111117893"/>
      <name val="游ゴシック"/>
      <family val="3"/>
      <charset val="128"/>
      <scheme val="minor"/>
    </font>
    <font>
      <b/>
      <sz val="11"/>
      <color theme="1" tint="4.9989318521683403E-2"/>
      <name val="游ゴシック"/>
      <family val="3"/>
      <charset val="128"/>
      <scheme val="minor"/>
    </font>
    <font>
      <b/>
      <sz val="11"/>
      <color theme="4" tint="-0.499984740745262"/>
      <name val="游ゴシック"/>
      <family val="3"/>
      <charset val="128"/>
      <scheme val="minor"/>
    </font>
    <font>
      <b/>
      <sz val="20"/>
      <color theme="1"/>
      <name val="游ゴシック"/>
      <family val="3"/>
      <charset val="128"/>
      <scheme val="minor"/>
    </font>
    <font>
      <b/>
      <sz val="11"/>
      <color theme="8"/>
      <name val="游ゴシック"/>
      <family val="3"/>
      <charset val="128"/>
      <scheme val="minor"/>
    </font>
    <font>
      <b/>
      <sz val="11"/>
      <name val="游ゴシック"/>
      <family val="3"/>
      <charset val="128"/>
      <scheme val="minor"/>
    </font>
    <font>
      <sz val="10"/>
      <color theme="1"/>
      <name val="Arial"/>
      <family val="2"/>
    </font>
    <font>
      <sz val="11"/>
      <name val="Consolas"/>
      <family val="3"/>
    </font>
    <font>
      <sz val="11"/>
      <name val="ＭＳ 明朝"/>
      <family val="1"/>
      <charset val="128"/>
    </font>
    <font>
      <b/>
      <sz val="11"/>
      <name val="ＭＳ Ｐゴシック"/>
      <family val="3"/>
      <charset val="128"/>
    </font>
    <font>
      <b/>
      <sz val="11"/>
      <color theme="1"/>
      <name val="ＭＳ Ｐゴシック"/>
      <family val="3"/>
      <charset val="128"/>
    </font>
    <font>
      <b/>
      <sz val="8"/>
      <color theme="1"/>
      <name val="游ゴシック"/>
      <family val="3"/>
      <charset val="128"/>
      <scheme val="minor"/>
    </font>
    <font>
      <b/>
      <sz val="11"/>
      <color rgb="FFFFFF00"/>
      <name val="游ゴシック"/>
      <family val="3"/>
      <charset val="128"/>
      <scheme val="minor"/>
    </font>
    <font>
      <sz val="8"/>
      <color theme="1"/>
      <name val="游ゴシック"/>
      <family val="3"/>
      <charset val="128"/>
      <scheme val="minor"/>
    </font>
  </fonts>
  <fills count="16">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EF75"/>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3300"/>
        <bgColor indexed="64"/>
      </patternFill>
    </fill>
  </fills>
  <borders count="12">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CCCCCC"/>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alignment vertical="center"/>
    </xf>
  </cellStyleXfs>
  <cellXfs count="85">
    <xf numFmtId="0" fontId="0" fillId="0" borderId="0" xfId="0">
      <alignment vertical="center"/>
    </xf>
    <xf numFmtId="0" fontId="3"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3" borderId="1" xfId="0" applyFont="1" applyFill="1" applyBorder="1" applyAlignment="1">
      <alignment vertical="top" wrapText="1"/>
    </xf>
    <xf numFmtId="0" fontId="4" fillId="6" borderId="1" xfId="0" applyFont="1" applyFill="1" applyBorder="1" applyAlignment="1">
      <alignment horizontal="center" vertical="center" wrapText="1"/>
    </xf>
    <xf numFmtId="0" fontId="4" fillId="0" borderId="0" xfId="0" applyFont="1" applyAlignment="1">
      <alignment horizontal="center" vertical="center"/>
    </xf>
    <xf numFmtId="0" fontId="7"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0" fontId="4" fillId="6" borderId="1" xfId="0" applyFont="1" applyFill="1" applyBorder="1" applyAlignment="1">
      <alignment horizontal="left" vertical="top" wrapText="1"/>
    </xf>
    <xf numFmtId="9" fontId="4" fillId="0" borderId="0" xfId="0" applyNumberFormat="1" applyFont="1">
      <alignment vertical="center"/>
    </xf>
    <xf numFmtId="0" fontId="5" fillId="0" borderId="0" xfId="0" applyFont="1" applyAlignment="1">
      <alignment horizontal="center" vertical="center"/>
    </xf>
    <xf numFmtId="0" fontId="6" fillId="3" borderId="1" xfId="0" applyFont="1" applyFill="1" applyBorder="1">
      <alignment vertical="center"/>
    </xf>
    <xf numFmtId="0" fontId="7" fillId="0" borderId="0" xfId="0" applyFont="1">
      <alignment vertical="center"/>
    </xf>
    <xf numFmtId="0" fontId="8" fillId="0" borderId="0" xfId="0" applyFont="1" applyAlignment="1">
      <alignment vertical="center" wrapText="1"/>
    </xf>
    <xf numFmtId="0" fontId="0" fillId="0" borderId="0" xfId="0" applyAlignment="1">
      <alignment vertical="center" wrapText="1"/>
    </xf>
    <xf numFmtId="0" fontId="4" fillId="7" borderId="1" xfId="0" applyFont="1" applyFill="1" applyBorder="1" applyAlignment="1">
      <alignment vertical="top" wrapText="1"/>
    </xf>
    <xf numFmtId="0" fontId="4" fillId="7" borderId="1" xfId="0" applyFont="1" applyFill="1" applyBorder="1">
      <alignment vertical="center"/>
    </xf>
    <xf numFmtId="0" fontId="9" fillId="8" borderId="0" xfId="0" applyFont="1" applyFill="1" applyAlignment="1">
      <alignment vertical="center" wrapText="1"/>
    </xf>
    <xf numFmtId="0" fontId="4" fillId="7" borderId="0" xfId="0" applyFont="1" applyFill="1" applyAlignment="1">
      <alignment vertical="top" wrapText="1"/>
    </xf>
    <xf numFmtId="0" fontId="4" fillId="2" borderId="0" xfId="0" applyFont="1" applyFill="1" applyAlignment="1">
      <alignment vertical="center" wrapText="1"/>
    </xf>
    <xf numFmtId="0" fontId="1" fillId="0" borderId="0" xfId="0" applyFont="1" applyAlignment="1">
      <alignment vertical="top" wrapText="1"/>
    </xf>
    <xf numFmtId="0" fontId="0" fillId="4" borderId="0" xfId="0" applyFill="1">
      <alignment vertical="center"/>
    </xf>
    <xf numFmtId="0" fontId="4" fillId="4" borderId="0" xfId="0" applyFont="1" applyFill="1" applyAlignment="1">
      <alignment vertical="center" wrapText="1"/>
    </xf>
    <xf numFmtId="0" fontId="4" fillId="9" borderId="0" xfId="0" applyFont="1" applyFill="1" applyAlignment="1">
      <alignment vertical="center" wrapText="1"/>
    </xf>
    <xf numFmtId="0" fontId="4" fillId="5" borderId="0" xfId="0" applyFont="1" applyFill="1" applyAlignment="1">
      <alignment vertical="center" wrapText="1"/>
    </xf>
    <xf numFmtId="0" fontId="4" fillId="10" borderId="0" xfId="0" applyFont="1" applyFill="1" applyAlignment="1">
      <alignment vertical="center" wrapText="1"/>
    </xf>
    <xf numFmtId="0" fontId="4" fillId="11" borderId="0" xfId="0" applyFont="1" applyFill="1" applyAlignment="1">
      <alignment vertical="center" wrapText="1"/>
    </xf>
    <xf numFmtId="0" fontId="4" fillId="9" borderId="3" xfId="0" applyFont="1" applyFill="1" applyBorder="1" applyAlignment="1">
      <alignment vertical="center" wrapText="1"/>
    </xf>
    <xf numFmtId="0" fontId="4" fillId="5" borderId="3" xfId="0" applyFont="1" applyFill="1" applyBorder="1" applyAlignment="1">
      <alignment vertical="center" wrapText="1"/>
    </xf>
    <xf numFmtId="0" fontId="4" fillId="10" borderId="3" xfId="0" applyFont="1" applyFill="1" applyBorder="1" applyAlignment="1">
      <alignment vertical="center" wrapText="1"/>
    </xf>
    <xf numFmtId="0" fontId="4" fillId="7" borderId="3" xfId="0" applyFont="1" applyFill="1" applyBorder="1" applyAlignment="1">
      <alignment vertical="center" wrapText="1"/>
    </xf>
    <xf numFmtId="0" fontId="11" fillId="0" borderId="2" xfId="0" applyFont="1" applyBorder="1" applyAlignment="1">
      <alignment wrapText="1"/>
    </xf>
    <xf numFmtId="0" fontId="4" fillId="12" borderId="0" xfId="0" applyFont="1" applyFill="1" applyAlignment="1">
      <alignment vertical="center" wrapText="1"/>
    </xf>
    <xf numFmtId="0" fontId="0" fillId="12" borderId="0" xfId="0" applyFill="1">
      <alignment vertical="center"/>
    </xf>
    <xf numFmtId="0" fontId="10" fillId="7" borderId="0" xfId="0" applyFont="1" applyFill="1" applyAlignment="1">
      <alignment vertical="center" wrapText="1"/>
    </xf>
    <xf numFmtId="0" fontId="1" fillId="2" borderId="0" xfId="0" applyFont="1" applyFill="1" applyAlignment="1">
      <alignment vertical="top" wrapText="1"/>
    </xf>
    <xf numFmtId="9" fontId="0" fillId="0" borderId="0" xfId="0" applyNumberFormat="1">
      <alignment vertical="center"/>
    </xf>
    <xf numFmtId="49" fontId="12" fillId="0" borderId="0" xfId="0" applyNumberFormat="1" applyFont="1">
      <alignment vertical="center"/>
    </xf>
    <xf numFmtId="49" fontId="13" fillId="0" borderId="0" xfId="0" applyNumberFormat="1" applyFont="1">
      <alignment vertical="center"/>
    </xf>
    <xf numFmtId="0" fontId="0" fillId="13" borderId="0" xfId="0" applyFill="1">
      <alignment vertical="center"/>
    </xf>
    <xf numFmtId="0" fontId="0" fillId="3" borderId="0" xfId="0" applyFill="1">
      <alignment vertical="center"/>
    </xf>
    <xf numFmtId="0" fontId="0" fillId="14" borderId="0" xfId="0" applyFill="1">
      <alignment vertical="center"/>
    </xf>
    <xf numFmtId="0" fontId="12" fillId="0" borderId="0" xfId="0" applyFont="1">
      <alignment vertical="center"/>
    </xf>
    <xf numFmtId="49" fontId="14" fillId="0" borderId="0" xfId="0" applyNumberFormat="1" applyFont="1" applyAlignment="1">
      <alignment vertical="center" wrapText="1"/>
    </xf>
    <xf numFmtId="0" fontId="1" fillId="0" borderId="0" xfId="0" applyFont="1" applyAlignment="1">
      <alignment vertical="center" wrapText="1"/>
    </xf>
    <xf numFmtId="49" fontId="14" fillId="0" borderId="0" xfId="0" applyNumberFormat="1" applyFont="1">
      <alignment vertical="center"/>
    </xf>
    <xf numFmtId="0" fontId="15" fillId="0" borderId="0" xfId="0" applyFont="1">
      <alignment vertical="center"/>
    </xf>
    <xf numFmtId="0" fontId="15" fillId="0" borderId="0" xfId="0" applyFont="1" applyAlignment="1">
      <alignment vertical="center" wrapText="1"/>
    </xf>
    <xf numFmtId="0" fontId="16" fillId="0" borderId="0" xfId="0" applyFont="1" applyAlignment="1">
      <alignment vertical="center" wrapText="1"/>
    </xf>
    <xf numFmtId="0" fontId="0" fillId="0" borderId="0" xfId="0" applyAlignment="1">
      <alignment horizontal="right" vertical="center" wrapText="1"/>
    </xf>
    <xf numFmtId="0" fontId="4" fillId="0" borderId="0" xfId="0" applyFont="1" applyAlignment="1">
      <alignment horizontal="right" vertical="center" wrapText="1"/>
    </xf>
    <xf numFmtId="0" fontId="14" fillId="0" borderId="0" xfId="0" applyFont="1">
      <alignment vertical="center"/>
    </xf>
    <xf numFmtId="0" fontId="0" fillId="4" borderId="0" xfId="0" applyFill="1" applyAlignment="1">
      <alignment vertical="center" wrapText="1"/>
    </xf>
    <xf numFmtId="0" fontId="17" fillId="15" borderId="0" xfId="0" applyFont="1" applyFill="1">
      <alignment vertical="center"/>
    </xf>
    <xf numFmtId="0" fontId="0" fillId="13" borderId="0" xfId="0" applyFill="1" applyAlignment="1">
      <alignment vertical="center" wrapText="1"/>
    </xf>
    <xf numFmtId="0" fontId="0" fillId="14" borderId="0" xfId="0" applyFill="1" applyAlignment="1">
      <alignment vertical="center" wrapText="1"/>
    </xf>
    <xf numFmtId="0" fontId="6" fillId="3" borderId="0" xfId="0" applyFont="1" applyFill="1" applyAlignment="1">
      <alignment vertical="top" wrapText="1"/>
    </xf>
    <xf numFmtId="0" fontId="18" fillId="4" borderId="0" xfId="0" applyFont="1" applyFill="1" applyAlignment="1">
      <alignment vertical="center" wrapText="1"/>
    </xf>
    <xf numFmtId="176" fontId="4" fillId="10" borderId="0" xfId="0" applyNumberFormat="1" applyFont="1" applyFill="1" applyAlignment="1">
      <alignment vertical="center" wrapText="1"/>
    </xf>
    <xf numFmtId="176" fontId="0" fillId="0" borderId="0" xfId="0" applyNumberFormat="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16" fillId="7" borderId="0" xfId="0" applyFont="1" applyFill="1" applyAlignment="1">
      <alignment vertical="top" wrapText="1"/>
    </xf>
    <xf numFmtId="0" fontId="4" fillId="7" borderId="3" xfId="0" applyFont="1" applyFill="1" applyBorder="1" applyAlignment="1">
      <alignment horizontal="left" vertical="center"/>
    </xf>
    <xf numFmtId="0" fontId="4" fillId="5" borderId="3" xfId="0" applyFont="1" applyFill="1" applyBorder="1" applyAlignment="1">
      <alignment horizontal="left" vertical="center"/>
    </xf>
    <xf numFmtId="0" fontId="4" fillId="10" borderId="3" xfId="0" applyFont="1" applyFill="1" applyBorder="1" applyAlignment="1">
      <alignment horizontal="left" vertical="center"/>
    </xf>
    <xf numFmtId="0" fontId="4" fillId="9" borderId="3" xfId="0" applyFont="1" applyFill="1" applyBorder="1" applyAlignment="1">
      <alignment horizontal="left"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cellXfs>
  <cellStyles count="1">
    <cellStyle name="標準" xfId="0" builtinId="0"/>
  </cellStyles>
  <dxfs count="0"/>
  <tableStyles count="0" defaultTableStyle="TableStyleMedium2" defaultPivotStyle="PivotStyleLight16"/>
  <colors>
    <mruColors>
      <color rgb="FFFF3300"/>
      <color rgb="FFFFEF7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922A-73DC-4912-BBD4-1197EC7EDE86}">
  <sheetPr codeName="Sheet3">
    <tabColor theme="8" tint="0.79998168889431442"/>
  </sheetPr>
  <dimension ref="A1:T814"/>
  <sheetViews>
    <sheetView tabSelected="1" workbookViewId="0">
      <pane xSplit="4" ySplit="4" topLeftCell="E15" activePane="bottomRight" state="frozen"/>
      <selection pane="topRight" activeCell="E1" sqref="E1"/>
      <selection pane="bottomLeft" activeCell="A5" sqref="A5"/>
      <selection pane="bottomRight" activeCell="D19" sqref="D19"/>
    </sheetView>
  </sheetViews>
  <sheetFormatPr defaultRowHeight="18" outlineLevelRow="1" x14ac:dyDescent="0.4"/>
  <cols>
    <col min="1" max="1" width="3.375" style="2" customWidth="1"/>
    <col min="2" max="2" width="16.5" style="2" customWidth="1"/>
    <col min="3" max="3" width="19" style="2" customWidth="1"/>
    <col min="4" max="4" width="4.75" style="2" customWidth="1"/>
    <col min="5" max="5" width="6.75" style="13" customWidth="1"/>
    <col min="6" max="6" width="6.75" style="14" customWidth="1"/>
    <col min="7" max="7" width="7.5" style="19" customWidth="1"/>
    <col min="8" max="8" width="32.125" style="10" customWidth="1"/>
    <col min="9" max="9" width="12.875" style="6" customWidth="1"/>
    <col min="10" max="10" width="21.375" style="6" customWidth="1"/>
    <col min="11" max="12" width="11" style="15" bestFit="1" customWidth="1"/>
    <col min="13" max="13" width="10.75" style="2" customWidth="1"/>
    <col min="14" max="14" width="11.25" style="2" customWidth="1"/>
    <col min="15" max="15" width="9" style="2"/>
    <col min="16" max="16" width="30" style="10" customWidth="1"/>
    <col min="17" max="17" width="21.25" style="10" customWidth="1"/>
    <col min="18" max="19" width="4.875" style="10" customWidth="1"/>
    <col min="20" max="42" width="4.875" style="2" customWidth="1"/>
    <col min="43" max="16384" width="9" style="2"/>
  </cols>
  <sheetData>
    <row r="1" spans="1:20" ht="31.5" customHeight="1" x14ac:dyDescent="0.4">
      <c r="A1" s="2" t="s">
        <v>10</v>
      </c>
      <c r="B1" s="2" t="s">
        <v>76</v>
      </c>
      <c r="C1" s="2" t="s">
        <v>8</v>
      </c>
      <c r="D1" s="3" t="s">
        <v>77</v>
      </c>
      <c r="E1" s="4" t="s">
        <v>1333</v>
      </c>
      <c r="F1" s="5" t="s">
        <v>79</v>
      </c>
      <c r="G1" s="18" t="s">
        <v>126</v>
      </c>
      <c r="H1" s="3" t="s">
        <v>80</v>
      </c>
      <c r="I1" s="6" t="s">
        <v>842</v>
      </c>
      <c r="J1" s="6" t="s">
        <v>844</v>
      </c>
      <c r="K1" s="8" t="s">
        <v>82</v>
      </c>
      <c r="L1" s="8"/>
      <c r="M1" s="3" t="s">
        <v>83</v>
      </c>
      <c r="N1" s="3" t="s">
        <v>1321</v>
      </c>
      <c r="O1" s="3" t="s">
        <v>84</v>
      </c>
      <c r="P1" s="9" t="s">
        <v>85</v>
      </c>
      <c r="Q1" s="9" t="s">
        <v>86</v>
      </c>
      <c r="R1" s="9"/>
      <c r="S1" s="9"/>
    </row>
    <row r="2" spans="1:20" ht="103.5" customHeight="1" x14ac:dyDescent="0.4">
      <c r="B2" s="10" t="s">
        <v>87</v>
      </c>
      <c r="C2" s="10" t="s">
        <v>88</v>
      </c>
      <c r="D2" s="3" t="s">
        <v>89</v>
      </c>
      <c r="E2" s="4"/>
      <c r="F2" s="5"/>
      <c r="G2" s="18"/>
      <c r="H2" s="3" t="s">
        <v>472</v>
      </c>
      <c r="I2" s="11"/>
      <c r="J2" s="11" t="s">
        <v>90</v>
      </c>
      <c r="K2" s="8" t="s">
        <v>91</v>
      </c>
      <c r="L2" s="8"/>
      <c r="M2" s="3" t="s">
        <v>92</v>
      </c>
      <c r="N2" s="3" t="s">
        <v>93</v>
      </c>
      <c r="T2" s="12">
        <v>0.3</v>
      </c>
    </row>
    <row r="3" spans="1:20" ht="18" customHeight="1" x14ac:dyDescent="0.4">
      <c r="B3" s="10" t="s">
        <v>94</v>
      </c>
      <c r="C3" s="10" t="s">
        <v>95</v>
      </c>
      <c r="D3" s="3"/>
      <c r="E3" s="4"/>
      <c r="F3" s="5"/>
      <c r="G3" s="18"/>
      <c r="H3" s="3"/>
      <c r="I3" s="11" t="s">
        <v>96</v>
      </c>
      <c r="J3" s="11" t="s">
        <v>96</v>
      </c>
      <c r="K3" s="8" t="s">
        <v>97</v>
      </c>
      <c r="L3" s="8"/>
      <c r="M3" s="3"/>
      <c r="N3" s="3"/>
      <c r="T3" s="12"/>
    </row>
    <row r="4" spans="1:20" ht="13.5" customHeight="1" x14ac:dyDescent="0.4">
      <c r="J4" s="6" t="str">
        <f>IFERROR(_xlfn.LET(_xlpm.v,
VLOOKUP($I4,効果!$A:$B,COLUMN(効果!B$1),FALSE),
IF(_xlpm.v=0,"",_xlpm.v)
),"")</f>
        <v/>
      </c>
    </row>
    <row r="5" spans="1:20" ht="33" x14ac:dyDescent="0.4">
      <c r="H5" s="16"/>
      <c r="J5" s="6" t="str">
        <f>IFERROR(_xlfn.LET(_xlpm.v,
VLOOKUP($I5,効果!$A:$B,COLUMN(効果!B$1),FALSE),
IF(_xlpm.v=0,"",_xlpm.v)
),"")</f>
        <v/>
      </c>
    </row>
    <row r="6" spans="1:20" x14ac:dyDescent="0.4">
      <c r="J6" s="6" t="str">
        <f>IFERROR(_xlfn.LET(_xlpm.v,
VLOOKUP($I6,効果!$A:$B,COLUMN(効果!B$1),FALSE),
IF(_xlpm.v=0,"",_xlpm.v)
),"")</f>
        <v/>
      </c>
      <c r="L6" s="15" t="str">
        <f>IF(OR(COUNTIF(クラス!$A$1:$A$1035, $B6),$B6="",COUNTIF(スキル一覧!$A$1:$A$3500, $B6)), "", "存在しない")</f>
        <v/>
      </c>
      <c r="M6" s="2" t="str">
        <f>IF(COUNTIF($B$1:$C5, $B6), "", "存在しない")</f>
        <v>存在しない</v>
      </c>
      <c r="N6" s="2" t="s">
        <v>1196</v>
      </c>
    </row>
    <row r="7" spans="1:20" x14ac:dyDescent="0.4">
      <c r="C7" s="2" t="str">
        <f>"------------基礎技 ------------"</f>
        <v>------------基礎技 ------------</v>
      </c>
      <c r="J7" s="6" t="str">
        <f>IFERROR(_xlfn.LET(_xlpm.v,
VLOOKUP($I7,効果!$A:$B,COLUMN(効果!B$1),FALSE),
IF(_xlpm.v=0,"",_xlpm.v)
),"")</f>
        <v/>
      </c>
      <c r="L7" s="15" t="str">
        <f>IF(OR(COUNTIF(クラス!$A$1:$A$1035, $B7),$B7="",COUNTIF(スキル一覧!$A$1:$A$3500, $B7)), "", "存在しない")</f>
        <v/>
      </c>
      <c r="M7" s="2" t="str">
        <f>IF(COUNTIF($B$1:$C6, $B7), "", "存在しない")</f>
        <v>存在しない</v>
      </c>
      <c r="N7" s="2" t="s">
        <v>1196</v>
      </c>
    </row>
    <row r="8" spans="1:20" x14ac:dyDescent="0.4">
      <c r="B8" s="2" t="s">
        <v>284</v>
      </c>
      <c r="D8" s="2" t="s">
        <v>77</v>
      </c>
      <c r="E8" s="13" t="s">
        <v>127</v>
      </c>
      <c r="F8" s="14" t="s">
        <v>79</v>
      </c>
      <c r="G8" s="18" t="s">
        <v>126</v>
      </c>
      <c r="H8" s="10" t="s">
        <v>80</v>
      </c>
      <c r="J8" s="6" t="str">
        <f>IFERROR(_xlfn.LET(_xlpm.v,
VLOOKUP($I8,効果!$A:$B,COLUMN(効果!B$1),FALSE),
IF(_xlpm.v=0,"",_xlpm.v)
),"")</f>
        <v/>
      </c>
      <c r="L8" s="15" t="str">
        <f>IF(OR(COUNTIF(クラス!$A$1:$A$1035, $B8),$B8="",COUNTIF(スキル一覧!$A$1:$A$3500, $B8)), "", "存在しない")</f>
        <v>存在しない</v>
      </c>
      <c r="M8" s="2" t="str">
        <f>IF(COUNTIF($B$1:$C7, $B8), "", "存在しない")</f>
        <v>存在しない</v>
      </c>
      <c r="N8" s="2" t="s">
        <v>1196</v>
      </c>
    </row>
    <row r="9" spans="1:20" outlineLevel="1" x14ac:dyDescent="0.4">
      <c r="A9" s="2">
        <v>1</v>
      </c>
      <c r="B9" s="2" t="s">
        <v>285</v>
      </c>
      <c r="E9" s="13" t="s">
        <v>128</v>
      </c>
      <c r="G9" s="19">
        <v>60</v>
      </c>
      <c r="H9" s="10" t="s">
        <v>294</v>
      </c>
      <c r="J9" s="6" t="str">
        <f>IFERROR(_xlfn.LET(_xlpm.v,
VLOOKUP($I9,効果!$A:$B,COLUMN(効果!B$1),FALSE),
IF(_xlpm.v=0,"",_xlpm.v)
),"")</f>
        <v/>
      </c>
      <c r="L9" s="15" t="str">
        <f>IF(OR(COUNTIF(クラス!$A$1:$A$1035, $B9),$B9="",COUNTIF(スキル一覧!$A$1:$A$3500, $B9)), "", "存在しない")</f>
        <v/>
      </c>
      <c r="M9" s="2" t="str">
        <f>IF(COUNTIF($B$1:$C8, $B9), "", "存在しない")</f>
        <v>存在しない</v>
      </c>
      <c r="N9" s="2" t="s">
        <v>1329</v>
      </c>
    </row>
    <row r="10" spans="1:20" outlineLevel="1" x14ac:dyDescent="0.4">
      <c r="A10" s="2">
        <v>2</v>
      </c>
      <c r="B10" s="2" t="s">
        <v>283</v>
      </c>
      <c r="E10" s="13" t="s">
        <v>128</v>
      </c>
      <c r="G10" s="19">
        <v>30</v>
      </c>
      <c r="H10" s="10" t="s">
        <v>293</v>
      </c>
      <c r="J10" s="6" t="str">
        <f>IFERROR(_xlfn.LET(_xlpm.v,
VLOOKUP($I10,効果!$A:$B,COLUMN(効果!B$1),FALSE),
IF(_xlpm.v=0,"",_xlpm.v)
),"")</f>
        <v/>
      </c>
      <c r="L10" s="15" t="str">
        <f>IF(OR(COUNTIF(クラス!$A$1:$A$1035, $B10),$B10="",COUNTIF(スキル一覧!$A$1:$A$3500, $B10)), "", "存在しない")</f>
        <v/>
      </c>
      <c r="M10" s="2" t="str">
        <f>IF(COUNTIF($B$1:$C9, $B10), "", "存在しない")</f>
        <v>存在しない</v>
      </c>
      <c r="N10" s="2" t="s">
        <v>1330</v>
      </c>
    </row>
    <row r="11" spans="1:20" ht="36" outlineLevel="1" x14ac:dyDescent="0.4">
      <c r="A11" s="2">
        <v>3</v>
      </c>
      <c r="B11" s="2" t="s">
        <v>282</v>
      </c>
      <c r="E11" s="13" t="s">
        <v>128</v>
      </c>
      <c r="G11" s="19">
        <v>40</v>
      </c>
      <c r="H11" s="10" t="s">
        <v>324</v>
      </c>
      <c r="J11" s="6" t="str">
        <f>IFERROR(_xlfn.LET(_xlpm.v,
VLOOKUP($I11,効果!$A:$B,COLUMN(効果!B$1),FALSE),
IF(_xlpm.v=0,"",_xlpm.v)
),"")</f>
        <v/>
      </c>
      <c r="L11" s="15" t="str">
        <f>IF(OR(COUNTIF(クラス!$A$1:$A$1035, $B11),$B11="",COUNTIF(スキル一覧!$A$1:$A$3500, $B11)), "", "存在しない")</f>
        <v/>
      </c>
      <c r="M11" s="2" t="str">
        <f>IF(COUNTIF($B$1:$C10, $B11), "", "存在しない")</f>
        <v>存在しない</v>
      </c>
      <c r="N11" s="2" t="s">
        <v>1331</v>
      </c>
    </row>
    <row r="12" spans="1:20" outlineLevel="1" x14ac:dyDescent="0.4">
      <c r="A12" s="2">
        <v>4</v>
      </c>
      <c r="B12" s="2" t="s">
        <v>286</v>
      </c>
      <c r="E12" s="13" t="s">
        <v>128</v>
      </c>
      <c r="G12" s="19">
        <v>20</v>
      </c>
      <c r="H12" s="10" t="s">
        <v>292</v>
      </c>
      <c r="J12" s="6" t="str">
        <f>IFERROR(_xlfn.LET(_xlpm.v,
VLOOKUP($I12,効果!$A:$B,COLUMN(効果!B$1),FALSE),
IF(_xlpm.v=0,"",_xlpm.v)
),"")</f>
        <v/>
      </c>
      <c r="L12" s="15" t="str">
        <f>IF(OR(COUNTIF(クラス!$A$1:$A$1035, $B12),$B12="",COUNTIF(スキル一覧!$A$1:$A$3500, $B12)), "", "存在しない")</f>
        <v/>
      </c>
      <c r="M12" s="2" t="str">
        <f>IF(COUNTIF($B$1:$C11, $B12), "", "存在しない")</f>
        <v>存在しない</v>
      </c>
      <c r="N12" s="2" t="s">
        <v>1332</v>
      </c>
    </row>
    <row r="13" spans="1:20" outlineLevel="1" x14ac:dyDescent="0.4">
      <c r="A13" s="2">
        <v>5</v>
      </c>
      <c r="B13" s="2" t="s">
        <v>287</v>
      </c>
      <c r="E13" s="13" t="s">
        <v>128</v>
      </c>
      <c r="G13" s="19">
        <v>20</v>
      </c>
      <c r="H13" s="10" t="s">
        <v>291</v>
      </c>
      <c r="J13" s="6" t="str">
        <f>IFERROR(_xlfn.LET(_xlpm.v,
VLOOKUP($I13,効果!$A:$B,COLUMN(効果!B$1),FALSE),
IF(_xlpm.v=0,"",_xlpm.v)
),"")</f>
        <v/>
      </c>
      <c r="L13" s="15" t="str">
        <f>IF(OR(COUNTIF(クラス!$A$1:$A$1035, $B13),$B13="",COUNTIF(スキル一覧!$A$1:$A$3500, $B13)), "", "存在しない")</f>
        <v/>
      </c>
      <c r="M13" s="2" t="str">
        <f>IF(COUNTIF($B$1:$C12, $B13), "", "存在しない")</f>
        <v>存在しない</v>
      </c>
      <c r="N13" s="2" t="s">
        <v>1196</v>
      </c>
    </row>
    <row r="14" spans="1:20" ht="36" outlineLevel="1" x14ac:dyDescent="0.4">
      <c r="A14" s="2">
        <v>6</v>
      </c>
      <c r="B14" s="2" t="s">
        <v>289</v>
      </c>
      <c r="E14" s="13" t="s">
        <v>128</v>
      </c>
      <c r="G14" s="19">
        <v>70</v>
      </c>
      <c r="H14" s="10" t="s">
        <v>290</v>
      </c>
      <c r="J14" s="6" t="str">
        <f>IFERROR(_xlfn.LET(_xlpm.v,
VLOOKUP($I14,効果!$A:$B,COLUMN(効果!B$1),FALSE),
IF(_xlpm.v=0,"",_xlpm.v)
),"")</f>
        <v/>
      </c>
      <c r="L14" s="15" t="str">
        <f>IF(OR(COUNTIF(クラス!$A$1:$A$1035, $B14),$B14="",COUNTIF(スキル一覧!$A$1:$A$3500, $B14)), "", "存在しない")</f>
        <v/>
      </c>
      <c r="M14" s="2" t="str">
        <f>IF(COUNTIF($B$1:$C13, $B14), "", "存在しない")</f>
        <v>存在しない</v>
      </c>
      <c r="N14" s="2" t="s">
        <v>1196</v>
      </c>
    </row>
    <row r="15" spans="1:20" ht="36" outlineLevel="1" x14ac:dyDescent="0.4">
      <c r="A15" s="2">
        <v>7</v>
      </c>
      <c r="B15" s="2" t="s">
        <v>288</v>
      </c>
      <c r="E15" s="13" t="s">
        <v>128</v>
      </c>
      <c r="G15" s="19">
        <v>40</v>
      </c>
      <c r="H15" s="10" t="s">
        <v>1328</v>
      </c>
      <c r="J15" s="6" t="str">
        <f>IFERROR(_xlfn.LET(_xlpm.v,
VLOOKUP($I15,効果!$A:$B,COLUMN(効果!B$1),FALSE),
IF(_xlpm.v=0,"",_xlpm.v)
),"")</f>
        <v/>
      </c>
      <c r="L15" s="15" t="str">
        <f>IF(OR(COUNTIF(クラス!$A$1:$A$1035, $B15),$B15="",COUNTIF(スキル一覧!$A$1:$A$3500, $B15)), "", "存在しない")</f>
        <v/>
      </c>
      <c r="M15" s="2" t="str">
        <f>IF(COUNTIF($B$1:$C14, $B15), "", "存在しない")</f>
        <v>存在しない</v>
      </c>
      <c r="N15" s="2" t="s">
        <v>1196</v>
      </c>
    </row>
    <row r="16" spans="1:20" outlineLevel="1" x14ac:dyDescent="0.4">
      <c r="A16" s="2">
        <v>8</v>
      </c>
      <c r="J16" s="6" t="str">
        <f>IFERROR(_xlfn.LET(_xlpm.v,
VLOOKUP($I16,効果!$A:$B,COLUMN(効果!B$1),FALSE),
IF(_xlpm.v=0,"",_xlpm.v)
),"")</f>
        <v/>
      </c>
      <c r="L16" s="15" t="str">
        <f>IF(OR(COUNTIF(クラス!$A$1:$A$1035, $B16),$B16="",COUNTIF(スキル一覧!$A$1:$A$3500, $B16)), "", "存在しない")</f>
        <v/>
      </c>
      <c r="M16" s="2" t="str">
        <f>IF(COUNTIF($B$1:$C15, $B16), "", "存在しない")</f>
        <v>存在しない</v>
      </c>
      <c r="N16" s="2" t="s">
        <v>1196</v>
      </c>
    </row>
    <row r="17" spans="1:14" outlineLevel="1" x14ac:dyDescent="0.4">
      <c r="A17" s="2">
        <v>9</v>
      </c>
      <c r="B17" s="2" t="s">
        <v>731</v>
      </c>
      <c r="J17" s="6" t="str">
        <f>IFERROR(_xlfn.LET(_xlpm.v,
VLOOKUP($I17,効果!$A:$B,COLUMN(効果!B$1),FALSE),
IF(_xlpm.v=0,"",_xlpm.v)
),"")</f>
        <v/>
      </c>
      <c r="L17" s="15" t="str">
        <f>IF(OR(COUNTIF(クラス!$A$1:$A$1035, $B17),$B17="",COUNTIF(スキル一覧!$A$1:$A$3500, $B17)), "", "存在しない")</f>
        <v>存在しない</v>
      </c>
      <c r="M17" s="2" t="str">
        <f>IF(COUNTIF($B$1:$C16, $B17), "", "存在しない")</f>
        <v>存在しない</v>
      </c>
      <c r="N17" s="2" t="e">
        <v>#VALUE!</v>
      </c>
    </row>
    <row r="18" spans="1:14" outlineLevel="1" x14ac:dyDescent="0.4">
      <c r="A18" s="2">
        <v>10</v>
      </c>
      <c r="J18" s="6" t="str">
        <f>IFERROR(_xlfn.LET(_xlpm.v,
VLOOKUP($I18,効果!$A:$B,COLUMN(効果!B$1),FALSE),
IF(_xlpm.v=0,"",_xlpm.v)
),"")</f>
        <v/>
      </c>
      <c r="L18" s="15" t="str">
        <f>IF(OR(COUNTIF(クラス!$A$1:$A$1035, $B18),$B18="",COUNTIF(スキル一覧!$A$1:$A$3500, $B18)), "", "存在しない")</f>
        <v/>
      </c>
      <c r="M18" s="2" t="str">
        <f>IF(COUNTIF($B$1:$C17, $B18), "", "存在しない")</f>
        <v>存在しない</v>
      </c>
      <c r="N18" s="2" t="s">
        <v>1196</v>
      </c>
    </row>
    <row r="19" spans="1:14" outlineLevel="1" x14ac:dyDescent="0.4">
      <c r="J19" s="6" t="str">
        <f>IFERROR(_xlfn.LET(_xlpm.v,
VLOOKUP($I19,効果!$A:$B,COLUMN(効果!B$1),FALSE),
IF(_xlpm.v=0,"",_xlpm.v)
),"")</f>
        <v/>
      </c>
      <c r="L19" s="15" t="str">
        <f>IF(OR(COUNTIF(クラス!$A$1:$A$1035, $B19),$B19="",COUNTIF(スキル一覧!$A$1:$A$3500, $B19)), "", "存在しない")</f>
        <v/>
      </c>
      <c r="M19" s="2" t="str">
        <f>IF(COUNTIF($B$1:$C18, $B19), "", "存在しない")</f>
        <v>存在しない</v>
      </c>
      <c r="N19" s="2" t="s">
        <v>1196</v>
      </c>
    </row>
    <row r="20" spans="1:14" x14ac:dyDescent="0.4">
      <c r="J20" s="6" t="str">
        <f>IFERROR(_xlfn.LET(_xlpm.v,
VLOOKUP($I20,効果!$A:$B,COLUMN(効果!B$1),FALSE),
IF(_xlpm.v=0,"",_xlpm.v)
),"")</f>
        <v/>
      </c>
      <c r="L20" s="15" t="str">
        <f>IF(OR(COUNTIF(クラス!$A$1:$A$1035, $B20),$B20="",COUNTIF(スキル一覧!$A$1:$A$3500, $B20)), "", "存在しない")</f>
        <v/>
      </c>
      <c r="M20" s="2" t="str">
        <f>IF(COUNTIF($B$1:$C19, $B20), "", "存在しない")</f>
        <v>存在しない</v>
      </c>
      <c r="N20" s="2" t="s">
        <v>1196</v>
      </c>
    </row>
    <row r="21" spans="1:14" collapsed="1" x14ac:dyDescent="0.4">
      <c r="B21" s="48"/>
      <c r="C21" s="2" t="str">
        <f>"------------地形 ------------"</f>
        <v>------------地形 ------------</v>
      </c>
      <c r="J21" s="6" t="str">
        <f>IFERROR(_xlfn.LET(_xlpm.v,
VLOOKUP($I21,効果!$A:$B,COLUMN(効果!B$1),FALSE),
IF(_xlpm.v=0,"",_xlpm.v)
),"")</f>
        <v/>
      </c>
      <c r="L21" s="15" t="str">
        <f>IF(OR(COUNTIF(クラス!$A$1:$A$1035, $B21),$B21="",COUNTIF(スキル一覧!$A$1:$A$3500, $B21)), "", "存在しない")</f>
        <v/>
      </c>
      <c r="M21" s="2" t="str">
        <f>IF(COUNTIF($B$1:$C19, $B21), "", "存在しない")</f>
        <v>存在しない</v>
      </c>
      <c r="N21" s="2" t="s">
        <v>1196</v>
      </c>
    </row>
    <row r="22" spans="1:14" outlineLevel="1" collapsed="1" x14ac:dyDescent="0.4">
      <c r="B22" s="54" t="s">
        <v>498</v>
      </c>
      <c r="E22" s="2" t="s">
        <v>129</v>
      </c>
      <c r="J22" s="6" t="str">
        <f>IFERROR(_xlfn.LET(_xlpm.v,
VLOOKUP($I22,効果!$A:$B,COLUMN(効果!B$1),FALSE),
IF(_xlpm.v=0,"",_xlpm.v)
),"")</f>
        <v/>
      </c>
      <c r="L22" s="15" t="str">
        <f>IF(OR(COUNTIF(クラス!$A$1:$A$1035, $B22),$B22="",COUNTIF(スキル一覧!$A$1:$A$3500, $B22)), "", "存在しない")</f>
        <v>存在しない</v>
      </c>
      <c r="M22" s="2" t="str">
        <f>IF(COUNTIF($B$1:$C20, $B22), "", "存在しない")</f>
        <v>存在しない</v>
      </c>
      <c r="N22" s="2" t="s">
        <v>1196</v>
      </c>
    </row>
    <row r="23" spans="1:14" outlineLevel="1" collapsed="1" x14ac:dyDescent="0.4">
      <c r="B23" s="48" t="s">
        <v>499</v>
      </c>
      <c r="E23" s="2" t="s">
        <v>129</v>
      </c>
      <c r="J23" s="6" t="str">
        <f>IFERROR(_xlfn.LET(_xlpm.v,
VLOOKUP($I23,効果!$A:$B,COLUMN(効果!B$1),FALSE),
IF(_xlpm.v=0,"",_xlpm.v)
),"")</f>
        <v/>
      </c>
      <c r="L23" s="15" t="str">
        <f>IF(OR(COUNTIF(クラス!$A$1:$A$1035, $B23),$B23="",COUNTIF(スキル一覧!$A$1:$A$3500, $B23)), "", "存在しない")</f>
        <v>存在しない</v>
      </c>
      <c r="M23" s="2" t="str">
        <f>IF(COUNTIF($B$1:$C21, $B23), "", "存在しない")</f>
        <v>存在しない</v>
      </c>
      <c r="N23" s="2" t="s">
        <v>1196</v>
      </c>
    </row>
    <row r="24" spans="1:14" outlineLevel="1" collapsed="1" x14ac:dyDescent="0.4">
      <c r="B24" s="48" t="s">
        <v>500</v>
      </c>
      <c r="E24" s="2" t="s">
        <v>129</v>
      </c>
      <c r="J24" s="6" t="str">
        <f>IFERROR(_xlfn.LET(_xlpm.v,
VLOOKUP($I24,効果!$A:$B,COLUMN(効果!B$1),FALSE),
IF(_xlpm.v=0,"",_xlpm.v)
),"")</f>
        <v/>
      </c>
      <c r="L24" s="15" t="str">
        <f>IF(OR(COUNTIF(クラス!$A$1:$A$1035, $B24),$B24="",COUNTIF(スキル一覧!$A$1:$A$3500, $B24)), "", "存在しない")</f>
        <v>存在しない</v>
      </c>
      <c r="M24" s="2" t="str">
        <f>IF(COUNTIF($B$1:$C22, $B24), "", "存在しない")</f>
        <v>存在しない</v>
      </c>
      <c r="N24" s="2" t="s">
        <v>1196</v>
      </c>
    </row>
    <row r="25" spans="1:14" outlineLevel="1" collapsed="1" x14ac:dyDescent="0.4">
      <c r="B25" s="48" t="s">
        <v>501</v>
      </c>
      <c r="E25" s="2" t="s">
        <v>129</v>
      </c>
      <c r="J25" s="6" t="str">
        <f>IFERROR(_xlfn.LET(_xlpm.v,
VLOOKUP($I25,効果!$A:$B,COLUMN(効果!B$1),FALSE),
IF(_xlpm.v=0,"",_xlpm.v)
),"")</f>
        <v/>
      </c>
      <c r="L25" s="15" t="str">
        <f>IF(OR(COUNTIF(クラス!$A$1:$A$1035, $B25),$B25="",COUNTIF(スキル一覧!$A$1:$A$3500, $B25)), "", "存在しない")</f>
        <v>存在しない</v>
      </c>
      <c r="M25" s="2" t="str">
        <f>IF(COUNTIF($B$1:$C23, $B25), "", "存在しない")</f>
        <v>存在しない</v>
      </c>
      <c r="N25" s="2" t="s">
        <v>1196</v>
      </c>
    </row>
    <row r="26" spans="1:14" outlineLevel="1" collapsed="1" x14ac:dyDescent="0.4">
      <c r="B26" s="48" t="s">
        <v>502</v>
      </c>
      <c r="E26" s="2" t="s">
        <v>129</v>
      </c>
      <c r="J26" s="6" t="str">
        <f>IFERROR(_xlfn.LET(_xlpm.v,
VLOOKUP($I26,効果!$A:$B,COLUMN(効果!B$1),FALSE),
IF(_xlpm.v=0,"",_xlpm.v)
),"")</f>
        <v/>
      </c>
      <c r="L26" s="15" t="str">
        <f>IF(OR(COUNTIF(クラス!$A$1:$A$1035, $B26),$B26="",COUNTIF(スキル一覧!$A$1:$A$3500, $B26)), "", "存在しない")</f>
        <v>存在しない</v>
      </c>
      <c r="M26" s="2" t="str">
        <f>IF(COUNTIF($B$1:$C24, $B26), "", "存在しない")</f>
        <v>存在しない</v>
      </c>
      <c r="N26" s="2" t="s">
        <v>1196</v>
      </c>
    </row>
    <row r="27" spans="1:14" outlineLevel="1" collapsed="1" x14ac:dyDescent="0.4">
      <c r="B27" s="48" t="s">
        <v>503</v>
      </c>
      <c r="E27" s="2" t="s">
        <v>129</v>
      </c>
      <c r="J27" s="6" t="str">
        <f>IFERROR(_xlfn.LET(_xlpm.v,
VLOOKUP($I27,効果!$A:$B,COLUMN(効果!B$1),FALSE),
IF(_xlpm.v=0,"",_xlpm.v)
),"")</f>
        <v/>
      </c>
      <c r="L27" s="15" t="str">
        <f>IF(OR(COUNTIF(クラス!$A$1:$A$1035, $B27),$B27="",COUNTIF(スキル一覧!$A$1:$A$3500, $B27)), "", "存在しない")</f>
        <v>存在しない</v>
      </c>
      <c r="M27" s="2" t="str">
        <f>IF(COUNTIF($B$1:$C25, $B27), "", "存在しない")</f>
        <v>存在しない</v>
      </c>
      <c r="N27" s="2" t="s">
        <v>1196</v>
      </c>
    </row>
    <row r="28" spans="1:14" outlineLevel="1" collapsed="1" x14ac:dyDescent="0.4">
      <c r="B28" s="48" t="s">
        <v>504</v>
      </c>
      <c r="E28" s="2" t="s">
        <v>129</v>
      </c>
      <c r="J28" s="6" t="str">
        <f>IFERROR(_xlfn.LET(_xlpm.v,
VLOOKUP($I28,効果!$A:$B,COLUMN(効果!B$1),FALSE),
IF(_xlpm.v=0,"",_xlpm.v)
),"")</f>
        <v/>
      </c>
      <c r="L28" s="15" t="str">
        <f>IF(OR(COUNTIF(クラス!$A$1:$A$1035, $B28),$B28="",COUNTIF(スキル一覧!$A$1:$A$3500, $B28)), "", "存在しない")</f>
        <v>存在しない</v>
      </c>
      <c r="M28" s="2" t="str">
        <f>IF(COUNTIF($B$1:$C26, $B28), "", "存在しない")</f>
        <v>存在しない</v>
      </c>
      <c r="N28" s="2" t="s">
        <v>1196</v>
      </c>
    </row>
    <row r="29" spans="1:14" outlineLevel="1" collapsed="1" x14ac:dyDescent="0.4">
      <c r="B29" s="48" t="s">
        <v>505</v>
      </c>
      <c r="E29" s="2" t="s">
        <v>129</v>
      </c>
      <c r="J29" s="6" t="str">
        <f>IFERROR(_xlfn.LET(_xlpm.v,
VLOOKUP($I29,効果!$A:$B,COLUMN(効果!B$1),FALSE),
IF(_xlpm.v=0,"",_xlpm.v)
),"")</f>
        <v/>
      </c>
      <c r="L29" s="15" t="str">
        <f>IF(OR(COUNTIF(クラス!$A$1:$A$1035, $B29),$B29="",COUNTIF(スキル一覧!$A$1:$A$3500, $B29)), "", "存在しない")</f>
        <v>存在しない</v>
      </c>
      <c r="M29" s="2" t="str">
        <f>IF(COUNTIF($B$1:$C27, $B29), "", "存在しない")</f>
        <v>存在しない</v>
      </c>
      <c r="N29" s="2" t="s">
        <v>1196</v>
      </c>
    </row>
    <row r="30" spans="1:14" outlineLevel="1" collapsed="1" x14ac:dyDescent="0.4">
      <c r="B30" s="48" t="s">
        <v>506</v>
      </c>
      <c r="E30" s="2" t="s">
        <v>129</v>
      </c>
      <c r="J30" s="6" t="str">
        <f>IFERROR(_xlfn.LET(_xlpm.v,
VLOOKUP($I30,効果!$A:$B,COLUMN(効果!B$1),FALSE),
IF(_xlpm.v=0,"",_xlpm.v)
),"")</f>
        <v/>
      </c>
      <c r="L30" s="15" t="str">
        <f>IF(OR(COUNTIF(クラス!$A$1:$A$1035, $B30),$B30="",COUNTIF(スキル一覧!$A$1:$A$3500, $B30)), "", "存在しない")</f>
        <v>存在しない</v>
      </c>
      <c r="M30" s="2" t="str">
        <f>IF(COUNTIF($B$1:$C28, $B30), "", "存在しない")</f>
        <v>存在しない</v>
      </c>
      <c r="N30" s="2" t="s">
        <v>1196</v>
      </c>
    </row>
    <row r="31" spans="1:14" outlineLevel="1" collapsed="1" x14ac:dyDescent="0.4">
      <c r="B31" s="48" t="s">
        <v>507</v>
      </c>
      <c r="E31" s="2" t="s">
        <v>129</v>
      </c>
      <c r="J31" s="6" t="str">
        <f>IFERROR(_xlfn.LET(_xlpm.v,
VLOOKUP($I31,効果!$A:$B,COLUMN(効果!B$1),FALSE),
IF(_xlpm.v=0,"",_xlpm.v)
),"")</f>
        <v/>
      </c>
      <c r="L31" s="15" t="str">
        <f>IF(OR(COUNTIF(クラス!$A$1:$A$1035, $B31),$B31="",COUNTIF(スキル一覧!$A$1:$A$3500, $B31)), "", "存在しない")</f>
        <v>存在しない</v>
      </c>
      <c r="M31" s="2" t="str">
        <f>IF(COUNTIF($B$1:$C29, $B31), "", "存在しない")</f>
        <v>存在しない</v>
      </c>
      <c r="N31" s="2" t="s">
        <v>1196</v>
      </c>
    </row>
    <row r="32" spans="1:14" outlineLevel="1" collapsed="1" x14ac:dyDescent="0.4">
      <c r="B32" s="48" t="s">
        <v>508</v>
      </c>
      <c r="E32" s="2" t="s">
        <v>129</v>
      </c>
      <c r="J32" s="6" t="str">
        <f>IFERROR(_xlfn.LET(_xlpm.v,
VLOOKUP($I32,効果!$A:$B,COLUMN(効果!B$1),FALSE),
IF(_xlpm.v=0,"",_xlpm.v)
),"")</f>
        <v/>
      </c>
      <c r="L32" s="15" t="str">
        <f>IF(OR(COUNTIF(クラス!$A$1:$A$1035, $B32),$B32="",COUNTIF(スキル一覧!$A$1:$A$3500, $B32)), "", "存在しない")</f>
        <v>存在しない</v>
      </c>
      <c r="M32" s="2" t="str">
        <f>IF(COUNTIF($B$1:$C30, $B32), "", "存在しない")</f>
        <v>存在しない</v>
      </c>
      <c r="N32" s="2" t="s">
        <v>1196</v>
      </c>
    </row>
    <row r="33" spans="1:14" outlineLevel="1" collapsed="1" x14ac:dyDescent="0.4">
      <c r="B33" s="48" t="s">
        <v>509</v>
      </c>
      <c r="E33" s="2" t="s">
        <v>129</v>
      </c>
      <c r="J33" s="6" t="str">
        <f>IFERROR(_xlfn.LET(_xlpm.v,
VLOOKUP($I33,効果!$A:$B,COLUMN(効果!B$1),FALSE),
IF(_xlpm.v=0,"",_xlpm.v)
),"")</f>
        <v/>
      </c>
      <c r="L33" s="15" t="str">
        <f>IF(OR(COUNTIF(クラス!$A$1:$A$1035, $B33),$B33="",COUNTIF(スキル一覧!$A$1:$A$3500, $B33)), "", "存在しない")</f>
        <v>存在しない</v>
      </c>
      <c r="M33" s="2" t="str">
        <f>IF(COUNTIF($B$1:$C31, $B33), "", "存在しない")</f>
        <v>存在しない</v>
      </c>
      <c r="N33" s="2" t="s">
        <v>1196</v>
      </c>
    </row>
    <row r="34" spans="1:14" outlineLevel="1" collapsed="1" x14ac:dyDescent="0.4">
      <c r="B34" s="48" t="s">
        <v>510</v>
      </c>
      <c r="E34" s="2" t="s">
        <v>129</v>
      </c>
      <c r="J34" s="6" t="str">
        <f>IFERROR(_xlfn.LET(_xlpm.v,
VLOOKUP($I34,効果!$A:$B,COLUMN(効果!B$1),FALSE),
IF(_xlpm.v=0,"",_xlpm.v)
),"")</f>
        <v/>
      </c>
      <c r="L34" s="15" t="str">
        <f>IF(OR(COUNTIF(クラス!$A$1:$A$1035, $B34),$B34="",COUNTIF(スキル一覧!$A$1:$A$3500, $B34)), "", "存在しない")</f>
        <v>存在しない</v>
      </c>
      <c r="M34" s="2" t="str">
        <f>IF(COUNTIF($B$1:$C32, $B34), "", "存在しない")</f>
        <v>存在しない</v>
      </c>
      <c r="N34" s="2" t="s">
        <v>1196</v>
      </c>
    </row>
    <row r="35" spans="1:14" outlineLevel="1" collapsed="1" x14ac:dyDescent="0.4">
      <c r="B35" s="48" t="s">
        <v>739</v>
      </c>
      <c r="E35" s="2" t="s">
        <v>129</v>
      </c>
      <c r="J35" s="6" t="str">
        <f>IFERROR(_xlfn.LET(_xlpm.v,
VLOOKUP($I35,効果!$A:$B,COLUMN(効果!B$1),FALSE),
IF(_xlpm.v=0,"",_xlpm.v)
),"")</f>
        <v/>
      </c>
      <c r="L35" s="15" t="str">
        <f>IF(OR(COUNTIF(クラス!$A$1:$A$1035, $B35),$B35="",COUNTIF(スキル一覧!$A$1:$A$3500, $B35)), "", "存在しない")</f>
        <v>存在しない</v>
      </c>
      <c r="M35" s="2" t="str">
        <f>IF(COUNTIF($B$1:$C33, $B35), "", "存在しない")</f>
        <v>存在しない</v>
      </c>
      <c r="N35" s="2" t="s">
        <v>1196</v>
      </c>
    </row>
    <row r="36" spans="1:14" outlineLevel="1" collapsed="1" x14ac:dyDescent="0.4">
      <c r="B36" s="48" t="s">
        <v>873</v>
      </c>
      <c r="E36" s="2" t="s">
        <v>129</v>
      </c>
      <c r="J36" s="6" t="str">
        <f>IFERROR(_xlfn.LET(_xlpm.v,
VLOOKUP($I36,効果!$A:$B,COLUMN(効果!B$1),FALSE),
IF(_xlpm.v=0,"",_xlpm.v)
),"")</f>
        <v/>
      </c>
      <c r="L36" s="15" t="str">
        <f>IF(OR(COUNTIF(クラス!$A$1:$A$1035, $B36),$B36="",COUNTIF(スキル一覧!$A$1:$A$3500, $B36)), "", "存在しない")</f>
        <v>存在しない</v>
      </c>
      <c r="M36" s="2" t="str">
        <f>IF(COUNTIF($B$1:$C34, $B36), "", "存在しない")</f>
        <v>存在しない</v>
      </c>
      <c r="N36" s="2" t="s">
        <v>1196</v>
      </c>
    </row>
    <row r="37" spans="1:14" outlineLevel="1" x14ac:dyDescent="0.4">
      <c r="B37" s="48"/>
      <c r="J37" s="6" t="str">
        <f>IFERROR(_xlfn.LET(_xlpm.v,
VLOOKUP($I37,効果!$A:$B,COLUMN(効果!B$1),FALSE),
IF(_xlpm.v=0,"",_xlpm.v)
),"")</f>
        <v/>
      </c>
      <c r="L37" s="15" t="str">
        <f>IF(OR(COUNTIF(クラス!$A$1:$A$1035, $B37),$B37="",COUNTIF(スキル一覧!$A$1:$A$3500, $B37)), "", "存在しない")</f>
        <v/>
      </c>
      <c r="M37" s="2" t="str">
        <f>IF(COUNTIF($B$1:$C35, $B37), "", "存在しない")</f>
        <v>存在しない</v>
      </c>
      <c r="N37" s="2" t="s">
        <v>1196</v>
      </c>
    </row>
    <row r="38" spans="1:14" outlineLevel="1" x14ac:dyDescent="0.4">
      <c r="B38" s="48"/>
      <c r="J38" s="6" t="str">
        <f>IFERROR(_xlfn.LET(_xlpm.v,
VLOOKUP($I38,効果!$A:$B,COLUMN(効果!B$1),FALSE),
IF(_xlpm.v=0,"",_xlpm.v)
),"")</f>
        <v/>
      </c>
      <c r="L38" s="15" t="str">
        <f>IF(OR(COUNTIF(クラス!$A$1:$A$1035, $B38),$B38="",COUNTIF(スキル一覧!$A$1:$A$3500, $B38)), "", "存在しない")</f>
        <v/>
      </c>
      <c r="M38" s="2" t="str">
        <f>IF(COUNTIF($B$1:$C36, $B38), "", "存在しない")</f>
        <v>存在しない</v>
      </c>
      <c r="N38" s="2" t="s">
        <v>1196</v>
      </c>
    </row>
    <row r="39" spans="1:14" outlineLevel="1" x14ac:dyDescent="0.4">
      <c r="B39" s="48"/>
      <c r="J39" s="6" t="str">
        <f>IFERROR(_xlfn.LET(_xlpm.v,
VLOOKUP($I39,効果!$A:$B,COLUMN(効果!B$1),FALSE),
IF(_xlpm.v=0,"",_xlpm.v)
),"")</f>
        <v/>
      </c>
      <c r="L39" s="15" t="str">
        <f>IF(OR(COUNTIF(クラス!$A$1:$A$1035, $B39),$B39="",COUNTIF(スキル一覧!$A$1:$A$3500, $B39)), "", "存在しない")</f>
        <v/>
      </c>
      <c r="M39" s="2" t="str">
        <f>IF(COUNTIF($B$1:$C37, $B39), "", "存在しない")</f>
        <v>存在しない</v>
      </c>
      <c r="N39" s="2" t="s">
        <v>1196</v>
      </c>
    </row>
    <row r="40" spans="1:14" outlineLevel="1" x14ac:dyDescent="0.4">
      <c r="B40" s="48"/>
      <c r="J40" s="6" t="str">
        <f>IFERROR(_xlfn.LET(_xlpm.v,
VLOOKUP($I40,効果!$A:$B,COLUMN(効果!B$1),FALSE),
IF(_xlpm.v=0,"",_xlpm.v)
),"")</f>
        <v/>
      </c>
      <c r="L40" s="15" t="str">
        <f>IF(OR(COUNTIF(クラス!$A$1:$A$1035, $B40),$B40="",COUNTIF(スキル一覧!$A$1:$A$3500, $B40)), "", "存在しない")</f>
        <v/>
      </c>
      <c r="M40" s="2" t="str">
        <f>IF(COUNTIF($B$1:$C38, $B40), "", "存在しない")</f>
        <v>存在しない</v>
      </c>
      <c r="N40" s="2" t="s">
        <v>1196</v>
      </c>
    </row>
    <row r="41" spans="1:14" outlineLevel="1" x14ac:dyDescent="0.4">
      <c r="B41" s="48"/>
      <c r="J41" s="6" t="str">
        <f>IFERROR(_xlfn.LET(_xlpm.v,
VLOOKUP($I41,効果!$A:$B,COLUMN(効果!B$1),FALSE),
IF(_xlpm.v=0,"",_xlpm.v)
),"")</f>
        <v/>
      </c>
      <c r="L41" s="15" t="str">
        <f>IF(OR(COUNTIF(クラス!$A$1:$A$1035, $B41),$B41="",COUNTIF(スキル一覧!$A$1:$A$3500, $B41)), "", "存在しない")</f>
        <v/>
      </c>
      <c r="M41" s="2" t="str">
        <f>IF(COUNTIF($B$1:$C39, $B41), "", "存在しない")</f>
        <v>存在しない</v>
      </c>
      <c r="N41" s="2" t="s">
        <v>1196</v>
      </c>
    </row>
    <row r="42" spans="1:14" outlineLevel="1" x14ac:dyDescent="0.4">
      <c r="B42" s="48"/>
      <c r="J42" s="6" t="str">
        <f>IFERROR(_xlfn.LET(_xlpm.v,
VLOOKUP($I42,効果!$A:$B,COLUMN(効果!B$1),FALSE),
IF(_xlpm.v=0,"",_xlpm.v)
),"")</f>
        <v/>
      </c>
      <c r="L42" s="15" t="str">
        <f>IF(OR(COUNTIF(クラス!$A$1:$A$1035, $B42),$B42="",COUNTIF(スキル一覧!$A$1:$A$3500, $B42)), "", "存在しない")</f>
        <v/>
      </c>
      <c r="M42" s="2" t="str">
        <f>IF(COUNTIF($B$1:$C40, $B42), "", "存在しない")</f>
        <v>存在しない</v>
      </c>
      <c r="N42" s="2" t="s">
        <v>1196</v>
      </c>
    </row>
    <row r="43" spans="1:14" outlineLevel="1" x14ac:dyDescent="0.4">
      <c r="B43" s="48"/>
      <c r="J43" s="6" t="str">
        <f>IFERROR(_xlfn.LET(_xlpm.v,
VLOOKUP($I43,効果!$A:$B,COLUMN(効果!B$1),FALSE),
IF(_xlpm.v=0,"",_xlpm.v)
),"")</f>
        <v/>
      </c>
      <c r="L43" s="15" t="str">
        <f>IF(OR(COUNTIF(クラス!$A$1:$A$1035, $B43),$B43="",COUNTIF(スキル一覧!$A$1:$A$3500, $B43)), "", "存在しない")</f>
        <v/>
      </c>
      <c r="M43" s="2" t="str">
        <f>IF(COUNTIF($B$1:$C41, $B43), "", "存在しない")</f>
        <v>存在しない</v>
      </c>
      <c r="N43" s="2" t="s">
        <v>1196</v>
      </c>
    </row>
    <row r="44" spans="1:14" outlineLevel="1" x14ac:dyDescent="0.4">
      <c r="J44" s="6" t="str">
        <f>IFERROR(_xlfn.LET(_xlpm.v,
VLOOKUP($I44,効果!$A:$B,COLUMN(効果!B$1),FALSE),
IF(_xlpm.v=0,"",_xlpm.v)
),"")</f>
        <v/>
      </c>
      <c r="L44" s="15" t="str">
        <f>IF(OR(COUNTIF(クラス!$A$1:$A$1035, $B44),$B44="",COUNTIF(スキル一覧!$A$1:$A$3500, $B44)), "", "存在しない")</f>
        <v/>
      </c>
      <c r="M44" s="2" t="str">
        <f>IF(COUNTIF($B$1:$C42, $B44), "", "存在しない")</f>
        <v>存在しない</v>
      </c>
      <c r="N44" s="2" t="s">
        <v>1196</v>
      </c>
    </row>
    <row r="45" spans="1:14" outlineLevel="1" x14ac:dyDescent="0.4">
      <c r="J45" s="6" t="str">
        <f>IFERROR(_xlfn.LET(_xlpm.v,
VLOOKUP($I45,効果!$A:$B,COLUMN(効果!B$1),FALSE),
IF(_xlpm.v=0,"",_xlpm.v)
),"")</f>
        <v/>
      </c>
      <c r="L45" s="15" t="str">
        <f>IF(OR(COUNTIF(クラス!$A$1:$A$1035, $B45),$B45="",COUNTIF(スキル一覧!$A$1:$A$3500, $B45)), "", "存在しない")</f>
        <v/>
      </c>
      <c r="M45" s="2" t="str">
        <f>IF(COUNTIF($B$1:$C43, $B45), "", "存在しない")</f>
        <v>存在しない</v>
      </c>
      <c r="N45" s="2" t="s">
        <v>1196</v>
      </c>
    </row>
    <row r="47" spans="1:14" collapsed="1" x14ac:dyDescent="0.4">
      <c r="B47" s="1" t="s">
        <v>1844</v>
      </c>
      <c r="C47" s="2" t="str">
        <f>"------------地形 ------------"</f>
        <v>------------地形 ------------</v>
      </c>
      <c r="J47" s="6" t="str">
        <f>IFERROR(_xlfn.LET(_xlpm.v,
VLOOKUP($I47,効果!$A:$B,COLUMN(効果!B$1),FALSE),
IF(_xlpm.v=0,"",_xlpm.v)
),"")</f>
        <v/>
      </c>
      <c r="L47" s="15" t="str">
        <f>IF(OR(COUNTIF(クラス!$A$1:$A$1035, $B47),$B47="",COUNTIF(スキル一覧!$A$1:$A$3500, $B47)), "", "存在しない")</f>
        <v/>
      </c>
      <c r="M47" s="2" t="str">
        <f>IF(COUNTIF($B$1:$C45, $B47), "", "存在しない")</f>
        <v>存在しない</v>
      </c>
      <c r="N47" s="2" t="s">
        <v>1196</v>
      </c>
    </row>
    <row r="48" spans="1:14" ht="36" outlineLevel="1" collapsed="1" x14ac:dyDescent="0.4">
      <c r="A48" s="2">
        <v>1</v>
      </c>
      <c r="B48" s="54" t="str">
        <f>C48&amp;"化"</f>
        <v>平地化</v>
      </c>
      <c r="C48" s="54" t="s">
        <v>498</v>
      </c>
      <c r="E48" s="2" t="s">
        <v>128</v>
      </c>
      <c r="G48" s="19">
        <v>50</v>
      </c>
      <c r="H48" s="10" t="str">
        <f>"攻撃手段:魔法 効果:"&amp;C48&amp;"_変換"&amp;" 射程:20"</f>
        <v>攻撃手段:魔法 効果:平地_変換 射程:20</v>
      </c>
      <c r="J48" s="6" t="str">
        <f>IFERROR(_xlfn.LET(_xlpm.v,
VLOOKUP($I48,効果!$A:$B,COLUMN(効果!B$1),FALSE),
IF(_xlpm.v=0,"",_xlpm.v)
),"")</f>
        <v/>
      </c>
      <c r="L48" s="15" t="str">
        <f>IF(OR(COUNTIF(クラス!$A$1:$A$1035, $B48),$B48="",COUNTIF(スキル一覧!$A$1:$A$3500, $B48)), "", "存在しない")</f>
        <v/>
      </c>
      <c r="M48" s="2" t="str">
        <f>IF(COUNTIF($B$1:$C46, $B48), "", "存在しない")</f>
        <v>存在しない</v>
      </c>
      <c r="N48" s="2" t="s">
        <v>1196</v>
      </c>
    </row>
    <row r="49" spans="1:14" outlineLevel="1" collapsed="1" x14ac:dyDescent="0.4">
      <c r="A49" s="2">
        <v>2</v>
      </c>
      <c r="B49" s="54" t="str">
        <f t="shared" ref="B49:B63" si="0">C49&amp;"化"</f>
        <v>森化</v>
      </c>
      <c r="C49" s="48" t="s">
        <v>499</v>
      </c>
      <c r="E49" s="2" t="s">
        <v>128</v>
      </c>
      <c r="G49" s="19">
        <v>50</v>
      </c>
      <c r="H49" s="10" t="str">
        <f t="shared" ref="H49:H63" si="1">"攻撃手段:魔法 効果:"&amp;C49&amp;"_変換"&amp;" 射程:20"</f>
        <v>攻撃手段:魔法 効果:森_変換 射程:20</v>
      </c>
      <c r="J49" s="6" t="str">
        <f>IFERROR(_xlfn.LET(_xlpm.v,
VLOOKUP($I49,効果!$A:$B,COLUMN(効果!B$1),FALSE),
IF(_xlpm.v=0,"",_xlpm.v)
),"")</f>
        <v/>
      </c>
      <c r="L49" s="15" t="str">
        <f>IF(OR(COUNTIF(クラス!$A$1:$A$1035, $B49),$B49="",COUNTIF(スキル一覧!$A$1:$A$3500, $B49)), "", "存在しない")</f>
        <v/>
      </c>
      <c r="M49" s="2" t="str">
        <f>IF(COUNTIF($B$1:$C47, $B49), "", "存在しない")</f>
        <v>存在しない</v>
      </c>
      <c r="N49" s="2" t="s">
        <v>1196</v>
      </c>
    </row>
    <row r="50" spans="1:14" ht="36" outlineLevel="1" collapsed="1" x14ac:dyDescent="0.4">
      <c r="A50" s="2">
        <v>3</v>
      </c>
      <c r="B50" s="54" t="str">
        <f t="shared" si="0"/>
        <v>山岳化</v>
      </c>
      <c r="C50" s="48" t="s">
        <v>500</v>
      </c>
      <c r="E50" s="2" t="s">
        <v>128</v>
      </c>
      <c r="G50" s="19">
        <v>50</v>
      </c>
      <c r="H50" s="10" t="str">
        <f t="shared" si="1"/>
        <v>攻撃手段:魔法 効果:山岳_変換 射程:20</v>
      </c>
      <c r="J50" s="6" t="str">
        <f>IFERROR(_xlfn.LET(_xlpm.v,
VLOOKUP($I50,効果!$A:$B,COLUMN(効果!B$1),FALSE),
IF(_xlpm.v=0,"",_xlpm.v)
),"")</f>
        <v/>
      </c>
      <c r="L50" s="15" t="str">
        <f>IF(OR(COUNTIF(クラス!$A$1:$A$1035, $B50),$B50="",COUNTIF(スキル一覧!$A$1:$A$3500, $B50)), "", "存在しない")</f>
        <v/>
      </c>
      <c r="M50" s="2" t="str">
        <f>IF(COUNTIF($B$1:$C48, $B50), "", "存在しない")</f>
        <v>存在しない</v>
      </c>
      <c r="N50" s="2" t="s">
        <v>1196</v>
      </c>
    </row>
    <row r="51" spans="1:14" ht="36" outlineLevel="1" collapsed="1" x14ac:dyDescent="0.4">
      <c r="A51" s="2">
        <v>4</v>
      </c>
      <c r="B51" s="54" t="str">
        <f t="shared" si="0"/>
        <v>丘陵化</v>
      </c>
      <c r="C51" s="48" t="s">
        <v>501</v>
      </c>
      <c r="E51" s="2" t="s">
        <v>128</v>
      </c>
      <c r="G51" s="19">
        <v>50</v>
      </c>
      <c r="H51" s="10" t="str">
        <f t="shared" si="1"/>
        <v>攻撃手段:魔法 効果:丘陵_変換 射程:20</v>
      </c>
      <c r="J51" s="6" t="str">
        <f>IFERROR(_xlfn.LET(_xlpm.v,
VLOOKUP($I51,効果!$A:$B,COLUMN(効果!B$1),FALSE),
IF(_xlpm.v=0,"",_xlpm.v)
),"")</f>
        <v/>
      </c>
      <c r="L51" s="15" t="str">
        <f>IF(OR(COUNTIF(クラス!$A$1:$A$1035, $B51),$B51="",COUNTIF(スキル一覧!$A$1:$A$3500, $B51)), "", "存在しない")</f>
        <v/>
      </c>
      <c r="M51" s="2" t="str">
        <f>IF(COUNTIF($B$1:$C49, $B51), "", "存在しない")</f>
        <v>存在しない</v>
      </c>
      <c r="N51" s="2" t="s">
        <v>1196</v>
      </c>
    </row>
    <row r="52" spans="1:14" ht="36" outlineLevel="1" collapsed="1" x14ac:dyDescent="0.4">
      <c r="A52" s="2">
        <v>5</v>
      </c>
      <c r="B52" s="54" t="str">
        <f t="shared" si="0"/>
        <v>河川化</v>
      </c>
      <c r="C52" s="48" t="s">
        <v>502</v>
      </c>
      <c r="E52" s="2" t="s">
        <v>128</v>
      </c>
      <c r="G52" s="19">
        <v>50</v>
      </c>
      <c r="H52" s="10" t="str">
        <f t="shared" si="1"/>
        <v>攻撃手段:魔法 効果:河川_変換 射程:20</v>
      </c>
      <c r="J52" s="6" t="str">
        <f>IFERROR(_xlfn.LET(_xlpm.v,
VLOOKUP($I52,効果!$A:$B,COLUMN(効果!B$1),FALSE),
IF(_xlpm.v=0,"",_xlpm.v)
),"")</f>
        <v/>
      </c>
      <c r="L52" s="15" t="str">
        <f>IF(OR(COUNTIF(クラス!$A$1:$A$1035, $B52),$B52="",COUNTIF(スキル一覧!$A$1:$A$3500, $B52)), "", "存在しない")</f>
        <v/>
      </c>
      <c r="M52" s="2" t="str">
        <f>IF(COUNTIF($B$1:$C50, $B52), "", "存在しない")</f>
        <v>存在しない</v>
      </c>
      <c r="N52" s="2" t="s">
        <v>1196</v>
      </c>
    </row>
    <row r="53" spans="1:14" ht="36" outlineLevel="1" collapsed="1" x14ac:dyDescent="0.4">
      <c r="A53" s="2">
        <v>6</v>
      </c>
      <c r="B53" s="54" t="str">
        <f t="shared" si="0"/>
        <v>湖化</v>
      </c>
      <c r="C53" s="48" t="s">
        <v>503</v>
      </c>
      <c r="E53" s="2" t="s">
        <v>128</v>
      </c>
      <c r="G53" s="19">
        <v>50</v>
      </c>
      <c r="H53" s="10" t="str">
        <f>"攻撃手段:魔法 効果:"&amp;C53&amp;"_変換"&amp;" 射程:20 炸裂:10"</f>
        <v>攻撃手段:魔法 効果:湖_変換 射程:20 炸裂:10</v>
      </c>
      <c r="J53" s="6" t="str">
        <f>IFERROR(_xlfn.LET(_xlpm.v,
VLOOKUP($I53,効果!$A:$B,COLUMN(効果!B$1),FALSE),
IF(_xlpm.v=0,"",_xlpm.v)
),"")</f>
        <v/>
      </c>
      <c r="L53" s="15" t="str">
        <f>IF(OR(COUNTIF(クラス!$A$1:$A$1035, $B53),$B53="",COUNTIF(スキル一覧!$A$1:$A$3500, $B53)), "", "存在しない")</f>
        <v/>
      </c>
      <c r="M53" s="2" t="str">
        <f>IF(COUNTIF($B$1:$C51, $B53), "", "存在しない")</f>
        <v>存在しない</v>
      </c>
      <c r="N53" s="2" t="s">
        <v>1196</v>
      </c>
    </row>
    <row r="54" spans="1:14" outlineLevel="1" collapsed="1" x14ac:dyDescent="0.4">
      <c r="A54" s="2">
        <v>7</v>
      </c>
      <c r="B54" s="54" t="str">
        <f t="shared" si="0"/>
        <v>海化</v>
      </c>
      <c r="C54" s="48" t="s">
        <v>504</v>
      </c>
      <c r="E54" s="2" t="s">
        <v>128</v>
      </c>
      <c r="G54" s="19">
        <v>50</v>
      </c>
      <c r="H54" s="10" t="str">
        <f t="shared" si="1"/>
        <v>攻撃手段:魔法 効果:海_変換 射程:20</v>
      </c>
      <c r="J54" s="6" t="str">
        <f>IFERROR(_xlfn.LET(_xlpm.v,
VLOOKUP($I54,効果!$A:$B,COLUMN(効果!B$1),FALSE),
IF(_xlpm.v=0,"",_xlpm.v)
),"")</f>
        <v/>
      </c>
      <c r="L54" s="15" t="str">
        <f>IF(OR(COUNTIF(クラス!$A$1:$A$1035, $B54),$B54="",COUNTIF(スキル一覧!$A$1:$A$3500, $B54)), "", "存在しない")</f>
        <v/>
      </c>
      <c r="M54" s="2" t="str">
        <f>IF(COUNTIF($B$1:$C52, $B54), "", "存在しない")</f>
        <v>存在しない</v>
      </c>
      <c r="N54" s="2" t="s">
        <v>1196</v>
      </c>
    </row>
    <row r="55" spans="1:14" ht="36" outlineLevel="1" collapsed="1" x14ac:dyDescent="0.4">
      <c r="A55" s="2">
        <v>8</v>
      </c>
      <c r="B55" s="54" t="str">
        <f t="shared" si="0"/>
        <v>砂漠化</v>
      </c>
      <c r="C55" s="48" t="s">
        <v>505</v>
      </c>
      <c r="E55" s="2" t="s">
        <v>128</v>
      </c>
      <c r="G55" s="19">
        <v>50</v>
      </c>
      <c r="H55" s="10" t="str">
        <f t="shared" si="1"/>
        <v>攻撃手段:魔法 効果:砂漠_変換 射程:20</v>
      </c>
      <c r="J55" s="6" t="str">
        <f>IFERROR(_xlfn.LET(_xlpm.v,
VLOOKUP($I55,効果!$A:$B,COLUMN(効果!B$1),FALSE),
IF(_xlpm.v=0,"",_xlpm.v)
),"")</f>
        <v/>
      </c>
      <c r="L55" s="15" t="str">
        <f>IF(OR(COUNTIF(クラス!$A$1:$A$1035, $B55),$B55="",COUNTIF(スキル一覧!$A$1:$A$3500, $B55)), "", "存在しない")</f>
        <v/>
      </c>
      <c r="M55" s="2" t="str">
        <f>IF(COUNTIF($B$1:$C53, $B55), "", "存在しない")</f>
        <v>存在しない</v>
      </c>
      <c r="N55" s="2" t="s">
        <v>1196</v>
      </c>
    </row>
    <row r="56" spans="1:14" ht="36" outlineLevel="1" collapsed="1" x14ac:dyDescent="0.4">
      <c r="A56" s="2">
        <v>9</v>
      </c>
      <c r="B56" s="54" t="str">
        <f t="shared" si="0"/>
        <v>沼地化</v>
      </c>
      <c r="C56" s="48" t="s">
        <v>506</v>
      </c>
      <c r="E56" s="2" t="s">
        <v>128</v>
      </c>
      <c r="G56" s="19">
        <v>50</v>
      </c>
      <c r="H56" s="10" t="str">
        <f t="shared" si="1"/>
        <v>攻撃手段:魔法 効果:沼地_変換 射程:20</v>
      </c>
      <c r="J56" s="6" t="str">
        <f>IFERROR(_xlfn.LET(_xlpm.v,
VLOOKUP($I56,効果!$A:$B,COLUMN(効果!B$1),FALSE),
IF(_xlpm.v=0,"",_xlpm.v)
),"")</f>
        <v/>
      </c>
      <c r="L56" s="15" t="str">
        <f>IF(OR(COUNTIF(クラス!$A$1:$A$1035, $B56),$B56="",COUNTIF(スキル一覧!$A$1:$A$3500, $B56)), "", "存在しない")</f>
        <v/>
      </c>
      <c r="M56" s="2" t="str">
        <f>IF(COUNTIF($B$1:$C54, $B56), "", "存在しない")</f>
        <v>存在しない</v>
      </c>
      <c r="N56" s="2" t="s">
        <v>1196</v>
      </c>
    </row>
    <row r="57" spans="1:14" ht="36" outlineLevel="1" collapsed="1" x14ac:dyDescent="0.4">
      <c r="A57" s="2">
        <v>10</v>
      </c>
      <c r="B57" s="54" t="str">
        <f t="shared" si="0"/>
        <v>薬草繁茂化</v>
      </c>
      <c r="C57" s="48" t="s">
        <v>1846</v>
      </c>
      <c r="E57" s="2" t="s">
        <v>128</v>
      </c>
      <c r="G57" s="19">
        <v>50</v>
      </c>
      <c r="H57" s="10" t="str">
        <f t="shared" si="1"/>
        <v>攻撃手段:魔法 効果:薬草繁茂_変換 射程:20</v>
      </c>
      <c r="J57" s="6" t="str">
        <f>IFERROR(_xlfn.LET(_xlpm.v,
VLOOKUP($I57,効果!$A:$B,COLUMN(効果!B$1),FALSE),
IF(_xlpm.v=0,"",_xlpm.v)
),"")</f>
        <v/>
      </c>
      <c r="L57" s="15" t="str">
        <f>IF(OR(COUNTIF(クラス!$A$1:$A$1035, $B57),$B57="",COUNTIF(スキル一覧!$A$1:$A$3500, $B57)), "", "存在しない")</f>
        <v/>
      </c>
      <c r="M57" s="2" t="str">
        <f>IF(COUNTIF($B$1:$C55, $B57), "", "存在しない")</f>
        <v>存在しない</v>
      </c>
      <c r="N57" s="2" t="s">
        <v>1196</v>
      </c>
    </row>
    <row r="58" spans="1:14" ht="36" outlineLevel="1" collapsed="1" x14ac:dyDescent="0.4">
      <c r="A58" s="2">
        <v>11</v>
      </c>
      <c r="B58" s="54" t="str">
        <f t="shared" si="0"/>
        <v>峡谷化</v>
      </c>
      <c r="C58" s="48" t="s">
        <v>507</v>
      </c>
      <c r="E58" s="2" t="s">
        <v>128</v>
      </c>
      <c r="G58" s="19">
        <v>50</v>
      </c>
      <c r="H58" s="10" t="str">
        <f t="shared" si="1"/>
        <v>攻撃手段:魔法 効果:峡谷_変換 射程:20</v>
      </c>
      <c r="J58" s="6" t="str">
        <f>IFERROR(_xlfn.LET(_xlpm.v,
VLOOKUP($I58,効果!$A:$B,COLUMN(効果!B$1),FALSE),
IF(_xlpm.v=0,"",_xlpm.v)
),"")</f>
        <v/>
      </c>
      <c r="L58" s="15" t="str">
        <f>IF(OR(COUNTIF(クラス!$A$1:$A$1035, $B58),$B58="",COUNTIF(スキル一覧!$A$1:$A$3500, $B58)), "", "存在しない")</f>
        <v/>
      </c>
      <c r="M58" s="2" t="str">
        <f>IF(COUNTIF($B$1:$C56, $B58), "", "存在しない")</f>
        <v>存在しない</v>
      </c>
      <c r="N58" s="2" t="s">
        <v>1196</v>
      </c>
    </row>
    <row r="59" spans="1:14" ht="36" outlineLevel="1" collapsed="1" x14ac:dyDescent="0.4">
      <c r="A59" s="2">
        <v>12</v>
      </c>
      <c r="B59" s="54" t="str">
        <f t="shared" si="0"/>
        <v>洞窟化</v>
      </c>
      <c r="C59" s="48" t="s">
        <v>508</v>
      </c>
      <c r="E59" s="2" t="s">
        <v>128</v>
      </c>
      <c r="G59" s="19">
        <v>50</v>
      </c>
      <c r="H59" s="10" t="str">
        <f t="shared" si="1"/>
        <v>攻撃手段:魔法 効果:洞窟_変換 射程:20</v>
      </c>
      <c r="J59" s="6" t="str">
        <f>IFERROR(_xlfn.LET(_xlpm.v,
VLOOKUP($I59,効果!$A:$B,COLUMN(効果!B$1),FALSE),
IF(_xlpm.v=0,"",_xlpm.v)
),"")</f>
        <v/>
      </c>
      <c r="L59" s="15" t="str">
        <f>IF(OR(COUNTIF(クラス!$A$1:$A$1035, $B59),$B59="",COUNTIF(スキル一覧!$A$1:$A$3500, $B59)), "", "存在しない")</f>
        <v/>
      </c>
      <c r="M59" s="2" t="str">
        <f>IF(COUNTIF($B$1:$C57, $B59), "", "存在しない")</f>
        <v>存在しない</v>
      </c>
      <c r="N59" s="2" t="s">
        <v>1196</v>
      </c>
    </row>
    <row r="60" spans="1:14" ht="36" outlineLevel="1" collapsed="1" x14ac:dyDescent="0.4">
      <c r="A60" s="2">
        <v>13</v>
      </c>
      <c r="B60" s="54" t="str">
        <f t="shared" si="0"/>
        <v>雪原化</v>
      </c>
      <c r="C60" s="48" t="s">
        <v>509</v>
      </c>
      <c r="E60" s="2" t="s">
        <v>128</v>
      </c>
      <c r="G60" s="19">
        <v>50</v>
      </c>
      <c r="H60" s="10" t="str">
        <f t="shared" si="1"/>
        <v>攻撃手段:魔法 効果:雪原_変換 射程:20</v>
      </c>
      <c r="J60" s="6" t="str">
        <f>IFERROR(_xlfn.LET(_xlpm.v,
VLOOKUP($I60,効果!$A:$B,COLUMN(効果!B$1),FALSE),
IF(_xlpm.v=0,"",_xlpm.v)
),"")</f>
        <v/>
      </c>
      <c r="L60" s="15" t="str">
        <f>IF(OR(COUNTIF(クラス!$A$1:$A$1035, $B60),$B60="",COUNTIF(スキル一覧!$A$1:$A$3500, $B60)), "", "存在しない")</f>
        <v/>
      </c>
      <c r="M60" s="2" t="str">
        <f>IF(COUNTIF($B$1:$C58, $B60), "", "存在しない")</f>
        <v>存在しない</v>
      </c>
      <c r="N60" s="2" t="s">
        <v>1196</v>
      </c>
    </row>
    <row r="61" spans="1:14" ht="36" outlineLevel="1" collapsed="1" x14ac:dyDescent="0.4">
      <c r="A61" s="2">
        <v>14</v>
      </c>
      <c r="B61" s="54" t="str">
        <f t="shared" si="0"/>
        <v>火山化</v>
      </c>
      <c r="C61" s="48" t="s">
        <v>510</v>
      </c>
      <c r="E61" s="2" t="s">
        <v>128</v>
      </c>
      <c r="G61" s="19">
        <v>50</v>
      </c>
      <c r="H61" s="10" t="str">
        <f t="shared" si="1"/>
        <v>攻撃手段:魔法 効果:火山_変換 射程:20</v>
      </c>
      <c r="J61" s="6" t="str">
        <f>IFERROR(_xlfn.LET(_xlpm.v,
VLOOKUP($I61,効果!$A:$B,COLUMN(効果!B$1),FALSE),
IF(_xlpm.v=0,"",_xlpm.v)
),"")</f>
        <v/>
      </c>
      <c r="L61" s="15" t="str">
        <f>IF(OR(COUNTIF(クラス!$A$1:$A$1035, $B61),$B61="",COUNTIF(スキル一覧!$A$1:$A$3500, $B61)), "", "存在しない")</f>
        <v/>
      </c>
      <c r="M61" s="2" t="str">
        <f>IF(COUNTIF($B$1:$C59, $B61), "", "存在しない")</f>
        <v>存在しない</v>
      </c>
      <c r="N61" s="2" t="s">
        <v>1196</v>
      </c>
    </row>
    <row r="62" spans="1:14" ht="36" outlineLevel="1" collapsed="1" x14ac:dyDescent="0.4">
      <c r="A62" s="2">
        <v>15</v>
      </c>
      <c r="B62" s="54" t="str">
        <f t="shared" si="0"/>
        <v>溶岩化</v>
      </c>
      <c r="C62" s="48" t="s">
        <v>739</v>
      </c>
      <c r="E62" s="2" t="s">
        <v>128</v>
      </c>
      <c r="G62" s="19">
        <v>50</v>
      </c>
      <c r="H62" s="10" t="str">
        <f t="shared" si="1"/>
        <v>攻撃手段:魔法 効果:溶岩_変換 射程:20</v>
      </c>
      <c r="J62" s="6" t="str">
        <f>IFERROR(_xlfn.LET(_xlpm.v,
VLOOKUP($I62,効果!$A:$B,COLUMN(効果!B$1),FALSE),
IF(_xlpm.v=0,"",_xlpm.v)
),"")</f>
        <v/>
      </c>
      <c r="L62" s="15" t="str">
        <f>IF(OR(COUNTIF(クラス!$A$1:$A$1035, $B62),$B62="",COUNTIF(スキル一覧!$A$1:$A$3500, $B62)), "", "存在しない")</f>
        <v/>
      </c>
      <c r="M62" s="2" t="str">
        <f>IF(COUNTIF($B$1:$C60, $B62), "", "存在しない")</f>
        <v>存在しない</v>
      </c>
      <c r="N62" s="2" t="s">
        <v>1196</v>
      </c>
    </row>
    <row r="63" spans="1:14" ht="36" outlineLevel="1" collapsed="1" x14ac:dyDescent="0.4">
      <c r="A63" s="2">
        <v>16</v>
      </c>
      <c r="B63" s="54" t="str">
        <f t="shared" si="0"/>
        <v>死の霧化</v>
      </c>
      <c r="C63" s="48" t="s">
        <v>873</v>
      </c>
      <c r="E63" s="2" t="s">
        <v>128</v>
      </c>
      <c r="G63" s="19">
        <v>50</v>
      </c>
      <c r="H63" s="10" t="str">
        <f t="shared" si="1"/>
        <v>攻撃手段:魔法 効果:死の霧_変換 射程:20</v>
      </c>
      <c r="J63" s="6" t="str">
        <f>IFERROR(_xlfn.LET(_xlpm.v,
VLOOKUP($I63,効果!$A:$B,COLUMN(効果!B$1),FALSE),
IF(_xlpm.v=0,"",_xlpm.v)
),"")</f>
        <v/>
      </c>
      <c r="L63" s="15" t="str">
        <f>IF(OR(COUNTIF(クラス!$A$1:$A$1035, $B63),$B63="",COUNTIF(スキル一覧!$A$1:$A$3500, $B63)), "", "存在しない")</f>
        <v/>
      </c>
      <c r="M63" s="2" t="str">
        <f>IF(COUNTIF($B$1:$C61, $B63), "", "存在しない")</f>
        <v>存在しない</v>
      </c>
      <c r="N63" s="2" t="s">
        <v>1196</v>
      </c>
    </row>
    <row r="64" spans="1:14" outlineLevel="1" x14ac:dyDescent="0.4">
      <c r="B64" s="48"/>
      <c r="J64" s="6" t="str">
        <f>IFERROR(_xlfn.LET(_xlpm.v,
VLOOKUP($I64,効果!$A:$B,COLUMN(効果!B$1),FALSE),
IF(_xlpm.v=0,"",_xlpm.v)
),"")</f>
        <v/>
      </c>
      <c r="L64" s="15" t="str">
        <f>IF(OR(COUNTIF(クラス!$A$1:$A$1035, $B64),$B64="",COUNTIF(スキル一覧!$A$1:$A$3500, $B64)), "", "存在しない")</f>
        <v/>
      </c>
      <c r="M64" s="2" t="str">
        <f>IF(COUNTIF($B$1:$C62, $B64), "", "存在しない")</f>
        <v>存在しない</v>
      </c>
      <c r="N64" s="2" t="s">
        <v>1196</v>
      </c>
    </row>
    <row r="65" spans="1:14" outlineLevel="1" x14ac:dyDescent="0.4">
      <c r="B65" s="48"/>
      <c r="J65" s="6" t="str">
        <f>IFERROR(_xlfn.LET(_xlpm.v,
VLOOKUP($I65,効果!$A:$B,COLUMN(効果!B$1),FALSE),
IF(_xlpm.v=0,"",_xlpm.v)
),"")</f>
        <v/>
      </c>
      <c r="L65" s="15" t="str">
        <f>IF(OR(COUNTIF(クラス!$A$1:$A$1035, $B65),$B65="",COUNTIF(スキル一覧!$A$1:$A$3500, $B65)), "", "存在しない")</f>
        <v/>
      </c>
      <c r="M65" s="2" t="str">
        <f>IF(COUNTIF($B$1:$C63, $B65), "", "存在しない")</f>
        <v>存在しない</v>
      </c>
      <c r="N65" s="2" t="s">
        <v>1196</v>
      </c>
    </row>
    <row r="66" spans="1:14" outlineLevel="1" x14ac:dyDescent="0.4">
      <c r="B66" s="48"/>
      <c r="J66" s="6" t="str">
        <f>IFERROR(_xlfn.LET(_xlpm.v,
VLOOKUP($I66,効果!$A:$B,COLUMN(効果!B$1),FALSE),
IF(_xlpm.v=0,"",_xlpm.v)
),"")</f>
        <v/>
      </c>
      <c r="L66" s="15" t="str">
        <f>IF(OR(COUNTIF(クラス!$A$1:$A$1035, $B66),$B66="",COUNTIF(スキル一覧!$A$1:$A$3500, $B66)), "", "存在しない")</f>
        <v/>
      </c>
      <c r="M66" s="2" t="str">
        <f>IF(COUNTIF($B$1:$C64, $B66), "", "存在しない")</f>
        <v>存在しない</v>
      </c>
      <c r="N66" s="2" t="s">
        <v>1196</v>
      </c>
    </row>
    <row r="67" spans="1:14" outlineLevel="1" x14ac:dyDescent="0.4">
      <c r="B67" s="48"/>
      <c r="J67" s="6" t="str">
        <f>IFERROR(_xlfn.LET(_xlpm.v,
VLOOKUP($I67,効果!$A:$B,COLUMN(効果!B$1),FALSE),
IF(_xlpm.v=0,"",_xlpm.v)
),"")</f>
        <v/>
      </c>
      <c r="L67" s="15" t="str">
        <f>IF(OR(COUNTIF(クラス!$A$1:$A$1035, $B67),$B67="",COUNTIF(スキル一覧!$A$1:$A$3500, $B67)), "", "存在しない")</f>
        <v/>
      </c>
      <c r="M67" s="2" t="str">
        <f>IF(COUNTIF($B$1:$C65, $B67), "", "存在しない")</f>
        <v>存在しない</v>
      </c>
      <c r="N67" s="2" t="s">
        <v>1196</v>
      </c>
    </row>
    <row r="68" spans="1:14" outlineLevel="1" x14ac:dyDescent="0.4">
      <c r="B68" s="48"/>
      <c r="J68" s="6" t="str">
        <f>IFERROR(_xlfn.LET(_xlpm.v,
VLOOKUP($I68,効果!$A:$B,COLUMN(効果!B$1),FALSE),
IF(_xlpm.v=0,"",_xlpm.v)
),"")</f>
        <v/>
      </c>
      <c r="L68" s="15" t="str">
        <f>IF(OR(COUNTIF(クラス!$A$1:$A$1035, $B68),$B68="",COUNTIF(スキル一覧!$A$1:$A$3500, $B68)), "", "存在しない")</f>
        <v/>
      </c>
      <c r="M68" s="2" t="str">
        <f>IF(COUNTIF($B$1:$C66, $B68), "", "存在しない")</f>
        <v>存在しない</v>
      </c>
      <c r="N68" s="2" t="s">
        <v>1196</v>
      </c>
    </row>
    <row r="69" spans="1:14" outlineLevel="1" x14ac:dyDescent="0.4">
      <c r="B69" s="48"/>
      <c r="J69" s="6" t="str">
        <f>IFERROR(_xlfn.LET(_xlpm.v,
VLOOKUP($I69,効果!$A:$B,COLUMN(効果!B$1),FALSE),
IF(_xlpm.v=0,"",_xlpm.v)
),"")</f>
        <v/>
      </c>
      <c r="L69" s="15" t="str">
        <f>IF(OR(COUNTIF(クラス!$A$1:$A$1035, $B69),$B69="",COUNTIF(スキル一覧!$A$1:$A$3500, $B69)), "", "存在しない")</f>
        <v/>
      </c>
      <c r="M69" s="2" t="str">
        <f>IF(COUNTIF($B$1:$C67, $B69), "", "存在しない")</f>
        <v>存在しない</v>
      </c>
      <c r="N69" s="2" t="s">
        <v>1196</v>
      </c>
    </row>
    <row r="70" spans="1:14" outlineLevel="1" x14ac:dyDescent="0.4">
      <c r="J70" s="6" t="str">
        <f>IFERROR(_xlfn.LET(_xlpm.v,
VLOOKUP($I70,効果!$A:$B,COLUMN(効果!B$1),FALSE),
IF(_xlpm.v=0,"",_xlpm.v)
),"")</f>
        <v/>
      </c>
      <c r="L70" s="15" t="str">
        <f>IF(OR(COUNTIF(クラス!$A$1:$A$1035, $B70),$B70="",COUNTIF(スキル一覧!$A$1:$A$3500, $B70)), "", "存在しない")</f>
        <v/>
      </c>
      <c r="M70" s="2" t="str">
        <f>IF(COUNTIF($B$1:$C68, $B70), "", "存在しない")</f>
        <v>存在しない</v>
      </c>
      <c r="N70" s="2" t="s">
        <v>1196</v>
      </c>
    </row>
    <row r="71" spans="1:14" outlineLevel="1" x14ac:dyDescent="0.4">
      <c r="J71" s="6" t="str">
        <f>IFERROR(_xlfn.LET(_xlpm.v,
VLOOKUP($I71,効果!$A:$B,COLUMN(効果!B$1),FALSE),
IF(_xlpm.v=0,"",_xlpm.v)
),"")</f>
        <v/>
      </c>
      <c r="L71" s="15" t="str">
        <f>IF(OR(COUNTIF(クラス!$A$1:$A$1035, $B71),$B71="",COUNTIF(スキル一覧!$A$1:$A$3500, $B71)), "", "存在しない")</f>
        <v/>
      </c>
      <c r="M71" s="2" t="str">
        <f>IF(COUNTIF($B$1:$C69, $B71), "", "存在しない")</f>
        <v>存在しない</v>
      </c>
      <c r="N71" s="2" t="s">
        <v>1196</v>
      </c>
    </row>
    <row r="73" spans="1:14" x14ac:dyDescent="0.4">
      <c r="B73" s="48"/>
      <c r="C73" s="2" t="str">
        <f>"------------炎魔法 ------------"</f>
        <v>------------炎魔法 ------------</v>
      </c>
      <c r="J73" s="6" t="str">
        <f>IFERROR(_xlfn.LET(_xlpm.v,
VLOOKUP($I73,効果!$A:$B,COLUMN(効果!B$1),FALSE),
IF(_xlpm.v=0,"",_xlpm.v)
),"")</f>
        <v/>
      </c>
      <c r="L73" s="15" t="str">
        <f>IF(OR(COUNTIF(クラス!$A$1:$A$1035, $B73),$B73="",COUNTIF(スキル一覧!$A$1:$A$3500, $B73)), "", "存在しない")</f>
        <v/>
      </c>
      <c r="M73" s="2" t="str">
        <f>IF(COUNTIF($B$1:$C44, $B73), "", "存在しない")</f>
        <v>存在しない</v>
      </c>
      <c r="N73" s="2" t="s">
        <v>1196</v>
      </c>
    </row>
    <row r="74" spans="1:14" ht="36" hidden="1" outlineLevel="1" collapsed="1" x14ac:dyDescent="0.4">
      <c r="A74" s="2">
        <v>1</v>
      </c>
      <c r="B74" s="54" t="s">
        <v>1273</v>
      </c>
      <c r="C74" s="2" t="s">
        <v>1274</v>
      </c>
      <c r="D74" s="2" t="s">
        <v>98</v>
      </c>
      <c r="E74" s="13" t="s">
        <v>1275</v>
      </c>
      <c r="G74" s="19">
        <v>4</v>
      </c>
      <c r="H74" s="6" t="s">
        <v>1821</v>
      </c>
      <c r="L74" s="15" t="str">
        <f>IF(OR(COUNTIF(クラス!$A$1:$A$1035, $B74),$B74="",COUNTIF(スキル一覧!$A$1:$A$3500, $B74)), "", "存在しない")</f>
        <v/>
      </c>
      <c r="M74" s="2" t="str">
        <f>IF(COUNTIF($B$1:$C45, $B74), "", "存在しない")</f>
        <v>存在しない</v>
      </c>
      <c r="N74" s="2" t="s">
        <v>1322</v>
      </c>
    </row>
    <row r="75" spans="1:14" ht="36" hidden="1" outlineLevel="1" collapsed="1" x14ac:dyDescent="0.4">
      <c r="A75" s="2">
        <v>2</v>
      </c>
      <c r="B75" s="48" t="s">
        <v>1276</v>
      </c>
      <c r="C75" s="2" t="s">
        <v>1277</v>
      </c>
      <c r="D75" s="2" t="s">
        <v>98</v>
      </c>
      <c r="E75" s="13" t="s">
        <v>1275</v>
      </c>
      <c r="G75" s="19">
        <v>8</v>
      </c>
      <c r="H75" s="10" t="s">
        <v>1829</v>
      </c>
      <c r="L75" s="15" t="str">
        <f>IF(OR(COUNTIF(クラス!$A$1:$A$1035, $B75),$B75="",COUNTIF(スキル一覧!$A$1:$A$3500, $B75)), "", "存在しない")</f>
        <v/>
      </c>
      <c r="M75" s="2" t="str">
        <f>IF(COUNTIF($B$1:$C73, $B75), "", "存在しない")</f>
        <v>存在しない</v>
      </c>
      <c r="N75" s="2" t="s">
        <v>1323</v>
      </c>
    </row>
    <row r="76" spans="1:14" ht="36" hidden="1" outlineLevel="1" collapsed="1" x14ac:dyDescent="0.4">
      <c r="B76" s="48" t="s">
        <v>1272</v>
      </c>
      <c r="C76" s="2" t="s">
        <v>1278</v>
      </c>
      <c r="D76" s="2" t="s">
        <v>98</v>
      </c>
      <c r="E76" s="13" t="s">
        <v>1275</v>
      </c>
      <c r="G76" s="19">
        <v>8</v>
      </c>
      <c r="H76" s="10" t="s">
        <v>1830</v>
      </c>
      <c r="L76" s="15" t="str">
        <f>IF(OR(COUNTIF(クラス!$A$1:$A$1035, $B76),$B76="",COUNTIF(スキル一覧!$A$1:$A$3500, $B76)), "", "存在しない")</f>
        <v/>
      </c>
      <c r="M76" s="2" t="str">
        <f>IF(COUNTIF($B$1:$C74, $B76), "", "存在しない")</f>
        <v>存在しない</v>
      </c>
      <c r="N76" s="2" t="s">
        <v>1326</v>
      </c>
    </row>
    <row r="77" spans="1:14" ht="36" hidden="1" outlineLevel="1" collapsed="1" x14ac:dyDescent="0.4">
      <c r="B77" s="48" t="s">
        <v>1279</v>
      </c>
      <c r="C77" s="2" t="s">
        <v>1280</v>
      </c>
      <c r="D77" s="2" t="s">
        <v>98</v>
      </c>
      <c r="E77" s="13" t="s">
        <v>1275</v>
      </c>
      <c r="G77" s="19">
        <v>12</v>
      </c>
      <c r="H77" s="10" t="s">
        <v>1831</v>
      </c>
      <c r="L77" s="15" t="str">
        <f>IF(OR(COUNTIF(クラス!$A$1:$A$1035, $B77),$B77="",COUNTIF(スキル一覧!$A$1:$A$3500, $B77)), "", "存在しない")</f>
        <v/>
      </c>
      <c r="M77" s="2" t="str">
        <f>IF(COUNTIF($B$1:$C75, $B77), "", "存在しない")</f>
        <v>存在しない</v>
      </c>
      <c r="N77" s="2" t="s">
        <v>1324</v>
      </c>
    </row>
    <row r="78" spans="1:14" ht="36" hidden="1" outlineLevel="1" collapsed="1" x14ac:dyDescent="0.4">
      <c r="B78" s="48" t="s">
        <v>1281</v>
      </c>
      <c r="C78" s="2" t="s">
        <v>1282</v>
      </c>
      <c r="D78" s="2" t="s">
        <v>98</v>
      </c>
      <c r="E78" s="13" t="s">
        <v>1275</v>
      </c>
      <c r="G78" s="19">
        <v>12</v>
      </c>
      <c r="H78" s="10" t="s">
        <v>1832</v>
      </c>
      <c r="L78" s="15" t="str">
        <f>IF(OR(COUNTIF(クラス!$A$1:$A$1035, $B78),$B78="",COUNTIF(スキル一覧!$A$1:$A$3500, $B78)), "", "存在しない")</f>
        <v/>
      </c>
      <c r="M78" s="2" t="str">
        <f>IF(COUNTIF($B$1:$C76, $B78), "", "存在しない")</f>
        <v>存在しない</v>
      </c>
      <c r="N78" s="2" t="s">
        <v>1196</v>
      </c>
    </row>
    <row r="79" spans="1:14" ht="36" hidden="1" outlineLevel="1" collapsed="1" x14ac:dyDescent="0.4">
      <c r="B79" s="48" t="s">
        <v>1283</v>
      </c>
      <c r="C79" s="2" t="s">
        <v>1284</v>
      </c>
      <c r="D79" s="2" t="s">
        <v>98</v>
      </c>
      <c r="E79" s="13" t="s">
        <v>1275</v>
      </c>
      <c r="G79" s="19">
        <v>16</v>
      </c>
      <c r="H79" s="10" t="s">
        <v>1833</v>
      </c>
      <c r="L79" s="15" t="str">
        <f>IF(OR(COUNTIF(クラス!$A$1:$A$1035, $B79),$B79="",COUNTIF(スキル一覧!$A$1:$A$3500, $B79)), "", "存在しない")</f>
        <v/>
      </c>
      <c r="M79" s="2" t="str">
        <f>IF(COUNTIF($B$1:$C77, $B79), "", "存在しない")</f>
        <v>存在しない</v>
      </c>
      <c r="N79" s="2" t="s">
        <v>1325</v>
      </c>
    </row>
    <row r="80" spans="1:14" ht="36" hidden="1" outlineLevel="1" collapsed="1" x14ac:dyDescent="0.4">
      <c r="B80" s="48" t="s">
        <v>1285</v>
      </c>
      <c r="C80" s="2" t="s">
        <v>1286</v>
      </c>
      <c r="D80" s="2" t="s">
        <v>98</v>
      </c>
      <c r="E80" s="13" t="s">
        <v>1275</v>
      </c>
      <c r="G80" s="19">
        <v>16</v>
      </c>
      <c r="H80" s="10" t="s">
        <v>1834</v>
      </c>
      <c r="L80" s="15" t="str">
        <f>IF(OR(COUNTIF(クラス!$A$1:$A$1035, $B80),$B80="",COUNTIF(スキル一覧!$A$1:$A$3500, $B80)), "", "存在しない")</f>
        <v/>
      </c>
      <c r="M80" s="2" t="str">
        <f>IF(COUNTIF($B$1:$C78, $B80), "", "存在しない")</f>
        <v>存在しない</v>
      </c>
      <c r="N80" s="2" t="s">
        <v>1196</v>
      </c>
    </row>
    <row r="81" spans="2:14" ht="36" hidden="1" outlineLevel="1" collapsed="1" x14ac:dyDescent="0.4">
      <c r="B81" s="48" t="s">
        <v>1287</v>
      </c>
      <c r="C81" s="2" t="s">
        <v>1288</v>
      </c>
      <c r="D81" s="2" t="s">
        <v>98</v>
      </c>
      <c r="E81" s="13" t="s">
        <v>1275</v>
      </c>
      <c r="G81" s="19">
        <v>20</v>
      </c>
      <c r="H81" s="10" t="s">
        <v>1835</v>
      </c>
      <c r="L81" s="15" t="str">
        <f>IF(OR(COUNTIF(クラス!$A$1:$A$1035, $B81),$B81="",COUNTIF(スキル一覧!$A$1:$A$3500, $B81)), "", "存在しない")</f>
        <v/>
      </c>
      <c r="M81" s="2" t="str">
        <f>IF(COUNTIF($B$1:$C79, $B81), "", "存在しない")</f>
        <v>存在しない</v>
      </c>
      <c r="N81" s="2" t="s">
        <v>1196</v>
      </c>
    </row>
    <row r="82" spans="2:14" ht="36" hidden="1" outlineLevel="1" collapsed="1" x14ac:dyDescent="0.4">
      <c r="B82" s="48" t="s">
        <v>1289</v>
      </c>
      <c r="C82" s="2" t="s">
        <v>1290</v>
      </c>
      <c r="D82" s="2" t="s">
        <v>98</v>
      </c>
      <c r="E82" s="13" t="s">
        <v>1275</v>
      </c>
      <c r="G82" s="19">
        <v>24</v>
      </c>
      <c r="H82" s="10" t="s">
        <v>1836</v>
      </c>
      <c r="L82" s="15" t="str">
        <f>IF(OR(COUNTIF(クラス!$A$1:$A$1035, $B82),$B82="",COUNTIF(スキル一覧!$A$1:$A$3500, $B82)), "", "存在しない")</f>
        <v/>
      </c>
      <c r="M82" s="2" t="str">
        <f>IF(COUNTIF($B$1:$C80, $B82), "", "存在しない")</f>
        <v>存在しない</v>
      </c>
      <c r="N82" s="2" t="s">
        <v>1196</v>
      </c>
    </row>
    <row r="83" spans="2:14" ht="36" hidden="1" outlineLevel="1" collapsed="1" x14ac:dyDescent="0.4">
      <c r="B83" s="48" t="s">
        <v>1291</v>
      </c>
      <c r="C83" s="2" t="s">
        <v>1292</v>
      </c>
      <c r="D83" s="2" t="s">
        <v>98</v>
      </c>
      <c r="E83" s="13" t="s">
        <v>1275</v>
      </c>
      <c r="G83" s="19">
        <v>8</v>
      </c>
      <c r="H83" s="10" t="s">
        <v>1822</v>
      </c>
      <c r="L83" s="15" t="str">
        <f>IF(OR(COUNTIF(クラス!$A$1:$A$1035, $B83),$B83="",COUNTIF(スキル一覧!$A$1:$A$3500, $B83)), "", "存在しない")</f>
        <v/>
      </c>
      <c r="M83" s="2" t="str">
        <f>IF(COUNTIF($B$1:$C81, $B83), "", "存在しない")</f>
        <v>存在しない</v>
      </c>
      <c r="N83" s="2" t="s">
        <v>1196</v>
      </c>
    </row>
    <row r="84" spans="2:14" ht="36" hidden="1" outlineLevel="1" collapsed="1" x14ac:dyDescent="0.4">
      <c r="B84" s="48" t="s">
        <v>1293</v>
      </c>
      <c r="C84" s="2" t="s">
        <v>1294</v>
      </c>
      <c r="D84" s="2" t="s">
        <v>98</v>
      </c>
      <c r="E84" s="13" t="s">
        <v>1275</v>
      </c>
      <c r="G84" s="19">
        <v>20</v>
      </c>
      <c r="H84" s="10" t="s">
        <v>1841</v>
      </c>
      <c r="L84" s="15" t="str">
        <f>IF(OR(COUNTIF(クラス!$A$1:$A$1035, $B84),$B84="",COUNTIF(スキル一覧!$A$1:$A$3500, $B84)), "", "存在しない")</f>
        <v/>
      </c>
      <c r="M84" s="2" t="str">
        <f>IF(COUNTIF($B$1:$C82, $B84), "", "存在しない")</f>
        <v>存在しない</v>
      </c>
      <c r="N84" s="2" t="s">
        <v>1196</v>
      </c>
    </row>
    <row r="85" spans="2:14" hidden="1" outlineLevel="1" collapsed="1" x14ac:dyDescent="0.4">
      <c r="B85" s="48" t="s">
        <v>1295</v>
      </c>
      <c r="E85" s="13" t="s">
        <v>1275</v>
      </c>
      <c r="G85" s="19">
        <v>24</v>
      </c>
      <c r="L85" s="15" t="str">
        <f>IF(OR(COUNTIF(クラス!$A$1:$A$1035, $B85),$B85="",COUNTIF(スキル一覧!$A$1:$A$3500, $B85)), "", "存在しない")</f>
        <v>存在しない</v>
      </c>
      <c r="M85" s="2" t="str">
        <f>IF(COUNTIF($B$1:$C83, $B85), "", "存在しない")</f>
        <v>存在しない</v>
      </c>
      <c r="N85" s="2" t="s">
        <v>1196</v>
      </c>
    </row>
    <row r="86" spans="2:14" hidden="1" outlineLevel="1" collapsed="1" x14ac:dyDescent="0.4">
      <c r="B86" s="48" t="s">
        <v>1296</v>
      </c>
      <c r="E86" s="13" t="s">
        <v>1275</v>
      </c>
      <c r="G86" s="19">
        <v>24</v>
      </c>
      <c r="L86" s="15" t="str">
        <f>IF(OR(COUNTIF(クラス!$A$1:$A$1035, $B86),$B86="",COUNTIF(スキル一覧!$A$1:$A$3500, $B86)), "", "存在しない")</f>
        <v>存在しない</v>
      </c>
      <c r="M86" s="2" t="str">
        <f>IF(COUNTIF($B$1:$C84, $B86), "", "存在しない")</f>
        <v>存在しない</v>
      </c>
      <c r="N86" s="2" t="s">
        <v>1196</v>
      </c>
    </row>
    <row r="87" spans="2:14" hidden="1" outlineLevel="1" collapsed="1" x14ac:dyDescent="0.4">
      <c r="B87" s="48" t="s">
        <v>1297</v>
      </c>
      <c r="E87" s="13" t="s">
        <v>1275</v>
      </c>
      <c r="G87" s="19">
        <v>12</v>
      </c>
      <c r="L87" s="15" t="str">
        <f>IF(OR(COUNTIF(クラス!$A$1:$A$1035, $B87),$B87="",COUNTIF(スキル一覧!$A$1:$A$3500, $B87)), "", "存在しない")</f>
        <v>存在しない</v>
      </c>
      <c r="M87" s="2" t="str">
        <f>IF(COUNTIF($B$1:$C85, $B87), "", "存在しない")</f>
        <v>存在しない</v>
      </c>
      <c r="N87" s="2" t="s">
        <v>1196</v>
      </c>
    </row>
    <row r="88" spans="2:14" hidden="1" outlineLevel="1" collapsed="1" x14ac:dyDescent="0.4">
      <c r="B88" s="48" t="s">
        <v>492</v>
      </c>
      <c r="E88" s="13" t="s">
        <v>1275</v>
      </c>
      <c r="G88" s="19">
        <v>16</v>
      </c>
      <c r="L88" s="15" t="str">
        <f>IF(OR(COUNTIF(クラス!$A$1:$A$1035, $B88),$B88="",COUNTIF(スキル一覧!$A$1:$A$3500, $B88)), "", "存在しない")</f>
        <v>存在しない</v>
      </c>
      <c r="M88" s="2" t="str">
        <f>IF(COUNTIF($B$1:$C86, $B88), "", "存在しない")</f>
        <v>存在しない</v>
      </c>
      <c r="N88" s="2" t="s">
        <v>1196</v>
      </c>
    </row>
    <row r="89" spans="2:14" hidden="1" outlineLevel="1" x14ac:dyDescent="0.4">
      <c r="B89" s="48" t="s">
        <v>1298</v>
      </c>
      <c r="E89" s="13" t="s">
        <v>1275</v>
      </c>
      <c r="G89" s="19">
        <v>20</v>
      </c>
      <c r="L89" s="15" t="str">
        <f>IF(OR(COUNTIF(クラス!$A$1:$A$1035, $B89),$B89="",COUNTIF(スキル一覧!$A$1:$A$3500, $B89)), "", "存在しない")</f>
        <v>存在しない</v>
      </c>
      <c r="M89" s="2" t="str">
        <f>IF(COUNTIF($B$1:$C87, $B89), "", "存在しない")</f>
        <v>存在しない</v>
      </c>
      <c r="N89" s="2" t="s">
        <v>1196</v>
      </c>
    </row>
    <row r="90" spans="2:14" hidden="1" outlineLevel="1" x14ac:dyDescent="0.4">
      <c r="B90" s="48" t="s">
        <v>1299</v>
      </c>
      <c r="E90" s="13" t="s">
        <v>1275</v>
      </c>
      <c r="G90" s="19">
        <v>24</v>
      </c>
      <c r="L90" s="15" t="str">
        <f>IF(OR(COUNTIF(クラス!$A$1:$A$1035, $B90),$B90="",COUNTIF(スキル一覧!$A$1:$A$3500, $B90)), "", "存在しない")</f>
        <v>存在しない</v>
      </c>
      <c r="M90" s="2" t="str">
        <f>IF(COUNTIF($B$1:$C38, $B90), "", "存在しない")</f>
        <v>存在しない</v>
      </c>
      <c r="N90" s="2" t="s">
        <v>1196</v>
      </c>
    </row>
    <row r="91" spans="2:14" hidden="1" outlineLevel="1" x14ac:dyDescent="0.4">
      <c r="B91" s="48" t="s">
        <v>1300</v>
      </c>
      <c r="E91" s="13" t="s">
        <v>1275</v>
      </c>
      <c r="G91" s="19">
        <v>28</v>
      </c>
      <c r="L91" s="15" t="str">
        <f>IF(OR(COUNTIF(クラス!$A$1:$A$1035, $B91),$B91="",COUNTIF(スキル一覧!$A$1:$A$3500, $B91)), "", "存在しない")</f>
        <v>存在しない</v>
      </c>
      <c r="M91" s="2" t="str">
        <f>IF(COUNTIF($B$1:$C39, $B91), "", "存在しない")</f>
        <v>存在しない</v>
      </c>
      <c r="N91" s="2" t="s">
        <v>1196</v>
      </c>
    </row>
    <row r="92" spans="2:14" ht="36" hidden="1" outlineLevel="1" x14ac:dyDescent="0.4">
      <c r="B92" s="48" t="s">
        <v>1301</v>
      </c>
      <c r="C92" s="2" t="s">
        <v>1302</v>
      </c>
      <c r="D92" s="2" t="s">
        <v>98</v>
      </c>
      <c r="E92" s="13" t="s">
        <v>1275</v>
      </c>
      <c r="G92" s="19">
        <v>4</v>
      </c>
      <c r="H92" s="10" t="s">
        <v>1823</v>
      </c>
      <c r="L92" s="15" t="str">
        <f>IF(OR(COUNTIF(クラス!$A$1:$A$1035, $B92),$B92="",COUNTIF(スキル一覧!$A$1:$A$3500, $B92)), "", "存在しない")</f>
        <v>存在しない</v>
      </c>
      <c r="M92" s="2" t="str">
        <f>IF(COUNTIF($B$1:$C90, $B92), "", "存在しない")</f>
        <v>存在しない</v>
      </c>
      <c r="N92" s="2" t="s">
        <v>1196</v>
      </c>
    </row>
    <row r="93" spans="2:14" ht="36" hidden="1" outlineLevel="1" x14ac:dyDescent="0.4">
      <c r="B93" s="48" t="s">
        <v>1303</v>
      </c>
      <c r="C93" s="2" t="s">
        <v>1304</v>
      </c>
      <c r="E93" s="13" t="s">
        <v>1275</v>
      </c>
      <c r="G93" s="19">
        <v>8</v>
      </c>
      <c r="H93" s="10" t="s">
        <v>1823</v>
      </c>
      <c r="L93" s="15" t="str">
        <f>IF(OR(COUNTIF(クラス!$A$1:$A$1035, $B93),$B93="",COUNTIF(スキル一覧!$A$1:$A$3500, $B93)), "", "存在しない")</f>
        <v>存在しない</v>
      </c>
      <c r="M93" s="2" t="str">
        <f>IF(COUNTIF($B$1:$C91, $B93), "", "存在しない")</f>
        <v>存在しない</v>
      </c>
      <c r="N93" s="2" t="s">
        <v>1196</v>
      </c>
    </row>
    <row r="94" spans="2:14" hidden="1" outlineLevel="1" x14ac:dyDescent="0.4">
      <c r="B94" s="48" t="s">
        <v>1305</v>
      </c>
      <c r="C94" s="2" t="s">
        <v>1306</v>
      </c>
      <c r="E94" s="13" t="s">
        <v>1275</v>
      </c>
      <c r="G94" s="19">
        <v>12</v>
      </c>
      <c r="L94" s="15" t="str">
        <f>IF(OR(COUNTIF(クラス!$A$1:$A$1035, $B94),$B94="",COUNTIF(スキル一覧!$A$1:$A$3500, $B94)), "", "存在しない")</f>
        <v>存在しない</v>
      </c>
      <c r="M94" s="2" t="str">
        <f>IF(COUNTIF($B$1:$C92, $B94), "", "存在しない")</f>
        <v>存在しない</v>
      </c>
      <c r="N94" s="2" t="s">
        <v>1196</v>
      </c>
    </row>
    <row r="95" spans="2:14" hidden="1" outlineLevel="1" x14ac:dyDescent="0.4">
      <c r="B95" s="48" t="s">
        <v>1307</v>
      </c>
      <c r="C95" s="2" t="s">
        <v>1308</v>
      </c>
      <c r="E95" s="13" t="s">
        <v>1275</v>
      </c>
      <c r="G95" s="19">
        <v>16</v>
      </c>
      <c r="L95" s="15" t="str">
        <f>IF(OR(COUNTIF(クラス!$A$1:$A$1035, $B95),$B95="",COUNTIF(スキル一覧!$A$1:$A$3500, $B95)), "", "存在しない")</f>
        <v>存在しない</v>
      </c>
      <c r="M95" s="2" t="str">
        <f>IF(COUNTIF($B$1:$C93, $B95), "", "存在しない")</f>
        <v>存在しない</v>
      </c>
      <c r="N95" s="2" t="s">
        <v>1196</v>
      </c>
    </row>
    <row r="96" spans="2:14" hidden="1" outlineLevel="1" x14ac:dyDescent="0.4">
      <c r="B96" s="2" t="s">
        <v>1309</v>
      </c>
      <c r="E96" s="13" t="s">
        <v>1275</v>
      </c>
      <c r="G96" s="19">
        <v>20</v>
      </c>
      <c r="L96" s="15" t="str">
        <f>IF(OR(COUNTIF(クラス!$A$1:$A$1035, $B96),$B96="",COUNTIF(スキル一覧!$A$1:$A$3500, $B96)), "", "存在しない")</f>
        <v>存在しない</v>
      </c>
      <c r="M96" s="2" t="str">
        <f>IF(COUNTIF($B$1:$C94, $B96), "", "存在しない")</f>
        <v>存在しない</v>
      </c>
      <c r="N96" s="2" t="s">
        <v>1196</v>
      </c>
    </row>
    <row r="97" spans="1:14" hidden="1" outlineLevel="1" x14ac:dyDescent="0.4">
      <c r="B97" s="2" t="s">
        <v>1310</v>
      </c>
      <c r="C97" s="2" t="s">
        <v>1311</v>
      </c>
      <c r="E97" s="13" t="s">
        <v>1275</v>
      </c>
      <c r="G97" s="19">
        <v>24</v>
      </c>
      <c r="L97" s="15" t="str">
        <f>IF(OR(COUNTIF(クラス!$A$1:$A$1035, $B97),$B97="",COUNTIF(スキル一覧!$A$1:$A$3500, $B97)), "", "存在しない")</f>
        <v>存在しない</v>
      </c>
      <c r="M97" s="2" t="str">
        <f>IF(COUNTIF($B$1:$C95, $B97), "", "存在しない")</f>
        <v>存在しない</v>
      </c>
      <c r="N97" s="2" t="s">
        <v>1196</v>
      </c>
    </row>
    <row r="98" spans="1:14" hidden="1" outlineLevel="1" x14ac:dyDescent="0.4">
      <c r="B98" s="48" t="s">
        <v>1312</v>
      </c>
      <c r="C98" s="2" t="s">
        <v>1313</v>
      </c>
      <c r="E98" s="13" t="s">
        <v>1275</v>
      </c>
      <c r="G98" s="19">
        <v>28</v>
      </c>
      <c r="L98" s="15" t="str">
        <f>IF(OR(COUNTIF(クラス!$A$1:$A$1035, $B98),$B98="",COUNTIF(スキル一覧!$A$1:$A$3500, $B98)), "", "存在しない")</f>
        <v>存在しない</v>
      </c>
      <c r="M98" s="2" t="str">
        <f>IF(COUNTIF($B$1:$C73, $B98), "", "存在しない")</f>
        <v>存在しない</v>
      </c>
      <c r="N98" s="2" t="s">
        <v>1196</v>
      </c>
    </row>
    <row r="99" spans="1:14" hidden="1" outlineLevel="1" x14ac:dyDescent="0.4">
      <c r="B99" s="48"/>
      <c r="L99" s="15" t="str">
        <f>IF(OR(COUNTIF(クラス!$A$1:$A$1035, $B99),$B99="",COUNTIF(スキル一覧!$A$1:$A$3500, $B99)), "", "存在しない")</f>
        <v/>
      </c>
      <c r="M99" s="2" t="str">
        <f>IF(COUNTIF($B$1:$C74, $B99), "", "存在しない")</f>
        <v>存在しない</v>
      </c>
      <c r="N99" s="2" t="s">
        <v>1196</v>
      </c>
    </row>
    <row r="100" spans="1:14" hidden="1" outlineLevel="1" x14ac:dyDescent="0.4">
      <c r="B100" s="48"/>
      <c r="L100" s="15" t="str">
        <f>IF(OR(COUNTIF(クラス!$A$1:$A$1035, $B100),$B100="",COUNTIF(スキル一覧!$A$1:$A$3500, $B100)), "", "存在しない")</f>
        <v/>
      </c>
      <c r="M100" s="2" t="str">
        <f>IF(COUNTIF($B$1:$C98, $B100), "", "存在しない")</f>
        <v>存在しない</v>
      </c>
      <c r="N100" s="2" t="s">
        <v>1196</v>
      </c>
    </row>
    <row r="101" spans="1:14" ht="36" hidden="1" outlineLevel="1" x14ac:dyDescent="0.4">
      <c r="A101" s="2">
        <v>3</v>
      </c>
      <c r="B101" s="48" t="s">
        <v>1534</v>
      </c>
      <c r="C101" s="2" t="s">
        <v>1537</v>
      </c>
      <c r="E101" s="13" t="s">
        <v>1539</v>
      </c>
      <c r="G101" s="19">
        <v>100</v>
      </c>
      <c r="H101" s="10" t="s">
        <v>1824</v>
      </c>
      <c r="L101" s="15" t="str">
        <f>IF(OR(COUNTIF(クラス!$A$1:$A$1035, $B101),$B101="",COUNTIF(スキル一覧!$A$1:$A$3500, $B101)), "", "存在しない")</f>
        <v/>
      </c>
      <c r="M101" s="2" t="str">
        <f>IF(COUNTIF($B$1:$C99, $B101), "", "存在しない")</f>
        <v>存在しない</v>
      </c>
      <c r="N101" s="2" t="s">
        <v>1196</v>
      </c>
    </row>
    <row r="102" spans="1:14" ht="36" hidden="1" outlineLevel="1" x14ac:dyDescent="0.4">
      <c r="A102" s="2">
        <v>5</v>
      </c>
      <c r="B102" s="48" t="s">
        <v>1533</v>
      </c>
      <c r="C102" s="2" t="s">
        <v>1536</v>
      </c>
      <c r="E102" s="13" t="s">
        <v>1539</v>
      </c>
      <c r="G102" s="19">
        <v>100</v>
      </c>
      <c r="H102" s="10" t="s">
        <v>1825</v>
      </c>
      <c r="L102" s="15" t="str">
        <f>IF(OR(COUNTIF(クラス!$A$1:$A$1035, $B102),$B102="",COUNTIF(スキル一覧!$A$1:$A$3500, $B102)), "", "存在しない")</f>
        <v/>
      </c>
      <c r="M102" s="2" t="str">
        <f>IF(COUNTIF($B$1:$C100, $B102), "", "存在しない")</f>
        <v>存在しない</v>
      </c>
      <c r="N102" s="2" t="s">
        <v>1196</v>
      </c>
    </row>
    <row r="103" spans="1:14" ht="36" hidden="1" outlineLevel="1" x14ac:dyDescent="0.4">
      <c r="A103" s="2">
        <v>6</v>
      </c>
      <c r="B103" s="48" t="s">
        <v>1535</v>
      </c>
      <c r="C103" s="2" t="s">
        <v>1538</v>
      </c>
      <c r="E103" s="13" t="s">
        <v>1539</v>
      </c>
      <c r="G103" s="19">
        <v>100</v>
      </c>
      <c r="H103" s="10" t="s">
        <v>1837</v>
      </c>
      <c r="L103" s="15" t="str">
        <f>IF(OR(COUNTIF(クラス!$A$1:$A$1035, $B103),$B103="",COUNTIF(スキル一覧!$A$1:$A$3500, $B103)), "", "存在しない")</f>
        <v/>
      </c>
      <c r="M103" s="2" t="str">
        <f>IF(COUNTIF($B$1:$C101, $B103), "", "存在しない")</f>
        <v>存在しない</v>
      </c>
      <c r="N103" s="2" t="s">
        <v>1196</v>
      </c>
    </row>
    <row r="104" spans="1:14" hidden="1" outlineLevel="1" x14ac:dyDescent="0.4">
      <c r="L104" s="15" t="str">
        <f>IF(OR(COUNTIF(クラス!$A$1:$A$1035, $B104),$B104="",COUNTIF(スキル一覧!$A$1:$A$3500, $B104)), "", "存在しない")</f>
        <v/>
      </c>
      <c r="M104" s="2" t="str">
        <f>IF(COUNTIF($B$1:$C102, $B104), "", "存在しない")</f>
        <v>存在しない</v>
      </c>
      <c r="N104" s="2" t="s">
        <v>1196</v>
      </c>
    </row>
    <row r="105" spans="1:14" hidden="1" outlineLevel="1" x14ac:dyDescent="0.4">
      <c r="B105" s="48"/>
      <c r="L105" s="15" t="str">
        <f>IF(OR(COUNTIF(クラス!$A$1:$A$1035, $B105),$B105="",COUNTIF(スキル一覧!$A$1:$A$3500, $B105)), "", "存在しない")</f>
        <v/>
      </c>
      <c r="M105" s="2" t="str">
        <f>IF(COUNTIF($B$1:$C80, $B105), "", "存在しない")</f>
        <v>存在しない</v>
      </c>
      <c r="N105" s="2" t="s">
        <v>1196</v>
      </c>
    </row>
    <row r="106" spans="1:14" hidden="1" outlineLevel="1" x14ac:dyDescent="0.4">
      <c r="B106" s="48"/>
      <c r="J106" s="6" t="str">
        <f>IFERROR(_xlfn.LET(_xlpm.v,
VLOOKUP($I106,効果!$A:$B,COLUMN(効果!B$1),FALSE),
IF(_xlpm.v=0,"",_xlpm.v)
),"")</f>
        <v/>
      </c>
      <c r="L106" s="15" t="str">
        <f>IF(OR(COUNTIF(クラス!$A$1:$A$1035, $B106),$B106="",COUNTIF(スキル一覧!$A$1:$A$3500, $B106)), "", "存在しない")</f>
        <v/>
      </c>
      <c r="M106" s="2" t="str">
        <f>IF(COUNTIF($B$1:$C81, $B106), "", "存在しない")</f>
        <v>存在しない</v>
      </c>
      <c r="N106" s="2" t="s">
        <v>1196</v>
      </c>
    </row>
    <row r="107" spans="1:14" hidden="1" outlineLevel="1" x14ac:dyDescent="0.4">
      <c r="B107" s="48"/>
      <c r="J107" s="6" t="str">
        <f>IFERROR(_xlfn.LET(_xlpm.v,
VLOOKUP($I107,効果!$A:$B,COLUMN(効果!B$1),FALSE),
IF(_xlpm.v=0,"",_xlpm.v)
),"")</f>
        <v/>
      </c>
      <c r="L107" s="15" t="str">
        <f>IF(OR(COUNTIF(クラス!$A$1:$A$1035, $B107),$B107="",COUNTIF(スキル一覧!$A$1:$A$3500, $B107)), "", "存在しない")</f>
        <v/>
      </c>
      <c r="M107" s="2" t="str">
        <f>IF(COUNTIF($B$1:$C105, $B107), "", "存在しない")</f>
        <v>存在しない</v>
      </c>
      <c r="N107" s="2" t="s">
        <v>1196</v>
      </c>
    </row>
    <row r="108" spans="1:14" hidden="1" outlineLevel="1" x14ac:dyDescent="0.4">
      <c r="B108" s="48"/>
      <c r="J108" s="6" t="str">
        <f>IFERROR(_xlfn.LET(_xlpm.v,
VLOOKUP($I108,効果!$A:$B,COLUMN(効果!B$1),FALSE),
IF(_xlpm.v=0,"",_xlpm.v)
),"")</f>
        <v/>
      </c>
      <c r="L108" s="15" t="str">
        <f>IF(OR(COUNTIF(クラス!$A$1:$A$1035, $B108),$B108="",COUNTIF(スキル一覧!$A$1:$A$3500, $B108)), "", "存在しない")</f>
        <v/>
      </c>
      <c r="M108" s="2" t="str">
        <f>IF(COUNTIF($B$1:$C106, $B108), "", "存在しない")</f>
        <v>存在しない</v>
      </c>
      <c r="N108" s="2" t="s">
        <v>1196</v>
      </c>
    </row>
    <row r="109" spans="1:14" hidden="1" outlineLevel="1" x14ac:dyDescent="0.4">
      <c r="B109" s="48"/>
      <c r="J109" s="6" t="str">
        <f>IFERROR(_xlfn.LET(_xlpm.v,
VLOOKUP($I109,効果!$A:$B,COLUMN(効果!B$1),FALSE),
IF(_xlpm.v=0,"",_xlpm.v)
),"")</f>
        <v/>
      </c>
      <c r="L109" s="15" t="str">
        <f>IF(OR(COUNTIF(クラス!$A$1:$A$1035, $B109),$B109="",COUNTIF(スキル一覧!$A$1:$A$3500, $B109)), "", "存在しない")</f>
        <v/>
      </c>
      <c r="M109" s="2" t="str">
        <f>IF(COUNTIF($B$1:$C107, $B109), "", "存在しない")</f>
        <v>存在しない</v>
      </c>
      <c r="N109" s="2" t="s">
        <v>1196</v>
      </c>
    </row>
    <row r="110" spans="1:14" hidden="1" outlineLevel="1" x14ac:dyDescent="0.4">
      <c r="B110" s="48"/>
      <c r="J110" s="6" t="str">
        <f>IFERROR(_xlfn.LET(_xlpm.v,
VLOOKUP($I110,効果!$A:$B,COLUMN(効果!B$1),FALSE),
IF(_xlpm.v=0,"",_xlpm.v)
),"")</f>
        <v/>
      </c>
      <c r="L110" s="15" t="str">
        <f>IF(OR(COUNTIF(クラス!$A$1:$A$1035, $B110),$B110="",COUNTIF(スキル一覧!$A$1:$A$3500, $B110)), "", "存在しない")</f>
        <v/>
      </c>
      <c r="M110" s="2" t="str">
        <f>IF(COUNTIF($B$1:$C108, $B110), "", "存在しない")</f>
        <v>存在しない</v>
      </c>
      <c r="N110" s="2" t="s">
        <v>1196</v>
      </c>
    </row>
    <row r="111" spans="1:14" hidden="1" outlineLevel="1" x14ac:dyDescent="0.4">
      <c r="J111" s="6" t="str">
        <f>IFERROR(_xlfn.LET(_xlpm.v,
VLOOKUP($I111,効果!$A:$B,COLUMN(効果!B$1),FALSE),
IF(_xlpm.v=0,"",_xlpm.v)
),"")</f>
        <v/>
      </c>
      <c r="L111" s="15" t="str">
        <f>IF(OR(COUNTIF(クラス!$A$1:$A$1035, $B111),$B111="",COUNTIF(スキル一覧!$A$1:$A$3500, $B111)), "", "存在しない")</f>
        <v/>
      </c>
      <c r="M111" s="2" t="str">
        <f>IF(COUNTIF($B$1:$C109, $B111), "", "存在しない")</f>
        <v>存在しない</v>
      </c>
      <c r="N111" s="2" t="s">
        <v>1196</v>
      </c>
    </row>
    <row r="112" spans="1:14" hidden="1" outlineLevel="1" x14ac:dyDescent="0.4">
      <c r="J112" s="6" t="str">
        <f>IFERROR(_xlfn.LET(_xlpm.v,
VLOOKUP($I112,効果!$A:$B,COLUMN(効果!B$1),FALSE),
IF(_xlpm.v=0,"",_xlpm.v)
),"")</f>
        <v/>
      </c>
      <c r="L112" s="15" t="str">
        <f>IF(OR(COUNTIF(クラス!$A$1:$A$1035, $B112),$B112="",COUNTIF(スキル一覧!$A$1:$A$3500, $B112)), "", "存在しない")</f>
        <v/>
      </c>
      <c r="M112" s="2" t="str">
        <f>IF(COUNTIF($B$1:$C110, $B112), "", "存在しない")</f>
        <v>存在しない</v>
      </c>
      <c r="N112" s="2" t="s">
        <v>1196</v>
      </c>
    </row>
    <row r="113" spans="1:14" hidden="1" outlineLevel="1" x14ac:dyDescent="0.4">
      <c r="B113" s="48"/>
      <c r="J113" s="6" t="str">
        <f>IFERROR(_xlfn.LET(_xlpm.v,
VLOOKUP($I113,効果!$A:$B,COLUMN(効果!B$1),FALSE),
IF(_xlpm.v=0,"",_xlpm.v)
),"")</f>
        <v/>
      </c>
      <c r="L113" s="15" t="str">
        <f>IF(OR(COUNTIF(クラス!$A$1:$A$1035, $B113),$B113="",COUNTIF(スキル一覧!$A$1:$A$3500, $B113)), "", "存在しない")</f>
        <v/>
      </c>
      <c r="M113" s="2" t="str">
        <f>IF(COUNTIF($B$1:$C88, $B113), "", "存在しない")</f>
        <v>存在しない</v>
      </c>
      <c r="N113" s="2" t="s">
        <v>1196</v>
      </c>
    </row>
    <row r="114" spans="1:14" hidden="1" outlineLevel="1" x14ac:dyDescent="0.4">
      <c r="B114" s="48"/>
      <c r="J114" s="6" t="str">
        <f>IFERROR(_xlfn.LET(_xlpm.v,
VLOOKUP($I114,効果!$A:$B,COLUMN(効果!B$1),FALSE),
IF(_xlpm.v=0,"",_xlpm.v)
),"")</f>
        <v/>
      </c>
      <c r="L114" s="15" t="str">
        <f>IF(OR(COUNTIF(クラス!$A$1:$A$1035, $B114),$B114="",COUNTIF(スキル一覧!$A$1:$A$3500, $B114)), "", "存在しない")</f>
        <v/>
      </c>
      <c r="M114" s="2" t="str">
        <f>IF(COUNTIF($B$1:$C89, $B114), "", "存在しない")</f>
        <v>存在しない</v>
      </c>
      <c r="N114" s="2" t="s">
        <v>1196</v>
      </c>
    </row>
    <row r="115" spans="1:14" hidden="1" outlineLevel="1" x14ac:dyDescent="0.4">
      <c r="B115" s="48"/>
      <c r="J115" s="6" t="str">
        <f>IFERROR(_xlfn.LET(_xlpm.v,
VLOOKUP($I115,効果!$A:$B,COLUMN(効果!B$1),FALSE),
IF(_xlpm.v=0,"",_xlpm.v)
),"")</f>
        <v/>
      </c>
      <c r="L115" s="15" t="str">
        <f>IF(OR(COUNTIF(クラス!$A$1:$A$1035, $B115),$B115="",COUNTIF(スキル一覧!$A$1:$A$3500, $B115)), "", "存在しない")</f>
        <v/>
      </c>
      <c r="M115" s="2" t="str">
        <f>IF(COUNTIF($B$1:$C113, $B115), "", "存在しない")</f>
        <v>存在しない</v>
      </c>
      <c r="N115" s="2" t="s">
        <v>1196</v>
      </c>
    </row>
    <row r="116" spans="1:14" hidden="1" outlineLevel="1" x14ac:dyDescent="0.4">
      <c r="B116" s="48"/>
      <c r="J116" s="6" t="str">
        <f>IFERROR(_xlfn.LET(_xlpm.v,
VLOOKUP($I116,効果!$A:$B,COLUMN(効果!B$1),FALSE),
IF(_xlpm.v=0,"",_xlpm.v)
),"")</f>
        <v/>
      </c>
      <c r="L116" s="15" t="str">
        <f>IF(OR(COUNTIF(クラス!$A$1:$A$1035, $B116),$B116="",COUNTIF(スキル一覧!$A$1:$A$3500, $B116)), "", "存在しない")</f>
        <v/>
      </c>
      <c r="M116" s="2" t="str">
        <f>IF(COUNTIF($B$1:$C114, $B116), "", "存在しない")</f>
        <v>存在しない</v>
      </c>
      <c r="N116" s="2" t="s">
        <v>1196</v>
      </c>
    </row>
    <row r="117" spans="1:14" hidden="1" outlineLevel="1" x14ac:dyDescent="0.4">
      <c r="B117" s="48"/>
      <c r="J117" s="6" t="str">
        <f>IFERROR(_xlfn.LET(_xlpm.v,
VLOOKUP($I117,効果!$A:$B,COLUMN(効果!B$1),FALSE),
IF(_xlpm.v=0,"",_xlpm.v)
),"")</f>
        <v/>
      </c>
      <c r="L117" s="15" t="str">
        <f>IF(OR(COUNTIF(クラス!$A$1:$A$1035, $B117),$B117="",COUNTIF(スキル一覧!$A$1:$A$3500, $B117)), "", "存在しない")</f>
        <v/>
      </c>
      <c r="M117" s="2" t="str">
        <f>IF(COUNTIF($B$1:$C115, $B117), "", "存在しない")</f>
        <v>存在しない</v>
      </c>
      <c r="N117" s="2" t="s">
        <v>1196</v>
      </c>
    </row>
    <row r="118" spans="1:14" hidden="1" outlineLevel="1" x14ac:dyDescent="0.4">
      <c r="B118" s="48"/>
      <c r="J118" s="6" t="str">
        <f>IFERROR(_xlfn.LET(_xlpm.v,
VLOOKUP($I118,効果!$A:$B,COLUMN(効果!B$1),FALSE),
IF(_xlpm.v=0,"",_xlpm.v)
),"")</f>
        <v/>
      </c>
      <c r="L118" s="15" t="str">
        <f>IF(OR(COUNTIF(クラス!$A$1:$A$1035, $B118),$B118="",COUNTIF(スキル一覧!$A$1:$A$3500, $B118)), "", "存在しない")</f>
        <v/>
      </c>
      <c r="M118" s="2" t="str">
        <f>IF(COUNTIF($B$1:$C116, $B118), "", "存在しない")</f>
        <v>存在しない</v>
      </c>
      <c r="N118" s="2" t="s">
        <v>1196</v>
      </c>
    </row>
    <row r="119" spans="1:14" hidden="1" outlineLevel="1" x14ac:dyDescent="0.4">
      <c r="J119" s="6" t="str">
        <f>IFERROR(_xlfn.LET(_xlpm.v,
VLOOKUP($I119,効果!$A:$B,COLUMN(効果!B$1),FALSE),
IF(_xlpm.v=0,"",_xlpm.v)
),"")</f>
        <v/>
      </c>
      <c r="L119" s="15" t="str">
        <f>IF(OR(COUNTIF(クラス!$A$1:$A$1035, $B119),$B119="",COUNTIF(スキル一覧!$A$1:$A$3500, $B119)), "", "存在しない")</f>
        <v/>
      </c>
      <c r="M119" s="2" t="str">
        <f>IF(COUNTIF($B$1:$C117, $B119), "", "存在しない")</f>
        <v>存在しない</v>
      </c>
      <c r="N119" s="2" t="s">
        <v>1196</v>
      </c>
    </row>
    <row r="120" spans="1:14" collapsed="1" x14ac:dyDescent="0.4">
      <c r="J120" s="6" t="str">
        <f>IFERROR(_xlfn.LET(_xlpm.v,
VLOOKUP($I120,効果!$A:$B,COLUMN(効果!B$1),FALSE),
IF(_xlpm.v=0,"",_xlpm.v)
),"")</f>
        <v/>
      </c>
      <c r="L120" s="15" t="str">
        <f>IF(OR(COUNTIF(クラス!$A$1:$A$1035, $B120),$B120="",COUNTIF(スキル一覧!$A$1:$A$3500, $B120)), "", "存在しない")</f>
        <v/>
      </c>
      <c r="M120" s="2" t="str">
        <f>IF(COUNTIF($B$1:$C118, $B120), "", "存在しない")</f>
        <v>存在しない</v>
      </c>
      <c r="N120" s="2" t="s">
        <v>1196</v>
      </c>
    </row>
    <row r="121" spans="1:14" x14ac:dyDescent="0.4">
      <c r="C121" s="2" t="s">
        <v>116</v>
      </c>
      <c r="J121" s="6" t="str">
        <f>IFERROR(_xlfn.LET(_xlpm.v,
VLOOKUP($I121,効果!$A:$B,COLUMN(効果!B$1),FALSE),
IF(_xlpm.v=0,"",_xlpm.v)
),"")</f>
        <v/>
      </c>
      <c r="L121" s="15" t="str">
        <f>IF(OR(COUNTIF(クラス!$A$1:$A$1035, $B121),$B121="",COUNTIF(スキル一覧!$A$1:$A$3500, $B121)), "", "存在しない")</f>
        <v/>
      </c>
      <c r="M121" s="2" t="str">
        <f>IF(COUNTIF($B$1:$C45, $B121), "", "存在しない")</f>
        <v>存在しない</v>
      </c>
      <c r="N121" s="2" t="s">
        <v>1196</v>
      </c>
    </row>
    <row r="122" spans="1:14" x14ac:dyDescent="0.4">
      <c r="B122" s="2" t="s">
        <v>24</v>
      </c>
      <c r="C122" s="2" t="s">
        <v>26</v>
      </c>
      <c r="D122" s="2" t="s">
        <v>77</v>
      </c>
      <c r="E122" s="13" t="s">
        <v>127</v>
      </c>
      <c r="F122" s="14" t="s">
        <v>79</v>
      </c>
      <c r="G122" s="18" t="s">
        <v>126</v>
      </c>
      <c r="H122" s="10" t="s">
        <v>80</v>
      </c>
      <c r="J122" s="6" t="str">
        <f>IFERROR(_xlfn.LET(_xlpm.v,
VLOOKUP($I122,効果!$A:$B,COLUMN(効果!B$1),FALSE),
IF(_xlpm.v=0,"",_xlpm.v)
),"")</f>
        <v/>
      </c>
      <c r="L122" s="15" t="str">
        <f>IF(OR(COUNTIF(クラス!$A$1:$A$1035, $B122),$B122="",COUNTIF(スキル一覧!$A$1:$A$3500, $B122)), "", "存在しない")</f>
        <v/>
      </c>
      <c r="M122" s="2" t="str">
        <f>IF(COUNTIF($B$1:$C121, $B122), "", "存在しない")</f>
        <v>存在しない</v>
      </c>
      <c r="N122" s="2" t="s">
        <v>1196</v>
      </c>
    </row>
    <row r="123" spans="1:14" hidden="1" outlineLevel="1" x14ac:dyDescent="0.4">
      <c r="A123" s="2">
        <v>1</v>
      </c>
      <c r="J123" s="6" t="str">
        <f>IFERROR(_xlfn.LET(_xlpm.v,
VLOOKUP($I123,効果!$A:$B,COLUMN(効果!B$1),FALSE),
IF(_xlpm.v=0,"",_xlpm.v)
),"")</f>
        <v/>
      </c>
      <c r="L123" s="15" t="str">
        <f>IF(OR(COUNTIF(クラス!$A$1:$A$1035, $B123),$B123="",COUNTIF(スキル一覧!$A$1:$A$3500, $B123)), "", "存在しない")</f>
        <v/>
      </c>
      <c r="M123" s="2" t="str">
        <f>IF(COUNTIF($B$1:$C122, $B123), "", "存在しない")</f>
        <v>存在しない</v>
      </c>
      <c r="N123" s="2" t="s">
        <v>1196</v>
      </c>
    </row>
    <row r="124" spans="1:14" hidden="1" outlineLevel="1" x14ac:dyDescent="0.4">
      <c r="A124" s="2">
        <v>2</v>
      </c>
      <c r="B124" s="2" t="s">
        <v>171</v>
      </c>
      <c r="C124" s="2" t="s">
        <v>172</v>
      </c>
      <c r="E124" s="13" t="s">
        <v>128</v>
      </c>
      <c r="G124" s="19">
        <v>60</v>
      </c>
      <c r="H124" s="10" t="s">
        <v>181</v>
      </c>
      <c r="J124" s="6" t="str">
        <f>IFERROR(_xlfn.LET(_xlpm.v,
VLOOKUP($I124,効果!$A:$B,COLUMN(効果!B$1),FALSE),
IF(_xlpm.v=0,"",_xlpm.v)
),"")</f>
        <v/>
      </c>
      <c r="L124" s="15" t="str">
        <f>IF(OR(COUNTIF(クラス!$A$1:$A$1035, $B124),$B124="",COUNTIF(スキル一覧!$A$1:$A$3500, $B124)), "", "存在しない")</f>
        <v/>
      </c>
      <c r="M124" s="2" t="str">
        <f>IF(COUNTIF($B$1:$C123, $B124), "", "存在しない")</f>
        <v>存在しない</v>
      </c>
      <c r="N124" s="2" t="s">
        <v>1196</v>
      </c>
    </row>
    <row r="125" spans="1:14" hidden="1" outlineLevel="1" x14ac:dyDescent="0.4">
      <c r="A125" s="2">
        <v>3</v>
      </c>
      <c r="B125" s="2" t="s">
        <v>130</v>
      </c>
      <c r="E125" s="13" t="s">
        <v>129</v>
      </c>
      <c r="H125" s="10" t="s">
        <v>131</v>
      </c>
      <c r="J125" s="6" t="str">
        <f>IFERROR(_xlfn.LET(_xlpm.v,
VLOOKUP($I125,効果!$A:$B,COLUMN(効果!B$1),FALSE),
IF(_xlpm.v=0,"",_xlpm.v)
),"")</f>
        <v/>
      </c>
      <c r="L125" s="15" t="str">
        <f>IF(OR(COUNTIF(クラス!$A$1:$A$1035, $B125),$B125="",COUNTIF(スキル一覧!$A$1:$A$3500, $B125)), "", "存在しない")</f>
        <v/>
      </c>
      <c r="M125" s="2" t="str">
        <f>IF(COUNTIF($B$1:$C124, $B125), "", "存在しない")</f>
        <v>存在しない</v>
      </c>
      <c r="N125" s="2" t="s">
        <v>1196</v>
      </c>
    </row>
    <row r="126" spans="1:14" hidden="1" outlineLevel="1" x14ac:dyDescent="0.4">
      <c r="A126" s="2">
        <v>4</v>
      </c>
      <c r="J126" s="6" t="str">
        <f>IFERROR(_xlfn.LET(_xlpm.v,
VLOOKUP($I126,効果!$A:$B,COLUMN(効果!B$1),FALSE),
IF(_xlpm.v=0,"",_xlpm.v)
),"")</f>
        <v/>
      </c>
      <c r="L126" s="15" t="str">
        <f>IF(OR(COUNTIF(クラス!$A$1:$A$1035, $B126),$B126="",COUNTIF(スキル一覧!$A$1:$A$3500, $B126)), "", "存在しない")</f>
        <v/>
      </c>
      <c r="M126" s="2" t="str">
        <f>IF(COUNTIF($B$1:$C125, $B126), "", "存在しない")</f>
        <v>存在しない</v>
      </c>
      <c r="N126" s="2" t="s">
        <v>1196</v>
      </c>
    </row>
    <row r="127" spans="1:14" hidden="1" outlineLevel="1" x14ac:dyDescent="0.4">
      <c r="A127" s="2">
        <v>5</v>
      </c>
      <c r="B127" s="2" t="s">
        <v>173</v>
      </c>
      <c r="C127" s="2" t="s">
        <v>174</v>
      </c>
      <c r="E127" s="13" t="s">
        <v>128</v>
      </c>
      <c r="G127" s="19">
        <v>50</v>
      </c>
      <c r="H127" s="10" t="s">
        <v>183</v>
      </c>
      <c r="J127" s="6" t="str">
        <f>IFERROR(_xlfn.LET(_xlpm.v,
VLOOKUP($I127,効果!$A:$B,COLUMN(効果!B$1),FALSE),
IF(_xlpm.v=0,"",_xlpm.v)
),"")</f>
        <v/>
      </c>
      <c r="L127" s="15" t="str">
        <f>IF(OR(COUNTIF(クラス!$A$1:$A$1035, $B127),$B127="",COUNTIF(スキル一覧!$A$1:$A$3500, $B127)), "", "存在しない")</f>
        <v/>
      </c>
      <c r="M127" s="2" t="str">
        <f>IF(COUNTIF($B$1:$C126, $B127), "", "存在しない")</f>
        <v>存在しない</v>
      </c>
      <c r="N127" s="2" t="s">
        <v>1196</v>
      </c>
    </row>
    <row r="128" spans="1:14" hidden="1" outlineLevel="1" x14ac:dyDescent="0.4">
      <c r="A128" s="2">
        <v>6</v>
      </c>
      <c r="E128" s="13" t="s">
        <v>129</v>
      </c>
      <c r="J128" s="6" t="str">
        <f>IFERROR(_xlfn.LET(_xlpm.v,
VLOOKUP($I128,効果!$A:$B,COLUMN(効果!B$1),FALSE),
IF(_xlpm.v=0,"",_xlpm.v)
),"")</f>
        <v/>
      </c>
      <c r="L128" s="15" t="str">
        <f>IF(OR(COUNTIF(クラス!$A$1:$A$1035, $B128),$B128="",COUNTIF(スキル一覧!$A$1:$A$3500, $B128)), "", "存在しない")</f>
        <v/>
      </c>
      <c r="M128" s="2" t="str">
        <f>IF(COUNTIF($B$1:$C127, $B128), "", "存在しない")</f>
        <v>存在しない</v>
      </c>
      <c r="N128" s="2" t="s">
        <v>1196</v>
      </c>
    </row>
    <row r="129" spans="1:14" hidden="1" outlineLevel="1" x14ac:dyDescent="0.4">
      <c r="A129" s="2">
        <v>7</v>
      </c>
      <c r="J129" s="6" t="str">
        <f>IFERROR(_xlfn.LET(_xlpm.v,
VLOOKUP($I129,効果!$A:$B,COLUMN(効果!B$1),FALSE),
IF(_xlpm.v=0,"",_xlpm.v)
),"")</f>
        <v/>
      </c>
      <c r="L129" s="15" t="str">
        <f>IF(OR(COUNTIF(クラス!$A$1:$A$1035, $B129),$B129="",COUNTIF(スキル一覧!$A$1:$A$3500, $B129)), "", "存在しない")</f>
        <v/>
      </c>
      <c r="M129" s="2" t="str">
        <f>IF(COUNTIF($B$1:$C128, $B129), "", "存在しない")</f>
        <v>存在しない</v>
      </c>
      <c r="N129" s="2" t="s">
        <v>1196</v>
      </c>
    </row>
    <row r="130" spans="1:14" hidden="1" outlineLevel="1" x14ac:dyDescent="0.4">
      <c r="A130" s="2">
        <v>8</v>
      </c>
      <c r="B130" s="2" t="s">
        <v>117</v>
      </c>
      <c r="C130" s="2" t="s">
        <v>118</v>
      </c>
      <c r="E130" s="13" t="s">
        <v>128</v>
      </c>
      <c r="G130" s="19">
        <v>40</v>
      </c>
      <c r="H130" s="10" t="s">
        <v>321</v>
      </c>
      <c r="J130" s="6" t="str">
        <f>IFERROR(_xlfn.LET(_xlpm.v,
VLOOKUP($I130,効果!$A:$B,COLUMN(効果!B$1),FALSE),
IF(_xlpm.v=0,"",_xlpm.v)
),"")</f>
        <v/>
      </c>
      <c r="L130" s="15" t="str">
        <f>IF(OR(COUNTIF(クラス!$A$1:$A$1035, $B130),$B130="",COUNTIF(スキル一覧!$A$1:$A$3500, $B130)), "", "存在しない")</f>
        <v/>
      </c>
      <c r="M130" s="2" t="str">
        <f>IF(COUNTIF($B$1:$C129, $B130), "", "存在しない")</f>
        <v>存在しない</v>
      </c>
      <c r="N130" s="2" t="s">
        <v>1196</v>
      </c>
    </row>
    <row r="131" spans="1:14" hidden="1" outlineLevel="1" x14ac:dyDescent="0.4">
      <c r="A131" s="2">
        <v>9</v>
      </c>
      <c r="B131" s="2" t="s">
        <v>209</v>
      </c>
      <c r="E131" s="13" t="s">
        <v>129</v>
      </c>
      <c r="H131" s="10" t="s">
        <v>180</v>
      </c>
      <c r="J131" s="6" t="str">
        <f>IFERROR(_xlfn.LET(_xlpm.v,
VLOOKUP($I131,効果!$A:$B,COLUMN(効果!B$1),FALSE),
IF(_xlpm.v=0,"",_xlpm.v)
),"")</f>
        <v/>
      </c>
      <c r="L131" s="15" t="str">
        <f>IF(OR(COUNTIF(クラス!$A$1:$A$1035, $B131),$B131="",COUNTIF(スキル一覧!$A$1:$A$3500, $B131)), "", "存在しない")</f>
        <v/>
      </c>
      <c r="M131" s="2" t="str">
        <f>IF(COUNTIF($B$1:$C130, $B131), "", "存在しない")</f>
        <v>存在しない</v>
      </c>
      <c r="N131" s="2" t="s">
        <v>1196</v>
      </c>
    </row>
    <row r="132" spans="1:14" ht="36" hidden="1" outlineLevel="1" x14ac:dyDescent="0.4">
      <c r="A132" s="2">
        <v>10</v>
      </c>
      <c r="B132" s="2" t="s">
        <v>178</v>
      </c>
      <c r="C132" s="2" t="s">
        <v>179</v>
      </c>
      <c r="E132" s="13" t="s">
        <v>128</v>
      </c>
      <c r="G132" s="19">
        <v>60</v>
      </c>
      <c r="H132" s="10" t="s">
        <v>182</v>
      </c>
      <c r="J132" s="6" t="str">
        <f>IFERROR(_xlfn.LET(_xlpm.v,
VLOOKUP($I132,効果!$A:$B,COLUMN(効果!B$1),FALSE),
IF(_xlpm.v=0,"",_xlpm.v)
),"")</f>
        <v/>
      </c>
      <c r="L132" s="15" t="str">
        <f>IF(OR(COUNTIF(クラス!$A$1:$A$1035, $B132),$B132="",COUNTIF(スキル一覧!$A$1:$A$3500, $B132)), "", "存在しない")</f>
        <v/>
      </c>
      <c r="M132" s="2" t="str">
        <f>IF(COUNTIF($B$1:$C131, $B132), "", "存在しない")</f>
        <v>存在しない</v>
      </c>
      <c r="N132" s="2" t="s">
        <v>1196</v>
      </c>
    </row>
    <row r="133" spans="1:14" hidden="1" outlineLevel="1" x14ac:dyDescent="0.4">
      <c r="J133" s="6" t="str">
        <f>IFERROR(_xlfn.LET(_xlpm.v,
VLOOKUP($I133,効果!$A:$B,COLUMN(効果!B$1),FALSE),
IF(_xlpm.v=0,"",_xlpm.v)
),"")</f>
        <v/>
      </c>
      <c r="L133" s="15" t="str">
        <f>IF(OR(COUNTIF(クラス!$A$1:$A$1035, $B133),$B133="",COUNTIF(スキル一覧!$A$1:$A$3500, $B133)), "", "存在しない")</f>
        <v/>
      </c>
      <c r="M133" s="2" t="str">
        <f>IF(COUNTIF($B$1:$C132, $B133), "", "存在しない")</f>
        <v>存在しない</v>
      </c>
      <c r="N133" s="2" t="s">
        <v>1196</v>
      </c>
    </row>
    <row r="134" spans="1:14" collapsed="1" x14ac:dyDescent="0.4">
      <c r="J134" s="6" t="str">
        <f>IFERROR(_xlfn.LET(_xlpm.v,
VLOOKUP($I134,効果!$A:$B,COLUMN(効果!B$1),FALSE),
IF(_xlpm.v=0,"",_xlpm.v)
),"")</f>
        <v/>
      </c>
      <c r="L134" s="15" t="str">
        <f>IF(OR(COUNTIF(クラス!$A$1:$A$1035, $B134),$B134="",COUNTIF(スキル一覧!$A$1:$A$3500, $B134)), "", "存在しない")</f>
        <v/>
      </c>
      <c r="M134" s="2" t="str">
        <f>IF(COUNTIF($B$1:$C133, $B134), "", "存在しない")</f>
        <v>存在しない</v>
      </c>
      <c r="N134" s="2" t="s">
        <v>1196</v>
      </c>
    </row>
    <row r="135" spans="1:14" x14ac:dyDescent="0.4">
      <c r="B135" s="2" t="s">
        <v>119</v>
      </c>
      <c r="J135" s="6" t="str">
        <f>IFERROR(_xlfn.LET(_xlpm.v,
VLOOKUP($I135,効果!$A:$B,COLUMN(効果!B$1),FALSE),
IF(_xlpm.v=0,"",_xlpm.v)
),"")</f>
        <v/>
      </c>
      <c r="L135" s="15" t="str">
        <f>IF(OR(COUNTIF(クラス!$A$1:$A$1035, $B135),$B135="",COUNTIF(スキル一覧!$A$1:$A$3500, $B135)), "", "存在しない")</f>
        <v/>
      </c>
      <c r="M135" s="2" t="str">
        <f>IF(COUNTIF($B$1:$C134, $B135), "", "存在しない")</f>
        <v>存在しない</v>
      </c>
      <c r="N135" s="2" t="s">
        <v>1196</v>
      </c>
    </row>
    <row r="136" spans="1:14" hidden="1" outlineLevel="1" x14ac:dyDescent="0.4">
      <c r="A136" s="2">
        <v>1</v>
      </c>
      <c r="J136" s="6" t="str">
        <f>IFERROR(_xlfn.LET(_xlpm.v,
VLOOKUP($I136,効果!$A:$B,COLUMN(効果!B$1),FALSE),
IF(_xlpm.v=0,"",_xlpm.v)
),"")</f>
        <v/>
      </c>
      <c r="L136" s="15" t="str">
        <f>IF(OR(COUNTIF(クラス!$A$1:$A$1035, $B136),$B136="",COUNTIF(スキル一覧!$A$1:$A$3500, $B136)), "", "存在しない")</f>
        <v/>
      </c>
      <c r="M136" s="2" t="str">
        <f>IF(COUNTIF($B$1:$C135, $B136), "", "存在しない")</f>
        <v>存在しない</v>
      </c>
      <c r="N136" s="2" t="s">
        <v>1196</v>
      </c>
    </row>
    <row r="137" spans="1:14" hidden="1" outlineLevel="1" x14ac:dyDescent="0.4">
      <c r="A137" s="2">
        <v>2</v>
      </c>
      <c r="B137" s="2" t="s">
        <v>173</v>
      </c>
      <c r="C137" s="2" t="s">
        <v>174</v>
      </c>
      <c r="E137" s="13" t="s">
        <v>128</v>
      </c>
      <c r="G137" s="19">
        <v>60</v>
      </c>
      <c r="H137" s="10" t="s">
        <v>181</v>
      </c>
      <c r="J137" s="6" t="str">
        <f>IFERROR(_xlfn.LET(_xlpm.v,
VLOOKUP($I137,効果!$A:$B,COLUMN(効果!B$1),FALSE),
IF(_xlpm.v=0,"",_xlpm.v)
),"")</f>
        <v/>
      </c>
      <c r="L137" s="15" t="str">
        <f>IF(OR(COUNTIF(クラス!$A$1:$A$1035, $B137),$B137="",COUNTIF(スキル一覧!$A$1:$A$3500, $B137)), "", "存在しない")</f>
        <v/>
      </c>
      <c r="M137" s="2" t="str">
        <f>IF(COUNTIF($B$1:$C136, $B137), "", "存在しない")</f>
        <v/>
      </c>
      <c r="N137" s="2" t="s">
        <v>1196</v>
      </c>
    </row>
    <row r="138" spans="1:14" hidden="1" outlineLevel="1" x14ac:dyDescent="0.4">
      <c r="A138" s="2">
        <v>3</v>
      </c>
      <c r="B138" s="2" t="s">
        <v>130</v>
      </c>
      <c r="E138" s="13" t="s">
        <v>129</v>
      </c>
      <c r="H138" s="10" t="s">
        <v>131</v>
      </c>
      <c r="J138" s="6" t="str">
        <f>IFERROR(_xlfn.LET(_xlpm.v,
VLOOKUP($I138,効果!$A:$B,COLUMN(効果!B$1),FALSE),
IF(_xlpm.v=0,"",_xlpm.v)
),"")</f>
        <v/>
      </c>
      <c r="L138" s="15" t="str">
        <f>IF(OR(COUNTIF(クラス!$A$1:$A$1035, $B138),$B138="",COUNTIF(スキル一覧!$A$1:$A$3500, $B138)), "", "存在しない")</f>
        <v/>
      </c>
      <c r="M138" s="2" t="str">
        <f>IF(COUNTIF($B$1:$C137, $B138), "", "存在しない")</f>
        <v/>
      </c>
      <c r="N138" s="2" t="s">
        <v>1196</v>
      </c>
    </row>
    <row r="139" spans="1:14" hidden="1" outlineLevel="1" x14ac:dyDescent="0.4">
      <c r="A139" s="2">
        <v>4</v>
      </c>
      <c r="J139" s="6" t="str">
        <f>IFERROR(_xlfn.LET(_xlpm.v,
VLOOKUP($I139,効果!$A:$B,COLUMN(効果!B$1),FALSE),
IF(_xlpm.v=0,"",_xlpm.v)
),"")</f>
        <v/>
      </c>
      <c r="L139" s="15" t="str">
        <f>IF(OR(COUNTIF(クラス!$A$1:$A$1035, $B139),$B139="",COUNTIF(スキル一覧!$A$1:$A$3500, $B139)), "", "存在しない")</f>
        <v/>
      </c>
      <c r="M139" s="2" t="str">
        <f>IF(COUNTIF($B$1:$C138, $B139), "", "存在しない")</f>
        <v>存在しない</v>
      </c>
      <c r="N139" s="2" t="s">
        <v>1196</v>
      </c>
    </row>
    <row r="140" spans="1:14" hidden="1" outlineLevel="1" x14ac:dyDescent="0.4">
      <c r="A140" s="2">
        <v>5</v>
      </c>
      <c r="B140" s="2" t="s">
        <v>171</v>
      </c>
      <c r="C140" s="2" t="s">
        <v>172</v>
      </c>
      <c r="E140" s="13" t="s">
        <v>128</v>
      </c>
      <c r="G140" s="19">
        <v>50</v>
      </c>
      <c r="H140" s="10" t="s">
        <v>183</v>
      </c>
      <c r="J140" s="6" t="str">
        <f>IFERROR(_xlfn.LET(_xlpm.v,
VLOOKUP($I140,効果!$A:$B,COLUMN(効果!B$1),FALSE),
IF(_xlpm.v=0,"",_xlpm.v)
),"")</f>
        <v/>
      </c>
      <c r="L140" s="15" t="str">
        <f>IF(OR(COUNTIF(クラス!$A$1:$A$1035, $B140),$B140="",COUNTIF(スキル一覧!$A$1:$A$3500, $B140)), "", "存在しない")</f>
        <v/>
      </c>
      <c r="M140" s="2" t="str">
        <f>IF(COUNTIF($B$1:$C139, $B140), "", "存在しない")</f>
        <v/>
      </c>
      <c r="N140" s="2" t="s">
        <v>1196</v>
      </c>
    </row>
    <row r="141" spans="1:14" hidden="1" outlineLevel="1" x14ac:dyDescent="0.4">
      <c r="A141" s="2">
        <v>6</v>
      </c>
      <c r="B141" s="2" t="s">
        <v>224</v>
      </c>
      <c r="E141" s="13" t="s">
        <v>129</v>
      </c>
      <c r="H141" s="10" t="s">
        <v>318</v>
      </c>
      <c r="J141" s="6" t="str">
        <f>IFERROR(_xlfn.LET(_xlpm.v,
VLOOKUP($I141,効果!$A:$B,COLUMN(効果!B$1),FALSE),
IF(_xlpm.v=0,"",_xlpm.v)
),"")</f>
        <v/>
      </c>
      <c r="L141" s="15" t="str">
        <f>IF(OR(COUNTIF(クラス!$A$1:$A$1035, $B141),$B141="",COUNTIF(スキル一覧!$A$1:$A$3500, $B141)), "", "存在しない")</f>
        <v/>
      </c>
      <c r="M141" s="2" t="str">
        <f>IF(COUNTIF($B$1:$C140, $B141), "", "存在しない")</f>
        <v>存在しない</v>
      </c>
      <c r="N141" s="2" t="s">
        <v>1196</v>
      </c>
    </row>
    <row r="142" spans="1:14" hidden="1" outlineLevel="1" x14ac:dyDescent="0.4">
      <c r="A142" s="2">
        <v>7</v>
      </c>
      <c r="J142" s="6" t="str">
        <f>IFERROR(_xlfn.LET(_xlpm.v,
VLOOKUP($I142,効果!$A:$B,COLUMN(効果!B$1),FALSE),
IF(_xlpm.v=0,"",_xlpm.v)
),"")</f>
        <v/>
      </c>
      <c r="L142" s="15" t="str">
        <f>IF(OR(COUNTIF(クラス!$A$1:$A$1035, $B142),$B142="",COUNTIF(スキル一覧!$A$1:$A$3500, $B142)), "", "存在しない")</f>
        <v/>
      </c>
      <c r="M142" s="2" t="str">
        <f>IF(COUNTIF($B$1:$C141, $B142), "", "存在しない")</f>
        <v>存在しない</v>
      </c>
      <c r="N142" s="2" t="s">
        <v>1196</v>
      </c>
    </row>
    <row r="143" spans="1:14" hidden="1" outlineLevel="1" x14ac:dyDescent="0.4">
      <c r="A143" s="2">
        <v>8</v>
      </c>
      <c r="B143" s="2" t="s">
        <v>117</v>
      </c>
      <c r="C143" s="2" t="s">
        <v>118</v>
      </c>
      <c r="E143" s="13" t="s">
        <v>128</v>
      </c>
      <c r="G143" s="19">
        <v>40</v>
      </c>
      <c r="H143" s="10" t="s">
        <v>321</v>
      </c>
      <c r="J143" s="6" t="str">
        <f>IFERROR(_xlfn.LET(_xlpm.v,
VLOOKUP($I143,効果!$A:$B,COLUMN(効果!B$1),FALSE),
IF(_xlpm.v=0,"",_xlpm.v)
),"")</f>
        <v/>
      </c>
      <c r="L143" s="15" t="str">
        <f>IF(OR(COUNTIF(クラス!$A$1:$A$1035, $B143),$B143="",COUNTIF(スキル一覧!$A$1:$A$3500, $B143)), "", "存在しない")</f>
        <v/>
      </c>
      <c r="M143" s="2" t="str">
        <f>IF(COUNTIF($B$1:$C142, $B143), "", "存在しない")</f>
        <v/>
      </c>
      <c r="N143" s="2" t="s">
        <v>1196</v>
      </c>
    </row>
    <row r="144" spans="1:14" hidden="1" outlineLevel="1" x14ac:dyDescent="0.4">
      <c r="A144" s="2">
        <v>9</v>
      </c>
      <c r="B144" s="2" t="s">
        <v>210</v>
      </c>
      <c r="E144" s="13" t="s">
        <v>129</v>
      </c>
      <c r="H144" s="10" t="s">
        <v>211</v>
      </c>
      <c r="J144" s="6" t="str">
        <f>IFERROR(_xlfn.LET(_xlpm.v,
VLOOKUP($I144,効果!$A:$B,COLUMN(効果!B$1),FALSE),
IF(_xlpm.v=0,"",_xlpm.v)
),"")</f>
        <v/>
      </c>
      <c r="L144" s="15" t="str">
        <f>IF(OR(COUNTIF(クラス!$A$1:$A$1035, $B144),$B144="",COUNTIF(スキル一覧!$A$1:$A$3500, $B144)), "", "存在しない")</f>
        <v/>
      </c>
      <c r="M144" s="2" t="str">
        <f>IF(COUNTIF($B$1:$C143, $B144), "", "存在しない")</f>
        <v>存在しない</v>
      </c>
      <c r="N144" s="2" t="s">
        <v>1196</v>
      </c>
    </row>
    <row r="145" spans="1:14" ht="36" hidden="1" outlineLevel="1" x14ac:dyDescent="0.4">
      <c r="A145" s="2">
        <v>10</v>
      </c>
      <c r="B145" s="2" t="s">
        <v>178</v>
      </c>
      <c r="C145" s="2" t="s">
        <v>179</v>
      </c>
      <c r="E145" s="13" t="s">
        <v>128</v>
      </c>
      <c r="G145" s="19">
        <v>60</v>
      </c>
      <c r="H145" s="10" t="s">
        <v>182</v>
      </c>
      <c r="J145" s="6" t="str">
        <f>IFERROR(_xlfn.LET(_xlpm.v,
VLOOKUP($I145,効果!$A:$B,COLUMN(効果!B$1),FALSE),
IF(_xlpm.v=0,"",_xlpm.v)
),"")</f>
        <v/>
      </c>
      <c r="L145" s="15" t="str">
        <f>IF(OR(COUNTIF(クラス!$A$1:$A$1035, $B145),$B145="",COUNTIF(スキル一覧!$A$1:$A$3500, $B145)), "", "存在しない")</f>
        <v/>
      </c>
      <c r="M145" s="2" t="str">
        <f>IF(COUNTIF($B$1:$C144, $B145), "", "存在しない")</f>
        <v/>
      </c>
      <c r="N145" s="2" t="s">
        <v>1196</v>
      </c>
    </row>
    <row r="146" spans="1:14" hidden="1" outlineLevel="1" x14ac:dyDescent="0.4">
      <c r="J146" s="6" t="str">
        <f>IFERROR(_xlfn.LET(_xlpm.v,
VLOOKUP($I146,効果!$A:$B,COLUMN(効果!B$1),FALSE),
IF(_xlpm.v=0,"",_xlpm.v)
),"")</f>
        <v/>
      </c>
      <c r="L146" s="15" t="str">
        <f>IF(OR(COUNTIF(クラス!$A$1:$A$1035, $B146),$B146="",COUNTIF(スキル一覧!$A$1:$A$3500, $B146)), "", "存在しない")</f>
        <v/>
      </c>
      <c r="M146" s="2" t="str">
        <f>IF(COUNTIF($B$1:$C145, $B146), "", "存在しない")</f>
        <v>存在しない</v>
      </c>
      <c r="N146" s="2" t="s">
        <v>1196</v>
      </c>
    </row>
    <row r="147" spans="1:14" collapsed="1" x14ac:dyDescent="0.4">
      <c r="J147" s="6" t="str">
        <f>IFERROR(_xlfn.LET(_xlpm.v,
VLOOKUP($I147,効果!$A:$B,COLUMN(効果!B$1),FALSE),
IF(_xlpm.v=0,"",_xlpm.v)
),"")</f>
        <v/>
      </c>
      <c r="L147" s="15" t="str">
        <f>IF(OR(COUNTIF(クラス!$A$1:$A$1035, $B147),$B147="",COUNTIF(スキル一覧!$A$1:$A$3500, $B147)), "", "存在しない")</f>
        <v/>
      </c>
      <c r="M147" s="2" t="str">
        <f>IF(COUNTIF($B$1:$C146, $B147), "", "存在しない")</f>
        <v>存在しない</v>
      </c>
      <c r="N147" s="2" t="s">
        <v>1196</v>
      </c>
    </row>
    <row r="148" spans="1:14" x14ac:dyDescent="0.4">
      <c r="B148" s="2" t="s">
        <v>120</v>
      </c>
      <c r="J148" s="6" t="str">
        <f>IFERROR(_xlfn.LET(_xlpm.v,
VLOOKUP($I148,効果!$A:$B,COLUMN(効果!B$1),FALSE),
IF(_xlpm.v=0,"",_xlpm.v)
),"")</f>
        <v/>
      </c>
      <c r="L148" s="15" t="str">
        <f>IF(OR(COUNTIF(クラス!$A$1:$A$1035, $B148),$B148="",COUNTIF(スキル一覧!$A$1:$A$3500, $B148)), "", "存在しない")</f>
        <v/>
      </c>
      <c r="M148" s="2" t="str">
        <f>IF(COUNTIF($B$1:$C147, $B148), "", "存在しない")</f>
        <v>存在しない</v>
      </c>
      <c r="N148" s="2" t="s">
        <v>1196</v>
      </c>
    </row>
    <row r="149" spans="1:14" hidden="1" outlineLevel="1" x14ac:dyDescent="0.4">
      <c r="A149" s="2">
        <v>1</v>
      </c>
      <c r="J149" s="6" t="str">
        <f>IFERROR(_xlfn.LET(_xlpm.v,
VLOOKUP($I149,効果!$A:$B,COLUMN(効果!B$1),FALSE),
IF(_xlpm.v=0,"",_xlpm.v)
),"")</f>
        <v/>
      </c>
      <c r="L149" s="15" t="str">
        <f>IF(OR(COUNTIF(クラス!$A$1:$A$1035, $B149),$B149="",COUNTIF(スキル一覧!$A$1:$A$3500, $B149)), "", "存在しない")</f>
        <v/>
      </c>
      <c r="M149" s="2" t="str">
        <f>IF(COUNTIF($B$1:$C148, $B149), "", "存在しない")</f>
        <v>存在しない</v>
      </c>
      <c r="N149" s="2" t="s">
        <v>1196</v>
      </c>
    </row>
    <row r="150" spans="1:14" hidden="1" outlineLevel="1" x14ac:dyDescent="0.4">
      <c r="A150" s="2">
        <v>2</v>
      </c>
      <c r="B150" s="2" t="s">
        <v>171</v>
      </c>
      <c r="C150" s="2" t="s">
        <v>172</v>
      </c>
      <c r="E150" s="13" t="s">
        <v>128</v>
      </c>
      <c r="G150" s="19">
        <v>60</v>
      </c>
      <c r="H150" s="10" t="s">
        <v>181</v>
      </c>
      <c r="J150" s="6" t="str">
        <f>IFERROR(_xlfn.LET(_xlpm.v,
VLOOKUP($I150,効果!$A:$B,COLUMN(効果!B$1),FALSE),
IF(_xlpm.v=0,"",_xlpm.v)
),"")</f>
        <v/>
      </c>
      <c r="L150" s="15" t="str">
        <f>IF(OR(COUNTIF(クラス!$A$1:$A$1035, $B150),$B150="",COUNTIF(スキル一覧!$A$1:$A$3500, $B150)), "", "存在しない")</f>
        <v/>
      </c>
      <c r="M150" s="2" t="str">
        <f>IF(COUNTIF($B$1:$C149, $B150), "", "存在しない")</f>
        <v/>
      </c>
      <c r="N150" s="2" t="s">
        <v>1196</v>
      </c>
    </row>
    <row r="151" spans="1:14" hidden="1" outlineLevel="1" x14ac:dyDescent="0.4">
      <c r="A151" s="2">
        <v>3</v>
      </c>
      <c r="B151" s="2" t="s">
        <v>130</v>
      </c>
      <c r="E151" s="13" t="s">
        <v>129</v>
      </c>
      <c r="H151" s="10" t="s">
        <v>131</v>
      </c>
      <c r="J151" s="6" t="str">
        <f>IFERROR(_xlfn.LET(_xlpm.v,
VLOOKUP($I151,効果!$A:$B,COLUMN(効果!B$1),FALSE),
IF(_xlpm.v=0,"",_xlpm.v)
),"")</f>
        <v/>
      </c>
      <c r="L151" s="15" t="str">
        <f>IF(OR(COUNTIF(クラス!$A$1:$A$1035, $B151),$B151="",COUNTIF(スキル一覧!$A$1:$A$3500, $B151)), "", "存在しない")</f>
        <v/>
      </c>
      <c r="M151" s="2" t="str">
        <f>IF(COUNTIF($B$1:$C150, $B151), "", "存在しない")</f>
        <v/>
      </c>
      <c r="N151" s="2" t="s">
        <v>1196</v>
      </c>
    </row>
    <row r="152" spans="1:14" hidden="1" outlineLevel="1" x14ac:dyDescent="0.4">
      <c r="A152" s="2">
        <v>4</v>
      </c>
      <c r="J152" s="6" t="str">
        <f>IFERROR(_xlfn.LET(_xlpm.v,
VLOOKUP($I152,効果!$A:$B,COLUMN(効果!B$1),FALSE),
IF(_xlpm.v=0,"",_xlpm.v)
),"")</f>
        <v/>
      </c>
      <c r="L152" s="15" t="str">
        <f>IF(OR(COUNTIF(クラス!$A$1:$A$1035, $B152),$B152="",COUNTIF(スキル一覧!$A$1:$A$3500, $B152)), "", "存在しない")</f>
        <v/>
      </c>
      <c r="M152" s="2" t="str">
        <f>IF(COUNTIF($B$1:$C151, $B152), "", "存在しない")</f>
        <v>存在しない</v>
      </c>
      <c r="N152" s="2" t="s">
        <v>1196</v>
      </c>
    </row>
    <row r="153" spans="1:14" ht="36" hidden="1" outlineLevel="1" x14ac:dyDescent="0.4">
      <c r="A153" s="2">
        <v>5</v>
      </c>
      <c r="B153" s="2" t="s">
        <v>212</v>
      </c>
      <c r="C153" s="2" t="s">
        <v>213</v>
      </c>
      <c r="E153" s="13" t="s">
        <v>128</v>
      </c>
      <c r="G153" s="19">
        <v>40</v>
      </c>
      <c r="H153" s="10" t="s">
        <v>214</v>
      </c>
      <c r="J153" s="6" t="str">
        <f>IFERROR(_xlfn.LET(_xlpm.v,
VLOOKUP($I153,効果!$A:$B,COLUMN(効果!B$1),FALSE),
IF(_xlpm.v=0,"",_xlpm.v)
),"")</f>
        <v/>
      </c>
      <c r="L153" s="15" t="str">
        <f>IF(OR(COUNTIF(クラス!$A$1:$A$1035, $B153),$B153="",COUNTIF(スキル一覧!$A$1:$A$3500, $B153)), "", "存在しない")</f>
        <v/>
      </c>
      <c r="M153" s="2" t="str">
        <f>IF(COUNTIF($B$1:$C152, $B153), "", "存在しない")</f>
        <v>存在しない</v>
      </c>
      <c r="N153" s="2" t="s">
        <v>1196</v>
      </c>
    </row>
    <row r="154" spans="1:14" hidden="1" outlineLevel="1" x14ac:dyDescent="0.4">
      <c r="A154" s="2">
        <v>6</v>
      </c>
      <c r="E154" s="13" t="s">
        <v>129</v>
      </c>
      <c r="J154" s="6" t="str">
        <f>IFERROR(_xlfn.LET(_xlpm.v,
VLOOKUP($I154,効果!$A:$B,COLUMN(効果!B$1),FALSE),
IF(_xlpm.v=0,"",_xlpm.v)
),"")</f>
        <v/>
      </c>
      <c r="L154" s="15" t="str">
        <f>IF(OR(COUNTIF(クラス!$A$1:$A$1035, $B154),$B154="",COUNTIF(スキル一覧!$A$1:$A$3500, $B154)), "", "存在しない")</f>
        <v/>
      </c>
      <c r="M154" s="2" t="str">
        <f>IF(COUNTIF($B$1:$C153, $B154), "", "存在しない")</f>
        <v>存在しない</v>
      </c>
      <c r="N154" s="2" t="s">
        <v>1196</v>
      </c>
    </row>
    <row r="155" spans="1:14" hidden="1" outlineLevel="1" x14ac:dyDescent="0.4">
      <c r="A155" s="2">
        <v>7</v>
      </c>
      <c r="J155" s="6" t="str">
        <f>IFERROR(_xlfn.LET(_xlpm.v,
VLOOKUP($I155,効果!$A:$B,COLUMN(効果!B$1),FALSE),
IF(_xlpm.v=0,"",_xlpm.v)
),"")</f>
        <v/>
      </c>
      <c r="L155" s="15" t="str">
        <f>IF(OR(COUNTIF(クラス!$A$1:$A$1035, $B155),$B155="",COUNTIF(スキル一覧!$A$1:$A$3500, $B155)), "", "存在しない")</f>
        <v/>
      </c>
      <c r="M155" s="2" t="str">
        <f>IF(COUNTIF($B$1:$C154, $B155), "", "存在しない")</f>
        <v>存在しない</v>
      </c>
      <c r="N155" s="2" t="s">
        <v>1196</v>
      </c>
    </row>
    <row r="156" spans="1:14" hidden="1" outlineLevel="1" x14ac:dyDescent="0.4">
      <c r="A156" s="2">
        <v>8</v>
      </c>
      <c r="B156" s="2" t="s">
        <v>117</v>
      </c>
      <c r="C156" s="2" t="s">
        <v>118</v>
      </c>
      <c r="E156" s="13" t="s">
        <v>128</v>
      </c>
      <c r="G156" s="19">
        <v>40</v>
      </c>
      <c r="H156" s="10" t="s">
        <v>321</v>
      </c>
      <c r="J156" s="6" t="str">
        <f>IFERROR(_xlfn.LET(_xlpm.v,
VLOOKUP($I156,効果!$A:$B,COLUMN(効果!B$1),FALSE),
IF(_xlpm.v=0,"",_xlpm.v)
),"")</f>
        <v/>
      </c>
      <c r="L156" s="15" t="str">
        <f>IF(OR(COUNTIF(クラス!$A$1:$A$1035, $B156),$B156="",COUNTIF(スキル一覧!$A$1:$A$3500, $B156)), "", "存在しない")</f>
        <v/>
      </c>
      <c r="M156" s="2" t="str">
        <f>IF(COUNTIF($B$1:$C155, $B156), "", "存在しない")</f>
        <v/>
      </c>
      <c r="N156" s="2" t="s">
        <v>1196</v>
      </c>
    </row>
    <row r="157" spans="1:14" hidden="1" outlineLevel="1" x14ac:dyDescent="0.4">
      <c r="A157" s="2">
        <v>9</v>
      </c>
      <c r="B157" s="2" t="s">
        <v>209</v>
      </c>
      <c r="E157" s="13" t="s">
        <v>129</v>
      </c>
      <c r="H157" s="10" t="s">
        <v>180</v>
      </c>
      <c r="J157" s="6" t="str">
        <f>IFERROR(_xlfn.LET(_xlpm.v,
VLOOKUP($I157,効果!$A:$B,COLUMN(効果!B$1),FALSE),
IF(_xlpm.v=0,"",_xlpm.v)
),"")</f>
        <v/>
      </c>
      <c r="L157" s="15" t="str">
        <f>IF(OR(COUNTIF(クラス!$A$1:$A$1035, $B157),$B157="",COUNTIF(スキル一覧!$A$1:$A$3500, $B157)), "", "存在しない")</f>
        <v/>
      </c>
      <c r="M157" s="2" t="str">
        <f>IF(COUNTIF($B$1:$C156, $B157), "", "存在しない")</f>
        <v/>
      </c>
      <c r="N157" s="2" t="s">
        <v>1196</v>
      </c>
    </row>
    <row r="158" spans="1:14" ht="36" hidden="1" outlineLevel="1" x14ac:dyDescent="0.4">
      <c r="A158" s="2">
        <v>10</v>
      </c>
      <c r="B158" s="2" t="s">
        <v>178</v>
      </c>
      <c r="C158" s="2" t="s">
        <v>179</v>
      </c>
      <c r="E158" s="13" t="s">
        <v>128</v>
      </c>
      <c r="G158" s="19">
        <v>60</v>
      </c>
      <c r="H158" s="10" t="s">
        <v>182</v>
      </c>
      <c r="J158" s="6" t="str">
        <f>IFERROR(_xlfn.LET(_xlpm.v,
VLOOKUP($I158,効果!$A:$B,COLUMN(効果!B$1),FALSE),
IF(_xlpm.v=0,"",_xlpm.v)
),"")</f>
        <v/>
      </c>
      <c r="L158" s="15" t="str">
        <f>IF(OR(COUNTIF(クラス!$A$1:$A$1035, $B158),$B158="",COUNTIF(スキル一覧!$A$1:$A$3500, $B158)), "", "存在しない")</f>
        <v/>
      </c>
      <c r="M158" s="2" t="str">
        <f>IF(COUNTIF($B$1:$C157, $B158), "", "存在しない")</f>
        <v/>
      </c>
      <c r="N158" s="2" t="s">
        <v>1196</v>
      </c>
    </row>
    <row r="159" spans="1:14" hidden="1" outlineLevel="1" x14ac:dyDescent="0.4">
      <c r="J159" s="6" t="str">
        <f>IFERROR(_xlfn.LET(_xlpm.v,
VLOOKUP($I159,効果!$A:$B,COLUMN(効果!B$1),FALSE),
IF(_xlpm.v=0,"",_xlpm.v)
),"")</f>
        <v/>
      </c>
      <c r="L159" s="15" t="str">
        <f>IF(OR(COUNTIF(クラス!$A$1:$A$1035, $B159),$B159="",COUNTIF(スキル一覧!$A$1:$A$3500, $B159)), "", "存在しない")</f>
        <v/>
      </c>
      <c r="M159" s="2" t="str">
        <f>IF(COUNTIF($B$1:$C158, $B159), "", "存在しない")</f>
        <v>存在しない</v>
      </c>
      <c r="N159" s="2" t="s">
        <v>1196</v>
      </c>
    </row>
    <row r="160" spans="1:14" collapsed="1" x14ac:dyDescent="0.4">
      <c r="J160" s="6" t="str">
        <f>IFERROR(_xlfn.LET(_xlpm.v,
VLOOKUP($I160,効果!$A:$B,COLUMN(効果!B$1),FALSE),
IF(_xlpm.v=0,"",_xlpm.v)
),"")</f>
        <v/>
      </c>
      <c r="L160" s="15" t="str">
        <f>IF(OR(COUNTIF(クラス!$A$1:$A$1035, $B160),$B160="",COUNTIF(スキル一覧!$A$1:$A$3500, $B160)), "", "存在しない")</f>
        <v/>
      </c>
      <c r="M160" s="2" t="str">
        <f>IF(COUNTIF($B$1:$C159, $B160), "", "存在しない")</f>
        <v>存在しない</v>
      </c>
      <c r="N160" s="2" t="s">
        <v>1196</v>
      </c>
    </row>
    <row r="161" spans="1:14" x14ac:dyDescent="0.4">
      <c r="B161" s="2" t="s">
        <v>1170</v>
      </c>
      <c r="C161" s="2" t="s">
        <v>1171</v>
      </c>
      <c r="J161" s="6" t="str">
        <f>IFERROR(_xlfn.LET(_xlpm.v,
VLOOKUP($I161,効果!$A:$B,COLUMN(効果!B$1),FALSE),
IF(_xlpm.v=0,"",_xlpm.v)
),"")</f>
        <v/>
      </c>
      <c r="L161" s="15" t="str">
        <f>IF(OR(COUNTIF(クラス!$A$1:$A$1035, $B161),$B161="",COUNTIF(スキル一覧!$A$1:$A$3500, $B161)), "", "存在しない")</f>
        <v>存在しない</v>
      </c>
      <c r="M161" s="2" t="str">
        <f>IF(COUNTIF($B$1:$C160, $B161), "", "存在しない")</f>
        <v>存在しない</v>
      </c>
      <c r="N161" s="2" t="s">
        <v>1196</v>
      </c>
    </row>
    <row r="162" spans="1:14" outlineLevel="1" x14ac:dyDescent="0.4">
      <c r="A162" s="2">
        <v>1</v>
      </c>
      <c r="J162" s="6" t="str">
        <f>IFERROR(_xlfn.LET(_xlpm.v,
VLOOKUP($I162,効果!$A:$B,COLUMN(効果!B$1),FALSE),
IF(_xlpm.v=0,"",_xlpm.v)
),"")</f>
        <v/>
      </c>
      <c r="L162" s="15" t="str">
        <f>IF(OR(COUNTIF(クラス!$A$1:$A$1035, $B162),$B162="",COUNTIF(スキル一覧!$A$1:$A$3500, $B162)), "", "存在しない")</f>
        <v/>
      </c>
      <c r="M162" s="2" t="str">
        <f>IF(COUNTIF($B$1:$C161, $B162), "", "存在しない")</f>
        <v>存在しない</v>
      </c>
      <c r="N162" s="2" t="s">
        <v>1196</v>
      </c>
    </row>
    <row r="163" spans="1:14" outlineLevel="1" x14ac:dyDescent="0.4">
      <c r="A163" s="2">
        <v>2</v>
      </c>
      <c r="B163" s="2" t="s">
        <v>171</v>
      </c>
      <c r="C163" s="2" t="s">
        <v>172</v>
      </c>
      <c r="E163" s="13" t="s">
        <v>128</v>
      </c>
      <c r="G163" s="19">
        <v>60</v>
      </c>
      <c r="H163" s="10" t="s">
        <v>1172</v>
      </c>
      <c r="J163" s="6" t="str">
        <f>IFERROR(_xlfn.LET(_xlpm.v,
VLOOKUP($I163,効果!$A:$B,COLUMN(効果!B$1),FALSE),
IF(_xlpm.v=0,"",_xlpm.v)
),"")</f>
        <v/>
      </c>
      <c r="L163" s="15" t="str">
        <f>IF(OR(COUNTIF(クラス!$A$1:$A$1035, $B163),$B163="",COUNTIF(スキル一覧!$A$1:$A$3500, $B163)), "", "存在しない")</f>
        <v/>
      </c>
      <c r="M163" s="2" t="str">
        <f>IF(COUNTIF($B$1:$C162, $B163), "", "存在しない")</f>
        <v/>
      </c>
      <c r="N163" s="2" t="s">
        <v>1196</v>
      </c>
    </row>
    <row r="164" spans="1:14" outlineLevel="1" x14ac:dyDescent="0.4">
      <c r="A164" s="2">
        <v>3</v>
      </c>
      <c r="B164" s="2" t="s">
        <v>1173</v>
      </c>
      <c r="E164" s="13" t="s">
        <v>129</v>
      </c>
      <c r="H164" s="10" t="s">
        <v>1174</v>
      </c>
      <c r="J164" s="6" t="str">
        <f>IFERROR(_xlfn.LET(_xlpm.v,
VLOOKUP($I164,効果!$A:$B,COLUMN(効果!B$1),FALSE),
IF(_xlpm.v=0,"",_xlpm.v)
),"")</f>
        <v/>
      </c>
      <c r="L164" s="15" t="str">
        <f>IF(OR(COUNTIF(クラス!$A$1:$A$1035, $B164),$B164="",COUNTIF(スキル一覧!$A$1:$A$3500, $B164)), "", "存在しない")</f>
        <v>存在しない</v>
      </c>
      <c r="M164" s="2" t="str">
        <f>IF(COUNTIF($B$1:$C163, $B164), "", "存在しない")</f>
        <v>存在しない</v>
      </c>
      <c r="N164" s="2" t="e">
        <v>#VALUE!</v>
      </c>
    </row>
    <row r="165" spans="1:14" outlineLevel="1" x14ac:dyDescent="0.4">
      <c r="A165" s="2">
        <v>4</v>
      </c>
      <c r="J165" s="6" t="str">
        <f>IFERROR(_xlfn.LET(_xlpm.v,
VLOOKUP($I165,効果!$A:$B,COLUMN(効果!B$1),FALSE),
IF(_xlpm.v=0,"",_xlpm.v)
),"")</f>
        <v/>
      </c>
      <c r="L165" s="15" t="str">
        <f>IF(OR(COUNTIF(クラス!$A$1:$A$1035, $B165),$B165="",COUNTIF(スキル一覧!$A$1:$A$3500, $B165)), "", "存在しない")</f>
        <v/>
      </c>
      <c r="M165" s="2" t="str">
        <f>IF(COUNTIF($B$1:$C164, $B165), "", "存在しない")</f>
        <v>存在しない</v>
      </c>
      <c r="N165" s="2" t="s">
        <v>1196</v>
      </c>
    </row>
    <row r="166" spans="1:14" ht="36" outlineLevel="1" x14ac:dyDescent="0.4">
      <c r="A166" s="2">
        <v>5</v>
      </c>
      <c r="B166" s="2" t="s">
        <v>212</v>
      </c>
      <c r="C166" s="2" t="s">
        <v>213</v>
      </c>
      <c r="E166" s="13" t="s">
        <v>128</v>
      </c>
      <c r="G166" s="19">
        <v>40</v>
      </c>
      <c r="H166" s="10" t="s">
        <v>214</v>
      </c>
      <c r="J166" s="6" t="str">
        <f>IFERROR(_xlfn.LET(_xlpm.v,
VLOOKUP($I166,効果!$A:$B,COLUMN(効果!B$1),FALSE),
IF(_xlpm.v=0,"",_xlpm.v)
),"")</f>
        <v/>
      </c>
      <c r="L166" s="15" t="str">
        <f>IF(OR(COUNTIF(クラス!$A$1:$A$1035, $B166),$B166="",COUNTIF(スキル一覧!$A$1:$A$3500, $B166)), "", "存在しない")</f>
        <v/>
      </c>
      <c r="M166" s="2" t="str">
        <f>IF(COUNTIF($B$1:$C165, $B166), "", "存在しない")</f>
        <v/>
      </c>
      <c r="N166" s="2" t="s">
        <v>1196</v>
      </c>
    </row>
    <row r="167" spans="1:14" outlineLevel="1" x14ac:dyDescent="0.4">
      <c r="A167" s="2">
        <v>6</v>
      </c>
      <c r="E167" s="13" t="s">
        <v>129</v>
      </c>
      <c r="J167" s="6" t="str">
        <f>IFERROR(_xlfn.LET(_xlpm.v,
VLOOKUP($I167,効果!$A:$B,COLUMN(効果!B$1),FALSE),
IF(_xlpm.v=0,"",_xlpm.v)
),"")</f>
        <v/>
      </c>
      <c r="L167" s="15" t="str">
        <f>IF(OR(COUNTIF(クラス!$A$1:$A$1035, $B167),$B167="",COUNTIF(スキル一覧!$A$1:$A$3500, $B167)), "", "存在しない")</f>
        <v/>
      </c>
      <c r="M167" s="2" t="str">
        <f>IF(COUNTIF($B$1:$C166, $B167), "", "存在しない")</f>
        <v>存在しない</v>
      </c>
      <c r="N167" s="2" t="s">
        <v>1196</v>
      </c>
    </row>
    <row r="168" spans="1:14" outlineLevel="1" x14ac:dyDescent="0.4">
      <c r="A168" s="2">
        <v>7</v>
      </c>
      <c r="J168" s="6" t="str">
        <f>IFERROR(_xlfn.LET(_xlpm.v,
VLOOKUP($I168,効果!$A:$B,COLUMN(効果!B$1),FALSE),
IF(_xlpm.v=0,"",_xlpm.v)
),"")</f>
        <v/>
      </c>
      <c r="L168" s="15" t="str">
        <f>IF(OR(COUNTIF(クラス!$A$1:$A$1035, $B168),$B168="",COUNTIF(スキル一覧!$A$1:$A$3500, $B168)), "", "存在しない")</f>
        <v/>
      </c>
      <c r="M168" s="2" t="str">
        <f>IF(COUNTIF($B$1:$C167, $B168), "", "存在しない")</f>
        <v>存在しない</v>
      </c>
      <c r="N168" s="2" t="s">
        <v>1196</v>
      </c>
    </row>
    <row r="169" spans="1:14" outlineLevel="1" x14ac:dyDescent="0.4">
      <c r="A169" s="2">
        <v>8</v>
      </c>
      <c r="B169" s="2" t="s">
        <v>117</v>
      </c>
      <c r="C169" s="2" t="s">
        <v>118</v>
      </c>
      <c r="E169" s="13" t="s">
        <v>128</v>
      </c>
      <c r="G169" s="19">
        <v>40</v>
      </c>
      <c r="H169" s="10" t="s">
        <v>321</v>
      </c>
      <c r="J169" s="6" t="str">
        <f>IFERROR(_xlfn.LET(_xlpm.v,
VLOOKUP($I169,効果!$A:$B,COLUMN(効果!B$1),FALSE),
IF(_xlpm.v=0,"",_xlpm.v)
),"")</f>
        <v/>
      </c>
      <c r="L169" s="15" t="str">
        <f>IF(OR(COUNTIF(クラス!$A$1:$A$1035, $B169),$B169="",COUNTIF(スキル一覧!$A$1:$A$3500, $B169)), "", "存在しない")</f>
        <v/>
      </c>
      <c r="M169" s="2" t="str">
        <f>IF(COUNTIF($B$1:$C168, $B169), "", "存在しない")</f>
        <v/>
      </c>
      <c r="N169" s="2" t="s">
        <v>1196</v>
      </c>
    </row>
    <row r="170" spans="1:14" outlineLevel="1" x14ac:dyDescent="0.4">
      <c r="A170" s="2">
        <v>9</v>
      </c>
      <c r="B170" s="2" t="s">
        <v>209</v>
      </c>
      <c r="E170" s="13" t="s">
        <v>129</v>
      </c>
      <c r="H170" s="10" t="s">
        <v>180</v>
      </c>
      <c r="J170" s="6" t="str">
        <f>IFERROR(_xlfn.LET(_xlpm.v,
VLOOKUP($I170,効果!$A:$B,COLUMN(効果!B$1),FALSE),
IF(_xlpm.v=0,"",_xlpm.v)
),"")</f>
        <v/>
      </c>
      <c r="L170" s="15" t="str">
        <f>IF(OR(COUNTIF(クラス!$A$1:$A$1035, $B170),$B170="",COUNTIF(スキル一覧!$A$1:$A$3500, $B170)), "", "存在しない")</f>
        <v/>
      </c>
      <c r="M170" s="2" t="str">
        <f>IF(COUNTIF($B$1:$C169, $B170), "", "存在しない")</f>
        <v/>
      </c>
      <c r="N170" s="2" t="s">
        <v>1196</v>
      </c>
    </row>
    <row r="171" spans="1:14" ht="36" outlineLevel="1" x14ac:dyDescent="0.4">
      <c r="A171" s="2">
        <v>10</v>
      </c>
      <c r="B171" s="2" t="s">
        <v>178</v>
      </c>
      <c r="C171" s="2" t="s">
        <v>179</v>
      </c>
      <c r="E171" s="13" t="s">
        <v>128</v>
      </c>
      <c r="G171" s="19">
        <v>60</v>
      </c>
      <c r="H171" s="10" t="s">
        <v>182</v>
      </c>
      <c r="J171" s="6" t="str">
        <f>IFERROR(_xlfn.LET(_xlpm.v,
VLOOKUP($I171,効果!$A:$B,COLUMN(効果!B$1),FALSE),
IF(_xlpm.v=0,"",_xlpm.v)
),"")</f>
        <v/>
      </c>
      <c r="L171" s="15" t="str">
        <f>IF(OR(COUNTIF(クラス!$A$1:$A$1035, $B171),$B171="",COUNTIF(スキル一覧!$A$1:$A$3500, $B171)), "", "存在しない")</f>
        <v/>
      </c>
      <c r="M171" s="2" t="str">
        <f>IF(COUNTIF($B$1:$C170, $B171), "", "存在しない")</f>
        <v/>
      </c>
      <c r="N171" s="2" t="s">
        <v>1196</v>
      </c>
    </row>
    <row r="172" spans="1:14" outlineLevel="1" x14ac:dyDescent="0.4">
      <c r="J172" s="6" t="str">
        <f>IFERROR(_xlfn.LET(_xlpm.v,
VLOOKUP($I172,効果!$A:$B,COLUMN(効果!B$1),FALSE),
IF(_xlpm.v=0,"",_xlpm.v)
),"")</f>
        <v/>
      </c>
      <c r="L172" s="15" t="str">
        <f>IF(OR(COUNTIF(クラス!$A$1:$A$1035, $B172),$B172="",COUNTIF(スキル一覧!$A$1:$A$3500, $B172)), "", "存在しない")</f>
        <v/>
      </c>
      <c r="M172" s="2" t="str">
        <f>IF(COUNTIF($B$1:$C171, $B172), "", "存在しない")</f>
        <v>存在しない</v>
      </c>
      <c r="N172" s="2" t="s">
        <v>1196</v>
      </c>
    </row>
    <row r="173" spans="1:14" x14ac:dyDescent="0.4">
      <c r="J173" s="6" t="str">
        <f>IFERROR(_xlfn.LET(_xlpm.v,
VLOOKUP($I173,効果!$A:$B,COLUMN(効果!B$1),FALSE),
IF(_xlpm.v=0,"",_xlpm.v)
),"")</f>
        <v/>
      </c>
      <c r="L173" s="15" t="str">
        <f>IF(OR(COUNTIF(クラス!$A$1:$A$1035, $B173),$B173="",COUNTIF(スキル一覧!$A$1:$A$3500, $B173)), "", "存在しない")</f>
        <v/>
      </c>
      <c r="M173" s="2" t="str">
        <f>IF(COUNTIF($B$1:$C172, $B173), "", "存在しない")</f>
        <v>存在しない</v>
      </c>
      <c r="N173" s="2" t="s">
        <v>1196</v>
      </c>
    </row>
    <row r="174" spans="1:14" x14ac:dyDescent="0.4">
      <c r="J174" s="6" t="str">
        <f>IFERROR(_xlfn.LET(_xlpm.v,
VLOOKUP($I174,効果!$A:$B,COLUMN(効果!B$1),FALSE),
IF(_xlpm.v=0,"",_xlpm.v)
),"")</f>
        <v/>
      </c>
      <c r="L174" s="15" t="str">
        <f>IF(OR(COUNTIF(クラス!$A$1:$A$1035, $B174),$B174="",COUNTIF(スキル一覧!$A$1:$A$3500, $B174)), "", "存在しない")</f>
        <v/>
      </c>
      <c r="M174" s="2" t="str">
        <f>IF(COUNTIF($B$1:$C160, $B174), "", "存在しない")</f>
        <v>存在しない</v>
      </c>
      <c r="N174" s="2" t="s">
        <v>1196</v>
      </c>
    </row>
    <row r="175" spans="1:14" x14ac:dyDescent="0.4">
      <c r="B175" s="2" t="s">
        <v>254</v>
      </c>
      <c r="J175" s="6" t="str">
        <f>IFERROR(_xlfn.LET(_xlpm.v,
VLOOKUP($I175,効果!$A:$B,COLUMN(効果!B$1),FALSE),
IF(_xlpm.v=0,"",_xlpm.v)
),"")</f>
        <v/>
      </c>
      <c r="L175" s="15" t="str">
        <f>IF(OR(COUNTIF(クラス!$A$1:$A$1035, $B175),$B175="",COUNTIF(スキル一覧!$A$1:$A$3500, $B175)), "", "存在しない")</f>
        <v/>
      </c>
      <c r="M175" s="2" t="str">
        <f>IF(COUNTIF($B$1:$C174, $B175), "", "存在しない")</f>
        <v>存在しない</v>
      </c>
      <c r="N175" s="2" t="s">
        <v>1196</v>
      </c>
    </row>
    <row r="176" spans="1:14" outlineLevel="1" x14ac:dyDescent="0.4">
      <c r="A176" s="2">
        <v>1</v>
      </c>
      <c r="J176" s="6" t="str">
        <f>IFERROR(_xlfn.LET(_xlpm.v,
VLOOKUP($I176,効果!$A:$B,COLUMN(効果!B$1),FALSE),
IF(_xlpm.v=0,"",_xlpm.v)
),"")</f>
        <v/>
      </c>
      <c r="L176" s="15" t="str">
        <f>IF(OR(COUNTIF(クラス!$A$1:$A$1035, $B176),$B176="",COUNTIF(スキル一覧!$A$1:$A$3500, $B176)), "", "存在しない")</f>
        <v/>
      </c>
      <c r="M176" s="2" t="str">
        <f>IF(COUNTIF($B$1:$C175, $B176), "", "存在しない")</f>
        <v>存在しない</v>
      </c>
      <c r="N176" s="2" t="s">
        <v>1196</v>
      </c>
    </row>
    <row r="177" spans="1:14" outlineLevel="1" x14ac:dyDescent="0.4">
      <c r="A177" s="2">
        <v>2</v>
      </c>
      <c r="B177" s="2" t="s">
        <v>216</v>
      </c>
      <c r="C177" s="2" t="s">
        <v>217</v>
      </c>
      <c r="E177" s="13" t="s">
        <v>128</v>
      </c>
      <c r="G177" s="19">
        <v>60</v>
      </c>
      <c r="H177" s="10" t="s">
        <v>218</v>
      </c>
      <c r="J177" s="6" t="str">
        <f>IFERROR(_xlfn.LET(_xlpm.v,
VLOOKUP($I177,効果!$A:$B,COLUMN(効果!B$1),FALSE),
IF(_xlpm.v=0,"",_xlpm.v)
),"")</f>
        <v/>
      </c>
      <c r="L177" s="15" t="str">
        <f>IF(OR(COUNTIF(クラス!$A$1:$A$1035, $B177),$B177="",COUNTIF(スキル一覧!$A$1:$A$3500, $B177)), "", "存在しない")</f>
        <v/>
      </c>
      <c r="M177" s="2" t="str">
        <f>IF(COUNTIF($B$1:$C176, $B177), "", "存在しない")</f>
        <v>存在しない</v>
      </c>
      <c r="N177" s="2" t="s">
        <v>1196</v>
      </c>
    </row>
    <row r="178" spans="1:14" outlineLevel="1" x14ac:dyDescent="0.4">
      <c r="A178" s="2">
        <v>3</v>
      </c>
      <c r="B178" s="2" t="s">
        <v>225</v>
      </c>
      <c r="E178" s="13" t="s">
        <v>129</v>
      </c>
      <c r="J178" s="6" t="str">
        <f>IFERROR(_xlfn.LET(_xlpm.v,
VLOOKUP($I178,効果!$A:$B,COLUMN(効果!B$1),FALSE),
IF(_xlpm.v=0,"",_xlpm.v)
),"")</f>
        <v/>
      </c>
      <c r="L178" s="15" t="str">
        <f>IF(OR(COUNTIF(クラス!$A$1:$A$1035, $B178),$B178="",COUNTIF(スキル一覧!$A$1:$A$3500, $B178)), "", "存在しない")</f>
        <v/>
      </c>
      <c r="M178" s="2" t="str">
        <f>IF(COUNTIF($B$1:$C177, $B178), "", "存在しない")</f>
        <v>存在しない</v>
      </c>
      <c r="N178" s="2" t="s">
        <v>1196</v>
      </c>
    </row>
    <row r="179" spans="1:14" outlineLevel="1" x14ac:dyDescent="0.4">
      <c r="A179" s="2">
        <v>4</v>
      </c>
      <c r="J179" s="6" t="str">
        <f>IFERROR(_xlfn.LET(_xlpm.v,
VLOOKUP($I179,効果!$A:$B,COLUMN(効果!B$1),FALSE),
IF(_xlpm.v=0,"",_xlpm.v)
),"")</f>
        <v/>
      </c>
      <c r="L179" s="15" t="str">
        <f>IF(OR(COUNTIF(クラス!$A$1:$A$1035, $B179),$B179="",COUNTIF(スキル一覧!$A$1:$A$3500, $B179)), "", "存在しない")</f>
        <v/>
      </c>
      <c r="M179" s="2" t="str">
        <f>IF(COUNTIF($B$1:$C178, $B179), "", "存在しない")</f>
        <v>存在しない</v>
      </c>
      <c r="N179" s="2" t="s">
        <v>1196</v>
      </c>
    </row>
    <row r="180" spans="1:14" outlineLevel="1" x14ac:dyDescent="0.4">
      <c r="A180" s="2">
        <v>5</v>
      </c>
      <c r="B180" s="2" t="s">
        <v>219</v>
      </c>
      <c r="C180" s="2" t="s">
        <v>220</v>
      </c>
      <c r="E180" s="13" t="s">
        <v>128</v>
      </c>
      <c r="G180" s="19">
        <v>60</v>
      </c>
      <c r="H180" s="10" t="s">
        <v>221</v>
      </c>
      <c r="J180" s="6" t="str">
        <f>IFERROR(_xlfn.LET(_xlpm.v,
VLOOKUP($I180,効果!$A:$B,COLUMN(効果!B$1),FALSE),
IF(_xlpm.v=0,"",_xlpm.v)
),"")</f>
        <v/>
      </c>
      <c r="L180" s="15" t="str">
        <f>IF(OR(COUNTIF(クラス!$A$1:$A$1035, $B180),$B180="",COUNTIF(スキル一覧!$A$1:$A$3500, $B180)), "", "存在しない")</f>
        <v/>
      </c>
      <c r="M180" s="2" t="str">
        <f>IF(COUNTIF($B$1:$C179, $B180), "", "存在しない")</f>
        <v>存在しない</v>
      </c>
      <c r="N180" s="2" t="s">
        <v>1196</v>
      </c>
    </row>
    <row r="181" spans="1:14" outlineLevel="1" x14ac:dyDescent="0.4">
      <c r="A181" s="2">
        <v>6</v>
      </c>
      <c r="B181" s="2" t="s">
        <v>274</v>
      </c>
      <c r="E181" s="13" t="s">
        <v>129</v>
      </c>
      <c r="J181" s="6" t="str">
        <f>IFERROR(_xlfn.LET(_xlpm.v,
VLOOKUP($I181,効果!$A:$B,COLUMN(効果!B$1),FALSE),
IF(_xlpm.v=0,"",_xlpm.v)
),"")</f>
        <v/>
      </c>
      <c r="L181" s="15" t="str">
        <f>IF(OR(COUNTIF(クラス!$A$1:$A$1035, $B181),$B181="",COUNTIF(スキル一覧!$A$1:$A$3500, $B181)), "", "存在しない")</f>
        <v/>
      </c>
      <c r="M181" s="2" t="str">
        <f>IF(COUNTIF($B$1:$C180, $B181), "", "存在しない")</f>
        <v>存在しない</v>
      </c>
      <c r="N181" s="2" t="s">
        <v>1196</v>
      </c>
    </row>
    <row r="182" spans="1:14" outlineLevel="1" x14ac:dyDescent="0.4">
      <c r="A182" s="2">
        <v>7</v>
      </c>
      <c r="J182" s="6" t="str">
        <f>IFERROR(_xlfn.LET(_xlpm.v,
VLOOKUP($I182,効果!$A:$B,COLUMN(効果!B$1),FALSE),
IF(_xlpm.v=0,"",_xlpm.v)
),"")</f>
        <v/>
      </c>
      <c r="L182" s="15" t="str">
        <f>IF(OR(COUNTIF(クラス!$A$1:$A$1035, $B182),$B182="",COUNTIF(スキル一覧!$A$1:$A$3500, $B182)), "", "存在しない")</f>
        <v/>
      </c>
      <c r="M182" s="2" t="str">
        <f>IF(COUNTIF($B$1:$C181, $B182), "", "存在しない")</f>
        <v>存在しない</v>
      </c>
      <c r="N182" s="2" t="s">
        <v>1196</v>
      </c>
    </row>
    <row r="183" spans="1:14" outlineLevel="1" x14ac:dyDescent="0.4">
      <c r="A183" s="2">
        <v>8</v>
      </c>
      <c r="B183" s="2" t="s">
        <v>222</v>
      </c>
      <c r="C183" s="2" t="s">
        <v>223</v>
      </c>
      <c r="E183" s="13" t="s">
        <v>128</v>
      </c>
      <c r="H183" s="10" t="s">
        <v>322</v>
      </c>
      <c r="J183" s="6" t="str">
        <f>IFERROR(_xlfn.LET(_xlpm.v,
VLOOKUP($I183,効果!$A:$B,COLUMN(効果!B$1),FALSE),
IF(_xlpm.v=0,"",_xlpm.v)
),"")</f>
        <v/>
      </c>
      <c r="L183" s="15" t="str">
        <f>IF(OR(COUNTIF(クラス!$A$1:$A$1035, $B183),$B183="",COUNTIF(スキル一覧!$A$1:$A$3500, $B183)), "", "存在しない")</f>
        <v/>
      </c>
      <c r="M183" s="2" t="str">
        <f>IF(COUNTIF($B$1:$C182, $B183), "", "存在しない")</f>
        <v>存在しない</v>
      </c>
      <c r="N183" s="2" t="s">
        <v>1196</v>
      </c>
    </row>
    <row r="184" spans="1:14" outlineLevel="1" x14ac:dyDescent="0.4">
      <c r="A184" s="2">
        <v>9</v>
      </c>
      <c r="E184" s="13" t="s">
        <v>129</v>
      </c>
      <c r="J184" s="6" t="str">
        <f>IFERROR(_xlfn.LET(_xlpm.v,
VLOOKUP($I184,効果!$A:$B,COLUMN(効果!B$1),FALSE),
IF(_xlpm.v=0,"",_xlpm.v)
),"")</f>
        <v/>
      </c>
      <c r="L184" s="15" t="str">
        <f>IF(OR(COUNTIF(クラス!$A$1:$A$1035, $B184),$B184="",COUNTIF(スキル一覧!$A$1:$A$3500, $B184)), "", "存在しない")</f>
        <v/>
      </c>
      <c r="M184" s="2" t="str">
        <f>IF(COUNTIF($B$1:$C183, $B184), "", "存在しない")</f>
        <v>存在しない</v>
      </c>
      <c r="N184" s="2" t="s">
        <v>1196</v>
      </c>
    </row>
    <row r="185" spans="1:14" outlineLevel="1" x14ac:dyDescent="0.4">
      <c r="A185" s="2">
        <v>10</v>
      </c>
      <c r="E185" s="13" t="s">
        <v>128</v>
      </c>
      <c r="J185" s="6" t="str">
        <f>IFERROR(_xlfn.LET(_xlpm.v,
VLOOKUP($I185,効果!$A:$B,COLUMN(効果!B$1),FALSE),
IF(_xlpm.v=0,"",_xlpm.v)
),"")</f>
        <v/>
      </c>
      <c r="L185" s="15" t="str">
        <f>IF(OR(COUNTIF(クラス!$A$1:$A$1035, $B185),$B185="",COUNTIF(スキル一覧!$A$1:$A$3500, $B185)), "", "存在しない")</f>
        <v/>
      </c>
      <c r="M185" s="2" t="str">
        <f>IF(COUNTIF($B$1:$C184, $B185), "", "存在しない")</f>
        <v>存在しない</v>
      </c>
      <c r="N185" s="2" t="s">
        <v>1196</v>
      </c>
    </row>
    <row r="186" spans="1:14" outlineLevel="1" x14ac:dyDescent="0.4">
      <c r="J186" s="6" t="str">
        <f>IFERROR(_xlfn.LET(_xlpm.v,
VLOOKUP($I186,効果!$A:$B,COLUMN(効果!B$1),FALSE),
IF(_xlpm.v=0,"",_xlpm.v)
),"")</f>
        <v/>
      </c>
      <c r="L186" s="15" t="str">
        <f>IF(OR(COUNTIF(クラス!$A$1:$A$1035, $B186),$B186="",COUNTIF(スキル一覧!$A$1:$A$3500, $B186)), "", "存在しない")</f>
        <v/>
      </c>
      <c r="M186" s="2" t="str">
        <f>IF(COUNTIF($B$1:$C185, $B186), "", "存在しない")</f>
        <v>存在しない</v>
      </c>
      <c r="N186" s="2" t="s">
        <v>1196</v>
      </c>
    </row>
    <row r="187" spans="1:14" x14ac:dyDescent="0.4">
      <c r="J187" s="6" t="str">
        <f>IFERROR(_xlfn.LET(_xlpm.v,
VLOOKUP($I187,効果!$A:$B,COLUMN(効果!B$1),FALSE),
IF(_xlpm.v=0,"",_xlpm.v)
),"")</f>
        <v/>
      </c>
      <c r="L187" s="15" t="str">
        <f>IF(OR(COUNTIF(クラス!$A$1:$A$1035, $B187),$B187="",COUNTIF(スキル一覧!$A$1:$A$3500, $B187)), "", "存在しない")</f>
        <v/>
      </c>
      <c r="M187" s="2" t="str">
        <f>IF(COUNTIF($B$1:$C186, $B187), "", "存在しない")</f>
        <v>存在しない</v>
      </c>
      <c r="N187" s="2" t="s">
        <v>1196</v>
      </c>
    </row>
    <row r="188" spans="1:14" x14ac:dyDescent="0.4">
      <c r="B188" s="2" t="s">
        <v>31</v>
      </c>
      <c r="J188" s="6" t="str">
        <f>IFERROR(_xlfn.LET(_xlpm.v,
VLOOKUP($I188,効果!$A:$B,COLUMN(効果!B$1),FALSE),
IF(_xlpm.v=0,"",_xlpm.v)
),"")</f>
        <v/>
      </c>
      <c r="L188" s="15" t="str">
        <f>IF(OR(COUNTIF(クラス!$A$1:$A$1035, $B188),$B188="",COUNTIF(スキル一覧!$A$1:$A$3500, $B188)), "", "存在しない")</f>
        <v/>
      </c>
      <c r="M188" s="2" t="str">
        <f>IF(COUNTIF($B$1:$C187, $B188), "", "存在しない")</f>
        <v>存在しない</v>
      </c>
      <c r="N188" s="2" t="s">
        <v>1196</v>
      </c>
    </row>
    <row r="189" spans="1:14" hidden="1" outlineLevel="1" x14ac:dyDescent="0.4">
      <c r="A189" s="2">
        <v>1</v>
      </c>
      <c r="J189" s="6" t="str">
        <f>IFERROR(_xlfn.LET(_xlpm.v,
VLOOKUP($I189,効果!$A:$B,COLUMN(効果!B$1),FALSE),
IF(_xlpm.v=0,"",_xlpm.v)
),"")</f>
        <v/>
      </c>
      <c r="L189" s="15" t="str">
        <f>IF(OR(COUNTIF(クラス!$A$1:$A$1035, $B189),$B189="",COUNTIF(スキル一覧!$A$1:$A$3500, $B189)), "", "存在しない")</f>
        <v/>
      </c>
      <c r="M189" s="2" t="str">
        <f>IF(COUNTIF($B$1:$C188, $B189), "", "存在しない")</f>
        <v>存在しない</v>
      </c>
      <c r="N189" s="2" t="s">
        <v>1196</v>
      </c>
    </row>
    <row r="190" spans="1:14" hidden="1" outlineLevel="1" x14ac:dyDescent="0.4">
      <c r="A190" s="2">
        <v>2</v>
      </c>
      <c r="J190" s="6" t="str">
        <f>IFERROR(_xlfn.LET(_xlpm.v,
VLOOKUP($I190,効果!$A:$B,COLUMN(効果!B$1),FALSE),
IF(_xlpm.v=0,"",_xlpm.v)
),"")</f>
        <v/>
      </c>
      <c r="L190" s="15" t="str">
        <f>IF(OR(COUNTIF(クラス!$A$1:$A$1035, $B190),$B190="",COUNTIF(スキル一覧!$A$1:$A$3500, $B190)), "", "存在しない")</f>
        <v/>
      </c>
      <c r="M190" s="2" t="str">
        <f>IF(COUNTIF($B$1:$C189, $B190), "", "存在しない")</f>
        <v>存在しない</v>
      </c>
      <c r="N190" s="2" t="s">
        <v>1196</v>
      </c>
    </row>
    <row r="191" spans="1:14" hidden="1" outlineLevel="1" x14ac:dyDescent="0.4">
      <c r="A191" s="2">
        <v>3</v>
      </c>
      <c r="J191" s="6" t="str">
        <f>IFERROR(_xlfn.LET(_xlpm.v,
VLOOKUP($I191,効果!$A:$B,COLUMN(効果!B$1),FALSE),
IF(_xlpm.v=0,"",_xlpm.v)
),"")</f>
        <v/>
      </c>
      <c r="L191" s="15" t="str">
        <f>IF(OR(COUNTIF(クラス!$A$1:$A$1035, $B191),$B191="",COUNTIF(スキル一覧!$A$1:$A$3500, $B191)), "", "存在しない")</f>
        <v/>
      </c>
      <c r="M191" s="2" t="str">
        <f>IF(COUNTIF($B$1:$C190, $B191), "", "存在しない")</f>
        <v>存在しない</v>
      </c>
      <c r="N191" s="2" t="s">
        <v>1196</v>
      </c>
    </row>
    <row r="192" spans="1:14" hidden="1" outlineLevel="1" x14ac:dyDescent="0.4">
      <c r="A192" s="2">
        <v>4</v>
      </c>
      <c r="J192" s="6" t="str">
        <f>IFERROR(_xlfn.LET(_xlpm.v,
VLOOKUP($I192,効果!$A:$B,COLUMN(効果!B$1),FALSE),
IF(_xlpm.v=0,"",_xlpm.v)
),"")</f>
        <v/>
      </c>
      <c r="L192" s="15" t="str">
        <f>IF(OR(COUNTIF(クラス!$A$1:$A$1035, $B192),$B192="",COUNTIF(スキル一覧!$A$1:$A$3500, $B192)), "", "存在しない")</f>
        <v/>
      </c>
      <c r="M192" s="2" t="str">
        <f>IF(COUNTIF($B$1:$C191, $B192), "", "存在しない")</f>
        <v>存在しない</v>
      </c>
      <c r="N192" s="2" t="s">
        <v>1196</v>
      </c>
    </row>
    <row r="193" spans="1:14" hidden="1" outlineLevel="1" x14ac:dyDescent="0.4">
      <c r="A193" s="2">
        <v>5</v>
      </c>
      <c r="J193" s="6" t="str">
        <f>IFERROR(_xlfn.LET(_xlpm.v,
VLOOKUP($I193,効果!$A:$B,COLUMN(効果!B$1),FALSE),
IF(_xlpm.v=0,"",_xlpm.v)
),"")</f>
        <v/>
      </c>
      <c r="L193" s="15" t="str">
        <f>IF(OR(COUNTIF(クラス!$A$1:$A$1035, $B193),$B193="",COUNTIF(スキル一覧!$A$1:$A$3500, $B193)), "", "存在しない")</f>
        <v/>
      </c>
      <c r="M193" s="2" t="str">
        <f>IF(COUNTIF($B$1:$C192, $B193), "", "存在しない")</f>
        <v>存在しない</v>
      </c>
      <c r="N193" s="2" t="s">
        <v>1196</v>
      </c>
    </row>
    <row r="194" spans="1:14" hidden="1" outlineLevel="1" x14ac:dyDescent="0.4">
      <c r="A194" s="2">
        <v>6</v>
      </c>
      <c r="J194" s="6" t="str">
        <f>IFERROR(_xlfn.LET(_xlpm.v,
VLOOKUP($I194,効果!$A:$B,COLUMN(効果!B$1),FALSE),
IF(_xlpm.v=0,"",_xlpm.v)
),"")</f>
        <v/>
      </c>
      <c r="L194" s="15" t="str">
        <f>IF(OR(COUNTIF(クラス!$A$1:$A$1035, $B194),$B194="",COUNTIF(スキル一覧!$A$1:$A$3500, $B194)), "", "存在しない")</f>
        <v/>
      </c>
      <c r="M194" s="2" t="str">
        <f>IF(COUNTIF($B$1:$C193, $B194), "", "存在しない")</f>
        <v>存在しない</v>
      </c>
      <c r="N194" s="2" t="s">
        <v>1196</v>
      </c>
    </row>
    <row r="195" spans="1:14" hidden="1" outlineLevel="1" x14ac:dyDescent="0.4">
      <c r="A195" s="2">
        <v>7</v>
      </c>
      <c r="J195" s="6" t="str">
        <f>IFERROR(_xlfn.LET(_xlpm.v,
VLOOKUP($I195,効果!$A:$B,COLUMN(効果!B$1),FALSE),
IF(_xlpm.v=0,"",_xlpm.v)
),"")</f>
        <v/>
      </c>
      <c r="L195" s="15" t="str">
        <f>IF(OR(COUNTIF(クラス!$A$1:$A$1035, $B195),$B195="",COUNTIF(スキル一覧!$A$1:$A$3500, $B195)), "", "存在しない")</f>
        <v/>
      </c>
      <c r="M195" s="2" t="str">
        <f>IF(COUNTIF($B$1:$C194, $B195), "", "存在しない")</f>
        <v>存在しない</v>
      </c>
      <c r="N195" s="2" t="s">
        <v>1196</v>
      </c>
    </row>
    <row r="196" spans="1:14" hidden="1" outlineLevel="1" x14ac:dyDescent="0.4">
      <c r="A196" s="2">
        <v>8</v>
      </c>
      <c r="J196" s="6" t="str">
        <f>IFERROR(_xlfn.LET(_xlpm.v,
VLOOKUP($I196,効果!$A:$B,COLUMN(効果!B$1),FALSE),
IF(_xlpm.v=0,"",_xlpm.v)
),"")</f>
        <v/>
      </c>
      <c r="L196" s="15" t="str">
        <f>IF(OR(COUNTIF(クラス!$A$1:$A$1035, $B196),$B196="",COUNTIF(スキル一覧!$A$1:$A$3500, $B196)), "", "存在しない")</f>
        <v/>
      </c>
      <c r="M196" s="2" t="str">
        <f>IF(COUNTIF($B$1:$C195, $B196), "", "存在しない")</f>
        <v>存在しない</v>
      </c>
      <c r="N196" s="2" t="s">
        <v>1196</v>
      </c>
    </row>
    <row r="197" spans="1:14" hidden="1" outlineLevel="1" x14ac:dyDescent="0.4">
      <c r="A197" s="2">
        <v>9</v>
      </c>
      <c r="J197" s="6" t="str">
        <f>IFERROR(_xlfn.LET(_xlpm.v,
VLOOKUP($I197,効果!$A:$B,COLUMN(効果!B$1),FALSE),
IF(_xlpm.v=0,"",_xlpm.v)
),"")</f>
        <v/>
      </c>
      <c r="L197" s="15" t="str">
        <f>IF(OR(COUNTIF(クラス!$A$1:$A$1035, $B197),$B197="",COUNTIF(スキル一覧!$A$1:$A$3500, $B197)), "", "存在しない")</f>
        <v/>
      </c>
      <c r="M197" s="2" t="str">
        <f>IF(COUNTIF($B$1:$C196, $B197), "", "存在しない")</f>
        <v>存在しない</v>
      </c>
      <c r="N197" s="2" t="s">
        <v>1196</v>
      </c>
    </row>
    <row r="198" spans="1:14" hidden="1" outlineLevel="1" x14ac:dyDescent="0.4">
      <c r="A198" s="2">
        <v>10</v>
      </c>
      <c r="J198" s="6" t="str">
        <f>IFERROR(_xlfn.LET(_xlpm.v,
VLOOKUP($I198,効果!$A:$B,COLUMN(効果!B$1),FALSE),
IF(_xlpm.v=0,"",_xlpm.v)
),"")</f>
        <v/>
      </c>
      <c r="L198" s="15" t="str">
        <f>IF(OR(COUNTIF(クラス!$A$1:$A$1035, $B198),$B198="",COUNTIF(スキル一覧!$A$1:$A$3500, $B198)), "", "存在しない")</f>
        <v/>
      </c>
      <c r="M198" s="2" t="str">
        <f>IF(COUNTIF($B$1:$C197, $B198), "", "存在しない")</f>
        <v>存在しない</v>
      </c>
      <c r="N198" s="2" t="s">
        <v>1196</v>
      </c>
    </row>
    <row r="199" spans="1:14" hidden="1" outlineLevel="1" x14ac:dyDescent="0.4">
      <c r="J199" s="6" t="str">
        <f>IFERROR(_xlfn.LET(_xlpm.v,
VLOOKUP($I199,効果!$A:$B,COLUMN(効果!B$1),FALSE),
IF(_xlpm.v=0,"",_xlpm.v)
),"")</f>
        <v/>
      </c>
      <c r="L199" s="15" t="str">
        <f>IF(OR(COUNTIF(クラス!$A$1:$A$1035, $B199),$B199="",COUNTIF(スキル一覧!$A$1:$A$3500, $B199)), "", "存在しない")</f>
        <v/>
      </c>
      <c r="M199" s="2" t="str">
        <f>IF(COUNTIF($B$1:$C198, $B199), "", "存在しない")</f>
        <v>存在しない</v>
      </c>
      <c r="N199" s="2" t="s">
        <v>1196</v>
      </c>
    </row>
    <row r="200" spans="1:14" collapsed="1" x14ac:dyDescent="0.4">
      <c r="J200" s="6" t="str">
        <f>IFERROR(_xlfn.LET(_xlpm.v,
VLOOKUP($I200,効果!$A:$B,COLUMN(効果!B$1),FALSE),
IF(_xlpm.v=0,"",_xlpm.v)
),"")</f>
        <v/>
      </c>
      <c r="L200" s="15" t="str">
        <f>IF(OR(COUNTIF(クラス!$A$1:$A$1035, $B200),$B200="",COUNTIF(スキル一覧!$A$1:$A$3500, $B200)), "", "存在しない")</f>
        <v/>
      </c>
      <c r="M200" s="2" t="str">
        <f>IF(COUNTIF($B$1:$C199, $B200), "", "存在しない")</f>
        <v>存在しない</v>
      </c>
      <c r="N200" s="2" t="s">
        <v>1196</v>
      </c>
    </row>
    <row r="201" spans="1:14" x14ac:dyDescent="0.4">
      <c r="B201" s="2" t="s">
        <v>33</v>
      </c>
      <c r="J201" s="6" t="str">
        <f>IFERROR(_xlfn.LET(_xlpm.v,
VLOOKUP($I201,効果!$A:$B,COLUMN(効果!B$1),FALSE),
IF(_xlpm.v=0,"",_xlpm.v)
),"")</f>
        <v/>
      </c>
      <c r="L201" s="15" t="str">
        <f>IF(OR(COUNTIF(クラス!$A$1:$A$1035, $B201),$B201="",COUNTIF(スキル一覧!$A$1:$A$3500, $B201)), "", "存在しない")</f>
        <v/>
      </c>
      <c r="M201" s="2" t="str">
        <f>IF(COUNTIF($B$1:$C200, $B201), "", "存在しない")</f>
        <v>存在しない</v>
      </c>
      <c r="N201" s="2" t="s">
        <v>1196</v>
      </c>
    </row>
    <row r="202" spans="1:14" hidden="1" outlineLevel="1" x14ac:dyDescent="0.4">
      <c r="A202" s="2">
        <v>1</v>
      </c>
      <c r="J202" s="6" t="str">
        <f>IFERROR(_xlfn.LET(_xlpm.v,
VLOOKUP($I202,効果!$A:$B,COLUMN(効果!B$1),FALSE),
IF(_xlpm.v=0,"",_xlpm.v)
),"")</f>
        <v/>
      </c>
      <c r="L202" s="15" t="str">
        <f>IF(OR(COUNTIF(クラス!$A$1:$A$1035, $B202),$B202="",COUNTIF(スキル一覧!$A$1:$A$3500, $B202)), "", "存在しない")</f>
        <v/>
      </c>
      <c r="M202" s="2" t="str">
        <f>IF(COUNTIF($B$1:$C201, $B202), "", "存在しない")</f>
        <v>存在しない</v>
      </c>
      <c r="N202" s="2" t="s">
        <v>1196</v>
      </c>
    </row>
    <row r="203" spans="1:14" hidden="1" outlineLevel="1" x14ac:dyDescent="0.4">
      <c r="A203" s="2">
        <v>2</v>
      </c>
      <c r="J203" s="6" t="str">
        <f>IFERROR(_xlfn.LET(_xlpm.v,
VLOOKUP($I203,効果!$A:$B,COLUMN(効果!B$1),FALSE),
IF(_xlpm.v=0,"",_xlpm.v)
),"")</f>
        <v/>
      </c>
      <c r="L203" s="15" t="str">
        <f>IF(OR(COUNTIF(クラス!$A$1:$A$1035, $B203),$B203="",COUNTIF(スキル一覧!$A$1:$A$3500, $B203)), "", "存在しない")</f>
        <v/>
      </c>
      <c r="M203" s="2" t="str">
        <f>IF(COUNTIF($B$1:$C202, $B203), "", "存在しない")</f>
        <v>存在しない</v>
      </c>
      <c r="N203" s="2" t="s">
        <v>1196</v>
      </c>
    </row>
    <row r="204" spans="1:14" hidden="1" outlineLevel="1" x14ac:dyDescent="0.4">
      <c r="A204" s="2">
        <v>3</v>
      </c>
      <c r="J204" s="6" t="str">
        <f>IFERROR(_xlfn.LET(_xlpm.v,
VLOOKUP($I204,効果!$A:$B,COLUMN(効果!B$1),FALSE),
IF(_xlpm.v=0,"",_xlpm.v)
),"")</f>
        <v/>
      </c>
      <c r="L204" s="15" t="str">
        <f>IF(OR(COUNTIF(クラス!$A$1:$A$1035, $B204),$B204="",COUNTIF(スキル一覧!$A$1:$A$3500, $B204)), "", "存在しない")</f>
        <v/>
      </c>
      <c r="M204" s="2" t="str">
        <f>IF(COUNTIF($B$1:$C203, $B204), "", "存在しない")</f>
        <v>存在しない</v>
      </c>
      <c r="N204" s="2" t="s">
        <v>1196</v>
      </c>
    </row>
    <row r="205" spans="1:14" hidden="1" outlineLevel="1" x14ac:dyDescent="0.4">
      <c r="A205" s="2">
        <v>4</v>
      </c>
      <c r="J205" s="6" t="str">
        <f>IFERROR(_xlfn.LET(_xlpm.v,
VLOOKUP($I205,効果!$A:$B,COLUMN(効果!B$1),FALSE),
IF(_xlpm.v=0,"",_xlpm.v)
),"")</f>
        <v/>
      </c>
      <c r="L205" s="15" t="str">
        <f>IF(OR(COUNTIF(クラス!$A$1:$A$1035, $B205),$B205="",COUNTIF(スキル一覧!$A$1:$A$3500, $B205)), "", "存在しない")</f>
        <v/>
      </c>
      <c r="M205" s="2" t="str">
        <f>IF(COUNTIF($B$1:$C204, $B205), "", "存在しない")</f>
        <v>存在しない</v>
      </c>
      <c r="N205" s="2" t="s">
        <v>1196</v>
      </c>
    </row>
    <row r="206" spans="1:14" hidden="1" outlineLevel="1" x14ac:dyDescent="0.4">
      <c r="A206" s="2">
        <v>5</v>
      </c>
      <c r="J206" s="6" t="str">
        <f>IFERROR(_xlfn.LET(_xlpm.v,
VLOOKUP($I206,効果!$A:$B,COLUMN(効果!B$1),FALSE),
IF(_xlpm.v=0,"",_xlpm.v)
),"")</f>
        <v/>
      </c>
      <c r="L206" s="15" t="str">
        <f>IF(OR(COUNTIF(クラス!$A$1:$A$1035, $B206),$B206="",COUNTIF(スキル一覧!$A$1:$A$3500, $B206)), "", "存在しない")</f>
        <v/>
      </c>
      <c r="M206" s="2" t="str">
        <f>IF(COUNTIF($B$1:$C205, $B206), "", "存在しない")</f>
        <v>存在しない</v>
      </c>
      <c r="N206" s="2" t="s">
        <v>1196</v>
      </c>
    </row>
    <row r="207" spans="1:14" hidden="1" outlineLevel="1" x14ac:dyDescent="0.4">
      <c r="A207" s="2">
        <v>6</v>
      </c>
      <c r="J207" s="6" t="str">
        <f>IFERROR(_xlfn.LET(_xlpm.v,
VLOOKUP($I207,効果!$A:$B,COLUMN(効果!B$1),FALSE),
IF(_xlpm.v=0,"",_xlpm.v)
),"")</f>
        <v/>
      </c>
      <c r="L207" s="15" t="str">
        <f>IF(OR(COUNTIF(クラス!$A$1:$A$1035, $B207),$B207="",COUNTIF(スキル一覧!$A$1:$A$3500, $B207)), "", "存在しない")</f>
        <v/>
      </c>
      <c r="M207" s="2" t="str">
        <f>IF(COUNTIF($B$1:$C206, $B207), "", "存在しない")</f>
        <v>存在しない</v>
      </c>
      <c r="N207" s="2" t="s">
        <v>1196</v>
      </c>
    </row>
    <row r="208" spans="1:14" hidden="1" outlineLevel="1" x14ac:dyDescent="0.4">
      <c r="A208" s="2">
        <v>7</v>
      </c>
      <c r="J208" s="6" t="str">
        <f>IFERROR(_xlfn.LET(_xlpm.v,
VLOOKUP($I208,効果!$A:$B,COLUMN(効果!B$1),FALSE),
IF(_xlpm.v=0,"",_xlpm.v)
),"")</f>
        <v/>
      </c>
      <c r="L208" s="15" t="str">
        <f>IF(OR(COUNTIF(クラス!$A$1:$A$1035, $B208),$B208="",COUNTIF(スキル一覧!$A$1:$A$3500, $B208)), "", "存在しない")</f>
        <v/>
      </c>
      <c r="M208" s="2" t="str">
        <f>IF(COUNTIF($B$1:$C207, $B208), "", "存在しない")</f>
        <v>存在しない</v>
      </c>
      <c r="N208" s="2" t="s">
        <v>1196</v>
      </c>
    </row>
    <row r="209" spans="1:14" hidden="1" outlineLevel="1" x14ac:dyDescent="0.4">
      <c r="A209" s="2">
        <v>8</v>
      </c>
      <c r="J209" s="6" t="str">
        <f>IFERROR(_xlfn.LET(_xlpm.v,
VLOOKUP($I209,効果!$A:$B,COLUMN(効果!B$1),FALSE),
IF(_xlpm.v=0,"",_xlpm.v)
),"")</f>
        <v/>
      </c>
      <c r="L209" s="15" t="str">
        <f>IF(OR(COUNTIF(クラス!$A$1:$A$1035, $B209),$B209="",COUNTIF(スキル一覧!$A$1:$A$3500, $B209)), "", "存在しない")</f>
        <v/>
      </c>
      <c r="M209" s="2" t="str">
        <f>IF(COUNTIF($B$1:$C208, $B209), "", "存在しない")</f>
        <v>存在しない</v>
      </c>
      <c r="N209" s="2" t="s">
        <v>1196</v>
      </c>
    </row>
    <row r="210" spans="1:14" hidden="1" outlineLevel="1" x14ac:dyDescent="0.4">
      <c r="A210" s="2">
        <v>9</v>
      </c>
      <c r="J210" s="6" t="str">
        <f>IFERROR(_xlfn.LET(_xlpm.v,
VLOOKUP($I210,効果!$A:$B,COLUMN(効果!B$1),FALSE),
IF(_xlpm.v=0,"",_xlpm.v)
),"")</f>
        <v/>
      </c>
      <c r="L210" s="15" t="str">
        <f>IF(OR(COUNTIF(クラス!$A$1:$A$1035, $B210),$B210="",COUNTIF(スキル一覧!$A$1:$A$3500, $B210)), "", "存在しない")</f>
        <v/>
      </c>
      <c r="M210" s="2" t="str">
        <f>IF(COUNTIF($B$1:$C209, $B210), "", "存在しない")</f>
        <v>存在しない</v>
      </c>
      <c r="N210" s="2" t="s">
        <v>1196</v>
      </c>
    </row>
    <row r="211" spans="1:14" hidden="1" outlineLevel="1" x14ac:dyDescent="0.4">
      <c r="A211" s="2">
        <v>10</v>
      </c>
      <c r="J211" s="6" t="str">
        <f>IFERROR(_xlfn.LET(_xlpm.v,
VLOOKUP($I211,効果!$A:$B,COLUMN(効果!B$1),FALSE),
IF(_xlpm.v=0,"",_xlpm.v)
),"")</f>
        <v/>
      </c>
      <c r="L211" s="15" t="str">
        <f>IF(OR(COUNTIF(クラス!$A$1:$A$1035, $B211),$B211="",COUNTIF(スキル一覧!$A$1:$A$3500, $B211)), "", "存在しない")</f>
        <v/>
      </c>
      <c r="M211" s="2" t="str">
        <f>IF(COUNTIF($B$1:$C210, $B211), "", "存在しない")</f>
        <v>存在しない</v>
      </c>
      <c r="N211" s="2" t="s">
        <v>1196</v>
      </c>
    </row>
    <row r="212" spans="1:14" hidden="1" outlineLevel="1" x14ac:dyDescent="0.4">
      <c r="J212" s="6" t="str">
        <f>IFERROR(_xlfn.LET(_xlpm.v,
VLOOKUP($I212,効果!$A:$B,COLUMN(効果!B$1),FALSE),
IF(_xlpm.v=0,"",_xlpm.v)
),"")</f>
        <v/>
      </c>
      <c r="L212" s="15" t="str">
        <f>IF(OR(COUNTIF(クラス!$A$1:$A$1035, $B212),$B212="",COUNTIF(スキル一覧!$A$1:$A$3500, $B212)), "", "存在しない")</f>
        <v/>
      </c>
      <c r="M212" s="2" t="str">
        <f>IF(COUNTIF($B$1:$C211, $B212), "", "存在しない")</f>
        <v>存在しない</v>
      </c>
      <c r="N212" s="2" t="s">
        <v>1196</v>
      </c>
    </row>
    <row r="213" spans="1:14" collapsed="1" x14ac:dyDescent="0.4">
      <c r="J213" s="6" t="str">
        <f>IFERROR(_xlfn.LET(_xlpm.v,
VLOOKUP($I213,効果!$A:$B,COLUMN(効果!B$1),FALSE),
IF(_xlpm.v=0,"",_xlpm.v)
),"")</f>
        <v/>
      </c>
      <c r="L213" s="15" t="str">
        <f>IF(OR(COUNTIF(クラス!$A$1:$A$1035, $B213),$B213="",COUNTIF(スキル一覧!$A$1:$A$3500, $B213)), "", "存在しない")</f>
        <v/>
      </c>
      <c r="M213" s="2" t="str">
        <f>IF(COUNTIF($B$1:$C212, $B213), "", "存在しない")</f>
        <v>存在しない</v>
      </c>
      <c r="N213" s="2" t="s">
        <v>1196</v>
      </c>
    </row>
    <row r="214" spans="1:14" x14ac:dyDescent="0.4">
      <c r="J214" s="6" t="str">
        <f>IFERROR(_xlfn.LET(_xlpm.v,
VLOOKUP($I214,効果!$A:$B,COLUMN(効果!B$1),FALSE),
IF(_xlpm.v=0,"",_xlpm.v)
),"")</f>
        <v/>
      </c>
      <c r="L214" s="15" t="str">
        <f>IF(OR(COUNTIF(クラス!$A$1:$A$1035, $B214),$B214="",COUNTIF(スキル一覧!$A$1:$A$3500, $B214)), "", "存在しない")</f>
        <v/>
      </c>
      <c r="M214" s="2" t="str">
        <f>IF(COUNTIF($B$1:$C213, $B214), "", "存在しない")</f>
        <v>存在しない</v>
      </c>
      <c r="N214" s="2" t="s">
        <v>1196</v>
      </c>
    </row>
    <row r="215" spans="1:14" x14ac:dyDescent="0.4">
      <c r="B215" s="2" t="s">
        <v>248</v>
      </c>
      <c r="J215" s="6" t="str">
        <f>IFERROR(_xlfn.LET(_xlpm.v,
VLOOKUP($I215,効果!$A:$B,COLUMN(効果!B$1),FALSE),
IF(_xlpm.v=0,"",_xlpm.v)
),"")</f>
        <v/>
      </c>
      <c r="L215" s="15" t="str">
        <f>IF(OR(COUNTIF(クラス!$A$1:$A$1035, $B215),$B215="",COUNTIF(スキル一覧!$A$1:$A$3500, $B215)), "", "存在しない")</f>
        <v/>
      </c>
      <c r="M215" s="2" t="str">
        <f>IF(COUNTIF($B$1:$C214, $B215), "", "存在しない")</f>
        <v>存在しない</v>
      </c>
      <c r="N215" s="2" t="s">
        <v>1196</v>
      </c>
    </row>
    <row r="216" spans="1:14" hidden="1" outlineLevel="1" x14ac:dyDescent="0.4">
      <c r="A216" s="2">
        <v>1</v>
      </c>
      <c r="J216" s="6" t="str">
        <f>IFERROR(_xlfn.LET(_xlpm.v,
VLOOKUP($I216,効果!$A:$B,COLUMN(効果!B$1),FALSE),
IF(_xlpm.v=0,"",_xlpm.v)
),"")</f>
        <v/>
      </c>
      <c r="L216" s="15" t="str">
        <f>IF(OR(COUNTIF(クラス!$A$1:$A$1035, $B216),$B216="",COUNTIF(スキル一覧!$A$1:$A$3500, $B216)), "", "存在しない")</f>
        <v/>
      </c>
      <c r="M216" s="2" t="str">
        <f>IF(COUNTIF($B$1:$C215, $B216), "", "存在しない")</f>
        <v>存在しない</v>
      </c>
      <c r="N216" s="2" t="s">
        <v>1196</v>
      </c>
    </row>
    <row r="217" spans="1:14" hidden="1" outlineLevel="1" x14ac:dyDescent="0.4">
      <c r="A217" s="2">
        <v>2</v>
      </c>
      <c r="J217" s="6" t="str">
        <f>IFERROR(_xlfn.LET(_xlpm.v,
VLOOKUP($I217,効果!$A:$B,COLUMN(効果!B$1),FALSE),
IF(_xlpm.v=0,"",_xlpm.v)
),"")</f>
        <v/>
      </c>
      <c r="L217" s="15" t="str">
        <f>IF(OR(COUNTIF(クラス!$A$1:$A$1035, $B217),$B217="",COUNTIF(スキル一覧!$A$1:$A$3500, $B217)), "", "存在しない")</f>
        <v/>
      </c>
      <c r="M217" s="2" t="str">
        <f>IF(COUNTIF($B$1:$C216, $B217), "", "存在しない")</f>
        <v>存在しない</v>
      </c>
      <c r="N217" s="2" t="s">
        <v>1196</v>
      </c>
    </row>
    <row r="218" spans="1:14" hidden="1" outlineLevel="1" x14ac:dyDescent="0.4">
      <c r="A218" s="2">
        <v>3</v>
      </c>
      <c r="J218" s="6" t="str">
        <f>IFERROR(_xlfn.LET(_xlpm.v,
VLOOKUP($I218,効果!$A:$B,COLUMN(効果!B$1),FALSE),
IF(_xlpm.v=0,"",_xlpm.v)
),"")</f>
        <v/>
      </c>
      <c r="L218" s="15" t="str">
        <f>IF(OR(COUNTIF(クラス!$A$1:$A$1035, $B218),$B218="",COUNTIF(スキル一覧!$A$1:$A$3500, $B218)), "", "存在しない")</f>
        <v/>
      </c>
      <c r="M218" s="2" t="str">
        <f>IF(COUNTIF($B$1:$C217, $B218), "", "存在しない")</f>
        <v>存在しない</v>
      </c>
      <c r="N218" s="2" t="s">
        <v>1196</v>
      </c>
    </row>
    <row r="219" spans="1:14" hidden="1" outlineLevel="1" x14ac:dyDescent="0.4">
      <c r="A219" s="2">
        <v>4</v>
      </c>
      <c r="J219" s="6" t="str">
        <f>IFERROR(_xlfn.LET(_xlpm.v,
VLOOKUP($I219,効果!$A:$B,COLUMN(効果!B$1),FALSE),
IF(_xlpm.v=0,"",_xlpm.v)
),"")</f>
        <v/>
      </c>
      <c r="L219" s="15" t="str">
        <f>IF(OR(COUNTIF(クラス!$A$1:$A$1035, $B219),$B219="",COUNTIF(スキル一覧!$A$1:$A$3500, $B219)), "", "存在しない")</f>
        <v/>
      </c>
      <c r="M219" s="2" t="str">
        <f>IF(COUNTIF($B$1:$C218, $B219), "", "存在しない")</f>
        <v>存在しない</v>
      </c>
      <c r="N219" s="2" t="s">
        <v>1196</v>
      </c>
    </row>
    <row r="220" spans="1:14" hidden="1" outlineLevel="1" x14ac:dyDescent="0.4">
      <c r="A220" s="2">
        <v>5</v>
      </c>
      <c r="J220" s="6" t="str">
        <f>IFERROR(_xlfn.LET(_xlpm.v,
VLOOKUP($I220,効果!$A:$B,COLUMN(効果!B$1),FALSE),
IF(_xlpm.v=0,"",_xlpm.v)
),"")</f>
        <v/>
      </c>
      <c r="L220" s="15" t="str">
        <f>IF(OR(COUNTIF(クラス!$A$1:$A$1035, $B220),$B220="",COUNTIF(スキル一覧!$A$1:$A$3500, $B220)), "", "存在しない")</f>
        <v/>
      </c>
      <c r="M220" s="2" t="str">
        <f>IF(COUNTIF($B$1:$C219, $B220), "", "存在しない")</f>
        <v>存在しない</v>
      </c>
      <c r="N220" s="2" t="s">
        <v>1196</v>
      </c>
    </row>
    <row r="221" spans="1:14" hidden="1" outlineLevel="1" x14ac:dyDescent="0.4">
      <c r="A221" s="2">
        <v>6</v>
      </c>
      <c r="J221" s="6" t="str">
        <f>IFERROR(_xlfn.LET(_xlpm.v,
VLOOKUP($I221,効果!$A:$B,COLUMN(効果!B$1),FALSE),
IF(_xlpm.v=0,"",_xlpm.v)
),"")</f>
        <v/>
      </c>
      <c r="L221" s="15" t="str">
        <f>IF(OR(COUNTIF(クラス!$A$1:$A$1035, $B221),$B221="",COUNTIF(スキル一覧!$A$1:$A$3500, $B221)), "", "存在しない")</f>
        <v/>
      </c>
      <c r="M221" s="2" t="str">
        <f>IF(COUNTIF($B$1:$C220, $B221), "", "存在しない")</f>
        <v>存在しない</v>
      </c>
      <c r="N221" s="2" t="s">
        <v>1196</v>
      </c>
    </row>
    <row r="222" spans="1:14" hidden="1" outlineLevel="1" x14ac:dyDescent="0.4">
      <c r="A222" s="2">
        <v>7</v>
      </c>
      <c r="J222" s="6" t="str">
        <f>IFERROR(_xlfn.LET(_xlpm.v,
VLOOKUP($I222,効果!$A:$B,COLUMN(効果!B$1),FALSE),
IF(_xlpm.v=0,"",_xlpm.v)
),"")</f>
        <v/>
      </c>
      <c r="L222" s="15" t="str">
        <f>IF(OR(COUNTIF(クラス!$A$1:$A$1035, $B222),$B222="",COUNTIF(スキル一覧!$A$1:$A$3500, $B222)), "", "存在しない")</f>
        <v/>
      </c>
      <c r="M222" s="2" t="str">
        <f>IF(COUNTIF($B$1:$C221, $B222), "", "存在しない")</f>
        <v>存在しない</v>
      </c>
      <c r="N222" s="2" t="s">
        <v>1196</v>
      </c>
    </row>
    <row r="223" spans="1:14" hidden="1" outlineLevel="1" x14ac:dyDescent="0.4">
      <c r="A223" s="2">
        <v>8</v>
      </c>
      <c r="J223" s="6" t="str">
        <f>IFERROR(_xlfn.LET(_xlpm.v,
VLOOKUP($I223,効果!$A:$B,COLUMN(効果!B$1),FALSE),
IF(_xlpm.v=0,"",_xlpm.v)
),"")</f>
        <v/>
      </c>
      <c r="L223" s="15" t="str">
        <f>IF(OR(COUNTIF(クラス!$A$1:$A$1035, $B223),$B223="",COUNTIF(スキル一覧!$A$1:$A$3500, $B223)), "", "存在しない")</f>
        <v/>
      </c>
      <c r="M223" s="2" t="str">
        <f>IF(COUNTIF($B$1:$C222, $B223), "", "存在しない")</f>
        <v>存在しない</v>
      </c>
      <c r="N223" s="2" t="s">
        <v>1196</v>
      </c>
    </row>
    <row r="224" spans="1:14" hidden="1" outlineLevel="1" x14ac:dyDescent="0.4">
      <c r="A224" s="2">
        <v>9</v>
      </c>
      <c r="J224" s="6" t="str">
        <f>IFERROR(_xlfn.LET(_xlpm.v,
VLOOKUP($I224,効果!$A:$B,COLUMN(効果!B$1),FALSE),
IF(_xlpm.v=0,"",_xlpm.v)
),"")</f>
        <v/>
      </c>
      <c r="L224" s="15" t="str">
        <f>IF(OR(COUNTIF(クラス!$A$1:$A$1035, $B224),$B224="",COUNTIF(スキル一覧!$A$1:$A$3500, $B224)), "", "存在しない")</f>
        <v/>
      </c>
      <c r="M224" s="2" t="str">
        <f>IF(COUNTIF($B$1:$C223, $B224), "", "存在しない")</f>
        <v>存在しない</v>
      </c>
      <c r="N224" s="2" t="s">
        <v>1196</v>
      </c>
    </row>
    <row r="225" spans="1:14" hidden="1" outlineLevel="1" x14ac:dyDescent="0.4">
      <c r="A225" s="2">
        <v>10</v>
      </c>
      <c r="J225" s="6" t="str">
        <f>IFERROR(_xlfn.LET(_xlpm.v,
VLOOKUP($I225,効果!$A:$B,COLUMN(効果!B$1),FALSE),
IF(_xlpm.v=0,"",_xlpm.v)
),"")</f>
        <v/>
      </c>
      <c r="L225" s="15" t="str">
        <f>IF(OR(COUNTIF(クラス!$A$1:$A$1035, $B225),$B225="",COUNTIF(スキル一覧!$A$1:$A$3500, $B225)), "", "存在しない")</f>
        <v/>
      </c>
      <c r="M225" s="2" t="str">
        <f>IF(COUNTIF($B$1:$C224, $B225), "", "存在しない")</f>
        <v>存在しない</v>
      </c>
      <c r="N225" s="2" t="s">
        <v>1196</v>
      </c>
    </row>
    <row r="226" spans="1:14" hidden="1" outlineLevel="1" x14ac:dyDescent="0.4">
      <c r="J226" s="6" t="str">
        <f>IFERROR(_xlfn.LET(_xlpm.v,
VLOOKUP($I226,効果!$A:$B,COLUMN(効果!B$1),FALSE),
IF(_xlpm.v=0,"",_xlpm.v)
),"")</f>
        <v/>
      </c>
      <c r="L226" s="15" t="str">
        <f>IF(OR(COUNTIF(クラス!$A$1:$A$1035, $B226),$B226="",COUNTIF(スキル一覧!$A$1:$A$3500, $B226)), "", "存在しない")</f>
        <v/>
      </c>
      <c r="M226" s="2" t="str">
        <f>IF(COUNTIF($B$1:$C225, $B226), "", "存在しない")</f>
        <v>存在しない</v>
      </c>
      <c r="N226" s="2" t="s">
        <v>1196</v>
      </c>
    </row>
    <row r="227" spans="1:14" collapsed="1" x14ac:dyDescent="0.4">
      <c r="J227" s="6" t="str">
        <f>IFERROR(_xlfn.LET(_xlpm.v,
VLOOKUP($I227,効果!$A:$B,COLUMN(効果!B$1),FALSE),
IF(_xlpm.v=0,"",_xlpm.v)
),"")</f>
        <v/>
      </c>
      <c r="L227" s="15" t="str">
        <f>IF(OR(COUNTIF(クラス!$A$1:$A$1035, $B227),$B227="",COUNTIF(スキル一覧!$A$1:$A$3500, $B227)), "", "存在しない")</f>
        <v/>
      </c>
      <c r="M227" s="2" t="str">
        <f>IF(COUNTIF($B$1:$C226, $B227), "", "存在しない")</f>
        <v>存在しない</v>
      </c>
      <c r="N227" s="2" t="s">
        <v>1196</v>
      </c>
    </row>
    <row r="228" spans="1:14" x14ac:dyDescent="0.4">
      <c r="B228" s="2" t="s">
        <v>250</v>
      </c>
      <c r="J228" s="6" t="str">
        <f>IFERROR(_xlfn.LET(_xlpm.v,
VLOOKUP($I228,効果!$A:$B,COLUMN(効果!B$1),FALSE),
IF(_xlpm.v=0,"",_xlpm.v)
),"")</f>
        <v/>
      </c>
      <c r="L228" s="15" t="str">
        <f>IF(OR(COUNTIF(クラス!$A$1:$A$1035, $B228),$B228="",COUNTIF(スキル一覧!$A$1:$A$3500, $B228)), "", "存在しない")</f>
        <v/>
      </c>
      <c r="M228" s="2" t="str">
        <f>IF(COUNTIF($B$1:$C227, $B228), "", "存在しない")</f>
        <v>存在しない</v>
      </c>
      <c r="N228" s="2" t="s">
        <v>1196</v>
      </c>
    </row>
    <row r="229" spans="1:14" hidden="1" outlineLevel="1" x14ac:dyDescent="0.4">
      <c r="A229" s="2">
        <v>1</v>
      </c>
      <c r="J229" s="6" t="str">
        <f>IFERROR(_xlfn.LET(_xlpm.v,
VLOOKUP($I229,効果!$A:$B,COLUMN(効果!B$1),FALSE),
IF(_xlpm.v=0,"",_xlpm.v)
),"")</f>
        <v/>
      </c>
      <c r="L229" s="15" t="str">
        <f>IF(OR(COUNTIF(クラス!$A$1:$A$1035, $B229),$B229="",COUNTIF(スキル一覧!$A$1:$A$3500, $B229)), "", "存在しない")</f>
        <v/>
      </c>
      <c r="M229" s="2" t="str">
        <f>IF(COUNTIF($B$1:$C228, $B229), "", "存在しない")</f>
        <v>存在しない</v>
      </c>
      <c r="N229" s="2" t="s">
        <v>1196</v>
      </c>
    </row>
    <row r="230" spans="1:14" hidden="1" outlineLevel="1" x14ac:dyDescent="0.4">
      <c r="A230" s="2">
        <v>2</v>
      </c>
      <c r="J230" s="6" t="str">
        <f>IFERROR(_xlfn.LET(_xlpm.v,
VLOOKUP($I230,効果!$A:$B,COLUMN(効果!B$1),FALSE),
IF(_xlpm.v=0,"",_xlpm.v)
),"")</f>
        <v/>
      </c>
      <c r="L230" s="15" t="str">
        <f>IF(OR(COUNTIF(クラス!$A$1:$A$1035, $B230),$B230="",COUNTIF(スキル一覧!$A$1:$A$3500, $B230)), "", "存在しない")</f>
        <v/>
      </c>
      <c r="M230" s="2" t="str">
        <f>IF(COUNTIF($B$1:$C229, $B230), "", "存在しない")</f>
        <v>存在しない</v>
      </c>
      <c r="N230" s="2" t="s">
        <v>1196</v>
      </c>
    </row>
    <row r="231" spans="1:14" hidden="1" outlineLevel="1" x14ac:dyDescent="0.4">
      <c r="A231" s="2">
        <v>3</v>
      </c>
      <c r="J231" s="6" t="str">
        <f>IFERROR(_xlfn.LET(_xlpm.v,
VLOOKUP($I231,効果!$A:$B,COLUMN(効果!B$1),FALSE),
IF(_xlpm.v=0,"",_xlpm.v)
),"")</f>
        <v/>
      </c>
      <c r="L231" s="15" t="str">
        <f>IF(OR(COUNTIF(クラス!$A$1:$A$1035, $B231),$B231="",COUNTIF(スキル一覧!$A$1:$A$3500, $B231)), "", "存在しない")</f>
        <v/>
      </c>
      <c r="M231" s="2" t="str">
        <f>IF(COUNTIF($B$1:$C230, $B231), "", "存在しない")</f>
        <v>存在しない</v>
      </c>
      <c r="N231" s="2" t="s">
        <v>1196</v>
      </c>
    </row>
    <row r="232" spans="1:14" hidden="1" outlineLevel="1" x14ac:dyDescent="0.4">
      <c r="A232" s="2">
        <v>4</v>
      </c>
      <c r="J232" s="6" t="str">
        <f>IFERROR(_xlfn.LET(_xlpm.v,
VLOOKUP($I232,効果!$A:$B,COLUMN(効果!B$1),FALSE),
IF(_xlpm.v=0,"",_xlpm.v)
),"")</f>
        <v/>
      </c>
      <c r="L232" s="15" t="str">
        <f>IF(OR(COUNTIF(クラス!$A$1:$A$1035, $B232),$B232="",COUNTIF(スキル一覧!$A$1:$A$3500, $B232)), "", "存在しない")</f>
        <v/>
      </c>
      <c r="M232" s="2" t="str">
        <f>IF(COUNTIF($B$1:$C231, $B232), "", "存在しない")</f>
        <v>存在しない</v>
      </c>
      <c r="N232" s="2" t="s">
        <v>1196</v>
      </c>
    </row>
    <row r="233" spans="1:14" hidden="1" outlineLevel="1" x14ac:dyDescent="0.4">
      <c r="A233" s="2">
        <v>5</v>
      </c>
      <c r="J233" s="6" t="str">
        <f>IFERROR(_xlfn.LET(_xlpm.v,
VLOOKUP($I233,効果!$A:$B,COLUMN(効果!B$1),FALSE),
IF(_xlpm.v=0,"",_xlpm.v)
),"")</f>
        <v/>
      </c>
      <c r="L233" s="15" t="str">
        <f>IF(OR(COUNTIF(クラス!$A$1:$A$1035, $B233),$B233="",COUNTIF(スキル一覧!$A$1:$A$3500, $B233)), "", "存在しない")</f>
        <v/>
      </c>
      <c r="M233" s="2" t="str">
        <f>IF(COUNTIF($B$1:$C232, $B233), "", "存在しない")</f>
        <v>存在しない</v>
      </c>
      <c r="N233" s="2" t="s">
        <v>1196</v>
      </c>
    </row>
    <row r="234" spans="1:14" hidden="1" outlineLevel="1" x14ac:dyDescent="0.4">
      <c r="A234" s="2">
        <v>6</v>
      </c>
      <c r="J234" s="6" t="str">
        <f>IFERROR(_xlfn.LET(_xlpm.v,
VLOOKUP($I234,効果!$A:$B,COLUMN(効果!B$1),FALSE),
IF(_xlpm.v=0,"",_xlpm.v)
),"")</f>
        <v/>
      </c>
      <c r="L234" s="15" t="str">
        <f>IF(OR(COUNTIF(クラス!$A$1:$A$1035, $B234),$B234="",COUNTIF(スキル一覧!$A$1:$A$3500, $B234)), "", "存在しない")</f>
        <v/>
      </c>
      <c r="M234" s="2" t="str">
        <f>IF(COUNTIF($B$1:$C233, $B234), "", "存在しない")</f>
        <v>存在しない</v>
      </c>
      <c r="N234" s="2" t="s">
        <v>1196</v>
      </c>
    </row>
    <row r="235" spans="1:14" hidden="1" outlineLevel="1" x14ac:dyDescent="0.4">
      <c r="A235" s="2">
        <v>7</v>
      </c>
      <c r="J235" s="6" t="str">
        <f>IFERROR(_xlfn.LET(_xlpm.v,
VLOOKUP($I235,効果!$A:$B,COLUMN(効果!B$1),FALSE),
IF(_xlpm.v=0,"",_xlpm.v)
),"")</f>
        <v/>
      </c>
      <c r="L235" s="15" t="str">
        <f>IF(OR(COUNTIF(クラス!$A$1:$A$1035, $B235),$B235="",COUNTIF(スキル一覧!$A$1:$A$3500, $B235)), "", "存在しない")</f>
        <v/>
      </c>
      <c r="M235" s="2" t="str">
        <f>IF(COUNTIF($B$1:$C234, $B235), "", "存在しない")</f>
        <v>存在しない</v>
      </c>
      <c r="N235" s="2" t="s">
        <v>1196</v>
      </c>
    </row>
    <row r="236" spans="1:14" hidden="1" outlineLevel="1" x14ac:dyDescent="0.4">
      <c r="A236" s="2">
        <v>8</v>
      </c>
      <c r="J236" s="6" t="str">
        <f>IFERROR(_xlfn.LET(_xlpm.v,
VLOOKUP($I236,効果!$A:$B,COLUMN(効果!B$1),FALSE),
IF(_xlpm.v=0,"",_xlpm.v)
),"")</f>
        <v/>
      </c>
      <c r="L236" s="15" t="str">
        <f>IF(OR(COUNTIF(クラス!$A$1:$A$1035, $B236),$B236="",COUNTIF(スキル一覧!$A$1:$A$3500, $B236)), "", "存在しない")</f>
        <v/>
      </c>
      <c r="M236" s="2" t="str">
        <f>IF(COUNTIF($B$1:$C235, $B236), "", "存在しない")</f>
        <v>存在しない</v>
      </c>
      <c r="N236" s="2" t="s">
        <v>1196</v>
      </c>
    </row>
    <row r="237" spans="1:14" hidden="1" outlineLevel="1" x14ac:dyDescent="0.4">
      <c r="A237" s="2">
        <v>9</v>
      </c>
      <c r="J237" s="6" t="str">
        <f>IFERROR(_xlfn.LET(_xlpm.v,
VLOOKUP($I237,効果!$A:$B,COLUMN(効果!B$1),FALSE),
IF(_xlpm.v=0,"",_xlpm.v)
),"")</f>
        <v/>
      </c>
      <c r="L237" s="15" t="str">
        <f>IF(OR(COUNTIF(クラス!$A$1:$A$1035, $B237),$B237="",COUNTIF(スキル一覧!$A$1:$A$3500, $B237)), "", "存在しない")</f>
        <v/>
      </c>
      <c r="M237" s="2" t="str">
        <f>IF(COUNTIF($B$1:$C236, $B237), "", "存在しない")</f>
        <v>存在しない</v>
      </c>
      <c r="N237" s="2" t="s">
        <v>1196</v>
      </c>
    </row>
    <row r="238" spans="1:14" hidden="1" outlineLevel="1" x14ac:dyDescent="0.4">
      <c r="A238" s="2">
        <v>10</v>
      </c>
      <c r="J238" s="6" t="str">
        <f>IFERROR(_xlfn.LET(_xlpm.v,
VLOOKUP($I238,効果!$A:$B,COLUMN(効果!B$1),FALSE),
IF(_xlpm.v=0,"",_xlpm.v)
),"")</f>
        <v/>
      </c>
      <c r="L238" s="15" t="str">
        <f>IF(OR(COUNTIF(クラス!$A$1:$A$1035, $B238),$B238="",COUNTIF(スキル一覧!$A$1:$A$3500, $B238)), "", "存在しない")</f>
        <v/>
      </c>
      <c r="M238" s="2" t="str">
        <f>IF(COUNTIF($B$1:$C237, $B238), "", "存在しない")</f>
        <v>存在しない</v>
      </c>
      <c r="N238" s="2" t="s">
        <v>1196</v>
      </c>
    </row>
    <row r="239" spans="1:14" hidden="1" outlineLevel="1" x14ac:dyDescent="0.4">
      <c r="J239" s="6" t="str">
        <f>IFERROR(_xlfn.LET(_xlpm.v,
VLOOKUP($I239,効果!$A:$B,COLUMN(効果!B$1),FALSE),
IF(_xlpm.v=0,"",_xlpm.v)
),"")</f>
        <v/>
      </c>
      <c r="L239" s="15" t="str">
        <f>IF(OR(COUNTIF(クラス!$A$1:$A$1035, $B239),$B239="",COUNTIF(スキル一覧!$A$1:$A$3500, $B239)), "", "存在しない")</f>
        <v/>
      </c>
      <c r="M239" s="2" t="str">
        <f>IF(COUNTIF($B$1:$C238, $B239), "", "存在しない")</f>
        <v>存在しない</v>
      </c>
      <c r="N239" s="2" t="s">
        <v>1196</v>
      </c>
    </row>
    <row r="240" spans="1:14" collapsed="1" x14ac:dyDescent="0.4">
      <c r="J240" s="6" t="str">
        <f>IFERROR(_xlfn.LET(_xlpm.v,
VLOOKUP($I240,効果!$A:$B,COLUMN(効果!B$1),FALSE),
IF(_xlpm.v=0,"",_xlpm.v)
),"")</f>
        <v/>
      </c>
      <c r="L240" s="15" t="str">
        <f>IF(OR(COUNTIF(クラス!$A$1:$A$1035, $B240),$B240="",COUNTIF(スキル一覧!$A$1:$A$3500, $B240)), "", "存在しない")</f>
        <v/>
      </c>
      <c r="M240" s="2" t="str">
        <f>IF(COUNTIF($B$1:$C239, $B240), "", "存在しない")</f>
        <v>存在しない</v>
      </c>
      <c r="N240" s="2" t="s">
        <v>1196</v>
      </c>
    </row>
    <row r="241" spans="1:14" x14ac:dyDescent="0.4">
      <c r="B241" s="2" t="s">
        <v>249</v>
      </c>
      <c r="J241" s="6" t="str">
        <f>IFERROR(_xlfn.LET(_xlpm.v,
VLOOKUP($I241,効果!$A:$B,COLUMN(効果!B$1),FALSE),
IF(_xlpm.v=0,"",_xlpm.v)
),"")</f>
        <v/>
      </c>
      <c r="L241" s="15" t="str">
        <f>IF(OR(COUNTIF(クラス!$A$1:$A$1035, $B241),$B241="",COUNTIF(スキル一覧!$A$1:$A$3500, $B241)), "", "存在しない")</f>
        <v/>
      </c>
      <c r="M241" s="2" t="str">
        <f>IF(COUNTIF($B$1:$C240, $B241), "", "存在しない")</f>
        <v>存在しない</v>
      </c>
      <c r="N241" s="2" t="s">
        <v>1196</v>
      </c>
    </row>
    <row r="242" spans="1:14" ht="36" outlineLevel="1" x14ac:dyDescent="0.4">
      <c r="A242" s="2">
        <v>1</v>
      </c>
      <c r="B242" s="2" t="s">
        <v>1268</v>
      </c>
      <c r="C242" s="2" t="s">
        <v>1269</v>
      </c>
      <c r="D242" s="2" t="s">
        <v>1271</v>
      </c>
      <c r="E242" s="13" t="s">
        <v>1270</v>
      </c>
      <c r="G242" s="19">
        <v>50</v>
      </c>
      <c r="H242" s="10" t="s">
        <v>1826</v>
      </c>
      <c r="J242" s="6" t="str">
        <f>IFERROR(_xlfn.LET(_xlpm.v,
VLOOKUP($I242,効果!$A:$B,COLUMN(効果!B$1),FALSE),
IF(_xlpm.v=0,"",_xlpm.v)
),"")</f>
        <v/>
      </c>
      <c r="L242" s="15" t="str">
        <f>IF(OR(COUNTIF(クラス!$A$1:$A$1035, $B242),$B242="",COUNTIF(スキル一覧!$A$1:$A$3500, $B242)), "", "存在しない")</f>
        <v/>
      </c>
      <c r="M242" s="2" t="str">
        <f>IF(COUNTIF($B$1:$C241, $B242), "", "存在しない")</f>
        <v>存在しない</v>
      </c>
      <c r="N242" s="2" t="s">
        <v>1196</v>
      </c>
    </row>
    <row r="243" spans="1:14" outlineLevel="1" x14ac:dyDescent="0.4">
      <c r="A243" s="2">
        <v>2</v>
      </c>
      <c r="B243" s="2" t="s">
        <v>171</v>
      </c>
      <c r="J243" s="6" t="str">
        <f>IFERROR(_xlfn.LET(_xlpm.v,
VLOOKUP($I243,効果!$A:$B,COLUMN(効果!B$1),FALSE),
IF(_xlpm.v=0,"",_xlpm.v)
),"")</f>
        <v/>
      </c>
      <c r="L243" s="15" t="str">
        <f>IF(OR(COUNTIF(クラス!$A$1:$A$1035, $B243),$B243="",COUNTIF(スキル一覧!$A$1:$A$3500, $B243)), "", "存在しない")</f>
        <v/>
      </c>
      <c r="M243" s="2" t="str">
        <f>IF(COUNTIF($B$1:$C242, $B243), "", "存在しない")</f>
        <v/>
      </c>
      <c r="N243" s="2" t="s">
        <v>1196</v>
      </c>
    </row>
    <row r="244" spans="1:14" outlineLevel="1" x14ac:dyDescent="0.4">
      <c r="A244" s="2">
        <v>3</v>
      </c>
      <c r="B244" s="2" t="s">
        <v>212</v>
      </c>
      <c r="J244" s="6" t="str">
        <f>IFERROR(_xlfn.LET(_xlpm.v,
VLOOKUP($I244,効果!$A:$B,COLUMN(効果!B$1),FALSE),
IF(_xlpm.v=0,"",_xlpm.v)
),"")</f>
        <v/>
      </c>
      <c r="L244" s="15" t="str">
        <f>IF(OR(COUNTIF(クラス!$A$1:$A$1035, $B244),$B244="",COUNTIF(スキル一覧!$A$1:$A$3500, $B244)), "", "存在しない")</f>
        <v/>
      </c>
      <c r="M244" s="2" t="str">
        <f>IF(COUNTIF($B$1:$C243, $B244), "", "存在しない")</f>
        <v/>
      </c>
      <c r="N244" s="2" t="s">
        <v>1196</v>
      </c>
    </row>
    <row r="245" spans="1:14" outlineLevel="1" x14ac:dyDescent="0.4">
      <c r="A245" s="2">
        <v>4</v>
      </c>
      <c r="B245" s="2" t="s">
        <v>117</v>
      </c>
      <c r="J245" s="6" t="str">
        <f>IFERROR(_xlfn.LET(_xlpm.v,
VLOOKUP($I245,効果!$A:$B,COLUMN(効果!B$1),FALSE),
IF(_xlpm.v=0,"",_xlpm.v)
),"")</f>
        <v/>
      </c>
      <c r="L245" s="15" t="str">
        <f>IF(OR(COUNTIF(クラス!$A$1:$A$1035, $B245),$B245="",COUNTIF(スキル一覧!$A$1:$A$3500, $B245)), "", "存在しない")</f>
        <v/>
      </c>
      <c r="M245" s="2" t="str">
        <f>IF(COUNTIF($B$1:$C244, $B245), "", "存在しない")</f>
        <v/>
      </c>
      <c r="N245" s="2" t="s">
        <v>1196</v>
      </c>
    </row>
    <row r="246" spans="1:14" outlineLevel="1" x14ac:dyDescent="0.4">
      <c r="A246" s="2">
        <v>5</v>
      </c>
      <c r="B246" s="2" t="s">
        <v>178</v>
      </c>
      <c r="J246" s="6" t="str">
        <f>IFERROR(_xlfn.LET(_xlpm.v,
VLOOKUP($I246,効果!$A:$B,COLUMN(効果!B$1),FALSE),
IF(_xlpm.v=0,"",_xlpm.v)
),"")</f>
        <v/>
      </c>
      <c r="L246" s="15" t="str">
        <f>IF(OR(COUNTIF(クラス!$A$1:$A$1035, $B246),$B246="",COUNTIF(スキル一覧!$A$1:$A$3500, $B246)), "", "存在しない")</f>
        <v/>
      </c>
      <c r="M246" s="2" t="str">
        <f>IF(COUNTIF($B$1:$C245, $B246), "", "存在しない")</f>
        <v/>
      </c>
      <c r="N246" s="2" t="s">
        <v>1196</v>
      </c>
    </row>
    <row r="247" spans="1:14" outlineLevel="1" x14ac:dyDescent="0.4">
      <c r="A247" s="2">
        <v>6</v>
      </c>
      <c r="B247" s="2" t="s">
        <v>216</v>
      </c>
      <c r="J247" s="6" t="str">
        <f>IFERROR(_xlfn.LET(_xlpm.v,
VLOOKUP($I247,効果!$A:$B,COLUMN(効果!B$1),FALSE),
IF(_xlpm.v=0,"",_xlpm.v)
),"")</f>
        <v/>
      </c>
      <c r="L247" s="15" t="str">
        <f>IF(OR(COUNTIF(クラス!$A$1:$A$1035, $B247),$B247="",COUNTIF(スキル一覧!$A$1:$A$3500, $B247)), "", "存在しない")</f>
        <v/>
      </c>
      <c r="M247" s="2" t="str">
        <f>IF(COUNTIF($B$1:$C246, $B247), "", "存在しない")</f>
        <v/>
      </c>
      <c r="N247" s="2" t="s">
        <v>1196</v>
      </c>
    </row>
    <row r="248" spans="1:14" outlineLevel="1" x14ac:dyDescent="0.4">
      <c r="A248" s="2">
        <v>7</v>
      </c>
      <c r="B248" s="2" t="s">
        <v>1276</v>
      </c>
      <c r="J248" s="6" t="str">
        <f>IFERROR(_xlfn.LET(_xlpm.v,
VLOOKUP($I248,効果!$A:$B,COLUMN(効果!B$1),FALSE),
IF(_xlpm.v=0,"",_xlpm.v)
),"")</f>
        <v/>
      </c>
      <c r="L248" s="15" t="str">
        <f>IF(OR(COUNTIF(クラス!$A$1:$A$1035, $B248),$B248="",COUNTIF(スキル一覧!$A$1:$A$3500, $B248)), "", "存在しない")</f>
        <v/>
      </c>
      <c r="M248" s="2" t="str">
        <f>IF(COUNTIF($B$1:$C247, $B248), "", "存在しない")</f>
        <v/>
      </c>
      <c r="N248" s="2" t="s">
        <v>1196</v>
      </c>
    </row>
    <row r="249" spans="1:14" outlineLevel="1" x14ac:dyDescent="0.4">
      <c r="A249" s="2">
        <v>8</v>
      </c>
      <c r="B249" s="2" t="s">
        <v>1272</v>
      </c>
      <c r="J249" s="6" t="str">
        <f>IFERROR(_xlfn.LET(_xlpm.v,
VLOOKUP($I249,効果!$A:$B,COLUMN(効果!B$1),FALSE),
IF(_xlpm.v=0,"",_xlpm.v)
),"")</f>
        <v/>
      </c>
      <c r="L249" s="15" t="str">
        <f>IF(OR(COUNTIF(クラス!$A$1:$A$1035, $B249),$B249="",COUNTIF(スキル一覧!$A$1:$A$3500, $B249)), "", "存在しない")</f>
        <v/>
      </c>
      <c r="M249" s="2" t="str">
        <f>IF(COUNTIF($B$1:$C248, $B249), "", "存在しない")</f>
        <v/>
      </c>
      <c r="N249" s="2" t="s">
        <v>1196</v>
      </c>
    </row>
    <row r="250" spans="1:14" outlineLevel="1" x14ac:dyDescent="0.4">
      <c r="A250" s="2">
        <v>9</v>
      </c>
      <c r="B250" s="2" t="s">
        <v>1279</v>
      </c>
      <c r="J250" s="6" t="str">
        <f>IFERROR(_xlfn.LET(_xlpm.v,
VLOOKUP($I250,効果!$A:$B,COLUMN(効果!B$1),FALSE),
IF(_xlpm.v=0,"",_xlpm.v)
),"")</f>
        <v/>
      </c>
      <c r="L250" s="15" t="str">
        <f>IF(OR(COUNTIF(クラス!$A$1:$A$1035, $B250),$B250="",COUNTIF(スキル一覧!$A$1:$A$3500, $B250)), "", "存在しない")</f>
        <v/>
      </c>
      <c r="M250" s="2" t="str">
        <f>IF(COUNTIF($B$1:$C249, $B250), "", "存在しない")</f>
        <v/>
      </c>
      <c r="N250" s="2" t="s">
        <v>1196</v>
      </c>
    </row>
    <row r="251" spans="1:14" outlineLevel="1" x14ac:dyDescent="0.4">
      <c r="A251" s="2">
        <v>10</v>
      </c>
      <c r="B251" s="2" t="s">
        <v>1327</v>
      </c>
      <c r="J251" s="6" t="str">
        <f>IFERROR(_xlfn.LET(_xlpm.v,
VLOOKUP($I251,効果!$A:$B,COLUMN(効果!B$1),FALSE),
IF(_xlpm.v=0,"",_xlpm.v)
),"")</f>
        <v/>
      </c>
      <c r="L251" s="15" t="str">
        <f>IF(OR(COUNTIF(クラス!$A$1:$A$1035, $B251),$B251="",COUNTIF(スキル一覧!$A$1:$A$3500, $B251)), "", "存在しない")</f>
        <v/>
      </c>
      <c r="M251" s="2" t="str">
        <f>IF(COUNTIF($B$1:$C250, $B251), "", "存在しない")</f>
        <v/>
      </c>
      <c r="N251" s="2" t="s">
        <v>1196</v>
      </c>
    </row>
    <row r="252" spans="1:14" outlineLevel="1" x14ac:dyDescent="0.4">
      <c r="J252" s="6" t="str">
        <f>IFERROR(_xlfn.LET(_xlpm.v,
VLOOKUP($I252,効果!$A:$B,COLUMN(効果!B$1),FALSE),
IF(_xlpm.v=0,"",_xlpm.v)
),"")</f>
        <v/>
      </c>
      <c r="L252" s="15" t="str">
        <f>IF(OR(COUNTIF(クラス!$A$1:$A$1035, $B252),$B252="",COUNTIF(スキル一覧!$A$1:$A$3500, $B252)), "", "存在しない")</f>
        <v/>
      </c>
      <c r="M252" s="2" t="str">
        <f>IF(COUNTIF($B$1:$C251, $B252), "", "存在しない")</f>
        <v>存在しない</v>
      </c>
      <c r="N252" s="2" t="s">
        <v>1196</v>
      </c>
    </row>
    <row r="253" spans="1:14" x14ac:dyDescent="0.4">
      <c r="J253" s="6" t="str">
        <f>IFERROR(_xlfn.LET(_xlpm.v,
VLOOKUP($I253,効果!$A:$B,COLUMN(効果!B$1),FALSE),
IF(_xlpm.v=0,"",_xlpm.v)
),"")</f>
        <v/>
      </c>
      <c r="L253" s="15" t="str">
        <f>IF(OR(COUNTIF(クラス!$A$1:$A$1035, $B253),$B253="",COUNTIF(スキル一覧!$A$1:$A$3500, $B253)), "", "存在しない")</f>
        <v/>
      </c>
      <c r="M253" s="2" t="str">
        <f>IF(COUNTIF($B$1:$C252, $B253), "", "存在しない")</f>
        <v>存在しない</v>
      </c>
      <c r="N253" s="2" t="s">
        <v>1196</v>
      </c>
    </row>
    <row r="254" spans="1:14" x14ac:dyDescent="0.4">
      <c r="B254" s="2" t="s">
        <v>37</v>
      </c>
      <c r="J254" s="6" t="str">
        <f>IFERROR(_xlfn.LET(_xlpm.v,
VLOOKUP($I254,効果!$A:$B,COLUMN(効果!B$1),FALSE),
IF(_xlpm.v=0,"",_xlpm.v)
),"")</f>
        <v/>
      </c>
      <c r="L254" s="15" t="str">
        <f>IF(OR(COUNTIF(クラス!$A$1:$A$1035, $B254),$B254="",COUNTIF(スキル一覧!$A$1:$A$3500, $B254)), "", "存在しない")</f>
        <v/>
      </c>
      <c r="M254" s="2" t="str">
        <f>IF(COUNTIF($B$1:$C253, $B254), "", "存在しない")</f>
        <v>存在しない</v>
      </c>
      <c r="N254" s="2" t="s">
        <v>1196</v>
      </c>
    </row>
    <row r="255" spans="1:14" ht="36" outlineLevel="1" x14ac:dyDescent="0.4">
      <c r="A255" s="2">
        <v>1</v>
      </c>
      <c r="B255" s="2" t="s">
        <v>306</v>
      </c>
      <c r="D255" s="2" t="s">
        <v>136</v>
      </c>
      <c r="E255" s="13" t="s">
        <v>128</v>
      </c>
      <c r="H255" s="10" t="s">
        <v>1827</v>
      </c>
      <c r="J255" s="6" t="str">
        <f>IFERROR(_xlfn.LET(_xlpm.v,
VLOOKUP($I255,効果!$A:$B,COLUMN(効果!B$1),FALSE),
IF(_xlpm.v=0,"",_xlpm.v)
),"")</f>
        <v/>
      </c>
      <c r="L255" s="15" t="str">
        <f>IF(OR(COUNTIF(クラス!$A$1:$A$1035, $B255),$B255="",COUNTIF(スキル一覧!$A$1:$A$3500, $B255)), "", "存在しない")</f>
        <v/>
      </c>
      <c r="M255" s="2" t="str">
        <f>IF(COUNTIF($B$1:$C254, $B255), "", "存在しない")</f>
        <v>存在しない</v>
      </c>
      <c r="N255" s="2" t="s">
        <v>1196</v>
      </c>
    </row>
    <row r="256" spans="1:14" ht="36" outlineLevel="1" x14ac:dyDescent="0.4">
      <c r="A256" s="2">
        <v>2</v>
      </c>
      <c r="B256" s="2" t="s">
        <v>308</v>
      </c>
      <c r="C256" s="2" t="s">
        <v>309</v>
      </c>
      <c r="D256" s="2" t="s">
        <v>307</v>
      </c>
      <c r="E256" s="13" t="s">
        <v>128</v>
      </c>
      <c r="H256" s="10" t="s">
        <v>1828</v>
      </c>
      <c r="J256" s="6" t="str">
        <f>IFERROR(_xlfn.LET(_xlpm.v,
VLOOKUP($I256,効果!$A:$B,COLUMN(効果!B$1),FALSE),
IF(_xlpm.v=0,"",_xlpm.v)
),"")</f>
        <v/>
      </c>
      <c r="L256" s="15" t="str">
        <f>IF(OR(COUNTIF(クラス!$A$1:$A$1035, $B256),$B256="",COUNTIF(スキル一覧!$A$1:$A$3500, $B256)), "", "存在しない")</f>
        <v/>
      </c>
      <c r="M256" s="2" t="str">
        <f>IF(COUNTIF($B$1:$C255, $B256), "", "存在しない")</f>
        <v>存在しない</v>
      </c>
      <c r="N256" s="2" t="s">
        <v>1196</v>
      </c>
    </row>
    <row r="257" spans="1:14" outlineLevel="1" x14ac:dyDescent="0.4">
      <c r="A257" s="2">
        <v>3</v>
      </c>
      <c r="J257" s="6" t="str">
        <f>IFERROR(_xlfn.LET(_xlpm.v,
VLOOKUP($I257,効果!$A:$B,COLUMN(効果!B$1),FALSE),
IF(_xlpm.v=0,"",_xlpm.v)
),"")</f>
        <v/>
      </c>
      <c r="L257" s="15" t="str">
        <f>IF(OR(COUNTIF(クラス!$A$1:$A$1035, $B257),$B257="",COUNTIF(スキル一覧!$A$1:$A$3500, $B257)), "", "存在しない")</f>
        <v/>
      </c>
      <c r="M257" s="2" t="str">
        <f>IF(COUNTIF($B$1:$C256, $B257), "", "存在しない")</f>
        <v>存在しない</v>
      </c>
      <c r="N257" s="2" t="s">
        <v>1196</v>
      </c>
    </row>
    <row r="258" spans="1:14" outlineLevel="1" x14ac:dyDescent="0.4">
      <c r="A258" s="2">
        <v>4</v>
      </c>
      <c r="J258" s="6" t="str">
        <f>IFERROR(_xlfn.LET(_xlpm.v,
VLOOKUP($I258,効果!$A:$B,COLUMN(効果!B$1),FALSE),
IF(_xlpm.v=0,"",_xlpm.v)
),"")</f>
        <v/>
      </c>
      <c r="L258" s="15" t="str">
        <f>IF(OR(COUNTIF(クラス!$A$1:$A$1035, $B258),$B258="",COUNTIF(スキル一覧!$A$1:$A$3500, $B258)), "", "存在しない")</f>
        <v/>
      </c>
      <c r="M258" s="2" t="str">
        <f>IF(COUNTIF($B$1:$C257, $B258), "", "存在しない")</f>
        <v>存在しない</v>
      </c>
      <c r="N258" s="2" t="s">
        <v>1196</v>
      </c>
    </row>
    <row r="259" spans="1:14" outlineLevel="1" x14ac:dyDescent="0.4">
      <c r="A259" s="2">
        <v>5</v>
      </c>
      <c r="J259" s="6" t="str">
        <f>IFERROR(_xlfn.LET(_xlpm.v,
VLOOKUP($I259,効果!$A:$B,COLUMN(効果!B$1),FALSE),
IF(_xlpm.v=0,"",_xlpm.v)
),"")</f>
        <v/>
      </c>
      <c r="L259" s="15" t="str">
        <f>IF(OR(COUNTIF(クラス!$A$1:$A$1035, $B259),$B259="",COUNTIF(スキル一覧!$A$1:$A$3500, $B259)), "", "存在しない")</f>
        <v/>
      </c>
      <c r="M259" s="2" t="str">
        <f>IF(COUNTIF($B$1:$C258, $B259), "", "存在しない")</f>
        <v>存在しない</v>
      </c>
      <c r="N259" s="2" t="s">
        <v>1196</v>
      </c>
    </row>
    <row r="260" spans="1:14" outlineLevel="1" x14ac:dyDescent="0.4">
      <c r="A260" s="2">
        <v>6</v>
      </c>
      <c r="J260" s="6" t="str">
        <f>IFERROR(_xlfn.LET(_xlpm.v,
VLOOKUP($I260,効果!$A:$B,COLUMN(効果!B$1),FALSE),
IF(_xlpm.v=0,"",_xlpm.v)
),"")</f>
        <v/>
      </c>
      <c r="L260" s="15" t="str">
        <f>IF(OR(COUNTIF(クラス!$A$1:$A$1035, $B260),$B260="",COUNTIF(スキル一覧!$A$1:$A$3500, $B260)), "", "存在しない")</f>
        <v/>
      </c>
      <c r="M260" s="2" t="str">
        <f>IF(COUNTIF($B$1:$C259, $B260), "", "存在しない")</f>
        <v>存在しない</v>
      </c>
      <c r="N260" s="2" t="s">
        <v>1196</v>
      </c>
    </row>
    <row r="261" spans="1:14" outlineLevel="1" x14ac:dyDescent="0.4">
      <c r="A261" s="2">
        <v>7</v>
      </c>
      <c r="J261" s="6" t="str">
        <f>IFERROR(_xlfn.LET(_xlpm.v,
VLOOKUP($I261,効果!$A:$B,COLUMN(効果!B$1),FALSE),
IF(_xlpm.v=0,"",_xlpm.v)
),"")</f>
        <v/>
      </c>
      <c r="L261" s="15" t="str">
        <f>IF(OR(COUNTIF(クラス!$A$1:$A$1035, $B261),$B261="",COUNTIF(スキル一覧!$A$1:$A$3500, $B261)), "", "存在しない")</f>
        <v/>
      </c>
      <c r="M261" s="2" t="str">
        <f>IF(COUNTIF($B$1:$C260, $B261), "", "存在しない")</f>
        <v>存在しない</v>
      </c>
      <c r="N261" s="2" t="s">
        <v>1196</v>
      </c>
    </row>
    <row r="262" spans="1:14" outlineLevel="1" x14ac:dyDescent="0.4">
      <c r="A262" s="2">
        <v>8</v>
      </c>
      <c r="J262" s="6" t="str">
        <f>IFERROR(_xlfn.LET(_xlpm.v,
VLOOKUP($I262,効果!$A:$B,COLUMN(効果!B$1),FALSE),
IF(_xlpm.v=0,"",_xlpm.v)
),"")</f>
        <v/>
      </c>
      <c r="L262" s="15" t="str">
        <f>IF(OR(COUNTIF(クラス!$A$1:$A$1035, $B262),$B262="",COUNTIF(スキル一覧!$A$1:$A$3500, $B262)), "", "存在しない")</f>
        <v/>
      </c>
      <c r="M262" s="2" t="str">
        <f>IF(COUNTIF($B$1:$C261, $B262), "", "存在しない")</f>
        <v>存在しない</v>
      </c>
      <c r="N262" s="2" t="s">
        <v>1196</v>
      </c>
    </row>
    <row r="263" spans="1:14" outlineLevel="1" x14ac:dyDescent="0.4">
      <c r="A263" s="2">
        <v>9</v>
      </c>
      <c r="J263" s="6" t="str">
        <f>IFERROR(_xlfn.LET(_xlpm.v,
VLOOKUP($I263,効果!$A:$B,COLUMN(効果!B$1),FALSE),
IF(_xlpm.v=0,"",_xlpm.v)
),"")</f>
        <v/>
      </c>
      <c r="L263" s="15" t="str">
        <f>IF(OR(COUNTIF(クラス!$A$1:$A$1035, $B263),$B263="",COUNTIF(スキル一覧!$A$1:$A$3500, $B263)), "", "存在しない")</f>
        <v/>
      </c>
      <c r="M263" s="2" t="str">
        <f>IF(COUNTIF($B$1:$C262, $B263), "", "存在しない")</f>
        <v>存在しない</v>
      </c>
      <c r="N263" s="2" t="s">
        <v>1196</v>
      </c>
    </row>
    <row r="264" spans="1:14" outlineLevel="1" x14ac:dyDescent="0.4">
      <c r="A264" s="2">
        <v>10</v>
      </c>
      <c r="J264" s="6" t="str">
        <f>IFERROR(_xlfn.LET(_xlpm.v,
VLOOKUP($I264,効果!$A:$B,COLUMN(効果!B$1),FALSE),
IF(_xlpm.v=0,"",_xlpm.v)
),"")</f>
        <v/>
      </c>
      <c r="L264" s="15" t="str">
        <f>IF(OR(COUNTIF(クラス!$A$1:$A$1035, $B264),$B264="",COUNTIF(スキル一覧!$A$1:$A$3500, $B264)), "", "存在しない")</f>
        <v/>
      </c>
      <c r="M264" s="2" t="str">
        <f>IF(COUNTIF($B$1:$C263, $B264), "", "存在しない")</f>
        <v>存在しない</v>
      </c>
      <c r="N264" s="2" t="s">
        <v>1196</v>
      </c>
    </row>
    <row r="265" spans="1:14" outlineLevel="1" x14ac:dyDescent="0.4">
      <c r="J265" s="6" t="str">
        <f>IFERROR(_xlfn.LET(_xlpm.v,
VLOOKUP($I265,効果!$A:$B,COLUMN(効果!B$1),FALSE),
IF(_xlpm.v=0,"",_xlpm.v)
),"")</f>
        <v/>
      </c>
      <c r="L265" s="15" t="str">
        <f>IF(OR(COUNTIF(クラス!$A$1:$A$1035, $B265),$B265="",COUNTIF(スキル一覧!$A$1:$A$3500, $B265)), "", "存在しない")</f>
        <v/>
      </c>
      <c r="M265" s="2" t="str">
        <f>IF(COUNTIF($B$1:$C264, $B265), "", "存在しない")</f>
        <v>存在しない</v>
      </c>
      <c r="N265" s="2" t="s">
        <v>1196</v>
      </c>
    </row>
    <row r="266" spans="1:14" x14ac:dyDescent="0.4">
      <c r="J266" s="6" t="str">
        <f>IFERROR(_xlfn.LET(_xlpm.v,
VLOOKUP($I266,効果!$A:$B,COLUMN(効果!B$1),FALSE),
IF(_xlpm.v=0,"",_xlpm.v)
),"")</f>
        <v/>
      </c>
      <c r="L266" s="15" t="str">
        <f>IF(OR(COUNTIF(クラス!$A$1:$A$1035, $B266),$B266="",COUNTIF(スキル一覧!$A$1:$A$3500, $B266)), "", "存在しない")</f>
        <v/>
      </c>
      <c r="M266" s="2" t="str">
        <f>IF(COUNTIF($B$1:$C265, $B266), "", "存在しない")</f>
        <v>存在しない</v>
      </c>
      <c r="N266" s="2" t="s">
        <v>1196</v>
      </c>
    </row>
    <row r="267" spans="1:14" x14ac:dyDescent="0.4">
      <c r="B267" s="2" t="s">
        <v>39</v>
      </c>
      <c r="J267" s="6" t="str">
        <f>IFERROR(_xlfn.LET(_xlpm.v,
VLOOKUP($I267,効果!$A:$B,COLUMN(効果!B$1),FALSE),
IF(_xlpm.v=0,"",_xlpm.v)
),"")</f>
        <v/>
      </c>
      <c r="L267" s="15" t="str">
        <f>IF(OR(COUNTIF(クラス!$A$1:$A$1035, $B267),$B267="",COUNTIF(スキル一覧!$A$1:$A$3500, $B267)), "", "存在しない")</f>
        <v/>
      </c>
      <c r="M267" s="2" t="str">
        <f>IF(COUNTIF($B$1:$C266, $B267), "", "存在しない")</f>
        <v>存在しない</v>
      </c>
      <c r="N267" s="2" t="s">
        <v>1196</v>
      </c>
    </row>
    <row r="268" spans="1:14" outlineLevel="1" x14ac:dyDescent="0.4">
      <c r="A268" s="2">
        <v>1</v>
      </c>
      <c r="J268" s="6" t="str">
        <f>IFERROR(_xlfn.LET(_xlpm.v,
VLOOKUP($I268,効果!$A:$B,COLUMN(効果!B$1),FALSE),
IF(_xlpm.v=0,"",_xlpm.v)
),"")</f>
        <v/>
      </c>
      <c r="L268" s="15" t="str">
        <f>IF(OR(COUNTIF(クラス!$A$1:$A$1035, $B268),$B268="",COUNTIF(スキル一覧!$A$1:$A$3500, $B268)), "", "存在しない")</f>
        <v/>
      </c>
      <c r="M268" s="2" t="str">
        <f>IF(COUNTIF($B$1:$C267, $B268), "", "存在しない")</f>
        <v>存在しない</v>
      </c>
      <c r="N268" s="2" t="s">
        <v>1196</v>
      </c>
    </row>
    <row r="269" spans="1:14" outlineLevel="1" x14ac:dyDescent="0.4">
      <c r="A269" s="2">
        <v>2</v>
      </c>
      <c r="J269" s="6" t="str">
        <f>IFERROR(_xlfn.LET(_xlpm.v,
VLOOKUP($I269,効果!$A:$B,COLUMN(効果!B$1),FALSE),
IF(_xlpm.v=0,"",_xlpm.v)
),"")</f>
        <v/>
      </c>
      <c r="L269" s="15" t="str">
        <f>IF(OR(COUNTIF(クラス!$A$1:$A$1035, $B269),$B269="",COUNTIF(スキル一覧!$A$1:$A$3500, $B269)), "", "存在しない")</f>
        <v/>
      </c>
      <c r="M269" s="2" t="str">
        <f>IF(COUNTIF($B$1:$C268, $B269), "", "存在しない")</f>
        <v>存在しない</v>
      </c>
      <c r="N269" s="2" t="s">
        <v>1196</v>
      </c>
    </row>
    <row r="270" spans="1:14" outlineLevel="1" x14ac:dyDescent="0.4">
      <c r="A270" s="2">
        <v>3</v>
      </c>
      <c r="J270" s="6" t="str">
        <f>IFERROR(_xlfn.LET(_xlpm.v,
VLOOKUP($I270,効果!$A:$B,COLUMN(効果!B$1),FALSE),
IF(_xlpm.v=0,"",_xlpm.v)
),"")</f>
        <v/>
      </c>
      <c r="L270" s="15" t="str">
        <f>IF(OR(COUNTIF(クラス!$A$1:$A$1035, $B270),$B270="",COUNTIF(スキル一覧!$A$1:$A$3500, $B270)), "", "存在しない")</f>
        <v/>
      </c>
      <c r="M270" s="2" t="str">
        <f>IF(COUNTIF($B$1:$C269, $B270), "", "存在しない")</f>
        <v>存在しない</v>
      </c>
      <c r="N270" s="2" t="s">
        <v>1196</v>
      </c>
    </row>
    <row r="271" spans="1:14" outlineLevel="1" x14ac:dyDescent="0.4">
      <c r="A271" s="2">
        <v>4</v>
      </c>
      <c r="J271" s="6" t="str">
        <f>IFERROR(_xlfn.LET(_xlpm.v,
VLOOKUP($I271,効果!$A:$B,COLUMN(効果!B$1),FALSE),
IF(_xlpm.v=0,"",_xlpm.v)
),"")</f>
        <v/>
      </c>
      <c r="L271" s="15" t="str">
        <f>IF(OR(COUNTIF(クラス!$A$1:$A$1035, $B271),$B271="",COUNTIF(スキル一覧!$A$1:$A$3500, $B271)), "", "存在しない")</f>
        <v/>
      </c>
      <c r="M271" s="2" t="str">
        <f>IF(COUNTIF($B$1:$C270, $B271), "", "存在しない")</f>
        <v>存在しない</v>
      </c>
      <c r="N271" s="2" t="s">
        <v>1196</v>
      </c>
    </row>
    <row r="272" spans="1:14" outlineLevel="1" x14ac:dyDescent="0.4">
      <c r="A272" s="2">
        <v>5</v>
      </c>
      <c r="J272" s="6" t="str">
        <f>IFERROR(_xlfn.LET(_xlpm.v,
VLOOKUP($I272,効果!$A:$B,COLUMN(効果!B$1),FALSE),
IF(_xlpm.v=0,"",_xlpm.v)
),"")</f>
        <v/>
      </c>
      <c r="L272" s="15" t="str">
        <f>IF(OR(COUNTIF(クラス!$A$1:$A$1035, $B272),$B272="",COUNTIF(スキル一覧!$A$1:$A$3500, $B272)), "", "存在しない")</f>
        <v/>
      </c>
      <c r="M272" s="2" t="str">
        <f>IF(COUNTIF($B$1:$C271, $B272), "", "存在しない")</f>
        <v>存在しない</v>
      </c>
      <c r="N272" s="2" t="s">
        <v>1196</v>
      </c>
    </row>
    <row r="273" spans="1:14" outlineLevel="1" x14ac:dyDescent="0.4">
      <c r="A273" s="2">
        <v>6</v>
      </c>
      <c r="J273" s="6" t="str">
        <f>IFERROR(_xlfn.LET(_xlpm.v,
VLOOKUP($I273,効果!$A:$B,COLUMN(効果!B$1),FALSE),
IF(_xlpm.v=0,"",_xlpm.v)
),"")</f>
        <v/>
      </c>
      <c r="L273" s="15" t="str">
        <f>IF(OR(COUNTIF(クラス!$A$1:$A$1035, $B273),$B273="",COUNTIF(スキル一覧!$A$1:$A$3500, $B273)), "", "存在しない")</f>
        <v/>
      </c>
      <c r="M273" s="2" t="str">
        <f>IF(COUNTIF($B$1:$C272, $B273), "", "存在しない")</f>
        <v>存在しない</v>
      </c>
      <c r="N273" s="2" t="s">
        <v>1196</v>
      </c>
    </row>
    <row r="274" spans="1:14" outlineLevel="1" x14ac:dyDescent="0.4">
      <c r="A274" s="2">
        <v>7</v>
      </c>
      <c r="J274" s="6" t="str">
        <f>IFERROR(_xlfn.LET(_xlpm.v,
VLOOKUP($I274,効果!$A:$B,COLUMN(効果!B$1),FALSE),
IF(_xlpm.v=0,"",_xlpm.v)
),"")</f>
        <v/>
      </c>
      <c r="L274" s="15" t="str">
        <f>IF(OR(COUNTIF(クラス!$A$1:$A$1035, $B274),$B274="",COUNTIF(スキル一覧!$A$1:$A$3500, $B274)), "", "存在しない")</f>
        <v/>
      </c>
      <c r="M274" s="2" t="str">
        <f>IF(COUNTIF($B$1:$C273, $B274), "", "存在しない")</f>
        <v>存在しない</v>
      </c>
      <c r="N274" s="2" t="s">
        <v>1196</v>
      </c>
    </row>
    <row r="275" spans="1:14" outlineLevel="1" x14ac:dyDescent="0.4">
      <c r="A275" s="2">
        <v>8</v>
      </c>
      <c r="J275" s="6" t="str">
        <f>IFERROR(_xlfn.LET(_xlpm.v,
VLOOKUP($I275,効果!$A:$B,COLUMN(効果!B$1),FALSE),
IF(_xlpm.v=0,"",_xlpm.v)
),"")</f>
        <v/>
      </c>
      <c r="L275" s="15" t="str">
        <f>IF(OR(COUNTIF(クラス!$A$1:$A$1035, $B275),$B275="",COUNTIF(スキル一覧!$A$1:$A$3500, $B275)), "", "存在しない")</f>
        <v/>
      </c>
      <c r="M275" s="2" t="str">
        <f>IF(COUNTIF($B$1:$C274, $B275), "", "存在しない")</f>
        <v>存在しない</v>
      </c>
      <c r="N275" s="2" t="s">
        <v>1196</v>
      </c>
    </row>
    <row r="276" spans="1:14" outlineLevel="1" x14ac:dyDescent="0.4">
      <c r="A276" s="2">
        <v>9</v>
      </c>
      <c r="J276" s="6" t="str">
        <f>IFERROR(_xlfn.LET(_xlpm.v,
VLOOKUP($I276,効果!$A:$B,COLUMN(効果!B$1),FALSE),
IF(_xlpm.v=0,"",_xlpm.v)
),"")</f>
        <v/>
      </c>
      <c r="L276" s="15" t="str">
        <f>IF(OR(COUNTIF(クラス!$A$1:$A$1035, $B276),$B276="",COUNTIF(スキル一覧!$A$1:$A$3500, $B276)), "", "存在しない")</f>
        <v/>
      </c>
      <c r="M276" s="2" t="str">
        <f>IF(COUNTIF($B$1:$C275, $B276), "", "存在しない")</f>
        <v>存在しない</v>
      </c>
      <c r="N276" s="2" t="s">
        <v>1196</v>
      </c>
    </row>
    <row r="277" spans="1:14" outlineLevel="1" x14ac:dyDescent="0.4">
      <c r="A277" s="2">
        <v>10</v>
      </c>
      <c r="J277" s="6" t="str">
        <f>IFERROR(_xlfn.LET(_xlpm.v,
VLOOKUP($I277,効果!$A:$B,COLUMN(効果!B$1),FALSE),
IF(_xlpm.v=0,"",_xlpm.v)
),"")</f>
        <v/>
      </c>
      <c r="L277" s="15" t="str">
        <f>IF(OR(COUNTIF(クラス!$A$1:$A$1035, $B277),$B277="",COUNTIF(スキル一覧!$A$1:$A$3500, $B277)), "", "存在しない")</f>
        <v/>
      </c>
      <c r="M277" s="2" t="str">
        <f>IF(COUNTIF($B$1:$C276, $B277), "", "存在しない")</f>
        <v>存在しない</v>
      </c>
      <c r="N277" s="2" t="s">
        <v>1196</v>
      </c>
    </row>
    <row r="278" spans="1:14" outlineLevel="1" x14ac:dyDescent="0.4">
      <c r="J278" s="6" t="str">
        <f>IFERROR(_xlfn.LET(_xlpm.v,
VLOOKUP($I278,効果!$A:$B,COLUMN(効果!B$1),FALSE),
IF(_xlpm.v=0,"",_xlpm.v)
),"")</f>
        <v/>
      </c>
      <c r="L278" s="15" t="str">
        <f>IF(OR(COUNTIF(クラス!$A$1:$A$1035, $B278),$B278="",COUNTIF(スキル一覧!$A$1:$A$3500, $B278)), "", "存在しない")</f>
        <v/>
      </c>
      <c r="M278" s="2" t="str">
        <f>IF(COUNTIF($B$1:$C277, $B278), "", "存在しない")</f>
        <v>存在しない</v>
      </c>
      <c r="N278" s="2" t="s">
        <v>1196</v>
      </c>
    </row>
    <row r="279" spans="1:14" x14ac:dyDescent="0.4">
      <c r="J279" s="6" t="str">
        <f>IFERROR(_xlfn.LET(_xlpm.v,
VLOOKUP($I279,効果!$A:$B,COLUMN(効果!B$1),FALSE),
IF(_xlpm.v=0,"",_xlpm.v)
),"")</f>
        <v/>
      </c>
      <c r="L279" s="15" t="str">
        <f>IF(OR(COUNTIF(クラス!$A$1:$A$1035, $B279),$B279="",COUNTIF(スキル一覧!$A$1:$A$3500, $B279)), "", "存在しない")</f>
        <v/>
      </c>
      <c r="M279" s="2" t="str">
        <f>IF(COUNTIF($B$1:$C278, $B279), "", "存在しない")</f>
        <v>存在しない</v>
      </c>
      <c r="N279" s="2" t="s">
        <v>1196</v>
      </c>
    </row>
    <row r="280" spans="1:14" x14ac:dyDescent="0.4">
      <c r="B280" s="2" t="s">
        <v>188</v>
      </c>
      <c r="J280" s="6" t="str">
        <f>IFERROR(_xlfn.LET(_xlpm.v,
VLOOKUP($I280,効果!$A:$B,COLUMN(効果!B$1),FALSE),
IF(_xlpm.v=0,"",_xlpm.v)
),"")</f>
        <v/>
      </c>
      <c r="L280" s="15" t="str">
        <f>IF(OR(COUNTIF(クラス!$A$1:$A$1035, $B280),$B280="",COUNTIF(スキル一覧!$A$1:$A$3500, $B280)), "", "存在しない")</f>
        <v/>
      </c>
      <c r="M280" s="2" t="str">
        <f>IF(COUNTIF($B$1:$C279, $B280), "", "存在しない")</f>
        <v>存在しない</v>
      </c>
      <c r="N280" s="2" t="s">
        <v>1196</v>
      </c>
    </row>
    <row r="281" spans="1:14" ht="36" hidden="1" outlineLevel="1" x14ac:dyDescent="0.4">
      <c r="A281" s="2">
        <v>1</v>
      </c>
      <c r="B281" s="2" t="s">
        <v>310</v>
      </c>
      <c r="C281" s="2" t="s">
        <v>311</v>
      </c>
      <c r="E281" s="13" t="s">
        <v>128</v>
      </c>
      <c r="G281" s="19">
        <v>100</v>
      </c>
      <c r="H281" s="10" t="s">
        <v>1838</v>
      </c>
      <c r="J281" s="6" t="str">
        <f>IFERROR(_xlfn.LET(_xlpm.v,
VLOOKUP($I281,効果!$A:$B,COLUMN(効果!B$1),FALSE),
IF(_xlpm.v=0,"",_xlpm.v)
),"")</f>
        <v/>
      </c>
      <c r="L281" s="15" t="str">
        <f>IF(OR(COUNTIF(クラス!$A$1:$A$1035, $B281),$B281="",COUNTIF(スキル一覧!$A$1:$A$3500, $B281)), "", "存在しない")</f>
        <v/>
      </c>
      <c r="M281" s="2" t="str">
        <f>IF(COUNTIF($B$1:$C280, $B281), "", "存在しない")</f>
        <v>存在しない</v>
      </c>
      <c r="N281" s="2" t="s">
        <v>1196</v>
      </c>
    </row>
    <row r="282" spans="1:14" hidden="1" outlineLevel="1" x14ac:dyDescent="0.4">
      <c r="A282" s="2">
        <v>2</v>
      </c>
      <c r="J282" s="6" t="str">
        <f>IFERROR(_xlfn.LET(_xlpm.v,
VLOOKUP($I282,効果!$A:$B,COLUMN(効果!B$1),FALSE),
IF(_xlpm.v=0,"",_xlpm.v)
),"")</f>
        <v/>
      </c>
      <c r="L282" s="15" t="str">
        <f>IF(OR(COUNTIF(クラス!$A$1:$A$1035, $B282),$B282="",COUNTIF(スキル一覧!$A$1:$A$3500, $B282)), "", "存在しない")</f>
        <v/>
      </c>
      <c r="M282" s="2" t="str">
        <f>IF(COUNTIF($B$1:$C281, $B282), "", "存在しない")</f>
        <v>存在しない</v>
      </c>
      <c r="N282" s="2" t="s">
        <v>1196</v>
      </c>
    </row>
    <row r="283" spans="1:14" hidden="1" outlineLevel="1" x14ac:dyDescent="0.4">
      <c r="A283" s="2">
        <v>3</v>
      </c>
      <c r="B283" s="2" t="s">
        <v>470</v>
      </c>
      <c r="E283" s="13" t="s">
        <v>469</v>
      </c>
      <c r="H283" s="10" t="s">
        <v>471</v>
      </c>
      <c r="J283" s="6" t="str">
        <f>IFERROR(_xlfn.LET(_xlpm.v,
VLOOKUP($I283,効果!$A:$B,COLUMN(効果!B$1),FALSE),
IF(_xlpm.v=0,"",_xlpm.v)
),"")</f>
        <v/>
      </c>
      <c r="L283" s="15" t="str">
        <f>IF(OR(COUNTIF(クラス!$A$1:$A$1035, $B283),$B283="",COUNTIF(スキル一覧!$A$1:$A$3500, $B283)), "", "存在しない")</f>
        <v>存在しない</v>
      </c>
      <c r="M283" s="2" t="str">
        <f>IF(COUNTIF($B$1:$C282, $B283), "", "存在しない")</f>
        <v>存在しない</v>
      </c>
      <c r="N283" s="2" t="e">
        <v>#VALUE!</v>
      </c>
    </row>
    <row r="284" spans="1:14" hidden="1" outlineLevel="1" x14ac:dyDescent="0.4">
      <c r="A284" s="2">
        <v>4</v>
      </c>
      <c r="J284" s="6" t="str">
        <f>IFERROR(_xlfn.LET(_xlpm.v,
VLOOKUP($I284,効果!$A:$B,COLUMN(効果!B$1),FALSE),
IF(_xlpm.v=0,"",_xlpm.v)
),"")</f>
        <v/>
      </c>
      <c r="L284" s="15" t="str">
        <f>IF(OR(COUNTIF(クラス!$A$1:$A$1035, $B284),$B284="",COUNTIF(スキル一覧!$A$1:$A$3500, $B284)), "", "存在しない")</f>
        <v/>
      </c>
      <c r="M284" s="2" t="str">
        <f>IF(COUNTIF($B$1:$C283, $B284), "", "存在しない")</f>
        <v>存在しない</v>
      </c>
      <c r="N284" s="2" t="s">
        <v>1196</v>
      </c>
    </row>
    <row r="285" spans="1:14" hidden="1" outlineLevel="1" x14ac:dyDescent="0.4">
      <c r="A285" s="2">
        <v>5</v>
      </c>
      <c r="J285" s="6" t="str">
        <f>IFERROR(_xlfn.LET(_xlpm.v,
VLOOKUP($I285,効果!$A:$B,COLUMN(効果!B$1),FALSE),
IF(_xlpm.v=0,"",_xlpm.v)
),"")</f>
        <v/>
      </c>
      <c r="L285" s="15" t="str">
        <f>IF(OR(COUNTIF(クラス!$A$1:$A$1035, $B285),$B285="",COUNTIF(スキル一覧!$A$1:$A$3500, $B285)), "", "存在しない")</f>
        <v/>
      </c>
      <c r="M285" s="2" t="str">
        <f>IF(COUNTIF($B$1:$C284, $B285), "", "存在しない")</f>
        <v>存在しない</v>
      </c>
      <c r="N285" s="2" t="s">
        <v>1196</v>
      </c>
    </row>
    <row r="286" spans="1:14" hidden="1" outlineLevel="1" x14ac:dyDescent="0.4">
      <c r="A286" s="2">
        <v>6</v>
      </c>
      <c r="J286" s="6" t="str">
        <f>IFERROR(_xlfn.LET(_xlpm.v,
VLOOKUP($I286,効果!$A:$B,COLUMN(効果!B$1),FALSE),
IF(_xlpm.v=0,"",_xlpm.v)
),"")</f>
        <v/>
      </c>
      <c r="L286" s="15" t="str">
        <f>IF(OR(COUNTIF(クラス!$A$1:$A$1035, $B286),$B286="",COUNTIF(スキル一覧!$A$1:$A$3500, $B286)), "", "存在しない")</f>
        <v/>
      </c>
      <c r="M286" s="2" t="str">
        <f>IF(COUNTIF($B$1:$C285, $B286), "", "存在しない")</f>
        <v>存在しない</v>
      </c>
      <c r="N286" s="2" t="s">
        <v>1196</v>
      </c>
    </row>
    <row r="287" spans="1:14" hidden="1" outlineLevel="1" x14ac:dyDescent="0.4">
      <c r="A287" s="2">
        <v>7</v>
      </c>
      <c r="J287" s="6" t="str">
        <f>IFERROR(_xlfn.LET(_xlpm.v,
VLOOKUP($I287,効果!$A:$B,COLUMN(効果!B$1),FALSE),
IF(_xlpm.v=0,"",_xlpm.v)
),"")</f>
        <v/>
      </c>
      <c r="L287" s="15" t="str">
        <f>IF(OR(COUNTIF(クラス!$A$1:$A$1035, $B287),$B287="",COUNTIF(スキル一覧!$A$1:$A$3500, $B287)), "", "存在しない")</f>
        <v/>
      </c>
      <c r="M287" s="2" t="str">
        <f>IF(COUNTIF($B$1:$C286, $B287), "", "存在しない")</f>
        <v>存在しない</v>
      </c>
      <c r="N287" s="2" t="s">
        <v>1196</v>
      </c>
    </row>
    <row r="288" spans="1:14" hidden="1" outlineLevel="1" x14ac:dyDescent="0.4">
      <c r="A288" s="2">
        <v>8</v>
      </c>
      <c r="J288" s="6" t="str">
        <f>IFERROR(_xlfn.LET(_xlpm.v,
VLOOKUP($I288,効果!$A:$B,COLUMN(効果!B$1),FALSE),
IF(_xlpm.v=0,"",_xlpm.v)
),"")</f>
        <v/>
      </c>
      <c r="L288" s="15" t="str">
        <f>IF(OR(COUNTIF(クラス!$A$1:$A$1035, $B288),$B288="",COUNTIF(スキル一覧!$A$1:$A$3500, $B288)), "", "存在しない")</f>
        <v/>
      </c>
      <c r="M288" s="2" t="str">
        <f>IF(COUNTIF($B$1:$C287, $B288), "", "存在しない")</f>
        <v>存在しない</v>
      </c>
      <c r="N288" s="2" t="s">
        <v>1196</v>
      </c>
    </row>
    <row r="289" spans="1:14" hidden="1" outlineLevel="1" x14ac:dyDescent="0.4">
      <c r="A289" s="2">
        <v>9</v>
      </c>
      <c r="J289" s="6" t="str">
        <f>IFERROR(_xlfn.LET(_xlpm.v,
VLOOKUP($I289,効果!$A:$B,COLUMN(効果!B$1),FALSE),
IF(_xlpm.v=0,"",_xlpm.v)
),"")</f>
        <v/>
      </c>
      <c r="L289" s="15" t="str">
        <f>IF(OR(COUNTIF(クラス!$A$1:$A$1035, $B289),$B289="",COUNTIF(スキル一覧!$A$1:$A$3500, $B289)), "", "存在しない")</f>
        <v/>
      </c>
      <c r="M289" s="2" t="str">
        <f>IF(COUNTIF($B$1:$C288, $B289), "", "存在しない")</f>
        <v>存在しない</v>
      </c>
      <c r="N289" s="2" t="s">
        <v>1196</v>
      </c>
    </row>
    <row r="290" spans="1:14" hidden="1" outlineLevel="1" x14ac:dyDescent="0.4">
      <c r="A290" s="2">
        <v>10</v>
      </c>
      <c r="J290" s="6" t="str">
        <f>IFERROR(_xlfn.LET(_xlpm.v,
VLOOKUP($I290,効果!$A:$B,COLUMN(効果!B$1),FALSE),
IF(_xlpm.v=0,"",_xlpm.v)
),"")</f>
        <v/>
      </c>
      <c r="L290" s="15" t="str">
        <f>IF(OR(COUNTIF(クラス!$A$1:$A$1035, $B290),$B290="",COUNTIF(スキル一覧!$A$1:$A$3500, $B290)), "", "存在しない")</f>
        <v/>
      </c>
      <c r="M290" s="2" t="str">
        <f>IF(COUNTIF($B$1:$C289, $B290), "", "存在しない")</f>
        <v>存在しない</v>
      </c>
      <c r="N290" s="2" t="s">
        <v>1196</v>
      </c>
    </row>
    <row r="291" spans="1:14" hidden="1" outlineLevel="1" x14ac:dyDescent="0.4">
      <c r="J291" s="6" t="str">
        <f>IFERROR(_xlfn.LET(_xlpm.v,
VLOOKUP($I291,効果!$A:$B,COLUMN(効果!B$1),FALSE),
IF(_xlpm.v=0,"",_xlpm.v)
),"")</f>
        <v/>
      </c>
      <c r="L291" s="15" t="str">
        <f>IF(OR(COUNTIF(クラス!$A$1:$A$1035, $B291),$B291="",COUNTIF(スキル一覧!$A$1:$A$3500, $B291)), "", "存在しない")</f>
        <v/>
      </c>
      <c r="M291" s="2" t="str">
        <f>IF(COUNTIF($B$1:$C290, $B291), "", "存在しない")</f>
        <v>存在しない</v>
      </c>
      <c r="N291" s="2" t="s">
        <v>1196</v>
      </c>
    </row>
    <row r="292" spans="1:14" collapsed="1" x14ac:dyDescent="0.4">
      <c r="J292" s="6" t="str">
        <f>IFERROR(_xlfn.LET(_xlpm.v,
VLOOKUP($I292,効果!$A:$B,COLUMN(効果!B$1),FALSE),
IF(_xlpm.v=0,"",_xlpm.v)
),"")</f>
        <v/>
      </c>
      <c r="L292" s="15" t="str">
        <f>IF(OR(COUNTIF(クラス!$A$1:$A$1035, $B292),$B292="",COUNTIF(スキル一覧!$A$1:$A$3500, $B292)), "", "存在しない")</f>
        <v/>
      </c>
      <c r="M292" s="2" t="str">
        <f>IF(COUNTIF($B$1:$C291, $B292), "", "存在しない")</f>
        <v>存在しない</v>
      </c>
      <c r="N292" s="2" t="s">
        <v>1196</v>
      </c>
    </row>
    <row r="293" spans="1:14" x14ac:dyDescent="0.4">
      <c r="B293" s="2" t="s">
        <v>54</v>
      </c>
      <c r="J293" s="6" t="str">
        <f>IFERROR(_xlfn.LET(_xlpm.v,
VLOOKUP($I293,効果!$A:$B,COLUMN(効果!B$1),FALSE),
IF(_xlpm.v=0,"",_xlpm.v)
),"")</f>
        <v/>
      </c>
      <c r="L293" s="15" t="str">
        <f>IF(OR(COUNTIF(クラス!$A$1:$A$1035, $B293),$B293="",COUNTIF(スキル一覧!$A$1:$A$3500, $B293)), "", "存在しない")</f>
        <v/>
      </c>
      <c r="M293" s="2" t="str">
        <f>IF(COUNTIF($B$1:$C292, $B293), "", "存在しない")</f>
        <v>存在しない</v>
      </c>
      <c r="N293" s="2" t="s">
        <v>1196</v>
      </c>
    </row>
    <row r="294" spans="1:14" x14ac:dyDescent="0.4">
      <c r="B294" s="2" t="s">
        <v>56</v>
      </c>
      <c r="J294" s="6" t="str">
        <f>IFERROR(_xlfn.LET(_xlpm.v,
VLOOKUP($I294,効果!$A:$B,COLUMN(効果!B$1),FALSE),
IF(_xlpm.v=0,"",_xlpm.v)
),"")</f>
        <v/>
      </c>
      <c r="L294" s="15" t="str">
        <f>IF(OR(COUNTIF(クラス!$A$1:$A$1035, $B294),$B294="",COUNTIF(スキル一覧!$A$1:$A$3500, $B294)), "", "存在しない")</f>
        <v/>
      </c>
      <c r="M294" s="2" t="str">
        <f>IF(COUNTIF($B$1:$C293, $B294), "", "存在しない")</f>
        <v>存在しない</v>
      </c>
      <c r="N294" s="2" t="s">
        <v>1196</v>
      </c>
    </row>
    <row r="295" spans="1:14" x14ac:dyDescent="0.4">
      <c r="B295" s="2" t="s">
        <v>58</v>
      </c>
      <c r="J295" s="6" t="str">
        <f>IFERROR(_xlfn.LET(_xlpm.v,
VLOOKUP($I295,効果!$A:$B,COLUMN(効果!B$1),FALSE),
IF(_xlpm.v=0,"",_xlpm.v)
),"")</f>
        <v/>
      </c>
      <c r="L295" s="15" t="str">
        <f>IF(OR(COUNTIF(クラス!$A$1:$A$1035, $B295),$B295="",COUNTIF(スキル一覧!$A$1:$A$3500, $B295)), "", "存在しない")</f>
        <v/>
      </c>
      <c r="M295" s="2" t="str">
        <f>IF(COUNTIF($B$1:$C294, $B295), "", "存在しない")</f>
        <v>存在しない</v>
      </c>
      <c r="N295" s="2" t="s">
        <v>1196</v>
      </c>
    </row>
    <row r="296" spans="1:14" x14ac:dyDescent="0.4">
      <c r="J296" s="6" t="str">
        <f>IFERROR(_xlfn.LET(_xlpm.v,
VLOOKUP($I296,効果!$A:$B,COLUMN(効果!B$1),FALSE),
IF(_xlpm.v=0,"",_xlpm.v)
),"")</f>
        <v/>
      </c>
      <c r="L296" s="15" t="str">
        <f>IF(OR(COUNTIF(クラス!$A$1:$A$1035, $B296),$B296="",COUNTIF(スキル一覧!$A$1:$A$3500, $B296)), "", "存在しない")</f>
        <v/>
      </c>
      <c r="M296" s="2" t="str">
        <f>IF(COUNTIF($B$1:$C295, $B296), "", "存在しない")</f>
        <v>存在しない</v>
      </c>
      <c r="N296" s="2" t="s">
        <v>1196</v>
      </c>
    </row>
    <row r="297" spans="1:14" x14ac:dyDescent="0.4">
      <c r="B297" s="2" t="s">
        <v>52</v>
      </c>
      <c r="J297" s="6" t="str">
        <f>IFERROR(_xlfn.LET(_xlpm.v,
VLOOKUP($I297,効果!$A:$B,COLUMN(効果!B$1),FALSE),
IF(_xlpm.v=0,"",_xlpm.v)
),"")</f>
        <v/>
      </c>
      <c r="L297" s="15" t="str">
        <f>IF(OR(COUNTIF(クラス!$A$1:$A$1035, $B297),$B297="",COUNTIF(スキル一覧!$A$1:$A$3500, $B297)), "", "存在しない")</f>
        <v/>
      </c>
      <c r="M297" s="2" t="str">
        <f>IF(COUNTIF($B$1:$C296, $B297), "", "存在しない")</f>
        <v>存在しない</v>
      </c>
      <c r="N297" s="2" t="s">
        <v>1196</v>
      </c>
    </row>
    <row r="298" spans="1:14" hidden="1" outlineLevel="1" x14ac:dyDescent="0.4">
      <c r="A298" s="2">
        <v>1</v>
      </c>
      <c r="J298" s="6" t="str">
        <f>IFERROR(_xlfn.LET(_xlpm.v,
VLOOKUP($I298,効果!$A:$B,COLUMN(効果!B$1),FALSE),
IF(_xlpm.v=0,"",_xlpm.v)
),"")</f>
        <v/>
      </c>
      <c r="L298" s="15" t="str">
        <f>IF(OR(COUNTIF(クラス!$A$1:$A$1035, $B298),$B298="",COUNTIF(スキル一覧!$A$1:$A$3500, $B298)), "", "存在しない")</f>
        <v/>
      </c>
      <c r="M298" s="2" t="str">
        <f>IF(COUNTIF($B$1:$C297, $B298), "", "存在しない")</f>
        <v>存在しない</v>
      </c>
      <c r="N298" s="2" t="s">
        <v>1196</v>
      </c>
    </row>
    <row r="299" spans="1:14" hidden="1" outlineLevel="1" x14ac:dyDescent="0.4">
      <c r="A299" s="2">
        <v>2</v>
      </c>
      <c r="J299" s="6" t="str">
        <f>IFERROR(_xlfn.LET(_xlpm.v,
VLOOKUP($I299,効果!$A:$B,COLUMN(効果!B$1),FALSE),
IF(_xlpm.v=0,"",_xlpm.v)
),"")</f>
        <v/>
      </c>
      <c r="L299" s="15" t="str">
        <f>IF(OR(COUNTIF(クラス!$A$1:$A$1035, $B299),$B299="",COUNTIF(スキル一覧!$A$1:$A$3500, $B299)), "", "存在しない")</f>
        <v/>
      </c>
      <c r="M299" s="2" t="str">
        <f>IF(COUNTIF($B$1:$C298, $B299), "", "存在しない")</f>
        <v>存在しない</v>
      </c>
      <c r="N299" s="2" t="s">
        <v>1196</v>
      </c>
    </row>
    <row r="300" spans="1:14" hidden="1" outlineLevel="1" x14ac:dyDescent="0.4">
      <c r="A300" s="2">
        <v>3</v>
      </c>
      <c r="J300" s="6" t="str">
        <f>IFERROR(_xlfn.LET(_xlpm.v,
VLOOKUP($I300,効果!$A:$B,COLUMN(効果!B$1),FALSE),
IF(_xlpm.v=0,"",_xlpm.v)
),"")</f>
        <v/>
      </c>
      <c r="L300" s="15" t="str">
        <f>IF(OR(COUNTIF(クラス!$A$1:$A$1035, $B300),$B300="",COUNTIF(スキル一覧!$A$1:$A$3500, $B300)), "", "存在しない")</f>
        <v/>
      </c>
      <c r="M300" s="2" t="str">
        <f>IF(COUNTIF($B$1:$C299, $B300), "", "存在しない")</f>
        <v>存在しない</v>
      </c>
      <c r="N300" s="2" t="s">
        <v>1196</v>
      </c>
    </row>
    <row r="301" spans="1:14" hidden="1" outlineLevel="1" x14ac:dyDescent="0.4">
      <c r="A301" s="2">
        <v>4</v>
      </c>
      <c r="J301" s="6" t="str">
        <f>IFERROR(_xlfn.LET(_xlpm.v,
VLOOKUP($I301,効果!$A:$B,COLUMN(効果!B$1),FALSE),
IF(_xlpm.v=0,"",_xlpm.v)
),"")</f>
        <v/>
      </c>
      <c r="L301" s="15" t="str">
        <f>IF(OR(COUNTIF(クラス!$A$1:$A$1035, $B301),$B301="",COUNTIF(スキル一覧!$A$1:$A$3500, $B301)), "", "存在しない")</f>
        <v/>
      </c>
      <c r="M301" s="2" t="str">
        <f>IF(COUNTIF($B$1:$C300, $B301), "", "存在しない")</f>
        <v>存在しない</v>
      </c>
      <c r="N301" s="2" t="s">
        <v>1196</v>
      </c>
    </row>
    <row r="302" spans="1:14" hidden="1" outlineLevel="1" x14ac:dyDescent="0.4">
      <c r="A302" s="2">
        <v>5</v>
      </c>
      <c r="J302" s="6" t="str">
        <f>IFERROR(_xlfn.LET(_xlpm.v,
VLOOKUP($I302,効果!$A:$B,COLUMN(効果!B$1),FALSE),
IF(_xlpm.v=0,"",_xlpm.v)
),"")</f>
        <v/>
      </c>
      <c r="L302" s="15" t="str">
        <f>IF(OR(COUNTIF(クラス!$A$1:$A$1035, $B302),$B302="",COUNTIF(スキル一覧!$A$1:$A$3500, $B302)), "", "存在しない")</f>
        <v/>
      </c>
      <c r="M302" s="2" t="str">
        <f>IF(COUNTIF($B$1:$C301, $B302), "", "存在しない")</f>
        <v>存在しない</v>
      </c>
      <c r="N302" s="2" t="s">
        <v>1196</v>
      </c>
    </row>
    <row r="303" spans="1:14" hidden="1" outlineLevel="1" x14ac:dyDescent="0.4">
      <c r="A303" s="2">
        <v>6</v>
      </c>
      <c r="J303" s="6" t="str">
        <f>IFERROR(_xlfn.LET(_xlpm.v,
VLOOKUP($I303,効果!$A:$B,COLUMN(効果!B$1),FALSE),
IF(_xlpm.v=0,"",_xlpm.v)
),"")</f>
        <v/>
      </c>
      <c r="L303" s="15" t="str">
        <f>IF(OR(COUNTIF(クラス!$A$1:$A$1035, $B303),$B303="",COUNTIF(スキル一覧!$A$1:$A$3500, $B303)), "", "存在しない")</f>
        <v/>
      </c>
      <c r="M303" s="2" t="str">
        <f>IF(COUNTIF($B$1:$C302, $B303), "", "存在しない")</f>
        <v>存在しない</v>
      </c>
      <c r="N303" s="2" t="s">
        <v>1196</v>
      </c>
    </row>
    <row r="304" spans="1:14" hidden="1" outlineLevel="1" x14ac:dyDescent="0.4">
      <c r="A304" s="2">
        <v>7</v>
      </c>
      <c r="J304" s="6" t="str">
        <f>IFERROR(_xlfn.LET(_xlpm.v,
VLOOKUP($I304,効果!$A:$B,COLUMN(効果!B$1),FALSE),
IF(_xlpm.v=0,"",_xlpm.v)
),"")</f>
        <v/>
      </c>
      <c r="L304" s="15" t="str">
        <f>IF(OR(COUNTIF(クラス!$A$1:$A$1035, $B304),$B304="",COUNTIF(スキル一覧!$A$1:$A$3500, $B304)), "", "存在しない")</f>
        <v/>
      </c>
      <c r="M304" s="2" t="str">
        <f>IF(COUNTIF($B$1:$C303, $B304), "", "存在しない")</f>
        <v>存在しない</v>
      </c>
      <c r="N304" s="2" t="s">
        <v>1196</v>
      </c>
    </row>
    <row r="305" spans="1:14" hidden="1" outlineLevel="1" x14ac:dyDescent="0.4">
      <c r="A305" s="2">
        <v>8</v>
      </c>
      <c r="J305" s="6" t="str">
        <f>IFERROR(_xlfn.LET(_xlpm.v,
VLOOKUP($I305,効果!$A:$B,COLUMN(効果!B$1),FALSE),
IF(_xlpm.v=0,"",_xlpm.v)
),"")</f>
        <v/>
      </c>
      <c r="L305" s="15" t="str">
        <f>IF(OR(COUNTIF(クラス!$A$1:$A$1035, $B305),$B305="",COUNTIF(スキル一覧!$A$1:$A$3500, $B305)), "", "存在しない")</f>
        <v/>
      </c>
      <c r="M305" s="2" t="str">
        <f>IF(COUNTIF($B$1:$C304, $B305), "", "存在しない")</f>
        <v>存在しない</v>
      </c>
      <c r="N305" s="2" t="s">
        <v>1196</v>
      </c>
    </row>
    <row r="306" spans="1:14" hidden="1" outlineLevel="1" x14ac:dyDescent="0.4">
      <c r="A306" s="2">
        <v>9</v>
      </c>
      <c r="J306" s="6" t="str">
        <f>IFERROR(_xlfn.LET(_xlpm.v,
VLOOKUP($I306,効果!$A:$B,COLUMN(効果!B$1),FALSE),
IF(_xlpm.v=0,"",_xlpm.v)
),"")</f>
        <v/>
      </c>
      <c r="L306" s="15" t="str">
        <f>IF(OR(COUNTIF(クラス!$A$1:$A$1035, $B306),$B306="",COUNTIF(スキル一覧!$A$1:$A$3500, $B306)), "", "存在しない")</f>
        <v/>
      </c>
      <c r="M306" s="2" t="str">
        <f>IF(COUNTIF($B$1:$C305, $B306), "", "存在しない")</f>
        <v>存在しない</v>
      </c>
      <c r="N306" s="2" t="s">
        <v>1196</v>
      </c>
    </row>
    <row r="307" spans="1:14" hidden="1" outlineLevel="1" x14ac:dyDescent="0.4">
      <c r="A307" s="2">
        <v>10</v>
      </c>
      <c r="J307" s="6" t="str">
        <f>IFERROR(_xlfn.LET(_xlpm.v,
VLOOKUP($I307,効果!$A:$B,COLUMN(効果!B$1),FALSE),
IF(_xlpm.v=0,"",_xlpm.v)
),"")</f>
        <v/>
      </c>
      <c r="L307" s="15" t="str">
        <f>IF(OR(COUNTIF(クラス!$A$1:$A$1035, $B307),$B307="",COUNTIF(スキル一覧!$A$1:$A$3500, $B307)), "", "存在しない")</f>
        <v/>
      </c>
      <c r="M307" s="2" t="str">
        <f>IF(COUNTIF($B$1:$C306, $B307), "", "存在しない")</f>
        <v>存在しない</v>
      </c>
      <c r="N307" s="2" t="s">
        <v>1196</v>
      </c>
    </row>
    <row r="308" spans="1:14" hidden="1" outlineLevel="1" x14ac:dyDescent="0.4">
      <c r="J308" s="6" t="str">
        <f>IFERROR(_xlfn.LET(_xlpm.v,
VLOOKUP($I308,効果!$A:$B,COLUMN(効果!B$1),FALSE),
IF(_xlpm.v=0,"",_xlpm.v)
),"")</f>
        <v/>
      </c>
      <c r="L308" s="15" t="str">
        <f>IF(OR(COUNTIF(クラス!$A$1:$A$1035, $B308),$B308="",COUNTIF(スキル一覧!$A$1:$A$3500, $B308)), "", "存在しない")</f>
        <v/>
      </c>
      <c r="M308" s="2" t="str">
        <f>IF(COUNTIF($B$1:$C307, $B308), "", "存在しない")</f>
        <v>存在しない</v>
      </c>
      <c r="N308" s="2" t="s">
        <v>1196</v>
      </c>
    </row>
    <row r="309" spans="1:14" collapsed="1" x14ac:dyDescent="0.4">
      <c r="J309" s="6" t="str">
        <f>IFERROR(_xlfn.LET(_xlpm.v,
VLOOKUP($I309,効果!$A:$B,COLUMN(効果!B$1),FALSE),
IF(_xlpm.v=0,"",_xlpm.v)
),"")</f>
        <v/>
      </c>
      <c r="L309" s="15" t="str">
        <f>IF(OR(COUNTIF(クラス!$A$1:$A$1035, $B309),$B309="",COUNTIF(スキル一覧!$A$1:$A$3500, $B309)), "", "存在しない")</f>
        <v/>
      </c>
      <c r="M309" s="2" t="str">
        <f>IF(COUNTIF($B$1:$C308, $B309), "", "存在しない")</f>
        <v>存在しない</v>
      </c>
      <c r="N309" s="2" t="s">
        <v>1196</v>
      </c>
    </row>
    <row r="310" spans="1:14" x14ac:dyDescent="0.4">
      <c r="B310" s="2" t="s">
        <v>63</v>
      </c>
      <c r="J310" s="6" t="str">
        <f>IFERROR(_xlfn.LET(_xlpm.v,
VLOOKUP($I310,効果!$A:$B,COLUMN(効果!B$1),FALSE),
IF(_xlpm.v=0,"",_xlpm.v)
),"")</f>
        <v/>
      </c>
      <c r="L310" s="15" t="str">
        <f>IF(OR(COUNTIF(クラス!$A$1:$A$1035, $B310),$B310="",COUNTIF(スキル一覧!$A$1:$A$3500, $B310)), "", "存在しない")</f>
        <v/>
      </c>
      <c r="M310" s="2" t="str">
        <f>IF(COUNTIF($B$1:$C309, $B310), "", "存在しない")</f>
        <v>存在しない</v>
      </c>
      <c r="N310" s="2" t="s">
        <v>1196</v>
      </c>
    </row>
    <row r="311" spans="1:14" hidden="1" outlineLevel="1" x14ac:dyDescent="0.4">
      <c r="A311" s="2">
        <v>1</v>
      </c>
      <c r="J311" s="6" t="str">
        <f>IFERROR(_xlfn.LET(_xlpm.v,
VLOOKUP($I311,効果!$A:$B,COLUMN(効果!B$1),FALSE),
IF(_xlpm.v=0,"",_xlpm.v)
),"")</f>
        <v/>
      </c>
      <c r="L311" s="15" t="str">
        <f>IF(OR(COUNTIF(クラス!$A$1:$A$1035, $B311),$B311="",COUNTIF(スキル一覧!$A$1:$A$3500, $B311)), "", "存在しない")</f>
        <v/>
      </c>
      <c r="M311" s="2" t="str">
        <f>IF(COUNTIF($B$1:$C310, $B311), "", "存在しない")</f>
        <v>存在しない</v>
      </c>
      <c r="N311" s="2" t="s">
        <v>1196</v>
      </c>
    </row>
    <row r="312" spans="1:14" hidden="1" outlineLevel="1" x14ac:dyDescent="0.4">
      <c r="A312" s="2">
        <v>2</v>
      </c>
      <c r="J312" s="6" t="str">
        <f>IFERROR(_xlfn.LET(_xlpm.v,
VLOOKUP($I312,効果!$A:$B,COLUMN(効果!B$1),FALSE),
IF(_xlpm.v=0,"",_xlpm.v)
),"")</f>
        <v/>
      </c>
      <c r="L312" s="15" t="str">
        <f>IF(OR(COUNTIF(クラス!$A$1:$A$1035, $B312),$B312="",COUNTIF(スキル一覧!$A$1:$A$3500, $B312)), "", "存在しない")</f>
        <v/>
      </c>
      <c r="M312" s="2" t="str">
        <f>IF(COUNTIF($B$1:$C311, $B312), "", "存在しない")</f>
        <v>存在しない</v>
      </c>
      <c r="N312" s="2" t="s">
        <v>1196</v>
      </c>
    </row>
    <row r="313" spans="1:14" hidden="1" outlineLevel="1" x14ac:dyDescent="0.4">
      <c r="A313" s="2">
        <v>3</v>
      </c>
      <c r="J313" s="6" t="str">
        <f>IFERROR(_xlfn.LET(_xlpm.v,
VLOOKUP($I313,効果!$A:$B,COLUMN(効果!B$1),FALSE),
IF(_xlpm.v=0,"",_xlpm.v)
),"")</f>
        <v/>
      </c>
      <c r="L313" s="15" t="str">
        <f>IF(OR(COUNTIF(クラス!$A$1:$A$1035, $B313),$B313="",COUNTIF(スキル一覧!$A$1:$A$3500, $B313)), "", "存在しない")</f>
        <v/>
      </c>
      <c r="M313" s="2" t="str">
        <f>IF(COUNTIF($B$1:$C312, $B313), "", "存在しない")</f>
        <v>存在しない</v>
      </c>
      <c r="N313" s="2" t="s">
        <v>1196</v>
      </c>
    </row>
    <row r="314" spans="1:14" hidden="1" outlineLevel="1" x14ac:dyDescent="0.4">
      <c r="A314" s="2">
        <v>4</v>
      </c>
      <c r="J314" s="6" t="str">
        <f>IFERROR(_xlfn.LET(_xlpm.v,
VLOOKUP($I314,効果!$A:$B,COLUMN(効果!B$1),FALSE),
IF(_xlpm.v=0,"",_xlpm.v)
),"")</f>
        <v/>
      </c>
      <c r="L314" s="15" t="str">
        <f>IF(OR(COUNTIF(クラス!$A$1:$A$1035, $B314),$B314="",COUNTIF(スキル一覧!$A$1:$A$3500, $B314)), "", "存在しない")</f>
        <v/>
      </c>
      <c r="M314" s="2" t="str">
        <f>IF(COUNTIF($B$1:$C313, $B314), "", "存在しない")</f>
        <v>存在しない</v>
      </c>
      <c r="N314" s="2" t="s">
        <v>1196</v>
      </c>
    </row>
    <row r="315" spans="1:14" hidden="1" outlineLevel="1" x14ac:dyDescent="0.4">
      <c r="A315" s="2">
        <v>5</v>
      </c>
      <c r="J315" s="6" t="str">
        <f>IFERROR(_xlfn.LET(_xlpm.v,
VLOOKUP($I315,効果!$A:$B,COLUMN(効果!B$1),FALSE),
IF(_xlpm.v=0,"",_xlpm.v)
),"")</f>
        <v/>
      </c>
      <c r="L315" s="15" t="str">
        <f>IF(OR(COUNTIF(クラス!$A$1:$A$1035, $B315),$B315="",COUNTIF(スキル一覧!$A$1:$A$3500, $B315)), "", "存在しない")</f>
        <v/>
      </c>
      <c r="M315" s="2" t="str">
        <f>IF(COUNTIF($B$1:$C314, $B315), "", "存在しない")</f>
        <v>存在しない</v>
      </c>
      <c r="N315" s="2" t="s">
        <v>1196</v>
      </c>
    </row>
    <row r="316" spans="1:14" hidden="1" outlineLevel="1" x14ac:dyDescent="0.4">
      <c r="A316" s="2">
        <v>6</v>
      </c>
      <c r="J316" s="6" t="str">
        <f>IFERROR(_xlfn.LET(_xlpm.v,
VLOOKUP($I316,効果!$A:$B,COLUMN(効果!B$1),FALSE),
IF(_xlpm.v=0,"",_xlpm.v)
),"")</f>
        <v/>
      </c>
      <c r="L316" s="15" t="str">
        <f>IF(OR(COUNTIF(クラス!$A$1:$A$1035, $B316),$B316="",COUNTIF(スキル一覧!$A$1:$A$3500, $B316)), "", "存在しない")</f>
        <v/>
      </c>
      <c r="M316" s="2" t="str">
        <f>IF(COUNTIF($B$1:$C315, $B316), "", "存在しない")</f>
        <v>存在しない</v>
      </c>
      <c r="N316" s="2" t="s">
        <v>1196</v>
      </c>
    </row>
    <row r="317" spans="1:14" hidden="1" outlineLevel="1" x14ac:dyDescent="0.4">
      <c r="A317" s="2">
        <v>7</v>
      </c>
      <c r="J317" s="6" t="str">
        <f>IFERROR(_xlfn.LET(_xlpm.v,
VLOOKUP($I317,効果!$A:$B,COLUMN(効果!B$1),FALSE),
IF(_xlpm.v=0,"",_xlpm.v)
),"")</f>
        <v/>
      </c>
      <c r="L317" s="15" t="str">
        <f>IF(OR(COUNTIF(クラス!$A$1:$A$1035, $B317),$B317="",COUNTIF(スキル一覧!$A$1:$A$3500, $B317)), "", "存在しない")</f>
        <v/>
      </c>
      <c r="M317" s="2" t="str">
        <f>IF(COUNTIF($B$1:$C316, $B317), "", "存在しない")</f>
        <v>存在しない</v>
      </c>
      <c r="N317" s="2" t="s">
        <v>1196</v>
      </c>
    </row>
    <row r="318" spans="1:14" hidden="1" outlineLevel="1" x14ac:dyDescent="0.4">
      <c r="A318" s="2">
        <v>8</v>
      </c>
      <c r="J318" s="6" t="str">
        <f>IFERROR(_xlfn.LET(_xlpm.v,
VLOOKUP($I318,効果!$A:$B,COLUMN(効果!B$1),FALSE),
IF(_xlpm.v=0,"",_xlpm.v)
),"")</f>
        <v/>
      </c>
      <c r="L318" s="15" t="str">
        <f>IF(OR(COUNTIF(クラス!$A$1:$A$1035, $B318),$B318="",COUNTIF(スキル一覧!$A$1:$A$3500, $B318)), "", "存在しない")</f>
        <v/>
      </c>
      <c r="M318" s="2" t="str">
        <f>IF(COUNTIF($B$1:$C317, $B318), "", "存在しない")</f>
        <v>存在しない</v>
      </c>
      <c r="N318" s="2" t="s">
        <v>1196</v>
      </c>
    </row>
    <row r="319" spans="1:14" hidden="1" outlineLevel="1" x14ac:dyDescent="0.4">
      <c r="A319" s="2">
        <v>9</v>
      </c>
      <c r="J319" s="6" t="str">
        <f>IFERROR(_xlfn.LET(_xlpm.v,
VLOOKUP($I319,効果!$A:$B,COLUMN(効果!B$1),FALSE),
IF(_xlpm.v=0,"",_xlpm.v)
),"")</f>
        <v/>
      </c>
      <c r="L319" s="15" t="str">
        <f>IF(OR(COUNTIF(クラス!$A$1:$A$1035, $B319),$B319="",COUNTIF(スキル一覧!$A$1:$A$3500, $B319)), "", "存在しない")</f>
        <v/>
      </c>
      <c r="M319" s="2" t="str">
        <f>IF(COUNTIF($B$1:$C318, $B319), "", "存在しない")</f>
        <v>存在しない</v>
      </c>
      <c r="N319" s="2" t="s">
        <v>1196</v>
      </c>
    </row>
    <row r="320" spans="1:14" hidden="1" outlineLevel="1" x14ac:dyDescent="0.4">
      <c r="A320" s="2">
        <v>10</v>
      </c>
      <c r="J320" s="6" t="str">
        <f>IFERROR(_xlfn.LET(_xlpm.v,
VLOOKUP($I320,効果!$A:$B,COLUMN(効果!B$1),FALSE),
IF(_xlpm.v=0,"",_xlpm.v)
),"")</f>
        <v/>
      </c>
      <c r="L320" s="15" t="str">
        <f>IF(OR(COUNTIF(クラス!$A$1:$A$1035, $B320),$B320="",COUNTIF(スキル一覧!$A$1:$A$3500, $B320)), "", "存在しない")</f>
        <v/>
      </c>
      <c r="M320" s="2" t="str">
        <f>IF(COUNTIF($B$1:$C319, $B320), "", "存在しない")</f>
        <v>存在しない</v>
      </c>
      <c r="N320" s="2" t="s">
        <v>1196</v>
      </c>
    </row>
    <row r="321" spans="1:14" hidden="1" outlineLevel="1" x14ac:dyDescent="0.4">
      <c r="J321" s="6" t="str">
        <f>IFERROR(_xlfn.LET(_xlpm.v,
VLOOKUP($I321,効果!$A:$B,COLUMN(効果!B$1),FALSE),
IF(_xlpm.v=0,"",_xlpm.v)
),"")</f>
        <v/>
      </c>
      <c r="L321" s="15" t="str">
        <f>IF(OR(COUNTIF(クラス!$A$1:$A$1035, $B321),$B321="",COUNTIF(スキル一覧!$A$1:$A$3500, $B321)), "", "存在しない")</f>
        <v/>
      </c>
      <c r="M321" s="2" t="str">
        <f>IF(COUNTIF($B$1:$C320, $B321), "", "存在しない")</f>
        <v>存在しない</v>
      </c>
      <c r="N321" s="2" t="s">
        <v>1196</v>
      </c>
    </row>
    <row r="322" spans="1:14" collapsed="1" x14ac:dyDescent="0.4">
      <c r="J322" s="6" t="str">
        <f>IFERROR(_xlfn.LET(_xlpm.v,
VLOOKUP($I322,効果!$A:$B,COLUMN(効果!B$1),FALSE),
IF(_xlpm.v=0,"",_xlpm.v)
),"")</f>
        <v/>
      </c>
      <c r="L322" s="15" t="str">
        <f>IF(OR(COUNTIF(クラス!$A$1:$A$1035, $B322),$B322="",COUNTIF(スキル一覧!$A$1:$A$3500, $B322)), "", "存在しない")</f>
        <v/>
      </c>
      <c r="M322" s="2" t="str">
        <f>IF(COUNTIF($B$1:$C321, $B322), "", "存在しない")</f>
        <v>存在しない</v>
      </c>
      <c r="N322" s="2" t="s">
        <v>1196</v>
      </c>
    </row>
    <row r="323" spans="1:14" x14ac:dyDescent="0.4">
      <c r="B323" s="2" t="s">
        <v>41</v>
      </c>
      <c r="J323" s="6" t="str">
        <f>IFERROR(_xlfn.LET(_xlpm.v,
VLOOKUP($I323,効果!$A:$B,COLUMN(効果!B$1),FALSE),
IF(_xlpm.v=0,"",_xlpm.v)
),"")</f>
        <v/>
      </c>
      <c r="L323" s="15" t="str">
        <f>IF(OR(COUNTIF(クラス!$A$1:$A$1035, $B323),$B323="",COUNTIF(スキル一覧!$A$1:$A$3500, $B323)), "", "存在しない")</f>
        <v/>
      </c>
      <c r="M323" s="2" t="str">
        <f>IF(COUNTIF($B$1:$C322, $B323), "", "存在しない")</f>
        <v>存在しない</v>
      </c>
      <c r="N323" s="2" t="s">
        <v>1196</v>
      </c>
    </row>
    <row r="324" spans="1:14" hidden="1" outlineLevel="1" x14ac:dyDescent="0.4">
      <c r="A324" s="2">
        <v>1</v>
      </c>
      <c r="J324" s="6" t="str">
        <f>IFERROR(_xlfn.LET(_xlpm.v,
VLOOKUP($I324,効果!$A:$B,COLUMN(効果!B$1),FALSE),
IF(_xlpm.v=0,"",_xlpm.v)
),"")</f>
        <v/>
      </c>
      <c r="L324" s="15" t="str">
        <f>IF(OR(COUNTIF(クラス!$A$1:$A$1035, $B324),$B324="",COUNTIF(スキル一覧!$A$1:$A$3500, $B324)), "", "存在しない")</f>
        <v/>
      </c>
      <c r="M324" s="2" t="str">
        <f>IF(COUNTIF($B$1:$C323, $B324), "", "存在しない")</f>
        <v>存在しない</v>
      </c>
      <c r="N324" s="2" t="s">
        <v>1196</v>
      </c>
    </row>
    <row r="325" spans="1:14" hidden="1" outlineLevel="1" x14ac:dyDescent="0.4">
      <c r="A325" s="2">
        <v>2</v>
      </c>
      <c r="J325" s="6" t="str">
        <f>IFERROR(_xlfn.LET(_xlpm.v,
VLOOKUP($I325,効果!$A:$B,COLUMN(効果!B$1),FALSE),
IF(_xlpm.v=0,"",_xlpm.v)
),"")</f>
        <v/>
      </c>
      <c r="L325" s="15" t="str">
        <f>IF(OR(COUNTIF(クラス!$A$1:$A$1035, $B325),$B325="",COUNTIF(スキル一覧!$A$1:$A$3500, $B325)), "", "存在しない")</f>
        <v/>
      </c>
      <c r="M325" s="2" t="str">
        <f>IF(COUNTIF($B$1:$C324, $B325), "", "存在しない")</f>
        <v>存在しない</v>
      </c>
      <c r="N325" s="2" t="s">
        <v>1196</v>
      </c>
    </row>
    <row r="326" spans="1:14" hidden="1" outlineLevel="1" x14ac:dyDescent="0.4">
      <c r="A326" s="2">
        <v>3</v>
      </c>
      <c r="J326" s="6" t="str">
        <f>IFERROR(_xlfn.LET(_xlpm.v,
VLOOKUP($I326,効果!$A:$B,COLUMN(効果!B$1),FALSE),
IF(_xlpm.v=0,"",_xlpm.v)
),"")</f>
        <v/>
      </c>
      <c r="L326" s="15" t="str">
        <f>IF(OR(COUNTIF(クラス!$A$1:$A$1035, $B326),$B326="",COUNTIF(スキル一覧!$A$1:$A$3500, $B326)), "", "存在しない")</f>
        <v/>
      </c>
      <c r="M326" s="2" t="str">
        <f>IF(COUNTIF($B$1:$C325, $B326), "", "存在しない")</f>
        <v>存在しない</v>
      </c>
      <c r="N326" s="2" t="s">
        <v>1196</v>
      </c>
    </row>
    <row r="327" spans="1:14" hidden="1" outlineLevel="1" x14ac:dyDescent="0.4">
      <c r="A327" s="2">
        <v>4</v>
      </c>
      <c r="J327" s="6" t="str">
        <f>IFERROR(_xlfn.LET(_xlpm.v,
VLOOKUP($I327,効果!$A:$B,COLUMN(効果!B$1),FALSE),
IF(_xlpm.v=0,"",_xlpm.v)
),"")</f>
        <v/>
      </c>
      <c r="L327" s="15" t="str">
        <f>IF(OR(COUNTIF(クラス!$A$1:$A$1035, $B327),$B327="",COUNTIF(スキル一覧!$A$1:$A$3500, $B327)), "", "存在しない")</f>
        <v/>
      </c>
      <c r="M327" s="2" t="str">
        <f>IF(COUNTIF($B$1:$C326, $B327), "", "存在しない")</f>
        <v>存在しない</v>
      </c>
      <c r="N327" s="2" t="s">
        <v>1196</v>
      </c>
    </row>
    <row r="328" spans="1:14" hidden="1" outlineLevel="1" x14ac:dyDescent="0.4">
      <c r="A328" s="2">
        <v>5</v>
      </c>
      <c r="J328" s="6" t="str">
        <f>IFERROR(_xlfn.LET(_xlpm.v,
VLOOKUP($I328,効果!$A:$B,COLUMN(効果!B$1),FALSE),
IF(_xlpm.v=0,"",_xlpm.v)
),"")</f>
        <v/>
      </c>
      <c r="L328" s="15" t="str">
        <f>IF(OR(COUNTIF(クラス!$A$1:$A$1035, $B328),$B328="",COUNTIF(スキル一覧!$A$1:$A$3500, $B328)), "", "存在しない")</f>
        <v/>
      </c>
      <c r="M328" s="2" t="str">
        <f>IF(COUNTIF($B$1:$C327, $B328), "", "存在しない")</f>
        <v>存在しない</v>
      </c>
      <c r="N328" s="2" t="s">
        <v>1196</v>
      </c>
    </row>
    <row r="329" spans="1:14" hidden="1" outlineLevel="1" x14ac:dyDescent="0.4">
      <c r="A329" s="2">
        <v>6</v>
      </c>
      <c r="J329" s="6" t="str">
        <f>IFERROR(_xlfn.LET(_xlpm.v,
VLOOKUP($I329,効果!$A:$B,COLUMN(効果!B$1),FALSE),
IF(_xlpm.v=0,"",_xlpm.v)
),"")</f>
        <v/>
      </c>
      <c r="L329" s="15" t="str">
        <f>IF(OR(COUNTIF(クラス!$A$1:$A$1035, $B329),$B329="",COUNTIF(スキル一覧!$A$1:$A$3500, $B329)), "", "存在しない")</f>
        <v/>
      </c>
      <c r="M329" s="2" t="str">
        <f>IF(COUNTIF($B$1:$C328, $B329), "", "存在しない")</f>
        <v>存在しない</v>
      </c>
      <c r="N329" s="2" t="s">
        <v>1196</v>
      </c>
    </row>
    <row r="330" spans="1:14" hidden="1" outlineLevel="1" x14ac:dyDescent="0.4">
      <c r="A330" s="2">
        <v>7</v>
      </c>
      <c r="J330" s="6" t="str">
        <f>IFERROR(_xlfn.LET(_xlpm.v,
VLOOKUP($I330,効果!$A:$B,COLUMN(効果!B$1),FALSE),
IF(_xlpm.v=0,"",_xlpm.v)
),"")</f>
        <v/>
      </c>
      <c r="L330" s="15" t="str">
        <f>IF(OR(COUNTIF(クラス!$A$1:$A$1035, $B330),$B330="",COUNTIF(スキル一覧!$A$1:$A$3500, $B330)), "", "存在しない")</f>
        <v/>
      </c>
      <c r="M330" s="2" t="str">
        <f>IF(COUNTIF($B$1:$C329, $B330), "", "存在しない")</f>
        <v>存在しない</v>
      </c>
      <c r="N330" s="2" t="s">
        <v>1196</v>
      </c>
    </row>
    <row r="331" spans="1:14" hidden="1" outlineLevel="1" x14ac:dyDescent="0.4">
      <c r="A331" s="2">
        <v>8</v>
      </c>
      <c r="J331" s="6" t="str">
        <f>IFERROR(_xlfn.LET(_xlpm.v,
VLOOKUP($I331,効果!$A:$B,COLUMN(効果!B$1),FALSE),
IF(_xlpm.v=0,"",_xlpm.v)
),"")</f>
        <v/>
      </c>
      <c r="L331" s="15" t="str">
        <f>IF(OR(COUNTIF(クラス!$A$1:$A$1035, $B331),$B331="",COUNTIF(スキル一覧!$A$1:$A$3500, $B331)), "", "存在しない")</f>
        <v/>
      </c>
      <c r="M331" s="2" t="str">
        <f>IF(COUNTIF($B$1:$C330, $B331), "", "存在しない")</f>
        <v>存在しない</v>
      </c>
      <c r="N331" s="2" t="s">
        <v>1196</v>
      </c>
    </row>
    <row r="332" spans="1:14" hidden="1" outlineLevel="1" x14ac:dyDescent="0.4">
      <c r="A332" s="2">
        <v>9</v>
      </c>
      <c r="J332" s="6" t="str">
        <f>IFERROR(_xlfn.LET(_xlpm.v,
VLOOKUP($I332,効果!$A:$B,COLUMN(効果!B$1),FALSE),
IF(_xlpm.v=0,"",_xlpm.v)
),"")</f>
        <v/>
      </c>
      <c r="L332" s="15" t="str">
        <f>IF(OR(COUNTIF(クラス!$A$1:$A$1035, $B332),$B332="",COUNTIF(スキル一覧!$A$1:$A$3500, $B332)), "", "存在しない")</f>
        <v/>
      </c>
      <c r="M332" s="2" t="str">
        <f>IF(COUNTIF($B$1:$C331, $B332), "", "存在しない")</f>
        <v>存在しない</v>
      </c>
      <c r="N332" s="2" t="s">
        <v>1196</v>
      </c>
    </row>
    <row r="333" spans="1:14" hidden="1" outlineLevel="1" x14ac:dyDescent="0.4">
      <c r="A333" s="2">
        <v>10</v>
      </c>
      <c r="J333" s="6" t="str">
        <f>IFERROR(_xlfn.LET(_xlpm.v,
VLOOKUP($I333,効果!$A:$B,COLUMN(効果!B$1),FALSE),
IF(_xlpm.v=0,"",_xlpm.v)
),"")</f>
        <v/>
      </c>
      <c r="L333" s="15" t="str">
        <f>IF(OR(COUNTIF(クラス!$A$1:$A$1035, $B333),$B333="",COUNTIF(スキル一覧!$A$1:$A$3500, $B333)), "", "存在しない")</f>
        <v/>
      </c>
      <c r="M333" s="2" t="str">
        <f>IF(COUNTIF($B$1:$C332, $B333), "", "存在しない")</f>
        <v>存在しない</v>
      </c>
      <c r="N333" s="2" t="s">
        <v>1196</v>
      </c>
    </row>
    <row r="334" spans="1:14" hidden="1" outlineLevel="1" x14ac:dyDescent="0.4">
      <c r="J334" s="6" t="str">
        <f>IFERROR(_xlfn.LET(_xlpm.v,
VLOOKUP($I334,効果!$A:$B,COLUMN(効果!B$1),FALSE),
IF(_xlpm.v=0,"",_xlpm.v)
),"")</f>
        <v/>
      </c>
      <c r="L334" s="15" t="str">
        <f>IF(OR(COUNTIF(クラス!$A$1:$A$1035, $B334),$B334="",COUNTIF(スキル一覧!$A$1:$A$3500, $B334)), "", "存在しない")</f>
        <v/>
      </c>
      <c r="M334" s="2" t="str">
        <f>IF(COUNTIF($B$1:$C333, $B334), "", "存在しない")</f>
        <v>存在しない</v>
      </c>
      <c r="N334" s="2" t="s">
        <v>1196</v>
      </c>
    </row>
    <row r="335" spans="1:14" collapsed="1" x14ac:dyDescent="0.4">
      <c r="J335" s="6" t="str">
        <f>IFERROR(_xlfn.LET(_xlpm.v,
VLOOKUP($I335,効果!$A:$B,COLUMN(効果!B$1),FALSE),
IF(_xlpm.v=0,"",_xlpm.v)
),"")</f>
        <v/>
      </c>
      <c r="L335" s="15" t="str">
        <f>IF(OR(COUNTIF(クラス!$A$1:$A$1035, $B335),$B335="",COUNTIF(スキル一覧!$A$1:$A$3500, $B335)), "", "存在しない")</f>
        <v/>
      </c>
      <c r="M335" s="2" t="str">
        <f>IF(COUNTIF($B$1:$C334, $B335), "", "存在しない")</f>
        <v>存在しない</v>
      </c>
      <c r="N335" s="2" t="s">
        <v>1196</v>
      </c>
    </row>
    <row r="336" spans="1:14" x14ac:dyDescent="0.4">
      <c r="B336" s="2" t="s">
        <v>65</v>
      </c>
      <c r="J336" s="6" t="str">
        <f>IFERROR(_xlfn.LET(_xlpm.v,
VLOOKUP($I336,効果!$A:$B,COLUMN(効果!B$1),FALSE),
IF(_xlpm.v=0,"",_xlpm.v)
),"")</f>
        <v/>
      </c>
      <c r="L336" s="15" t="str">
        <f>IF(OR(COUNTIF(クラス!$A$1:$A$1035, $B336),$B336="",COUNTIF(スキル一覧!$A$1:$A$3500, $B336)), "", "存在しない")</f>
        <v/>
      </c>
      <c r="M336" s="2" t="str">
        <f>IF(COUNTIF($B$1:$C335, $B336), "", "存在しない")</f>
        <v>存在しない</v>
      </c>
      <c r="N336" s="2" t="s">
        <v>1196</v>
      </c>
    </row>
    <row r="337" spans="1:14" hidden="1" outlineLevel="1" x14ac:dyDescent="0.4">
      <c r="A337" s="2">
        <v>1</v>
      </c>
      <c r="J337" s="6" t="str">
        <f>IFERROR(_xlfn.LET(_xlpm.v,
VLOOKUP($I337,効果!$A:$B,COLUMN(効果!B$1),FALSE),
IF(_xlpm.v=0,"",_xlpm.v)
),"")</f>
        <v/>
      </c>
      <c r="L337" s="15" t="str">
        <f>IF(OR(COUNTIF(クラス!$A$1:$A$1035, $B337),$B337="",COUNTIF(スキル一覧!$A$1:$A$3500, $B337)), "", "存在しない")</f>
        <v/>
      </c>
      <c r="M337" s="2" t="str">
        <f>IF(COUNTIF($B$1:$C336, $B337), "", "存在しない")</f>
        <v>存在しない</v>
      </c>
      <c r="N337" s="2" t="s">
        <v>1196</v>
      </c>
    </row>
    <row r="338" spans="1:14" hidden="1" outlineLevel="1" x14ac:dyDescent="0.4">
      <c r="A338" s="2">
        <v>2</v>
      </c>
      <c r="J338" s="6" t="str">
        <f>IFERROR(_xlfn.LET(_xlpm.v,
VLOOKUP($I338,効果!$A:$B,COLUMN(効果!B$1),FALSE),
IF(_xlpm.v=0,"",_xlpm.v)
),"")</f>
        <v/>
      </c>
      <c r="L338" s="15" t="str">
        <f>IF(OR(COUNTIF(クラス!$A$1:$A$1035, $B338),$B338="",COUNTIF(スキル一覧!$A$1:$A$3500, $B338)), "", "存在しない")</f>
        <v/>
      </c>
      <c r="M338" s="2" t="str">
        <f>IF(COUNTIF($B$1:$C337, $B338), "", "存在しない")</f>
        <v>存在しない</v>
      </c>
      <c r="N338" s="2" t="s">
        <v>1196</v>
      </c>
    </row>
    <row r="339" spans="1:14" hidden="1" outlineLevel="1" x14ac:dyDescent="0.4">
      <c r="A339" s="2">
        <v>3</v>
      </c>
      <c r="J339" s="6" t="str">
        <f>IFERROR(_xlfn.LET(_xlpm.v,
VLOOKUP($I339,効果!$A:$B,COLUMN(効果!B$1),FALSE),
IF(_xlpm.v=0,"",_xlpm.v)
),"")</f>
        <v/>
      </c>
      <c r="L339" s="15" t="str">
        <f>IF(OR(COUNTIF(クラス!$A$1:$A$1035, $B339),$B339="",COUNTIF(スキル一覧!$A$1:$A$3500, $B339)), "", "存在しない")</f>
        <v/>
      </c>
      <c r="M339" s="2" t="str">
        <f>IF(COUNTIF($B$1:$C338, $B339), "", "存在しない")</f>
        <v>存在しない</v>
      </c>
      <c r="N339" s="2" t="s">
        <v>1196</v>
      </c>
    </row>
    <row r="340" spans="1:14" hidden="1" outlineLevel="1" x14ac:dyDescent="0.4">
      <c r="A340" s="2">
        <v>4</v>
      </c>
      <c r="J340" s="6" t="str">
        <f>IFERROR(_xlfn.LET(_xlpm.v,
VLOOKUP($I340,効果!$A:$B,COLUMN(効果!B$1),FALSE),
IF(_xlpm.v=0,"",_xlpm.v)
),"")</f>
        <v/>
      </c>
      <c r="L340" s="15" t="str">
        <f>IF(OR(COUNTIF(クラス!$A$1:$A$1035, $B340),$B340="",COUNTIF(スキル一覧!$A$1:$A$3500, $B340)), "", "存在しない")</f>
        <v/>
      </c>
      <c r="M340" s="2" t="str">
        <f>IF(COUNTIF($B$1:$C339, $B340), "", "存在しない")</f>
        <v>存在しない</v>
      </c>
      <c r="N340" s="2" t="s">
        <v>1196</v>
      </c>
    </row>
    <row r="341" spans="1:14" hidden="1" outlineLevel="1" x14ac:dyDescent="0.4">
      <c r="A341" s="2">
        <v>5</v>
      </c>
      <c r="J341" s="6" t="str">
        <f>IFERROR(_xlfn.LET(_xlpm.v,
VLOOKUP($I341,効果!$A:$B,COLUMN(効果!B$1),FALSE),
IF(_xlpm.v=0,"",_xlpm.v)
),"")</f>
        <v/>
      </c>
      <c r="L341" s="15" t="str">
        <f>IF(OR(COUNTIF(クラス!$A$1:$A$1035, $B341),$B341="",COUNTIF(スキル一覧!$A$1:$A$3500, $B341)), "", "存在しない")</f>
        <v/>
      </c>
      <c r="M341" s="2" t="str">
        <f>IF(COUNTIF($B$1:$C340, $B341), "", "存在しない")</f>
        <v>存在しない</v>
      </c>
      <c r="N341" s="2" t="s">
        <v>1196</v>
      </c>
    </row>
    <row r="342" spans="1:14" hidden="1" outlineLevel="1" x14ac:dyDescent="0.4">
      <c r="A342" s="2">
        <v>6</v>
      </c>
      <c r="J342" s="6" t="str">
        <f>IFERROR(_xlfn.LET(_xlpm.v,
VLOOKUP($I342,効果!$A:$B,COLUMN(効果!B$1),FALSE),
IF(_xlpm.v=0,"",_xlpm.v)
),"")</f>
        <v/>
      </c>
      <c r="L342" s="15" t="str">
        <f>IF(OR(COUNTIF(クラス!$A$1:$A$1035, $B342),$B342="",COUNTIF(スキル一覧!$A$1:$A$3500, $B342)), "", "存在しない")</f>
        <v/>
      </c>
      <c r="M342" s="2" t="str">
        <f>IF(COUNTIF($B$1:$C341, $B342), "", "存在しない")</f>
        <v>存在しない</v>
      </c>
      <c r="N342" s="2" t="s">
        <v>1196</v>
      </c>
    </row>
    <row r="343" spans="1:14" hidden="1" outlineLevel="1" x14ac:dyDescent="0.4">
      <c r="A343" s="2">
        <v>7</v>
      </c>
      <c r="J343" s="6" t="str">
        <f>IFERROR(_xlfn.LET(_xlpm.v,
VLOOKUP($I343,効果!$A:$B,COLUMN(効果!B$1),FALSE),
IF(_xlpm.v=0,"",_xlpm.v)
),"")</f>
        <v/>
      </c>
      <c r="L343" s="15" t="str">
        <f>IF(OR(COUNTIF(クラス!$A$1:$A$1035, $B343),$B343="",COUNTIF(スキル一覧!$A$1:$A$3500, $B343)), "", "存在しない")</f>
        <v/>
      </c>
      <c r="M343" s="2" t="str">
        <f>IF(COUNTIF($B$1:$C342, $B343), "", "存在しない")</f>
        <v>存在しない</v>
      </c>
      <c r="N343" s="2" t="s">
        <v>1196</v>
      </c>
    </row>
    <row r="344" spans="1:14" hidden="1" outlineLevel="1" x14ac:dyDescent="0.4">
      <c r="A344" s="2">
        <v>8</v>
      </c>
      <c r="J344" s="6" t="str">
        <f>IFERROR(_xlfn.LET(_xlpm.v,
VLOOKUP($I344,効果!$A:$B,COLUMN(効果!B$1),FALSE),
IF(_xlpm.v=0,"",_xlpm.v)
),"")</f>
        <v/>
      </c>
      <c r="L344" s="15" t="str">
        <f>IF(OR(COUNTIF(クラス!$A$1:$A$1035, $B344),$B344="",COUNTIF(スキル一覧!$A$1:$A$3500, $B344)), "", "存在しない")</f>
        <v/>
      </c>
      <c r="M344" s="2" t="str">
        <f>IF(COUNTIF($B$1:$C343, $B344), "", "存在しない")</f>
        <v>存在しない</v>
      </c>
      <c r="N344" s="2" t="s">
        <v>1196</v>
      </c>
    </row>
    <row r="345" spans="1:14" hidden="1" outlineLevel="1" x14ac:dyDescent="0.4">
      <c r="A345" s="2">
        <v>9</v>
      </c>
      <c r="J345" s="6" t="str">
        <f>IFERROR(_xlfn.LET(_xlpm.v,
VLOOKUP($I345,効果!$A:$B,COLUMN(効果!B$1),FALSE),
IF(_xlpm.v=0,"",_xlpm.v)
),"")</f>
        <v/>
      </c>
      <c r="L345" s="15" t="str">
        <f>IF(OR(COUNTIF(クラス!$A$1:$A$1035, $B345),$B345="",COUNTIF(スキル一覧!$A$1:$A$3500, $B345)), "", "存在しない")</f>
        <v/>
      </c>
      <c r="M345" s="2" t="str">
        <f>IF(COUNTIF($B$1:$C344, $B345), "", "存在しない")</f>
        <v>存在しない</v>
      </c>
      <c r="N345" s="2" t="s">
        <v>1196</v>
      </c>
    </row>
    <row r="346" spans="1:14" hidden="1" outlineLevel="1" x14ac:dyDescent="0.4">
      <c r="A346" s="2">
        <v>10</v>
      </c>
      <c r="J346" s="6" t="str">
        <f>IFERROR(_xlfn.LET(_xlpm.v,
VLOOKUP($I346,効果!$A:$B,COLUMN(効果!B$1),FALSE),
IF(_xlpm.v=0,"",_xlpm.v)
),"")</f>
        <v/>
      </c>
      <c r="L346" s="15" t="str">
        <f>IF(OR(COUNTIF(クラス!$A$1:$A$1035, $B346),$B346="",COUNTIF(スキル一覧!$A$1:$A$3500, $B346)), "", "存在しない")</f>
        <v/>
      </c>
      <c r="M346" s="2" t="str">
        <f>IF(COUNTIF($B$1:$C345, $B346), "", "存在しない")</f>
        <v>存在しない</v>
      </c>
      <c r="N346" s="2" t="s">
        <v>1196</v>
      </c>
    </row>
    <row r="347" spans="1:14" hidden="1" outlineLevel="1" x14ac:dyDescent="0.4">
      <c r="J347" s="6" t="str">
        <f>IFERROR(_xlfn.LET(_xlpm.v,
VLOOKUP($I347,効果!$A:$B,COLUMN(効果!B$1),FALSE),
IF(_xlpm.v=0,"",_xlpm.v)
),"")</f>
        <v/>
      </c>
      <c r="L347" s="15" t="str">
        <f>IF(OR(COUNTIF(クラス!$A$1:$A$1035, $B347),$B347="",COUNTIF(スキル一覧!$A$1:$A$3500, $B347)), "", "存在しない")</f>
        <v/>
      </c>
      <c r="M347" s="2" t="str">
        <f>IF(COUNTIF($B$1:$C346, $B347), "", "存在しない")</f>
        <v>存在しない</v>
      </c>
      <c r="N347" s="2" t="s">
        <v>1196</v>
      </c>
    </row>
    <row r="348" spans="1:14" collapsed="1" x14ac:dyDescent="0.4">
      <c r="J348" s="6" t="str">
        <f>IFERROR(_xlfn.LET(_xlpm.v,
VLOOKUP($I348,効果!$A:$B,COLUMN(効果!B$1),FALSE),
IF(_xlpm.v=0,"",_xlpm.v)
),"")</f>
        <v/>
      </c>
      <c r="L348" s="15" t="str">
        <f>IF(OR(COUNTIF(クラス!$A$1:$A$1035, $B348),$B348="",COUNTIF(スキル一覧!$A$1:$A$3500, $B348)), "", "存在しない")</f>
        <v/>
      </c>
      <c r="M348" s="2" t="str">
        <f>IF(COUNTIF($B$1:$C347, $B348), "", "存在しない")</f>
        <v>存在しない</v>
      </c>
      <c r="N348" s="2" t="s">
        <v>1196</v>
      </c>
    </row>
    <row r="349" spans="1:14" x14ac:dyDescent="0.4">
      <c r="B349" s="2" t="s">
        <v>43</v>
      </c>
      <c r="J349" s="6" t="str">
        <f>IFERROR(_xlfn.LET(_xlpm.v,
VLOOKUP($I349,効果!$A:$B,COLUMN(効果!B$1),FALSE),
IF(_xlpm.v=0,"",_xlpm.v)
),"")</f>
        <v/>
      </c>
      <c r="L349" s="15" t="str">
        <f>IF(OR(COUNTIF(クラス!$A$1:$A$1035, $B349),$B349="",COUNTIF(スキル一覧!$A$1:$A$3500, $B349)), "", "存在しない")</f>
        <v/>
      </c>
      <c r="M349" s="2" t="str">
        <f>IF(COUNTIF($B$1:$C348, $B349), "", "存在しない")</f>
        <v>存在しない</v>
      </c>
      <c r="N349" s="2" t="s">
        <v>1196</v>
      </c>
    </row>
    <row r="350" spans="1:14" hidden="1" outlineLevel="1" x14ac:dyDescent="0.4">
      <c r="A350" s="2">
        <v>1</v>
      </c>
      <c r="J350" s="6" t="str">
        <f>IFERROR(_xlfn.LET(_xlpm.v,
VLOOKUP($I350,効果!$A:$B,COLUMN(効果!B$1),FALSE),
IF(_xlpm.v=0,"",_xlpm.v)
),"")</f>
        <v/>
      </c>
      <c r="L350" s="15" t="str">
        <f>IF(OR(COUNTIF(クラス!$A$1:$A$1035, $B350),$B350="",COUNTIF(スキル一覧!$A$1:$A$3500, $B350)), "", "存在しない")</f>
        <v/>
      </c>
      <c r="M350" s="2" t="str">
        <f>IF(COUNTIF($B$1:$C349, $B350), "", "存在しない")</f>
        <v>存在しない</v>
      </c>
      <c r="N350" s="2" t="s">
        <v>1196</v>
      </c>
    </row>
    <row r="351" spans="1:14" hidden="1" outlineLevel="1" x14ac:dyDescent="0.4">
      <c r="A351" s="2">
        <v>2</v>
      </c>
      <c r="J351" s="6" t="str">
        <f>IFERROR(_xlfn.LET(_xlpm.v,
VLOOKUP($I351,効果!$A:$B,COLUMN(効果!B$1),FALSE),
IF(_xlpm.v=0,"",_xlpm.v)
),"")</f>
        <v/>
      </c>
      <c r="L351" s="15" t="str">
        <f>IF(OR(COUNTIF(クラス!$A$1:$A$1035, $B351),$B351="",COUNTIF(スキル一覧!$A$1:$A$3500, $B351)), "", "存在しない")</f>
        <v/>
      </c>
      <c r="M351" s="2" t="str">
        <f>IF(COUNTIF($B$1:$C350, $B351), "", "存在しない")</f>
        <v>存在しない</v>
      </c>
      <c r="N351" s="2" t="s">
        <v>1196</v>
      </c>
    </row>
    <row r="352" spans="1:14" hidden="1" outlineLevel="1" x14ac:dyDescent="0.4">
      <c r="A352" s="2">
        <v>3</v>
      </c>
      <c r="J352" s="6" t="str">
        <f>IFERROR(_xlfn.LET(_xlpm.v,
VLOOKUP($I352,効果!$A:$B,COLUMN(効果!B$1),FALSE),
IF(_xlpm.v=0,"",_xlpm.v)
),"")</f>
        <v/>
      </c>
      <c r="L352" s="15" t="str">
        <f>IF(OR(COUNTIF(クラス!$A$1:$A$1035, $B352),$B352="",COUNTIF(スキル一覧!$A$1:$A$3500, $B352)), "", "存在しない")</f>
        <v/>
      </c>
      <c r="M352" s="2" t="str">
        <f>IF(COUNTIF($B$1:$C351, $B352), "", "存在しない")</f>
        <v>存在しない</v>
      </c>
      <c r="N352" s="2" t="s">
        <v>1196</v>
      </c>
    </row>
    <row r="353" spans="1:14" hidden="1" outlineLevel="1" x14ac:dyDescent="0.4">
      <c r="A353" s="2">
        <v>4</v>
      </c>
      <c r="J353" s="6" t="str">
        <f>IFERROR(_xlfn.LET(_xlpm.v,
VLOOKUP($I353,効果!$A:$B,COLUMN(効果!B$1),FALSE),
IF(_xlpm.v=0,"",_xlpm.v)
),"")</f>
        <v/>
      </c>
      <c r="L353" s="15" t="str">
        <f>IF(OR(COUNTIF(クラス!$A$1:$A$1035, $B353),$B353="",COUNTIF(スキル一覧!$A$1:$A$3500, $B353)), "", "存在しない")</f>
        <v/>
      </c>
      <c r="M353" s="2" t="str">
        <f>IF(COUNTIF($B$1:$C352, $B353), "", "存在しない")</f>
        <v>存在しない</v>
      </c>
      <c r="N353" s="2" t="s">
        <v>1196</v>
      </c>
    </row>
    <row r="354" spans="1:14" hidden="1" outlineLevel="1" x14ac:dyDescent="0.4">
      <c r="A354" s="2">
        <v>5</v>
      </c>
      <c r="J354" s="6" t="str">
        <f>IFERROR(_xlfn.LET(_xlpm.v,
VLOOKUP($I354,効果!$A:$B,COLUMN(効果!B$1),FALSE),
IF(_xlpm.v=0,"",_xlpm.v)
),"")</f>
        <v/>
      </c>
      <c r="L354" s="15" t="str">
        <f>IF(OR(COUNTIF(クラス!$A$1:$A$1035, $B354),$B354="",COUNTIF(スキル一覧!$A$1:$A$3500, $B354)), "", "存在しない")</f>
        <v/>
      </c>
      <c r="M354" s="2" t="str">
        <f>IF(COUNTIF($B$1:$C353, $B354), "", "存在しない")</f>
        <v>存在しない</v>
      </c>
      <c r="N354" s="2" t="s">
        <v>1196</v>
      </c>
    </row>
    <row r="355" spans="1:14" hidden="1" outlineLevel="1" x14ac:dyDescent="0.4">
      <c r="A355" s="2">
        <v>6</v>
      </c>
      <c r="J355" s="6" t="str">
        <f>IFERROR(_xlfn.LET(_xlpm.v,
VLOOKUP($I355,効果!$A:$B,COLUMN(効果!B$1),FALSE),
IF(_xlpm.v=0,"",_xlpm.v)
),"")</f>
        <v/>
      </c>
      <c r="L355" s="15" t="str">
        <f>IF(OR(COUNTIF(クラス!$A$1:$A$1035, $B355),$B355="",COUNTIF(スキル一覧!$A$1:$A$3500, $B355)), "", "存在しない")</f>
        <v/>
      </c>
      <c r="M355" s="2" t="str">
        <f>IF(COUNTIF($B$1:$C354, $B355), "", "存在しない")</f>
        <v>存在しない</v>
      </c>
      <c r="N355" s="2" t="s">
        <v>1196</v>
      </c>
    </row>
    <row r="356" spans="1:14" hidden="1" outlineLevel="1" x14ac:dyDescent="0.4">
      <c r="A356" s="2">
        <v>7</v>
      </c>
      <c r="J356" s="6" t="str">
        <f>IFERROR(_xlfn.LET(_xlpm.v,
VLOOKUP($I356,効果!$A:$B,COLUMN(効果!B$1),FALSE),
IF(_xlpm.v=0,"",_xlpm.v)
),"")</f>
        <v/>
      </c>
      <c r="L356" s="15" t="str">
        <f>IF(OR(COUNTIF(クラス!$A$1:$A$1035, $B356),$B356="",COUNTIF(スキル一覧!$A$1:$A$3500, $B356)), "", "存在しない")</f>
        <v/>
      </c>
      <c r="M356" s="2" t="str">
        <f>IF(COUNTIF($B$1:$C355, $B356), "", "存在しない")</f>
        <v>存在しない</v>
      </c>
      <c r="N356" s="2" t="s">
        <v>1196</v>
      </c>
    </row>
    <row r="357" spans="1:14" hidden="1" outlineLevel="1" x14ac:dyDescent="0.4">
      <c r="A357" s="2">
        <v>8</v>
      </c>
      <c r="J357" s="6" t="str">
        <f>IFERROR(_xlfn.LET(_xlpm.v,
VLOOKUP($I357,効果!$A:$B,COLUMN(効果!B$1),FALSE),
IF(_xlpm.v=0,"",_xlpm.v)
),"")</f>
        <v/>
      </c>
      <c r="L357" s="15" t="str">
        <f>IF(OR(COUNTIF(クラス!$A$1:$A$1035, $B357),$B357="",COUNTIF(スキル一覧!$A$1:$A$3500, $B357)), "", "存在しない")</f>
        <v/>
      </c>
      <c r="M357" s="2" t="str">
        <f>IF(COUNTIF($B$1:$C356, $B357), "", "存在しない")</f>
        <v>存在しない</v>
      </c>
      <c r="N357" s="2" t="s">
        <v>1196</v>
      </c>
    </row>
    <row r="358" spans="1:14" hidden="1" outlineLevel="1" x14ac:dyDescent="0.4">
      <c r="A358" s="2">
        <v>9</v>
      </c>
      <c r="J358" s="6" t="str">
        <f>IFERROR(_xlfn.LET(_xlpm.v,
VLOOKUP($I358,効果!$A:$B,COLUMN(効果!B$1),FALSE),
IF(_xlpm.v=0,"",_xlpm.v)
),"")</f>
        <v/>
      </c>
      <c r="L358" s="15" t="str">
        <f>IF(OR(COUNTIF(クラス!$A$1:$A$1035, $B358),$B358="",COUNTIF(スキル一覧!$A$1:$A$3500, $B358)), "", "存在しない")</f>
        <v/>
      </c>
      <c r="M358" s="2" t="str">
        <f>IF(COUNTIF($B$1:$C357, $B358), "", "存在しない")</f>
        <v>存在しない</v>
      </c>
      <c r="N358" s="2" t="s">
        <v>1196</v>
      </c>
    </row>
    <row r="359" spans="1:14" hidden="1" outlineLevel="1" x14ac:dyDescent="0.4">
      <c r="A359" s="2">
        <v>10</v>
      </c>
      <c r="J359" s="6" t="str">
        <f>IFERROR(_xlfn.LET(_xlpm.v,
VLOOKUP($I359,効果!$A:$B,COLUMN(効果!B$1),FALSE),
IF(_xlpm.v=0,"",_xlpm.v)
),"")</f>
        <v/>
      </c>
      <c r="L359" s="15" t="str">
        <f>IF(OR(COUNTIF(クラス!$A$1:$A$1035, $B359),$B359="",COUNTIF(スキル一覧!$A$1:$A$3500, $B359)), "", "存在しない")</f>
        <v/>
      </c>
      <c r="M359" s="2" t="str">
        <f>IF(COUNTIF($B$1:$C358, $B359), "", "存在しない")</f>
        <v>存在しない</v>
      </c>
      <c r="N359" s="2" t="s">
        <v>1196</v>
      </c>
    </row>
    <row r="360" spans="1:14" hidden="1" outlineLevel="1" x14ac:dyDescent="0.4">
      <c r="J360" s="6" t="str">
        <f>IFERROR(_xlfn.LET(_xlpm.v,
VLOOKUP($I360,効果!$A:$B,COLUMN(効果!B$1),FALSE),
IF(_xlpm.v=0,"",_xlpm.v)
),"")</f>
        <v/>
      </c>
      <c r="L360" s="15" t="str">
        <f>IF(OR(COUNTIF(クラス!$A$1:$A$1035, $B360),$B360="",COUNTIF(スキル一覧!$A$1:$A$3500, $B360)), "", "存在しない")</f>
        <v/>
      </c>
      <c r="M360" s="2" t="str">
        <f>IF(COUNTIF($B$1:$C359, $B360), "", "存在しない")</f>
        <v>存在しない</v>
      </c>
      <c r="N360" s="2" t="s">
        <v>1196</v>
      </c>
    </row>
    <row r="361" spans="1:14" collapsed="1" x14ac:dyDescent="0.4">
      <c r="J361" s="6" t="str">
        <f>IFERROR(_xlfn.LET(_xlpm.v,
VLOOKUP($I361,効果!$A:$B,COLUMN(効果!B$1),FALSE),
IF(_xlpm.v=0,"",_xlpm.v)
),"")</f>
        <v/>
      </c>
      <c r="L361" s="15" t="str">
        <f>IF(OR(COUNTIF(クラス!$A$1:$A$1035, $B361),$B361="",COUNTIF(スキル一覧!$A$1:$A$3500, $B361)), "", "存在しない")</f>
        <v/>
      </c>
      <c r="M361" s="2" t="str">
        <f>IF(COUNTIF($B$1:$C360, $B361), "", "存在しない")</f>
        <v>存在しない</v>
      </c>
      <c r="N361" s="2" t="s">
        <v>1196</v>
      </c>
    </row>
    <row r="362" spans="1:14" x14ac:dyDescent="0.4">
      <c r="J362" s="6" t="str">
        <f>IFERROR(_xlfn.LET(_xlpm.v,
VLOOKUP($I362,効果!$A:$B,COLUMN(効果!B$1),FALSE),
IF(_xlpm.v=0,"",_xlpm.v)
),"")</f>
        <v/>
      </c>
      <c r="L362" s="15" t="str">
        <f>IF(OR(COUNTIF(クラス!$A$1:$A$1035, $B362),$B362="",COUNTIF(スキル一覧!$A$1:$A$3500, $B362)), "", "存在しない")</f>
        <v/>
      </c>
      <c r="M362" s="2" t="str">
        <f>IF(COUNTIF($B$1:$C361, $B362), "", "存在しない")</f>
        <v>存在しない</v>
      </c>
      <c r="N362" s="2" t="s">
        <v>1196</v>
      </c>
    </row>
    <row r="363" spans="1:14" x14ac:dyDescent="0.4">
      <c r="B363" s="2" t="s">
        <v>45</v>
      </c>
      <c r="J363" s="6" t="str">
        <f>IFERROR(_xlfn.LET(_xlpm.v,
VLOOKUP($I363,効果!$A:$B,COLUMN(効果!B$1),FALSE),
IF(_xlpm.v=0,"",_xlpm.v)
),"")</f>
        <v/>
      </c>
      <c r="L363" s="15" t="str">
        <f>IF(OR(COUNTIF(クラス!$A$1:$A$1035, $B363),$B363="",COUNTIF(スキル一覧!$A$1:$A$3500, $B363)), "", "存在しない")</f>
        <v/>
      </c>
      <c r="M363" s="2" t="str">
        <f>IF(COUNTIF($B$1:$C362, $B363), "", "存在しない")</f>
        <v>存在しない</v>
      </c>
      <c r="N363" s="2" t="s">
        <v>1196</v>
      </c>
    </row>
    <row r="364" spans="1:14" hidden="1" outlineLevel="1" x14ac:dyDescent="0.4">
      <c r="A364" s="2">
        <v>1</v>
      </c>
      <c r="J364" s="6" t="str">
        <f>IFERROR(_xlfn.LET(_xlpm.v,
VLOOKUP($I364,効果!$A:$B,COLUMN(効果!B$1),FALSE),
IF(_xlpm.v=0,"",_xlpm.v)
),"")</f>
        <v/>
      </c>
      <c r="L364" s="15" t="str">
        <f>IF(OR(COUNTIF(クラス!$A$1:$A$1035, $B364),$B364="",COUNTIF(スキル一覧!$A$1:$A$3500, $B364)), "", "存在しない")</f>
        <v/>
      </c>
      <c r="M364" s="2" t="str">
        <f>IF(COUNTIF($B$1:$C363, $B364), "", "存在しない")</f>
        <v>存在しない</v>
      </c>
      <c r="N364" s="2" t="s">
        <v>1196</v>
      </c>
    </row>
    <row r="365" spans="1:14" hidden="1" outlineLevel="1" x14ac:dyDescent="0.4">
      <c r="A365" s="2">
        <v>2</v>
      </c>
      <c r="J365" s="6" t="str">
        <f>IFERROR(_xlfn.LET(_xlpm.v,
VLOOKUP($I365,効果!$A:$B,COLUMN(効果!B$1),FALSE),
IF(_xlpm.v=0,"",_xlpm.v)
),"")</f>
        <v/>
      </c>
      <c r="L365" s="15" t="str">
        <f>IF(OR(COUNTIF(クラス!$A$1:$A$1035, $B365),$B365="",COUNTIF(スキル一覧!$A$1:$A$3500, $B365)), "", "存在しない")</f>
        <v/>
      </c>
      <c r="M365" s="2" t="str">
        <f>IF(COUNTIF($B$1:$C364, $B365), "", "存在しない")</f>
        <v>存在しない</v>
      </c>
      <c r="N365" s="2" t="s">
        <v>1196</v>
      </c>
    </row>
    <row r="366" spans="1:14" hidden="1" outlineLevel="1" x14ac:dyDescent="0.4">
      <c r="A366" s="2">
        <v>3</v>
      </c>
      <c r="J366" s="6" t="str">
        <f>IFERROR(_xlfn.LET(_xlpm.v,
VLOOKUP($I366,効果!$A:$B,COLUMN(効果!B$1),FALSE),
IF(_xlpm.v=0,"",_xlpm.v)
),"")</f>
        <v/>
      </c>
      <c r="L366" s="15" t="str">
        <f>IF(OR(COUNTIF(クラス!$A$1:$A$1035, $B366),$B366="",COUNTIF(スキル一覧!$A$1:$A$3500, $B366)), "", "存在しない")</f>
        <v/>
      </c>
      <c r="M366" s="2" t="str">
        <f>IF(COUNTIF($B$1:$C365, $B366), "", "存在しない")</f>
        <v>存在しない</v>
      </c>
      <c r="N366" s="2" t="s">
        <v>1196</v>
      </c>
    </row>
    <row r="367" spans="1:14" hidden="1" outlineLevel="1" x14ac:dyDescent="0.4">
      <c r="A367" s="2">
        <v>4</v>
      </c>
      <c r="J367" s="6" t="str">
        <f>IFERROR(_xlfn.LET(_xlpm.v,
VLOOKUP($I367,効果!$A:$B,COLUMN(効果!B$1),FALSE),
IF(_xlpm.v=0,"",_xlpm.v)
),"")</f>
        <v/>
      </c>
      <c r="L367" s="15" t="str">
        <f>IF(OR(COUNTIF(クラス!$A$1:$A$1035, $B367),$B367="",COUNTIF(スキル一覧!$A$1:$A$3500, $B367)), "", "存在しない")</f>
        <v/>
      </c>
      <c r="M367" s="2" t="str">
        <f>IF(COUNTIF($B$1:$C366, $B367), "", "存在しない")</f>
        <v>存在しない</v>
      </c>
      <c r="N367" s="2" t="s">
        <v>1196</v>
      </c>
    </row>
    <row r="368" spans="1:14" hidden="1" outlineLevel="1" x14ac:dyDescent="0.4">
      <c r="A368" s="2">
        <v>5</v>
      </c>
      <c r="J368" s="6" t="str">
        <f>IFERROR(_xlfn.LET(_xlpm.v,
VLOOKUP($I368,効果!$A:$B,COLUMN(効果!B$1),FALSE),
IF(_xlpm.v=0,"",_xlpm.v)
),"")</f>
        <v/>
      </c>
      <c r="L368" s="15" t="str">
        <f>IF(OR(COUNTIF(クラス!$A$1:$A$1035, $B368),$B368="",COUNTIF(スキル一覧!$A$1:$A$3500, $B368)), "", "存在しない")</f>
        <v/>
      </c>
      <c r="M368" s="2" t="str">
        <f>IF(COUNTIF($B$1:$C367, $B368), "", "存在しない")</f>
        <v>存在しない</v>
      </c>
      <c r="N368" s="2" t="s">
        <v>1196</v>
      </c>
    </row>
    <row r="369" spans="1:14" hidden="1" outlineLevel="1" x14ac:dyDescent="0.4">
      <c r="A369" s="2">
        <v>6</v>
      </c>
      <c r="J369" s="6" t="str">
        <f>IFERROR(_xlfn.LET(_xlpm.v,
VLOOKUP($I369,効果!$A:$B,COLUMN(効果!B$1),FALSE),
IF(_xlpm.v=0,"",_xlpm.v)
),"")</f>
        <v/>
      </c>
      <c r="L369" s="15" t="str">
        <f>IF(OR(COUNTIF(クラス!$A$1:$A$1035, $B369),$B369="",COUNTIF(スキル一覧!$A$1:$A$3500, $B369)), "", "存在しない")</f>
        <v/>
      </c>
      <c r="M369" s="2" t="str">
        <f>IF(COUNTIF($B$1:$C368, $B369), "", "存在しない")</f>
        <v>存在しない</v>
      </c>
      <c r="N369" s="2" t="s">
        <v>1196</v>
      </c>
    </row>
    <row r="370" spans="1:14" hidden="1" outlineLevel="1" x14ac:dyDescent="0.4">
      <c r="A370" s="2">
        <v>7</v>
      </c>
      <c r="J370" s="6" t="str">
        <f>IFERROR(_xlfn.LET(_xlpm.v,
VLOOKUP($I370,効果!$A:$B,COLUMN(効果!B$1),FALSE),
IF(_xlpm.v=0,"",_xlpm.v)
),"")</f>
        <v/>
      </c>
      <c r="L370" s="15" t="str">
        <f>IF(OR(COUNTIF(クラス!$A$1:$A$1035, $B370),$B370="",COUNTIF(スキル一覧!$A$1:$A$3500, $B370)), "", "存在しない")</f>
        <v/>
      </c>
      <c r="M370" s="2" t="str">
        <f>IF(COUNTIF($B$1:$C369, $B370), "", "存在しない")</f>
        <v>存在しない</v>
      </c>
      <c r="N370" s="2" t="s">
        <v>1196</v>
      </c>
    </row>
    <row r="371" spans="1:14" hidden="1" outlineLevel="1" x14ac:dyDescent="0.4">
      <c r="A371" s="2">
        <v>8</v>
      </c>
      <c r="J371" s="6" t="str">
        <f>IFERROR(_xlfn.LET(_xlpm.v,
VLOOKUP($I371,効果!$A:$B,COLUMN(効果!B$1),FALSE),
IF(_xlpm.v=0,"",_xlpm.v)
),"")</f>
        <v/>
      </c>
      <c r="L371" s="15" t="str">
        <f>IF(OR(COUNTIF(クラス!$A$1:$A$1035, $B371),$B371="",COUNTIF(スキル一覧!$A$1:$A$3500, $B371)), "", "存在しない")</f>
        <v/>
      </c>
      <c r="M371" s="2" t="str">
        <f>IF(COUNTIF($B$1:$C370, $B371), "", "存在しない")</f>
        <v>存在しない</v>
      </c>
      <c r="N371" s="2" t="s">
        <v>1196</v>
      </c>
    </row>
    <row r="372" spans="1:14" hidden="1" outlineLevel="1" x14ac:dyDescent="0.4">
      <c r="A372" s="2">
        <v>9</v>
      </c>
      <c r="J372" s="6" t="str">
        <f>IFERROR(_xlfn.LET(_xlpm.v,
VLOOKUP($I372,効果!$A:$B,COLUMN(効果!B$1),FALSE),
IF(_xlpm.v=0,"",_xlpm.v)
),"")</f>
        <v/>
      </c>
      <c r="L372" s="15" t="str">
        <f>IF(OR(COUNTIF(クラス!$A$1:$A$1035, $B372),$B372="",COUNTIF(スキル一覧!$A$1:$A$3500, $B372)), "", "存在しない")</f>
        <v/>
      </c>
      <c r="M372" s="2" t="str">
        <f>IF(COUNTIF($B$1:$C371, $B372), "", "存在しない")</f>
        <v>存在しない</v>
      </c>
      <c r="N372" s="2" t="s">
        <v>1196</v>
      </c>
    </row>
    <row r="373" spans="1:14" hidden="1" outlineLevel="1" x14ac:dyDescent="0.4">
      <c r="A373" s="2">
        <v>10</v>
      </c>
      <c r="J373" s="6" t="str">
        <f>IFERROR(_xlfn.LET(_xlpm.v,
VLOOKUP($I373,効果!$A:$B,COLUMN(効果!B$1),FALSE),
IF(_xlpm.v=0,"",_xlpm.v)
),"")</f>
        <v/>
      </c>
      <c r="L373" s="15" t="str">
        <f>IF(OR(COUNTIF(クラス!$A$1:$A$1035, $B373),$B373="",COUNTIF(スキル一覧!$A$1:$A$3500, $B373)), "", "存在しない")</f>
        <v/>
      </c>
      <c r="M373" s="2" t="str">
        <f>IF(COUNTIF($B$1:$C372, $B373), "", "存在しない")</f>
        <v>存在しない</v>
      </c>
      <c r="N373" s="2" t="s">
        <v>1196</v>
      </c>
    </row>
    <row r="374" spans="1:14" hidden="1" outlineLevel="1" x14ac:dyDescent="0.4">
      <c r="J374" s="6" t="str">
        <f>IFERROR(_xlfn.LET(_xlpm.v,
VLOOKUP($I374,効果!$A:$B,COLUMN(効果!B$1),FALSE),
IF(_xlpm.v=0,"",_xlpm.v)
),"")</f>
        <v/>
      </c>
      <c r="L374" s="15" t="str">
        <f>IF(OR(COUNTIF(クラス!$A$1:$A$1035, $B374),$B374="",COUNTIF(スキル一覧!$A$1:$A$3500, $B374)), "", "存在しない")</f>
        <v/>
      </c>
      <c r="M374" s="2" t="str">
        <f>IF(COUNTIF($B$1:$C373, $B374), "", "存在しない")</f>
        <v>存在しない</v>
      </c>
      <c r="N374" s="2" t="s">
        <v>1196</v>
      </c>
    </row>
    <row r="375" spans="1:14" collapsed="1" x14ac:dyDescent="0.4">
      <c r="J375" s="6" t="str">
        <f>IFERROR(_xlfn.LET(_xlpm.v,
VLOOKUP($I375,効果!$A:$B,COLUMN(効果!B$1),FALSE),
IF(_xlpm.v=0,"",_xlpm.v)
),"")</f>
        <v/>
      </c>
      <c r="L375" s="15" t="str">
        <f>IF(OR(COUNTIF(クラス!$A$1:$A$1035, $B375),$B375="",COUNTIF(スキル一覧!$A$1:$A$3500, $B375)), "", "存在しない")</f>
        <v/>
      </c>
      <c r="M375" s="2" t="str">
        <f>IF(COUNTIF($B$1:$C374, $B375), "", "存在しない")</f>
        <v>存在しない</v>
      </c>
      <c r="N375" s="2" t="s">
        <v>1196</v>
      </c>
    </row>
    <row r="376" spans="1:14" x14ac:dyDescent="0.4">
      <c r="B376" s="2" t="s">
        <v>47</v>
      </c>
      <c r="J376" s="6" t="str">
        <f>IFERROR(_xlfn.LET(_xlpm.v,
VLOOKUP($I376,効果!$A:$B,COLUMN(効果!B$1),FALSE),
IF(_xlpm.v=0,"",_xlpm.v)
),"")</f>
        <v/>
      </c>
      <c r="L376" s="15" t="str">
        <f>IF(OR(COUNTIF(クラス!$A$1:$A$1035, $B376),$B376="",COUNTIF(スキル一覧!$A$1:$A$3500, $B376)), "", "存在しない")</f>
        <v/>
      </c>
      <c r="M376" s="2" t="str">
        <f>IF(COUNTIF($B$1:$C375, $B376), "", "存在しない")</f>
        <v>存在しない</v>
      </c>
      <c r="N376" s="2" t="s">
        <v>1196</v>
      </c>
    </row>
    <row r="377" spans="1:14" hidden="1" outlineLevel="1" x14ac:dyDescent="0.4">
      <c r="A377" s="2">
        <v>1</v>
      </c>
      <c r="J377" s="6" t="str">
        <f>IFERROR(_xlfn.LET(_xlpm.v,
VLOOKUP($I377,効果!$A:$B,COLUMN(効果!B$1),FALSE),
IF(_xlpm.v=0,"",_xlpm.v)
),"")</f>
        <v/>
      </c>
      <c r="L377" s="15" t="str">
        <f>IF(OR(COUNTIF(クラス!$A$1:$A$1035, $B377),$B377="",COUNTIF(スキル一覧!$A$1:$A$3500, $B377)), "", "存在しない")</f>
        <v/>
      </c>
      <c r="M377" s="2" t="str">
        <f>IF(COUNTIF($B$1:$C376, $B377), "", "存在しない")</f>
        <v>存在しない</v>
      </c>
      <c r="N377" s="2" t="s">
        <v>1196</v>
      </c>
    </row>
    <row r="378" spans="1:14" hidden="1" outlineLevel="1" x14ac:dyDescent="0.4">
      <c r="A378" s="2">
        <v>2</v>
      </c>
      <c r="J378" s="6" t="str">
        <f>IFERROR(_xlfn.LET(_xlpm.v,
VLOOKUP($I378,効果!$A:$B,COLUMN(効果!B$1),FALSE),
IF(_xlpm.v=0,"",_xlpm.v)
),"")</f>
        <v/>
      </c>
      <c r="L378" s="15" t="str">
        <f>IF(OR(COUNTIF(クラス!$A$1:$A$1035, $B378),$B378="",COUNTIF(スキル一覧!$A$1:$A$3500, $B378)), "", "存在しない")</f>
        <v/>
      </c>
      <c r="M378" s="2" t="str">
        <f>IF(COUNTIF($B$1:$C377, $B378), "", "存在しない")</f>
        <v>存在しない</v>
      </c>
      <c r="N378" s="2" t="s">
        <v>1196</v>
      </c>
    </row>
    <row r="379" spans="1:14" hidden="1" outlineLevel="1" x14ac:dyDescent="0.4">
      <c r="A379" s="2">
        <v>3</v>
      </c>
      <c r="J379" s="6" t="str">
        <f>IFERROR(_xlfn.LET(_xlpm.v,
VLOOKUP($I379,効果!$A:$B,COLUMN(効果!B$1),FALSE),
IF(_xlpm.v=0,"",_xlpm.v)
),"")</f>
        <v/>
      </c>
      <c r="L379" s="15" t="str">
        <f>IF(OR(COUNTIF(クラス!$A$1:$A$1035, $B379),$B379="",COUNTIF(スキル一覧!$A$1:$A$3500, $B379)), "", "存在しない")</f>
        <v/>
      </c>
      <c r="M379" s="2" t="str">
        <f>IF(COUNTIF($B$1:$C378, $B379), "", "存在しない")</f>
        <v>存在しない</v>
      </c>
      <c r="N379" s="2" t="s">
        <v>1196</v>
      </c>
    </row>
    <row r="380" spans="1:14" hidden="1" outlineLevel="1" x14ac:dyDescent="0.4">
      <c r="A380" s="2">
        <v>4</v>
      </c>
      <c r="J380" s="6" t="str">
        <f>IFERROR(_xlfn.LET(_xlpm.v,
VLOOKUP($I380,効果!$A:$B,COLUMN(効果!B$1),FALSE),
IF(_xlpm.v=0,"",_xlpm.v)
),"")</f>
        <v/>
      </c>
      <c r="L380" s="15" t="str">
        <f>IF(OR(COUNTIF(クラス!$A$1:$A$1035, $B380),$B380="",COUNTIF(スキル一覧!$A$1:$A$3500, $B380)), "", "存在しない")</f>
        <v/>
      </c>
      <c r="M380" s="2" t="str">
        <f>IF(COUNTIF($B$1:$C379, $B380), "", "存在しない")</f>
        <v>存在しない</v>
      </c>
      <c r="N380" s="2" t="s">
        <v>1196</v>
      </c>
    </row>
    <row r="381" spans="1:14" hidden="1" outlineLevel="1" x14ac:dyDescent="0.4">
      <c r="A381" s="2">
        <v>5</v>
      </c>
      <c r="J381" s="6" t="str">
        <f>IFERROR(_xlfn.LET(_xlpm.v,
VLOOKUP($I381,効果!$A:$B,COLUMN(効果!B$1),FALSE),
IF(_xlpm.v=0,"",_xlpm.v)
),"")</f>
        <v/>
      </c>
      <c r="L381" s="15" t="str">
        <f>IF(OR(COUNTIF(クラス!$A$1:$A$1035, $B381),$B381="",COUNTIF(スキル一覧!$A$1:$A$3500, $B381)), "", "存在しない")</f>
        <v/>
      </c>
      <c r="M381" s="2" t="str">
        <f>IF(COUNTIF($B$1:$C380, $B381), "", "存在しない")</f>
        <v>存在しない</v>
      </c>
      <c r="N381" s="2" t="s">
        <v>1196</v>
      </c>
    </row>
    <row r="382" spans="1:14" hidden="1" outlineLevel="1" x14ac:dyDescent="0.4">
      <c r="A382" s="2">
        <v>6</v>
      </c>
      <c r="J382" s="6" t="str">
        <f>IFERROR(_xlfn.LET(_xlpm.v,
VLOOKUP($I382,効果!$A:$B,COLUMN(効果!B$1),FALSE),
IF(_xlpm.v=0,"",_xlpm.v)
),"")</f>
        <v/>
      </c>
      <c r="L382" s="15" t="str">
        <f>IF(OR(COUNTIF(クラス!$A$1:$A$1035, $B382),$B382="",COUNTIF(スキル一覧!$A$1:$A$3500, $B382)), "", "存在しない")</f>
        <v/>
      </c>
      <c r="M382" s="2" t="str">
        <f>IF(COUNTIF($B$1:$C381, $B382), "", "存在しない")</f>
        <v>存在しない</v>
      </c>
      <c r="N382" s="2" t="s">
        <v>1196</v>
      </c>
    </row>
    <row r="383" spans="1:14" hidden="1" outlineLevel="1" x14ac:dyDescent="0.4">
      <c r="A383" s="2">
        <v>7</v>
      </c>
      <c r="J383" s="6" t="str">
        <f>IFERROR(_xlfn.LET(_xlpm.v,
VLOOKUP($I383,効果!$A:$B,COLUMN(効果!B$1),FALSE),
IF(_xlpm.v=0,"",_xlpm.v)
),"")</f>
        <v/>
      </c>
      <c r="L383" s="15" t="str">
        <f>IF(OR(COUNTIF(クラス!$A$1:$A$1035, $B383),$B383="",COUNTIF(スキル一覧!$A$1:$A$3500, $B383)), "", "存在しない")</f>
        <v/>
      </c>
      <c r="M383" s="2" t="str">
        <f>IF(COUNTIF($B$1:$C382, $B383), "", "存在しない")</f>
        <v>存在しない</v>
      </c>
      <c r="N383" s="2" t="s">
        <v>1196</v>
      </c>
    </row>
    <row r="384" spans="1:14" hidden="1" outlineLevel="1" x14ac:dyDescent="0.4">
      <c r="A384" s="2">
        <v>8</v>
      </c>
      <c r="J384" s="6" t="str">
        <f>IFERROR(_xlfn.LET(_xlpm.v,
VLOOKUP($I384,効果!$A:$B,COLUMN(効果!B$1),FALSE),
IF(_xlpm.v=0,"",_xlpm.v)
),"")</f>
        <v/>
      </c>
      <c r="L384" s="15" t="str">
        <f>IF(OR(COUNTIF(クラス!$A$1:$A$1035, $B384),$B384="",COUNTIF(スキル一覧!$A$1:$A$3500, $B384)), "", "存在しない")</f>
        <v/>
      </c>
      <c r="M384" s="2" t="str">
        <f>IF(COUNTIF($B$1:$C383, $B384), "", "存在しない")</f>
        <v>存在しない</v>
      </c>
      <c r="N384" s="2" t="s">
        <v>1196</v>
      </c>
    </row>
    <row r="385" spans="1:14" hidden="1" outlineLevel="1" x14ac:dyDescent="0.4">
      <c r="A385" s="2">
        <v>9</v>
      </c>
      <c r="J385" s="6" t="str">
        <f>IFERROR(_xlfn.LET(_xlpm.v,
VLOOKUP($I385,効果!$A:$B,COLUMN(効果!B$1),FALSE),
IF(_xlpm.v=0,"",_xlpm.v)
),"")</f>
        <v/>
      </c>
      <c r="L385" s="15" t="str">
        <f>IF(OR(COUNTIF(クラス!$A$1:$A$1035, $B385),$B385="",COUNTIF(スキル一覧!$A$1:$A$3500, $B385)), "", "存在しない")</f>
        <v/>
      </c>
      <c r="M385" s="2" t="str">
        <f>IF(COUNTIF($B$1:$C384, $B385), "", "存在しない")</f>
        <v>存在しない</v>
      </c>
      <c r="N385" s="2" t="s">
        <v>1196</v>
      </c>
    </row>
    <row r="386" spans="1:14" hidden="1" outlineLevel="1" x14ac:dyDescent="0.4">
      <c r="A386" s="2">
        <v>10</v>
      </c>
      <c r="J386" s="6" t="str">
        <f>IFERROR(_xlfn.LET(_xlpm.v,
VLOOKUP($I386,効果!$A:$B,COLUMN(効果!B$1),FALSE),
IF(_xlpm.v=0,"",_xlpm.v)
),"")</f>
        <v/>
      </c>
      <c r="L386" s="15" t="str">
        <f>IF(OR(COUNTIF(クラス!$A$1:$A$1035, $B386),$B386="",COUNTIF(スキル一覧!$A$1:$A$3500, $B386)), "", "存在しない")</f>
        <v/>
      </c>
      <c r="M386" s="2" t="str">
        <f>IF(COUNTIF($B$1:$C385, $B386), "", "存在しない")</f>
        <v>存在しない</v>
      </c>
      <c r="N386" s="2" t="s">
        <v>1196</v>
      </c>
    </row>
    <row r="387" spans="1:14" hidden="1" outlineLevel="1" x14ac:dyDescent="0.4">
      <c r="J387" s="6" t="str">
        <f>IFERROR(_xlfn.LET(_xlpm.v,
VLOOKUP($I387,効果!$A:$B,COLUMN(効果!B$1),FALSE),
IF(_xlpm.v=0,"",_xlpm.v)
),"")</f>
        <v/>
      </c>
      <c r="L387" s="15" t="str">
        <f>IF(OR(COUNTIF(クラス!$A$1:$A$1035, $B387),$B387="",COUNTIF(スキル一覧!$A$1:$A$3500, $B387)), "", "存在しない")</f>
        <v/>
      </c>
      <c r="M387" s="2" t="str">
        <f>IF(COUNTIF($B$1:$C386, $B387), "", "存在しない")</f>
        <v>存在しない</v>
      </c>
      <c r="N387" s="2" t="s">
        <v>1196</v>
      </c>
    </row>
    <row r="388" spans="1:14" collapsed="1" x14ac:dyDescent="0.4">
      <c r="J388" s="6" t="str">
        <f>IFERROR(_xlfn.LET(_xlpm.v,
VLOOKUP($I388,効果!$A:$B,COLUMN(効果!B$1),FALSE),
IF(_xlpm.v=0,"",_xlpm.v)
),"")</f>
        <v/>
      </c>
      <c r="L388" s="15" t="str">
        <f>IF(OR(COUNTIF(クラス!$A$1:$A$1035, $B388),$B388="",COUNTIF(スキル一覧!$A$1:$A$3500, $B388)), "", "存在しない")</f>
        <v/>
      </c>
      <c r="M388" s="2" t="str">
        <f>IF(COUNTIF($B$1:$C387, $B388), "", "存在しない")</f>
        <v>存在しない</v>
      </c>
      <c r="N388" s="2" t="s">
        <v>1196</v>
      </c>
    </row>
    <row r="389" spans="1:14" x14ac:dyDescent="0.4">
      <c r="B389" s="2" t="s">
        <v>49</v>
      </c>
      <c r="J389" s="6" t="str">
        <f>IFERROR(_xlfn.LET(_xlpm.v,
VLOOKUP($I389,効果!$A:$B,COLUMN(効果!B$1),FALSE),
IF(_xlpm.v=0,"",_xlpm.v)
),"")</f>
        <v/>
      </c>
      <c r="L389" s="15" t="str">
        <f>IF(OR(COUNTIF(クラス!$A$1:$A$1035, $B389),$B389="",COUNTIF(スキル一覧!$A$1:$A$3500, $B389)), "", "存在しない")</f>
        <v/>
      </c>
      <c r="M389" s="2" t="str">
        <f>IF(COUNTIF($B$1:$C388, $B389), "", "存在しない")</f>
        <v>存在しない</v>
      </c>
      <c r="N389" s="2" t="s">
        <v>1196</v>
      </c>
    </row>
    <row r="390" spans="1:14" hidden="1" outlineLevel="1" x14ac:dyDescent="0.4">
      <c r="A390" s="2">
        <v>1</v>
      </c>
      <c r="J390" s="6" t="str">
        <f>IFERROR(_xlfn.LET(_xlpm.v,
VLOOKUP($I390,効果!$A:$B,COLUMN(効果!B$1),FALSE),
IF(_xlpm.v=0,"",_xlpm.v)
),"")</f>
        <v/>
      </c>
      <c r="L390" s="15" t="str">
        <f>IF(OR(COUNTIF(クラス!$A$1:$A$1035, $B390),$B390="",COUNTIF(スキル一覧!$A$1:$A$3500, $B390)), "", "存在しない")</f>
        <v/>
      </c>
      <c r="M390" s="2" t="str">
        <f>IF(COUNTIF($B$1:$C389, $B390), "", "存在しない")</f>
        <v>存在しない</v>
      </c>
      <c r="N390" s="2" t="s">
        <v>1196</v>
      </c>
    </row>
    <row r="391" spans="1:14" hidden="1" outlineLevel="1" x14ac:dyDescent="0.4">
      <c r="A391" s="2">
        <v>2</v>
      </c>
      <c r="J391" s="6" t="str">
        <f>IFERROR(_xlfn.LET(_xlpm.v,
VLOOKUP($I391,効果!$A:$B,COLUMN(効果!B$1),FALSE),
IF(_xlpm.v=0,"",_xlpm.v)
),"")</f>
        <v/>
      </c>
      <c r="L391" s="15" t="str">
        <f>IF(OR(COUNTIF(クラス!$A$1:$A$1035, $B391),$B391="",COUNTIF(スキル一覧!$A$1:$A$3500, $B391)), "", "存在しない")</f>
        <v/>
      </c>
      <c r="M391" s="2" t="str">
        <f>IF(COUNTIF($B$1:$C390, $B391), "", "存在しない")</f>
        <v>存在しない</v>
      </c>
      <c r="N391" s="2" t="s">
        <v>1196</v>
      </c>
    </row>
    <row r="392" spans="1:14" hidden="1" outlineLevel="1" x14ac:dyDescent="0.4">
      <c r="A392" s="2">
        <v>3</v>
      </c>
      <c r="J392" s="6" t="str">
        <f>IFERROR(_xlfn.LET(_xlpm.v,
VLOOKUP($I392,効果!$A:$B,COLUMN(効果!B$1),FALSE),
IF(_xlpm.v=0,"",_xlpm.v)
),"")</f>
        <v/>
      </c>
      <c r="L392" s="15" t="str">
        <f>IF(OR(COUNTIF(クラス!$A$1:$A$1035, $B392),$B392="",COUNTIF(スキル一覧!$A$1:$A$3500, $B392)), "", "存在しない")</f>
        <v/>
      </c>
      <c r="M392" s="2" t="str">
        <f>IF(COUNTIF($B$1:$C391, $B392), "", "存在しない")</f>
        <v>存在しない</v>
      </c>
      <c r="N392" s="2" t="s">
        <v>1196</v>
      </c>
    </row>
    <row r="393" spans="1:14" hidden="1" outlineLevel="1" x14ac:dyDescent="0.4">
      <c r="A393" s="2">
        <v>4</v>
      </c>
      <c r="J393" s="6" t="str">
        <f>IFERROR(_xlfn.LET(_xlpm.v,
VLOOKUP($I393,効果!$A:$B,COLUMN(効果!B$1),FALSE),
IF(_xlpm.v=0,"",_xlpm.v)
),"")</f>
        <v/>
      </c>
      <c r="L393" s="15" t="str">
        <f>IF(OR(COUNTIF(クラス!$A$1:$A$1035, $B393),$B393="",COUNTIF(スキル一覧!$A$1:$A$3500, $B393)), "", "存在しない")</f>
        <v/>
      </c>
      <c r="M393" s="2" t="str">
        <f>IF(COUNTIF($B$1:$C392, $B393), "", "存在しない")</f>
        <v>存在しない</v>
      </c>
      <c r="N393" s="2" t="s">
        <v>1196</v>
      </c>
    </row>
    <row r="394" spans="1:14" hidden="1" outlineLevel="1" x14ac:dyDescent="0.4">
      <c r="A394" s="2">
        <v>5</v>
      </c>
      <c r="J394" s="6" t="str">
        <f>IFERROR(_xlfn.LET(_xlpm.v,
VLOOKUP($I394,効果!$A:$B,COLUMN(効果!B$1),FALSE),
IF(_xlpm.v=0,"",_xlpm.v)
),"")</f>
        <v/>
      </c>
      <c r="L394" s="15" t="str">
        <f>IF(OR(COUNTIF(クラス!$A$1:$A$1035, $B394),$B394="",COUNTIF(スキル一覧!$A$1:$A$3500, $B394)), "", "存在しない")</f>
        <v/>
      </c>
      <c r="M394" s="2" t="str">
        <f>IF(COUNTIF($B$1:$C393, $B394), "", "存在しない")</f>
        <v>存在しない</v>
      </c>
      <c r="N394" s="2" t="s">
        <v>1196</v>
      </c>
    </row>
    <row r="395" spans="1:14" hidden="1" outlineLevel="1" x14ac:dyDescent="0.4">
      <c r="A395" s="2">
        <v>6</v>
      </c>
      <c r="J395" s="6" t="str">
        <f>IFERROR(_xlfn.LET(_xlpm.v,
VLOOKUP($I395,効果!$A:$B,COLUMN(効果!B$1),FALSE),
IF(_xlpm.v=0,"",_xlpm.v)
),"")</f>
        <v/>
      </c>
      <c r="L395" s="15" t="str">
        <f>IF(OR(COUNTIF(クラス!$A$1:$A$1035, $B395),$B395="",COUNTIF(スキル一覧!$A$1:$A$3500, $B395)), "", "存在しない")</f>
        <v/>
      </c>
      <c r="M395" s="2" t="str">
        <f>IF(COUNTIF($B$1:$C394, $B395), "", "存在しない")</f>
        <v>存在しない</v>
      </c>
      <c r="N395" s="2" t="s">
        <v>1196</v>
      </c>
    </row>
    <row r="396" spans="1:14" hidden="1" outlineLevel="1" x14ac:dyDescent="0.4">
      <c r="A396" s="2">
        <v>7</v>
      </c>
      <c r="J396" s="6" t="str">
        <f>IFERROR(_xlfn.LET(_xlpm.v,
VLOOKUP($I396,効果!$A:$B,COLUMN(効果!B$1),FALSE),
IF(_xlpm.v=0,"",_xlpm.v)
),"")</f>
        <v/>
      </c>
      <c r="L396" s="15" t="str">
        <f>IF(OR(COUNTIF(クラス!$A$1:$A$1035, $B396),$B396="",COUNTIF(スキル一覧!$A$1:$A$3500, $B396)), "", "存在しない")</f>
        <v/>
      </c>
      <c r="M396" s="2" t="str">
        <f>IF(COUNTIF($B$1:$C395, $B396), "", "存在しない")</f>
        <v>存在しない</v>
      </c>
      <c r="N396" s="2" t="s">
        <v>1196</v>
      </c>
    </row>
    <row r="397" spans="1:14" hidden="1" outlineLevel="1" x14ac:dyDescent="0.4">
      <c r="A397" s="2">
        <v>8</v>
      </c>
      <c r="J397" s="6" t="str">
        <f>IFERROR(_xlfn.LET(_xlpm.v,
VLOOKUP($I397,効果!$A:$B,COLUMN(効果!B$1),FALSE),
IF(_xlpm.v=0,"",_xlpm.v)
),"")</f>
        <v/>
      </c>
      <c r="L397" s="15" t="str">
        <f>IF(OR(COUNTIF(クラス!$A$1:$A$1035, $B397),$B397="",COUNTIF(スキル一覧!$A$1:$A$3500, $B397)), "", "存在しない")</f>
        <v/>
      </c>
      <c r="M397" s="2" t="str">
        <f>IF(COUNTIF($B$1:$C396, $B397), "", "存在しない")</f>
        <v>存在しない</v>
      </c>
      <c r="N397" s="2" t="s">
        <v>1196</v>
      </c>
    </row>
    <row r="398" spans="1:14" hidden="1" outlineLevel="1" x14ac:dyDescent="0.4">
      <c r="A398" s="2">
        <v>9</v>
      </c>
      <c r="J398" s="6" t="str">
        <f>IFERROR(_xlfn.LET(_xlpm.v,
VLOOKUP($I398,効果!$A:$B,COLUMN(効果!B$1),FALSE),
IF(_xlpm.v=0,"",_xlpm.v)
),"")</f>
        <v/>
      </c>
      <c r="L398" s="15" t="str">
        <f>IF(OR(COUNTIF(クラス!$A$1:$A$1035, $B398),$B398="",COUNTIF(スキル一覧!$A$1:$A$3500, $B398)), "", "存在しない")</f>
        <v/>
      </c>
      <c r="M398" s="2" t="str">
        <f>IF(COUNTIF($B$1:$C397, $B398), "", "存在しない")</f>
        <v>存在しない</v>
      </c>
      <c r="N398" s="2" t="s">
        <v>1196</v>
      </c>
    </row>
    <row r="399" spans="1:14" hidden="1" outlineLevel="1" x14ac:dyDescent="0.4">
      <c r="A399" s="2">
        <v>10</v>
      </c>
      <c r="J399" s="6" t="str">
        <f>IFERROR(_xlfn.LET(_xlpm.v,
VLOOKUP($I399,効果!$A:$B,COLUMN(効果!B$1),FALSE),
IF(_xlpm.v=0,"",_xlpm.v)
),"")</f>
        <v/>
      </c>
      <c r="L399" s="15" t="str">
        <f>IF(OR(COUNTIF(クラス!$A$1:$A$1035, $B399),$B399="",COUNTIF(スキル一覧!$A$1:$A$3500, $B399)), "", "存在しない")</f>
        <v/>
      </c>
      <c r="M399" s="2" t="str">
        <f>IF(COUNTIF($B$1:$C398, $B399), "", "存在しない")</f>
        <v>存在しない</v>
      </c>
      <c r="N399" s="2" t="s">
        <v>1196</v>
      </c>
    </row>
    <row r="400" spans="1:14" hidden="1" outlineLevel="1" x14ac:dyDescent="0.4">
      <c r="J400" s="6" t="str">
        <f>IFERROR(_xlfn.LET(_xlpm.v,
VLOOKUP($I400,効果!$A:$B,COLUMN(効果!B$1),FALSE),
IF(_xlpm.v=0,"",_xlpm.v)
),"")</f>
        <v/>
      </c>
      <c r="L400" s="15" t="str">
        <f>IF(OR(COUNTIF(クラス!$A$1:$A$1035, $B400),$B400="",COUNTIF(スキル一覧!$A$1:$A$3500, $B400)), "", "存在しない")</f>
        <v/>
      </c>
      <c r="M400" s="2" t="str">
        <f>IF(COUNTIF($B$1:$C399, $B400), "", "存在しない")</f>
        <v>存在しない</v>
      </c>
      <c r="N400" s="2" t="s">
        <v>1196</v>
      </c>
    </row>
    <row r="401" spans="1:14" collapsed="1" x14ac:dyDescent="0.4">
      <c r="J401" s="6" t="str">
        <f>IFERROR(_xlfn.LET(_xlpm.v,
VLOOKUP($I401,効果!$A:$B,COLUMN(効果!B$1),FALSE),
IF(_xlpm.v=0,"",_xlpm.v)
),"")</f>
        <v/>
      </c>
      <c r="L401" s="15" t="str">
        <f>IF(OR(COUNTIF(クラス!$A$1:$A$1035, $B401),$B401="",COUNTIF(スキル一覧!$A$1:$A$3500, $B401)), "", "存在しない")</f>
        <v/>
      </c>
      <c r="M401" s="2" t="str">
        <f>IF(COUNTIF($B$1:$C400, $B401), "", "存在しない")</f>
        <v>存在しない</v>
      </c>
      <c r="N401" s="2" t="s">
        <v>1196</v>
      </c>
    </row>
    <row r="402" spans="1:14" x14ac:dyDescent="0.4">
      <c r="J402" s="6" t="str">
        <f>IFERROR(_xlfn.LET(_xlpm.v,
VLOOKUP($I402,効果!$A:$B,COLUMN(効果!B$1),FALSE),
IF(_xlpm.v=0,"",_xlpm.v)
),"")</f>
        <v/>
      </c>
      <c r="L402" s="15" t="str">
        <f>IF(OR(COUNTIF(クラス!$A$1:$A$1035, $B402),$B402="",COUNTIF(スキル一覧!$A$1:$A$3500, $B402)), "", "存在しない")</f>
        <v/>
      </c>
      <c r="M402" s="2" t="str">
        <f>IF(COUNTIF($B$1:$C401, $B402), "", "存在しない")</f>
        <v>存在しない</v>
      </c>
      <c r="N402" s="2" t="s">
        <v>1196</v>
      </c>
    </row>
    <row r="403" spans="1:14" x14ac:dyDescent="0.4">
      <c r="B403" s="2" t="s">
        <v>121</v>
      </c>
      <c r="J403" s="6" t="str">
        <f>IFERROR(_xlfn.LET(_xlpm.v,
VLOOKUP($I403,効果!$A:$B,COLUMN(効果!B$1),FALSE),
IF(_xlpm.v=0,"",_xlpm.v)
),"")</f>
        <v/>
      </c>
      <c r="L403" s="15" t="str">
        <f>IF(OR(COUNTIF(クラス!$A$1:$A$1035, $B403),$B403="",COUNTIF(スキル一覧!$A$1:$A$3500, $B403)), "", "存在しない")</f>
        <v/>
      </c>
      <c r="M403" s="2" t="str">
        <f>IF(COUNTIF($B$1:$C402, $B403), "", "存在しない")</f>
        <v>存在しない</v>
      </c>
      <c r="N403" s="2" t="s">
        <v>1196</v>
      </c>
    </row>
    <row r="404" spans="1:14" hidden="1" outlineLevel="1" x14ac:dyDescent="0.4">
      <c r="A404" s="2">
        <v>1</v>
      </c>
      <c r="J404" s="6" t="str">
        <f>IFERROR(_xlfn.LET(_xlpm.v,
VLOOKUP($I404,効果!$A:$B,COLUMN(効果!B$1),FALSE),
IF(_xlpm.v=0,"",_xlpm.v)
),"")</f>
        <v/>
      </c>
      <c r="L404" s="15" t="str">
        <f>IF(OR(COUNTIF(クラス!$A$1:$A$1035, $B404),$B404="",COUNTIF(スキル一覧!$A$1:$A$3500, $B404)), "", "存在しない")</f>
        <v/>
      </c>
      <c r="M404" s="2" t="str">
        <f>IF(COUNTIF($B$1:$C403, $B404), "", "存在しない")</f>
        <v>存在しない</v>
      </c>
      <c r="N404" s="2" t="s">
        <v>1196</v>
      </c>
    </row>
    <row r="405" spans="1:14" hidden="1" outlineLevel="1" x14ac:dyDescent="0.4">
      <c r="A405" s="2">
        <v>2</v>
      </c>
      <c r="J405" s="6" t="str">
        <f>IFERROR(_xlfn.LET(_xlpm.v,
VLOOKUP($I405,効果!$A:$B,COLUMN(効果!B$1),FALSE),
IF(_xlpm.v=0,"",_xlpm.v)
),"")</f>
        <v/>
      </c>
      <c r="L405" s="15" t="str">
        <f>IF(OR(COUNTIF(クラス!$A$1:$A$1035, $B405),$B405="",COUNTIF(スキル一覧!$A$1:$A$3500, $B405)), "", "存在しない")</f>
        <v/>
      </c>
      <c r="M405" s="2" t="str">
        <f>IF(COUNTIF($B$1:$C404, $B405), "", "存在しない")</f>
        <v>存在しない</v>
      </c>
      <c r="N405" s="2" t="s">
        <v>1196</v>
      </c>
    </row>
    <row r="406" spans="1:14" hidden="1" outlineLevel="1" x14ac:dyDescent="0.4">
      <c r="A406" s="2">
        <v>3</v>
      </c>
      <c r="J406" s="6" t="str">
        <f>IFERROR(_xlfn.LET(_xlpm.v,
VLOOKUP($I406,効果!$A:$B,COLUMN(効果!B$1),FALSE),
IF(_xlpm.v=0,"",_xlpm.v)
),"")</f>
        <v/>
      </c>
      <c r="L406" s="15" t="str">
        <f>IF(OR(COUNTIF(クラス!$A$1:$A$1035, $B406),$B406="",COUNTIF(スキル一覧!$A$1:$A$3500, $B406)), "", "存在しない")</f>
        <v/>
      </c>
      <c r="M406" s="2" t="str">
        <f>IF(COUNTIF($B$1:$C405, $B406), "", "存在しない")</f>
        <v>存在しない</v>
      </c>
      <c r="N406" s="2" t="s">
        <v>1196</v>
      </c>
    </row>
    <row r="407" spans="1:14" hidden="1" outlineLevel="1" x14ac:dyDescent="0.4">
      <c r="A407" s="2">
        <v>4</v>
      </c>
      <c r="J407" s="6" t="str">
        <f>IFERROR(_xlfn.LET(_xlpm.v,
VLOOKUP($I407,効果!$A:$B,COLUMN(効果!B$1),FALSE),
IF(_xlpm.v=0,"",_xlpm.v)
),"")</f>
        <v/>
      </c>
      <c r="L407" s="15" t="str">
        <f>IF(OR(COUNTIF(クラス!$A$1:$A$1035, $B407),$B407="",COUNTIF(スキル一覧!$A$1:$A$3500, $B407)), "", "存在しない")</f>
        <v/>
      </c>
      <c r="M407" s="2" t="str">
        <f>IF(COUNTIF($B$1:$C406, $B407), "", "存在しない")</f>
        <v>存在しない</v>
      </c>
      <c r="N407" s="2" t="s">
        <v>1196</v>
      </c>
    </row>
    <row r="408" spans="1:14" hidden="1" outlineLevel="1" x14ac:dyDescent="0.4">
      <c r="A408" s="2">
        <v>5</v>
      </c>
      <c r="J408" s="6" t="str">
        <f>IFERROR(_xlfn.LET(_xlpm.v,
VLOOKUP($I408,効果!$A:$B,COLUMN(効果!B$1),FALSE),
IF(_xlpm.v=0,"",_xlpm.v)
),"")</f>
        <v/>
      </c>
      <c r="L408" s="15" t="str">
        <f>IF(OR(COUNTIF(クラス!$A$1:$A$1035, $B408),$B408="",COUNTIF(スキル一覧!$A$1:$A$3500, $B408)), "", "存在しない")</f>
        <v/>
      </c>
      <c r="M408" s="2" t="str">
        <f>IF(COUNTIF($B$1:$C407, $B408), "", "存在しない")</f>
        <v>存在しない</v>
      </c>
      <c r="N408" s="2" t="s">
        <v>1196</v>
      </c>
    </row>
    <row r="409" spans="1:14" hidden="1" outlineLevel="1" x14ac:dyDescent="0.4">
      <c r="A409" s="2">
        <v>6</v>
      </c>
      <c r="J409" s="6" t="str">
        <f>IFERROR(_xlfn.LET(_xlpm.v,
VLOOKUP($I409,効果!$A:$B,COLUMN(効果!B$1),FALSE),
IF(_xlpm.v=0,"",_xlpm.v)
),"")</f>
        <v/>
      </c>
      <c r="L409" s="15" t="str">
        <f>IF(OR(COUNTIF(クラス!$A$1:$A$1035, $B409),$B409="",COUNTIF(スキル一覧!$A$1:$A$3500, $B409)), "", "存在しない")</f>
        <v/>
      </c>
      <c r="M409" s="2" t="str">
        <f>IF(COUNTIF($B$1:$C408, $B409), "", "存在しない")</f>
        <v>存在しない</v>
      </c>
      <c r="N409" s="2" t="s">
        <v>1196</v>
      </c>
    </row>
    <row r="410" spans="1:14" hidden="1" outlineLevel="1" x14ac:dyDescent="0.4">
      <c r="A410" s="2">
        <v>7</v>
      </c>
      <c r="J410" s="6" t="str">
        <f>IFERROR(_xlfn.LET(_xlpm.v,
VLOOKUP($I410,効果!$A:$B,COLUMN(効果!B$1),FALSE),
IF(_xlpm.v=0,"",_xlpm.v)
),"")</f>
        <v/>
      </c>
      <c r="L410" s="15" t="str">
        <f>IF(OR(COUNTIF(クラス!$A$1:$A$1035, $B410),$B410="",COUNTIF(スキル一覧!$A$1:$A$3500, $B410)), "", "存在しない")</f>
        <v/>
      </c>
      <c r="M410" s="2" t="str">
        <f>IF(COUNTIF($B$1:$C409, $B410), "", "存在しない")</f>
        <v>存在しない</v>
      </c>
      <c r="N410" s="2" t="s">
        <v>1196</v>
      </c>
    </row>
    <row r="411" spans="1:14" hidden="1" outlineLevel="1" x14ac:dyDescent="0.4">
      <c r="A411" s="2">
        <v>8</v>
      </c>
      <c r="J411" s="6" t="str">
        <f>IFERROR(_xlfn.LET(_xlpm.v,
VLOOKUP($I411,効果!$A:$B,COLUMN(効果!B$1),FALSE),
IF(_xlpm.v=0,"",_xlpm.v)
),"")</f>
        <v/>
      </c>
      <c r="L411" s="15" t="str">
        <f>IF(OR(COUNTIF(クラス!$A$1:$A$1035, $B411),$B411="",COUNTIF(スキル一覧!$A$1:$A$3500, $B411)), "", "存在しない")</f>
        <v/>
      </c>
      <c r="M411" s="2" t="str">
        <f>IF(COUNTIF($B$1:$C410, $B411), "", "存在しない")</f>
        <v>存在しない</v>
      </c>
      <c r="N411" s="2" t="s">
        <v>1196</v>
      </c>
    </row>
    <row r="412" spans="1:14" hidden="1" outlineLevel="1" x14ac:dyDescent="0.4">
      <c r="A412" s="2">
        <v>9</v>
      </c>
      <c r="J412" s="6" t="str">
        <f>IFERROR(_xlfn.LET(_xlpm.v,
VLOOKUP($I412,効果!$A:$B,COLUMN(効果!B$1),FALSE),
IF(_xlpm.v=0,"",_xlpm.v)
),"")</f>
        <v/>
      </c>
      <c r="L412" s="15" t="str">
        <f>IF(OR(COUNTIF(クラス!$A$1:$A$1035, $B412),$B412="",COUNTIF(スキル一覧!$A$1:$A$3500, $B412)), "", "存在しない")</f>
        <v/>
      </c>
      <c r="M412" s="2" t="str">
        <f>IF(COUNTIF($B$1:$C411, $B412), "", "存在しない")</f>
        <v>存在しない</v>
      </c>
      <c r="N412" s="2" t="s">
        <v>1196</v>
      </c>
    </row>
    <row r="413" spans="1:14" hidden="1" outlineLevel="1" x14ac:dyDescent="0.4">
      <c r="A413" s="2">
        <v>10</v>
      </c>
      <c r="J413" s="6" t="str">
        <f>IFERROR(_xlfn.LET(_xlpm.v,
VLOOKUP($I413,効果!$A:$B,COLUMN(効果!B$1),FALSE),
IF(_xlpm.v=0,"",_xlpm.v)
),"")</f>
        <v/>
      </c>
      <c r="L413" s="15" t="str">
        <f>IF(OR(COUNTIF(クラス!$A$1:$A$1035, $B413),$B413="",COUNTIF(スキル一覧!$A$1:$A$3500, $B413)), "", "存在しない")</f>
        <v/>
      </c>
      <c r="M413" s="2" t="str">
        <f>IF(COUNTIF($B$1:$C412, $B413), "", "存在しない")</f>
        <v>存在しない</v>
      </c>
      <c r="N413" s="2" t="s">
        <v>1196</v>
      </c>
    </row>
    <row r="414" spans="1:14" hidden="1" outlineLevel="1" x14ac:dyDescent="0.4">
      <c r="J414" s="6" t="str">
        <f>IFERROR(_xlfn.LET(_xlpm.v,
VLOOKUP($I414,効果!$A:$B,COLUMN(効果!B$1),FALSE),
IF(_xlpm.v=0,"",_xlpm.v)
),"")</f>
        <v/>
      </c>
      <c r="L414" s="15" t="str">
        <f>IF(OR(COUNTIF(クラス!$A$1:$A$1035, $B414),$B414="",COUNTIF(スキル一覧!$A$1:$A$3500, $B414)), "", "存在しない")</f>
        <v/>
      </c>
      <c r="M414" s="2" t="str">
        <f>IF(COUNTIF($B$1:$C413, $B414), "", "存在しない")</f>
        <v>存在しない</v>
      </c>
      <c r="N414" s="2" t="s">
        <v>1196</v>
      </c>
    </row>
    <row r="415" spans="1:14" collapsed="1" x14ac:dyDescent="0.4">
      <c r="J415" s="6" t="str">
        <f>IFERROR(_xlfn.LET(_xlpm.v,
VLOOKUP($I415,効果!$A:$B,COLUMN(効果!B$1),FALSE),
IF(_xlpm.v=0,"",_xlpm.v)
),"")</f>
        <v/>
      </c>
      <c r="L415" s="15" t="str">
        <f>IF(OR(COUNTIF(クラス!$A$1:$A$1035, $B415),$B415="",COUNTIF(スキル一覧!$A$1:$A$3500, $B415)), "", "存在しない")</f>
        <v/>
      </c>
      <c r="M415" s="2" t="str">
        <f>IF(COUNTIF($B$1:$C414, $B415), "", "存在しない")</f>
        <v>存在しない</v>
      </c>
      <c r="N415" s="2" t="s">
        <v>1196</v>
      </c>
    </row>
    <row r="416" spans="1:14" x14ac:dyDescent="0.4">
      <c r="B416" s="2" t="s">
        <v>122</v>
      </c>
      <c r="J416" s="6" t="str">
        <f>IFERROR(_xlfn.LET(_xlpm.v,
VLOOKUP($I416,効果!$A:$B,COLUMN(効果!B$1),FALSE),
IF(_xlpm.v=0,"",_xlpm.v)
),"")</f>
        <v/>
      </c>
      <c r="L416" s="15" t="str">
        <f>IF(OR(COUNTIF(クラス!$A$1:$A$1035, $B416),$B416="",COUNTIF(スキル一覧!$A$1:$A$3500, $B416)), "", "存在しない")</f>
        <v/>
      </c>
      <c r="M416" s="2" t="str">
        <f>IF(COUNTIF($B$1:$C415, $B416), "", "存在しない")</f>
        <v>存在しない</v>
      </c>
      <c r="N416" s="2" t="s">
        <v>1196</v>
      </c>
    </row>
    <row r="417" spans="1:14" hidden="1" outlineLevel="1" x14ac:dyDescent="0.4">
      <c r="A417" s="2">
        <v>1</v>
      </c>
      <c r="J417" s="6" t="str">
        <f>IFERROR(_xlfn.LET(_xlpm.v,
VLOOKUP($I417,効果!$A:$B,COLUMN(効果!B$1),FALSE),
IF(_xlpm.v=0,"",_xlpm.v)
),"")</f>
        <v/>
      </c>
      <c r="L417" s="15" t="str">
        <f>IF(OR(COUNTIF(クラス!$A$1:$A$1035, $B417),$B417="",COUNTIF(スキル一覧!$A$1:$A$3500, $B417)), "", "存在しない")</f>
        <v/>
      </c>
      <c r="M417" s="2" t="str">
        <f>IF(COUNTIF($B$1:$C416, $B417), "", "存在しない")</f>
        <v>存在しない</v>
      </c>
      <c r="N417" s="2" t="s">
        <v>1196</v>
      </c>
    </row>
    <row r="418" spans="1:14" hidden="1" outlineLevel="1" x14ac:dyDescent="0.4">
      <c r="A418" s="2">
        <v>2</v>
      </c>
      <c r="J418" s="6" t="str">
        <f>IFERROR(_xlfn.LET(_xlpm.v,
VLOOKUP($I418,効果!$A:$B,COLUMN(効果!B$1),FALSE),
IF(_xlpm.v=0,"",_xlpm.v)
),"")</f>
        <v/>
      </c>
      <c r="L418" s="15" t="str">
        <f>IF(OR(COUNTIF(クラス!$A$1:$A$1035, $B418),$B418="",COUNTIF(スキル一覧!$A$1:$A$3500, $B418)), "", "存在しない")</f>
        <v/>
      </c>
      <c r="M418" s="2" t="str">
        <f>IF(COUNTIF($B$1:$C417, $B418), "", "存在しない")</f>
        <v>存在しない</v>
      </c>
      <c r="N418" s="2" t="s">
        <v>1196</v>
      </c>
    </row>
    <row r="419" spans="1:14" hidden="1" outlineLevel="1" x14ac:dyDescent="0.4">
      <c r="A419" s="2">
        <v>3</v>
      </c>
      <c r="J419" s="6" t="str">
        <f>IFERROR(_xlfn.LET(_xlpm.v,
VLOOKUP($I419,効果!$A:$B,COLUMN(効果!B$1),FALSE),
IF(_xlpm.v=0,"",_xlpm.v)
),"")</f>
        <v/>
      </c>
      <c r="L419" s="15" t="str">
        <f>IF(OR(COUNTIF(クラス!$A$1:$A$1035, $B419),$B419="",COUNTIF(スキル一覧!$A$1:$A$3500, $B419)), "", "存在しない")</f>
        <v/>
      </c>
      <c r="M419" s="2" t="str">
        <f>IF(COUNTIF($B$1:$C418, $B419), "", "存在しない")</f>
        <v>存在しない</v>
      </c>
      <c r="N419" s="2" t="s">
        <v>1196</v>
      </c>
    </row>
    <row r="420" spans="1:14" hidden="1" outlineLevel="1" x14ac:dyDescent="0.4">
      <c r="A420" s="2">
        <v>4</v>
      </c>
      <c r="J420" s="6" t="str">
        <f>IFERROR(_xlfn.LET(_xlpm.v,
VLOOKUP($I420,効果!$A:$B,COLUMN(効果!B$1),FALSE),
IF(_xlpm.v=0,"",_xlpm.v)
),"")</f>
        <v/>
      </c>
      <c r="L420" s="15" t="str">
        <f>IF(OR(COUNTIF(クラス!$A$1:$A$1035, $B420),$B420="",COUNTIF(スキル一覧!$A$1:$A$3500, $B420)), "", "存在しない")</f>
        <v/>
      </c>
      <c r="M420" s="2" t="str">
        <f>IF(COUNTIF($B$1:$C419, $B420), "", "存在しない")</f>
        <v>存在しない</v>
      </c>
      <c r="N420" s="2" t="s">
        <v>1196</v>
      </c>
    </row>
    <row r="421" spans="1:14" hidden="1" outlineLevel="1" x14ac:dyDescent="0.4">
      <c r="A421" s="2">
        <v>5</v>
      </c>
      <c r="J421" s="6" t="str">
        <f>IFERROR(_xlfn.LET(_xlpm.v,
VLOOKUP($I421,効果!$A:$B,COLUMN(効果!B$1),FALSE),
IF(_xlpm.v=0,"",_xlpm.v)
),"")</f>
        <v/>
      </c>
      <c r="L421" s="15" t="str">
        <f>IF(OR(COUNTIF(クラス!$A$1:$A$1035, $B421),$B421="",COUNTIF(スキル一覧!$A$1:$A$3500, $B421)), "", "存在しない")</f>
        <v/>
      </c>
      <c r="M421" s="2" t="str">
        <f>IF(COUNTIF($B$1:$C420, $B421), "", "存在しない")</f>
        <v>存在しない</v>
      </c>
      <c r="N421" s="2" t="s">
        <v>1196</v>
      </c>
    </row>
    <row r="422" spans="1:14" hidden="1" outlineLevel="1" x14ac:dyDescent="0.4">
      <c r="A422" s="2">
        <v>6</v>
      </c>
      <c r="J422" s="6" t="str">
        <f>IFERROR(_xlfn.LET(_xlpm.v,
VLOOKUP($I422,効果!$A:$B,COLUMN(効果!B$1),FALSE),
IF(_xlpm.v=0,"",_xlpm.v)
),"")</f>
        <v/>
      </c>
      <c r="L422" s="15" t="str">
        <f>IF(OR(COUNTIF(クラス!$A$1:$A$1035, $B422),$B422="",COUNTIF(スキル一覧!$A$1:$A$3500, $B422)), "", "存在しない")</f>
        <v/>
      </c>
      <c r="M422" s="2" t="str">
        <f>IF(COUNTIF($B$1:$C421, $B422), "", "存在しない")</f>
        <v>存在しない</v>
      </c>
      <c r="N422" s="2" t="s">
        <v>1196</v>
      </c>
    </row>
    <row r="423" spans="1:14" hidden="1" outlineLevel="1" x14ac:dyDescent="0.4">
      <c r="A423" s="2">
        <v>7</v>
      </c>
      <c r="J423" s="6" t="str">
        <f>IFERROR(_xlfn.LET(_xlpm.v,
VLOOKUP($I423,効果!$A:$B,COLUMN(効果!B$1),FALSE),
IF(_xlpm.v=0,"",_xlpm.v)
),"")</f>
        <v/>
      </c>
      <c r="L423" s="15" t="str">
        <f>IF(OR(COUNTIF(クラス!$A$1:$A$1035, $B423),$B423="",COUNTIF(スキル一覧!$A$1:$A$3500, $B423)), "", "存在しない")</f>
        <v/>
      </c>
      <c r="M423" s="2" t="str">
        <f>IF(COUNTIF($B$1:$C422, $B423), "", "存在しない")</f>
        <v>存在しない</v>
      </c>
      <c r="N423" s="2" t="s">
        <v>1196</v>
      </c>
    </row>
    <row r="424" spans="1:14" hidden="1" outlineLevel="1" x14ac:dyDescent="0.4">
      <c r="A424" s="2">
        <v>8</v>
      </c>
      <c r="J424" s="6" t="str">
        <f>IFERROR(_xlfn.LET(_xlpm.v,
VLOOKUP($I424,効果!$A:$B,COLUMN(効果!B$1),FALSE),
IF(_xlpm.v=0,"",_xlpm.v)
),"")</f>
        <v/>
      </c>
      <c r="L424" s="15" t="str">
        <f>IF(OR(COUNTIF(クラス!$A$1:$A$1035, $B424),$B424="",COUNTIF(スキル一覧!$A$1:$A$3500, $B424)), "", "存在しない")</f>
        <v/>
      </c>
      <c r="M424" s="2" t="str">
        <f>IF(COUNTIF($B$1:$C423, $B424), "", "存在しない")</f>
        <v>存在しない</v>
      </c>
      <c r="N424" s="2" t="s">
        <v>1196</v>
      </c>
    </row>
    <row r="425" spans="1:14" hidden="1" outlineLevel="1" x14ac:dyDescent="0.4">
      <c r="A425" s="2">
        <v>9</v>
      </c>
      <c r="J425" s="6" t="str">
        <f>IFERROR(_xlfn.LET(_xlpm.v,
VLOOKUP($I425,効果!$A:$B,COLUMN(効果!B$1),FALSE),
IF(_xlpm.v=0,"",_xlpm.v)
),"")</f>
        <v/>
      </c>
      <c r="L425" s="15" t="str">
        <f>IF(OR(COUNTIF(クラス!$A$1:$A$1035, $B425),$B425="",COUNTIF(スキル一覧!$A$1:$A$3500, $B425)), "", "存在しない")</f>
        <v/>
      </c>
      <c r="M425" s="2" t="str">
        <f>IF(COUNTIF($B$1:$C424, $B425), "", "存在しない")</f>
        <v>存在しない</v>
      </c>
      <c r="N425" s="2" t="s">
        <v>1196</v>
      </c>
    </row>
    <row r="426" spans="1:14" hidden="1" outlineLevel="1" x14ac:dyDescent="0.4">
      <c r="A426" s="2">
        <v>10</v>
      </c>
      <c r="J426" s="6" t="str">
        <f>IFERROR(_xlfn.LET(_xlpm.v,
VLOOKUP($I426,効果!$A:$B,COLUMN(効果!B$1),FALSE),
IF(_xlpm.v=0,"",_xlpm.v)
),"")</f>
        <v/>
      </c>
      <c r="L426" s="15" t="str">
        <f>IF(OR(COUNTIF(クラス!$A$1:$A$1035, $B426),$B426="",COUNTIF(スキル一覧!$A$1:$A$3500, $B426)), "", "存在しない")</f>
        <v/>
      </c>
      <c r="M426" s="2" t="str">
        <f>IF(COUNTIF($B$1:$C425, $B426), "", "存在しない")</f>
        <v>存在しない</v>
      </c>
      <c r="N426" s="2" t="s">
        <v>1196</v>
      </c>
    </row>
    <row r="427" spans="1:14" hidden="1" outlineLevel="1" x14ac:dyDescent="0.4">
      <c r="J427" s="6" t="str">
        <f>IFERROR(_xlfn.LET(_xlpm.v,
VLOOKUP($I427,効果!$A:$B,COLUMN(効果!B$1),FALSE),
IF(_xlpm.v=0,"",_xlpm.v)
),"")</f>
        <v/>
      </c>
      <c r="L427" s="15" t="str">
        <f>IF(OR(COUNTIF(クラス!$A$1:$A$1035, $B427),$B427="",COUNTIF(スキル一覧!$A$1:$A$3500, $B427)), "", "存在しない")</f>
        <v/>
      </c>
      <c r="M427" s="2" t="str">
        <f>IF(COUNTIF($B$1:$C426, $B427), "", "存在しない")</f>
        <v>存在しない</v>
      </c>
      <c r="N427" s="2" t="s">
        <v>1196</v>
      </c>
    </row>
    <row r="428" spans="1:14" collapsed="1" x14ac:dyDescent="0.4">
      <c r="J428" s="6" t="str">
        <f>IFERROR(_xlfn.LET(_xlpm.v,
VLOOKUP($I428,効果!$A:$B,COLUMN(効果!B$1),FALSE),
IF(_xlpm.v=0,"",_xlpm.v)
),"")</f>
        <v/>
      </c>
      <c r="L428" s="15" t="str">
        <f>IF(OR(COUNTIF(クラス!$A$1:$A$1035, $B428),$B428="",COUNTIF(スキル一覧!$A$1:$A$3500, $B428)), "", "存在しない")</f>
        <v/>
      </c>
      <c r="M428" s="2" t="str">
        <f>IF(COUNTIF($B$1:$C427, $B428), "", "存在しない")</f>
        <v>存在しない</v>
      </c>
      <c r="N428" s="2" t="s">
        <v>1196</v>
      </c>
    </row>
    <row r="429" spans="1:14" x14ac:dyDescent="0.4">
      <c r="B429" s="2" t="s">
        <v>206</v>
      </c>
      <c r="J429" s="6" t="str">
        <f>IFERROR(_xlfn.LET(_xlpm.v,
VLOOKUP($I429,効果!$A:$B,COLUMN(効果!B$1),FALSE),
IF(_xlpm.v=0,"",_xlpm.v)
),"")</f>
        <v/>
      </c>
      <c r="L429" s="15" t="str">
        <f>IF(OR(COUNTIF(クラス!$A$1:$A$1035, $B429),$B429="",COUNTIF(スキル一覧!$A$1:$A$3500, $B429)), "", "存在しない")</f>
        <v/>
      </c>
      <c r="M429" s="2" t="str">
        <f>IF(COUNTIF($B$1:$C428, $B429), "", "存在しない")</f>
        <v>存在しない</v>
      </c>
      <c r="N429" s="2" t="s">
        <v>1196</v>
      </c>
    </row>
    <row r="430" spans="1:14" hidden="1" outlineLevel="1" x14ac:dyDescent="0.4">
      <c r="A430" s="2">
        <v>1</v>
      </c>
      <c r="J430" s="6" t="str">
        <f>IFERROR(_xlfn.LET(_xlpm.v,
VLOOKUP($I430,効果!$A:$B,COLUMN(効果!B$1),FALSE),
IF(_xlpm.v=0,"",_xlpm.v)
),"")</f>
        <v/>
      </c>
      <c r="L430" s="15" t="str">
        <f>IF(OR(COUNTIF(クラス!$A$1:$A$1035, $B430),$B430="",COUNTIF(スキル一覧!$A$1:$A$3500, $B430)), "", "存在しない")</f>
        <v/>
      </c>
      <c r="M430" s="2" t="str">
        <f>IF(COUNTIF($B$1:$C429, $B430), "", "存在しない")</f>
        <v>存在しない</v>
      </c>
      <c r="N430" s="2" t="s">
        <v>1196</v>
      </c>
    </row>
    <row r="431" spans="1:14" hidden="1" outlineLevel="1" x14ac:dyDescent="0.4">
      <c r="A431" s="2">
        <v>2</v>
      </c>
      <c r="J431" s="6" t="str">
        <f>IFERROR(_xlfn.LET(_xlpm.v,
VLOOKUP($I431,効果!$A:$B,COLUMN(効果!B$1),FALSE),
IF(_xlpm.v=0,"",_xlpm.v)
),"")</f>
        <v/>
      </c>
      <c r="L431" s="15" t="str">
        <f>IF(OR(COUNTIF(クラス!$A$1:$A$1035, $B431),$B431="",COUNTIF(スキル一覧!$A$1:$A$3500, $B431)), "", "存在しない")</f>
        <v/>
      </c>
      <c r="M431" s="2" t="str">
        <f>IF(COUNTIF($B$1:$C430, $B431), "", "存在しない")</f>
        <v>存在しない</v>
      </c>
      <c r="N431" s="2" t="s">
        <v>1196</v>
      </c>
    </row>
    <row r="432" spans="1:14" hidden="1" outlineLevel="1" x14ac:dyDescent="0.4">
      <c r="A432" s="2">
        <v>3</v>
      </c>
      <c r="J432" s="6" t="str">
        <f>IFERROR(_xlfn.LET(_xlpm.v,
VLOOKUP($I432,効果!$A:$B,COLUMN(効果!B$1),FALSE),
IF(_xlpm.v=0,"",_xlpm.v)
),"")</f>
        <v/>
      </c>
      <c r="L432" s="15" t="str">
        <f>IF(OR(COUNTIF(クラス!$A$1:$A$1035, $B432),$B432="",COUNTIF(スキル一覧!$A$1:$A$3500, $B432)), "", "存在しない")</f>
        <v/>
      </c>
      <c r="M432" s="2" t="str">
        <f>IF(COUNTIF($B$1:$C431, $B432), "", "存在しない")</f>
        <v>存在しない</v>
      </c>
      <c r="N432" s="2" t="s">
        <v>1196</v>
      </c>
    </row>
    <row r="433" spans="1:14" hidden="1" outlineLevel="1" x14ac:dyDescent="0.4">
      <c r="A433" s="2">
        <v>4</v>
      </c>
      <c r="J433" s="6" t="str">
        <f>IFERROR(_xlfn.LET(_xlpm.v,
VLOOKUP($I433,効果!$A:$B,COLUMN(効果!B$1),FALSE),
IF(_xlpm.v=0,"",_xlpm.v)
),"")</f>
        <v/>
      </c>
      <c r="L433" s="15" t="str">
        <f>IF(OR(COUNTIF(クラス!$A$1:$A$1035, $B433),$B433="",COUNTIF(スキル一覧!$A$1:$A$3500, $B433)), "", "存在しない")</f>
        <v/>
      </c>
      <c r="M433" s="2" t="str">
        <f>IF(COUNTIF($B$1:$C432, $B433), "", "存在しない")</f>
        <v>存在しない</v>
      </c>
      <c r="N433" s="2" t="s">
        <v>1196</v>
      </c>
    </row>
    <row r="434" spans="1:14" hidden="1" outlineLevel="1" x14ac:dyDescent="0.4">
      <c r="A434" s="2">
        <v>5</v>
      </c>
      <c r="J434" s="6" t="str">
        <f>IFERROR(_xlfn.LET(_xlpm.v,
VLOOKUP($I434,効果!$A:$B,COLUMN(効果!B$1),FALSE),
IF(_xlpm.v=0,"",_xlpm.v)
),"")</f>
        <v/>
      </c>
      <c r="L434" s="15" t="str">
        <f>IF(OR(COUNTIF(クラス!$A$1:$A$1035, $B434),$B434="",COUNTIF(スキル一覧!$A$1:$A$3500, $B434)), "", "存在しない")</f>
        <v/>
      </c>
      <c r="M434" s="2" t="str">
        <f>IF(COUNTIF($B$1:$C433, $B434), "", "存在しない")</f>
        <v>存在しない</v>
      </c>
      <c r="N434" s="2" t="s">
        <v>1196</v>
      </c>
    </row>
    <row r="435" spans="1:14" hidden="1" outlineLevel="1" x14ac:dyDescent="0.4">
      <c r="A435" s="2">
        <v>6</v>
      </c>
      <c r="J435" s="6" t="str">
        <f>IFERROR(_xlfn.LET(_xlpm.v,
VLOOKUP($I435,効果!$A:$B,COLUMN(効果!B$1),FALSE),
IF(_xlpm.v=0,"",_xlpm.v)
),"")</f>
        <v/>
      </c>
      <c r="L435" s="15" t="str">
        <f>IF(OR(COUNTIF(クラス!$A$1:$A$1035, $B435),$B435="",COUNTIF(スキル一覧!$A$1:$A$3500, $B435)), "", "存在しない")</f>
        <v/>
      </c>
      <c r="M435" s="2" t="str">
        <f>IF(COUNTIF($B$1:$C434, $B435), "", "存在しない")</f>
        <v>存在しない</v>
      </c>
      <c r="N435" s="2" t="s">
        <v>1196</v>
      </c>
    </row>
    <row r="436" spans="1:14" hidden="1" outlineLevel="1" x14ac:dyDescent="0.4">
      <c r="A436" s="2">
        <v>7</v>
      </c>
      <c r="J436" s="6" t="str">
        <f>IFERROR(_xlfn.LET(_xlpm.v,
VLOOKUP($I436,効果!$A:$B,COLUMN(効果!B$1),FALSE),
IF(_xlpm.v=0,"",_xlpm.v)
),"")</f>
        <v/>
      </c>
      <c r="L436" s="15" t="str">
        <f>IF(OR(COUNTIF(クラス!$A$1:$A$1035, $B436),$B436="",COUNTIF(スキル一覧!$A$1:$A$3500, $B436)), "", "存在しない")</f>
        <v/>
      </c>
      <c r="M436" s="2" t="str">
        <f>IF(COUNTIF($B$1:$C435, $B436), "", "存在しない")</f>
        <v>存在しない</v>
      </c>
      <c r="N436" s="2" t="s">
        <v>1196</v>
      </c>
    </row>
    <row r="437" spans="1:14" hidden="1" outlineLevel="1" x14ac:dyDescent="0.4">
      <c r="A437" s="2">
        <v>8</v>
      </c>
      <c r="J437" s="6" t="str">
        <f>IFERROR(_xlfn.LET(_xlpm.v,
VLOOKUP($I437,効果!$A:$B,COLUMN(効果!B$1),FALSE),
IF(_xlpm.v=0,"",_xlpm.v)
),"")</f>
        <v/>
      </c>
      <c r="L437" s="15" t="str">
        <f>IF(OR(COUNTIF(クラス!$A$1:$A$1035, $B437),$B437="",COUNTIF(スキル一覧!$A$1:$A$3500, $B437)), "", "存在しない")</f>
        <v/>
      </c>
      <c r="M437" s="2" t="str">
        <f>IF(COUNTIF($B$1:$C436, $B437), "", "存在しない")</f>
        <v>存在しない</v>
      </c>
      <c r="N437" s="2" t="s">
        <v>1196</v>
      </c>
    </row>
    <row r="438" spans="1:14" hidden="1" outlineLevel="1" x14ac:dyDescent="0.4">
      <c r="A438" s="2">
        <v>9</v>
      </c>
      <c r="J438" s="6" t="str">
        <f>IFERROR(_xlfn.LET(_xlpm.v,
VLOOKUP($I438,効果!$A:$B,COLUMN(効果!B$1),FALSE),
IF(_xlpm.v=0,"",_xlpm.v)
),"")</f>
        <v/>
      </c>
      <c r="L438" s="15" t="str">
        <f>IF(OR(COUNTIF(クラス!$A$1:$A$1035, $B438),$B438="",COUNTIF(スキル一覧!$A$1:$A$3500, $B438)), "", "存在しない")</f>
        <v/>
      </c>
      <c r="M438" s="2" t="str">
        <f>IF(COUNTIF($B$1:$C437, $B438), "", "存在しない")</f>
        <v>存在しない</v>
      </c>
      <c r="N438" s="2" t="s">
        <v>1196</v>
      </c>
    </row>
    <row r="439" spans="1:14" hidden="1" outlineLevel="1" x14ac:dyDescent="0.4">
      <c r="A439" s="2">
        <v>10</v>
      </c>
      <c r="J439" s="6" t="str">
        <f>IFERROR(_xlfn.LET(_xlpm.v,
VLOOKUP($I439,効果!$A:$B,COLUMN(効果!B$1),FALSE),
IF(_xlpm.v=0,"",_xlpm.v)
),"")</f>
        <v/>
      </c>
      <c r="L439" s="15" t="str">
        <f>IF(OR(COUNTIF(クラス!$A$1:$A$1035, $B439),$B439="",COUNTIF(スキル一覧!$A$1:$A$3500, $B439)), "", "存在しない")</f>
        <v/>
      </c>
      <c r="M439" s="2" t="str">
        <f>IF(COUNTIF($B$1:$C438, $B439), "", "存在しない")</f>
        <v>存在しない</v>
      </c>
      <c r="N439" s="2" t="s">
        <v>1196</v>
      </c>
    </row>
    <row r="440" spans="1:14" hidden="1" outlineLevel="1" x14ac:dyDescent="0.4">
      <c r="J440" s="6" t="str">
        <f>IFERROR(_xlfn.LET(_xlpm.v,
VLOOKUP($I440,効果!$A:$B,COLUMN(効果!B$1),FALSE),
IF(_xlpm.v=0,"",_xlpm.v)
),"")</f>
        <v/>
      </c>
      <c r="L440" s="15" t="str">
        <f>IF(OR(COUNTIF(クラス!$A$1:$A$1035, $B440),$B440="",COUNTIF(スキル一覧!$A$1:$A$3500, $B440)), "", "存在しない")</f>
        <v/>
      </c>
      <c r="M440" s="2" t="str">
        <f>IF(COUNTIF($B$1:$C439, $B440), "", "存在しない")</f>
        <v>存在しない</v>
      </c>
      <c r="N440" s="2" t="s">
        <v>1196</v>
      </c>
    </row>
    <row r="441" spans="1:14" collapsed="1" x14ac:dyDescent="0.4">
      <c r="J441" s="6" t="str">
        <f>IFERROR(_xlfn.LET(_xlpm.v,
VLOOKUP($I441,効果!$A:$B,COLUMN(効果!B$1),FALSE),
IF(_xlpm.v=0,"",_xlpm.v)
),"")</f>
        <v/>
      </c>
      <c r="L441" s="15" t="str">
        <f>IF(OR(COUNTIF(クラス!$A$1:$A$1035, $B441),$B441="",COUNTIF(スキル一覧!$A$1:$A$3500, $B441)), "", "存在しない")</f>
        <v/>
      </c>
      <c r="M441" s="2" t="str">
        <f>IF(COUNTIF($B$1:$C440, $B441), "", "存在しない")</f>
        <v>存在しない</v>
      </c>
      <c r="N441" s="2" t="s">
        <v>1196</v>
      </c>
    </row>
    <row r="442" spans="1:14" x14ac:dyDescent="0.4">
      <c r="B442" s="2" t="s">
        <v>208</v>
      </c>
      <c r="J442" s="6" t="str">
        <f>IFERROR(_xlfn.LET(_xlpm.v,
VLOOKUP($I442,効果!$A:$B,COLUMN(効果!B$1),FALSE),
IF(_xlpm.v=0,"",_xlpm.v)
),"")</f>
        <v/>
      </c>
      <c r="L442" s="15" t="str">
        <f>IF(OR(COUNTIF(クラス!$A$1:$A$1035, $B442),$B442="",COUNTIF(スキル一覧!$A$1:$A$3500, $B442)), "", "存在しない")</f>
        <v>存在しない</v>
      </c>
      <c r="M442" s="2" t="str">
        <f>IF(COUNTIF($B$1:$C441, $B442), "", "存在しない")</f>
        <v>存在しない</v>
      </c>
      <c r="N442" s="2" t="s">
        <v>1196</v>
      </c>
    </row>
    <row r="443" spans="1:14" hidden="1" outlineLevel="1" x14ac:dyDescent="0.4">
      <c r="A443" s="2">
        <v>1</v>
      </c>
      <c r="J443" s="6" t="str">
        <f>IFERROR(_xlfn.LET(_xlpm.v,
VLOOKUP($I443,効果!$A:$B,COLUMN(効果!B$1),FALSE),
IF(_xlpm.v=0,"",_xlpm.v)
),"")</f>
        <v/>
      </c>
      <c r="L443" s="15" t="str">
        <f>IF(OR(COUNTIF(クラス!$A$1:$A$1035, $B443),$B443="",COUNTIF(スキル一覧!$A$1:$A$3500, $B443)), "", "存在しない")</f>
        <v/>
      </c>
      <c r="M443" s="2" t="str">
        <f>IF(COUNTIF($B$1:$C442, $B443), "", "存在しない")</f>
        <v>存在しない</v>
      </c>
      <c r="N443" s="2" t="s">
        <v>1196</v>
      </c>
    </row>
    <row r="444" spans="1:14" hidden="1" outlineLevel="1" x14ac:dyDescent="0.4">
      <c r="A444" s="2">
        <v>2</v>
      </c>
      <c r="J444" s="6" t="str">
        <f>IFERROR(_xlfn.LET(_xlpm.v,
VLOOKUP($I444,効果!$A:$B,COLUMN(効果!B$1),FALSE),
IF(_xlpm.v=0,"",_xlpm.v)
),"")</f>
        <v/>
      </c>
      <c r="L444" s="15" t="str">
        <f>IF(OR(COUNTIF(クラス!$A$1:$A$1035, $B444),$B444="",COUNTIF(スキル一覧!$A$1:$A$3500, $B444)), "", "存在しない")</f>
        <v/>
      </c>
      <c r="M444" s="2" t="str">
        <f>IF(COUNTIF($B$1:$C443, $B444), "", "存在しない")</f>
        <v>存在しない</v>
      </c>
      <c r="N444" s="2" t="s">
        <v>1196</v>
      </c>
    </row>
    <row r="445" spans="1:14" hidden="1" outlineLevel="1" x14ac:dyDescent="0.4">
      <c r="A445" s="2">
        <v>3</v>
      </c>
      <c r="J445" s="6" t="str">
        <f>IFERROR(_xlfn.LET(_xlpm.v,
VLOOKUP($I445,効果!$A:$B,COLUMN(効果!B$1),FALSE),
IF(_xlpm.v=0,"",_xlpm.v)
),"")</f>
        <v/>
      </c>
      <c r="L445" s="15" t="str">
        <f>IF(OR(COUNTIF(クラス!$A$1:$A$1035, $B445),$B445="",COUNTIF(スキル一覧!$A$1:$A$3500, $B445)), "", "存在しない")</f>
        <v/>
      </c>
      <c r="M445" s="2" t="str">
        <f>IF(COUNTIF($B$1:$C444, $B445), "", "存在しない")</f>
        <v>存在しない</v>
      </c>
      <c r="N445" s="2" t="s">
        <v>1196</v>
      </c>
    </row>
    <row r="446" spans="1:14" hidden="1" outlineLevel="1" x14ac:dyDescent="0.4">
      <c r="A446" s="2">
        <v>4</v>
      </c>
      <c r="J446" s="6" t="str">
        <f>IFERROR(_xlfn.LET(_xlpm.v,
VLOOKUP($I446,効果!$A:$B,COLUMN(効果!B$1),FALSE),
IF(_xlpm.v=0,"",_xlpm.v)
),"")</f>
        <v/>
      </c>
      <c r="L446" s="15" t="str">
        <f>IF(OR(COUNTIF(クラス!$A$1:$A$1035, $B446),$B446="",COUNTIF(スキル一覧!$A$1:$A$3500, $B446)), "", "存在しない")</f>
        <v/>
      </c>
      <c r="M446" s="2" t="str">
        <f>IF(COUNTIF($B$1:$C445, $B446), "", "存在しない")</f>
        <v>存在しない</v>
      </c>
      <c r="N446" s="2" t="s">
        <v>1196</v>
      </c>
    </row>
    <row r="447" spans="1:14" hidden="1" outlineLevel="1" x14ac:dyDescent="0.4">
      <c r="A447" s="2">
        <v>5</v>
      </c>
      <c r="J447" s="6" t="str">
        <f>IFERROR(_xlfn.LET(_xlpm.v,
VLOOKUP($I447,効果!$A:$B,COLUMN(効果!B$1),FALSE),
IF(_xlpm.v=0,"",_xlpm.v)
),"")</f>
        <v/>
      </c>
      <c r="L447" s="15" t="str">
        <f>IF(OR(COUNTIF(クラス!$A$1:$A$1035, $B447),$B447="",COUNTIF(スキル一覧!$A$1:$A$3500, $B447)), "", "存在しない")</f>
        <v/>
      </c>
      <c r="M447" s="2" t="str">
        <f>IF(COUNTIF($B$1:$C446, $B447), "", "存在しない")</f>
        <v>存在しない</v>
      </c>
      <c r="N447" s="2" t="s">
        <v>1196</v>
      </c>
    </row>
    <row r="448" spans="1:14" hidden="1" outlineLevel="1" x14ac:dyDescent="0.4">
      <c r="A448" s="2">
        <v>6</v>
      </c>
      <c r="J448" s="6" t="str">
        <f>IFERROR(_xlfn.LET(_xlpm.v,
VLOOKUP($I448,効果!$A:$B,COLUMN(効果!B$1),FALSE),
IF(_xlpm.v=0,"",_xlpm.v)
),"")</f>
        <v/>
      </c>
      <c r="L448" s="15" t="str">
        <f>IF(OR(COUNTIF(クラス!$A$1:$A$1035, $B448),$B448="",COUNTIF(スキル一覧!$A$1:$A$3500, $B448)), "", "存在しない")</f>
        <v/>
      </c>
      <c r="M448" s="2" t="str">
        <f>IF(COUNTIF($B$1:$C447, $B448), "", "存在しない")</f>
        <v>存在しない</v>
      </c>
      <c r="N448" s="2" t="s">
        <v>1196</v>
      </c>
    </row>
    <row r="449" spans="1:14" hidden="1" outlineLevel="1" x14ac:dyDescent="0.4">
      <c r="A449" s="2">
        <v>7</v>
      </c>
      <c r="J449" s="6" t="str">
        <f>IFERROR(_xlfn.LET(_xlpm.v,
VLOOKUP($I449,効果!$A:$B,COLUMN(効果!B$1),FALSE),
IF(_xlpm.v=0,"",_xlpm.v)
),"")</f>
        <v/>
      </c>
      <c r="L449" s="15" t="str">
        <f>IF(OR(COUNTIF(クラス!$A$1:$A$1035, $B449),$B449="",COUNTIF(スキル一覧!$A$1:$A$3500, $B449)), "", "存在しない")</f>
        <v/>
      </c>
      <c r="M449" s="2" t="str">
        <f>IF(COUNTIF($B$1:$C448, $B449), "", "存在しない")</f>
        <v>存在しない</v>
      </c>
      <c r="N449" s="2" t="s">
        <v>1196</v>
      </c>
    </row>
    <row r="450" spans="1:14" hidden="1" outlineLevel="1" x14ac:dyDescent="0.4">
      <c r="A450" s="2">
        <v>8</v>
      </c>
      <c r="J450" s="6" t="str">
        <f>IFERROR(_xlfn.LET(_xlpm.v,
VLOOKUP($I450,効果!$A:$B,COLUMN(効果!B$1),FALSE),
IF(_xlpm.v=0,"",_xlpm.v)
),"")</f>
        <v/>
      </c>
      <c r="L450" s="15" t="str">
        <f>IF(OR(COUNTIF(クラス!$A$1:$A$1035, $B450),$B450="",COUNTIF(スキル一覧!$A$1:$A$3500, $B450)), "", "存在しない")</f>
        <v/>
      </c>
      <c r="M450" s="2" t="str">
        <f>IF(COUNTIF($B$1:$C449, $B450), "", "存在しない")</f>
        <v>存在しない</v>
      </c>
      <c r="N450" s="2" t="s">
        <v>1196</v>
      </c>
    </row>
    <row r="451" spans="1:14" hidden="1" outlineLevel="1" x14ac:dyDescent="0.4">
      <c r="A451" s="2">
        <v>9</v>
      </c>
      <c r="J451" s="6" t="str">
        <f>IFERROR(_xlfn.LET(_xlpm.v,
VLOOKUP($I451,効果!$A:$B,COLUMN(効果!B$1),FALSE),
IF(_xlpm.v=0,"",_xlpm.v)
),"")</f>
        <v/>
      </c>
      <c r="L451" s="15" t="str">
        <f>IF(OR(COUNTIF(クラス!$A$1:$A$1035, $B451),$B451="",COUNTIF(スキル一覧!$A$1:$A$3500, $B451)), "", "存在しない")</f>
        <v/>
      </c>
      <c r="M451" s="2" t="str">
        <f>IF(COUNTIF($B$1:$C450, $B451), "", "存在しない")</f>
        <v>存在しない</v>
      </c>
      <c r="N451" s="2" t="s">
        <v>1196</v>
      </c>
    </row>
    <row r="452" spans="1:14" hidden="1" outlineLevel="1" x14ac:dyDescent="0.4">
      <c r="A452" s="2">
        <v>10</v>
      </c>
      <c r="J452" s="6" t="str">
        <f>IFERROR(_xlfn.LET(_xlpm.v,
VLOOKUP($I452,効果!$A:$B,COLUMN(効果!B$1),FALSE),
IF(_xlpm.v=0,"",_xlpm.v)
),"")</f>
        <v/>
      </c>
      <c r="L452" s="15" t="str">
        <f>IF(OR(COUNTIF(クラス!$A$1:$A$1035, $B452),$B452="",COUNTIF(スキル一覧!$A$1:$A$3500, $B452)), "", "存在しない")</f>
        <v/>
      </c>
      <c r="M452" s="2" t="str">
        <f>IF(COUNTIF($B$1:$C451, $B452), "", "存在しない")</f>
        <v>存在しない</v>
      </c>
      <c r="N452" s="2" t="s">
        <v>1196</v>
      </c>
    </row>
    <row r="453" spans="1:14" hidden="1" outlineLevel="1" x14ac:dyDescent="0.4">
      <c r="J453" s="6" t="str">
        <f>IFERROR(_xlfn.LET(_xlpm.v,
VLOOKUP($I453,効果!$A:$B,COLUMN(効果!B$1),FALSE),
IF(_xlpm.v=0,"",_xlpm.v)
),"")</f>
        <v/>
      </c>
      <c r="L453" s="15" t="str">
        <f>IF(OR(COUNTIF(クラス!$A$1:$A$1035, $B453),$B453="",COUNTIF(スキル一覧!$A$1:$A$3500, $B453)), "", "存在しない")</f>
        <v/>
      </c>
      <c r="M453" s="2" t="str">
        <f>IF(COUNTIF($B$1:$C452, $B453), "", "存在しない")</f>
        <v>存在しない</v>
      </c>
      <c r="N453" s="2" t="s">
        <v>1196</v>
      </c>
    </row>
    <row r="454" spans="1:14" collapsed="1" x14ac:dyDescent="0.4">
      <c r="J454" s="6" t="str">
        <f>IFERROR(_xlfn.LET(_xlpm.v,
VLOOKUP($I454,効果!$A:$B,COLUMN(効果!B$1),FALSE),
IF(_xlpm.v=0,"",_xlpm.v)
),"")</f>
        <v/>
      </c>
      <c r="L454" s="15" t="str">
        <f>IF(OR(COUNTIF(クラス!$A$1:$A$1035, $B454),$B454="",COUNTIF(スキル一覧!$A$1:$A$3500, $B454)), "", "存在しない")</f>
        <v/>
      </c>
      <c r="M454" s="2" t="str">
        <f>IF(COUNTIF($B$1:$C453, $B454), "", "存在しない")</f>
        <v>存在しない</v>
      </c>
      <c r="N454" s="2" t="s">
        <v>1196</v>
      </c>
    </row>
    <row r="455" spans="1:14" x14ac:dyDescent="0.4">
      <c r="J455" s="6" t="str">
        <f>IFERROR(_xlfn.LET(_xlpm.v,
VLOOKUP($I455,効果!$A:$B,COLUMN(効果!B$1),FALSE),
IF(_xlpm.v=0,"",_xlpm.v)
),"")</f>
        <v/>
      </c>
      <c r="L455" s="15" t="str">
        <f>IF(OR(COUNTIF(クラス!$A$1:$A$1035, $B455),$B455="",COUNTIF(スキル一覧!$A$1:$A$3500, $B455)), "", "存在しない")</f>
        <v/>
      </c>
      <c r="M455" s="2" t="str">
        <f>IF(COUNTIF($B$1:$C454, $B455), "", "存在しない")</f>
        <v>存在しない</v>
      </c>
      <c r="N455" s="2" t="s">
        <v>1196</v>
      </c>
    </row>
    <row r="456" spans="1:14" x14ac:dyDescent="0.4">
      <c r="J456" s="6" t="str">
        <f>IFERROR(_xlfn.LET(_xlpm.v,
VLOOKUP($I456,効果!$A:$B,COLUMN(効果!B$1),FALSE),
IF(_xlpm.v=0,"",_xlpm.v)
),"")</f>
        <v/>
      </c>
      <c r="L456" s="15" t="str">
        <f>IF(OR(COUNTIF(クラス!$A$1:$A$1035, $B456),$B456="",COUNTIF(スキル一覧!$A$1:$A$3500, $B456)), "", "存在しない")</f>
        <v/>
      </c>
      <c r="M456" s="2" t="str">
        <f>IF(COUNTIF($B$1:$C455, $B456), "", "存在しない")</f>
        <v>存在しない</v>
      </c>
      <c r="N456" s="2" t="s">
        <v>1196</v>
      </c>
    </row>
    <row r="457" spans="1:14" x14ac:dyDescent="0.4">
      <c r="J457" s="6" t="str">
        <f>IFERROR(_xlfn.LET(_xlpm.v,
VLOOKUP($I457,効果!$A:$B,COLUMN(効果!B$1),FALSE),
IF(_xlpm.v=0,"",_xlpm.v)
),"")</f>
        <v/>
      </c>
      <c r="L457" s="15" t="str">
        <f>IF(OR(COUNTIF(クラス!$A$1:$A$1035, $B457),$B457="",COUNTIF(スキル一覧!$A$1:$A$3500, $B457)), "", "存在しない")</f>
        <v/>
      </c>
      <c r="M457" s="2" t="str">
        <f>IF(COUNTIF($B$1:$C456, $B457), "", "存在しない")</f>
        <v>存在しない</v>
      </c>
      <c r="N457" s="2" t="s">
        <v>1196</v>
      </c>
    </row>
    <row r="458" spans="1:14" x14ac:dyDescent="0.4">
      <c r="J458" s="6" t="str">
        <f>IFERROR(_xlfn.LET(_xlpm.v,
VLOOKUP($I458,効果!$A:$B,COLUMN(効果!B$1),FALSE),
IF(_xlpm.v=0,"",_xlpm.v)
),"")</f>
        <v/>
      </c>
      <c r="L458" s="15" t="str">
        <f>IF(OR(COUNTIF(クラス!$A$1:$A$1035, $B458),$B458="",COUNTIF(スキル一覧!$A$1:$A$3500, $B458)), "", "存在しない")</f>
        <v/>
      </c>
      <c r="M458" s="2" t="str">
        <f>IF(COUNTIF($B$1:$C457, $B458), "", "存在しない")</f>
        <v>存在しない</v>
      </c>
      <c r="N458" s="2" t="s">
        <v>1196</v>
      </c>
    </row>
    <row r="459" spans="1:14" x14ac:dyDescent="0.4">
      <c r="J459" s="6" t="str">
        <f>IFERROR(_xlfn.LET(_xlpm.v,
VLOOKUP($I459,効果!$A:$B,COLUMN(効果!B$1),FALSE),
IF(_xlpm.v=0,"",_xlpm.v)
),"")</f>
        <v/>
      </c>
      <c r="L459" s="15" t="str">
        <f>IF(OR(COUNTIF(クラス!$A$1:$A$1035, $B459),$B459="",COUNTIF(スキル一覧!$A$1:$A$3500, $B459)), "", "存在しない")</f>
        <v/>
      </c>
      <c r="M459" s="2" t="str">
        <f>IF(COUNTIF($B$1:$C458, $B459), "", "存在しない")</f>
        <v>存在しない</v>
      </c>
      <c r="N459" s="2" t="s">
        <v>1196</v>
      </c>
    </row>
    <row r="460" spans="1:14" x14ac:dyDescent="0.4">
      <c r="B460" s="2" t="s">
        <v>68</v>
      </c>
      <c r="D460" s="2" t="s">
        <v>147</v>
      </c>
      <c r="J460" s="6" t="str">
        <f>IFERROR(_xlfn.LET(_xlpm.v,
VLOOKUP($I460,効果!$A:$B,COLUMN(効果!B$1),FALSE),
IF(_xlpm.v=0,"",_xlpm.v)
),"")</f>
        <v/>
      </c>
      <c r="L460" s="15" t="str">
        <f>IF(OR(COUNTIF(クラス!$A$1:$A$1035, $B460),$B460="",COUNTIF(スキル一覧!$A$1:$A$3500, $B460)), "", "存在しない")</f>
        <v/>
      </c>
      <c r="M460" s="2" t="str">
        <f>IF(COUNTIF($B$1:$C459, $B460), "", "存在しない")</f>
        <v>存在しない</v>
      </c>
      <c r="N460" s="2" t="s">
        <v>1196</v>
      </c>
    </row>
    <row r="461" spans="1:14" ht="36" hidden="1" outlineLevel="1" x14ac:dyDescent="0.4">
      <c r="A461" s="2">
        <v>1</v>
      </c>
      <c r="B461" s="2" t="str">
        <f>D460&amp;"の拳"</f>
        <v>炎の拳</v>
      </c>
      <c r="D461" s="2" t="str">
        <f>D460</f>
        <v>炎</v>
      </c>
      <c r="E461" s="13" t="s">
        <v>128</v>
      </c>
      <c r="G461" s="19">
        <v>60</v>
      </c>
      <c r="H461" s="10" t="str">
        <f>"攻撃手段:素手 物理+15 "&amp;D460&amp;"+25 判定:攻撃"</f>
        <v>攻撃手段:素手 物理+15 炎+25 判定:攻撃</v>
      </c>
      <c r="J461" s="6" t="str">
        <f>IFERROR(_xlfn.LET(_xlpm.v,
VLOOKUP($I461,効果!$A:$B,COLUMN(効果!B$1),FALSE),
IF(_xlpm.v=0,"",_xlpm.v)
),"")</f>
        <v/>
      </c>
      <c r="L461" s="15" t="str">
        <f>IF(OR(COUNTIF(クラス!$A$1:$A$1035, $B461),$B461="",COUNTIF(スキル一覧!$A$1:$A$3500, $B461)), "", "存在しない")</f>
        <v/>
      </c>
      <c r="M461" s="2" t="str">
        <f>IF(COUNTIF($B$1:$C460, $B461), "", "存在しない")</f>
        <v>存在しない</v>
      </c>
      <c r="N461" s="2" t="s">
        <v>1196</v>
      </c>
    </row>
    <row r="462" spans="1:14" hidden="1" outlineLevel="1" x14ac:dyDescent="0.4">
      <c r="A462" s="2">
        <v>2</v>
      </c>
      <c r="J462" s="6" t="str">
        <f>IFERROR(_xlfn.LET(_xlpm.v,
VLOOKUP($I462,効果!$A:$B,COLUMN(効果!B$1),FALSE),
IF(_xlpm.v=0,"",_xlpm.v)
),"")</f>
        <v/>
      </c>
      <c r="L462" s="15" t="str">
        <f>IF(OR(COUNTIF(クラス!$A$1:$A$1035, $B462),$B462="",COUNTIF(スキル一覧!$A$1:$A$3500, $B462)), "", "存在しない")</f>
        <v/>
      </c>
      <c r="M462" s="2" t="str">
        <f>IF(COUNTIF($B$1:$C461, $B462), "", "存在しない")</f>
        <v>存在しない</v>
      </c>
      <c r="N462" s="2" t="s">
        <v>1196</v>
      </c>
    </row>
    <row r="463" spans="1:14" hidden="1" outlineLevel="1" x14ac:dyDescent="0.4">
      <c r="A463" s="2">
        <v>3</v>
      </c>
      <c r="B463" s="2" t="s">
        <v>278</v>
      </c>
      <c r="E463" s="13" t="s">
        <v>129</v>
      </c>
      <c r="H463" s="10" t="s">
        <v>279</v>
      </c>
      <c r="J463" s="6" t="str">
        <f>IFERROR(_xlfn.LET(_xlpm.v,
VLOOKUP($I463,効果!$A:$B,COLUMN(効果!B$1),FALSE),
IF(_xlpm.v=0,"",_xlpm.v)
),"")</f>
        <v/>
      </c>
      <c r="L463" s="15" t="str">
        <f>IF(OR(COUNTIF(クラス!$A$1:$A$1035, $B463),$B463="",COUNTIF(スキル一覧!$A$1:$A$3500, $B463)), "", "存在しない")</f>
        <v/>
      </c>
      <c r="M463" s="2" t="str">
        <f>IF(COUNTIF($B$1:$C462, $B463), "", "存在しない")</f>
        <v>存在しない</v>
      </c>
      <c r="N463" s="2" t="s">
        <v>1196</v>
      </c>
    </row>
    <row r="464" spans="1:14" hidden="1" outlineLevel="1" x14ac:dyDescent="0.4">
      <c r="A464" s="2">
        <v>4</v>
      </c>
      <c r="J464" s="6" t="str">
        <f>IFERROR(_xlfn.LET(_xlpm.v,
VLOOKUP($I464,効果!$A:$B,COLUMN(効果!B$1),FALSE),
IF(_xlpm.v=0,"",_xlpm.v)
),"")</f>
        <v/>
      </c>
      <c r="L464" s="15" t="str">
        <f>IF(OR(COUNTIF(クラス!$A$1:$A$1035, $B464),$B464="",COUNTIF(スキル一覧!$A$1:$A$3500, $B464)), "", "存在しない")</f>
        <v/>
      </c>
      <c r="M464" s="2" t="str">
        <f>IF(COUNTIF($B$1:$C463, $B464), "", "存在しない")</f>
        <v>存在しない</v>
      </c>
      <c r="N464" s="2" t="s">
        <v>1196</v>
      </c>
    </row>
    <row r="465" spans="1:14" hidden="1" outlineLevel="1" x14ac:dyDescent="0.4">
      <c r="A465" s="2">
        <v>5</v>
      </c>
      <c r="J465" s="6" t="str">
        <f>IFERROR(_xlfn.LET(_xlpm.v,
VLOOKUP($I465,効果!$A:$B,COLUMN(効果!B$1),FALSE),
IF(_xlpm.v=0,"",_xlpm.v)
),"")</f>
        <v/>
      </c>
      <c r="L465" s="15" t="str">
        <f>IF(OR(COUNTIF(クラス!$A$1:$A$1035, $B465),$B465="",COUNTIF(スキル一覧!$A$1:$A$3500, $B465)), "", "存在しない")</f>
        <v/>
      </c>
      <c r="M465" s="2" t="str">
        <f>IF(COUNTIF($B$1:$C464, $B465), "", "存在しない")</f>
        <v>存在しない</v>
      </c>
      <c r="N465" s="2" t="s">
        <v>1196</v>
      </c>
    </row>
    <row r="466" spans="1:14" hidden="1" outlineLevel="1" x14ac:dyDescent="0.4">
      <c r="A466" s="2">
        <v>6</v>
      </c>
      <c r="B466" s="2" t="str">
        <f>D460&amp;"の魔力"</f>
        <v>炎の魔力</v>
      </c>
      <c r="E466" s="13" t="s">
        <v>129</v>
      </c>
      <c r="H466" s="10" t="str">
        <f>"条件系統:"&amp;D460&amp;" 魔力+30"</f>
        <v>条件系統:炎 魔力+30</v>
      </c>
      <c r="J466" s="6" t="str">
        <f>IFERROR(_xlfn.LET(_xlpm.v,
VLOOKUP($I466,効果!$A:$B,COLUMN(効果!B$1),FALSE),
IF(_xlpm.v=0,"",_xlpm.v)
),"")</f>
        <v/>
      </c>
      <c r="L466" s="15" t="str">
        <f>IF(OR(COUNTIF(クラス!$A$1:$A$1035, $B466),$B466="",COUNTIF(スキル一覧!$A$1:$A$3500, $B466)), "", "存在しない")</f>
        <v/>
      </c>
      <c r="M466" s="2" t="str">
        <f>IF(COUNTIF($B$1:$C465, $B466), "", "存在しない")</f>
        <v>存在しない</v>
      </c>
      <c r="N466" s="2" t="s">
        <v>1196</v>
      </c>
    </row>
    <row r="467" spans="1:14" hidden="1" outlineLevel="1" x14ac:dyDescent="0.4">
      <c r="A467" s="2">
        <v>7</v>
      </c>
      <c r="J467" s="6" t="str">
        <f>IFERROR(_xlfn.LET(_xlpm.v,
VLOOKUP($I467,効果!$A:$B,COLUMN(効果!B$1),FALSE),
IF(_xlpm.v=0,"",_xlpm.v)
),"")</f>
        <v/>
      </c>
      <c r="L467" s="15" t="str">
        <f>IF(OR(COUNTIF(クラス!$A$1:$A$1035, $B467),$B467="",COUNTIF(スキル一覧!$A$1:$A$3500, $B467)), "", "存在しない")</f>
        <v/>
      </c>
      <c r="M467" s="2" t="str">
        <f>IF(COUNTIF($B$1:$C466, $B467), "", "存在しない")</f>
        <v>存在しない</v>
      </c>
      <c r="N467" s="2" t="s">
        <v>1196</v>
      </c>
    </row>
    <row r="468" spans="1:14" hidden="1" outlineLevel="1" x14ac:dyDescent="0.4">
      <c r="A468" s="2">
        <v>8</v>
      </c>
      <c r="J468" s="6" t="str">
        <f>IFERROR(_xlfn.LET(_xlpm.v,
VLOOKUP($I468,効果!$A:$B,COLUMN(効果!B$1),FALSE),
IF(_xlpm.v=0,"",_xlpm.v)
),"")</f>
        <v/>
      </c>
      <c r="L468" s="15" t="str">
        <f>IF(OR(COUNTIF(クラス!$A$1:$A$1035, $B468),$B468="",COUNTIF(スキル一覧!$A$1:$A$3500, $B468)), "", "存在しない")</f>
        <v/>
      </c>
      <c r="M468" s="2" t="str">
        <f>IF(COUNTIF($B$1:$C467, $B468), "", "存在しない")</f>
        <v>存在しない</v>
      </c>
      <c r="N468" s="2" t="s">
        <v>1196</v>
      </c>
    </row>
    <row r="469" spans="1:14" hidden="1" outlineLevel="1" x14ac:dyDescent="0.4">
      <c r="A469" s="2">
        <v>9</v>
      </c>
      <c r="B469" s="2" t="str">
        <f>D460&amp;"の力"</f>
        <v>炎の力</v>
      </c>
      <c r="E469" s="13" t="s">
        <v>129</v>
      </c>
      <c r="H469" s="10" t="str">
        <f>"条件系統:"&amp;D460&amp;" 攻撃+30"</f>
        <v>条件系統:炎 攻撃+30</v>
      </c>
      <c r="J469" s="6" t="str">
        <f>IFERROR(_xlfn.LET(_xlpm.v,
VLOOKUP($I469,効果!$A:$B,COLUMN(効果!B$1),FALSE),
IF(_xlpm.v=0,"",_xlpm.v)
),"")</f>
        <v/>
      </c>
      <c r="L469" s="15" t="str">
        <f>IF(OR(COUNTIF(クラス!$A$1:$A$1035, $B469),$B469="",COUNTIF(スキル一覧!$A$1:$A$3500, $B469)), "", "存在しない")</f>
        <v/>
      </c>
      <c r="M469" s="2" t="str">
        <f>IF(COUNTIF($B$1:$C468, $B469), "", "存在しない")</f>
        <v>存在しない</v>
      </c>
      <c r="N469" s="2" t="s">
        <v>1196</v>
      </c>
    </row>
    <row r="470" spans="1:14" ht="36" hidden="1" outlineLevel="1" x14ac:dyDescent="0.4">
      <c r="A470" s="2">
        <v>10</v>
      </c>
      <c r="B470" s="2" t="str">
        <f>D460&amp;"の吐息"</f>
        <v>炎の吐息</v>
      </c>
      <c r="D470" s="2" t="str">
        <f>D460</f>
        <v>炎</v>
      </c>
      <c r="E470" s="13" t="s">
        <v>128</v>
      </c>
      <c r="G470" s="19">
        <v>80</v>
      </c>
      <c r="H470" s="10" t="str">
        <f>"攻撃手段:吐息 "&amp;D460&amp;"+45 射程:20 範囲:放射"</f>
        <v>攻撃手段:吐息 炎+45 射程:20 範囲:放射</v>
      </c>
      <c r="J470" s="6" t="str">
        <f>IFERROR(_xlfn.LET(_xlpm.v,
VLOOKUP($I470,効果!$A:$B,COLUMN(効果!B$1),FALSE),
IF(_xlpm.v=0,"",_xlpm.v)
),"")</f>
        <v/>
      </c>
      <c r="L470" s="15" t="str">
        <f>IF(OR(COUNTIF(クラス!$A$1:$A$1035, $B470),$B470="",COUNTIF(スキル一覧!$A$1:$A$3500, $B470)), "", "存在しない")</f>
        <v/>
      </c>
      <c r="M470" s="2" t="str">
        <f>IF(COUNTIF($B$1:$C469, $B470), "", "存在しない")</f>
        <v>存在しない</v>
      </c>
      <c r="N470" s="2" t="s">
        <v>1196</v>
      </c>
    </row>
    <row r="471" spans="1:14" hidden="1" outlineLevel="1" x14ac:dyDescent="0.4">
      <c r="J471" s="6" t="str">
        <f>IFERROR(_xlfn.LET(_xlpm.v,
VLOOKUP($I471,効果!$A:$B,COLUMN(効果!B$1),FALSE),
IF(_xlpm.v=0,"",_xlpm.v)
),"")</f>
        <v/>
      </c>
      <c r="L471" s="15" t="str">
        <f>IF(OR(COUNTIF(クラス!$A$1:$A$1035, $B471),$B471="",COUNTIF(スキル一覧!$A$1:$A$3500, $B471)), "", "存在しない")</f>
        <v/>
      </c>
      <c r="M471" s="2" t="str">
        <f>IF(COUNTIF($B$1:$C470, $B471), "", "存在しない")</f>
        <v>存在しない</v>
      </c>
      <c r="N471" s="2" t="s">
        <v>1196</v>
      </c>
    </row>
    <row r="472" spans="1:14" collapsed="1" x14ac:dyDescent="0.4">
      <c r="J472" s="6" t="str">
        <f>IFERROR(_xlfn.LET(_xlpm.v,
VLOOKUP($I472,効果!$A:$B,COLUMN(効果!B$1),FALSE),
IF(_xlpm.v=0,"",_xlpm.v)
),"")</f>
        <v/>
      </c>
      <c r="L472" s="15" t="str">
        <f>IF(OR(COUNTIF(クラス!$A$1:$A$1035, $B472),$B472="",COUNTIF(スキル一覧!$A$1:$A$3500, $B472)), "", "存在しない")</f>
        <v/>
      </c>
      <c r="M472" s="2" t="str">
        <f>IF(COUNTIF($B$1:$C471, $B472), "", "存在しない")</f>
        <v>存在しない</v>
      </c>
      <c r="N472" s="2" t="s">
        <v>1196</v>
      </c>
    </row>
    <row r="473" spans="1:14" x14ac:dyDescent="0.4">
      <c r="B473" s="2" t="s">
        <v>70</v>
      </c>
      <c r="D473" s="2" t="s">
        <v>148</v>
      </c>
      <c r="J473" s="6" t="str">
        <f>IFERROR(_xlfn.LET(_xlpm.v,
VLOOKUP($I473,効果!$A:$B,COLUMN(効果!B$1),FALSE),
IF(_xlpm.v=0,"",_xlpm.v)
),"")</f>
        <v/>
      </c>
      <c r="L473" s="15" t="str">
        <f>IF(OR(COUNTIF(クラス!$A$1:$A$1035, $B473),$B473="",COUNTIF(スキル一覧!$A$1:$A$3500, $B473)), "", "存在しない")</f>
        <v/>
      </c>
      <c r="M473" s="2" t="str">
        <f>IF(COUNTIF($B$1:$C472, $B473), "", "存在しない")</f>
        <v>存在しない</v>
      </c>
      <c r="N473" s="2" t="s">
        <v>1196</v>
      </c>
    </row>
    <row r="474" spans="1:14" ht="36" hidden="1" outlineLevel="1" x14ac:dyDescent="0.4">
      <c r="A474" s="2">
        <v>1</v>
      </c>
      <c r="B474" s="2" t="str">
        <f>D473&amp;"の拳"</f>
        <v>氷の拳</v>
      </c>
      <c r="D474" s="2" t="str">
        <f>D473</f>
        <v>氷</v>
      </c>
      <c r="E474" s="13" t="s">
        <v>128</v>
      </c>
      <c r="G474" s="19">
        <v>60</v>
      </c>
      <c r="H474" s="10" t="str">
        <f>"攻撃手段:素手 物理+15 "&amp;D473&amp;"+25 判定:攻撃"</f>
        <v>攻撃手段:素手 物理+15 氷+25 判定:攻撃</v>
      </c>
      <c r="J474" s="6" t="str">
        <f>IFERROR(_xlfn.LET(_xlpm.v,
VLOOKUP($I474,効果!$A:$B,COLUMN(効果!B$1),FALSE),
IF(_xlpm.v=0,"",_xlpm.v)
),"")</f>
        <v/>
      </c>
      <c r="L474" s="15" t="str">
        <f>IF(OR(COUNTIF(クラス!$A$1:$A$1035, $B474),$B474="",COUNTIF(スキル一覧!$A$1:$A$3500, $B474)), "", "存在しない")</f>
        <v/>
      </c>
      <c r="M474" s="2" t="str">
        <f>IF(COUNTIF($B$1:$C473, $B474), "", "存在しない")</f>
        <v>存在しない</v>
      </c>
      <c r="N474" s="2" t="s">
        <v>1196</v>
      </c>
    </row>
    <row r="475" spans="1:14" hidden="1" outlineLevel="1" x14ac:dyDescent="0.4">
      <c r="A475" s="2">
        <v>2</v>
      </c>
      <c r="J475" s="6" t="str">
        <f>IFERROR(_xlfn.LET(_xlpm.v,
VLOOKUP($I475,効果!$A:$B,COLUMN(効果!B$1),FALSE),
IF(_xlpm.v=0,"",_xlpm.v)
),"")</f>
        <v/>
      </c>
      <c r="L475" s="15" t="str">
        <f>IF(OR(COUNTIF(クラス!$A$1:$A$1035, $B475),$B475="",COUNTIF(スキル一覧!$A$1:$A$3500, $B475)), "", "存在しない")</f>
        <v/>
      </c>
      <c r="M475" s="2" t="str">
        <f>IF(COUNTIF($B$1:$C474, $B475), "", "存在しない")</f>
        <v>存在しない</v>
      </c>
      <c r="N475" s="2" t="s">
        <v>1196</v>
      </c>
    </row>
    <row r="476" spans="1:14" hidden="1" outlineLevel="1" x14ac:dyDescent="0.4">
      <c r="A476" s="2">
        <v>3</v>
      </c>
      <c r="B476" s="2" t="s">
        <v>278</v>
      </c>
      <c r="E476" s="13" t="s">
        <v>129</v>
      </c>
      <c r="H476" s="10" t="s">
        <v>279</v>
      </c>
      <c r="J476" s="6" t="str">
        <f>IFERROR(_xlfn.LET(_xlpm.v,
VLOOKUP($I476,効果!$A:$B,COLUMN(効果!B$1),FALSE),
IF(_xlpm.v=0,"",_xlpm.v)
),"")</f>
        <v/>
      </c>
      <c r="L476" s="15" t="str">
        <f>IF(OR(COUNTIF(クラス!$A$1:$A$1035, $B476),$B476="",COUNTIF(スキル一覧!$A$1:$A$3500, $B476)), "", "存在しない")</f>
        <v/>
      </c>
      <c r="M476" s="2" t="str">
        <f>IF(COUNTIF($B$1:$C475, $B476), "", "存在しない")</f>
        <v/>
      </c>
      <c r="N476" s="2" t="s">
        <v>1196</v>
      </c>
    </row>
    <row r="477" spans="1:14" hidden="1" outlineLevel="1" x14ac:dyDescent="0.4">
      <c r="A477" s="2">
        <v>4</v>
      </c>
      <c r="J477" s="6" t="str">
        <f>IFERROR(_xlfn.LET(_xlpm.v,
VLOOKUP($I477,効果!$A:$B,COLUMN(効果!B$1),FALSE),
IF(_xlpm.v=0,"",_xlpm.v)
),"")</f>
        <v/>
      </c>
      <c r="L477" s="15" t="str">
        <f>IF(OR(COUNTIF(クラス!$A$1:$A$1035, $B477),$B477="",COUNTIF(スキル一覧!$A$1:$A$3500, $B477)), "", "存在しない")</f>
        <v/>
      </c>
      <c r="M477" s="2" t="str">
        <f>IF(COUNTIF($B$1:$C476, $B477), "", "存在しない")</f>
        <v>存在しない</v>
      </c>
      <c r="N477" s="2" t="s">
        <v>1196</v>
      </c>
    </row>
    <row r="478" spans="1:14" hidden="1" outlineLevel="1" x14ac:dyDescent="0.4">
      <c r="A478" s="2">
        <v>5</v>
      </c>
      <c r="J478" s="6" t="str">
        <f>IFERROR(_xlfn.LET(_xlpm.v,
VLOOKUP($I478,効果!$A:$B,COLUMN(効果!B$1),FALSE),
IF(_xlpm.v=0,"",_xlpm.v)
),"")</f>
        <v/>
      </c>
      <c r="L478" s="15" t="str">
        <f>IF(OR(COUNTIF(クラス!$A$1:$A$1035, $B478),$B478="",COUNTIF(スキル一覧!$A$1:$A$3500, $B478)), "", "存在しない")</f>
        <v/>
      </c>
      <c r="M478" s="2" t="str">
        <f>IF(COUNTIF($B$1:$C477, $B478), "", "存在しない")</f>
        <v>存在しない</v>
      </c>
      <c r="N478" s="2" t="s">
        <v>1196</v>
      </c>
    </row>
    <row r="479" spans="1:14" hidden="1" outlineLevel="1" x14ac:dyDescent="0.4">
      <c r="A479" s="2">
        <v>6</v>
      </c>
      <c r="B479" s="2" t="str">
        <f>D473&amp;"の魔力"</f>
        <v>氷の魔力</v>
      </c>
      <c r="E479" s="13" t="s">
        <v>129</v>
      </c>
      <c r="H479" s="10" t="str">
        <f>"条件系統:"&amp;D473&amp;" 魔力+30"</f>
        <v>条件系統:氷 魔力+30</v>
      </c>
      <c r="J479" s="6" t="str">
        <f>IFERROR(_xlfn.LET(_xlpm.v,
VLOOKUP($I479,効果!$A:$B,COLUMN(効果!B$1),FALSE),
IF(_xlpm.v=0,"",_xlpm.v)
),"")</f>
        <v/>
      </c>
      <c r="L479" s="15" t="str">
        <f>IF(OR(COUNTIF(クラス!$A$1:$A$1035, $B479),$B479="",COUNTIF(スキル一覧!$A$1:$A$3500, $B479)), "", "存在しない")</f>
        <v/>
      </c>
      <c r="M479" s="2" t="str">
        <f>IF(COUNTIF($B$1:$C478, $B479), "", "存在しない")</f>
        <v>存在しない</v>
      </c>
      <c r="N479" s="2" t="s">
        <v>1196</v>
      </c>
    </row>
    <row r="480" spans="1:14" hidden="1" outlineLevel="1" x14ac:dyDescent="0.4">
      <c r="A480" s="2">
        <v>7</v>
      </c>
      <c r="J480" s="6" t="str">
        <f>IFERROR(_xlfn.LET(_xlpm.v,
VLOOKUP($I480,効果!$A:$B,COLUMN(効果!B$1),FALSE),
IF(_xlpm.v=0,"",_xlpm.v)
),"")</f>
        <v/>
      </c>
      <c r="L480" s="15" t="str">
        <f>IF(OR(COUNTIF(クラス!$A$1:$A$1035, $B480),$B480="",COUNTIF(スキル一覧!$A$1:$A$3500, $B480)), "", "存在しない")</f>
        <v/>
      </c>
      <c r="M480" s="2" t="str">
        <f>IF(COUNTIF($B$1:$C479, $B480), "", "存在しない")</f>
        <v>存在しない</v>
      </c>
      <c r="N480" s="2" t="s">
        <v>1196</v>
      </c>
    </row>
    <row r="481" spans="1:14" hidden="1" outlineLevel="1" x14ac:dyDescent="0.4">
      <c r="A481" s="2">
        <v>8</v>
      </c>
      <c r="J481" s="6" t="str">
        <f>IFERROR(_xlfn.LET(_xlpm.v,
VLOOKUP($I481,効果!$A:$B,COLUMN(効果!B$1),FALSE),
IF(_xlpm.v=0,"",_xlpm.v)
),"")</f>
        <v/>
      </c>
      <c r="L481" s="15" t="str">
        <f>IF(OR(COUNTIF(クラス!$A$1:$A$1035, $B481),$B481="",COUNTIF(スキル一覧!$A$1:$A$3500, $B481)), "", "存在しない")</f>
        <v/>
      </c>
      <c r="M481" s="2" t="str">
        <f>IF(COUNTIF($B$1:$C480, $B481), "", "存在しない")</f>
        <v>存在しない</v>
      </c>
      <c r="N481" s="2" t="s">
        <v>1196</v>
      </c>
    </row>
    <row r="482" spans="1:14" hidden="1" outlineLevel="1" x14ac:dyDescent="0.4">
      <c r="A482" s="2">
        <v>9</v>
      </c>
      <c r="B482" s="2" t="str">
        <f>D473&amp;"の力"</f>
        <v>氷の力</v>
      </c>
      <c r="E482" s="13" t="s">
        <v>129</v>
      </c>
      <c r="H482" s="10" t="str">
        <f>"条件系統:"&amp;D473&amp;" 攻撃+30"</f>
        <v>条件系統:氷 攻撃+30</v>
      </c>
      <c r="J482" s="6" t="str">
        <f>IFERROR(_xlfn.LET(_xlpm.v,
VLOOKUP($I482,効果!$A:$B,COLUMN(効果!B$1),FALSE),
IF(_xlpm.v=0,"",_xlpm.v)
),"")</f>
        <v/>
      </c>
      <c r="L482" s="15" t="str">
        <f>IF(OR(COUNTIF(クラス!$A$1:$A$1035, $B482),$B482="",COUNTIF(スキル一覧!$A$1:$A$3500, $B482)), "", "存在しない")</f>
        <v/>
      </c>
      <c r="M482" s="2" t="str">
        <f>IF(COUNTIF($B$1:$C481, $B482), "", "存在しない")</f>
        <v>存在しない</v>
      </c>
      <c r="N482" s="2" t="s">
        <v>1196</v>
      </c>
    </row>
    <row r="483" spans="1:14" ht="36" hidden="1" outlineLevel="1" x14ac:dyDescent="0.4">
      <c r="A483" s="2">
        <v>10</v>
      </c>
      <c r="B483" s="2" t="str">
        <f>D473&amp;"の吐息"</f>
        <v>氷の吐息</v>
      </c>
      <c r="D483" s="2" t="str">
        <f>D473</f>
        <v>氷</v>
      </c>
      <c r="E483" s="13" t="s">
        <v>128</v>
      </c>
      <c r="G483" s="19">
        <v>80</v>
      </c>
      <c r="H483" s="10" t="str">
        <f>"攻撃手段:吐息 "&amp;D473&amp;"+45 射程:20 範囲:放射"</f>
        <v>攻撃手段:吐息 氷+45 射程:20 範囲:放射</v>
      </c>
      <c r="J483" s="6" t="str">
        <f>IFERROR(_xlfn.LET(_xlpm.v,
VLOOKUP($I483,効果!$A:$B,COLUMN(効果!B$1),FALSE),
IF(_xlpm.v=0,"",_xlpm.v)
),"")</f>
        <v/>
      </c>
      <c r="L483" s="15" t="str">
        <f>IF(OR(COUNTIF(クラス!$A$1:$A$1035, $B483),$B483="",COUNTIF(スキル一覧!$A$1:$A$3500, $B483)), "", "存在しない")</f>
        <v/>
      </c>
      <c r="M483" s="2" t="str">
        <f>IF(COUNTIF($B$1:$C482, $B483), "", "存在しない")</f>
        <v>存在しない</v>
      </c>
      <c r="N483" s="2" t="s">
        <v>1196</v>
      </c>
    </row>
    <row r="484" spans="1:14" hidden="1" outlineLevel="1" x14ac:dyDescent="0.4">
      <c r="J484" s="6" t="str">
        <f>IFERROR(_xlfn.LET(_xlpm.v,
VLOOKUP($I484,効果!$A:$B,COLUMN(効果!B$1),FALSE),
IF(_xlpm.v=0,"",_xlpm.v)
),"")</f>
        <v/>
      </c>
      <c r="L484" s="15" t="str">
        <f>IF(OR(COUNTIF(クラス!$A$1:$A$1035, $B484),$B484="",COUNTIF(スキル一覧!$A$1:$A$3500, $B484)), "", "存在しない")</f>
        <v/>
      </c>
      <c r="M484" s="2" t="str">
        <f>IF(COUNTIF($B$1:$C483, $B484), "", "存在しない")</f>
        <v>存在しない</v>
      </c>
      <c r="N484" s="2" t="s">
        <v>1196</v>
      </c>
    </row>
    <row r="485" spans="1:14" collapsed="1" x14ac:dyDescent="0.4">
      <c r="J485" s="6" t="str">
        <f>IFERROR(_xlfn.LET(_xlpm.v,
VLOOKUP($I485,効果!$A:$B,COLUMN(効果!B$1),FALSE),
IF(_xlpm.v=0,"",_xlpm.v)
),"")</f>
        <v/>
      </c>
      <c r="L485" s="15" t="str">
        <f>IF(OR(COUNTIF(クラス!$A$1:$A$1035, $B485),$B485="",COUNTIF(スキル一覧!$A$1:$A$3500, $B485)), "", "存在しない")</f>
        <v/>
      </c>
      <c r="M485" s="2" t="str">
        <f>IF(COUNTIF($B$1:$C484, $B485), "", "存在しない")</f>
        <v>存在しない</v>
      </c>
      <c r="N485" s="2" t="s">
        <v>1196</v>
      </c>
    </row>
    <row r="486" spans="1:14" x14ac:dyDescent="0.4">
      <c r="B486" s="2" t="s">
        <v>856</v>
      </c>
      <c r="D486" s="2" t="s">
        <v>857</v>
      </c>
      <c r="J486" s="6" t="str">
        <f>IFERROR(_xlfn.LET(_xlpm.v,
VLOOKUP($I486,効果!$A:$B,COLUMN(効果!B$1),FALSE),
IF(_xlpm.v=0,"",_xlpm.v)
),"")</f>
        <v/>
      </c>
      <c r="L486" s="15" t="str">
        <f>IF(OR(COUNTIF(クラス!$A$1:$A$1035, $B486),$B486="",COUNTIF(スキル一覧!$A$1:$A$3500, $B486)), "", "存在しない")</f>
        <v/>
      </c>
      <c r="M486" s="2" t="str">
        <f>IF(COUNTIF($B$1:$C485, $B486), "", "存在しない")</f>
        <v>存在しない</v>
      </c>
      <c r="N486" s="2" t="s">
        <v>1196</v>
      </c>
    </row>
    <row r="487" spans="1:14" ht="36" hidden="1" outlineLevel="1" x14ac:dyDescent="0.4">
      <c r="A487" s="2">
        <v>1</v>
      </c>
      <c r="B487" s="2" t="s">
        <v>858</v>
      </c>
      <c r="D487" s="2" t="s">
        <v>845</v>
      </c>
      <c r="E487" s="13" t="s">
        <v>128</v>
      </c>
      <c r="G487" s="19">
        <v>60</v>
      </c>
      <c r="H487" s="10" t="s">
        <v>864</v>
      </c>
      <c r="J487" s="6" t="str">
        <f>IFERROR(_xlfn.LET(_xlpm.v,
VLOOKUP($I487,効果!$A:$B,COLUMN(効果!B$1),FALSE),
IF(_xlpm.v=0,"",_xlpm.v)
),"")</f>
        <v/>
      </c>
      <c r="L487" s="15" t="str">
        <f>IF(OR(COUNTIF(クラス!$A$1:$A$1035, $B487),$B487="",COUNTIF(スキル一覧!$A$1:$A$3500, $B487)), "", "存在しない")</f>
        <v>存在しない</v>
      </c>
      <c r="M487" s="2" t="str">
        <f>IF(COUNTIF($B$1:$C486, $B487), "", "存在しない")</f>
        <v>存在しない</v>
      </c>
      <c r="N487" s="2" t="e">
        <v>#VALUE!</v>
      </c>
    </row>
    <row r="488" spans="1:14" hidden="1" outlineLevel="1" x14ac:dyDescent="0.4">
      <c r="A488" s="2">
        <v>2</v>
      </c>
      <c r="J488" s="6" t="str">
        <f>IFERROR(_xlfn.LET(_xlpm.v,
VLOOKUP($I488,効果!$A:$B,COLUMN(効果!B$1),FALSE),
IF(_xlpm.v=0,"",_xlpm.v)
),"")</f>
        <v/>
      </c>
      <c r="L488" s="15" t="str">
        <f>IF(OR(COUNTIF(クラス!$A$1:$A$1035, $B488),$B488="",COUNTIF(スキル一覧!$A$1:$A$3500, $B488)), "", "存在しない")</f>
        <v/>
      </c>
      <c r="M488" s="2" t="str">
        <f>IF(COUNTIF($B$1:$C487, $B488), "", "存在しない")</f>
        <v>存在しない</v>
      </c>
      <c r="N488" s="2" t="s">
        <v>1196</v>
      </c>
    </row>
    <row r="489" spans="1:14" hidden="1" outlineLevel="1" x14ac:dyDescent="0.4">
      <c r="A489" s="2">
        <v>3</v>
      </c>
      <c r="B489" s="2" t="s">
        <v>863</v>
      </c>
      <c r="E489" s="13" t="s">
        <v>129</v>
      </c>
      <c r="H489" s="10" t="s">
        <v>862</v>
      </c>
      <c r="J489" s="6" t="str">
        <f>IFERROR(_xlfn.LET(_xlpm.v,
VLOOKUP($I489,効果!$A:$B,COLUMN(効果!B$1),FALSE),
IF(_xlpm.v=0,"",_xlpm.v)
),"")</f>
        <v/>
      </c>
      <c r="L489" s="15" t="str">
        <f>IF(OR(COUNTIF(クラス!$A$1:$A$1035, $B489),$B489="",COUNTIF(スキル一覧!$A$1:$A$3500, $B489)), "", "存在しない")</f>
        <v>存在しない</v>
      </c>
      <c r="M489" s="2" t="str">
        <f>IF(COUNTIF($B$1:$C488, $B489), "", "存在しない")</f>
        <v>存在しない</v>
      </c>
      <c r="N489" s="2" t="e">
        <v>#VALUE!</v>
      </c>
    </row>
    <row r="490" spans="1:14" hidden="1" outlineLevel="1" x14ac:dyDescent="0.4">
      <c r="A490" s="2">
        <v>4</v>
      </c>
      <c r="J490" s="6" t="str">
        <f>IFERROR(_xlfn.LET(_xlpm.v,
VLOOKUP($I490,効果!$A:$B,COLUMN(効果!B$1),FALSE),
IF(_xlpm.v=0,"",_xlpm.v)
),"")</f>
        <v/>
      </c>
      <c r="L490" s="15" t="str">
        <f>IF(OR(COUNTIF(クラス!$A$1:$A$1035, $B490),$B490="",COUNTIF(スキル一覧!$A$1:$A$3500, $B490)), "", "存在しない")</f>
        <v/>
      </c>
      <c r="M490" s="2" t="str">
        <f>IF(COUNTIF($B$1:$C489, $B490), "", "存在しない")</f>
        <v>存在しない</v>
      </c>
      <c r="N490" s="2" t="s">
        <v>1196</v>
      </c>
    </row>
    <row r="491" spans="1:14" hidden="1" outlineLevel="1" x14ac:dyDescent="0.4">
      <c r="A491" s="2">
        <v>5</v>
      </c>
      <c r="J491" s="6" t="str">
        <f>IFERROR(_xlfn.LET(_xlpm.v,
VLOOKUP($I491,効果!$A:$B,COLUMN(効果!B$1),FALSE),
IF(_xlpm.v=0,"",_xlpm.v)
),"")</f>
        <v/>
      </c>
      <c r="L491" s="15" t="str">
        <f>IF(OR(COUNTIF(クラス!$A$1:$A$1035, $B491),$B491="",COUNTIF(スキル一覧!$A$1:$A$3500, $B491)), "", "存在しない")</f>
        <v/>
      </c>
      <c r="M491" s="2" t="str">
        <f>IF(COUNTIF($B$1:$C490, $B491), "", "存在しない")</f>
        <v>存在しない</v>
      </c>
      <c r="N491" s="2" t="s">
        <v>1196</v>
      </c>
    </row>
    <row r="492" spans="1:14" hidden="1" outlineLevel="1" x14ac:dyDescent="0.4">
      <c r="A492" s="2">
        <v>6</v>
      </c>
      <c r="B492" s="2" t="s">
        <v>859</v>
      </c>
      <c r="E492" s="13" t="s">
        <v>129</v>
      </c>
      <c r="H492" s="10" t="str">
        <f>"条件系統:"&amp;D486&amp;" 魔力+30"</f>
        <v>条件系統:水 魔力+30</v>
      </c>
      <c r="J492" s="6" t="str">
        <f>IFERROR(_xlfn.LET(_xlpm.v,
VLOOKUP($I492,効果!$A:$B,COLUMN(効果!B$1),FALSE),
IF(_xlpm.v=0,"",_xlpm.v)
),"")</f>
        <v/>
      </c>
      <c r="L492" s="15" t="str">
        <f>IF(OR(COUNTIF(クラス!$A$1:$A$1035, $B492),$B492="",COUNTIF(スキル一覧!$A$1:$A$3500, $B492)), "", "存在しない")</f>
        <v>存在しない</v>
      </c>
      <c r="M492" s="2" t="str">
        <f>IF(COUNTIF($B$1:$C491, $B492), "", "存在しない")</f>
        <v>存在しない</v>
      </c>
      <c r="N492" s="2" t="e">
        <v>#VALUE!</v>
      </c>
    </row>
    <row r="493" spans="1:14" hidden="1" outlineLevel="1" x14ac:dyDescent="0.4">
      <c r="A493" s="2">
        <v>7</v>
      </c>
      <c r="J493" s="6" t="str">
        <f>IFERROR(_xlfn.LET(_xlpm.v,
VLOOKUP($I493,効果!$A:$B,COLUMN(効果!B$1),FALSE),
IF(_xlpm.v=0,"",_xlpm.v)
),"")</f>
        <v/>
      </c>
      <c r="L493" s="15" t="str">
        <f>IF(OR(COUNTIF(クラス!$A$1:$A$1035, $B493),$B493="",COUNTIF(スキル一覧!$A$1:$A$3500, $B493)), "", "存在しない")</f>
        <v/>
      </c>
      <c r="M493" s="2" t="str">
        <f>IF(COUNTIF($B$1:$C492, $B493), "", "存在しない")</f>
        <v>存在しない</v>
      </c>
      <c r="N493" s="2" t="s">
        <v>1196</v>
      </c>
    </row>
    <row r="494" spans="1:14" hidden="1" outlineLevel="1" x14ac:dyDescent="0.4">
      <c r="A494" s="2">
        <v>8</v>
      </c>
      <c r="J494" s="6" t="str">
        <f>IFERROR(_xlfn.LET(_xlpm.v,
VLOOKUP($I494,効果!$A:$B,COLUMN(効果!B$1),FALSE),
IF(_xlpm.v=0,"",_xlpm.v)
),"")</f>
        <v/>
      </c>
      <c r="L494" s="15" t="str">
        <f>IF(OR(COUNTIF(クラス!$A$1:$A$1035, $B494),$B494="",COUNTIF(スキル一覧!$A$1:$A$3500, $B494)), "", "存在しない")</f>
        <v/>
      </c>
      <c r="M494" s="2" t="str">
        <f>IF(COUNTIF($B$1:$C493, $B494), "", "存在しない")</f>
        <v>存在しない</v>
      </c>
      <c r="N494" s="2" t="s">
        <v>1196</v>
      </c>
    </row>
    <row r="495" spans="1:14" hidden="1" outlineLevel="1" x14ac:dyDescent="0.4">
      <c r="A495" s="2">
        <v>9</v>
      </c>
      <c r="B495" s="2" t="s">
        <v>860</v>
      </c>
      <c r="E495" s="13" t="s">
        <v>129</v>
      </c>
      <c r="H495" s="10" t="str">
        <f>"条件系統:"&amp;D486&amp;" 攻撃+30"</f>
        <v>条件系統:水 攻撃+30</v>
      </c>
      <c r="J495" s="6" t="str">
        <f>IFERROR(_xlfn.LET(_xlpm.v,
VLOOKUP($I495,効果!$A:$B,COLUMN(効果!B$1),FALSE),
IF(_xlpm.v=0,"",_xlpm.v)
),"")</f>
        <v/>
      </c>
      <c r="L495" s="15" t="str">
        <f>IF(OR(COUNTIF(クラス!$A$1:$A$1035, $B495),$B495="",COUNTIF(スキル一覧!$A$1:$A$3500, $B495)), "", "存在しない")</f>
        <v>存在しない</v>
      </c>
      <c r="M495" s="2" t="str">
        <f>IF(COUNTIF($B$1:$C494, $B495), "", "存在しない")</f>
        <v>存在しない</v>
      </c>
      <c r="N495" s="2" t="e">
        <v>#VALUE!</v>
      </c>
    </row>
    <row r="496" spans="1:14" ht="36" hidden="1" outlineLevel="1" x14ac:dyDescent="0.4">
      <c r="A496" s="2">
        <v>10</v>
      </c>
      <c r="B496" s="2" t="s">
        <v>861</v>
      </c>
      <c r="D496" s="2" t="s">
        <v>845</v>
      </c>
      <c r="E496" s="13" t="s">
        <v>128</v>
      </c>
      <c r="G496" s="19">
        <v>80</v>
      </c>
      <c r="H496" s="10" t="s">
        <v>1839</v>
      </c>
      <c r="I496" s="6" t="s">
        <v>419</v>
      </c>
      <c r="J496" s="6" t="str">
        <f>IFERROR(_xlfn.LET(_xlpm.v,
VLOOKUP($I496,効果!$A:$B,COLUMN(効果!B$1),FALSE),
IF(_xlpm.v=0,"",_xlpm.v)
),"")</f>
        <v>対象を後方へ移動させる</v>
      </c>
      <c r="L496" s="15" t="str">
        <f>IF(OR(COUNTIF(クラス!$A$1:$A$1035, $B496),$B496="",COUNTIF(スキル一覧!$A$1:$A$3500, $B496)), "", "存在しない")</f>
        <v>存在しない</v>
      </c>
      <c r="M496" s="2" t="str">
        <f>IF(COUNTIF($B$1:$C495, $B496), "", "存在しない")</f>
        <v>存在しない</v>
      </c>
      <c r="N496" s="2" t="e">
        <v>#VALUE!</v>
      </c>
    </row>
    <row r="497" spans="1:14" hidden="1" outlineLevel="1" x14ac:dyDescent="0.4">
      <c r="J497" s="6" t="str">
        <f>IFERROR(_xlfn.LET(_xlpm.v,
VLOOKUP($I497,効果!$A:$B,COLUMN(効果!B$1),FALSE),
IF(_xlpm.v=0,"",_xlpm.v)
),"")</f>
        <v/>
      </c>
      <c r="L497" s="15" t="str">
        <f>IF(OR(COUNTIF(クラス!$A$1:$A$1035, $B497),$B497="",COUNTIF(スキル一覧!$A$1:$A$3500, $B497)), "", "存在しない")</f>
        <v/>
      </c>
      <c r="M497" s="2" t="str">
        <f>IF(COUNTIF($B$1:$C496, $B497), "", "存在しない")</f>
        <v>存在しない</v>
      </c>
      <c r="N497" s="2" t="s">
        <v>1196</v>
      </c>
    </row>
    <row r="498" spans="1:14" collapsed="1" x14ac:dyDescent="0.4">
      <c r="J498" s="6" t="str">
        <f>IFERROR(_xlfn.LET(_xlpm.v,
VLOOKUP($I498,効果!$A:$B,COLUMN(効果!B$1),FALSE),
IF(_xlpm.v=0,"",_xlpm.v)
),"")</f>
        <v/>
      </c>
      <c r="L498" s="15" t="str">
        <f>IF(OR(COUNTIF(クラス!$A$1:$A$1035, $B498),$B498="",COUNTIF(スキル一覧!$A$1:$A$3500, $B498)), "", "存在しない")</f>
        <v/>
      </c>
      <c r="M498" s="2" t="str">
        <f>IF(COUNTIF($B$1:$C497, $B498), "", "存在しない")</f>
        <v>存在しない</v>
      </c>
      <c r="N498" s="2" t="s">
        <v>1196</v>
      </c>
    </row>
    <row r="499" spans="1:14" x14ac:dyDescent="0.4">
      <c r="B499" s="2" t="s">
        <v>72</v>
      </c>
      <c r="D499" s="2" t="s">
        <v>280</v>
      </c>
      <c r="E499" s="13" t="s">
        <v>139</v>
      </c>
      <c r="J499" s="6" t="str">
        <f>IFERROR(_xlfn.LET(_xlpm.v,
VLOOKUP($I499,効果!$A:$B,COLUMN(効果!B$1),FALSE),
IF(_xlpm.v=0,"",_xlpm.v)
),"")</f>
        <v/>
      </c>
      <c r="L499" s="15" t="str">
        <f>IF(OR(COUNTIF(クラス!$A$1:$A$1035, $B499),$B499="",COUNTIF(スキル一覧!$A$1:$A$3500, $B499)), "", "存在しない")</f>
        <v/>
      </c>
      <c r="M499" s="2" t="str">
        <f>IF(COUNTIF($B$1:$C498, $B499), "", "存在しない")</f>
        <v>存在しない</v>
      </c>
      <c r="N499" s="2" t="s">
        <v>1196</v>
      </c>
    </row>
    <row r="500" spans="1:14" ht="36" hidden="1" outlineLevel="1" x14ac:dyDescent="0.4">
      <c r="A500" s="2">
        <v>1</v>
      </c>
      <c r="B500" s="2" t="str">
        <f>D499&amp;"の拳"</f>
        <v>風の拳</v>
      </c>
      <c r="D500" s="2" t="str">
        <f>D499</f>
        <v>風</v>
      </c>
      <c r="E500" s="13" t="s">
        <v>128</v>
      </c>
      <c r="G500" s="19">
        <v>60</v>
      </c>
      <c r="H500" s="10" t="str">
        <f>"攻撃手段:素手 物理+15 "&amp;E499&amp;"+25 判定:攻撃"</f>
        <v>攻撃手段:素手 物理+15 怯み+25 判定:攻撃</v>
      </c>
      <c r="J500" s="6" t="str">
        <f>IFERROR(_xlfn.LET(_xlpm.v,
VLOOKUP($I500,効果!$A:$B,COLUMN(効果!B$1),FALSE),
IF(_xlpm.v=0,"",_xlpm.v)
),"")</f>
        <v/>
      </c>
      <c r="L500" s="15" t="str">
        <f>IF(OR(COUNTIF(クラス!$A$1:$A$1035, $B500),$B500="",COUNTIF(スキル一覧!$A$1:$A$3500, $B500)), "", "存在しない")</f>
        <v/>
      </c>
      <c r="M500" s="2" t="str">
        <f>IF(COUNTIF($B$1:$C499, $B500), "", "存在しない")</f>
        <v>存在しない</v>
      </c>
      <c r="N500" s="2" t="s">
        <v>1196</v>
      </c>
    </row>
    <row r="501" spans="1:14" hidden="1" outlineLevel="1" x14ac:dyDescent="0.4">
      <c r="A501" s="2">
        <v>2</v>
      </c>
      <c r="J501" s="6" t="str">
        <f>IFERROR(_xlfn.LET(_xlpm.v,
VLOOKUP($I501,効果!$A:$B,COLUMN(効果!B$1),FALSE),
IF(_xlpm.v=0,"",_xlpm.v)
),"")</f>
        <v/>
      </c>
      <c r="L501" s="15" t="str">
        <f>IF(OR(COUNTIF(クラス!$A$1:$A$1035, $B501),$B501="",COUNTIF(スキル一覧!$A$1:$A$3500, $B501)), "", "存在しない")</f>
        <v/>
      </c>
      <c r="M501" s="2" t="str">
        <f>IF(COUNTIF($B$1:$C500, $B501), "", "存在しない")</f>
        <v>存在しない</v>
      </c>
      <c r="N501" s="2" t="s">
        <v>1196</v>
      </c>
    </row>
    <row r="502" spans="1:14" hidden="1" outlineLevel="1" x14ac:dyDescent="0.4">
      <c r="A502" s="2">
        <v>3</v>
      </c>
      <c r="B502" s="2" t="s">
        <v>278</v>
      </c>
      <c r="E502" s="13" t="s">
        <v>129</v>
      </c>
      <c r="H502" s="10" t="s">
        <v>279</v>
      </c>
      <c r="J502" s="6" t="str">
        <f>IFERROR(_xlfn.LET(_xlpm.v,
VLOOKUP($I502,効果!$A:$B,COLUMN(効果!B$1),FALSE),
IF(_xlpm.v=0,"",_xlpm.v)
),"")</f>
        <v/>
      </c>
      <c r="L502" s="15" t="str">
        <f>IF(OR(COUNTIF(クラス!$A$1:$A$1035, $B502),$B502="",COUNTIF(スキル一覧!$A$1:$A$3500, $B502)), "", "存在しない")</f>
        <v/>
      </c>
      <c r="M502" s="2" t="str">
        <f>IF(COUNTIF($B$1:$C501, $B502), "", "存在しない")</f>
        <v/>
      </c>
      <c r="N502" s="2" t="s">
        <v>1196</v>
      </c>
    </row>
    <row r="503" spans="1:14" hidden="1" outlineLevel="1" x14ac:dyDescent="0.4">
      <c r="A503" s="2">
        <v>4</v>
      </c>
      <c r="J503" s="6" t="str">
        <f>IFERROR(_xlfn.LET(_xlpm.v,
VLOOKUP($I503,効果!$A:$B,COLUMN(効果!B$1),FALSE),
IF(_xlpm.v=0,"",_xlpm.v)
),"")</f>
        <v/>
      </c>
      <c r="L503" s="15" t="str">
        <f>IF(OR(COUNTIF(クラス!$A$1:$A$1035, $B503),$B503="",COUNTIF(スキル一覧!$A$1:$A$3500, $B503)), "", "存在しない")</f>
        <v/>
      </c>
      <c r="M503" s="2" t="str">
        <f>IF(COUNTIF($B$1:$C502, $B503), "", "存在しない")</f>
        <v>存在しない</v>
      </c>
      <c r="N503" s="2" t="s">
        <v>1196</v>
      </c>
    </row>
    <row r="504" spans="1:14" hidden="1" outlineLevel="1" x14ac:dyDescent="0.4">
      <c r="A504" s="2">
        <v>5</v>
      </c>
      <c r="J504" s="6" t="str">
        <f>IFERROR(_xlfn.LET(_xlpm.v,
VLOOKUP($I504,効果!$A:$B,COLUMN(効果!B$1),FALSE),
IF(_xlpm.v=0,"",_xlpm.v)
),"")</f>
        <v/>
      </c>
      <c r="L504" s="15" t="str">
        <f>IF(OR(COUNTIF(クラス!$A$1:$A$1035, $B504),$B504="",COUNTIF(スキル一覧!$A$1:$A$3500, $B504)), "", "存在しない")</f>
        <v/>
      </c>
      <c r="M504" s="2" t="str">
        <f>IF(COUNTIF($B$1:$C503, $B504), "", "存在しない")</f>
        <v>存在しない</v>
      </c>
      <c r="N504" s="2" t="s">
        <v>1196</v>
      </c>
    </row>
    <row r="505" spans="1:14" hidden="1" outlineLevel="1" x14ac:dyDescent="0.4">
      <c r="A505" s="2">
        <v>6</v>
      </c>
      <c r="B505" s="2" t="str">
        <f>D499&amp;"の魔力"</f>
        <v>風の魔力</v>
      </c>
      <c r="E505" s="13" t="s">
        <v>129</v>
      </c>
      <c r="H505" s="10" t="str">
        <f>"条件系統:"&amp;D499&amp;" 魔力+30"</f>
        <v>条件系統:風 魔力+30</v>
      </c>
      <c r="J505" s="6" t="str">
        <f>IFERROR(_xlfn.LET(_xlpm.v,
VLOOKUP($I505,効果!$A:$B,COLUMN(効果!B$1),FALSE),
IF(_xlpm.v=0,"",_xlpm.v)
),"")</f>
        <v/>
      </c>
      <c r="L505" s="15" t="str">
        <f>IF(OR(COUNTIF(クラス!$A$1:$A$1035, $B505),$B505="",COUNTIF(スキル一覧!$A$1:$A$3500, $B505)), "", "存在しない")</f>
        <v/>
      </c>
      <c r="M505" s="2" t="str">
        <f>IF(COUNTIF($B$1:$C504, $B505), "", "存在しない")</f>
        <v>存在しない</v>
      </c>
      <c r="N505" s="2" t="s">
        <v>1196</v>
      </c>
    </row>
    <row r="506" spans="1:14" hidden="1" outlineLevel="1" x14ac:dyDescent="0.4">
      <c r="A506" s="2">
        <v>7</v>
      </c>
      <c r="J506" s="6" t="str">
        <f>IFERROR(_xlfn.LET(_xlpm.v,
VLOOKUP($I506,効果!$A:$B,COLUMN(効果!B$1),FALSE),
IF(_xlpm.v=0,"",_xlpm.v)
),"")</f>
        <v/>
      </c>
      <c r="L506" s="15" t="str">
        <f>IF(OR(COUNTIF(クラス!$A$1:$A$1035, $B506),$B506="",COUNTIF(スキル一覧!$A$1:$A$3500, $B506)), "", "存在しない")</f>
        <v/>
      </c>
      <c r="M506" s="2" t="str">
        <f>IF(COUNTIF($B$1:$C505, $B506), "", "存在しない")</f>
        <v>存在しない</v>
      </c>
      <c r="N506" s="2" t="s">
        <v>1196</v>
      </c>
    </row>
    <row r="507" spans="1:14" hidden="1" outlineLevel="1" x14ac:dyDescent="0.4">
      <c r="A507" s="2">
        <v>8</v>
      </c>
      <c r="J507" s="6" t="str">
        <f>IFERROR(_xlfn.LET(_xlpm.v,
VLOOKUP($I507,効果!$A:$B,COLUMN(効果!B$1),FALSE),
IF(_xlpm.v=0,"",_xlpm.v)
),"")</f>
        <v/>
      </c>
      <c r="L507" s="15" t="str">
        <f>IF(OR(COUNTIF(クラス!$A$1:$A$1035, $B507),$B507="",COUNTIF(スキル一覧!$A$1:$A$3500, $B507)), "", "存在しない")</f>
        <v/>
      </c>
      <c r="M507" s="2" t="str">
        <f>IF(COUNTIF($B$1:$C506, $B507), "", "存在しない")</f>
        <v>存在しない</v>
      </c>
      <c r="N507" s="2" t="s">
        <v>1196</v>
      </c>
    </row>
    <row r="508" spans="1:14" hidden="1" outlineLevel="1" x14ac:dyDescent="0.4">
      <c r="A508" s="2">
        <v>9</v>
      </c>
      <c r="B508" s="2" t="str">
        <f>D499&amp;"の力"</f>
        <v>風の力</v>
      </c>
      <c r="E508" s="13" t="s">
        <v>129</v>
      </c>
      <c r="H508" s="10" t="str">
        <f>"条件系統:"&amp;D499&amp;" 攻撃+30"</f>
        <v>条件系統:風 攻撃+30</v>
      </c>
      <c r="J508" s="6" t="str">
        <f>IFERROR(_xlfn.LET(_xlpm.v,
VLOOKUP($I508,効果!$A:$B,COLUMN(効果!B$1),FALSE),
IF(_xlpm.v=0,"",_xlpm.v)
),"")</f>
        <v/>
      </c>
      <c r="L508" s="15" t="str">
        <f>IF(OR(COUNTIF(クラス!$A$1:$A$1035, $B508),$B508="",COUNTIF(スキル一覧!$A$1:$A$3500, $B508)), "", "存在しない")</f>
        <v/>
      </c>
      <c r="M508" s="2" t="str">
        <f>IF(COUNTIF($B$1:$C507, $B508), "", "存在しない")</f>
        <v>存在しない</v>
      </c>
      <c r="N508" s="2" t="s">
        <v>1196</v>
      </c>
    </row>
    <row r="509" spans="1:14" ht="36" hidden="1" outlineLevel="1" x14ac:dyDescent="0.4">
      <c r="A509" s="2">
        <v>10</v>
      </c>
      <c r="B509" s="2" t="str">
        <f>D499&amp;"の吐息"</f>
        <v>風の吐息</v>
      </c>
      <c r="D509" s="2" t="str">
        <f>D499</f>
        <v>風</v>
      </c>
      <c r="E509" s="13" t="s">
        <v>128</v>
      </c>
      <c r="G509" s="19">
        <v>80</v>
      </c>
      <c r="H509" s="10" t="str">
        <f>"攻撃手段:吐息 "&amp;E499&amp;"+45 射程:20 範囲:放射"</f>
        <v>攻撃手段:吐息 怯み+45 射程:20 範囲:放射</v>
      </c>
      <c r="J509" s="6" t="str">
        <f>IFERROR(_xlfn.LET(_xlpm.v,
VLOOKUP($I509,効果!$A:$B,COLUMN(効果!B$1),FALSE),
IF(_xlpm.v=0,"",_xlpm.v)
),"")</f>
        <v/>
      </c>
      <c r="L509" s="15" t="str">
        <f>IF(OR(COUNTIF(クラス!$A$1:$A$1035, $B509),$B509="",COUNTIF(スキル一覧!$A$1:$A$3500, $B509)), "", "存在しない")</f>
        <v/>
      </c>
      <c r="M509" s="2" t="str">
        <f>IF(COUNTIF($B$1:$C508, $B509), "", "存在しない")</f>
        <v>存在しない</v>
      </c>
      <c r="N509" s="2" t="s">
        <v>1196</v>
      </c>
    </row>
    <row r="510" spans="1:14" hidden="1" outlineLevel="1" x14ac:dyDescent="0.4">
      <c r="J510" s="6" t="str">
        <f>IFERROR(_xlfn.LET(_xlpm.v,
VLOOKUP($I510,効果!$A:$B,COLUMN(効果!B$1),FALSE),
IF(_xlpm.v=0,"",_xlpm.v)
),"")</f>
        <v/>
      </c>
      <c r="L510" s="15" t="str">
        <f>IF(OR(COUNTIF(クラス!$A$1:$A$1035, $B510),$B510="",COUNTIF(スキル一覧!$A$1:$A$3500, $B510)), "", "存在しない")</f>
        <v/>
      </c>
      <c r="M510" s="2" t="str">
        <f>IF(COUNTIF($B$1:$C509, $B510), "", "存在しない")</f>
        <v>存在しない</v>
      </c>
      <c r="N510" s="2" t="s">
        <v>1196</v>
      </c>
    </row>
    <row r="511" spans="1:14" collapsed="1" x14ac:dyDescent="0.4">
      <c r="J511" s="6" t="str">
        <f>IFERROR(_xlfn.LET(_xlpm.v,
VLOOKUP($I511,効果!$A:$B,COLUMN(効果!B$1),FALSE),
IF(_xlpm.v=0,"",_xlpm.v)
),"")</f>
        <v/>
      </c>
      <c r="L511" s="15" t="str">
        <f>IF(OR(COUNTIF(クラス!$A$1:$A$1035, $B511),$B511="",COUNTIF(スキル一覧!$A$1:$A$3500, $B511)), "", "存在しない")</f>
        <v/>
      </c>
      <c r="M511" s="2" t="str">
        <f>IF(COUNTIF($B$1:$C510, $B511), "", "存在しない")</f>
        <v>存在しない</v>
      </c>
      <c r="N511" s="2" t="s">
        <v>1196</v>
      </c>
    </row>
    <row r="512" spans="1:14" x14ac:dyDescent="0.4">
      <c r="B512" s="2" t="s">
        <v>74</v>
      </c>
      <c r="D512" s="2" t="s">
        <v>281</v>
      </c>
      <c r="E512" s="13" t="s">
        <v>175</v>
      </c>
      <c r="J512" s="6" t="str">
        <f>IFERROR(_xlfn.LET(_xlpm.v,
VLOOKUP($I512,効果!$A:$B,COLUMN(効果!B$1),FALSE),
IF(_xlpm.v=0,"",_xlpm.v)
),"")</f>
        <v/>
      </c>
      <c r="L512" s="15" t="str">
        <f>IF(OR(COUNTIF(クラス!$A$1:$A$1035, $B512),$B512="",COUNTIF(スキル一覧!$A$1:$A$3500, $B512)), "", "存在しない")</f>
        <v/>
      </c>
      <c r="M512" s="2" t="str">
        <f>IF(COUNTIF($B$1:$C511, $B512), "", "存在しない")</f>
        <v>存在しない</v>
      </c>
      <c r="N512" s="2" t="s">
        <v>1196</v>
      </c>
    </row>
    <row r="513" spans="1:14" ht="36" hidden="1" outlineLevel="1" x14ac:dyDescent="0.4">
      <c r="A513" s="2">
        <v>1</v>
      </c>
      <c r="B513" s="2" t="str">
        <f>D512&amp;"の拳"</f>
        <v>地の拳</v>
      </c>
      <c r="D513" s="2" t="str">
        <f>D512</f>
        <v>地</v>
      </c>
      <c r="E513" s="13" t="s">
        <v>128</v>
      </c>
      <c r="G513" s="19">
        <v>60</v>
      </c>
      <c r="H513" s="10" t="str">
        <f>"攻撃手段:素手 物理+15 "&amp;E512&amp;"+25 判定:攻撃"</f>
        <v>攻撃手段:素手 物理+15 ガード+25 判定:攻撃</v>
      </c>
      <c r="J513" s="6" t="str">
        <f>IFERROR(_xlfn.LET(_xlpm.v,
VLOOKUP($I513,効果!$A:$B,COLUMN(効果!B$1),FALSE),
IF(_xlpm.v=0,"",_xlpm.v)
),"")</f>
        <v/>
      </c>
      <c r="L513" s="15" t="str">
        <f>IF(OR(COUNTIF(クラス!$A$1:$A$1035, $B513),$B513="",COUNTIF(スキル一覧!$A$1:$A$3500, $B513)), "", "存在しない")</f>
        <v/>
      </c>
      <c r="M513" s="2" t="str">
        <f>IF(COUNTIF($B$1:$C512, $B513), "", "存在しない")</f>
        <v>存在しない</v>
      </c>
      <c r="N513" s="2" t="s">
        <v>1196</v>
      </c>
    </row>
    <row r="514" spans="1:14" hidden="1" outlineLevel="1" x14ac:dyDescent="0.4">
      <c r="A514" s="2">
        <v>2</v>
      </c>
      <c r="J514" s="6" t="str">
        <f>IFERROR(_xlfn.LET(_xlpm.v,
VLOOKUP($I514,効果!$A:$B,COLUMN(効果!B$1),FALSE),
IF(_xlpm.v=0,"",_xlpm.v)
),"")</f>
        <v/>
      </c>
      <c r="L514" s="15" t="str">
        <f>IF(OR(COUNTIF(クラス!$A$1:$A$1035, $B514),$B514="",COUNTIF(スキル一覧!$A$1:$A$3500, $B514)), "", "存在しない")</f>
        <v/>
      </c>
      <c r="M514" s="2" t="str">
        <f>IF(COUNTIF($B$1:$C513, $B514), "", "存在しない")</f>
        <v>存在しない</v>
      </c>
      <c r="N514" s="2" t="s">
        <v>1196</v>
      </c>
    </row>
    <row r="515" spans="1:14" hidden="1" outlineLevel="1" x14ac:dyDescent="0.4">
      <c r="A515" s="2">
        <v>3</v>
      </c>
      <c r="B515" s="2" t="s">
        <v>278</v>
      </c>
      <c r="E515" s="13" t="s">
        <v>129</v>
      </c>
      <c r="H515" s="10" t="s">
        <v>279</v>
      </c>
      <c r="J515" s="6" t="str">
        <f>IFERROR(_xlfn.LET(_xlpm.v,
VLOOKUP($I515,効果!$A:$B,COLUMN(効果!B$1),FALSE),
IF(_xlpm.v=0,"",_xlpm.v)
),"")</f>
        <v/>
      </c>
      <c r="L515" s="15" t="str">
        <f>IF(OR(COUNTIF(クラス!$A$1:$A$1035, $B515),$B515="",COUNTIF(スキル一覧!$A$1:$A$3500, $B515)), "", "存在しない")</f>
        <v/>
      </c>
      <c r="M515" s="2" t="str">
        <f>IF(COUNTIF($B$1:$C514, $B515), "", "存在しない")</f>
        <v/>
      </c>
      <c r="N515" s="2" t="s">
        <v>1196</v>
      </c>
    </row>
    <row r="516" spans="1:14" hidden="1" outlineLevel="1" x14ac:dyDescent="0.4">
      <c r="A516" s="2">
        <v>4</v>
      </c>
      <c r="J516" s="6" t="str">
        <f>IFERROR(_xlfn.LET(_xlpm.v,
VLOOKUP($I516,効果!$A:$B,COLUMN(効果!B$1),FALSE),
IF(_xlpm.v=0,"",_xlpm.v)
),"")</f>
        <v/>
      </c>
      <c r="L516" s="15" t="str">
        <f>IF(OR(COUNTIF(クラス!$A$1:$A$1035, $B516),$B516="",COUNTIF(スキル一覧!$A$1:$A$3500, $B516)), "", "存在しない")</f>
        <v/>
      </c>
      <c r="M516" s="2" t="str">
        <f>IF(COUNTIF($B$1:$C515, $B516), "", "存在しない")</f>
        <v>存在しない</v>
      </c>
      <c r="N516" s="2" t="s">
        <v>1196</v>
      </c>
    </row>
    <row r="517" spans="1:14" hidden="1" outlineLevel="1" x14ac:dyDescent="0.4">
      <c r="A517" s="2">
        <v>5</v>
      </c>
      <c r="J517" s="6" t="str">
        <f>IFERROR(_xlfn.LET(_xlpm.v,
VLOOKUP($I517,効果!$A:$B,COLUMN(効果!B$1),FALSE),
IF(_xlpm.v=0,"",_xlpm.v)
),"")</f>
        <v/>
      </c>
      <c r="L517" s="15" t="str">
        <f>IF(OR(COUNTIF(クラス!$A$1:$A$1035, $B517),$B517="",COUNTIF(スキル一覧!$A$1:$A$3500, $B517)), "", "存在しない")</f>
        <v/>
      </c>
      <c r="M517" s="2" t="str">
        <f>IF(COUNTIF($B$1:$C516, $B517), "", "存在しない")</f>
        <v>存在しない</v>
      </c>
      <c r="N517" s="2" t="s">
        <v>1196</v>
      </c>
    </row>
    <row r="518" spans="1:14" hidden="1" outlineLevel="1" x14ac:dyDescent="0.4">
      <c r="A518" s="2">
        <v>6</v>
      </c>
      <c r="B518" s="2" t="str">
        <f>D512&amp;"の魔力"</f>
        <v>地の魔力</v>
      </c>
      <c r="E518" s="13" t="s">
        <v>129</v>
      </c>
      <c r="H518" s="10" t="str">
        <f>"条件系統:"&amp;D512&amp;" 魔力+30"</f>
        <v>条件系統:地 魔力+30</v>
      </c>
      <c r="J518" s="6" t="str">
        <f>IFERROR(_xlfn.LET(_xlpm.v,
VLOOKUP($I518,効果!$A:$B,COLUMN(効果!B$1),FALSE),
IF(_xlpm.v=0,"",_xlpm.v)
),"")</f>
        <v/>
      </c>
      <c r="L518" s="15" t="str">
        <f>IF(OR(COUNTIF(クラス!$A$1:$A$1035, $B518),$B518="",COUNTIF(スキル一覧!$A$1:$A$3500, $B518)), "", "存在しない")</f>
        <v/>
      </c>
      <c r="M518" s="2" t="str">
        <f>IF(COUNTIF($B$1:$C517, $B518), "", "存在しない")</f>
        <v>存在しない</v>
      </c>
      <c r="N518" s="2" t="s">
        <v>1196</v>
      </c>
    </row>
    <row r="519" spans="1:14" hidden="1" outlineLevel="1" x14ac:dyDescent="0.4">
      <c r="A519" s="2">
        <v>7</v>
      </c>
      <c r="J519" s="6" t="str">
        <f>IFERROR(_xlfn.LET(_xlpm.v,
VLOOKUP($I519,効果!$A:$B,COLUMN(効果!B$1),FALSE),
IF(_xlpm.v=0,"",_xlpm.v)
),"")</f>
        <v/>
      </c>
      <c r="L519" s="15" t="str">
        <f>IF(OR(COUNTIF(クラス!$A$1:$A$1035, $B519),$B519="",COUNTIF(スキル一覧!$A$1:$A$3500, $B519)), "", "存在しない")</f>
        <v/>
      </c>
      <c r="M519" s="2" t="str">
        <f>IF(COUNTIF($B$1:$C518, $B519), "", "存在しない")</f>
        <v>存在しない</v>
      </c>
      <c r="N519" s="2" t="s">
        <v>1196</v>
      </c>
    </row>
    <row r="520" spans="1:14" hidden="1" outlineLevel="1" x14ac:dyDescent="0.4">
      <c r="A520" s="2">
        <v>8</v>
      </c>
      <c r="J520" s="6" t="str">
        <f>IFERROR(_xlfn.LET(_xlpm.v,
VLOOKUP($I520,効果!$A:$B,COLUMN(効果!B$1),FALSE),
IF(_xlpm.v=0,"",_xlpm.v)
),"")</f>
        <v/>
      </c>
      <c r="L520" s="15" t="str">
        <f>IF(OR(COUNTIF(クラス!$A$1:$A$1035, $B520),$B520="",COUNTIF(スキル一覧!$A$1:$A$3500, $B520)), "", "存在しない")</f>
        <v/>
      </c>
      <c r="M520" s="2" t="str">
        <f>IF(COUNTIF($B$1:$C519, $B520), "", "存在しない")</f>
        <v>存在しない</v>
      </c>
      <c r="N520" s="2" t="s">
        <v>1196</v>
      </c>
    </row>
    <row r="521" spans="1:14" hidden="1" outlineLevel="1" x14ac:dyDescent="0.4">
      <c r="A521" s="2">
        <v>9</v>
      </c>
      <c r="B521" s="2" t="str">
        <f>D512&amp;"の力"</f>
        <v>地の力</v>
      </c>
      <c r="E521" s="13" t="s">
        <v>129</v>
      </c>
      <c r="H521" s="10" t="str">
        <f>"条件系統:"&amp;D512&amp;" 攻撃+30"</f>
        <v>条件系統:地 攻撃+30</v>
      </c>
      <c r="J521" s="6" t="str">
        <f>IFERROR(_xlfn.LET(_xlpm.v,
VLOOKUP($I521,効果!$A:$B,COLUMN(効果!B$1),FALSE),
IF(_xlpm.v=0,"",_xlpm.v)
),"")</f>
        <v/>
      </c>
      <c r="L521" s="15" t="str">
        <f>IF(OR(COUNTIF(クラス!$A$1:$A$1035, $B521),$B521="",COUNTIF(スキル一覧!$A$1:$A$3500, $B521)), "", "存在しない")</f>
        <v/>
      </c>
      <c r="M521" s="2" t="str">
        <f>IF(COUNTIF($B$1:$C520, $B521), "", "存在しない")</f>
        <v>存在しない</v>
      </c>
      <c r="N521" s="2" t="s">
        <v>1196</v>
      </c>
    </row>
    <row r="522" spans="1:14" ht="36" hidden="1" outlineLevel="1" x14ac:dyDescent="0.4">
      <c r="A522" s="2">
        <v>10</v>
      </c>
      <c r="B522" s="2" t="str">
        <f>"石礫の吐息"</f>
        <v>石礫の吐息</v>
      </c>
      <c r="D522" s="2" t="str">
        <f>D512</f>
        <v>地</v>
      </c>
      <c r="E522" s="13" t="s">
        <v>128</v>
      </c>
      <c r="G522" s="19">
        <v>80</v>
      </c>
      <c r="H522" s="10" t="str">
        <f>"攻撃手段:吐息 物理+35 怯み+20 射程:20 範囲:放射"</f>
        <v>攻撃手段:吐息 物理+35 怯み+20 射程:20 範囲:放射</v>
      </c>
      <c r="J522" s="6" t="str">
        <f>IFERROR(_xlfn.LET(_xlpm.v,
VLOOKUP($I522,効果!$A:$B,COLUMN(効果!B$1),FALSE),
IF(_xlpm.v=0,"",_xlpm.v)
),"")</f>
        <v/>
      </c>
      <c r="L522" s="15" t="str">
        <f>IF(OR(COUNTIF(クラス!$A$1:$A$1035, $B522),$B522="",COUNTIF(スキル一覧!$A$1:$A$3500, $B522)), "", "存在しない")</f>
        <v/>
      </c>
      <c r="M522" s="2" t="str">
        <f>IF(COUNTIF($B$1:$C521, $B522), "", "存在しない")</f>
        <v>存在しない</v>
      </c>
      <c r="N522" s="2" t="s">
        <v>1196</v>
      </c>
    </row>
    <row r="523" spans="1:14" hidden="1" outlineLevel="1" x14ac:dyDescent="0.4">
      <c r="J523" s="6" t="str">
        <f>IFERROR(_xlfn.LET(_xlpm.v,
VLOOKUP($I523,効果!$A:$B,COLUMN(効果!B$1),FALSE),
IF(_xlpm.v=0,"",_xlpm.v)
),"")</f>
        <v/>
      </c>
      <c r="L523" s="15" t="str">
        <f>IF(OR(COUNTIF(クラス!$A$1:$A$1035, $B523),$B523="",COUNTIF(スキル一覧!$A$1:$A$3500, $B523)), "", "存在しない")</f>
        <v/>
      </c>
      <c r="M523" s="2" t="str">
        <f>IF(COUNTIF($B$1:$C522, $B523), "", "存在しない")</f>
        <v>存在しない</v>
      </c>
      <c r="N523" s="2" t="s">
        <v>1196</v>
      </c>
    </row>
    <row r="524" spans="1:14" collapsed="1" x14ac:dyDescent="0.4">
      <c r="J524" s="6" t="str">
        <f>IFERROR(_xlfn.LET(_xlpm.v,
VLOOKUP($I524,効果!$A:$B,COLUMN(効果!B$1),FALSE),
IF(_xlpm.v=0,"",_xlpm.v)
),"")</f>
        <v/>
      </c>
      <c r="L524" s="15" t="str">
        <f>IF(OR(COUNTIF(クラス!$A$1:$A$1035, $B524),$B524="",COUNTIF(スキル一覧!$A$1:$A$3500, $B524)), "", "存在しない")</f>
        <v/>
      </c>
      <c r="M524" s="2" t="str">
        <f>IF(COUNTIF($B$1:$C523, $B524), "", "存在しない")</f>
        <v>存在しない</v>
      </c>
      <c r="N524" s="2" t="s">
        <v>1196</v>
      </c>
    </row>
    <row r="525" spans="1:14" x14ac:dyDescent="0.4">
      <c r="B525" s="2" t="s">
        <v>196</v>
      </c>
      <c r="J525" s="6" t="str">
        <f>IFERROR(_xlfn.LET(_xlpm.v,
VLOOKUP($I525,効果!$A:$B,COLUMN(効果!B$1),FALSE),
IF(_xlpm.v=0,"",_xlpm.v)
),"")</f>
        <v/>
      </c>
      <c r="L525" s="15" t="str">
        <f>IF(OR(COUNTIF(クラス!$A$1:$A$1035, $B525),$B525="",COUNTIF(スキル一覧!$A$1:$A$3500, $B525)), "", "存在しない")</f>
        <v/>
      </c>
      <c r="M525" s="2" t="str">
        <f>IF(COUNTIF($B$1:$C524, $B525), "", "存在しない")</f>
        <v>存在しない</v>
      </c>
      <c r="N525" s="2" t="s">
        <v>1196</v>
      </c>
    </row>
    <row r="526" spans="1:14" hidden="1" outlineLevel="1" x14ac:dyDescent="0.4">
      <c r="A526" s="2">
        <v>1</v>
      </c>
      <c r="B526" s="2" t="s">
        <v>282</v>
      </c>
      <c r="E526" s="13" t="s">
        <v>128</v>
      </c>
      <c r="G526" s="19">
        <v>40</v>
      </c>
      <c r="H526" s="10" t="s">
        <v>325</v>
      </c>
      <c r="J526" s="6" t="str">
        <f>IFERROR(_xlfn.LET(_xlpm.v,
VLOOKUP($I526,効果!$A:$B,COLUMN(効果!B$1),FALSE),
IF(_xlpm.v=0,"",_xlpm.v)
),"")</f>
        <v/>
      </c>
      <c r="L526" s="15" t="str">
        <f>IF(OR(COUNTIF(クラス!$A$1:$A$1035, $B526),$B526="",COUNTIF(スキル一覧!$A$1:$A$3500, $B526)), "", "存在しない")</f>
        <v/>
      </c>
      <c r="M526" s="2" t="str">
        <f>IF(COUNTIF($B$1:$C525, $B526), "", "存在しない")</f>
        <v/>
      </c>
      <c r="N526" s="2" t="s">
        <v>1196</v>
      </c>
    </row>
    <row r="527" spans="1:14" hidden="1" outlineLevel="1" x14ac:dyDescent="0.4">
      <c r="A527" s="2">
        <v>2</v>
      </c>
      <c r="B527" s="2" t="s">
        <v>283</v>
      </c>
      <c r="E527" s="13" t="s">
        <v>128</v>
      </c>
      <c r="G527" s="19">
        <v>40</v>
      </c>
      <c r="J527" s="6" t="str">
        <f>IFERROR(_xlfn.LET(_xlpm.v,
VLOOKUP($I527,効果!$A:$B,COLUMN(効果!B$1),FALSE),
IF(_xlpm.v=0,"",_xlpm.v)
),"")</f>
        <v/>
      </c>
      <c r="L527" s="15" t="str">
        <f>IF(OR(COUNTIF(クラス!$A$1:$A$1035, $B527),$B527="",COUNTIF(スキル一覧!$A$1:$A$3500, $B527)), "", "存在しない")</f>
        <v/>
      </c>
      <c r="M527" s="2" t="str">
        <f>IF(COUNTIF($B$1:$C526, $B527), "", "存在しない")</f>
        <v/>
      </c>
      <c r="N527" s="2" t="s">
        <v>1196</v>
      </c>
    </row>
    <row r="528" spans="1:14" hidden="1" outlineLevel="1" x14ac:dyDescent="0.4">
      <c r="A528" s="2">
        <v>3</v>
      </c>
      <c r="E528" s="13" t="s">
        <v>129</v>
      </c>
      <c r="J528" s="6" t="str">
        <f>IFERROR(_xlfn.LET(_xlpm.v,
VLOOKUP($I528,効果!$A:$B,COLUMN(効果!B$1),FALSE),
IF(_xlpm.v=0,"",_xlpm.v)
),"")</f>
        <v/>
      </c>
      <c r="L528" s="15" t="str">
        <f>IF(OR(COUNTIF(クラス!$A$1:$A$1035, $B528),$B528="",COUNTIF(スキル一覧!$A$1:$A$3500, $B528)), "", "存在しない")</f>
        <v/>
      </c>
      <c r="M528" s="2" t="str">
        <f>IF(COUNTIF($B$1:$C527, $B528), "", "存在しない")</f>
        <v>存在しない</v>
      </c>
      <c r="N528" s="2" t="s">
        <v>1196</v>
      </c>
    </row>
    <row r="529" spans="1:14" hidden="1" outlineLevel="1" x14ac:dyDescent="0.4">
      <c r="A529" s="2">
        <v>4</v>
      </c>
      <c r="J529" s="6" t="str">
        <f>IFERROR(_xlfn.LET(_xlpm.v,
VLOOKUP($I529,効果!$A:$B,COLUMN(効果!B$1),FALSE),
IF(_xlpm.v=0,"",_xlpm.v)
),"")</f>
        <v/>
      </c>
      <c r="L529" s="15" t="str">
        <f>IF(OR(COUNTIF(クラス!$A$1:$A$1035, $B529),$B529="",COUNTIF(スキル一覧!$A$1:$A$3500, $B529)), "", "存在しない")</f>
        <v/>
      </c>
      <c r="M529" s="2" t="str">
        <f>IF(COUNTIF($B$1:$C528, $B529), "", "存在しない")</f>
        <v>存在しない</v>
      </c>
      <c r="N529" s="2" t="s">
        <v>1196</v>
      </c>
    </row>
    <row r="530" spans="1:14" hidden="1" outlineLevel="1" x14ac:dyDescent="0.4">
      <c r="A530" s="2">
        <v>5</v>
      </c>
      <c r="J530" s="6" t="str">
        <f>IFERROR(_xlfn.LET(_xlpm.v,
VLOOKUP($I530,効果!$A:$B,COLUMN(効果!B$1),FALSE),
IF(_xlpm.v=0,"",_xlpm.v)
),"")</f>
        <v/>
      </c>
      <c r="L530" s="15" t="str">
        <f>IF(OR(COUNTIF(クラス!$A$1:$A$1035, $B530),$B530="",COUNTIF(スキル一覧!$A$1:$A$3500, $B530)), "", "存在しない")</f>
        <v/>
      </c>
      <c r="M530" s="2" t="str">
        <f>IF(COUNTIF($B$1:$C529, $B530), "", "存在しない")</f>
        <v>存在しない</v>
      </c>
      <c r="N530" s="2" t="s">
        <v>1196</v>
      </c>
    </row>
    <row r="531" spans="1:14" hidden="1" outlineLevel="1" x14ac:dyDescent="0.4">
      <c r="A531" s="2">
        <v>6</v>
      </c>
      <c r="E531" s="13" t="s">
        <v>129</v>
      </c>
      <c r="J531" s="6" t="str">
        <f>IFERROR(_xlfn.LET(_xlpm.v,
VLOOKUP($I531,効果!$A:$B,COLUMN(効果!B$1),FALSE),
IF(_xlpm.v=0,"",_xlpm.v)
),"")</f>
        <v/>
      </c>
      <c r="L531" s="15" t="str">
        <f>IF(OR(COUNTIF(クラス!$A$1:$A$1035, $B531),$B531="",COUNTIF(スキル一覧!$A$1:$A$3500, $B531)), "", "存在しない")</f>
        <v/>
      </c>
      <c r="M531" s="2" t="str">
        <f>IF(COUNTIF($B$1:$C530, $B531), "", "存在しない")</f>
        <v>存在しない</v>
      </c>
      <c r="N531" s="2" t="s">
        <v>1196</v>
      </c>
    </row>
    <row r="532" spans="1:14" hidden="1" outlineLevel="1" x14ac:dyDescent="0.4">
      <c r="A532" s="2">
        <v>7</v>
      </c>
      <c r="J532" s="6" t="str">
        <f>IFERROR(_xlfn.LET(_xlpm.v,
VLOOKUP($I532,効果!$A:$B,COLUMN(効果!B$1),FALSE),
IF(_xlpm.v=0,"",_xlpm.v)
),"")</f>
        <v/>
      </c>
      <c r="L532" s="15" t="str">
        <f>IF(OR(COUNTIF(クラス!$A$1:$A$1035, $B532),$B532="",COUNTIF(スキル一覧!$A$1:$A$3500, $B532)), "", "存在しない")</f>
        <v/>
      </c>
      <c r="M532" s="2" t="str">
        <f>IF(COUNTIF($B$1:$C531, $B532), "", "存在しない")</f>
        <v>存在しない</v>
      </c>
      <c r="N532" s="2" t="s">
        <v>1196</v>
      </c>
    </row>
    <row r="533" spans="1:14" hidden="1" outlineLevel="1" x14ac:dyDescent="0.4">
      <c r="A533" s="2">
        <v>8</v>
      </c>
      <c r="J533" s="6" t="str">
        <f>IFERROR(_xlfn.LET(_xlpm.v,
VLOOKUP($I533,効果!$A:$B,COLUMN(効果!B$1),FALSE),
IF(_xlpm.v=0,"",_xlpm.v)
),"")</f>
        <v/>
      </c>
      <c r="L533" s="15" t="str">
        <f>IF(OR(COUNTIF(クラス!$A$1:$A$1035, $B533),$B533="",COUNTIF(スキル一覧!$A$1:$A$3500, $B533)), "", "存在しない")</f>
        <v/>
      </c>
      <c r="M533" s="2" t="str">
        <f>IF(COUNTIF($B$1:$C532, $B533), "", "存在しない")</f>
        <v>存在しない</v>
      </c>
      <c r="N533" s="2" t="s">
        <v>1196</v>
      </c>
    </row>
    <row r="534" spans="1:14" hidden="1" outlineLevel="1" x14ac:dyDescent="0.4">
      <c r="A534" s="2">
        <v>9</v>
      </c>
      <c r="E534" s="13" t="s">
        <v>129</v>
      </c>
      <c r="J534" s="6" t="str">
        <f>IFERROR(_xlfn.LET(_xlpm.v,
VLOOKUP($I534,効果!$A:$B,COLUMN(効果!B$1),FALSE),
IF(_xlpm.v=0,"",_xlpm.v)
),"")</f>
        <v/>
      </c>
      <c r="L534" s="15" t="str">
        <f>IF(OR(COUNTIF(クラス!$A$1:$A$1035, $B534),$B534="",COUNTIF(スキル一覧!$A$1:$A$3500, $B534)), "", "存在しない")</f>
        <v/>
      </c>
      <c r="M534" s="2" t="str">
        <f>IF(COUNTIF($B$1:$C533, $B534), "", "存在しない")</f>
        <v>存在しない</v>
      </c>
      <c r="N534" s="2" t="s">
        <v>1196</v>
      </c>
    </row>
    <row r="535" spans="1:14" hidden="1" outlineLevel="1" x14ac:dyDescent="0.4">
      <c r="A535" s="2">
        <v>10</v>
      </c>
      <c r="J535" s="6" t="str">
        <f>IFERROR(_xlfn.LET(_xlpm.v,
VLOOKUP($I535,効果!$A:$B,COLUMN(効果!B$1),FALSE),
IF(_xlpm.v=0,"",_xlpm.v)
),"")</f>
        <v/>
      </c>
      <c r="L535" s="15" t="str">
        <f>IF(OR(COUNTIF(クラス!$A$1:$A$1035, $B535),$B535="",COUNTIF(スキル一覧!$A$1:$A$3500, $B535)), "", "存在しない")</f>
        <v/>
      </c>
      <c r="M535" s="2" t="str">
        <f>IF(COUNTIF($B$1:$C534, $B535), "", "存在しない")</f>
        <v>存在しない</v>
      </c>
      <c r="N535" s="2" t="s">
        <v>1196</v>
      </c>
    </row>
    <row r="536" spans="1:14" hidden="1" outlineLevel="1" x14ac:dyDescent="0.4">
      <c r="J536" s="6" t="str">
        <f>IFERROR(_xlfn.LET(_xlpm.v,
VLOOKUP($I536,効果!$A:$B,COLUMN(効果!B$1),FALSE),
IF(_xlpm.v=0,"",_xlpm.v)
),"")</f>
        <v/>
      </c>
      <c r="L536" s="15" t="str">
        <f>IF(OR(COUNTIF(クラス!$A$1:$A$1035, $B536),$B536="",COUNTIF(スキル一覧!$A$1:$A$3500, $B536)), "", "存在しない")</f>
        <v/>
      </c>
      <c r="M536" s="2" t="str">
        <f>IF(COUNTIF($B$1:$C535, $B536), "", "存在しない")</f>
        <v>存在しない</v>
      </c>
      <c r="N536" s="2" t="s">
        <v>1196</v>
      </c>
    </row>
    <row r="537" spans="1:14" collapsed="1" x14ac:dyDescent="0.4">
      <c r="J537" s="6" t="str">
        <f>IFERROR(_xlfn.LET(_xlpm.v,
VLOOKUP($I537,効果!$A:$B,COLUMN(効果!B$1),FALSE),
IF(_xlpm.v=0,"",_xlpm.v)
),"")</f>
        <v/>
      </c>
      <c r="L537" s="15" t="str">
        <f>IF(OR(COUNTIF(クラス!$A$1:$A$1035, $B537),$B537="",COUNTIF(スキル一覧!$A$1:$A$3500, $B537)), "", "存在しない")</f>
        <v/>
      </c>
      <c r="M537" s="2" t="str">
        <f>IF(COUNTIF($B$1:$C536, $B537), "", "存在しない")</f>
        <v>存在しない</v>
      </c>
      <c r="N537" s="2" t="s">
        <v>1196</v>
      </c>
    </row>
    <row r="538" spans="1:14" x14ac:dyDescent="0.4">
      <c r="B538" s="2" t="s">
        <v>124</v>
      </c>
      <c r="J538" s="6" t="str">
        <f>IFERROR(_xlfn.LET(_xlpm.v,
VLOOKUP($I538,効果!$A:$B,COLUMN(効果!B$1),FALSE),
IF(_xlpm.v=0,"",_xlpm.v)
),"")</f>
        <v/>
      </c>
      <c r="L538" s="15" t="str">
        <f>IF(OR(COUNTIF(クラス!$A$1:$A$1035, $B538),$B538="",COUNTIF(スキル一覧!$A$1:$A$3500, $B538)), "", "存在しない")</f>
        <v/>
      </c>
      <c r="M538" s="2" t="str">
        <f>IF(COUNTIF($B$1:$C537, $B538), "", "存在しない")</f>
        <v>存在しない</v>
      </c>
      <c r="N538" s="2" t="s">
        <v>1196</v>
      </c>
    </row>
    <row r="539" spans="1:14" hidden="1" outlineLevel="1" x14ac:dyDescent="0.4">
      <c r="A539" s="2">
        <v>1</v>
      </c>
      <c r="B539" s="2" t="s">
        <v>282</v>
      </c>
      <c r="E539" s="13" t="s">
        <v>128</v>
      </c>
      <c r="G539" s="19">
        <v>40</v>
      </c>
      <c r="H539" s="10" t="s">
        <v>325</v>
      </c>
      <c r="J539" s="6" t="str">
        <f>IFERROR(_xlfn.LET(_xlpm.v,
VLOOKUP($I539,効果!$A:$B,COLUMN(効果!B$1),FALSE),
IF(_xlpm.v=0,"",_xlpm.v)
),"")</f>
        <v/>
      </c>
      <c r="L539" s="15" t="str">
        <f>IF(OR(COUNTIF(クラス!$A$1:$A$1035, $B539),$B539="",COUNTIF(スキル一覧!$A$1:$A$3500, $B539)), "", "存在しない")</f>
        <v/>
      </c>
      <c r="M539" s="2" t="str">
        <f>IF(COUNTIF($B$1:$C538, $B539), "", "存在しない")</f>
        <v/>
      </c>
      <c r="N539" s="2" t="s">
        <v>1196</v>
      </c>
    </row>
    <row r="540" spans="1:14" hidden="1" outlineLevel="1" x14ac:dyDescent="0.4">
      <c r="A540" s="2">
        <v>2</v>
      </c>
      <c r="B540" s="2" t="s">
        <v>283</v>
      </c>
      <c r="E540" s="13" t="s">
        <v>128</v>
      </c>
      <c r="G540" s="19">
        <v>40</v>
      </c>
      <c r="J540" s="6" t="str">
        <f>IFERROR(_xlfn.LET(_xlpm.v,
VLOOKUP($I540,効果!$A:$B,COLUMN(効果!B$1),FALSE),
IF(_xlpm.v=0,"",_xlpm.v)
),"")</f>
        <v/>
      </c>
      <c r="L540" s="15" t="str">
        <f>IF(OR(COUNTIF(クラス!$A$1:$A$1035, $B540),$B540="",COUNTIF(スキル一覧!$A$1:$A$3500, $B540)), "", "存在しない")</f>
        <v/>
      </c>
      <c r="M540" s="2" t="str">
        <f>IF(COUNTIF($B$1:$C539, $B540), "", "存在しない")</f>
        <v/>
      </c>
      <c r="N540" s="2" t="s">
        <v>1196</v>
      </c>
    </row>
    <row r="541" spans="1:14" hidden="1" outlineLevel="1" x14ac:dyDescent="0.4">
      <c r="A541" s="2">
        <v>3</v>
      </c>
      <c r="J541" s="6" t="str">
        <f>IFERROR(_xlfn.LET(_xlpm.v,
VLOOKUP($I541,効果!$A:$B,COLUMN(効果!B$1),FALSE),
IF(_xlpm.v=0,"",_xlpm.v)
),"")</f>
        <v/>
      </c>
      <c r="L541" s="15" t="str">
        <f>IF(OR(COUNTIF(クラス!$A$1:$A$1035, $B541),$B541="",COUNTIF(スキル一覧!$A$1:$A$3500, $B541)), "", "存在しない")</f>
        <v/>
      </c>
      <c r="M541" s="2" t="str">
        <f>IF(COUNTIF($B$1:$C540, $B541), "", "存在しない")</f>
        <v>存在しない</v>
      </c>
      <c r="N541" s="2" t="s">
        <v>1196</v>
      </c>
    </row>
    <row r="542" spans="1:14" hidden="1" outlineLevel="1" x14ac:dyDescent="0.4">
      <c r="A542" s="2">
        <v>4</v>
      </c>
      <c r="J542" s="6" t="str">
        <f>IFERROR(_xlfn.LET(_xlpm.v,
VLOOKUP($I542,効果!$A:$B,COLUMN(効果!B$1),FALSE),
IF(_xlpm.v=0,"",_xlpm.v)
),"")</f>
        <v/>
      </c>
      <c r="L542" s="15" t="str">
        <f>IF(OR(COUNTIF(クラス!$A$1:$A$1035, $B542),$B542="",COUNTIF(スキル一覧!$A$1:$A$3500, $B542)), "", "存在しない")</f>
        <v/>
      </c>
      <c r="M542" s="2" t="str">
        <f>IF(COUNTIF($B$1:$C541, $B542), "", "存在しない")</f>
        <v>存在しない</v>
      </c>
      <c r="N542" s="2" t="s">
        <v>1196</v>
      </c>
    </row>
    <row r="543" spans="1:14" hidden="1" outlineLevel="1" x14ac:dyDescent="0.4">
      <c r="A543" s="2">
        <v>5</v>
      </c>
      <c r="J543" s="6" t="str">
        <f>IFERROR(_xlfn.LET(_xlpm.v,
VLOOKUP($I543,効果!$A:$B,COLUMN(効果!B$1),FALSE),
IF(_xlpm.v=0,"",_xlpm.v)
),"")</f>
        <v/>
      </c>
      <c r="L543" s="15" t="str">
        <f>IF(OR(COUNTIF(クラス!$A$1:$A$1035, $B543),$B543="",COUNTIF(スキル一覧!$A$1:$A$3500, $B543)), "", "存在しない")</f>
        <v/>
      </c>
      <c r="M543" s="2" t="str">
        <f>IF(COUNTIF($B$1:$C542, $B543), "", "存在しない")</f>
        <v>存在しない</v>
      </c>
      <c r="N543" s="2" t="s">
        <v>1196</v>
      </c>
    </row>
    <row r="544" spans="1:14" hidden="1" outlineLevel="1" x14ac:dyDescent="0.4">
      <c r="A544" s="2">
        <v>6</v>
      </c>
      <c r="J544" s="6" t="str">
        <f>IFERROR(_xlfn.LET(_xlpm.v,
VLOOKUP($I544,効果!$A:$B,COLUMN(効果!B$1),FALSE),
IF(_xlpm.v=0,"",_xlpm.v)
),"")</f>
        <v/>
      </c>
      <c r="L544" s="15" t="str">
        <f>IF(OR(COUNTIF(クラス!$A$1:$A$1035, $B544),$B544="",COUNTIF(スキル一覧!$A$1:$A$3500, $B544)), "", "存在しない")</f>
        <v/>
      </c>
      <c r="M544" s="2" t="str">
        <f>IF(COUNTIF($B$1:$C543, $B544), "", "存在しない")</f>
        <v>存在しない</v>
      </c>
      <c r="N544" s="2" t="s">
        <v>1196</v>
      </c>
    </row>
    <row r="545" spans="1:14" hidden="1" outlineLevel="1" x14ac:dyDescent="0.4">
      <c r="A545" s="2">
        <v>7</v>
      </c>
      <c r="J545" s="6" t="str">
        <f>IFERROR(_xlfn.LET(_xlpm.v,
VLOOKUP($I545,効果!$A:$B,COLUMN(効果!B$1),FALSE),
IF(_xlpm.v=0,"",_xlpm.v)
),"")</f>
        <v/>
      </c>
      <c r="L545" s="15" t="str">
        <f>IF(OR(COUNTIF(クラス!$A$1:$A$1035, $B545),$B545="",COUNTIF(スキル一覧!$A$1:$A$3500, $B545)), "", "存在しない")</f>
        <v/>
      </c>
      <c r="M545" s="2" t="str">
        <f>IF(COUNTIF($B$1:$C544, $B545), "", "存在しない")</f>
        <v>存在しない</v>
      </c>
      <c r="N545" s="2" t="s">
        <v>1196</v>
      </c>
    </row>
    <row r="546" spans="1:14" hidden="1" outlineLevel="1" x14ac:dyDescent="0.4">
      <c r="A546" s="2">
        <v>8</v>
      </c>
      <c r="J546" s="6" t="str">
        <f>IFERROR(_xlfn.LET(_xlpm.v,
VLOOKUP($I546,効果!$A:$B,COLUMN(効果!B$1),FALSE),
IF(_xlpm.v=0,"",_xlpm.v)
),"")</f>
        <v/>
      </c>
      <c r="L546" s="15" t="str">
        <f>IF(OR(COUNTIF(クラス!$A$1:$A$1035, $B546),$B546="",COUNTIF(スキル一覧!$A$1:$A$3500, $B546)), "", "存在しない")</f>
        <v/>
      </c>
      <c r="M546" s="2" t="str">
        <f>IF(COUNTIF($B$1:$C545, $B546), "", "存在しない")</f>
        <v>存在しない</v>
      </c>
      <c r="N546" s="2" t="s">
        <v>1196</v>
      </c>
    </row>
    <row r="547" spans="1:14" hidden="1" outlineLevel="1" x14ac:dyDescent="0.4">
      <c r="A547" s="2">
        <v>9</v>
      </c>
      <c r="J547" s="6" t="str">
        <f>IFERROR(_xlfn.LET(_xlpm.v,
VLOOKUP($I547,効果!$A:$B,COLUMN(効果!B$1),FALSE),
IF(_xlpm.v=0,"",_xlpm.v)
),"")</f>
        <v/>
      </c>
      <c r="L547" s="15" t="str">
        <f>IF(OR(COUNTIF(クラス!$A$1:$A$1035, $B547),$B547="",COUNTIF(スキル一覧!$A$1:$A$3500, $B547)), "", "存在しない")</f>
        <v/>
      </c>
      <c r="M547" s="2" t="str">
        <f>IF(COUNTIF($B$1:$C546, $B547), "", "存在しない")</f>
        <v>存在しない</v>
      </c>
      <c r="N547" s="2" t="s">
        <v>1196</v>
      </c>
    </row>
    <row r="548" spans="1:14" hidden="1" outlineLevel="1" x14ac:dyDescent="0.4">
      <c r="A548" s="2">
        <v>10</v>
      </c>
      <c r="J548" s="6" t="str">
        <f>IFERROR(_xlfn.LET(_xlpm.v,
VLOOKUP($I548,効果!$A:$B,COLUMN(効果!B$1),FALSE),
IF(_xlpm.v=0,"",_xlpm.v)
),"")</f>
        <v/>
      </c>
      <c r="L548" s="15" t="str">
        <f>IF(OR(COUNTIF(クラス!$A$1:$A$1035, $B548),$B548="",COUNTIF(スキル一覧!$A$1:$A$3500, $B548)), "", "存在しない")</f>
        <v/>
      </c>
      <c r="M548" s="2" t="str">
        <f>IF(COUNTIF($B$1:$C547, $B548), "", "存在しない")</f>
        <v>存在しない</v>
      </c>
      <c r="N548" s="2" t="s">
        <v>1196</v>
      </c>
    </row>
    <row r="549" spans="1:14" hidden="1" outlineLevel="1" x14ac:dyDescent="0.4">
      <c r="J549" s="6" t="str">
        <f>IFERROR(_xlfn.LET(_xlpm.v,
VLOOKUP($I549,効果!$A:$B,COLUMN(効果!B$1),FALSE),
IF(_xlpm.v=0,"",_xlpm.v)
),"")</f>
        <v/>
      </c>
      <c r="L549" s="15" t="str">
        <f>IF(OR(COUNTIF(クラス!$A$1:$A$1035, $B549),$B549="",COUNTIF(スキル一覧!$A$1:$A$3500, $B549)), "", "存在しない")</f>
        <v/>
      </c>
      <c r="M549" s="2" t="str">
        <f>IF(COUNTIF($B$1:$C548, $B549), "", "存在しない")</f>
        <v>存在しない</v>
      </c>
      <c r="N549" s="2" t="s">
        <v>1196</v>
      </c>
    </row>
    <row r="550" spans="1:14" collapsed="1" x14ac:dyDescent="0.4">
      <c r="J550" s="6" t="str">
        <f>IFERROR(_xlfn.LET(_xlpm.v,
VLOOKUP($I550,効果!$A:$B,COLUMN(効果!B$1),FALSE),
IF(_xlpm.v=0,"",_xlpm.v)
),"")</f>
        <v/>
      </c>
      <c r="L550" s="15" t="str">
        <f>IF(OR(COUNTIF(クラス!$A$1:$A$1035, $B550),$B550="",COUNTIF(スキル一覧!$A$1:$A$3500, $B550)), "", "存在しない")</f>
        <v/>
      </c>
      <c r="M550" s="2" t="str">
        <f>IF(COUNTIF($B$1:$C549, $B550), "", "存在しない")</f>
        <v>存在しない</v>
      </c>
      <c r="N550" s="2" t="s">
        <v>1196</v>
      </c>
    </row>
    <row r="551" spans="1:14" x14ac:dyDescent="0.4">
      <c r="B551" s="2" t="s">
        <v>125</v>
      </c>
      <c r="J551" s="6" t="str">
        <f>IFERROR(_xlfn.LET(_xlpm.v,
VLOOKUP($I551,効果!$A:$B,COLUMN(効果!B$1),FALSE),
IF(_xlpm.v=0,"",_xlpm.v)
),"")</f>
        <v/>
      </c>
      <c r="L551" s="15" t="str">
        <f>IF(OR(COUNTIF(クラス!$A$1:$A$1035, $B551),$B551="",COUNTIF(スキル一覧!$A$1:$A$3500, $B551)), "", "存在しない")</f>
        <v/>
      </c>
      <c r="M551" s="2" t="str">
        <f>IF(COUNTIF($B$1:$C550, $B551), "", "存在しない")</f>
        <v>存在しない</v>
      </c>
      <c r="N551" s="2" t="s">
        <v>1196</v>
      </c>
    </row>
    <row r="552" spans="1:14" hidden="1" outlineLevel="1" x14ac:dyDescent="0.4">
      <c r="A552" s="2">
        <v>1</v>
      </c>
      <c r="B552" s="2" t="s">
        <v>283</v>
      </c>
      <c r="E552" s="13" t="s">
        <v>128</v>
      </c>
      <c r="G552" s="19">
        <v>40</v>
      </c>
      <c r="H552" s="10" t="s">
        <v>325</v>
      </c>
      <c r="J552" s="6" t="str">
        <f>IFERROR(_xlfn.LET(_xlpm.v,
VLOOKUP($I552,効果!$A:$B,COLUMN(効果!B$1),FALSE),
IF(_xlpm.v=0,"",_xlpm.v)
),"")</f>
        <v/>
      </c>
      <c r="L552" s="15" t="str">
        <f>IF(OR(COUNTIF(クラス!$A$1:$A$1035, $B552),$B552="",COUNTIF(スキル一覧!$A$1:$A$3500, $B552)), "", "存在しない")</f>
        <v/>
      </c>
      <c r="M552" s="2" t="str">
        <f>IF(COUNTIF($B$1:$C551, $B552), "", "存在しない")</f>
        <v/>
      </c>
      <c r="N552" s="2" t="s">
        <v>1196</v>
      </c>
    </row>
    <row r="553" spans="1:14" hidden="1" outlineLevel="1" x14ac:dyDescent="0.4">
      <c r="A553" s="2">
        <v>2</v>
      </c>
      <c r="B553" s="2" t="s">
        <v>286</v>
      </c>
      <c r="E553" s="13" t="s">
        <v>128</v>
      </c>
      <c r="G553" s="19">
        <v>40</v>
      </c>
      <c r="J553" s="6" t="str">
        <f>IFERROR(_xlfn.LET(_xlpm.v,
VLOOKUP($I553,効果!$A:$B,COLUMN(効果!B$1),FALSE),
IF(_xlpm.v=0,"",_xlpm.v)
),"")</f>
        <v/>
      </c>
      <c r="L553" s="15" t="str">
        <f>IF(OR(COUNTIF(クラス!$A$1:$A$1035, $B553),$B553="",COUNTIF(スキル一覧!$A$1:$A$3500, $B553)), "", "存在しない")</f>
        <v/>
      </c>
      <c r="M553" s="2" t="str">
        <f>IF(COUNTIF($B$1:$C552, $B553), "", "存在しない")</f>
        <v/>
      </c>
      <c r="N553" s="2" t="s">
        <v>1196</v>
      </c>
    </row>
    <row r="554" spans="1:14" hidden="1" outlineLevel="1" x14ac:dyDescent="0.4">
      <c r="A554" s="2">
        <v>3</v>
      </c>
      <c r="B554" s="2" t="s">
        <v>289</v>
      </c>
      <c r="J554" s="6" t="str">
        <f>IFERROR(_xlfn.LET(_xlpm.v,
VLOOKUP($I554,効果!$A:$B,COLUMN(効果!B$1),FALSE),
IF(_xlpm.v=0,"",_xlpm.v)
),"")</f>
        <v/>
      </c>
      <c r="L554" s="15" t="str">
        <f>IF(OR(COUNTIF(クラス!$A$1:$A$1035, $B554),$B554="",COUNTIF(スキル一覧!$A$1:$A$3500, $B554)), "", "存在しない")</f>
        <v/>
      </c>
      <c r="M554" s="2" t="str">
        <f>IF(COUNTIF($B$1:$C553, $B554), "", "存在しない")</f>
        <v/>
      </c>
      <c r="N554" s="2" t="s">
        <v>1196</v>
      </c>
    </row>
    <row r="555" spans="1:14" hidden="1" outlineLevel="1" x14ac:dyDescent="0.4">
      <c r="A555" s="2">
        <v>4</v>
      </c>
      <c r="J555" s="6" t="str">
        <f>IFERROR(_xlfn.LET(_xlpm.v,
VLOOKUP($I555,効果!$A:$B,COLUMN(効果!B$1),FALSE),
IF(_xlpm.v=0,"",_xlpm.v)
),"")</f>
        <v/>
      </c>
      <c r="L555" s="15" t="str">
        <f>IF(OR(COUNTIF(クラス!$A$1:$A$1035, $B555),$B555="",COUNTIF(スキル一覧!$A$1:$A$3500, $B555)), "", "存在しない")</f>
        <v/>
      </c>
      <c r="M555" s="2" t="str">
        <f>IF(COUNTIF($B$1:$C554, $B555), "", "存在しない")</f>
        <v>存在しない</v>
      </c>
      <c r="N555" s="2" t="s">
        <v>1196</v>
      </c>
    </row>
    <row r="556" spans="1:14" hidden="1" outlineLevel="1" x14ac:dyDescent="0.4">
      <c r="A556" s="2">
        <v>5</v>
      </c>
      <c r="J556" s="6" t="str">
        <f>IFERROR(_xlfn.LET(_xlpm.v,
VLOOKUP($I556,効果!$A:$B,COLUMN(効果!B$1),FALSE),
IF(_xlpm.v=0,"",_xlpm.v)
),"")</f>
        <v/>
      </c>
      <c r="L556" s="15" t="str">
        <f>IF(OR(COUNTIF(クラス!$A$1:$A$1035, $B556),$B556="",COUNTIF(スキル一覧!$A$1:$A$3500, $B556)), "", "存在しない")</f>
        <v/>
      </c>
      <c r="M556" s="2" t="str">
        <f>IF(COUNTIF($B$1:$C555, $B556), "", "存在しない")</f>
        <v>存在しない</v>
      </c>
      <c r="N556" s="2" t="s">
        <v>1196</v>
      </c>
    </row>
    <row r="557" spans="1:14" hidden="1" outlineLevel="1" x14ac:dyDescent="0.4">
      <c r="A557" s="2">
        <v>6</v>
      </c>
      <c r="J557" s="6" t="str">
        <f>IFERROR(_xlfn.LET(_xlpm.v,
VLOOKUP($I557,効果!$A:$B,COLUMN(効果!B$1),FALSE),
IF(_xlpm.v=0,"",_xlpm.v)
),"")</f>
        <v/>
      </c>
      <c r="L557" s="15" t="str">
        <f>IF(OR(COUNTIF(クラス!$A$1:$A$1035, $B557),$B557="",COUNTIF(スキル一覧!$A$1:$A$3500, $B557)), "", "存在しない")</f>
        <v/>
      </c>
      <c r="M557" s="2" t="str">
        <f>IF(COUNTIF($B$1:$C556, $B557), "", "存在しない")</f>
        <v>存在しない</v>
      </c>
      <c r="N557" s="2" t="s">
        <v>1196</v>
      </c>
    </row>
    <row r="558" spans="1:14" hidden="1" outlineLevel="1" x14ac:dyDescent="0.4">
      <c r="A558" s="2">
        <v>7</v>
      </c>
      <c r="J558" s="6" t="str">
        <f>IFERROR(_xlfn.LET(_xlpm.v,
VLOOKUP($I558,効果!$A:$B,COLUMN(効果!B$1),FALSE),
IF(_xlpm.v=0,"",_xlpm.v)
),"")</f>
        <v/>
      </c>
      <c r="L558" s="15" t="str">
        <f>IF(OR(COUNTIF(クラス!$A$1:$A$1035, $B558),$B558="",COUNTIF(スキル一覧!$A$1:$A$3500, $B558)), "", "存在しない")</f>
        <v/>
      </c>
      <c r="M558" s="2" t="str">
        <f>IF(COUNTIF($B$1:$C557, $B558), "", "存在しない")</f>
        <v>存在しない</v>
      </c>
      <c r="N558" s="2" t="s">
        <v>1196</v>
      </c>
    </row>
    <row r="559" spans="1:14" hidden="1" outlineLevel="1" x14ac:dyDescent="0.4">
      <c r="A559" s="2">
        <v>8</v>
      </c>
      <c r="J559" s="6" t="str">
        <f>IFERROR(_xlfn.LET(_xlpm.v,
VLOOKUP($I559,効果!$A:$B,COLUMN(効果!B$1),FALSE),
IF(_xlpm.v=0,"",_xlpm.v)
),"")</f>
        <v/>
      </c>
      <c r="L559" s="15" t="str">
        <f>IF(OR(COUNTIF(クラス!$A$1:$A$1035, $B559),$B559="",COUNTIF(スキル一覧!$A$1:$A$3500, $B559)), "", "存在しない")</f>
        <v/>
      </c>
      <c r="M559" s="2" t="str">
        <f>IF(COUNTIF($B$1:$C558, $B559), "", "存在しない")</f>
        <v>存在しない</v>
      </c>
      <c r="N559" s="2" t="s">
        <v>1196</v>
      </c>
    </row>
    <row r="560" spans="1:14" hidden="1" outlineLevel="1" x14ac:dyDescent="0.4">
      <c r="A560" s="2">
        <v>9</v>
      </c>
      <c r="J560" s="6" t="str">
        <f>IFERROR(_xlfn.LET(_xlpm.v,
VLOOKUP($I560,効果!$A:$B,COLUMN(効果!B$1),FALSE),
IF(_xlpm.v=0,"",_xlpm.v)
),"")</f>
        <v/>
      </c>
      <c r="L560" s="15" t="str">
        <f>IF(OR(COUNTIF(クラス!$A$1:$A$1035, $B560),$B560="",COUNTIF(スキル一覧!$A$1:$A$3500, $B560)), "", "存在しない")</f>
        <v/>
      </c>
      <c r="M560" s="2" t="str">
        <f>IF(COUNTIF($B$1:$C559, $B560), "", "存在しない")</f>
        <v>存在しない</v>
      </c>
      <c r="N560" s="2" t="s">
        <v>1196</v>
      </c>
    </row>
    <row r="561" spans="1:14" hidden="1" outlineLevel="1" x14ac:dyDescent="0.4">
      <c r="A561" s="2">
        <v>10</v>
      </c>
      <c r="J561" s="6" t="str">
        <f>IFERROR(_xlfn.LET(_xlpm.v,
VLOOKUP($I561,効果!$A:$B,COLUMN(効果!B$1),FALSE),
IF(_xlpm.v=0,"",_xlpm.v)
),"")</f>
        <v/>
      </c>
      <c r="L561" s="15" t="str">
        <f>IF(OR(COUNTIF(クラス!$A$1:$A$1035, $B561),$B561="",COUNTIF(スキル一覧!$A$1:$A$3500, $B561)), "", "存在しない")</f>
        <v/>
      </c>
      <c r="M561" s="2" t="str">
        <f>IF(COUNTIF($B$1:$C560, $B561), "", "存在しない")</f>
        <v>存在しない</v>
      </c>
      <c r="N561" s="2" t="s">
        <v>1196</v>
      </c>
    </row>
    <row r="562" spans="1:14" hidden="1" outlineLevel="1" x14ac:dyDescent="0.4">
      <c r="J562" s="6" t="str">
        <f>IFERROR(_xlfn.LET(_xlpm.v,
VLOOKUP($I562,効果!$A:$B,COLUMN(効果!B$1),FALSE),
IF(_xlpm.v=0,"",_xlpm.v)
),"")</f>
        <v/>
      </c>
      <c r="L562" s="15" t="str">
        <f>IF(OR(COUNTIF(クラス!$A$1:$A$1035, $B562),$B562="",COUNTIF(スキル一覧!$A$1:$A$3500, $B562)), "", "存在しない")</f>
        <v/>
      </c>
      <c r="M562" s="2" t="str">
        <f>IF(COUNTIF($B$1:$C561, $B562), "", "存在しない")</f>
        <v>存在しない</v>
      </c>
      <c r="N562" s="2" t="s">
        <v>1196</v>
      </c>
    </row>
    <row r="563" spans="1:14" collapsed="1" x14ac:dyDescent="0.4">
      <c r="J563" s="6" t="str">
        <f>IFERROR(_xlfn.LET(_xlpm.v,
VLOOKUP($I563,効果!$A:$B,COLUMN(効果!B$1),FALSE),
IF(_xlpm.v=0,"",_xlpm.v)
),"")</f>
        <v/>
      </c>
      <c r="L563" s="15" t="str">
        <f>IF(OR(COUNTIF(クラス!$A$1:$A$1035, $B563),$B563="",COUNTIF(スキル一覧!$A$1:$A$3500, $B563)), "", "存在しない")</f>
        <v/>
      </c>
      <c r="M563" s="2" t="str">
        <f>IF(COUNTIF($B$1:$C562, $B563), "", "存在しない")</f>
        <v>存在しない</v>
      </c>
      <c r="N563" s="2" t="s">
        <v>1196</v>
      </c>
    </row>
    <row r="564" spans="1:14" x14ac:dyDescent="0.4">
      <c r="B564" s="2" t="s">
        <v>198</v>
      </c>
      <c r="J564" s="6" t="str">
        <f>IFERROR(_xlfn.LET(_xlpm.v,
VLOOKUP($I564,効果!$A:$B,COLUMN(効果!B$1),FALSE),
IF(_xlpm.v=0,"",_xlpm.v)
),"")</f>
        <v/>
      </c>
      <c r="L564" s="15" t="str">
        <f>IF(OR(COUNTIF(クラス!$A$1:$A$1035, $B564),$B564="",COUNTIF(スキル一覧!$A$1:$A$3500, $B564)), "", "存在しない")</f>
        <v/>
      </c>
      <c r="M564" s="2" t="str">
        <f>IF(COUNTIF($B$1:$C563, $B564), "", "存在しない")</f>
        <v>存在しない</v>
      </c>
      <c r="N564" s="2" t="s">
        <v>1196</v>
      </c>
    </row>
    <row r="565" spans="1:14" hidden="1" outlineLevel="1" x14ac:dyDescent="0.4">
      <c r="A565" s="2">
        <v>1</v>
      </c>
      <c r="B565" s="2" t="s">
        <v>282</v>
      </c>
      <c r="J565" s="6" t="str">
        <f>IFERROR(_xlfn.LET(_xlpm.v,
VLOOKUP($I565,効果!$A:$B,COLUMN(効果!B$1),FALSE),
IF(_xlpm.v=0,"",_xlpm.v)
),"")</f>
        <v/>
      </c>
      <c r="L565" s="15" t="str">
        <f>IF(OR(COUNTIF(クラス!$A$1:$A$1035, $B565),$B565="",COUNTIF(スキル一覧!$A$1:$A$3500, $B565)), "", "存在しない")</f>
        <v/>
      </c>
      <c r="M565" s="2" t="str">
        <f>IF(COUNTIF($B$1:$C564, $B565), "", "存在しない")</f>
        <v/>
      </c>
      <c r="N565" s="2" t="s">
        <v>1196</v>
      </c>
    </row>
    <row r="566" spans="1:14" hidden="1" outlineLevel="1" x14ac:dyDescent="0.4">
      <c r="A566" s="2">
        <v>2</v>
      </c>
      <c r="B566" s="2" t="s">
        <v>283</v>
      </c>
      <c r="J566" s="6" t="str">
        <f>IFERROR(_xlfn.LET(_xlpm.v,
VLOOKUP($I566,効果!$A:$B,COLUMN(効果!B$1),FALSE),
IF(_xlpm.v=0,"",_xlpm.v)
),"")</f>
        <v/>
      </c>
      <c r="L566" s="15" t="str">
        <f>IF(OR(COUNTIF(クラス!$A$1:$A$1035, $B566),$B566="",COUNTIF(スキル一覧!$A$1:$A$3500, $B566)), "", "存在しない")</f>
        <v/>
      </c>
      <c r="M566" s="2" t="str">
        <f>IF(COUNTIF($B$1:$C565, $B566), "", "存在しない")</f>
        <v/>
      </c>
      <c r="N566" s="2" t="s">
        <v>1196</v>
      </c>
    </row>
    <row r="567" spans="1:14" hidden="1" outlineLevel="1" x14ac:dyDescent="0.4">
      <c r="A567" s="2">
        <v>3</v>
      </c>
      <c r="J567" s="6" t="str">
        <f>IFERROR(_xlfn.LET(_xlpm.v,
VLOOKUP($I567,効果!$A:$B,COLUMN(効果!B$1),FALSE),
IF(_xlpm.v=0,"",_xlpm.v)
),"")</f>
        <v/>
      </c>
      <c r="L567" s="15" t="str">
        <f>IF(OR(COUNTIF(クラス!$A$1:$A$1035, $B567),$B567="",COUNTIF(スキル一覧!$A$1:$A$3500, $B567)), "", "存在しない")</f>
        <v/>
      </c>
      <c r="M567" s="2" t="str">
        <f>IF(COUNTIF($B$1:$C566, $B567), "", "存在しない")</f>
        <v>存在しない</v>
      </c>
      <c r="N567" s="2" t="s">
        <v>1196</v>
      </c>
    </row>
    <row r="568" spans="1:14" hidden="1" outlineLevel="1" x14ac:dyDescent="0.4">
      <c r="A568" s="2">
        <v>4</v>
      </c>
      <c r="J568" s="6" t="str">
        <f>IFERROR(_xlfn.LET(_xlpm.v,
VLOOKUP($I568,効果!$A:$B,COLUMN(効果!B$1),FALSE),
IF(_xlpm.v=0,"",_xlpm.v)
),"")</f>
        <v/>
      </c>
      <c r="L568" s="15" t="str">
        <f>IF(OR(COUNTIF(クラス!$A$1:$A$1035, $B568),$B568="",COUNTIF(スキル一覧!$A$1:$A$3500, $B568)), "", "存在しない")</f>
        <v/>
      </c>
      <c r="M568" s="2" t="str">
        <f>IF(COUNTIF($B$1:$C567, $B568), "", "存在しない")</f>
        <v>存在しない</v>
      </c>
      <c r="N568" s="2" t="s">
        <v>1196</v>
      </c>
    </row>
    <row r="569" spans="1:14" hidden="1" outlineLevel="1" x14ac:dyDescent="0.4">
      <c r="A569" s="2">
        <v>5</v>
      </c>
      <c r="J569" s="6" t="str">
        <f>IFERROR(_xlfn.LET(_xlpm.v,
VLOOKUP($I569,効果!$A:$B,COLUMN(効果!B$1),FALSE),
IF(_xlpm.v=0,"",_xlpm.v)
),"")</f>
        <v/>
      </c>
      <c r="L569" s="15" t="str">
        <f>IF(OR(COUNTIF(クラス!$A$1:$A$1035, $B569),$B569="",COUNTIF(スキル一覧!$A$1:$A$3500, $B569)), "", "存在しない")</f>
        <v/>
      </c>
      <c r="M569" s="2" t="str">
        <f>IF(COUNTIF($B$1:$C568, $B569), "", "存在しない")</f>
        <v>存在しない</v>
      </c>
      <c r="N569" s="2" t="s">
        <v>1196</v>
      </c>
    </row>
    <row r="570" spans="1:14" hidden="1" outlineLevel="1" x14ac:dyDescent="0.4">
      <c r="A570" s="2">
        <v>6</v>
      </c>
      <c r="J570" s="6" t="str">
        <f>IFERROR(_xlfn.LET(_xlpm.v,
VLOOKUP($I570,効果!$A:$B,COLUMN(効果!B$1),FALSE),
IF(_xlpm.v=0,"",_xlpm.v)
),"")</f>
        <v/>
      </c>
      <c r="L570" s="15" t="str">
        <f>IF(OR(COUNTIF(クラス!$A$1:$A$1035, $B570),$B570="",COUNTIF(スキル一覧!$A$1:$A$3500, $B570)), "", "存在しない")</f>
        <v/>
      </c>
      <c r="M570" s="2" t="str">
        <f>IF(COUNTIF($B$1:$C569, $B570), "", "存在しない")</f>
        <v>存在しない</v>
      </c>
      <c r="N570" s="2" t="s">
        <v>1196</v>
      </c>
    </row>
    <row r="571" spans="1:14" hidden="1" outlineLevel="1" x14ac:dyDescent="0.4">
      <c r="A571" s="2">
        <v>7</v>
      </c>
      <c r="J571" s="6" t="str">
        <f>IFERROR(_xlfn.LET(_xlpm.v,
VLOOKUP($I571,効果!$A:$B,COLUMN(効果!B$1),FALSE),
IF(_xlpm.v=0,"",_xlpm.v)
),"")</f>
        <v/>
      </c>
      <c r="L571" s="15" t="str">
        <f>IF(OR(COUNTIF(クラス!$A$1:$A$1035, $B571),$B571="",COUNTIF(スキル一覧!$A$1:$A$3500, $B571)), "", "存在しない")</f>
        <v/>
      </c>
      <c r="M571" s="2" t="str">
        <f>IF(COUNTIF($B$1:$C570, $B571), "", "存在しない")</f>
        <v>存在しない</v>
      </c>
      <c r="N571" s="2" t="s">
        <v>1196</v>
      </c>
    </row>
    <row r="572" spans="1:14" hidden="1" outlineLevel="1" x14ac:dyDescent="0.4">
      <c r="A572" s="2">
        <v>8</v>
      </c>
      <c r="J572" s="6" t="str">
        <f>IFERROR(_xlfn.LET(_xlpm.v,
VLOOKUP($I572,効果!$A:$B,COLUMN(効果!B$1),FALSE),
IF(_xlpm.v=0,"",_xlpm.v)
),"")</f>
        <v/>
      </c>
      <c r="L572" s="15" t="str">
        <f>IF(OR(COUNTIF(クラス!$A$1:$A$1035, $B572),$B572="",COUNTIF(スキル一覧!$A$1:$A$3500, $B572)), "", "存在しない")</f>
        <v/>
      </c>
      <c r="M572" s="2" t="str">
        <f>IF(COUNTIF($B$1:$C571, $B572), "", "存在しない")</f>
        <v>存在しない</v>
      </c>
      <c r="N572" s="2" t="s">
        <v>1196</v>
      </c>
    </row>
    <row r="573" spans="1:14" hidden="1" outlineLevel="1" x14ac:dyDescent="0.4">
      <c r="A573" s="2">
        <v>9</v>
      </c>
      <c r="J573" s="6" t="str">
        <f>IFERROR(_xlfn.LET(_xlpm.v,
VLOOKUP($I573,効果!$A:$B,COLUMN(効果!B$1),FALSE),
IF(_xlpm.v=0,"",_xlpm.v)
),"")</f>
        <v/>
      </c>
      <c r="L573" s="15" t="str">
        <f>IF(OR(COUNTIF(クラス!$A$1:$A$1035, $B573),$B573="",COUNTIF(スキル一覧!$A$1:$A$3500, $B573)), "", "存在しない")</f>
        <v/>
      </c>
      <c r="M573" s="2" t="str">
        <f>IF(COUNTIF($B$1:$C572, $B573), "", "存在しない")</f>
        <v>存在しない</v>
      </c>
      <c r="N573" s="2" t="s">
        <v>1196</v>
      </c>
    </row>
    <row r="574" spans="1:14" hidden="1" outlineLevel="1" x14ac:dyDescent="0.4">
      <c r="A574" s="2">
        <v>10</v>
      </c>
      <c r="J574" s="6" t="str">
        <f>IFERROR(_xlfn.LET(_xlpm.v,
VLOOKUP($I574,効果!$A:$B,COLUMN(効果!B$1),FALSE),
IF(_xlpm.v=0,"",_xlpm.v)
),"")</f>
        <v/>
      </c>
      <c r="L574" s="15" t="str">
        <f>IF(OR(COUNTIF(クラス!$A$1:$A$1035, $B574),$B574="",COUNTIF(スキル一覧!$A$1:$A$3500, $B574)), "", "存在しない")</f>
        <v/>
      </c>
      <c r="M574" s="2" t="str">
        <f>IF(COUNTIF($B$1:$C573, $B574), "", "存在しない")</f>
        <v>存在しない</v>
      </c>
      <c r="N574" s="2" t="s">
        <v>1196</v>
      </c>
    </row>
    <row r="575" spans="1:14" hidden="1" outlineLevel="1" x14ac:dyDescent="0.4">
      <c r="J575" s="6" t="str">
        <f>IFERROR(_xlfn.LET(_xlpm.v,
VLOOKUP($I575,効果!$A:$B,COLUMN(効果!B$1),FALSE),
IF(_xlpm.v=0,"",_xlpm.v)
),"")</f>
        <v/>
      </c>
      <c r="L575" s="15" t="str">
        <f>IF(OR(COUNTIF(クラス!$A$1:$A$1035, $B575),$B575="",COUNTIF(スキル一覧!$A$1:$A$3500, $B575)), "", "存在しない")</f>
        <v/>
      </c>
      <c r="M575" s="2" t="str">
        <f>IF(COUNTIF($B$1:$C574, $B575), "", "存在しない")</f>
        <v>存在しない</v>
      </c>
      <c r="N575" s="2" t="s">
        <v>1196</v>
      </c>
    </row>
    <row r="576" spans="1:14" collapsed="1" x14ac:dyDescent="0.4">
      <c r="J576" s="6" t="str">
        <f>IFERROR(_xlfn.LET(_xlpm.v,
VLOOKUP($I576,効果!$A:$B,COLUMN(効果!B$1),FALSE),
IF(_xlpm.v=0,"",_xlpm.v)
),"")</f>
        <v/>
      </c>
      <c r="L576" s="15" t="str">
        <f>IF(OR(COUNTIF(クラス!$A$1:$A$1035, $B576),$B576="",COUNTIF(スキル一覧!$A$1:$A$3500, $B576)), "", "存在しない")</f>
        <v/>
      </c>
      <c r="M576" s="2" t="str">
        <f>IF(COUNTIF($B$1:$C575, $B576), "", "存在しない")</f>
        <v>存在しない</v>
      </c>
      <c r="N576" s="2" t="s">
        <v>1196</v>
      </c>
    </row>
    <row r="577" spans="1:14" x14ac:dyDescent="0.4">
      <c r="B577" s="2" t="s">
        <v>200</v>
      </c>
      <c r="J577" s="6" t="str">
        <f>IFERROR(_xlfn.LET(_xlpm.v,
VLOOKUP($I577,効果!$A:$B,COLUMN(効果!B$1),FALSE),
IF(_xlpm.v=0,"",_xlpm.v)
),"")</f>
        <v/>
      </c>
      <c r="L577" s="15" t="str">
        <f>IF(OR(COUNTIF(クラス!$A$1:$A$1035, $B577),$B577="",COUNTIF(スキル一覧!$A$1:$A$3500, $B577)), "", "存在しない")</f>
        <v/>
      </c>
      <c r="M577" s="2" t="str">
        <f>IF(COUNTIF($B$1:$C576, $B577), "", "存在しない")</f>
        <v>存在しない</v>
      </c>
      <c r="N577" s="2" t="s">
        <v>1196</v>
      </c>
    </row>
    <row r="578" spans="1:14" hidden="1" outlineLevel="1" x14ac:dyDescent="0.4">
      <c r="A578" s="2">
        <v>1</v>
      </c>
      <c r="B578" s="2" t="s">
        <v>282</v>
      </c>
      <c r="J578" s="6" t="str">
        <f>IFERROR(_xlfn.LET(_xlpm.v,
VLOOKUP($I578,効果!$A:$B,COLUMN(効果!B$1),FALSE),
IF(_xlpm.v=0,"",_xlpm.v)
),"")</f>
        <v/>
      </c>
      <c r="L578" s="15" t="str">
        <f>IF(OR(COUNTIF(クラス!$A$1:$A$1035, $B578),$B578="",COUNTIF(スキル一覧!$A$1:$A$3500, $B578)), "", "存在しない")</f>
        <v/>
      </c>
      <c r="M578" s="2" t="str">
        <f>IF(COUNTIF($B$1:$C577, $B578), "", "存在しない")</f>
        <v/>
      </c>
      <c r="N578" s="2" t="s">
        <v>1196</v>
      </c>
    </row>
    <row r="579" spans="1:14" hidden="1" outlineLevel="1" x14ac:dyDescent="0.4">
      <c r="A579" s="2">
        <v>2</v>
      </c>
      <c r="B579" s="2" t="s">
        <v>283</v>
      </c>
      <c r="J579" s="6" t="str">
        <f>IFERROR(_xlfn.LET(_xlpm.v,
VLOOKUP($I579,効果!$A:$B,COLUMN(効果!B$1),FALSE),
IF(_xlpm.v=0,"",_xlpm.v)
),"")</f>
        <v/>
      </c>
      <c r="L579" s="15" t="str">
        <f>IF(OR(COUNTIF(クラス!$A$1:$A$1035, $B579),$B579="",COUNTIF(スキル一覧!$A$1:$A$3500, $B579)), "", "存在しない")</f>
        <v/>
      </c>
      <c r="M579" s="2" t="str">
        <f>IF(COUNTIF($B$1:$C578, $B579), "", "存在しない")</f>
        <v/>
      </c>
      <c r="N579" s="2" t="s">
        <v>1196</v>
      </c>
    </row>
    <row r="580" spans="1:14" hidden="1" outlineLevel="1" x14ac:dyDescent="0.4">
      <c r="A580" s="2">
        <v>3</v>
      </c>
      <c r="J580" s="6" t="str">
        <f>IFERROR(_xlfn.LET(_xlpm.v,
VLOOKUP($I580,効果!$A:$B,COLUMN(効果!B$1),FALSE),
IF(_xlpm.v=0,"",_xlpm.v)
),"")</f>
        <v/>
      </c>
      <c r="L580" s="15" t="str">
        <f>IF(OR(COUNTIF(クラス!$A$1:$A$1035, $B580),$B580="",COUNTIF(スキル一覧!$A$1:$A$3500, $B580)), "", "存在しない")</f>
        <v/>
      </c>
      <c r="M580" s="2" t="str">
        <f>IF(COUNTIF($B$1:$C579, $B580), "", "存在しない")</f>
        <v>存在しない</v>
      </c>
      <c r="N580" s="2" t="s">
        <v>1196</v>
      </c>
    </row>
    <row r="581" spans="1:14" hidden="1" outlineLevel="1" x14ac:dyDescent="0.4">
      <c r="A581" s="2">
        <v>4</v>
      </c>
      <c r="J581" s="6" t="str">
        <f>IFERROR(_xlfn.LET(_xlpm.v,
VLOOKUP($I581,効果!$A:$B,COLUMN(効果!B$1),FALSE),
IF(_xlpm.v=0,"",_xlpm.v)
),"")</f>
        <v/>
      </c>
      <c r="L581" s="15" t="str">
        <f>IF(OR(COUNTIF(クラス!$A$1:$A$1035, $B581),$B581="",COUNTIF(スキル一覧!$A$1:$A$3500, $B581)), "", "存在しない")</f>
        <v/>
      </c>
      <c r="M581" s="2" t="str">
        <f>IF(COUNTIF($B$1:$C580, $B581), "", "存在しない")</f>
        <v>存在しない</v>
      </c>
      <c r="N581" s="2" t="s">
        <v>1196</v>
      </c>
    </row>
    <row r="582" spans="1:14" hidden="1" outlineLevel="1" x14ac:dyDescent="0.4">
      <c r="A582" s="2">
        <v>5</v>
      </c>
      <c r="J582" s="6" t="str">
        <f>IFERROR(_xlfn.LET(_xlpm.v,
VLOOKUP($I582,効果!$A:$B,COLUMN(効果!B$1),FALSE),
IF(_xlpm.v=0,"",_xlpm.v)
),"")</f>
        <v/>
      </c>
      <c r="L582" s="15" t="str">
        <f>IF(OR(COUNTIF(クラス!$A$1:$A$1035, $B582),$B582="",COUNTIF(スキル一覧!$A$1:$A$3500, $B582)), "", "存在しない")</f>
        <v/>
      </c>
      <c r="M582" s="2" t="str">
        <f>IF(COUNTIF($B$1:$C581, $B582), "", "存在しない")</f>
        <v>存在しない</v>
      </c>
      <c r="N582" s="2" t="s">
        <v>1196</v>
      </c>
    </row>
    <row r="583" spans="1:14" hidden="1" outlineLevel="1" x14ac:dyDescent="0.4">
      <c r="A583" s="2">
        <v>6</v>
      </c>
      <c r="J583" s="6" t="str">
        <f>IFERROR(_xlfn.LET(_xlpm.v,
VLOOKUP($I583,効果!$A:$B,COLUMN(効果!B$1),FALSE),
IF(_xlpm.v=0,"",_xlpm.v)
),"")</f>
        <v/>
      </c>
      <c r="L583" s="15" t="str">
        <f>IF(OR(COUNTIF(クラス!$A$1:$A$1035, $B583),$B583="",COUNTIF(スキル一覧!$A$1:$A$3500, $B583)), "", "存在しない")</f>
        <v/>
      </c>
      <c r="M583" s="2" t="str">
        <f>IF(COUNTIF($B$1:$C582, $B583), "", "存在しない")</f>
        <v>存在しない</v>
      </c>
      <c r="N583" s="2" t="s">
        <v>1196</v>
      </c>
    </row>
    <row r="584" spans="1:14" hidden="1" outlineLevel="1" x14ac:dyDescent="0.4">
      <c r="A584" s="2">
        <v>7</v>
      </c>
      <c r="J584" s="6" t="str">
        <f>IFERROR(_xlfn.LET(_xlpm.v,
VLOOKUP($I584,効果!$A:$B,COLUMN(効果!B$1),FALSE),
IF(_xlpm.v=0,"",_xlpm.v)
),"")</f>
        <v/>
      </c>
      <c r="L584" s="15" t="str">
        <f>IF(OR(COUNTIF(クラス!$A$1:$A$1035, $B584),$B584="",COUNTIF(スキル一覧!$A$1:$A$3500, $B584)), "", "存在しない")</f>
        <v/>
      </c>
      <c r="M584" s="2" t="str">
        <f>IF(COUNTIF($B$1:$C583, $B584), "", "存在しない")</f>
        <v>存在しない</v>
      </c>
      <c r="N584" s="2" t="s">
        <v>1196</v>
      </c>
    </row>
    <row r="585" spans="1:14" hidden="1" outlineLevel="1" x14ac:dyDescent="0.4">
      <c r="A585" s="2">
        <v>8</v>
      </c>
      <c r="J585" s="6" t="str">
        <f>IFERROR(_xlfn.LET(_xlpm.v,
VLOOKUP($I585,効果!$A:$B,COLUMN(効果!B$1),FALSE),
IF(_xlpm.v=0,"",_xlpm.v)
),"")</f>
        <v/>
      </c>
      <c r="L585" s="15" t="str">
        <f>IF(OR(COUNTIF(クラス!$A$1:$A$1035, $B585),$B585="",COUNTIF(スキル一覧!$A$1:$A$3500, $B585)), "", "存在しない")</f>
        <v/>
      </c>
      <c r="M585" s="2" t="str">
        <f>IF(COUNTIF($B$1:$C584, $B585), "", "存在しない")</f>
        <v>存在しない</v>
      </c>
      <c r="N585" s="2" t="s">
        <v>1196</v>
      </c>
    </row>
    <row r="586" spans="1:14" hidden="1" outlineLevel="1" x14ac:dyDescent="0.4">
      <c r="A586" s="2">
        <v>9</v>
      </c>
      <c r="J586" s="6" t="str">
        <f>IFERROR(_xlfn.LET(_xlpm.v,
VLOOKUP($I586,効果!$A:$B,COLUMN(効果!B$1),FALSE),
IF(_xlpm.v=0,"",_xlpm.v)
),"")</f>
        <v/>
      </c>
      <c r="L586" s="15" t="str">
        <f>IF(OR(COUNTIF(クラス!$A$1:$A$1035, $B586),$B586="",COUNTIF(スキル一覧!$A$1:$A$3500, $B586)), "", "存在しない")</f>
        <v/>
      </c>
      <c r="M586" s="2" t="str">
        <f>IF(COUNTIF($B$1:$C585, $B586), "", "存在しない")</f>
        <v>存在しない</v>
      </c>
      <c r="N586" s="2" t="s">
        <v>1196</v>
      </c>
    </row>
    <row r="587" spans="1:14" hidden="1" outlineLevel="1" x14ac:dyDescent="0.4">
      <c r="A587" s="2">
        <v>10</v>
      </c>
      <c r="J587" s="6" t="str">
        <f>IFERROR(_xlfn.LET(_xlpm.v,
VLOOKUP($I587,効果!$A:$B,COLUMN(効果!B$1),FALSE),
IF(_xlpm.v=0,"",_xlpm.v)
),"")</f>
        <v/>
      </c>
      <c r="L587" s="15" t="str">
        <f>IF(OR(COUNTIF(クラス!$A$1:$A$1035, $B587),$B587="",COUNTIF(スキル一覧!$A$1:$A$3500, $B587)), "", "存在しない")</f>
        <v/>
      </c>
      <c r="M587" s="2" t="str">
        <f>IF(COUNTIF($B$1:$C586, $B587), "", "存在しない")</f>
        <v>存在しない</v>
      </c>
      <c r="N587" s="2" t="s">
        <v>1196</v>
      </c>
    </row>
    <row r="588" spans="1:14" hidden="1" outlineLevel="1" x14ac:dyDescent="0.4">
      <c r="J588" s="6" t="str">
        <f>IFERROR(_xlfn.LET(_xlpm.v,
VLOOKUP($I588,効果!$A:$B,COLUMN(効果!B$1),FALSE),
IF(_xlpm.v=0,"",_xlpm.v)
),"")</f>
        <v/>
      </c>
      <c r="L588" s="15" t="str">
        <f>IF(OR(COUNTIF(クラス!$A$1:$A$1035, $B588),$B588="",COUNTIF(スキル一覧!$A$1:$A$3500, $B588)), "", "存在しない")</f>
        <v/>
      </c>
      <c r="M588" s="2" t="str">
        <f>IF(COUNTIF($B$1:$C587, $B588), "", "存在しない")</f>
        <v>存在しない</v>
      </c>
      <c r="N588" s="2" t="s">
        <v>1196</v>
      </c>
    </row>
    <row r="589" spans="1:14" collapsed="1" x14ac:dyDescent="0.4">
      <c r="J589" s="6" t="str">
        <f>IFERROR(_xlfn.LET(_xlpm.v,
VLOOKUP($I589,効果!$A:$B,COLUMN(効果!B$1),FALSE),
IF(_xlpm.v=0,"",_xlpm.v)
),"")</f>
        <v/>
      </c>
      <c r="L589" s="15" t="str">
        <f>IF(OR(COUNTIF(クラス!$A$1:$A$1035, $B589),$B589="",COUNTIF(スキル一覧!$A$1:$A$3500, $B589)), "", "存在しない")</f>
        <v/>
      </c>
      <c r="M589" s="2" t="str">
        <f>IF(COUNTIF($B$1:$C588, $B589), "", "存在しない")</f>
        <v>存在しない</v>
      </c>
      <c r="N589" s="2" t="s">
        <v>1196</v>
      </c>
    </row>
    <row r="590" spans="1:14" x14ac:dyDescent="0.4">
      <c r="B590" s="2" t="s">
        <v>202</v>
      </c>
      <c r="J590" s="6" t="str">
        <f>IFERROR(_xlfn.LET(_xlpm.v,
VLOOKUP($I590,効果!$A:$B,COLUMN(効果!B$1),FALSE),
IF(_xlpm.v=0,"",_xlpm.v)
),"")</f>
        <v/>
      </c>
      <c r="L590" s="15" t="str">
        <f>IF(OR(COUNTIF(クラス!$A$1:$A$1035, $B590),$B590="",COUNTIF(スキル一覧!$A$1:$A$3500, $B590)), "", "存在しない")</f>
        <v/>
      </c>
      <c r="M590" s="2" t="str">
        <f>IF(COUNTIF($B$1:$C589, $B590), "", "存在しない")</f>
        <v>存在しない</v>
      </c>
      <c r="N590" s="2" t="s">
        <v>1196</v>
      </c>
    </row>
    <row r="591" spans="1:14" hidden="1" outlineLevel="1" x14ac:dyDescent="0.4">
      <c r="A591" s="2">
        <v>1</v>
      </c>
      <c r="B591" s="2" t="s">
        <v>283</v>
      </c>
      <c r="J591" s="6" t="str">
        <f>IFERROR(_xlfn.LET(_xlpm.v,
VLOOKUP($I591,効果!$A:$B,COLUMN(効果!B$1),FALSE),
IF(_xlpm.v=0,"",_xlpm.v)
),"")</f>
        <v/>
      </c>
      <c r="L591" s="15" t="str">
        <f>IF(OR(COUNTIF(クラス!$A$1:$A$1035, $B591),$B591="",COUNTIF(スキル一覧!$A$1:$A$3500, $B591)), "", "存在しない")</f>
        <v/>
      </c>
      <c r="M591" s="2" t="str">
        <f>IF(COUNTIF($B$1:$C590, $B591), "", "存在しない")</f>
        <v/>
      </c>
      <c r="N591" s="2" t="s">
        <v>1196</v>
      </c>
    </row>
    <row r="592" spans="1:14" hidden="1" outlineLevel="1" x14ac:dyDescent="0.4">
      <c r="A592" s="2">
        <v>2</v>
      </c>
      <c r="J592" s="6" t="str">
        <f>IFERROR(_xlfn.LET(_xlpm.v,
VLOOKUP($I592,効果!$A:$B,COLUMN(効果!B$1),FALSE),
IF(_xlpm.v=0,"",_xlpm.v)
),"")</f>
        <v/>
      </c>
      <c r="L592" s="15" t="str">
        <f>IF(OR(COUNTIF(クラス!$A$1:$A$1035, $B592),$B592="",COUNTIF(スキル一覧!$A$1:$A$3500, $B592)), "", "存在しない")</f>
        <v/>
      </c>
      <c r="M592" s="2" t="str">
        <f>IF(COUNTIF($B$1:$C591, $B592), "", "存在しない")</f>
        <v>存在しない</v>
      </c>
      <c r="N592" s="2" t="s">
        <v>1196</v>
      </c>
    </row>
    <row r="593" spans="1:14" hidden="1" outlineLevel="1" x14ac:dyDescent="0.4">
      <c r="A593" s="2">
        <v>3</v>
      </c>
      <c r="J593" s="6" t="str">
        <f>IFERROR(_xlfn.LET(_xlpm.v,
VLOOKUP($I593,効果!$A:$B,COLUMN(効果!B$1),FALSE),
IF(_xlpm.v=0,"",_xlpm.v)
),"")</f>
        <v/>
      </c>
      <c r="L593" s="15" t="str">
        <f>IF(OR(COUNTIF(クラス!$A$1:$A$1035, $B593),$B593="",COUNTIF(スキル一覧!$A$1:$A$3500, $B593)), "", "存在しない")</f>
        <v/>
      </c>
      <c r="M593" s="2" t="str">
        <f>IF(COUNTIF($B$1:$C592, $B593), "", "存在しない")</f>
        <v>存在しない</v>
      </c>
      <c r="N593" s="2" t="s">
        <v>1196</v>
      </c>
    </row>
    <row r="594" spans="1:14" hidden="1" outlineLevel="1" x14ac:dyDescent="0.4">
      <c r="A594" s="2">
        <v>4</v>
      </c>
      <c r="J594" s="6" t="str">
        <f>IFERROR(_xlfn.LET(_xlpm.v,
VLOOKUP($I594,効果!$A:$B,COLUMN(効果!B$1),FALSE),
IF(_xlpm.v=0,"",_xlpm.v)
),"")</f>
        <v/>
      </c>
      <c r="L594" s="15" t="str">
        <f>IF(OR(COUNTIF(クラス!$A$1:$A$1035, $B594),$B594="",COUNTIF(スキル一覧!$A$1:$A$3500, $B594)), "", "存在しない")</f>
        <v/>
      </c>
      <c r="M594" s="2" t="str">
        <f>IF(COUNTIF($B$1:$C593, $B594), "", "存在しない")</f>
        <v>存在しない</v>
      </c>
      <c r="N594" s="2" t="s">
        <v>1196</v>
      </c>
    </row>
    <row r="595" spans="1:14" hidden="1" outlineLevel="1" x14ac:dyDescent="0.4">
      <c r="A595" s="2">
        <v>5</v>
      </c>
      <c r="J595" s="6" t="str">
        <f>IFERROR(_xlfn.LET(_xlpm.v,
VLOOKUP($I595,効果!$A:$B,COLUMN(効果!B$1),FALSE),
IF(_xlpm.v=0,"",_xlpm.v)
),"")</f>
        <v/>
      </c>
      <c r="L595" s="15" t="str">
        <f>IF(OR(COUNTIF(クラス!$A$1:$A$1035, $B595),$B595="",COUNTIF(スキル一覧!$A$1:$A$3500, $B595)), "", "存在しない")</f>
        <v/>
      </c>
      <c r="M595" s="2" t="str">
        <f>IF(COUNTIF($B$1:$C594, $B595), "", "存在しない")</f>
        <v>存在しない</v>
      </c>
      <c r="N595" s="2" t="s">
        <v>1196</v>
      </c>
    </row>
    <row r="596" spans="1:14" hidden="1" outlineLevel="1" x14ac:dyDescent="0.4">
      <c r="A596" s="2">
        <v>6</v>
      </c>
      <c r="J596" s="6" t="str">
        <f>IFERROR(_xlfn.LET(_xlpm.v,
VLOOKUP($I596,効果!$A:$B,COLUMN(効果!B$1),FALSE),
IF(_xlpm.v=0,"",_xlpm.v)
),"")</f>
        <v/>
      </c>
      <c r="L596" s="15" t="str">
        <f>IF(OR(COUNTIF(クラス!$A$1:$A$1035, $B596),$B596="",COUNTIF(スキル一覧!$A$1:$A$3500, $B596)), "", "存在しない")</f>
        <v/>
      </c>
      <c r="M596" s="2" t="str">
        <f>IF(COUNTIF($B$1:$C595, $B596), "", "存在しない")</f>
        <v>存在しない</v>
      </c>
      <c r="N596" s="2" t="s">
        <v>1196</v>
      </c>
    </row>
    <row r="597" spans="1:14" hidden="1" outlineLevel="1" x14ac:dyDescent="0.4">
      <c r="A597" s="2">
        <v>7</v>
      </c>
      <c r="J597" s="6" t="str">
        <f>IFERROR(_xlfn.LET(_xlpm.v,
VLOOKUP($I597,効果!$A:$B,COLUMN(効果!B$1),FALSE),
IF(_xlpm.v=0,"",_xlpm.v)
),"")</f>
        <v/>
      </c>
      <c r="L597" s="15" t="str">
        <f>IF(OR(COUNTIF(クラス!$A$1:$A$1035, $B597),$B597="",COUNTIF(スキル一覧!$A$1:$A$3500, $B597)), "", "存在しない")</f>
        <v/>
      </c>
      <c r="M597" s="2" t="str">
        <f>IF(COUNTIF($B$1:$C596, $B597), "", "存在しない")</f>
        <v>存在しない</v>
      </c>
      <c r="N597" s="2" t="s">
        <v>1196</v>
      </c>
    </row>
    <row r="598" spans="1:14" hidden="1" outlineLevel="1" x14ac:dyDescent="0.4">
      <c r="A598" s="2">
        <v>8</v>
      </c>
      <c r="J598" s="6" t="str">
        <f>IFERROR(_xlfn.LET(_xlpm.v,
VLOOKUP($I598,効果!$A:$B,COLUMN(効果!B$1),FALSE),
IF(_xlpm.v=0,"",_xlpm.v)
),"")</f>
        <v/>
      </c>
      <c r="L598" s="15" t="str">
        <f>IF(OR(COUNTIF(クラス!$A$1:$A$1035, $B598),$B598="",COUNTIF(スキル一覧!$A$1:$A$3500, $B598)), "", "存在しない")</f>
        <v/>
      </c>
      <c r="M598" s="2" t="str">
        <f>IF(COUNTIF($B$1:$C597, $B598), "", "存在しない")</f>
        <v>存在しない</v>
      </c>
      <c r="N598" s="2" t="s">
        <v>1196</v>
      </c>
    </row>
    <row r="599" spans="1:14" hidden="1" outlineLevel="1" x14ac:dyDescent="0.4">
      <c r="A599" s="2">
        <v>9</v>
      </c>
      <c r="J599" s="6" t="str">
        <f>IFERROR(_xlfn.LET(_xlpm.v,
VLOOKUP($I599,効果!$A:$B,COLUMN(効果!B$1),FALSE),
IF(_xlpm.v=0,"",_xlpm.v)
),"")</f>
        <v/>
      </c>
      <c r="L599" s="15" t="str">
        <f>IF(OR(COUNTIF(クラス!$A$1:$A$1035, $B599),$B599="",COUNTIF(スキル一覧!$A$1:$A$3500, $B599)), "", "存在しない")</f>
        <v/>
      </c>
      <c r="M599" s="2" t="str">
        <f>IF(COUNTIF($B$1:$C598, $B599), "", "存在しない")</f>
        <v>存在しない</v>
      </c>
      <c r="N599" s="2" t="s">
        <v>1196</v>
      </c>
    </row>
    <row r="600" spans="1:14" hidden="1" outlineLevel="1" x14ac:dyDescent="0.4">
      <c r="A600" s="2">
        <v>10</v>
      </c>
      <c r="J600" s="6" t="str">
        <f>IFERROR(_xlfn.LET(_xlpm.v,
VLOOKUP($I600,効果!$A:$B,COLUMN(効果!B$1),FALSE),
IF(_xlpm.v=0,"",_xlpm.v)
),"")</f>
        <v/>
      </c>
      <c r="L600" s="15" t="str">
        <f>IF(OR(COUNTIF(クラス!$A$1:$A$1035, $B600),$B600="",COUNTIF(スキル一覧!$A$1:$A$3500, $B600)), "", "存在しない")</f>
        <v/>
      </c>
      <c r="M600" s="2" t="str">
        <f>IF(COUNTIF($B$1:$C599, $B600), "", "存在しない")</f>
        <v>存在しない</v>
      </c>
      <c r="N600" s="2" t="s">
        <v>1196</v>
      </c>
    </row>
    <row r="601" spans="1:14" hidden="1" outlineLevel="1" x14ac:dyDescent="0.4">
      <c r="J601" s="6" t="str">
        <f>IFERROR(_xlfn.LET(_xlpm.v,
VLOOKUP($I601,効果!$A:$B,COLUMN(効果!B$1),FALSE),
IF(_xlpm.v=0,"",_xlpm.v)
),"")</f>
        <v/>
      </c>
      <c r="L601" s="15" t="str">
        <f>IF(OR(COUNTIF(クラス!$A$1:$A$1035, $B601),$B601="",COUNTIF(スキル一覧!$A$1:$A$3500, $B601)), "", "存在しない")</f>
        <v/>
      </c>
      <c r="M601" s="2" t="str">
        <f>IF(COUNTIF($B$1:$C600, $B601), "", "存在しない")</f>
        <v>存在しない</v>
      </c>
      <c r="N601" s="2" t="s">
        <v>1196</v>
      </c>
    </row>
    <row r="602" spans="1:14" collapsed="1" x14ac:dyDescent="0.4">
      <c r="J602" s="6" t="str">
        <f>IFERROR(_xlfn.LET(_xlpm.v,
VLOOKUP($I602,効果!$A:$B,COLUMN(効果!B$1),FALSE),
IF(_xlpm.v=0,"",_xlpm.v)
),"")</f>
        <v/>
      </c>
      <c r="L602" s="15" t="str">
        <f>IF(OR(COUNTIF(クラス!$A$1:$A$1035, $B602),$B602="",COUNTIF(スキル一覧!$A$1:$A$3500, $B602)), "", "存在しない")</f>
        <v/>
      </c>
      <c r="M602" s="2" t="str">
        <f>IF(COUNTIF($B$1:$C601, $B602), "", "存在しない")</f>
        <v>存在しない</v>
      </c>
      <c r="N602" s="2" t="s">
        <v>1196</v>
      </c>
    </row>
    <row r="603" spans="1:14" x14ac:dyDescent="0.4">
      <c r="J603" s="6" t="str">
        <f>IFERROR(_xlfn.LET(_xlpm.v,
VLOOKUP($I603,効果!$A:$B,COLUMN(効果!B$1),FALSE),
IF(_xlpm.v=0,"",_xlpm.v)
),"")</f>
        <v/>
      </c>
      <c r="L603" s="15" t="str">
        <f>IF(OR(COUNTIF(クラス!$A$1:$A$1035, $B603),$B603="",COUNTIF(スキル一覧!$A$1:$A$3500, $B603)), "", "存在しない")</f>
        <v/>
      </c>
      <c r="M603" s="2" t="str">
        <f>IF(COUNTIF($B$1:$C602, $B603), "", "存在しない")</f>
        <v>存在しない</v>
      </c>
      <c r="N603" s="2" t="s">
        <v>1196</v>
      </c>
    </row>
    <row r="604" spans="1:14" ht="18.75" x14ac:dyDescent="0.4">
      <c r="B604" t="s">
        <v>811</v>
      </c>
      <c r="D604" s="7" t="s">
        <v>817</v>
      </c>
      <c r="E604" s="13" t="s">
        <v>818</v>
      </c>
      <c r="J604" s="6" t="str">
        <f>IFERROR(_xlfn.LET(_xlpm.v,
VLOOKUP($I604,効果!$A:$B,COLUMN(効果!B$1),FALSE),
IF(_xlpm.v=0,"",_xlpm.v)
),"")</f>
        <v/>
      </c>
      <c r="L604" s="15" t="str">
        <f>IF(OR(COUNTIF(クラス!$A$1:$A$1035, $B604),$B604="",COUNTIF(スキル一覧!$A$1:$A$3500, $B604)), "", "存在しない")</f>
        <v/>
      </c>
      <c r="M604" s="2" t="str">
        <f>IF(COUNTIF($B$1:$C603, $B604), "", "存在しない")</f>
        <v>存在しない</v>
      </c>
      <c r="N604" s="2" t="s">
        <v>1196</v>
      </c>
    </row>
    <row r="605" spans="1:14" hidden="1" outlineLevel="1" x14ac:dyDescent="0.4">
      <c r="A605" s="2">
        <v>1</v>
      </c>
      <c r="B605" s="2" t="str">
        <f>D604&amp;"の適用"</f>
        <v>炎の適用</v>
      </c>
      <c r="D605" s="7"/>
      <c r="E605" s="13" t="s">
        <v>469</v>
      </c>
      <c r="H605" s="10" t="str">
        <f>D604&amp;"耐性+30"</f>
        <v>炎耐性+30</v>
      </c>
      <c r="J605" s="6" t="str">
        <f>IFERROR(_xlfn.LET(_xlpm.v,
VLOOKUP($I605,効果!$A:$B,COLUMN(効果!B$1),FALSE),
IF(_xlpm.v=0,"",_xlpm.v)
),"")</f>
        <v/>
      </c>
      <c r="L605" s="15" t="str">
        <f>IF(OR(COUNTIF(クラス!$A$1:$A$1035, $B605),$B605="",COUNTIF(スキル一覧!$A$1:$A$3500, $B605)), "", "存在しない")</f>
        <v>存在しない</v>
      </c>
      <c r="M605" s="2" t="str">
        <f>IF(COUNTIF($B$1:$C604, $B605), "", "存在しない")</f>
        <v>存在しない</v>
      </c>
      <c r="N605" s="2" t="e">
        <v>#VALUE!</v>
      </c>
    </row>
    <row r="606" spans="1:14" hidden="1" outlineLevel="1" x14ac:dyDescent="0.4">
      <c r="A606" s="2">
        <v>2</v>
      </c>
      <c r="D606" s="7"/>
      <c r="J606" s="6" t="str">
        <f>IFERROR(_xlfn.LET(_xlpm.v,
VLOOKUP($I606,効果!$A:$B,COLUMN(効果!B$1),FALSE),
IF(_xlpm.v=0,"",_xlpm.v)
),"")</f>
        <v/>
      </c>
      <c r="L606" s="15" t="str">
        <f>IF(OR(COUNTIF(クラス!$A$1:$A$1035, $B606),$B606="",COUNTIF(スキル一覧!$A$1:$A$3500, $B606)), "", "存在しない")</f>
        <v/>
      </c>
      <c r="M606" s="2" t="str">
        <f>IF(COUNTIF($B$1:$C605, $B606), "", "存在しない")</f>
        <v>存在しない</v>
      </c>
      <c r="N606" s="2" t="s">
        <v>1196</v>
      </c>
    </row>
    <row r="607" spans="1:14" ht="36" hidden="1" outlineLevel="1" x14ac:dyDescent="0.4">
      <c r="A607" s="2">
        <v>3</v>
      </c>
      <c r="B607" s="2" t="str">
        <f>D604&amp;"の体"</f>
        <v>炎の体</v>
      </c>
      <c r="D607" s="7"/>
      <c r="E607" s="13" t="s">
        <v>732</v>
      </c>
      <c r="F607" s="14">
        <v>5</v>
      </c>
      <c r="G607" s="19">
        <v>20</v>
      </c>
      <c r="H607" s="10" t="str">
        <f>"効果時間6t 攻撃手段:肉体 "&amp;D604&amp;"+15 判定:攻撃"</f>
        <v>効果時間6t 攻撃手段:肉体 炎+15 判定:攻撃</v>
      </c>
      <c r="J607" s="6" t="str">
        <f>IFERROR(_xlfn.LET(_xlpm.v,
VLOOKUP($I607,効果!$A:$B,COLUMN(効果!B$1),FALSE),
IF(_xlpm.v=0,"",_xlpm.v)
),"")</f>
        <v/>
      </c>
      <c r="L607" s="15" t="str">
        <f>IF(OR(COUNTIF(クラス!$A$1:$A$1035, $B607),$B607="",COUNTIF(スキル一覧!$A$1:$A$3500, $B607)), "", "存在しない")</f>
        <v>存在しない</v>
      </c>
      <c r="M607" s="2" t="str">
        <f>IF(COUNTIF($B$1:$C606, $B607), "", "存在しない")</f>
        <v>存在しない</v>
      </c>
      <c r="N607" s="2" t="e">
        <v>#VALUE!</v>
      </c>
    </row>
    <row r="608" spans="1:14" hidden="1" outlineLevel="1" x14ac:dyDescent="0.4">
      <c r="A608" s="2">
        <v>4</v>
      </c>
      <c r="D608" s="7"/>
      <c r="J608" s="6" t="str">
        <f>IFERROR(_xlfn.LET(_xlpm.v,
VLOOKUP($I608,効果!$A:$B,COLUMN(効果!B$1),FALSE),
IF(_xlpm.v=0,"",_xlpm.v)
),"")</f>
        <v/>
      </c>
      <c r="L608" s="15" t="str">
        <f>IF(OR(COUNTIF(クラス!$A$1:$A$1035, $B608),$B608="",COUNTIF(スキル一覧!$A$1:$A$3500, $B608)), "", "存在しない")</f>
        <v/>
      </c>
      <c r="M608" s="2" t="str">
        <f>IF(COUNTIF($B$1:$C607, $B608), "", "存在しない")</f>
        <v>存在しない</v>
      </c>
      <c r="N608" s="2" t="s">
        <v>1196</v>
      </c>
    </row>
    <row r="609" spans="1:14" hidden="1" outlineLevel="1" x14ac:dyDescent="0.4">
      <c r="A609" s="2">
        <v>5</v>
      </c>
      <c r="D609" s="7"/>
      <c r="E609" s="13" t="s">
        <v>469</v>
      </c>
      <c r="J609" s="6" t="str">
        <f>IFERROR(_xlfn.LET(_xlpm.v,
VLOOKUP($I609,効果!$A:$B,COLUMN(効果!B$1),FALSE),
IF(_xlpm.v=0,"",_xlpm.v)
),"")</f>
        <v/>
      </c>
      <c r="L609" s="15" t="str">
        <f>IF(OR(COUNTIF(クラス!$A$1:$A$1035, $B609),$B609="",COUNTIF(スキル一覧!$A$1:$A$3500, $B609)), "", "存在しない")</f>
        <v/>
      </c>
      <c r="M609" s="2" t="str">
        <f>IF(COUNTIF($B$1:$C608, $B609), "", "存在しない")</f>
        <v>存在しない</v>
      </c>
      <c r="N609" s="2" t="s">
        <v>1196</v>
      </c>
    </row>
    <row r="610" spans="1:14" ht="36" hidden="1" outlineLevel="1" x14ac:dyDescent="0.4">
      <c r="A610" s="2">
        <v>6</v>
      </c>
      <c r="B610" s="2" t="str">
        <f>E604&amp;"突撃"</f>
        <v>火炎突撃</v>
      </c>
      <c r="D610" s="7" t="str">
        <f>D604</f>
        <v>炎</v>
      </c>
      <c r="E610" s="13" t="s">
        <v>732</v>
      </c>
      <c r="F610" s="14">
        <v>5</v>
      </c>
      <c r="G610" s="19">
        <v>60</v>
      </c>
      <c r="H610" s="10" t="str">
        <f>"攻撃手段:肉体 打撃+15 "&amp;D604&amp;"+20 追加威力:速度 判定:攻撃 溜め:1t CT:5t"</f>
        <v>攻撃手段:肉体 打撃+15 炎+20 追加威力:速度 判定:攻撃 溜め:1t CT:5t</v>
      </c>
      <c r="J610" s="6" t="str">
        <f>IFERROR(_xlfn.LET(_xlpm.v,
VLOOKUP($I610,効果!$A:$B,COLUMN(効果!B$1),FALSE),
IF(_xlpm.v=0,"",_xlpm.v)
),"")</f>
        <v/>
      </c>
      <c r="L610" s="15" t="str">
        <f>IF(OR(COUNTIF(クラス!$A$1:$A$1035, $B610),$B610="",COUNTIF(スキル一覧!$A$1:$A$3500, $B610)), "", "存在しない")</f>
        <v>存在しない</v>
      </c>
      <c r="M610" s="2" t="str">
        <f>IF(COUNTIF($B$1:$C609, $B610), "", "存在しない")</f>
        <v>存在しない</v>
      </c>
      <c r="N610" s="2" t="e">
        <v>#VALUE!</v>
      </c>
    </row>
    <row r="611" spans="1:14" hidden="1" outlineLevel="1" x14ac:dyDescent="0.4">
      <c r="A611" s="2">
        <v>7</v>
      </c>
      <c r="D611" s="7"/>
      <c r="J611" s="6" t="str">
        <f>IFERROR(_xlfn.LET(_xlpm.v,
VLOOKUP($I611,効果!$A:$B,COLUMN(効果!B$1),FALSE),
IF(_xlpm.v=0,"",_xlpm.v)
),"")</f>
        <v/>
      </c>
      <c r="L611" s="15" t="str">
        <f>IF(OR(COUNTIF(クラス!$A$1:$A$1035, $B611),$B611="",COUNTIF(スキル一覧!$A$1:$A$3500, $B611)), "", "存在しない")</f>
        <v/>
      </c>
      <c r="M611" s="2" t="str">
        <f>IF(COUNTIF($B$1:$C610, $B611), "", "存在しない")</f>
        <v>存在しない</v>
      </c>
      <c r="N611" s="2" t="s">
        <v>1196</v>
      </c>
    </row>
    <row r="612" spans="1:14" hidden="1" outlineLevel="1" x14ac:dyDescent="0.4">
      <c r="A612" s="2">
        <v>8</v>
      </c>
      <c r="D612" s="7"/>
      <c r="J612" s="6" t="str">
        <f>IFERROR(_xlfn.LET(_xlpm.v,
VLOOKUP($I612,効果!$A:$B,COLUMN(効果!B$1),FALSE),
IF(_xlpm.v=0,"",_xlpm.v)
),"")</f>
        <v/>
      </c>
      <c r="L612" s="15" t="str">
        <f>IF(OR(COUNTIF(クラス!$A$1:$A$1035, $B612),$B612="",COUNTIF(スキル一覧!$A$1:$A$3500, $B612)), "", "存在しない")</f>
        <v/>
      </c>
      <c r="M612" s="2" t="str">
        <f>IF(COUNTIF($B$1:$C611, $B612), "", "存在しない")</f>
        <v>存在しない</v>
      </c>
      <c r="N612" s="2" t="s">
        <v>1196</v>
      </c>
    </row>
    <row r="613" spans="1:14" hidden="1" outlineLevel="1" x14ac:dyDescent="0.4">
      <c r="A613" s="2">
        <v>9</v>
      </c>
      <c r="B613" s="2" t="str">
        <f>D604&amp;"強化"</f>
        <v>炎強化</v>
      </c>
      <c r="D613" s="7"/>
      <c r="E613" s="13" t="s">
        <v>469</v>
      </c>
      <c r="H613" s="10" t="str">
        <f>"条件系統:"&amp;D604&amp;" 全威力+10"</f>
        <v>条件系統:炎 全威力+10</v>
      </c>
      <c r="J613" s="6" t="str">
        <f>IFERROR(_xlfn.LET(_xlpm.v,
VLOOKUP($I613,効果!$A:$B,COLUMN(効果!B$1),FALSE),
IF(_xlpm.v=0,"",_xlpm.v)
),"")</f>
        <v/>
      </c>
      <c r="L613" s="15" t="str">
        <f>IF(OR(COUNTIF(クラス!$A$1:$A$1035, $B613),$B613="",COUNTIF(スキル一覧!$A$1:$A$3500, $B613)), "", "存在しない")</f>
        <v>存在しない</v>
      </c>
      <c r="M613" s="2" t="str">
        <f>IF(COUNTIF($B$1:$C612, $B613), "", "存在しない")</f>
        <v>存在しない</v>
      </c>
      <c r="N613" s="2" t="e">
        <v>#VALUE!</v>
      </c>
    </row>
    <row r="614" spans="1:14" hidden="1" outlineLevel="1" x14ac:dyDescent="0.4">
      <c r="A614" s="2">
        <v>10</v>
      </c>
      <c r="B614" s="2" t="str">
        <f>D604&amp;"の唾"</f>
        <v>炎の唾</v>
      </c>
      <c r="D614" s="7" t="str">
        <f>D604</f>
        <v>炎</v>
      </c>
      <c r="E614" s="13" t="s">
        <v>732</v>
      </c>
      <c r="G614" s="19">
        <v>25</v>
      </c>
      <c r="H614" s="10" t="str">
        <f>"攻撃手段:吐息 "&amp;D604&amp;"+30 射程:20 判定:Lv"</f>
        <v>攻撃手段:吐息 炎+30 射程:20 判定:Lv</v>
      </c>
      <c r="J614" s="6" t="str">
        <f>IFERROR(_xlfn.LET(_xlpm.v,
VLOOKUP($I614,効果!$A:$B,COLUMN(効果!B$1),FALSE),
IF(_xlpm.v=0,"",_xlpm.v)
),"")</f>
        <v/>
      </c>
      <c r="L614" s="15" t="str">
        <f>IF(OR(COUNTIF(クラス!$A$1:$A$1035, $B614),$B614="",COUNTIF(スキル一覧!$A$1:$A$3500, $B614)), "", "存在しない")</f>
        <v>存在しない</v>
      </c>
      <c r="M614" s="2" t="str">
        <f>IF(COUNTIF($B$1:$C613, $B614), "", "存在しない")</f>
        <v>存在しない</v>
      </c>
      <c r="N614" s="2" t="e">
        <v>#VALUE!</v>
      </c>
    </row>
    <row r="615" spans="1:14" hidden="1" outlineLevel="1" x14ac:dyDescent="0.4">
      <c r="J615" s="6" t="str">
        <f>IFERROR(_xlfn.LET(_xlpm.v,
VLOOKUP($I615,効果!$A:$B,COLUMN(効果!B$1),FALSE),
IF(_xlpm.v=0,"",_xlpm.v)
),"")</f>
        <v/>
      </c>
      <c r="L615" s="15" t="str">
        <f>IF(OR(COUNTIF(クラス!$A$1:$A$1035, $B615),$B615="",COUNTIF(スキル一覧!$A$1:$A$3500, $B615)), "", "存在しない")</f>
        <v/>
      </c>
      <c r="M615" s="2" t="str">
        <f>IF(COUNTIF($B$1:$C614, $B615), "", "存在しない")</f>
        <v>存在しない</v>
      </c>
      <c r="N615" s="2" t="s">
        <v>1196</v>
      </c>
    </row>
    <row r="616" spans="1:14" collapsed="1" x14ac:dyDescent="0.4">
      <c r="J616" s="6" t="str">
        <f>IFERROR(_xlfn.LET(_xlpm.v,
VLOOKUP($I616,効果!$A:$B,COLUMN(効果!B$1),FALSE),
IF(_xlpm.v=0,"",_xlpm.v)
),"")</f>
        <v/>
      </c>
      <c r="L616" s="15" t="str">
        <f>IF(OR(COUNTIF(クラス!$A$1:$A$1035, $B616),$B616="",COUNTIF(スキル一覧!$A$1:$A$3500, $B616)), "", "存在しない")</f>
        <v/>
      </c>
      <c r="M616" s="2" t="str">
        <f>IF(COUNTIF($B$1:$C615, $B616), "", "存在しない")</f>
        <v>存在しない</v>
      </c>
      <c r="N616" s="2" t="s">
        <v>1196</v>
      </c>
    </row>
    <row r="617" spans="1:14" ht="18.75" x14ac:dyDescent="0.4">
      <c r="B617" t="s">
        <v>812</v>
      </c>
      <c r="D617" s="2" t="s">
        <v>820</v>
      </c>
      <c r="E617" s="13" t="s">
        <v>821</v>
      </c>
      <c r="J617" s="6" t="str">
        <f>IFERROR(_xlfn.LET(_xlpm.v,
VLOOKUP($I617,効果!$A:$B,COLUMN(効果!B$1),FALSE),
IF(_xlpm.v=0,"",_xlpm.v)
),"")</f>
        <v/>
      </c>
      <c r="L617" s="15" t="str">
        <f>IF(OR(COUNTIF(クラス!$A$1:$A$1035, $B617),$B617="",COUNTIF(スキル一覧!$A$1:$A$3500, $B617)), "", "存在しない")</f>
        <v/>
      </c>
      <c r="M617" s="2" t="str">
        <f>IF(COUNTIF($B$1:$C616, $B617), "", "存在しない")</f>
        <v>存在しない</v>
      </c>
      <c r="N617" s="2" t="s">
        <v>1196</v>
      </c>
    </row>
    <row r="618" spans="1:14" hidden="1" outlineLevel="1" x14ac:dyDescent="0.4">
      <c r="A618" s="2">
        <v>1</v>
      </c>
      <c r="B618" s="2" t="str">
        <f>D617&amp;"の適用"</f>
        <v>氷の適用</v>
      </c>
      <c r="D618" s="7"/>
      <c r="E618" s="13" t="s">
        <v>469</v>
      </c>
      <c r="H618" s="10" t="str">
        <f>D617&amp;"耐性+30"</f>
        <v>氷耐性+30</v>
      </c>
      <c r="J618" s="6" t="str">
        <f>IFERROR(_xlfn.LET(_xlpm.v,
VLOOKUP($I618,効果!$A:$B,COLUMN(効果!B$1),FALSE),
IF(_xlpm.v=0,"",_xlpm.v)
),"")</f>
        <v/>
      </c>
      <c r="L618" s="15" t="str">
        <f>IF(OR(COUNTIF(クラス!$A$1:$A$1035, $B618),$B618="",COUNTIF(スキル一覧!$A$1:$A$3500, $B618)), "", "存在しない")</f>
        <v>存在しない</v>
      </c>
      <c r="M618" s="2" t="str">
        <f>IF(COUNTIF($B$1:$C617, $B618), "", "存在しない")</f>
        <v>存在しない</v>
      </c>
      <c r="N618" s="2" t="e">
        <v>#VALUE!</v>
      </c>
    </row>
    <row r="619" spans="1:14" hidden="1" outlineLevel="1" x14ac:dyDescent="0.4">
      <c r="A619" s="2">
        <v>2</v>
      </c>
      <c r="D619" s="7"/>
      <c r="J619" s="6" t="str">
        <f>IFERROR(_xlfn.LET(_xlpm.v,
VLOOKUP($I619,効果!$A:$B,COLUMN(効果!B$1),FALSE),
IF(_xlpm.v=0,"",_xlpm.v)
),"")</f>
        <v/>
      </c>
      <c r="L619" s="15" t="str">
        <f>IF(OR(COUNTIF(クラス!$A$1:$A$1035, $B619),$B619="",COUNTIF(スキル一覧!$A$1:$A$3500, $B619)), "", "存在しない")</f>
        <v/>
      </c>
      <c r="M619" s="2" t="str">
        <f>IF(COUNTIF($B$1:$C618, $B619), "", "存在しない")</f>
        <v>存在しない</v>
      </c>
      <c r="N619" s="2" t="s">
        <v>1196</v>
      </c>
    </row>
    <row r="620" spans="1:14" ht="36" hidden="1" outlineLevel="1" x14ac:dyDescent="0.4">
      <c r="A620" s="2">
        <v>3</v>
      </c>
      <c r="B620" s="2" t="str">
        <f>D617&amp;"の体"</f>
        <v>氷の体</v>
      </c>
      <c r="D620" s="7"/>
      <c r="E620" s="13" t="s">
        <v>732</v>
      </c>
      <c r="F620" s="14">
        <v>5</v>
      </c>
      <c r="G620" s="19">
        <v>20</v>
      </c>
      <c r="H620" s="10" t="str">
        <f>"効果時間6t 攻撃手段:肉体 "&amp;D617&amp;"+15 判定:攻撃"</f>
        <v>効果時間6t 攻撃手段:肉体 氷+15 判定:攻撃</v>
      </c>
      <c r="J620" s="6" t="str">
        <f>IFERROR(_xlfn.LET(_xlpm.v,
VLOOKUP($I620,効果!$A:$B,COLUMN(効果!B$1),FALSE),
IF(_xlpm.v=0,"",_xlpm.v)
),"")</f>
        <v/>
      </c>
      <c r="L620" s="15" t="str">
        <f>IF(OR(COUNTIF(クラス!$A$1:$A$1035, $B620),$B620="",COUNTIF(スキル一覧!$A$1:$A$3500, $B620)), "", "存在しない")</f>
        <v>存在しない</v>
      </c>
      <c r="M620" s="2" t="str">
        <f>IF(COUNTIF($B$1:$C619, $B620), "", "存在しない")</f>
        <v>存在しない</v>
      </c>
      <c r="N620" s="2" t="e">
        <v>#VALUE!</v>
      </c>
    </row>
    <row r="621" spans="1:14" hidden="1" outlineLevel="1" x14ac:dyDescent="0.4">
      <c r="A621" s="2">
        <v>4</v>
      </c>
      <c r="D621" s="7"/>
      <c r="J621" s="6" t="str">
        <f>IFERROR(_xlfn.LET(_xlpm.v,
VLOOKUP($I621,効果!$A:$B,COLUMN(効果!B$1),FALSE),
IF(_xlpm.v=0,"",_xlpm.v)
),"")</f>
        <v/>
      </c>
      <c r="L621" s="15" t="str">
        <f>IF(OR(COUNTIF(クラス!$A$1:$A$1035, $B621),$B621="",COUNTIF(スキル一覧!$A$1:$A$3500, $B621)), "", "存在しない")</f>
        <v/>
      </c>
      <c r="M621" s="2" t="str">
        <f>IF(COUNTIF($B$1:$C620, $B621), "", "存在しない")</f>
        <v>存在しない</v>
      </c>
      <c r="N621" s="2" t="s">
        <v>1196</v>
      </c>
    </row>
    <row r="622" spans="1:14" hidden="1" outlineLevel="1" x14ac:dyDescent="0.4">
      <c r="A622" s="2">
        <v>5</v>
      </c>
      <c r="D622" s="7"/>
      <c r="E622" s="13" t="s">
        <v>469</v>
      </c>
      <c r="J622" s="6" t="str">
        <f>IFERROR(_xlfn.LET(_xlpm.v,
VLOOKUP($I622,効果!$A:$B,COLUMN(効果!B$1),FALSE),
IF(_xlpm.v=0,"",_xlpm.v)
),"")</f>
        <v/>
      </c>
      <c r="L622" s="15" t="str">
        <f>IF(OR(COUNTIF(クラス!$A$1:$A$1035, $B622),$B622="",COUNTIF(スキル一覧!$A$1:$A$3500, $B622)), "", "存在しない")</f>
        <v/>
      </c>
      <c r="M622" s="2" t="str">
        <f>IF(COUNTIF($B$1:$C621, $B622), "", "存在しない")</f>
        <v>存在しない</v>
      </c>
      <c r="N622" s="2" t="s">
        <v>1196</v>
      </c>
    </row>
    <row r="623" spans="1:14" ht="36" hidden="1" outlineLevel="1" x14ac:dyDescent="0.4">
      <c r="A623" s="2">
        <v>6</v>
      </c>
      <c r="B623" s="2" t="str">
        <f>E617&amp;"突撃"</f>
        <v>氷結突撃</v>
      </c>
      <c r="D623" s="7" t="str">
        <f>D617</f>
        <v>氷</v>
      </c>
      <c r="E623" s="13" t="s">
        <v>732</v>
      </c>
      <c r="F623" s="14">
        <v>5</v>
      </c>
      <c r="G623" s="19">
        <v>60</v>
      </c>
      <c r="H623" s="10" t="str">
        <f>"攻撃手段:肉体 打撃+15 "&amp;D617&amp;"+20 追加威力:速度 判定:攻撃 溜め:1t CT:5t"</f>
        <v>攻撃手段:肉体 打撃+15 氷+20 追加威力:速度 判定:攻撃 溜め:1t CT:5t</v>
      </c>
      <c r="J623" s="6" t="str">
        <f>IFERROR(_xlfn.LET(_xlpm.v,
VLOOKUP($I623,効果!$A:$B,COLUMN(効果!B$1),FALSE),
IF(_xlpm.v=0,"",_xlpm.v)
),"")</f>
        <v/>
      </c>
      <c r="L623" s="15" t="str">
        <f>IF(OR(COUNTIF(クラス!$A$1:$A$1035, $B623),$B623="",COUNTIF(スキル一覧!$A$1:$A$3500, $B623)), "", "存在しない")</f>
        <v>存在しない</v>
      </c>
      <c r="M623" s="2" t="str">
        <f>IF(COUNTIF($B$1:$C622, $B623), "", "存在しない")</f>
        <v>存在しない</v>
      </c>
      <c r="N623" s="2" t="e">
        <v>#VALUE!</v>
      </c>
    </row>
    <row r="624" spans="1:14" hidden="1" outlineLevel="1" x14ac:dyDescent="0.4">
      <c r="A624" s="2">
        <v>7</v>
      </c>
      <c r="D624" s="7"/>
      <c r="J624" s="6" t="str">
        <f>IFERROR(_xlfn.LET(_xlpm.v,
VLOOKUP($I624,効果!$A:$B,COLUMN(効果!B$1),FALSE),
IF(_xlpm.v=0,"",_xlpm.v)
),"")</f>
        <v/>
      </c>
      <c r="L624" s="15" t="str">
        <f>IF(OR(COUNTIF(クラス!$A$1:$A$1035, $B624),$B624="",COUNTIF(スキル一覧!$A$1:$A$3500, $B624)), "", "存在しない")</f>
        <v/>
      </c>
      <c r="M624" s="2" t="str">
        <f>IF(COUNTIF($B$1:$C623, $B624), "", "存在しない")</f>
        <v>存在しない</v>
      </c>
      <c r="N624" s="2" t="s">
        <v>1196</v>
      </c>
    </row>
    <row r="625" spans="1:14" hidden="1" outlineLevel="1" x14ac:dyDescent="0.4">
      <c r="A625" s="2">
        <v>8</v>
      </c>
      <c r="D625" s="7"/>
      <c r="J625" s="6" t="str">
        <f>IFERROR(_xlfn.LET(_xlpm.v,
VLOOKUP($I625,効果!$A:$B,COLUMN(効果!B$1),FALSE),
IF(_xlpm.v=0,"",_xlpm.v)
),"")</f>
        <v/>
      </c>
      <c r="L625" s="15" t="str">
        <f>IF(OR(COUNTIF(クラス!$A$1:$A$1035, $B625),$B625="",COUNTIF(スキル一覧!$A$1:$A$3500, $B625)), "", "存在しない")</f>
        <v/>
      </c>
      <c r="M625" s="2" t="str">
        <f>IF(COUNTIF($B$1:$C624, $B625), "", "存在しない")</f>
        <v>存在しない</v>
      </c>
      <c r="N625" s="2" t="s">
        <v>1196</v>
      </c>
    </row>
    <row r="626" spans="1:14" hidden="1" outlineLevel="1" x14ac:dyDescent="0.4">
      <c r="A626" s="2">
        <v>9</v>
      </c>
      <c r="B626" s="2" t="str">
        <f>D617&amp;"強化"</f>
        <v>氷強化</v>
      </c>
      <c r="D626" s="7"/>
      <c r="E626" s="13" t="s">
        <v>469</v>
      </c>
      <c r="H626" s="10" t="str">
        <f>"条件系統:"&amp;D617&amp;" 全威力+10"</f>
        <v>条件系統:氷 全威力+10</v>
      </c>
      <c r="J626" s="6" t="str">
        <f>IFERROR(_xlfn.LET(_xlpm.v,
VLOOKUP($I626,効果!$A:$B,COLUMN(効果!B$1),FALSE),
IF(_xlpm.v=0,"",_xlpm.v)
),"")</f>
        <v/>
      </c>
      <c r="L626" s="15" t="str">
        <f>IF(OR(COUNTIF(クラス!$A$1:$A$1035, $B626),$B626="",COUNTIF(スキル一覧!$A$1:$A$3500, $B626)), "", "存在しない")</f>
        <v>存在しない</v>
      </c>
      <c r="M626" s="2" t="str">
        <f>IF(COUNTIF($B$1:$C625, $B626), "", "存在しない")</f>
        <v>存在しない</v>
      </c>
      <c r="N626" s="2" t="e">
        <v>#VALUE!</v>
      </c>
    </row>
    <row r="627" spans="1:14" hidden="1" outlineLevel="1" x14ac:dyDescent="0.4">
      <c r="A627" s="2">
        <v>10</v>
      </c>
      <c r="B627" s="2" t="str">
        <f>D617&amp;"の唾"</f>
        <v>氷の唾</v>
      </c>
      <c r="D627" s="7" t="str">
        <f>D617</f>
        <v>氷</v>
      </c>
      <c r="E627" s="13" t="s">
        <v>732</v>
      </c>
      <c r="G627" s="19">
        <v>25</v>
      </c>
      <c r="H627" s="10" t="str">
        <f>"攻撃手段:吐息 "&amp;D617&amp;"+30 射程:20 判定:Lv"</f>
        <v>攻撃手段:吐息 氷+30 射程:20 判定:Lv</v>
      </c>
      <c r="J627" s="6" t="str">
        <f>IFERROR(_xlfn.LET(_xlpm.v,
VLOOKUP($I627,効果!$A:$B,COLUMN(効果!B$1),FALSE),
IF(_xlpm.v=0,"",_xlpm.v)
),"")</f>
        <v/>
      </c>
      <c r="L627" s="15" t="str">
        <f>IF(OR(COUNTIF(クラス!$A$1:$A$1035, $B627),$B627="",COUNTIF(スキル一覧!$A$1:$A$3500, $B627)), "", "存在しない")</f>
        <v>存在しない</v>
      </c>
      <c r="M627" s="2" t="str">
        <f>IF(COUNTIF($B$1:$C626, $B627), "", "存在しない")</f>
        <v>存在しない</v>
      </c>
      <c r="N627" s="2" t="e">
        <v>#VALUE!</v>
      </c>
    </row>
    <row r="628" spans="1:14" hidden="1" outlineLevel="1" x14ac:dyDescent="0.4">
      <c r="J628" s="6" t="str">
        <f>IFERROR(_xlfn.LET(_xlpm.v,
VLOOKUP($I628,効果!$A:$B,COLUMN(効果!B$1),FALSE),
IF(_xlpm.v=0,"",_xlpm.v)
),"")</f>
        <v/>
      </c>
      <c r="L628" s="15" t="str">
        <f>IF(OR(COUNTIF(クラス!$A$1:$A$1035, $B628),$B628="",COUNTIF(スキル一覧!$A$1:$A$3500, $B628)), "", "存在しない")</f>
        <v/>
      </c>
      <c r="M628" s="2" t="str">
        <f>IF(COUNTIF($B$1:$C627, $B628), "", "存在しない")</f>
        <v>存在しない</v>
      </c>
      <c r="N628" s="2" t="s">
        <v>1196</v>
      </c>
    </row>
    <row r="629" spans="1:14" collapsed="1" x14ac:dyDescent="0.4">
      <c r="J629" s="6" t="str">
        <f>IFERROR(_xlfn.LET(_xlpm.v,
VLOOKUP($I629,効果!$A:$B,COLUMN(効果!B$1),FALSE),
IF(_xlpm.v=0,"",_xlpm.v)
),"")</f>
        <v/>
      </c>
      <c r="L629" s="15" t="str">
        <f>IF(OR(COUNTIF(クラス!$A$1:$A$1035, $B629),$B629="",COUNTIF(スキル一覧!$A$1:$A$3500, $B629)), "", "存在しない")</f>
        <v/>
      </c>
      <c r="M629" s="2" t="str">
        <f>IF(COUNTIF($B$1:$C628, $B629), "", "存在しない")</f>
        <v>存在しない</v>
      </c>
      <c r="N629" s="2" t="s">
        <v>1196</v>
      </c>
    </row>
    <row r="630" spans="1:14" ht="18.75" x14ac:dyDescent="0.4">
      <c r="B630" t="s">
        <v>813</v>
      </c>
      <c r="D630" s="2" t="s">
        <v>840</v>
      </c>
      <c r="E630" s="13" t="s">
        <v>851</v>
      </c>
      <c r="J630" s="6" t="str">
        <f>IFERROR(_xlfn.LET(_xlpm.v,
VLOOKUP($I630,効果!$A:$B,COLUMN(効果!B$1),FALSE),
IF(_xlpm.v=0,"",_xlpm.v)
),"")</f>
        <v/>
      </c>
      <c r="L630" s="15" t="str">
        <f>IF(OR(COUNTIF(クラス!$A$1:$A$1035, $B630),$B630="",COUNTIF(スキル一覧!$A$1:$A$3500, $B630)), "", "存在しない")</f>
        <v/>
      </c>
      <c r="M630" s="2" t="str">
        <f>IF(COUNTIF($B$1:$C629, $B630), "", "存在しない")</f>
        <v>存在しない</v>
      </c>
      <c r="N630" s="2" t="s">
        <v>1196</v>
      </c>
    </row>
    <row r="631" spans="1:14" hidden="1" outlineLevel="1" x14ac:dyDescent="0.4">
      <c r="A631" s="2">
        <v>1</v>
      </c>
      <c r="B631" s="2" t="s">
        <v>835</v>
      </c>
      <c r="D631" s="7"/>
      <c r="E631" s="13" t="s">
        <v>469</v>
      </c>
      <c r="H631" s="10" t="s">
        <v>839</v>
      </c>
      <c r="J631" s="6" t="str">
        <f>IFERROR(_xlfn.LET(_xlpm.v,
VLOOKUP($I631,効果!$A:$B,COLUMN(効果!B$1),FALSE),
IF(_xlpm.v=0,"",_xlpm.v)
),"")</f>
        <v/>
      </c>
      <c r="L631" s="15" t="str">
        <f>IF(OR(COUNTIF(クラス!$A$1:$A$1035, $B631),$B631="",COUNTIF(スキル一覧!$A$1:$A$3500, $B631)), "", "存在しない")</f>
        <v>存在しない</v>
      </c>
      <c r="M631" s="2" t="str">
        <f>IF(COUNTIF($B$1:$C630, $B631), "", "存在しない")</f>
        <v>存在しない</v>
      </c>
      <c r="N631" s="2" t="e">
        <v>#VALUE!</v>
      </c>
    </row>
    <row r="632" spans="1:14" hidden="1" outlineLevel="1" x14ac:dyDescent="0.4">
      <c r="A632" s="2">
        <v>2</v>
      </c>
      <c r="D632" s="7"/>
      <c r="J632" s="6" t="str">
        <f>IFERROR(_xlfn.LET(_xlpm.v,
VLOOKUP($I632,効果!$A:$B,COLUMN(効果!B$1),FALSE),
IF(_xlpm.v=0,"",_xlpm.v)
),"")</f>
        <v/>
      </c>
      <c r="L632" s="15" t="str">
        <f>IF(OR(COUNTIF(クラス!$A$1:$A$1035, $B632),$B632="",COUNTIF(スキル一覧!$A$1:$A$3500, $B632)), "", "存在しない")</f>
        <v/>
      </c>
      <c r="M632" s="2" t="str">
        <f>IF(COUNTIF($B$1:$C631, $B632), "", "存在しない")</f>
        <v>存在しない</v>
      </c>
      <c r="N632" s="2" t="s">
        <v>1196</v>
      </c>
    </row>
    <row r="633" spans="1:14" hidden="1" outlineLevel="1" x14ac:dyDescent="0.4">
      <c r="A633" s="2">
        <v>3</v>
      </c>
      <c r="B633" s="2" t="s">
        <v>836</v>
      </c>
      <c r="D633" s="7"/>
      <c r="E633" s="13" t="s">
        <v>732</v>
      </c>
      <c r="F633" s="14">
        <v>5</v>
      </c>
      <c r="G633" s="19">
        <v>20</v>
      </c>
      <c r="H633" s="10" t="s">
        <v>843</v>
      </c>
      <c r="I633" s="6" t="s">
        <v>277</v>
      </c>
      <c r="J633" s="6" t="str">
        <f>IFERROR(_xlfn.LET(_xlpm.v,
VLOOKUP($I633,効果!$A:$B,COLUMN(効果!B$1),FALSE),
IF(_xlpm.v=0,"",_xlpm.v)
),"")</f>
        <v>地形効果を無視する</v>
      </c>
      <c r="L633" s="15" t="str">
        <f>IF(OR(COUNTIF(クラス!$A$1:$A$1035, $B633),$B633="",COUNTIF(スキル一覧!$A$1:$A$3500, $B633)), "", "存在しない")</f>
        <v>存在しない</v>
      </c>
      <c r="M633" s="2" t="str">
        <f>IF(COUNTIF($B$1:$C632, $B633), "", "存在しない")</f>
        <v>存在しない</v>
      </c>
      <c r="N633" s="2" t="e">
        <v>#VALUE!</v>
      </c>
    </row>
    <row r="634" spans="1:14" hidden="1" outlineLevel="1" x14ac:dyDescent="0.4">
      <c r="A634" s="2">
        <v>4</v>
      </c>
      <c r="D634" s="7"/>
      <c r="J634" s="6" t="str">
        <f>IFERROR(_xlfn.LET(_xlpm.v,
VLOOKUP($I634,効果!$A:$B,COLUMN(効果!B$1),FALSE),
IF(_xlpm.v=0,"",_xlpm.v)
),"")</f>
        <v/>
      </c>
      <c r="L634" s="15" t="str">
        <f>IF(OR(COUNTIF(クラス!$A$1:$A$1035, $B634),$B634="",COUNTIF(スキル一覧!$A$1:$A$3500, $B634)), "", "存在しない")</f>
        <v/>
      </c>
      <c r="M634" s="2" t="str">
        <f>IF(COUNTIF($B$1:$C633, $B634), "", "存在しない")</f>
        <v>存在しない</v>
      </c>
      <c r="N634" s="2" t="s">
        <v>1196</v>
      </c>
    </row>
    <row r="635" spans="1:14" hidden="1" outlineLevel="1" x14ac:dyDescent="0.4">
      <c r="A635" s="2">
        <v>5</v>
      </c>
      <c r="D635" s="7"/>
      <c r="E635" s="13" t="s">
        <v>469</v>
      </c>
      <c r="J635" s="6" t="str">
        <f>IFERROR(_xlfn.LET(_xlpm.v,
VLOOKUP($I635,効果!$A:$B,COLUMN(効果!B$1),FALSE),
IF(_xlpm.v=0,"",_xlpm.v)
),"")</f>
        <v/>
      </c>
      <c r="L635" s="15" t="str">
        <f>IF(OR(COUNTIF(クラス!$A$1:$A$1035, $B635),$B635="",COUNTIF(スキル一覧!$A$1:$A$3500, $B635)), "", "存在しない")</f>
        <v/>
      </c>
      <c r="M635" s="2" t="str">
        <f>IF(COUNTIF($B$1:$C634, $B635), "", "存在しない")</f>
        <v>存在しない</v>
      </c>
      <c r="N635" s="2" t="s">
        <v>1196</v>
      </c>
    </row>
    <row r="636" spans="1:14" ht="36" hidden="1" outlineLevel="1" x14ac:dyDescent="0.4">
      <c r="A636" s="2">
        <v>6</v>
      </c>
      <c r="B636" s="2" t="s">
        <v>852</v>
      </c>
      <c r="D636" s="7" t="s">
        <v>834</v>
      </c>
      <c r="E636" s="13" t="s">
        <v>732</v>
      </c>
      <c r="F636" s="14">
        <v>5</v>
      </c>
      <c r="G636" s="19">
        <v>60</v>
      </c>
      <c r="H636" s="10" t="s">
        <v>841</v>
      </c>
      <c r="J636" s="6" t="str">
        <f>IFERROR(_xlfn.LET(_xlpm.v,
VLOOKUP($I636,効果!$A:$B,COLUMN(効果!B$1),FALSE),
IF(_xlpm.v=0,"",_xlpm.v)
),"")</f>
        <v/>
      </c>
      <c r="L636" s="15" t="str">
        <f>IF(OR(COUNTIF(クラス!$A$1:$A$1035, $B636),$B636="",COUNTIF(スキル一覧!$A$1:$A$3500, $B636)), "", "存在しない")</f>
        <v>存在しない</v>
      </c>
      <c r="M636" s="2" t="str">
        <f>IF(COUNTIF($B$1:$C635, $B636), "", "存在しない")</f>
        <v>存在しない</v>
      </c>
      <c r="N636" s="2" t="e">
        <v>#VALUE!</v>
      </c>
    </row>
    <row r="637" spans="1:14" hidden="1" outlineLevel="1" x14ac:dyDescent="0.4">
      <c r="A637" s="2">
        <v>7</v>
      </c>
      <c r="D637" s="7"/>
      <c r="J637" s="6" t="str">
        <f>IFERROR(_xlfn.LET(_xlpm.v,
VLOOKUP($I637,効果!$A:$B,COLUMN(効果!B$1),FALSE),
IF(_xlpm.v=0,"",_xlpm.v)
),"")</f>
        <v/>
      </c>
      <c r="L637" s="15" t="str">
        <f>IF(OR(COUNTIF(クラス!$A$1:$A$1035, $B637),$B637="",COUNTIF(スキル一覧!$A$1:$A$3500, $B637)), "", "存在しない")</f>
        <v/>
      </c>
      <c r="M637" s="2" t="str">
        <f>IF(COUNTIF($B$1:$C636, $B637), "", "存在しない")</f>
        <v>存在しない</v>
      </c>
      <c r="N637" s="2" t="s">
        <v>1196</v>
      </c>
    </row>
    <row r="638" spans="1:14" hidden="1" outlineLevel="1" x14ac:dyDescent="0.4">
      <c r="A638" s="2">
        <v>8</v>
      </c>
      <c r="D638" s="7"/>
      <c r="J638" s="6" t="str">
        <f>IFERROR(_xlfn.LET(_xlpm.v,
VLOOKUP($I638,効果!$A:$B,COLUMN(効果!B$1),FALSE),
IF(_xlpm.v=0,"",_xlpm.v)
),"")</f>
        <v/>
      </c>
      <c r="L638" s="15" t="str">
        <f>IF(OR(COUNTIF(クラス!$A$1:$A$1035, $B638),$B638="",COUNTIF(スキル一覧!$A$1:$A$3500, $B638)), "", "存在しない")</f>
        <v/>
      </c>
      <c r="M638" s="2" t="str">
        <f>IF(COUNTIF($B$1:$C637, $B638), "", "存在しない")</f>
        <v>存在しない</v>
      </c>
      <c r="N638" s="2" t="s">
        <v>1196</v>
      </c>
    </row>
    <row r="639" spans="1:14" hidden="1" outlineLevel="1" x14ac:dyDescent="0.4">
      <c r="A639" s="2">
        <v>9</v>
      </c>
      <c r="B639" s="2" t="s">
        <v>837</v>
      </c>
      <c r="D639" s="7"/>
      <c r="E639" s="13" t="s">
        <v>469</v>
      </c>
      <c r="H639" s="10" t="str">
        <f>"条件系統:"&amp;"風"&amp;" 全威力+10"</f>
        <v>条件系統:風 全威力+10</v>
      </c>
      <c r="J639" s="6" t="str">
        <f>IFERROR(_xlfn.LET(_xlpm.v,
VLOOKUP($I639,効果!$A:$B,COLUMN(効果!B$1),FALSE),
IF(_xlpm.v=0,"",_xlpm.v)
),"")</f>
        <v/>
      </c>
      <c r="L639" s="15" t="str">
        <f>IF(OR(COUNTIF(クラス!$A$1:$A$1035, $B639),$B639="",COUNTIF(スキル一覧!$A$1:$A$3500, $B639)), "", "存在しない")</f>
        <v>存在しない</v>
      </c>
      <c r="M639" s="2" t="str">
        <f>IF(COUNTIF($B$1:$C638, $B639), "", "存在しない")</f>
        <v>存在しない</v>
      </c>
      <c r="N639" s="2" t="e">
        <v>#VALUE!</v>
      </c>
    </row>
    <row r="640" spans="1:14" ht="36" hidden="1" outlineLevel="1" x14ac:dyDescent="0.4">
      <c r="A640" s="2">
        <v>10</v>
      </c>
      <c r="B640" s="2" t="s">
        <v>838</v>
      </c>
      <c r="D640" s="7" t="s">
        <v>834</v>
      </c>
      <c r="E640" s="13" t="s">
        <v>732</v>
      </c>
      <c r="G640" s="19">
        <v>25</v>
      </c>
      <c r="H640" s="10" t="str">
        <f>"攻撃手段:吐息 "&amp;D630&amp;"+30 射程:20 判定:Lv"</f>
        <v>攻撃手段:吐息 怯み+30 射程:20 判定:Lv</v>
      </c>
      <c r="I640" s="6" t="s">
        <v>419</v>
      </c>
      <c r="J640" s="6" t="str">
        <f>IFERROR(_xlfn.LET(_xlpm.v,
VLOOKUP($I640,効果!$A:$B,COLUMN(効果!B$1),FALSE),
IF(_xlpm.v=0,"",_xlpm.v)
),"")</f>
        <v>対象を後方へ移動させる</v>
      </c>
      <c r="L640" s="15" t="str">
        <f>IF(OR(COUNTIF(クラス!$A$1:$A$1035, $B640),$B640="",COUNTIF(スキル一覧!$A$1:$A$3500, $B640)), "", "存在しない")</f>
        <v>存在しない</v>
      </c>
      <c r="M640" s="2" t="str">
        <f>IF(COUNTIF($B$1:$C639, $B640), "", "存在しない")</f>
        <v>存在しない</v>
      </c>
      <c r="N640" s="2" t="e">
        <v>#VALUE!</v>
      </c>
    </row>
    <row r="641" spans="1:14" hidden="1" outlineLevel="1" x14ac:dyDescent="0.4">
      <c r="J641" s="6" t="str">
        <f>IFERROR(_xlfn.LET(_xlpm.v,
VLOOKUP($I641,効果!$A:$B,COLUMN(効果!B$1),FALSE),
IF(_xlpm.v=0,"",_xlpm.v)
),"")</f>
        <v/>
      </c>
      <c r="L641" s="15" t="str">
        <f>IF(OR(COUNTIF(クラス!$A$1:$A$1035, $B641),$B641="",COUNTIF(スキル一覧!$A$1:$A$3500, $B641)), "", "存在しない")</f>
        <v/>
      </c>
      <c r="M641" s="2" t="str">
        <f>IF(COUNTIF($B$1:$C640, $B641), "", "存在しない")</f>
        <v>存在しない</v>
      </c>
      <c r="N641" s="2" t="s">
        <v>1196</v>
      </c>
    </row>
    <row r="642" spans="1:14" collapsed="1" x14ac:dyDescent="0.4">
      <c r="J642" s="6" t="str">
        <f>IFERROR(_xlfn.LET(_xlpm.v,
VLOOKUP($I642,効果!$A:$B,COLUMN(効果!B$1),FALSE),
IF(_xlpm.v=0,"",_xlpm.v)
),"")</f>
        <v/>
      </c>
      <c r="L642" s="15" t="str">
        <f>IF(OR(COUNTIF(クラス!$A$1:$A$1035, $B642),$B642="",COUNTIF(スキル一覧!$A$1:$A$3500, $B642)), "", "存在しない")</f>
        <v/>
      </c>
      <c r="M642" s="2" t="str">
        <f>IF(COUNTIF($B$1:$C641, $B642), "", "存在しない")</f>
        <v>存在しない</v>
      </c>
      <c r="N642" s="2" t="s">
        <v>1196</v>
      </c>
    </row>
    <row r="643" spans="1:14" ht="18.75" x14ac:dyDescent="0.4">
      <c r="B643" t="s">
        <v>814</v>
      </c>
      <c r="D643" s="2" t="s">
        <v>822</v>
      </c>
      <c r="E643" s="13" t="s">
        <v>823</v>
      </c>
      <c r="J643" s="6" t="str">
        <f>IFERROR(_xlfn.LET(_xlpm.v,
VLOOKUP($I643,効果!$A:$B,COLUMN(効果!B$1),FALSE),
IF(_xlpm.v=0,"",_xlpm.v)
),"")</f>
        <v/>
      </c>
      <c r="L643" s="15" t="str">
        <f>IF(OR(COUNTIF(クラス!$A$1:$A$1035, $B643),$B643="",COUNTIF(スキル一覧!$A$1:$A$3500, $B643)), "", "存在しない")</f>
        <v/>
      </c>
      <c r="M643" s="2" t="str">
        <f>IF(COUNTIF($B$1:$C642, $B643), "", "存在しない")</f>
        <v>存在しない</v>
      </c>
      <c r="N643" s="2" t="s">
        <v>1196</v>
      </c>
    </row>
    <row r="644" spans="1:14" hidden="1" outlineLevel="1" x14ac:dyDescent="0.4">
      <c r="A644" s="2">
        <v>1</v>
      </c>
      <c r="B644" s="2" t="str">
        <f>D643&amp;"の適用"</f>
        <v>雷の適用</v>
      </c>
      <c r="D644" s="7"/>
      <c r="E644" s="13" t="s">
        <v>469</v>
      </c>
      <c r="H644" s="10" t="str">
        <f>D643&amp;"耐性+30"</f>
        <v>雷耐性+30</v>
      </c>
      <c r="J644" s="6" t="str">
        <f>IFERROR(_xlfn.LET(_xlpm.v,
VLOOKUP($I644,効果!$A:$B,COLUMN(効果!B$1),FALSE),
IF(_xlpm.v=0,"",_xlpm.v)
),"")</f>
        <v/>
      </c>
      <c r="L644" s="15" t="str">
        <f>IF(OR(COUNTIF(クラス!$A$1:$A$1035, $B644),$B644="",COUNTIF(スキル一覧!$A$1:$A$3500, $B644)), "", "存在しない")</f>
        <v>存在しない</v>
      </c>
      <c r="M644" s="2" t="str">
        <f>IF(COUNTIF($B$1:$C643, $B644), "", "存在しない")</f>
        <v>存在しない</v>
      </c>
      <c r="N644" s="2" t="e">
        <v>#VALUE!</v>
      </c>
    </row>
    <row r="645" spans="1:14" hidden="1" outlineLevel="1" x14ac:dyDescent="0.4">
      <c r="A645" s="2">
        <v>2</v>
      </c>
      <c r="D645" s="7"/>
      <c r="J645" s="6" t="str">
        <f>IFERROR(_xlfn.LET(_xlpm.v,
VLOOKUP($I645,効果!$A:$B,COLUMN(効果!B$1),FALSE),
IF(_xlpm.v=0,"",_xlpm.v)
),"")</f>
        <v/>
      </c>
      <c r="L645" s="15" t="str">
        <f>IF(OR(COUNTIF(クラス!$A$1:$A$1035, $B645),$B645="",COUNTIF(スキル一覧!$A$1:$A$3500, $B645)), "", "存在しない")</f>
        <v/>
      </c>
      <c r="M645" s="2" t="str">
        <f>IF(COUNTIF($B$1:$C644, $B645), "", "存在しない")</f>
        <v>存在しない</v>
      </c>
      <c r="N645" s="2" t="s">
        <v>1196</v>
      </c>
    </row>
    <row r="646" spans="1:14" ht="36" hidden="1" outlineLevel="1" x14ac:dyDescent="0.4">
      <c r="A646" s="2">
        <v>3</v>
      </c>
      <c r="B646" s="2" t="str">
        <f>D643&amp;"の体"</f>
        <v>雷の体</v>
      </c>
      <c r="D646" s="7"/>
      <c r="E646" s="13" t="s">
        <v>732</v>
      </c>
      <c r="F646" s="14">
        <v>5</v>
      </c>
      <c r="G646" s="19">
        <v>20</v>
      </c>
      <c r="H646" s="10" t="str">
        <f>"効果時間6t 攻撃手段:肉体 "&amp;D643&amp;"+15 判定:攻撃"</f>
        <v>効果時間6t 攻撃手段:肉体 雷+15 判定:攻撃</v>
      </c>
      <c r="J646" s="6" t="str">
        <f>IFERROR(_xlfn.LET(_xlpm.v,
VLOOKUP($I646,効果!$A:$B,COLUMN(効果!B$1),FALSE),
IF(_xlpm.v=0,"",_xlpm.v)
),"")</f>
        <v/>
      </c>
      <c r="L646" s="15" t="str">
        <f>IF(OR(COUNTIF(クラス!$A$1:$A$1035, $B646),$B646="",COUNTIF(スキル一覧!$A$1:$A$3500, $B646)), "", "存在しない")</f>
        <v>存在しない</v>
      </c>
      <c r="M646" s="2" t="str">
        <f>IF(COUNTIF($B$1:$C645, $B646), "", "存在しない")</f>
        <v>存在しない</v>
      </c>
      <c r="N646" s="2" t="e">
        <v>#VALUE!</v>
      </c>
    </row>
    <row r="647" spans="1:14" hidden="1" outlineLevel="1" x14ac:dyDescent="0.4">
      <c r="A647" s="2">
        <v>4</v>
      </c>
      <c r="D647" s="7"/>
      <c r="J647" s="6" t="str">
        <f>IFERROR(_xlfn.LET(_xlpm.v,
VLOOKUP($I647,効果!$A:$B,COLUMN(効果!B$1),FALSE),
IF(_xlpm.v=0,"",_xlpm.v)
),"")</f>
        <v/>
      </c>
      <c r="L647" s="15" t="str">
        <f>IF(OR(COUNTIF(クラス!$A$1:$A$1035, $B647),$B647="",COUNTIF(スキル一覧!$A$1:$A$3500, $B647)), "", "存在しない")</f>
        <v/>
      </c>
      <c r="M647" s="2" t="str">
        <f>IF(COUNTIF($B$1:$C646, $B647), "", "存在しない")</f>
        <v>存在しない</v>
      </c>
      <c r="N647" s="2" t="s">
        <v>1196</v>
      </c>
    </row>
    <row r="648" spans="1:14" hidden="1" outlineLevel="1" x14ac:dyDescent="0.4">
      <c r="A648" s="2">
        <v>5</v>
      </c>
      <c r="D648" s="7"/>
      <c r="E648" s="13" t="s">
        <v>469</v>
      </c>
      <c r="J648" s="6" t="str">
        <f>IFERROR(_xlfn.LET(_xlpm.v,
VLOOKUP($I648,効果!$A:$B,COLUMN(効果!B$1),FALSE),
IF(_xlpm.v=0,"",_xlpm.v)
),"")</f>
        <v/>
      </c>
      <c r="L648" s="15" t="str">
        <f>IF(OR(COUNTIF(クラス!$A$1:$A$1035, $B648),$B648="",COUNTIF(スキル一覧!$A$1:$A$3500, $B648)), "", "存在しない")</f>
        <v/>
      </c>
      <c r="M648" s="2" t="str">
        <f>IF(COUNTIF($B$1:$C647, $B648), "", "存在しない")</f>
        <v>存在しない</v>
      </c>
      <c r="N648" s="2" t="s">
        <v>1196</v>
      </c>
    </row>
    <row r="649" spans="1:14" ht="36" hidden="1" outlineLevel="1" x14ac:dyDescent="0.4">
      <c r="A649" s="2">
        <v>6</v>
      </c>
      <c r="B649" s="2" t="str">
        <f>E643&amp;"突撃"</f>
        <v>電撃突撃</v>
      </c>
      <c r="D649" s="7" t="str">
        <f>D643</f>
        <v>雷</v>
      </c>
      <c r="E649" s="13" t="s">
        <v>732</v>
      </c>
      <c r="F649" s="14">
        <v>5</v>
      </c>
      <c r="G649" s="19">
        <v>60</v>
      </c>
      <c r="H649" s="10" t="str">
        <f>"攻撃手段:肉体 打撃+15 "&amp;D643&amp;"+20 追加威力:速度 判定:攻撃 溜め:1t CT:5t"</f>
        <v>攻撃手段:肉体 打撃+15 雷+20 追加威力:速度 判定:攻撃 溜め:1t CT:5t</v>
      </c>
      <c r="J649" s="6" t="str">
        <f>IFERROR(_xlfn.LET(_xlpm.v,
VLOOKUP($I649,効果!$A:$B,COLUMN(効果!B$1),FALSE),
IF(_xlpm.v=0,"",_xlpm.v)
),"")</f>
        <v/>
      </c>
      <c r="L649" s="15" t="str">
        <f>IF(OR(COUNTIF(クラス!$A$1:$A$1035, $B649),$B649="",COUNTIF(スキル一覧!$A$1:$A$3500, $B649)), "", "存在しない")</f>
        <v>存在しない</v>
      </c>
      <c r="M649" s="2" t="str">
        <f>IF(COUNTIF($B$1:$C648, $B649), "", "存在しない")</f>
        <v>存在しない</v>
      </c>
      <c r="N649" s="2" t="e">
        <v>#VALUE!</v>
      </c>
    </row>
    <row r="650" spans="1:14" hidden="1" outlineLevel="1" x14ac:dyDescent="0.4">
      <c r="A650" s="2">
        <v>7</v>
      </c>
      <c r="D650" s="7"/>
      <c r="J650" s="6" t="str">
        <f>IFERROR(_xlfn.LET(_xlpm.v,
VLOOKUP($I650,効果!$A:$B,COLUMN(効果!B$1),FALSE),
IF(_xlpm.v=0,"",_xlpm.v)
),"")</f>
        <v/>
      </c>
      <c r="L650" s="15" t="str">
        <f>IF(OR(COUNTIF(クラス!$A$1:$A$1035, $B650),$B650="",COUNTIF(スキル一覧!$A$1:$A$3500, $B650)), "", "存在しない")</f>
        <v/>
      </c>
      <c r="M650" s="2" t="str">
        <f>IF(COUNTIF($B$1:$C649, $B650), "", "存在しない")</f>
        <v>存在しない</v>
      </c>
      <c r="N650" s="2" t="s">
        <v>1196</v>
      </c>
    </row>
    <row r="651" spans="1:14" hidden="1" outlineLevel="1" x14ac:dyDescent="0.4">
      <c r="A651" s="2">
        <v>8</v>
      </c>
      <c r="D651" s="7"/>
      <c r="J651" s="6" t="str">
        <f>IFERROR(_xlfn.LET(_xlpm.v,
VLOOKUP($I651,効果!$A:$B,COLUMN(効果!B$1),FALSE),
IF(_xlpm.v=0,"",_xlpm.v)
),"")</f>
        <v/>
      </c>
      <c r="L651" s="15" t="str">
        <f>IF(OR(COUNTIF(クラス!$A$1:$A$1035, $B651),$B651="",COUNTIF(スキル一覧!$A$1:$A$3500, $B651)), "", "存在しない")</f>
        <v/>
      </c>
      <c r="M651" s="2" t="str">
        <f>IF(COUNTIF($B$1:$C650, $B651), "", "存在しない")</f>
        <v>存在しない</v>
      </c>
      <c r="N651" s="2" t="s">
        <v>1196</v>
      </c>
    </row>
    <row r="652" spans="1:14" hidden="1" outlineLevel="1" x14ac:dyDescent="0.4">
      <c r="A652" s="2">
        <v>9</v>
      </c>
      <c r="B652" s="2" t="str">
        <f>D643&amp;"強化"</f>
        <v>雷強化</v>
      </c>
      <c r="D652" s="7"/>
      <c r="E652" s="13" t="s">
        <v>469</v>
      </c>
      <c r="H652" s="10" t="str">
        <f>"条件系統:"&amp;D643&amp;" 全威力+10"</f>
        <v>条件系統:雷 全威力+10</v>
      </c>
      <c r="J652" s="6" t="str">
        <f>IFERROR(_xlfn.LET(_xlpm.v,
VLOOKUP($I652,効果!$A:$B,COLUMN(効果!B$1),FALSE),
IF(_xlpm.v=0,"",_xlpm.v)
),"")</f>
        <v/>
      </c>
      <c r="L652" s="15" t="str">
        <f>IF(OR(COUNTIF(クラス!$A$1:$A$1035, $B652),$B652="",COUNTIF(スキル一覧!$A$1:$A$3500, $B652)), "", "存在しない")</f>
        <v>存在しない</v>
      </c>
      <c r="M652" s="2" t="str">
        <f>IF(COUNTIF($B$1:$C651, $B652), "", "存在しない")</f>
        <v>存在しない</v>
      </c>
      <c r="N652" s="2" t="e">
        <v>#VALUE!</v>
      </c>
    </row>
    <row r="653" spans="1:14" hidden="1" outlineLevel="1" x14ac:dyDescent="0.4">
      <c r="A653" s="2">
        <v>10</v>
      </c>
      <c r="B653" s="2" t="str">
        <f>D643&amp;"の唾"</f>
        <v>雷の唾</v>
      </c>
      <c r="D653" s="7" t="str">
        <f>D643</f>
        <v>雷</v>
      </c>
      <c r="E653" s="13" t="s">
        <v>732</v>
      </c>
      <c r="G653" s="19">
        <v>25</v>
      </c>
      <c r="H653" s="10" t="str">
        <f>"攻撃手段:吐息 "&amp;D643&amp;"+30 射程:20 判定:Lv"</f>
        <v>攻撃手段:吐息 雷+30 射程:20 判定:Lv</v>
      </c>
      <c r="J653" s="6" t="str">
        <f>IFERROR(_xlfn.LET(_xlpm.v,
VLOOKUP($I653,効果!$A:$B,COLUMN(効果!B$1),FALSE),
IF(_xlpm.v=0,"",_xlpm.v)
),"")</f>
        <v/>
      </c>
      <c r="L653" s="15" t="str">
        <f>IF(OR(COUNTIF(クラス!$A$1:$A$1035, $B653),$B653="",COUNTIF(スキル一覧!$A$1:$A$3500, $B653)), "", "存在しない")</f>
        <v>存在しない</v>
      </c>
      <c r="M653" s="2" t="str">
        <f>IF(COUNTIF($B$1:$C652, $B653), "", "存在しない")</f>
        <v>存在しない</v>
      </c>
      <c r="N653" s="2" t="e">
        <v>#VALUE!</v>
      </c>
    </row>
    <row r="654" spans="1:14" hidden="1" outlineLevel="1" x14ac:dyDescent="0.4">
      <c r="J654" s="6" t="str">
        <f>IFERROR(_xlfn.LET(_xlpm.v,
VLOOKUP($I654,効果!$A:$B,COLUMN(効果!B$1),FALSE),
IF(_xlpm.v=0,"",_xlpm.v)
),"")</f>
        <v/>
      </c>
      <c r="L654" s="15" t="str">
        <f>IF(OR(COUNTIF(クラス!$A$1:$A$1035, $B654),$B654="",COUNTIF(スキル一覧!$A$1:$A$3500, $B654)), "", "存在しない")</f>
        <v/>
      </c>
      <c r="M654" s="2" t="str">
        <f>IF(COUNTIF($B$1:$C653, $B654), "", "存在しない")</f>
        <v>存在しない</v>
      </c>
      <c r="N654" s="2" t="s">
        <v>1196</v>
      </c>
    </row>
    <row r="655" spans="1:14" collapsed="1" x14ac:dyDescent="0.4">
      <c r="J655" s="6" t="str">
        <f>IFERROR(_xlfn.LET(_xlpm.v,
VLOOKUP($I655,効果!$A:$B,COLUMN(効果!B$1),FALSE),
IF(_xlpm.v=0,"",_xlpm.v)
),"")</f>
        <v/>
      </c>
      <c r="L655" s="15" t="str">
        <f>IF(OR(COUNTIF(クラス!$A$1:$A$1035, $B655),$B655="",COUNTIF(スキル一覧!$A$1:$A$3500, $B655)), "", "存在しない")</f>
        <v/>
      </c>
      <c r="M655" s="2" t="str">
        <f>IF(COUNTIF($B$1:$C654, $B655), "", "存在しない")</f>
        <v>存在しない</v>
      </c>
      <c r="N655" s="2" t="s">
        <v>1196</v>
      </c>
    </row>
    <row r="656" spans="1:14" ht="18.75" x14ac:dyDescent="0.4">
      <c r="B656" t="s">
        <v>815</v>
      </c>
      <c r="D656" s="2" t="s">
        <v>824</v>
      </c>
      <c r="E656" s="13" t="s">
        <v>825</v>
      </c>
      <c r="J656" s="6" t="str">
        <f>IFERROR(_xlfn.LET(_xlpm.v,
VLOOKUP($I656,効果!$A:$B,COLUMN(効果!B$1),FALSE),
IF(_xlpm.v=0,"",_xlpm.v)
),"")</f>
        <v/>
      </c>
      <c r="L656" s="15" t="str">
        <f>IF(OR(COUNTIF(クラス!$A$1:$A$1035, $B656),$B656="",COUNTIF(スキル一覧!$A$1:$A$3500, $B656)), "", "存在しない")</f>
        <v/>
      </c>
      <c r="M656" s="2" t="str">
        <f>IF(COUNTIF($B$1:$C655, $B656), "", "存在しない")</f>
        <v>存在しない</v>
      </c>
      <c r="N656" s="2" t="s">
        <v>1196</v>
      </c>
    </row>
    <row r="657" spans="1:14" hidden="1" outlineLevel="1" x14ac:dyDescent="0.4">
      <c r="A657" s="2">
        <v>1</v>
      </c>
      <c r="B657" s="2" t="str">
        <f>D656&amp;"の適用"</f>
        <v>毒の適用</v>
      </c>
      <c r="D657" s="7"/>
      <c r="E657" s="13" t="s">
        <v>469</v>
      </c>
      <c r="H657" s="10" t="str">
        <f>D656&amp;"耐性+30"</f>
        <v>毒耐性+30</v>
      </c>
      <c r="J657" s="6" t="str">
        <f>IFERROR(_xlfn.LET(_xlpm.v,
VLOOKUP($I657,効果!$A:$B,COLUMN(効果!B$1),FALSE),
IF(_xlpm.v=0,"",_xlpm.v)
),"")</f>
        <v/>
      </c>
      <c r="L657" s="15" t="str">
        <f>IF(OR(COUNTIF(クラス!$A$1:$A$1035, $B657),$B657="",COUNTIF(スキル一覧!$A$1:$A$3500, $B657)), "", "存在しない")</f>
        <v>存在しない</v>
      </c>
      <c r="M657" s="2" t="str">
        <f>IF(COUNTIF($B$1:$C656, $B657), "", "存在しない")</f>
        <v>存在しない</v>
      </c>
      <c r="N657" s="2" t="e">
        <v>#VALUE!</v>
      </c>
    </row>
    <row r="658" spans="1:14" hidden="1" outlineLevel="1" x14ac:dyDescent="0.4">
      <c r="A658" s="2">
        <v>2</v>
      </c>
      <c r="D658" s="7"/>
      <c r="J658" s="6" t="str">
        <f>IFERROR(_xlfn.LET(_xlpm.v,
VLOOKUP($I658,効果!$A:$B,COLUMN(効果!B$1),FALSE),
IF(_xlpm.v=0,"",_xlpm.v)
),"")</f>
        <v/>
      </c>
      <c r="L658" s="15" t="str">
        <f>IF(OR(COUNTIF(クラス!$A$1:$A$1035, $B658),$B658="",COUNTIF(スキル一覧!$A$1:$A$3500, $B658)), "", "存在しない")</f>
        <v/>
      </c>
      <c r="M658" s="2" t="str">
        <f>IF(COUNTIF($B$1:$C657, $B658), "", "存在しない")</f>
        <v>存在しない</v>
      </c>
      <c r="N658" s="2" t="s">
        <v>1196</v>
      </c>
    </row>
    <row r="659" spans="1:14" ht="36" hidden="1" outlineLevel="1" x14ac:dyDescent="0.4">
      <c r="A659" s="2">
        <v>3</v>
      </c>
      <c r="B659" s="2" t="str">
        <f>D656&amp;"の体"</f>
        <v>毒の体</v>
      </c>
      <c r="D659" s="7"/>
      <c r="E659" s="13" t="s">
        <v>732</v>
      </c>
      <c r="F659" s="14">
        <v>5</v>
      </c>
      <c r="G659" s="19">
        <v>20</v>
      </c>
      <c r="H659" s="10" t="str">
        <f>"効果時間6t 攻撃手段:肉体 "&amp;D656&amp;"+15 判定:攻撃"</f>
        <v>効果時間6t 攻撃手段:肉体 毒+15 判定:攻撃</v>
      </c>
      <c r="J659" s="6" t="str">
        <f>IFERROR(_xlfn.LET(_xlpm.v,
VLOOKUP($I659,効果!$A:$B,COLUMN(効果!B$1),FALSE),
IF(_xlpm.v=0,"",_xlpm.v)
),"")</f>
        <v/>
      </c>
      <c r="L659" s="15" t="str">
        <f>IF(OR(COUNTIF(クラス!$A$1:$A$1035, $B659),$B659="",COUNTIF(スキル一覧!$A$1:$A$3500, $B659)), "", "存在しない")</f>
        <v>存在しない</v>
      </c>
      <c r="M659" s="2" t="str">
        <f>IF(COUNTIF($B$1:$C658, $B659), "", "存在しない")</f>
        <v>存在しない</v>
      </c>
      <c r="N659" s="2" t="e">
        <v>#VALUE!</v>
      </c>
    </row>
    <row r="660" spans="1:14" hidden="1" outlineLevel="1" x14ac:dyDescent="0.4">
      <c r="A660" s="2">
        <v>4</v>
      </c>
      <c r="D660" s="7"/>
      <c r="J660" s="6" t="str">
        <f>IFERROR(_xlfn.LET(_xlpm.v,
VLOOKUP($I660,効果!$A:$B,COLUMN(効果!B$1),FALSE),
IF(_xlpm.v=0,"",_xlpm.v)
),"")</f>
        <v/>
      </c>
      <c r="L660" s="15" t="str">
        <f>IF(OR(COUNTIF(クラス!$A$1:$A$1035, $B660),$B660="",COUNTIF(スキル一覧!$A$1:$A$3500, $B660)), "", "存在しない")</f>
        <v/>
      </c>
      <c r="M660" s="2" t="str">
        <f>IF(COUNTIF($B$1:$C659, $B660), "", "存在しない")</f>
        <v>存在しない</v>
      </c>
      <c r="N660" s="2" t="s">
        <v>1196</v>
      </c>
    </row>
    <row r="661" spans="1:14" hidden="1" outlineLevel="1" x14ac:dyDescent="0.4">
      <c r="A661" s="2">
        <v>5</v>
      </c>
      <c r="D661" s="7"/>
      <c r="E661" s="13" t="s">
        <v>469</v>
      </c>
      <c r="J661" s="6" t="str">
        <f>IFERROR(_xlfn.LET(_xlpm.v,
VLOOKUP($I661,効果!$A:$B,COLUMN(効果!B$1),FALSE),
IF(_xlpm.v=0,"",_xlpm.v)
),"")</f>
        <v/>
      </c>
      <c r="L661" s="15" t="str">
        <f>IF(OR(COUNTIF(クラス!$A$1:$A$1035, $B661),$B661="",COUNTIF(スキル一覧!$A$1:$A$3500, $B661)), "", "存在しない")</f>
        <v/>
      </c>
      <c r="M661" s="2" t="str">
        <f>IF(COUNTIF($B$1:$C660, $B661), "", "存在しない")</f>
        <v>存在しない</v>
      </c>
      <c r="N661" s="2" t="s">
        <v>1196</v>
      </c>
    </row>
    <row r="662" spans="1:14" ht="36" hidden="1" outlineLevel="1" x14ac:dyDescent="0.4">
      <c r="A662" s="2">
        <v>6</v>
      </c>
      <c r="B662" s="2" t="str">
        <f>E656&amp;"突撃"</f>
        <v>腐蝕突撃</v>
      </c>
      <c r="D662" s="7" t="str">
        <f>D656</f>
        <v>毒</v>
      </c>
      <c r="E662" s="13" t="s">
        <v>732</v>
      </c>
      <c r="F662" s="14">
        <v>5</v>
      </c>
      <c r="G662" s="19">
        <v>60</v>
      </c>
      <c r="H662" s="10" t="str">
        <f>"攻撃手段:肉体 打撃+15 "&amp;D656&amp;"+20 追加威力:速度 判定:攻撃 溜め:1t CT:5t"</f>
        <v>攻撃手段:肉体 打撃+15 毒+20 追加威力:速度 判定:攻撃 溜め:1t CT:5t</v>
      </c>
      <c r="J662" s="6" t="str">
        <f>IFERROR(_xlfn.LET(_xlpm.v,
VLOOKUP($I662,効果!$A:$B,COLUMN(効果!B$1),FALSE),
IF(_xlpm.v=0,"",_xlpm.v)
),"")</f>
        <v/>
      </c>
      <c r="L662" s="15" t="str">
        <f>IF(OR(COUNTIF(クラス!$A$1:$A$1035, $B662),$B662="",COUNTIF(スキル一覧!$A$1:$A$3500, $B662)), "", "存在しない")</f>
        <v>存在しない</v>
      </c>
      <c r="M662" s="2" t="str">
        <f>IF(COUNTIF($B$1:$C661, $B662), "", "存在しない")</f>
        <v>存在しない</v>
      </c>
      <c r="N662" s="2" t="e">
        <v>#VALUE!</v>
      </c>
    </row>
    <row r="663" spans="1:14" hidden="1" outlineLevel="1" x14ac:dyDescent="0.4">
      <c r="A663" s="2">
        <v>7</v>
      </c>
      <c r="D663" s="7"/>
      <c r="J663" s="6" t="str">
        <f>IFERROR(_xlfn.LET(_xlpm.v,
VLOOKUP($I663,効果!$A:$B,COLUMN(効果!B$1),FALSE),
IF(_xlpm.v=0,"",_xlpm.v)
),"")</f>
        <v/>
      </c>
      <c r="L663" s="15" t="str">
        <f>IF(OR(COUNTIF(クラス!$A$1:$A$1035, $B663),$B663="",COUNTIF(スキル一覧!$A$1:$A$3500, $B663)), "", "存在しない")</f>
        <v/>
      </c>
      <c r="M663" s="2" t="str">
        <f>IF(COUNTIF($B$1:$C662, $B663), "", "存在しない")</f>
        <v>存在しない</v>
      </c>
      <c r="N663" s="2" t="s">
        <v>1196</v>
      </c>
    </row>
    <row r="664" spans="1:14" hidden="1" outlineLevel="1" x14ac:dyDescent="0.4">
      <c r="A664" s="2">
        <v>8</v>
      </c>
      <c r="D664" s="7"/>
      <c r="J664" s="6" t="str">
        <f>IFERROR(_xlfn.LET(_xlpm.v,
VLOOKUP($I664,効果!$A:$B,COLUMN(効果!B$1),FALSE),
IF(_xlpm.v=0,"",_xlpm.v)
),"")</f>
        <v/>
      </c>
      <c r="L664" s="15" t="str">
        <f>IF(OR(COUNTIF(クラス!$A$1:$A$1035, $B664),$B664="",COUNTIF(スキル一覧!$A$1:$A$3500, $B664)), "", "存在しない")</f>
        <v/>
      </c>
      <c r="M664" s="2" t="str">
        <f>IF(COUNTIF($B$1:$C663, $B664), "", "存在しない")</f>
        <v>存在しない</v>
      </c>
      <c r="N664" s="2" t="s">
        <v>1196</v>
      </c>
    </row>
    <row r="665" spans="1:14" hidden="1" outlineLevel="1" x14ac:dyDescent="0.4">
      <c r="A665" s="2">
        <v>9</v>
      </c>
      <c r="B665" s="2" t="str">
        <f>D656&amp;"強化"</f>
        <v>毒強化</v>
      </c>
      <c r="D665" s="7"/>
      <c r="E665" s="13" t="s">
        <v>469</v>
      </c>
      <c r="H665" s="10" t="str">
        <f>"条件系統:"&amp;D656&amp;" 全威力+10"</f>
        <v>条件系統:毒 全威力+10</v>
      </c>
      <c r="J665" s="6" t="str">
        <f>IFERROR(_xlfn.LET(_xlpm.v,
VLOOKUP($I665,効果!$A:$B,COLUMN(効果!B$1),FALSE),
IF(_xlpm.v=0,"",_xlpm.v)
),"")</f>
        <v/>
      </c>
      <c r="L665" s="15" t="str">
        <f>IF(OR(COUNTIF(クラス!$A$1:$A$1035, $B665),$B665="",COUNTIF(スキル一覧!$A$1:$A$3500, $B665)), "", "存在しない")</f>
        <v>存在しない</v>
      </c>
      <c r="M665" s="2" t="str">
        <f>IF(COUNTIF($B$1:$C664, $B665), "", "存在しない")</f>
        <v>存在しない</v>
      </c>
      <c r="N665" s="2" t="e">
        <v>#VALUE!</v>
      </c>
    </row>
    <row r="666" spans="1:14" hidden="1" outlineLevel="1" x14ac:dyDescent="0.4">
      <c r="A666" s="2">
        <v>10</v>
      </c>
      <c r="B666" s="2" t="str">
        <f>D656&amp;"の唾"</f>
        <v>毒の唾</v>
      </c>
      <c r="D666" s="7" t="str">
        <f>D656</f>
        <v>毒</v>
      </c>
      <c r="E666" s="13" t="s">
        <v>732</v>
      </c>
      <c r="G666" s="19">
        <v>25</v>
      </c>
      <c r="H666" s="10" t="str">
        <f>"攻撃手段:吐息 "&amp;D656&amp;"+30 射程:20 判定:Lv"</f>
        <v>攻撃手段:吐息 毒+30 射程:20 判定:Lv</v>
      </c>
      <c r="J666" s="6" t="str">
        <f>IFERROR(_xlfn.LET(_xlpm.v,
VLOOKUP($I666,効果!$A:$B,COLUMN(効果!B$1),FALSE),
IF(_xlpm.v=0,"",_xlpm.v)
),"")</f>
        <v/>
      </c>
      <c r="L666" s="15" t="str">
        <f>IF(OR(COUNTIF(クラス!$A$1:$A$1035, $B666),$B666="",COUNTIF(スキル一覧!$A$1:$A$3500, $B666)), "", "存在しない")</f>
        <v>存在しない</v>
      </c>
      <c r="M666" s="2" t="str">
        <f>IF(COUNTIF($B$1:$C665, $B666), "", "存在しない")</f>
        <v>存在しない</v>
      </c>
      <c r="N666" s="2" t="e">
        <v>#VALUE!</v>
      </c>
    </row>
    <row r="667" spans="1:14" hidden="1" outlineLevel="1" x14ac:dyDescent="0.4">
      <c r="J667" s="6" t="str">
        <f>IFERROR(_xlfn.LET(_xlpm.v,
VLOOKUP($I667,効果!$A:$B,COLUMN(効果!B$1),FALSE),
IF(_xlpm.v=0,"",_xlpm.v)
),"")</f>
        <v/>
      </c>
      <c r="L667" s="15" t="str">
        <f>IF(OR(COUNTIF(クラス!$A$1:$A$1035, $B667),$B667="",COUNTIF(スキル一覧!$A$1:$A$3500, $B667)), "", "存在しない")</f>
        <v/>
      </c>
      <c r="M667" s="2" t="str">
        <f>IF(COUNTIF($B$1:$C666, $B667), "", "存在しない")</f>
        <v>存在しない</v>
      </c>
      <c r="N667" s="2" t="s">
        <v>1196</v>
      </c>
    </row>
    <row r="668" spans="1:14" collapsed="1" x14ac:dyDescent="0.4">
      <c r="J668" s="6" t="str">
        <f>IFERROR(_xlfn.LET(_xlpm.v,
VLOOKUP($I668,効果!$A:$B,COLUMN(効果!B$1),FALSE),
IF(_xlpm.v=0,"",_xlpm.v)
),"")</f>
        <v/>
      </c>
      <c r="L668" s="15" t="str">
        <f>IF(OR(COUNTIF(クラス!$A$1:$A$1035, $B668),$B668="",COUNTIF(スキル一覧!$A$1:$A$3500, $B668)), "", "存在しない")</f>
        <v/>
      </c>
      <c r="M668" s="2" t="str">
        <f>IF(COUNTIF($B$1:$C667, $B668), "", "存在しない")</f>
        <v>存在しない</v>
      </c>
      <c r="N668" s="2" t="s">
        <v>1196</v>
      </c>
    </row>
    <row r="669" spans="1:14" ht="18.75" x14ac:dyDescent="0.4">
      <c r="B669" t="s">
        <v>816</v>
      </c>
      <c r="D669" s="2" t="s">
        <v>850</v>
      </c>
      <c r="J669" s="6" t="str">
        <f>IFERROR(_xlfn.LET(_xlpm.v,
VLOOKUP($I669,効果!$A:$B,COLUMN(効果!B$1),FALSE),
IF(_xlpm.v=0,"",_xlpm.v)
),"")</f>
        <v/>
      </c>
      <c r="L669" s="15" t="str">
        <f>IF(OR(COUNTIF(クラス!$A$1:$A$1035, $B669),$B669="",COUNTIF(スキル一覧!$A$1:$A$3500, $B669)), "", "存在しない")</f>
        <v/>
      </c>
      <c r="M669" s="2" t="str">
        <f>IF(COUNTIF($B$1:$C668, $B669), "", "存在しない")</f>
        <v>存在しない</v>
      </c>
      <c r="N669" s="2" t="s">
        <v>1196</v>
      </c>
    </row>
    <row r="670" spans="1:14" hidden="1" outlineLevel="1" x14ac:dyDescent="0.4">
      <c r="A670" s="2">
        <v>1</v>
      </c>
      <c r="B670" s="2" t="s">
        <v>846</v>
      </c>
      <c r="D670" s="7"/>
      <c r="E670" s="13" t="s">
        <v>469</v>
      </c>
      <c r="H670" s="10" t="str">
        <f>D669&amp;"耐性+30"</f>
        <v>打撃耐性+30</v>
      </c>
      <c r="J670" s="6" t="str">
        <f>IFERROR(_xlfn.LET(_xlpm.v,
VLOOKUP($I670,効果!$A:$B,COLUMN(効果!B$1),FALSE),
IF(_xlpm.v=0,"",_xlpm.v)
),"")</f>
        <v/>
      </c>
      <c r="L670" s="15" t="str">
        <f>IF(OR(COUNTIF(クラス!$A$1:$A$1035, $B670),$B670="",COUNTIF(スキル一覧!$A$1:$A$3500, $B670)), "", "存在しない")</f>
        <v>存在しない</v>
      </c>
      <c r="M670" s="2" t="str">
        <f>IF(COUNTIF($B$1:$C669, $B670), "", "存在しない")</f>
        <v>存在しない</v>
      </c>
      <c r="N670" s="2" t="e">
        <v>#VALUE!</v>
      </c>
    </row>
    <row r="671" spans="1:14" hidden="1" outlineLevel="1" x14ac:dyDescent="0.4">
      <c r="A671" s="2">
        <v>2</v>
      </c>
      <c r="D671" s="7"/>
      <c r="J671" s="6" t="str">
        <f>IFERROR(_xlfn.LET(_xlpm.v,
VLOOKUP($I671,効果!$A:$B,COLUMN(効果!B$1),FALSE),
IF(_xlpm.v=0,"",_xlpm.v)
),"")</f>
        <v/>
      </c>
      <c r="L671" s="15" t="str">
        <f>IF(OR(COUNTIF(クラス!$A$1:$A$1035, $B671),$B671="",COUNTIF(スキル一覧!$A$1:$A$3500, $B671)), "", "存在しない")</f>
        <v/>
      </c>
      <c r="M671" s="2" t="str">
        <f>IF(COUNTIF($B$1:$C670, $B671), "", "存在しない")</f>
        <v>存在しない</v>
      </c>
      <c r="N671" s="2" t="s">
        <v>1196</v>
      </c>
    </row>
    <row r="672" spans="1:14" ht="36" hidden="1" outlineLevel="1" x14ac:dyDescent="0.4">
      <c r="A672" s="2">
        <v>3</v>
      </c>
      <c r="B672" s="2" t="s">
        <v>847</v>
      </c>
      <c r="D672" s="7"/>
      <c r="E672" s="13" t="s">
        <v>732</v>
      </c>
      <c r="F672" s="14">
        <v>5</v>
      </c>
      <c r="G672" s="19">
        <v>20</v>
      </c>
      <c r="H672" s="10" t="str">
        <f>"効果時間6t 攻撃手段:肉体 "&amp;D669&amp;"+15 判定:攻撃"</f>
        <v>効果時間6t 攻撃手段:肉体 打撃+15 判定:攻撃</v>
      </c>
      <c r="J672" s="6" t="str">
        <f>IFERROR(_xlfn.LET(_xlpm.v,
VLOOKUP($I672,効果!$A:$B,COLUMN(効果!B$1),FALSE),
IF(_xlpm.v=0,"",_xlpm.v)
),"")</f>
        <v/>
      </c>
      <c r="L672" s="15" t="str">
        <f>IF(OR(COUNTIF(クラス!$A$1:$A$1035, $B672),$B672="",COUNTIF(スキル一覧!$A$1:$A$3500, $B672)), "", "存在しない")</f>
        <v>存在しない</v>
      </c>
      <c r="M672" s="2" t="str">
        <f>IF(COUNTIF($B$1:$C671, $B672), "", "存在しない")</f>
        <v>存在しない</v>
      </c>
      <c r="N672" s="2" t="e">
        <v>#VALUE!</v>
      </c>
    </row>
    <row r="673" spans="1:14" hidden="1" outlineLevel="1" x14ac:dyDescent="0.4">
      <c r="A673" s="2">
        <v>4</v>
      </c>
      <c r="D673" s="7"/>
      <c r="J673" s="6" t="str">
        <f>IFERROR(_xlfn.LET(_xlpm.v,
VLOOKUP($I673,効果!$A:$B,COLUMN(効果!B$1),FALSE),
IF(_xlpm.v=0,"",_xlpm.v)
),"")</f>
        <v/>
      </c>
      <c r="L673" s="15" t="str">
        <f>IF(OR(COUNTIF(クラス!$A$1:$A$1035, $B673),$B673="",COUNTIF(スキル一覧!$A$1:$A$3500, $B673)), "", "存在しない")</f>
        <v/>
      </c>
      <c r="M673" s="2" t="str">
        <f>IF(COUNTIF($B$1:$C672, $B673), "", "存在しない")</f>
        <v>存在しない</v>
      </c>
      <c r="N673" s="2" t="s">
        <v>1196</v>
      </c>
    </row>
    <row r="674" spans="1:14" hidden="1" outlineLevel="1" x14ac:dyDescent="0.4">
      <c r="A674" s="2">
        <v>5</v>
      </c>
      <c r="D674" s="7"/>
      <c r="E674" s="13" t="s">
        <v>469</v>
      </c>
      <c r="J674" s="6" t="str">
        <f>IFERROR(_xlfn.LET(_xlpm.v,
VLOOKUP($I674,効果!$A:$B,COLUMN(効果!B$1),FALSE),
IF(_xlpm.v=0,"",_xlpm.v)
),"")</f>
        <v/>
      </c>
      <c r="L674" s="15" t="str">
        <f>IF(OR(COUNTIF(クラス!$A$1:$A$1035, $B674),$B674="",COUNTIF(スキル一覧!$A$1:$A$3500, $B674)), "", "存在しない")</f>
        <v/>
      </c>
      <c r="M674" s="2" t="str">
        <f>IF(COUNTIF($B$1:$C673, $B674), "", "存在しない")</f>
        <v>存在しない</v>
      </c>
      <c r="N674" s="2" t="s">
        <v>1196</v>
      </c>
    </row>
    <row r="675" spans="1:14" ht="36" hidden="1" outlineLevel="1" x14ac:dyDescent="0.4">
      <c r="A675" s="2">
        <v>6</v>
      </c>
      <c r="B675" s="2" t="s">
        <v>730</v>
      </c>
      <c r="D675" s="7" t="s">
        <v>845</v>
      </c>
      <c r="E675" s="13" t="s">
        <v>732</v>
      </c>
      <c r="F675" s="14">
        <v>5</v>
      </c>
      <c r="G675" s="19">
        <v>60</v>
      </c>
      <c r="H675" s="10" t="str">
        <f>"攻撃手段:肉体 打撃+15 "&amp;D669&amp;"+20 追加威力:速度 判定:攻撃 溜め:1t CT:5t"</f>
        <v>攻撃手段:肉体 打撃+15 打撃+20 追加威力:速度 判定:攻撃 溜め:1t CT:5t</v>
      </c>
      <c r="J675" s="6" t="str">
        <f>IFERROR(_xlfn.LET(_xlpm.v,
VLOOKUP($I675,効果!$A:$B,COLUMN(効果!B$1),FALSE),
IF(_xlpm.v=0,"",_xlpm.v)
),"")</f>
        <v/>
      </c>
      <c r="L675" s="15" t="str">
        <f>IF(OR(COUNTIF(クラス!$A$1:$A$1035, $B675),$B675="",COUNTIF(スキル一覧!$A$1:$A$3500, $B675)), "", "存在しない")</f>
        <v>存在しない</v>
      </c>
      <c r="M675" s="2" t="str">
        <f>IF(COUNTIF($B$1:$C674, $B675), "", "存在しない")</f>
        <v/>
      </c>
      <c r="N675" s="2" t="s">
        <v>1196</v>
      </c>
    </row>
    <row r="676" spans="1:14" hidden="1" outlineLevel="1" x14ac:dyDescent="0.4">
      <c r="A676" s="2">
        <v>7</v>
      </c>
      <c r="D676" s="7"/>
      <c r="J676" s="6" t="str">
        <f>IFERROR(_xlfn.LET(_xlpm.v,
VLOOKUP($I676,効果!$A:$B,COLUMN(効果!B$1),FALSE),
IF(_xlpm.v=0,"",_xlpm.v)
),"")</f>
        <v/>
      </c>
      <c r="L676" s="15" t="str">
        <f>IF(OR(COUNTIF(クラス!$A$1:$A$1035, $B676),$B676="",COUNTIF(スキル一覧!$A$1:$A$3500, $B676)), "", "存在しない")</f>
        <v/>
      </c>
      <c r="M676" s="2" t="str">
        <f>IF(COUNTIF($B$1:$C675, $B676), "", "存在しない")</f>
        <v>存在しない</v>
      </c>
      <c r="N676" s="2" t="s">
        <v>1196</v>
      </c>
    </row>
    <row r="677" spans="1:14" hidden="1" outlineLevel="1" x14ac:dyDescent="0.4">
      <c r="A677" s="2">
        <v>8</v>
      </c>
      <c r="D677" s="7"/>
      <c r="J677" s="6" t="str">
        <f>IFERROR(_xlfn.LET(_xlpm.v,
VLOOKUP($I677,効果!$A:$B,COLUMN(効果!B$1),FALSE),
IF(_xlpm.v=0,"",_xlpm.v)
),"")</f>
        <v/>
      </c>
      <c r="L677" s="15" t="str">
        <f>IF(OR(COUNTIF(クラス!$A$1:$A$1035, $B677),$B677="",COUNTIF(スキル一覧!$A$1:$A$3500, $B677)), "", "存在しない")</f>
        <v/>
      </c>
      <c r="M677" s="2" t="str">
        <f>IF(COUNTIF($B$1:$C676, $B677), "", "存在しない")</f>
        <v>存在しない</v>
      </c>
      <c r="N677" s="2" t="s">
        <v>1196</v>
      </c>
    </row>
    <row r="678" spans="1:14" hidden="1" outlineLevel="1" x14ac:dyDescent="0.4">
      <c r="A678" s="2">
        <v>9</v>
      </c>
      <c r="B678" s="2" t="s">
        <v>848</v>
      </c>
      <c r="D678" s="7"/>
      <c r="E678" s="13" t="s">
        <v>469</v>
      </c>
      <c r="H678" s="10" t="str">
        <f>"条件系統:"&amp;D669&amp;" 全威力+10"</f>
        <v>条件系統:打撃 全威力+10</v>
      </c>
      <c r="J678" s="6" t="str">
        <f>IFERROR(_xlfn.LET(_xlpm.v,
VLOOKUP($I678,効果!$A:$B,COLUMN(効果!B$1),FALSE),
IF(_xlpm.v=0,"",_xlpm.v)
),"")</f>
        <v/>
      </c>
      <c r="L678" s="15" t="str">
        <f>IF(OR(COUNTIF(クラス!$A$1:$A$1035, $B678),$B678="",COUNTIF(スキル一覧!$A$1:$A$3500, $B678)), "", "存在しない")</f>
        <v>存在しない</v>
      </c>
      <c r="M678" s="2" t="str">
        <f>IF(COUNTIF($B$1:$C677, $B678), "", "存在しない")</f>
        <v>存在しない</v>
      </c>
      <c r="N678" s="2" t="e">
        <v>#VALUE!</v>
      </c>
    </row>
    <row r="679" spans="1:14" ht="36" hidden="1" outlineLevel="1" x14ac:dyDescent="0.4">
      <c r="A679" s="2">
        <v>10</v>
      </c>
      <c r="B679" s="2" t="s">
        <v>849</v>
      </c>
      <c r="D679" s="7" t="s">
        <v>845</v>
      </c>
      <c r="E679" s="13" t="s">
        <v>732</v>
      </c>
      <c r="G679" s="19">
        <v>25</v>
      </c>
      <c r="H679" s="10" t="str">
        <f>"攻撃手段:吐息 "&amp;D669&amp;"+30 射程:20 判定:Lv"</f>
        <v>攻撃手段:吐息 打撃+30 射程:20 判定:Lv</v>
      </c>
      <c r="I679" s="6" t="s">
        <v>419</v>
      </c>
      <c r="J679" s="6" t="str">
        <f>IFERROR(_xlfn.LET(_xlpm.v,
VLOOKUP($I679,効果!$A:$B,COLUMN(効果!B$1),FALSE),
IF(_xlpm.v=0,"",_xlpm.v)
),"")</f>
        <v>対象を後方へ移動させる</v>
      </c>
      <c r="L679" s="15" t="str">
        <f>IF(OR(COUNTIF(クラス!$A$1:$A$1035, $B679),$B679="",COUNTIF(スキル一覧!$A$1:$A$3500, $B679)), "", "存在しない")</f>
        <v>存在しない</v>
      </c>
      <c r="M679" s="2" t="str">
        <f>IF(COUNTIF($B$1:$C678, $B679), "", "存在しない")</f>
        <v>存在しない</v>
      </c>
      <c r="N679" s="2" t="e">
        <v>#VALUE!</v>
      </c>
    </row>
    <row r="680" spans="1:14" hidden="1" outlineLevel="1" x14ac:dyDescent="0.4">
      <c r="J680" s="6" t="str">
        <f>IFERROR(_xlfn.LET(_xlpm.v,
VLOOKUP($I680,効果!$A:$B,COLUMN(効果!B$1),FALSE),
IF(_xlpm.v=0,"",_xlpm.v)
),"")</f>
        <v/>
      </c>
      <c r="L680" s="15" t="str">
        <f>IF(OR(COUNTIF(クラス!$A$1:$A$1035, $B680),$B680="",COUNTIF(スキル一覧!$A$1:$A$3500, $B680)), "", "存在しない")</f>
        <v/>
      </c>
      <c r="M680" s="2" t="str">
        <f>IF(COUNTIF($B$1:$C679, $B680), "", "存在しない")</f>
        <v>存在しない</v>
      </c>
      <c r="N680" s="2" t="s">
        <v>1196</v>
      </c>
    </row>
    <row r="681" spans="1:14" collapsed="1" x14ac:dyDescent="0.4">
      <c r="J681" s="6" t="str">
        <f>IFERROR(_xlfn.LET(_xlpm.v,
VLOOKUP($I681,効果!$A:$B,COLUMN(効果!B$1),FALSE),
IF(_xlpm.v=0,"",_xlpm.v)
),"")</f>
        <v/>
      </c>
      <c r="L681" s="15" t="str">
        <f>IF(OR(COUNTIF(クラス!$A$1:$A$1035, $B681),$B681="",COUNTIF(スキル一覧!$A$1:$A$3500, $B681)), "", "存在しない")</f>
        <v/>
      </c>
      <c r="M681" s="2" t="str">
        <f>IF(COUNTIF($B$1:$C680, $B681), "", "存在しない")</f>
        <v>存在しない</v>
      </c>
      <c r="N681" s="2" t="s">
        <v>1196</v>
      </c>
    </row>
    <row r="682" spans="1:14" x14ac:dyDescent="0.4">
      <c r="J682" s="6" t="str">
        <f>IFERROR(_xlfn.LET(_xlpm.v,
VLOOKUP($I682,効果!$A:$B,COLUMN(効果!B$1),FALSE),
IF(_xlpm.v=0,"",_xlpm.v)
),"")</f>
        <v/>
      </c>
      <c r="L682" s="15" t="str">
        <f>IF(OR(COUNTIF(クラス!$A$1:$A$1035, $B682),$B682="",COUNTIF(スキル一覧!$A$1:$A$3500, $B682)), "", "存在しない")</f>
        <v/>
      </c>
      <c r="M682" s="2" t="str">
        <f>IF(COUNTIF($B$1:$C681, $B682), "", "存在しない")</f>
        <v>存在しない</v>
      </c>
      <c r="N682" s="2" t="s">
        <v>1196</v>
      </c>
    </row>
    <row r="683" spans="1:14" x14ac:dyDescent="0.4">
      <c r="B683" s="2" t="s">
        <v>773</v>
      </c>
      <c r="J683" s="6" t="str">
        <f>IFERROR(_xlfn.LET(_xlpm.v,
VLOOKUP($I683,効果!$A:$B,COLUMN(効果!B$1),FALSE),
IF(_xlpm.v=0,"",_xlpm.v)
),"")</f>
        <v/>
      </c>
      <c r="L683" s="15" t="str">
        <f>IF(OR(COUNTIF(クラス!$A$1:$A$1035, $B683),$B683="",COUNTIF(スキル一覧!$A$1:$A$3500, $B683)), "", "存在しない")</f>
        <v/>
      </c>
      <c r="M683" s="2" t="str">
        <f>IF(COUNTIF($B$1:$C682, $B683), "", "存在しない")</f>
        <v>存在しない</v>
      </c>
      <c r="N683" s="2" t="s">
        <v>1196</v>
      </c>
    </row>
    <row r="684" spans="1:14" hidden="1" outlineLevel="1" x14ac:dyDescent="0.4">
      <c r="A684" s="2">
        <v>1</v>
      </c>
      <c r="B684" s="2" t="s">
        <v>109</v>
      </c>
      <c r="E684" s="13" t="s">
        <v>732</v>
      </c>
      <c r="J684" s="6" t="str">
        <f>IFERROR(_xlfn.LET(_xlpm.v,
VLOOKUP($I684,効果!$A:$B,COLUMN(効果!B$1),FALSE),
IF(_xlpm.v=0,"",_xlpm.v)
),"")</f>
        <v/>
      </c>
      <c r="L684" s="15" t="str">
        <f>IF(OR(COUNTIF(クラス!$A$1:$A$1035, $B684),$B684="",COUNTIF(スキル一覧!$A$1:$A$3500, $B684)), "", "存在しない")</f>
        <v/>
      </c>
      <c r="M684" s="2" t="str">
        <f>IF(COUNTIF($B$1:$C683, $B684), "", "存在しない")</f>
        <v/>
      </c>
      <c r="N684" s="2" t="s">
        <v>1196</v>
      </c>
    </row>
    <row r="685" spans="1:14" hidden="1" outlineLevel="1" x14ac:dyDescent="0.4">
      <c r="A685" s="2">
        <v>2</v>
      </c>
      <c r="J685" s="6" t="str">
        <f>IFERROR(_xlfn.LET(_xlpm.v,
VLOOKUP($I685,効果!$A:$B,COLUMN(効果!B$1),FALSE),
IF(_xlpm.v=0,"",_xlpm.v)
),"")</f>
        <v/>
      </c>
      <c r="L685" s="15" t="str">
        <f>IF(OR(COUNTIF(クラス!$A$1:$A$1035, $B685),$B685="",COUNTIF(スキル一覧!$A$1:$A$3500, $B685)), "", "存在しない")</f>
        <v/>
      </c>
      <c r="M685" s="2" t="str">
        <f>IF(COUNTIF($B$1:$C684, $B685), "", "存在しない")</f>
        <v>存在しない</v>
      </c>
      <c r="N685" s="2" t="s">
        <v>1196</v>
      </c>
    </row>
    <row r="686" spans="1:14" hidden="1" outlineLevel="1" x14ac:dyDescent="0.4">
      <c r="A686" s="2">
        <v>3</v>
      </c>
      <c r="B686" s="2" t="s">
        <v>826</v>
      </c>
      <c r="E686" s="13" t="s">
        <v>732</v>
      </c>
      <c r="J686" s="6" t="str">
        <f>IFERROR(_xlfn.LET(_xlpm.v,
VLOOKUP($I686,効果!$A:$B,COLUMN(効果!B$1),FALSE),
IF(_xlpm.v=0,"",_xlpm.v)
),"")</f>
        <v/>
      </c>
      <c r="L686" s="15" t="str">
        <f>IF(OR(COUNTIF(クラス!$A$1:$A$1035, $B686),$B686="",COUNTIF(スキル一覧!$A$1:$A$3500, $B686)), "", "存在しない")</f>
        <v/>
      </c>
      <c r="M686" s="2" t="str">
        <f>IF(COUNTIF($B$1:$C685, $B686), "", "存在しない")</f>
        <v/>
      </c>
      <c r="N686" s="2" t="s">
        <v>1196</v>
      </c>
    </row>
    <row r="687" spans="1:14" hidden="1" outlineLevel="1" x14ac:dyDescent="0.4">
      <c r="A687" s="2">
        <v>4</v>
      </c>
      <c r="J687" s="6" t="str">
        <f>IFERROR(_xlfn.LET(_xlpm.v,
VLOOKUP($I687,効果!$A:$B,COLUMN(効果!B$1),FALSE),
IF(_xlpm.v=0,"",_xlpm.v)
),"")</f>
        <v/>
      </c>
      <c r="L687" s="15" t="str">
        <f>IF(OR(COUNTIF(クラス!$A$1:$A$1035, $B687),$B687="",COUNTIF(スキル一覧!$A$1:$A$3500, $B687)), "", "存在しない")</f>
        <v/>
      </c>
      <c r="M687" s="2" t="str">
        <f>IF(COUNTIF($B$1:$C686, $B687), "", "存在しない")</f>
        <v>存在しない</v>
      </c>
      <c r="N687" s="2" t="s">
        <v>1196</v>
      </c>
    </row>
    <row r="688" spans="1:14" hidden="1" outlineLevel="1" x14ac:dyDescent="0.4">
      <c r="A688" s="2">
        <v>5</v>
      </c>
      <c r="B688" s="2" t="s">
        <v>830</v>
      </c>
      <c r="E688" s="13" t="s">
        <v>468</v>
      </c>
      <c r="H688" s="10" t="s">
        <v>831</v>
      </c>
      <c r="J688" s="6" t="str">
        <f>IFERROR(_xlfn.LET(_xlpm.v,
VLOOKUP($I688,効果!$A:$B,COLUMN(効果!B$1),FALSE),
IF(_xlpm.v=0,"",_xlpm.v)
),"")</f>
        <v/>
      </c>
      <c r="L688" s="15" t="str">
        <f>IF(OR(COUNTIF(クラス!$A$1:$A$1035, $B688),$B688="",COUNTIF(スキル一覧!$A$1:$A$3500, $B688)), "", "存在しない")</f>
        <v>存在しない</v>
      </c>
      <c r="M688" s="2" t="str">
        <f>IF(COUNTIF($B$1:$C687, $B688), "", "存在しない")</f>
        <v>存在しない</v>
      </c>
      <c r="N688" s="2" t="e">
        <v>#VALUE!</v>
      </c>
    </row>
    <row r="689" spans="1:14" hidden="1" outlineLevel="1" x14ac:dyDescent="0.4">
      <c r="A689" s="2">
        <v>6</v>
      </c>
      <c r="B689" s="2" t="s">
        <v>828</v>
      </c>
      <c r="E689" s="13" t="s">
        <v>732</v>
      </c>
      <c r="G689" s="19">
        <v>20</v>
      </c>
      <c r="H689" s="10" t="s">
        <v>1840</v>
      </c>
      <c r="J689" s="6" t="str">
        <f>IFERROR(_xlfn.LET(_xlpm.v,
VLOOKUP($I689,効果!$A:$B,COLUMN(効果!B$1),FALSE),
IF(_xlpm.v=0,"",_xlpm.v)
),"")</f>
        <v/>
      </c>
      <c r="L689" s="15" t="str">
        <f>IF(OR(COUNTIF(クラス!$A$1:$A$1035, $B689),$B689="",COUNTIF(スキル一覧!$A$1:$A$3500, $B689)), "", "存在しない")</f>
        <v>存在しない</v>
      </c>
      <c r="M689" s="2" t="str">
        <f>IF(COUNTIF($B$1:$C688, $B689), "", "存在しない")</f>
        <v/>
      </c>
      <c r="N689" s="2" t="s">
        <v>1196</v>
      </c>
    </row>
    <row r="690" spans="1:14" hidden="1" outlineLevel="1" x14ac:dyDescent="0.4">
      <c r="A690" s="2">
        <v>7</v>
      </c>
      <c r="J690" s="6" t="str">
        <f>IFERROR(_xlfn.LET(_xlpm.v,
VLOOKUP($I690,効果!$A:$B,COLUMN(効果!B$1),FALSE),
IF(_xlpm.v=0,"",_xlpm.v)
),"")</f>
        <v/>
      </c>
      <c r="L690" s="15" t="str">
        <f>IF(OR(COUNTIF(クラス!$A$1:$A$1035, $B690),$B690="",COUNTIF(スキル一覧!$A$1:$A$3500, $B690)), "", "存在しない")</f>
        <v/>
      </c>
      <c r="M690" s="2" t="str">
        <f>IF(COUNTIF($B$1:$C689, $B690), "", "存在しない")</f>
        <v>存在しない</v>
      </c>
      <c r="N690" s="2" t="s">
        <v>1196</v>
      </c>
    </row>
    <row r="691" spans="1:14" ht="36" hidden="1" outlineLevel="1" x14ac:dyDescent="0.4">
      <c r="A691" s="2">
        <v>8</v>
      </c>
      <c r="B691" s="2" t="s">
        <v>827</v>
      </c>
      <c r="E691" s="13" t="s">
        <v>732</v>
      </c>
      <c r="H691" s="10" t="s">
        <v>829</v>
      </c>
      <c r="J691" s="6" t="str">
        <f>IFERROR(_xlfn.LET(_xlpm.v,
VLOOKUP($I691,効果!$A:$B,COLUMN(効果!B$1),FALSE),
IF(_xlpm.v=0,"",_xlpm.v)
),"")</f>
        <v/>
      </c>
      <c r="L691" s="15" t="str">
        <f>IF(OR(COUNTIF(クラス!$A$1:$A$1035, $B691),$B691="",COUNTIF(スキル一覧!$A$1:$A$3500, $B691)), "", "存在しない")</f>
        <v>存在しない</v>
      </c>
      <c r="M691" s="2" t="str">
        <f>IF(COUNTIF($B$1:$C690, $B691), "", "存在しない")</f>
        <v>存在しない</v>
      </c>
      <c r="N691" s="2" t="e">
        <v>#VALUE!</v>
      </c>
    </row>
    <row r="692" spans="1:14" hidden="1" outlineLevel="1" x14ac:dyDescent="0.4">
      <c r="A692" s="2">
        <v>9</v>
      </c>
      <c r="B692" s="2" t="s">
        <v>833</v>
      </c>
      <c r="E692" s="13" t="s">
        <v>468</v>
      </c>
      <c r="H692" s="10" t="s">
        <v>832</v>
      </c>
      <c r="J692" s="6" t="str">
        <f>IFERROR(_xlfn.LET(_xlpm.v,
VLOOKUP($I692,効果!$A:$B,COLUMN(効果!B$1),FALSE),
IF(_xlpm.v=0,"",_xlpm.v)
),"")</f>
        <v/>
      </c>
      <c r="L692" s="15" t="str">
        <f>IF(OR(COUNTIF(クラス!$A$1:$A$1035, $B692),$B692="",COUNTIF(スキル一覧!$A$1:$A$3500, $B692)), "", "存在しない")</f>
        <v>存在しない</v>
      </c>
      <c r="M692" s="2" t="str">
        <f>IF(COUNTIF($B$1:$C691, $B692), "", "存在しない")</f>
        <v>存在しない</v>
      </c>
      <c r="N692" s="2" t="e">
        <v>#VALUE!</v>
      </c>
    </row>
    <row r="693" spans="1:14" hidden="1" outlineLevel="1" x14ac:dyDescent="0.4">
      <c r="A693" s="2">
        <v>10</v>
      </c>
      <c r="E693" s="13" t="s">
        <v>732</v>
      </c>
      <c r="G693" s="19">
        <v>20</v>
      </c>
      <c r="J693" s="6" t="str">
        <f>IFERROR(_xlfn.LET(_xlpm.v,
VLOOKUP($I693,効果!$A:$B,COLUMN(効果!B$1),FALSE),
IF(_xlpm.v=0,"",_xlpm.v)
),"")</f>
        <v/>
      </c>
      <c r="L693" s="15" t="str">
        <f>IF(OR(COUNTIF(クラス!$A$1:$A$1035, $B693),$B693="",COUNTIF(スキル一覧!$A$1:$A$3500, $B693)), "", "存在しない")</f>
        <v/>
      </c>
      <c r="M693" s="2" t="str">
        <f>IF(COUNTIF($B$1:$C692, $B693), "", "存在しない")</f>
        <v>存在しない</v>
      </c>
      <c r="N693" s="2" t="s">
        <v>1196</v>
      </c>
    </row>
    <row r="694" spans="1:14" hidden="1" outlineLevel="1" x14ac:dyDescent="0.4">
      <c r="J694" s="6" t="str">
        <f>IFERROR(_xlfn.LET(_xlpm.v,
VLOOKUP($I694,効果!$A:$B,COLUMN(効果!B$1),FALSE),
IF(_xlpm.v=0,"",_xlpm.v)
),"")</f>
        <v/>
      </c>
      <c r="L694" s="15" t="str">
        <f>IF(OR(COUNTIF(クラス!$A$1:$A$1035, $B694),$B694="",COUNTIF(スキル一覧!$A$1:$A$3500, $B694)), "", "存在しない")</f>
        <v/>
      </c>
      <c r="M694" s="2" t="str">
        <f>IF(COUNTIF($B$1:$C693, $B694), "", "存在しない")</f>
        <v>存在しない</v>
      </c>
      <c r="N694" s="2" t="s">
        <v>1196</v>
      </c>
    </row>
    <row r="695" spans="1:14" collapsed="1" x14ac:dyDescent="0.4">
      <c r="J695" s="6" t="str">
        <f>IFERROR(_xlfn.LET(_xlpm.v,
VLOOKUP($I695,効果!$A:$B,COLUMN(効果!B$1),FALSE),
IF(_xlpm.v=0,"",_xlpm.v)
),"")</f>
        <v/>
      </c>
      <c r="L695" s="15" t="str">
        <f>IF(OR(COUNTIF(クラス!$A$1:$A$1035, $B695),$B695="",COUNTIF(スキル一覧!$A$1:$A$3500, $B695)), "", "存在しない")</f>
        <v/>
      </c>
      <c r="M695" s="2" t="str">
        <f>IF(COUNTIF($B$1:$C694, $B695), "", "存在しない")</f>
        <v>存在しない</v>
      </c>
      <c r="N695" s="2" t="s">
        <v>1196</v>
      </c>
    </row>
    <row r="696" spans="1:14" x14ac:dyDescent="0.4">
      <c r="J696" s="6" t="str">
        <f>IFERROR(_xlfn.LET(_xlpm.v,
VLOOKUP($I696,効果!$A:$B,COLUMN(効果!B$1),FALSE),
IF(_xlpm.v=0,"",_xlpm.v)
),"")</f>
        <v/>
      </c>
      <c r="L696" s="15" t="str">
        <f>IF(OR(COUNTIF(クラス!$A$1:$A$1035, $B696),$B696="",COUNTIF(スキル一覧!$A$1:$A$3500, $B696)), "", "存在しない")</f>
        <v/>
      </c>
      <c r="M696" s="2" t="str">
        <f>IF(COUNTIF($B$1:$C695, $B696), "", "存在しない")</f>
        <v>存在しない</v>
      </c>
      <c r="N696" s="2" t="s">
        <v>1196</v>
      </c>
    </row>
    <row r="697" spans="1:14" x14ac:dyDescent="0.4">
      <c r="J697" s="6" t="str">
        <f>IFERROR(_xlfn.LET(_xlpm.v,
VLOOKUP($I697,効果!$A:$B,COLUMN(効果!B$1),FALSE),
IF(_xlpm.v=0,"",_xlpm.v)
),"")</f>
        <v/>
      </c>
      <c r="L697" s="15" t="str">
        <f>IF(OR(COUNTIF(クラス!$A$1:$A$1035, $B697),$B697="",COUNTIF(スキル一覧!$A$1:$A$3500, $B697)), "", "存在しない")</f>
        <v/>
      </c>
      <c r="M697" s="2" t="str">
        <f>IF(COUNTIF($B$1:$C696, $B697), "", "存在しない")</f>
        <v>存在しない</v>
      </c>
      <c r="N697" s="2" t="s">
        <v>1196</v>
      </c>
    </row>
    <row r="698" spans="1:14" x14ac:dyDescent="0.4">
      <c r="J698" s="6" t="str">
        <f>IFERROR(_xlfn.LET(_xlpm.v,
VLOOKUP($I698,効果!$A:$B,COLUMN(効果!B$1),FALSE),
IF(_xlpm.v=0,"",_xlpm.v)
),"")</f>
        <v/>
      </c>
      <c r="L698" s="15" t="str">
        <f>IF(OR(COUNTIF(クラス!$A$1:$A$1035, $B698),$B698="",COUNTIF(スキル一覧!$A$1:$A$3500, $B698)), "", "存在しない")</f>
        <v/>
      </c>
      <c r="M698" s="2" t="str">
        <f>IF(COUNTIF($B$1:$C697, $B698), "", "存在しない")</f>
        <v>存在しない</v>
      </c>
      <c r="N698" s="2" t="s">
        <v>1196</v>
      </c>
    </row>
    <row r="699" spans="1:14" x14ac:dyDescent="0.4">
      <c r="J699" s="6" t="str">
        <f>IFERROR(_xlfn.LET(_xlpm.v,
VLOOKUP($I699,効果!$A:$B,COLUMN(効果!B$1),FALSE),
IF(_xlpm.v=0,"",_xlpm.v)
),"")</f>
        <v/>
      </c>
      <c r="L699" s="15" t="str">
        <f>IF(OR(COUNTIF(クラス!$A$1:$A$1035, $B699),$B699="",COUNTIF(スキル一覧!$A$1:$A$3500, $B699)), "", "存在しない")</f>
        <v/>
      </c>
      <c r="M699" s="2" t="str">
        <f>IF(COUNTIF($B$1:$C698, $B699), "", "存在しない")</f>
        <v>存在しない</v>
      </c>
      <c r="N699" s="2" t="s">
        <v>1196</v>
      </c>
    </row>
    <row r="700" spans="1:14" x14ac:dyDescent="0.4">
      <c r="J700" s="6" t="str">
        <f>IFERROR(_xlfn.LET(_xlpm.v,
VLOOKUP($I700,効果!$A:$B,COLUMN(効果!B$1),FALSE),
IF(_xlpm.v=0,"",_xlpm.v)
),"")</f>
        <v/>
      </c>
      <c r="L700" s="15" t="str">
        <f>IF(OR(COUNTIF(クラス!$A$1:$A$1035, $B700),$B700="",COUNTIF(スキル一覧!$A$1:$A$3500, $B700)), "", "存在しない")</f>
        <v/>
      </c>
      <c r="M700" s="2" t="str">
        <f>IF(COUNTIF($B$1:$C699, $B700), "", "存在しない")</f>
        <v>存在しない</v>
      </c>
      <c r="N700" s="2" t="s">
        <v>1196</v>
      </c>
    </row>
    <row r="701" spans="1:14" x14ac:dyDescent="0.4">
      <c r="J701" s="6" t="str">
        <f>IFERROR(_xlfn.LET(_xlpm.v,
VLOOKUP($I701,効果!$A:$B,COLUMN(効果!B$1),FALSE),
IF(_xlpm.v=0,"",_xlpm.v)
),"")</f>
        <v/>
      </c>
      <c r="L701" s="15" t="str">
        <f>IF(OR(COUNTIF(クラス!$A$1:$A$1035, $B701),$B701="",COUNTIF(スキル一覧!$A$1:$A$3500, $B701)), "", "存在しない")</f>
        <v/>
      </c>
      <c r="M701" s="2" t="str">
        <f>IF(COUNTIF($B$1:$C700, $B701), "", "存在しない")</f>
        <v>存在しない</v>
      </c>
      <c r="N701" s="2" t="s">
        <v>1196</v>
      </c>
    </row>
    <row r="702" spans="1:14" x14ac:dyDescent="0.4">
      <c r="J702" s="6" t="str">
        <f>IFERROR(_xlfn.LET(_xlpm.v,
VLOOKUP($I702,効果!$A:$B,COLUMN(効果!B$1),FALSE),
IF(_xlpm.v=0,"",_xlpm.v)
),"")</f>
        <v/>
      </c>
      <c r="L702" s="15" t="str">
        <f>IF(OR(COUNTIF(クラス!$A$1:$A$1035, $B702),$B702="",COUNTIF(スキル一覧!$A$1:$A$3500, $B702)), "", "存在しない")</f>
        <v/>
      </c>
      <c r="M702" s="2" t="str">
        <f>IF(COUNTIF($B$1:$C701, $B702), "", "存在しない")</f>
        <v>存在しない</v>
      </c>
      <c r="N702" s="2" t="s">
        <v>1196</v>
      </c>
    </row>
    <row r="703" spans="1:14" x14ac:dyDescent="0.4">
      <c r="J703" s="6" t="str">
        <f>IFERROR(_xlfn.LET(_xlpm.v,
VLOOKUP($I703,効果!$A:$B,COLUMN(効果!B$1),FALSE),
IF(_xlpm.v=0,"",_xlpm.v)
),"")</f>
        <v/>
      </c>
      <c r="L703" s="15" t="str">
        <f>IF(OR(COUNTIF(クラス!$A$1:$A$1035, $B703),$B703="",COUNTIF(スキル一覧!$A$1:$A$3500, $B703)), "", "存在しない")</f>
        <v/>
      </c>
      <c r="M703" s="2" t="str">
        <f>IF(COUNTIF($B$1:$C702, $B703), "", "存在しない")</f>
        <v>存在しない</v>
      </c>
      <c r="N703" s="2" t="s">
        <v>1196</v>
      </c>
    </row>
    <row r="704" spans="1:14" x14ac:dyDescent="0.4">
      <c r="J704" s="6" t="str">
        <f>IFERROR(_xlfn.LET(_xlpm.v,
VLOOKUP($I704,効果!$A:$B,COLUMN(効果!B$1),FALSE),
IF(_xlpm.v=0,"",_xlpm.v)
),"")</f>
        <v/>
      </c>
      <c r="L704" s="15" t="str">
        <f>IF(OR(COUNTIF(クラス!$A$1:$A$1035, $B704),$B704="",COUNTIF(スキル一覧!$A$1:$A$3500, $B704)), "", "存在しない")</f>
        <v/>
      </c>
      <c r="M704" s="2" t="str">
        <f>IF(COUNTIF($B$1:$C703, $B704), "", "存在しない")</f>
        <v>存在しない</v>
      </c>
      <c r="N704" s="2" t="s">
        <v>1196</v>
      </c>
    </row>
    <row r="705" spans="10:14" x14ac:dyDescent="0.4">
      <c r="J705" s="6" t="str">
        <f>IFERROR(_xlfn.LET(_xlpm.v,
VLOOKUP($I705,効果!$A:$B,COLUMN(効果!B$1),FALSE),
IF(_xlpm.v=0,"",_xlpm.v)
),"")</f>
        <v/>
      </c>
      <c r="L705" s="15" t="str">
        <f>IF(OR(COUNTIF(クラス!$A$1:$A$1035, $B705),$B705="",COUNTIF(スキル一覧!$A$1:$A$3500, $B705)), "", "存在しない")</f>
        <v/>
      </c>
      <c r="M705" s="2" t="str">
        <f>IF(COUNTIF($B$1:$C704, $B705), "", "存在しない")</f>
        <v>存在しない</v>
      </c>
      <c r="N705" s="2" t="s">
        <v>1196</v>
      </c>
    </row>
    <row r="706" spans="10:14" x14ac:dyDescent="0.4">
      <c r="J706" s="6" t="str">
        <f>IFERROR(_xlfn.LET(_xlpm.v,
VLOOKUP($I706,効果!$A:$B,COLUMN(効果!B$1),FALSE),
IF(_xlpm.v=0,"",_xlpm.v)
),"")</f>
        <v/>
      </c>
      <c r="L706" s="15" t="str">
        <f>IF(OR(COUNTIF(クラス!$A$1:$A$1035, $B706),$B706="",COUNTIF(スキル一覧!$A$1:$A$3500, $B706)), "", "存在しない")</f>
        <v/>
      </c>
      <c r="M706" s="2" t="str">
        <f>IF(COUNTIF($B$1:$C705, $B706), "", "存在しない")</f>
        <v>存在しない</v>
      </c>
      <c r="N706" s="2" t="s">
        <v>1196</v>
      </c>
    </row>
    <row r="707" spans="10:14" x14ac:dyDescent="0.4">
      <c r="J707" s="6" t="str">
        <f>IFERROR(_xlfn.LET(_xlpm.v,
VLOOKUP($I707,効果!$A:$B,COLUMN(効果!B$1),FALSE),
IF(_xlpm.v=0,"",_xlpm.v)
),"")</f>
        <v/>
      </c>
      <c r="L707" s="15" t="str">
        <f>IF(OR(COUNTIF(クラス!$A$1:$A$1035, $B707),$B707="",COUNTIF(スキル一覧!$A$1:$A$3500, $B707)), "", "存在しない")</f>
        <v/>
      </c>
      <c r="M707" s="2" t="str">
        <f>IF(COUNTIF($B$1:$C706, $B707), "", "存在しない")</f>
        <v>存在しない</v>
      </c>
      <c r="N707" s="2" t="s">
        <v>1196</v>
      </c>
    </row>
    <row r="708" spans="10:14" x14ac:dyDescent="0.4">
      <c r="J708" s="6" t="str">
        <f>IFERROR(_xlfn.LET(_xlpm.v,
VLOOKUP($I708,効果!$A:$B,COLUMN(効果!B$1),FALSE),
IF(_xlpm.v=0,"",_xlpm.v)
),"")</f>
        <v/>
      </c>
      <c r="L708" s="15" t="str">
        <f>IF(OR(COUNTIF(クラス!$A$1:$A$1035, $B708),$B708="",COUNTIF(スキル一覧!$A$1:$A$3500, $B708)), "", "存在しない")</f>
        <v/>
      </c>
      <c r="M708" s="2" t="str">
        <f>IF(COUNTIF($B$1:$C707, $B708), "", "存在しない")</f>
        <v>存在しない</v>
      </c>
      <c r="N708" s="2" t="s">
        <v>1196</v>
      </c>
    </row>
    <row r="709" spans="10:14" x14ac:dyDescent="0.4">
      <c r="J709" s="6" t="str">
        <f>IFERROR(_xlfn.LET(_xlpm.v,
VLOOKUP($I709,効果!$A:$B,COLUMN(効果!B$1),FALSE),
IF(_xlpm.v=0,"",_xlpm.v)
),"")</f>
        <v/>
      </c>
      <c r="L709" s="15" t="str">
        <f>IF(OR(COUNTIF(クラス!$A$1:$A$1035, $B709),$B709="",COUNTIF(スキル一覧!$A$1:$A$3500, $B709)), "", "存在しない")</f>
        <v/>
      </c>
      <c r="M709" s="2" t="str">
        <f>IF(COUNTIF($B$1:$C708, $B709), "", "存在しない")</f>
        <v>存在しない</v>
      </c>
      <c r="N709" s="2" t="s">
        <v>1196</v>
      </c>
    </row>
    <row r="710" spans="10:14" x14ac:dyDescent="0.4">
      <c r="J710" s="6" t="str">
        <f>IFERROR(_xlfn.LET(_xlpm.v,
VLOOKUP($I710,効果!$A:$B,COLUMN(効果!B$1),FALSE),
IF(_xlpm.v=0,"",_xlpm.v)
),"")</f>
        <v/>
      </c>
      <c r="L710" s="15" t="str">
        <f>IF(OR(COUNTIF(クラス!$A$1:$A$1035, $B710),$B710="",COUNTIF(スキル一覧!$A$1:$A$3500, $B710)), "", "存在しない")</f>
        <v/>
      </c>
      <c r="M710" s="2" t="str">
        <f>IF(COUNTIF($B$1:$C709, $B710), "", "存在しない")</f>
        <v>存在しない</v>
      </c>
      <c r="N710" s="2" t="s">
        <v>1196</v>
      </c>
    </row>
    <row r="711" spans="10:14" x14ac:dyDescent="0.4">
      <c r="J711" s="6" t="str">
        <f>IFERROR(_xlfn.LET(_xlpm.v,
VLOOKUP($I711,効果!$A:$B,COLUMN(効果!B$1),FALSE),
IF(_xlpm.v=0,"",_xlpm.v)
),"")</f>
        <v/>
      </c>
      <c r="L711" s="15" t="str">
        <f>IF(OR(COUNTIF(クラス!$A$1:$A$1035, $B711),$B711="",COUNTIF(スキル一覧!$A$1:$A$3500, $B711)), "", "存在しない")</f>
        <v/>
      </c>
      <c r="M711" s="2" t="str">
        <f>IF(COUNTIF($B$1:$C710, $B711), "", "存在しない")</f>
        <v>存在しない</v>
      </c>
      <c r="N711" s="2" t="s">
        <v>1196</v>
      </c>
    </row>
    <row r="712" spans="10:14" x14ac:dyDescent="0.4">
      <c r="J712" s="6" t="str">
        <f>IFERROR(_xlfn.LET(_xlpm.v,
VLOOKUP($I712,効果!$A:$B,COLUMN(効果!B$1),FALSE),
IF(_xlpm.v=0,"",_xlpm.v)
),"")</f>
        <v/>
      </c>
      <c r="L712" s="15" t="str">
        <f>IF(OR(COUNTIF(クラス!$A$1:$A$1035, $B712),$B712="",COUNTIF(スキル一覧!$A$1:$A$3500, $B712)), "", "存在しない")</f>
        <v/>
      </c>
      <c r="M712" s="2" t="str">
        <f>IF(COUNTIF($B$1:$C711, $B712), "", "存在しない")</f>
        <v>存在しない</v>
      </c>
      <c r="N712" s="2" t="s">
        <v>1196</v>
      </c>
    </row>
    <row r="713" spans="10:14" x14ac:dyDescent="0.4">
      <c r="J713" s="6" t="str">
        <f>IFERROR(_xlfn.LET(_xlpm.v,
VLOOKUP($I713,効果!$A:$B,COLUMN(効果!B$1),FALSE),
IF(_xlpm.v=0,"",_xlpm.v)
),"")</f>
        <v/>
      </c>
      <c r="L713" s="15" t="str">
        <f>IF(OR(COUNTIF(クラス!$A$1:$A$1035, $B713),$B713="",COUNTIF(スキル一覧!$A$1:$A$3500, $B713)), "", "存在しない")</f>
        <v/>
      </c>
      <c r="M713" s="2" t="str">
        <f>IF(COUNTIF($B$1:$C712, $B713), "", "存在しない")</f>
        <v>存在しない</v>
      </c>
      <c r="N713" s="2" t="s">
        <v>1196</v>
      </c>
    </row>
    <row r="714" spans="10:14" x14ac:dyDescent="0.4">
      <c r="J714" s="6" t="str">
        <f>IFERROR(_xlfn.LET(_xlpm.v,
VLOOKUP($I714,効果!$A:$B,COLUMN(効果!B$1),FALSE),
IF(_xlpm.v=0,"",_xlpm.v)
),"")</f>
        <v/>
      </c>
      <c r="L714" s="15" t="str">
        <f>IF(OR(COUNTIF(クラス!$A$1:$A$1035, $B714),$B714="",COUNTIF(スキル一覧!$A$1:$A$3500, $B714)), "", "存在しない")</f>
        <v/>
      </c>
      <c r="M714" s="2" t="str">
        <f>IF(COUNTIF($B$1:$C713, $B714), "", "存在しない")</f>
        <v>存在しない</v>
      </c>
      <c r="N714" s="2" t="s">
        <v>1196</v>
      </c>
    </row>
    <row r="715" spans="10:14" x14ac:dyDescent="0.4">
      <c r="J715" s="6" t="str">
        <f>IFERROR(_xlfn.LET(_xlpm.v,
VLOOKUP($I715,効果!$A:$B,COLUMN(効果!B$1),FALSE),
IF(_xlpm.v=0,"",_xlpm.v)
),"")</f>
        <v/>
      </c>
      <c r="L715" s="15" t="str">
        <f>IF(OR(COUNTIF(クラス!$A$1:$A$1035, $B715),$B715="",COUNTIF(スキル一覧!$A$1:$A$3500, $B715)), "", "存在しない")</f>
        <v/>
      </c>
      <c r="M715" s="2" t="str">
        <f>IF(COUNTIF($B$1:$C714, $B715), "", "存在しない")</f>
        <v>存在しない</v>
      </c>
      <c r="N715" s="2" t="s">
        <v>1196</v>
      </c>
    </row>
    <row r="716" spans="10:14" x14ac:dyDescent="0.4">
      <c r="J716" s="6" t="str">
        <f>IFERROR(_xlfn.LET(_xlpm.v,
VLOOKUP($I716,効果!$A:$B,COLUMN(効果!B$1),FALSE),
IF(_xlpm.v=0,"",_xlpm.v)
),"")</f>
        <v/>
      </c>
      <c r="L716" s="15" t="str">
        <f>IF(OR(COUNTIF(クラス!$A$1:$A$1035, $B716),$B716="",COUNTIF(スキル一覧!$A$1:$A$3500, $B716)), "", "存在しない")</f>
        <v/>
      </c>
      <c r="M716" s="2" t="str">
        <f>IF(COUNTIF($B$1:$C715, $B716), "", "存在しない")</f>
        <v>存在しない</v>
      </c>
      <c r="N716" s="2" t="s">
        <v>1196</v>
      </c>
    </row>
    <row r="717" spans="10:14" x14ac:dyDescent="0.4">
      <c r="J717" s="6" t="str">
        <f>IFERROR(_xlfn.LET(_xlpm.v,
VLOOKUP($I717,効果!$A:$B,COLUMN(効果!B$1),FALSE),
IF(_xlpm.v=0,"",_xlpm.v)
),"")</f>
        <v/>
      </c>
      <c r="L717" s="15" t="str">
        <f>IF(OR(COUNTIF(クラス!$A$1:$A$1035, $B717),$B717="",COUNTIF(スキル一覧!$A$1:$A$3500, $B717)), "", "存在しない")</f>
        <v/>
      </c>
      <c r="M717" s="2" t="str">
        <f>IF(COUNTIF($B$1:$C716, $B717), "", "存在しない")</f>
        <v>存在しない</v>
      </c>
      <c r="N717" s="2" t="s">
        <v>1196</v>
      </c>
    </row>
    <row r="718" spans="10:14" x14ac:dyDescent="0.4">
      <c r="J718" s="6" t="str">
        <f>IFERROR(_xlfn.LET(_xlpm.v,
VLOOKUP($I718,効果!$A:$B,COLUMN(効果!B$1),FALSE),
IF(_xlpm.v=0,"",_xlpm.v)
),"")</f>
        <v/>
      </c>
      <c r="L718" s="15" t="str">
        <f>IF(OR(COUNTIF(クラス!$A$1:$A$1035, $B718),$B718="",COUNTIF(スキル一覧!$A$1:$A$3500, $B718)), "", "存在しない")</f>
        <v/>
      </c>
      <c r="M718" s="2" t="str">
        <f>IF(COUNTIF($B$1:$C717, $B718), "", "存在しない")</f>
        <v>存在しない</v>
      </c>
      <c r="N718" s="2" t="s">
        <v>1196</v>
      </c>
    </row>
    <row r="719" spans="10:14" x14ac:dyDescent="0.4">
      <c r="J719" s="6" t="str">
        <f>IFERROR(_xlfn.LET(_xlpm.v,
VLOOKUP($I719,効果!$A:$B,COLUMN(効果!B$1),FALSE),
IF(_xlpm.v=0,"",_xlpm.v)
),"")</f>
        <v/>
      </c>
      <c r="L719" s="15" t="str">
        <f>IF(OR(COUNTIF(クラス!$A$1:$A$1035, $B719),$B719="",COUNTIF(スキル一覧!$A$1:$A$3500, $B719)), "", "存在しない")</f>
        <v/>
      </c>
      <c r="M719" s="2" t="str">
        <f>IF(COUNTIF($B$1:$C718, $B719), "", "存在しない")</f>
        <v>存在しない</v>
      </c>
      <c r="N719" s="2" t="s">
        <v>1196</v>
      </c>
    </row>
    <row r="720" spans="10:14" x14ac:dyDescent="0.4">
      <c r="J720" s="6" t="str">
        <f>IFERROR(_xlfn.LET(_xlpm.v,
VLOOKUP($I720,効果!$A:$B,COLUMN(効果!B$1),FALSE),
IF(_xlpm.v=0,"",_xlpm.v)
),"")</f>
        <v/>
      </c>
      <c r="L720" s="15" t="str">
        <f>IF(OR(COUNTIF(クラス!$A$1:$A$1035, $B720),$B720="",COUNTIF(スキル一覧!$A$1:$A$3500, $B720)), "", "存在しない")</f>
        <v/>
      </c>
      <c r="M720" s="2" t="str">
        <f>IF(COUNTIF($B$1:$C719, $B720), "", "存在しない")</f>
        <v>存在しない</v>
      </c>
      <c r="N720" s="2" t="s">
        <v>1196</v>
      </c>
    </row>
    <row r="721" spans="10:14" x14ac:dyDescent="0.4">
      <c r="J721" s="6" t="str">
        <f>IFERROR(_xlfn.LET(_xlpm.v,
VLOOKUP($I721,効果!$A:$B,COLUMN(効果!B$1),FALSE),
IF(_xlpm.v=0,"",_xlpm.v)
),"")</f>
        <v/>
      </c>
      <c r="L721" s="15" t="str">
        <f>IF(OR(COUNTIF(クラス!$A$1:$A$1035, $B721),$B721="",COUNTIF(スキル一覧!$A$1:$A$3500, $B721)), "", "存在しない")</f>
        <v/>
      </c>
      <c r="M721" s="2" t="str">
        <f>IF(COUNTIF($B$1:$C720, $B721), "", "存在しない")</f>
        <v>存在しない</v>
      </c>
      <c r="N721" s="2" t="s">
        <v>1196</v>
      </c>
    </row>
    <row r="722" spans="10:14" x14ac:dyDescent="0.4">
      <c r="J722" s="6" t="str">
        <f>IFERROR(_xlfn.LET(_xlpm.v,
VLOOKUP($I722,効果!$A:$B,COLUMN(効果!B$1),FALSE),
IF(_xlpm.v=0,"",_xlpm.v)
),"")</f>
        <v/>
      </c>
      <c r="L722" s="15" t="str">
        <f>IF(OR(COUNTIF(クラス!$A$1:$A$1035, $B722),$B722="",COUNTIF(スキル一覧!$A$1:$A$3500, $B722)), "", "存在しない")</f>
        <v/>
      </c>
      <c r="M722" s="2" t="str">
        <f>IF(COUNTIF($B$1:$C721, $B722), "", "存在しない")</f>
        <v>存在しない</v>
      </c>
      <c r="N722" s="2" t="s">
        <v>1196</v>
      </c>
    </row>
    <row r="723" spans="10:14" x14ac:dyDescent="0.4">
      <c r="J723" s="6" t="str">
        <f>IFERROR(_xlfn.LET(_xlpm.v,
VLOOKUP($I723,効果!$A:$B,COLUMN(効果!B$1),FALSE),
IF(_xlpm.v=0,"",_xlpm.v)
),"")</f>
        <v/>
      </c>
      <c r="L723" s="15" t="str">
        <f>IF(OR(COUNTIF(クラス!$A$1:$A$1035, $B723),$B723="",COUNTIF(スキル一覧!$A$1:$A$3500, $B723)), "", "存在しない")</f>
        <v/>
      </c>
      <c r="M723" s="2" t="str">
        <f>IF(COUNTIF($B$1:$C722, $B723), "", "存在しない")</f>
        <v>存在しない</v>
      </c>
      <c r="N723" s="2" t="s">
        <v>1196</v>
      </c>
    </row>
    <row r="724" spans="10:14" x14ac:dyDescent="0.4">
      <c r="J724" s="6" t="str">
        <f>IFERROR(_xlfn.LET(_xlpm.v,
VLOOKUP($I724,効果!$A:$B,COLUMN(効果!B$1),FALSE),
IF(_xlpm.v=0,"",_xlpm.v)
),"")</f>
        <v/>
      </c>
      <c r="L724" s="15" t="str">
        <f>IF(OR(COUNTIF(クラス!$A$1:$A$1035, $B724),$B724="",COUNTIF(スキル一覧!$A$1:$A$3500, $B724)), "", "存在しない")</f>
        <v/>
      </c>
      <c r="M724" s="2" t="str">
        <f>IF(COUNTIF($B$1:$C723, $B724), "", "存在しない")</f>
        <v>存在しない</v>
      </c>
      <c r="N724" s="2" t="s">
        <v>1196</v>
      </c>
    </row>
    <row r="725" spans="10:14" x14ac:dyDescent="0.4">
      <c r="J725" s="6" t="str">
        <f>IFERROR(_xlfn.LET(_xlpm.v,
VLOOKUP($I725,効果!$A:$B,COLUMN(効果!B$1),FALSE),
IF(_xlpm.v=0,"",_xlpm.v)
),"")</f>
        <v/>
      </c>
      <c r="L725" s="15" t="str">
        <f>IF(OR(COUNTIF(クラス!$A$1:$A$1035, $B725),$B725="",COUNTIF(スキル一覧!$A$1:$A$3500, $B725)), "", "存在しない")</f>
        <v/>
      </c>
      <c r="M725" s="2" t="str">
        <f>IF(COUNTIF($B$1:$C724, $B725), "", "存在しない")</f>
        <v>存在しない</v>
      </c>
      <c r="N725" s="2" t="s">
        <v>1196</v>
      </c>
    </row>
    <row r="726" spans="10:14" x14ac:dyDescent="0.4">
      <c r="J726" s="6" t="str">
        <f>IFERROR(_xlfn.LET(_xlpm.v,
VLOOKUP($I726,効果!$A:$B,COLUMN(効果!B$1),FALSE),
IF(_xlpm.v=0,"",_xlpm.v)
),"")</f>
        <v/>
      </c>
      <c r="L726" s="15" t="str">
        <f>IF(OR(COUNTIF(クラス!$A$1:$A$1035, $B726),$B726="",COUNTIF(スキル一覧!$A$1:$A$3500, $B726)), "", "存在しない")</f>
        <v/>
      </c>
      <c r="M726" s="2" t="str">
        <f>IF(COUNTIF($B$1:$C725, $B726), "", "存在しない")</f>
        <v>存在しない</v>
      </c>
      <c r="N726" s="2" t="s">
        <v>1196</v>
      </c>
    </row>
    <row r="727" spans="10:14" x14ac:dyDescent="0.4">
      <c r="J727" s="6" t="str">
        <f>IFERROR(_xlfn.LET(_xlpm.v,
VLOOKUP($I727,効果!$A:$B,COLUMN(効果!B$1),FALSE),
IF(_xlpm.v=0,"",_xlpm.v)
),"")</f>
        <v/>
      </c>
      <c r="L727" s="15" t="str">
        <f>IF(OR(COUNTIF(クラス!$A$1:$A$1035, $B727),$B727="",COUNTIF(スキル一覧!$A$1:$A$3500, $B727)), "", "存在しない")</f>
        <v/>
      </c>
      <c r="M727" s="2" t="str">
        <f>IF(COUNTIF($B$1:$C726, $B727), "", "存在しない")</f>
        <v>存在しない</v>
      </c>
      <c r="N727" s="2" t="s">
        <v>1196</v>
      </c>
    </row>
    <row r="728" spans="10:14" x14ac:dyDescent="0.4">
      <c r="J728" s="6" t="str">
        <f>IFERROR(_xlfn.LET(_xlpm.v,
VLOOKUP($I728,効果!$A:$B,COLUMN(効果!B$1),FALSE),
IF(_xlpm.v=0,"",_xlpm.v)
),"")</f>
        <v/>
      </c>
      <c r="L728" s="15" t="str">
        <f>IF(OR(COUNTIF(クラス!$A$1:$A$1035, $B728),$B728="",COUNTIF(スキル一覧!$A$1:$A$3500, $B728)), "", "存在しない")</f>
        <v/>
      </c>
      <c r="M728" s="2" t="str">
        <f>IF(COUNTIF($B$1:$C727, $B728), "", "存在しない")</f>
        <v>存在しない</v>
      </c>
      <c r="N728" s="2" t="s">
        <v>1196</v>
      </c>
    </row>
    <row r="729" spans="10:14" x14ac:dyDescent="0.4">
      <c r="J729" s="6" t="str">
        <f>IFERROR(_xlfn.LET(_xlpm.v,
VLOOKUP($I729,効果!$A:$B,COLUMN(効果!B$1),FALSE),
IF(_xlpm.v=0,"",_xlpm.v)
),"")</f>
        <v/>
      </c>
      <c r="L729" s="15" t="str">
        <f>IF(OR(COUNTIF(クラス!$A$1:$A$1035, $B729),$B729="",COUNTIF(スキル一覧!$A$1:$A$3500, $B729)), "", "存在しない")</f>
        <v/>
      </c>
      <c r="M729" s="2" t="str">
        <f>IF(COUNTIF($B$1:$C728, $B729), "", "存在しない")</f>
        <v>存在しない</v>
      </c>
      <c r="N729" s="2" t="s">
        <v>1196</v>
      </c>
    </row>
    <row r="730" spans="10:14" x14ac:dyDescent="0.4">
      <c r="J730" s="6" t="str">
        <f>IFERROR(_xlfn.LET(_xlpm.v,
VLOOKUP($I730,効果!$A:$B,COLUMN(効果!B$1),FALSE),
IF(_xlpm.v=0,"",_xlpm.v)
),"")</f>
        <v/>
      </c>
      <c r="L730" s="15" t="str">
        <f>IF(OR(COUNTIF(クラス!$A$1:$A$1035, $B730),$B730="",COUNTIF(スキル一覧!$A$1:$A$3500, $B730)), "", "存在しない")</f>
        <v/>
      </c>
      <c r="M730" s="2" t="str">
        <f>IF(COUNTIF($B$1:$C729, $B730), "", "存在しない")</f>
        <v>存在しない</v>
      </c>
      <c r="N730" s="2" t="s">
        <v>1196</v>
      </c>
    </row>
    <row r="731" spans="10:14" x14ac:dyDescent="0.4">
      <c r="J731" s="6" t="str">
        <f>IFERROR(_xlfn.LET(_xlpm.v,
VLOOKUP($I731,効果!$A:$B,COLUMN(効果!B$1),FALSE),
IF(_xlpm.v=0,"",_xlpm.v)
),"")</f>
        <v/>
      </c>
      <c r="L731" s="15" t="str">
        <f>IF(OR(COUNTIF(クラス!$A$1:$A$1035, $B731),$B731="",COUNTIF(スキル一覧!$A$1:$A$3500, $B731)), "", "存在しない")</f>
        <v/>
      </c>
      <c r="M731" s="2" t="str">
        <f>IF(COUNTIF($B$1:$C730, $B731), "", "存在しない")</f>
        <v>存在しない</v>
      </c>
      <c r="N731" s="2" t="s">
        <v>1196</v>
      </c>
    </row>
    <row r="732" spans="10:14" x14ac:dyDescent="0.4">
      <c r="J732" s="6" t="str">
        <f>IFERROR(_xlfn.LET(_xlpm.v,
VLOOKUP($I732,効果!$A:$B,COLUMN(効果!B$1),FALSE),
IF(_xlpm.v=0,"",_xlpm.v)
),"")</f>
        <v/>
      </c>
      <c r="L732" s="15" t="str">
        <f>IF(OR(COUNTIF(クラス!$A$1:$A$1035, $B732),$B732="",COUNTIF(スキル一覧!$A$1:$A$3500, $B732)), "", "存在しない")</f>
        <v/>
      </c>
      <c r="M732" s="2" t="str">
        <f>IF(COUNTIF($B$1:$C731, $B732), "", "存在しない")</f>
        <v>存在しない</v>
      </c>
      <c r="N732" s="2" t="s">
        <v>1196</v>
      </c>
    </row>
    <row r="733" spans="10:14" x14ac:dyDescent="0.4">
      <c r="J733" s="6" t="str">
        <f>IFERROR(_xlfn.LET(_xlpm.v,
VLOOKUP($I733,効果!$A:$B,COLUMN(効果!B$1),FALSE),
IF(_xlpm.v=0,"",_xlpm.v)
),"")</f>
        <v/>
      </c>
      <c r="L733" s="15" t="str">
        <f>IF(OR(COUNTIF(クラス!$A$1:$A$1035, $B733),$B733="",COUNTIF(スキル一覧!$A$1:$A$3500, $B733)), "", "存在しない")</f>
        <v/>
      </c>
      <c r="M733" s="2" t="str">
        <f>IF(COUNTIF($B$1:$C732, $B733), "", "存在しない")</f>
        <v>存在しない</v>
      </c>
      <c r="N733" s="2" t="s">
        <v>1196</v>
      </c>
    </row>
    <row r="734" spans="10:14" x14ac:dyDescent="0.4">
      <c r="J734" s="6" t="str">
        <f>IFERROR(_xlfn.LET(_xlpm.v,
VLOOKUP($I734,効果!$A:$B,COLUMN(効果!B$1),FALSE),
IF(_xlpm.v=0,"",_xlpm.v)
),"")</f>
        <v/>
      </c>
      <c r="L734" s="15" t="str">
        <f>IF(OR(COUNTIF(クラス!$A$1:$A$1035, $B734),$B734="",COUNTIF(スキル一覧!$A$1:$A$3500, $B734)), "", "存在しない")</f>
        <v/>
      </c>
      <c r="M734" s="2" t="str">
        <f>IF(COUNTIF($B$1:$C733, $B734), "", "存在しない")</f>
        <v>存在しない</v>
      </c>
      <c r="N734" s="2" t="s">
        <v>1196</v>
      </c>
    </row>
    <row r="735" spans="10:14" x14ac:dyDescent="0.4">
      <c r="J735" s="6" t="str">
        <f>IFERROR(_xlfn.LET(_xlpm.v,
VLOOKUP($I735,効果!$A:$B,COLUMN(効果!B$1),FALSE),
IF(_xlpm.v=0,"",_xlpm.v)
),"")</f>
        <v/>
      </c>
      <c r="L735" s="15" t="str">
        <f>IF(OR(COUNTIF(クラス!$A$1:$A$1035, $B735),$B735="",COUNTIF(スキル一覧!$A$1:$A$3500, $B735)), "", "存在しない")</f>
        <v/>
      </c>
      <c r="M735" s="2" t="str">
        <f>IF(COUNTIF($B$1:$C734, $B735), "", "存在しない")</f>
        <v>存在しない</v>
      </c>
      <c r="N735" s="2" t="s">
        <v>1196</v>
      </c>
    </row>
    <row r="736" spans="10:14" x14ac:dyDescent="0.4">
      <c r="J736" s="6" t="str">
        <f>IFERROR(_xlfn.LET(_xlpm.v,
VLOOKUP($I736,効果!$A:$B,COLUMN(効果!B$1),FALSE),
IF(_xlpm.v=0,"",_xlpm.v)
),"")</f>
        <v/>
      </c>
      <c r="L736" s="15" t="str">
        <f>IF(OR(COUNTIF(クラス!$A$1:$A$1035, $B736),$B736="",COUNTIF(スキル一覧!$A$1:$A$3500, $B736)), "", "存在しない")</f>
        <v/>
      </c>
      <c r="M736" s="2" t="str">
        <f>IF(COUNTIF($B$1:$C735, $B736), "", "存在しない")</f>
        <v>存在しない</v>
      </c>
      <c r="N736" s="2" t="s">
        <v>1196</v>
      </c>
    </row>
    <row r="737" spans="10:14" x14ac:dyDescent="0.4">
      <c r="J737" s="6" t="str">
        <f>IFERROR(_xlfn.LET(_xlpm.v,
VLOOKUP($I737,効果!$A:$B,COLUMN(効果!B$1),FALSE),
IF(_xlpm.v=0,"",_xlpm.v)
),"")</f>
        <v/>
      </c>
      <c r="L737" s="15" t="str">
        <f>IF(OR(COUNTIF(クラス!$A$1:$A$1035, $B737),$B737="",COUNTIF(スキル一覧!$A$1:$A$3500, $B737)), "", "存在しない")</f>
        <v/>
      </c>
      <c r="M737" s="2" t="str">
        <f>IF(COUNTIF($B$1:$C736, $B737), "", "存在しない")</f>
        <v>存在しない</v>
      </c>
      <c r="N737" s="2" t="s">
        <v>1196</v>
      </c>
    </row>
    <row r="738" spans="10:14" x14ac:dyDescent="0.4">
      <c r="J738" s="6" t="str">
        <f>IFERROR(_xlfn.LET(_xlpm.v,
VLOOKUP($I738,効果!$A:$B,COLUMN(効果!B$1),FALSE),
IF(_xlpm.v=0,"",_xlpm.v)
),"")</f>
        <v/>
      </c>
      <c r="L738" s="15" t="str">
        <f>IF(OR(COUNTIF(クラス!$A$1:$A$1035, $B738),$B738="",COUNTIF(スキル一覧!$A$1:$A$3500, $B738)), "", "存在しない")</f>
        <v/>
      </c>
      <c r="M738" s="2" t="str">
        <f>IF(COUNTIF($B$1:$C737, $B738), "", "存在しない")</f>
        <v>存在しない</v>
      </c>
      <c r="N738" s="2" t="s">
        <v>1196</v>
      </c>
    </row>
    <row r="739" spans="10:14" x14ac:dyDescent="0.4">
      <c r="J739" s="6" t="str">
        <f>IFERROR(_xlfn.LET(_xlpm.v,
VLOOKUP($I739,効果!$A:$B,COLUMN(効果!B$1),FALSE),
IF(_xlpm.v=0,"",_xlpm.v)
),"")</f>
        <v/>
      </c>
      <c r="L739" s="15" t="str">
        <f>IF(OR(COUNTIF(クラス!$A$1:$A$1035, $B739),$B739="",COUNTIF(スキル一覧!$A$1:$A$3500, $B739)), "", "存在しない")</f>
        <v/>
      </c>
      <c r="M739" s="2" t="str">
        <f>IF(COUNTIF($B$1:$C738, $B739), "", "存在しない")</f>
        <v>存在しない</v>
      </c>
      <c r="N739" s="2" t="s">
        <v>1196</v>
      </c>
    </row>
    <row r="740" spans="10:14" x14ac:dyDescent="0.4">
      <c r="J740" s="6" t="str">
        <f>IFERROR(_xlfn.LET(_xlpm.v,
VLOOKUP($I740,効果!$A:$B,COLUMN(効果!B$1),FALSE),
IF(_xlpm.v=0,"",_xlpm.v)
),"")</f>
        <v/>
      </c>
      <c r="L740" s="15" t="str">
        <f>IF(OR(COUNTIF(クラス!$A$1:$A$1035, $B740),$B740="",COUNTIF(スキル一覧!$A$1:$A$3500, $B740)), "", "存在しない")</f>
        <v/>
      </c>
      <c r="M740" s="2" t="str">
        <f>IF(COUNTIF($B$1:$C739, $B740), "", "存在しない")</f>
        <v>存在しない</v>
      </c>
      <c r="N740" s="2" t="s">
        <v>1196</v>
      </c>
    </row>
    <row r="741" spans="10:14" x14ac:dyDescent="0.4">
      <c r="J741" s="6" t="str">
        <f>IFERROR(_xlfn.LET(_xlpm.v,
VLOOKUP($I741,効果!$A:$B,COLUMN(効果!B$1),FALSE),
IF(_xlpm.v=0,"",_xlpm.v)
),"")</f>
        <v/>
      </c>
      <c r="L741" s="15" t="str">
        <f>IF(OR(COUNTIF(クラス!$A$1:$A$1035, $B741),$B741="",COUNTIF(スキル一覧!$A$1:$A$3500, $B741)), "", "存在しない")</f>
        <v/>
      </c>
      <c r="M741" s="2" t="str">
        <f>IF(COUNTIF($B$1:$C740, $B741), "", "存在しない")</f>
        <v>存在しない</v>
      </c>
      <c r="N741" s="2" t="s">
        <v>1196</v>
      </c>
    </row>
    <row r="742" spans="10:14" x14ac:dyDescent="0.4">
      <c r="J742" s="6" t="str">
        <f>IFERROR(_xlfn.LET(_xlpm.v,
VLOOKUP($I742,効果!$A:$B,COLUMN(効果!B$1),FALSE),
IF(_xlpm.v=0,"",_xlpm.v)
),"")</f>
        <v/>
      </c>
      <c r="L742" s="15" t="str">
        <f>IF(OR(COUNTIF(クラス!$A$1:$A$1035, $B742),$B742="",COUNTIF(スキル一覧!$A$1:$A$3500, $B742)), "", "存在しない")</f>
        <v/>
      </c>
      <c r="M742" s="2" t="str">
        <f>IF(COUNTIF($B$1:$C741, $B742), "", "存在しない")</f>
        <v>存在しない</v>
      </c>
      <c r="N742" s="2" t="s">
        <v>1196</v>
      </c>
    </row>
    <row r="743" spans="10:14" x14ac:dyDescent="0.4">
      <c r="J743" s="6" t="str">
        <f>IFERROR(_xlfn.LET(_xlpm.v,
VLOOKUP($I743,効果!$A:$B,COLUMN(効果!B$1),FALSE),
IF(_xlpm.v=0,"",_xlpm.v)
),"")</f>
        <v/>
      </c>
      <c r="L743" s="15" t="str">
        <f>IF(OR(COUNTIF(クラス!$A$1:$A$1035, $B743),$B743="",COUNTIF(スキル一覧!$A$1:$A$3500, $B743)), "", "存在しない")</f>
        <v/>
      </c>
      <c r="M743" s="2" t="str">
        <f>IF(COUNTIF($B$1:$C742, $B743), "", "存在しない")</f>
        <v>存在しない</v>
      </c>
      <c r="N743" s="2" t="s">
        <v>1196</v>
      </c>
    </row>
    <row r="744" spans="10:14" x14ac:dyDescent="0.4">
      <c r="J744" s="6" t="str">
        <f>IFERROR(_xlfn.LET(_xlpm.v,
VLOOKUP($I744,効果!$A:$B,COLUMN(効果!B$1),FALSE),
IF(_xlpm.v=0,"",_xlpm.v)
),"")</f>
        <v/>
      </c>
      <c r="L744" s="15" t="str">
        <f>IF(OR(COUNTIF(クラス!$A$1:$A$1035, $B744),$B744="",COUNTIF(スキル一覧!$A$1:$A$3500, $B744)), "", "存在しない")</f>
        <v/>
      </c>
      <c r="M744" s="2" t="str">
        <f>IF(COUNTIF($B$1:$C743, $B744), "", "存在しない")</f>
        <v>存在しない</v>
      </c>
      <c r="N744" s="2" t="s">
        <v>1196</v>
      </c>
    </row>
    <row r="745" spans="10:14" x14ac:dyDescent="0.4">
      <c r="J745" s="6" t="str">
        <f>IFERROR(_xlfn.LET(_xlpm.v,
VLOOKUP($I745,効果!$A:$B,COLUMN(効果!B$1),FALSE),
IF(_xlpm.v=0,"",_xlpm.v)
),"")</f>
        <v/>
      </c>
      <c r="L745" s="15" t="str">
        <f>IF(OR(COUNTIF(クラス!$A$1:$A$1035, $B745),$B745="",COUNTIF(スキル一覧!$A$1:$A$3500, $B745)), "", "存在しない")</f>
        <v/>
      </c>
      <c r="M745" s="2" t="str">
        <f>IF(COUNTIF($B$1:$C744, $B745), "", "存在しない")</f>
        <v>存在しない</v>
      </c>
      <c r="N745" s="2" t="s">
        <v>1196</v>
      </c>
    </row>
    <row r="746" spans="10:14" x14ac:dyDescent="0.4">
      <c r="J746" s="6" t="str">
        <f>IFERROR(_xlfn.LET(_xlpm.v,
VLOOKUP($I746,効果!$A:$B,COLUMN(効果!B$1),FALSE),
IF(_xlpm.v=0,"",_xlpm.v)
),"")</f>
        <v/>
      </c>
      <c r="L746" s="15" t="str">
        <f>IF(OR(COUNTIF(クラス!$A$1:$A$1035, $B746),$B746="",COUNTIF(スキル一覧!$A$1:$A$3500, $B746)), "", "存在しない")</f>
        <v/>
      </c>
      <c r="M746" s="2" t="str">
        <f>IF(COUNTIF($B$1:$C745, $B746), "", "存在しない")</f>
        <v>存在しない</v>
      </c>
      <c r="N746" s="2" t="s">
        <v>1196</v>
      </c>
    </row>
    <row r="747" spans="10:14" x14ac:dyDescent="0.4">
      <c r="J747" s="6" t="str">
        <f>IFERROR(_xlfn.LET(_xlpm.v,
VLOOKUP($I747,効果!$A:$B,COLUMN(効果!B$1),FALSE),
IF(_xlpm.v=0,"",_xlpm.v)
),"")</f>
        <v/>
      </c>
      <c r="L747" s="15" t="str">
        <f>IF(OR(COUNTIF(クラス!$A$1:$A$1035, $B747),$B747="",COUNTIF(スキル一覧!$A$1:$A$3500, $B747)), "", "存在しない")</f>
        <v/>
      </c>
      <c r="M747" s="2" t="str">
        <f>IF(COUNTIF($B$1:$C746, $B747), "", "存在しない")</f>
        <v>存在しない</v>
      </c>
      <c r="N747" s="2" t="s">
        <v>1196</v>
      </c>
    </row>
    <row r="748" spans="10:14" x14ac:dyDescent="0.4">
      <c r="J748" s="6" t="str">
        <f>IFERROR(_xlfn.LET(_xlpm.v,
VLOOKUP($I748,効果!$A:$B,COLUMN(効果!B$1),FALSE),
IF(_xlpm.v=0,"",_xlpm.v)
),"")</f>
        <v/>
      </c>
      <c r="L748" s="15" t="str">
        <f>IF(OR(COUNTIF(クラス!$A$1:$A$1035, $B748),$B748="",COUNTIF(スキル一覧!$A$1:$A$3500, $B748)), "", "存在しない")</f>
        <v/>
      </c>
      <c r="M748" s="2" t="str">
        <f>IF(COUNTIF($B$1:$C747, $B748), "", "存在しない")</f>
        <v>存在しない</v>
      </c>
      <c r="N748" s="2" t="s">
        <v>1196</v>
      </c>
    </row>
    <row r="749" spans="10:14" x14ac:dyDescent="0.4">
      <c r="J749" s="6" t="str">
        <f>IFERROR(_xlfn.LET(_xlpm.v,
VLOOKUP($I749,効果!$A:$B,COLUMN(効果!B$1),FALSE),
IF(_xlpm.v=0,"",_xlpm.v)
),"")</f>
        <v/>
      </c>
      <c r="L749" s="15" t="str">
        <f>IF(OR(COUNTIF(クラス!$A$1:$A$1035, $B749),$B749="",COUNTIF(スキル一覧!$A$1:$A$3500, $B749)), "", "存在しない")</f>
        <v/>
      </c>
      <c r="M749" s="2" t="str">
        <f>IF(COUNTIF($B$1:$C748, $B749), "", "存在しない")</f>
        <v>存在しない</v>
      </c>
      <c r="N749" s="2" t="s">
        <v>1196</v>
      </c>
    </row>
    <row r="750" spans="10:14" x14ac:dyDescent="0.4">
      <c r="J750" s="6" t="str">
        <f>IFERROR(_xlfn.LET(_xlpm.v,
VLOOKUP($I750,効果!$A:$B,COLUMN(効果!B$1),FALSE),
IF(_xlpm.v=0,"",_xlpm.v)
),"")</f>
        <v/>
      </c>
      <c r="L750" s="15" t="str">
        <f>IF(OR(COUNTIF(クラス!$A$1:$A$1035, $B750),$B750="",COUNTIF(スキル一覧!$A$1:$A$3500, $B750)), "", "存在しない")</f>
        <v/>
      </c>
      <c r="M750" s="2" t="str">
        <f>IF(COUNTIF($B$1:$C749, $B750), "", "存在しない")</f>
        <v>存在しない</v>
      </c>
      <c r="N750" s="2" t="s">
        <v>1196</v>
      </c>
    </row>
    <row r="751" spans="10:14" x14ac:dyDescent="0.4">
      <c r="J751" s="6" t="str">
        <f>IFERROR(_xlfn.LET(_xlpm.v,
VLOOKUP($I751,効果!$A:$B,COLUMN(効果!B$1),FALSE),
IF(_xlpm.v=0,"",_xlpm.v)
),"")</f>
        <v/>
      </c>
      <c r="L751" s="15" t="str">
        <f>IF(OR(COUNTIF(クラス!$A$1:$A$1035, $B751),$B751="",COUNTIF(スキル一覧!$A$1:$A$3500, $B751)), "", "存在しない")</f>
        <v/>
      </c>
      <c r="M751" s="2" t="str">
        <f>IF(COUNTIF($B$1:$C750, $B751), "", "存在しない")</f>
        <v>存在しない</v>
      </c>
      <c r="N751" s="2" t="s">
        <v>1196</v>
      </c>
    </row>
    <row r="752" spans="10:14" x14ac:dyDescent="0.4">
      <c r="J752" s="6" t="str">
        <f>IFERROR(_xlfn.LET(_xlpm.v,
VLOOKUP($I752,効果!$A:$B,COLUMN(効果!B$1),FALSE),
IF(_xlpm.v=0,"",_xlpm.v)
),"")</f>
        <v/>
      </c>
      <c r="L752" s="15" t="str">
        <f>IF(OR(COUNTIF(クラス!$A$1:$A$1035, $B752),$B752="",COUNTIF(スキル一覧!$A$1:$A$3500, $B752)), "", "存在しない")</f>
        <v/>
      </c>
      <c r="M752" s="2" t="str">
        <f>IF(COUNTIF($B$1:$C751, $B752), "", "存在しない")</f>
        <v>存在しない</v>
      </c>
      <c r="N752" s="2" t="s">
        <v>1196</v>
      </c>
    </row>
    <row r="753" spans="10:14" x14ac:dyDescent="0.4">
      <c r="J753" s="6" t="str">
        <f>IFERROR(_xlfn.LET(_xlpm.v,
VLOOKUP($I753,効果!$A:$B,COLUMN(効果!B$1),FALSE),
IF(_xlpm.v=0,"",_xlpm.v)
),"")</f>
        <v/>
      </c>
      <c r="L753" s="15" t="str">
        <f>IF(OR(COUNTIF(クラス!$A$1:$A$1035, $B753),$B753="",COUNTIF(スキル一覧!$A$1:$A$3500, $B753)), "", "存在しない")</f>
        <v/>
      </c>
      <c r="M753" s="2" t="str">
        <f>IF(COUNTIF($B$1:$C752, $B753), "", "存在しない")</f>
        <v>存在しない</v>
      </c>
      <c r="N753" s="2" t="s">
        <v>1196</v>
      </c>
    </row>
    <row r="754" spans="10:14" x14ac:dyDescent="0.4">
      <c r="J754" s="6" t="str">
        <f>IFERROR(_xlfn.LET(_xlpm.v,
VLOOKUP($I754,効果!$A:$B,COLUMN(効果!B$1),FALSE),
IF(_xlpm.v=0,"",_xlpm.v)
),"")</f>
        <v/>
      </c>
      <c r="L754" s="15" t="str">
        <f>IF(OR(COUNTIF(クラス!$A$1:$A$1035, $B754),$B754="",COUNTIF(スキル一覧!$A$1:$A$3500, $B754)), "", "存在しない")</f>
        <v/>
      </c>
      <c r="M754" s="2" t="str">
        <f>IF(COUNTIF($B$1:$C753, $B754), "", "存在しない")</f>
        <v>存在しない</v>
      </c>
      <c r="N754" s="2" t="s">
        <v>1196</v>
      </c>
    </row>
    <row r="755" spans="10:14" x14ac:dyDescent="0.4">
      <c r="J755" s="6" t="str">
        <f>IFERROR(_xlfn.LET(_xlpm.v,
VLOOKUP($I755,効果!$A:$B,COLUMN(効果!B$1),FALSE),
IF(_xlpm.v=0,"",_xlpm.v)
),"")</f>
        <v/>
      </c>
      <c r="L755" s="15" t="str">
        <f>IF(OR(COUNTIF(クラス!$A$1:$A$1035, $B755),$B755="",COUNTIF(スキル一覧!$A$1:$A$3500, $B755)), "", "存在しない")</f>
        <v/>
      </c>
      <c r="M755" s="2" t="str">
        <f>IF(COUNTIF($B$1:$C754, $B755), "", "存在しない")</f>
        <v>存在しない</v>
      </c>
      <c r="N755" s="2" t="s">
        <v>1196</v>
      </c>
    </row>
    <row r="756" spans="10:14" x14ac:dyDescent="0.4">
      <c r="J756" s="6" t="str">
        <f>IFERROR(_xlfn.LET(_xlpm.v,
VLOOKUP($I756,効果!$A:$B,COLUMN(効果!B$1),FALSE),
IF(_xlpm.v=0,"",_xlpm.v)
),"")</f>
        <v/>
      </c>
      <c r="L756" s="15" t="str">
        <f>IF(OR(COUNTIF(クラス!$A$1:$A$1035, $B756),$B756="",COUNTIF(スキル一覧!$A$1:$A$3500, $B756)), "", "存在しない")</f>
        <v/>
      </c>
      <c r="M756" s="2" t="str">
        <f>IF(COUNTIF($B$1:$C755, $B756), "", "存在しない")</f>
        <v>存在しない</v>
      </c>
      <c r="N756" s="2" t="s">
        <v>1196</v>
      </c>
    </row>
    <row r="757" spans="10:14" x14ac:dyDescent="0.4">
      <c r="J757" s="6" t="str">
        <f>IFERROR(_xlfn.LET(_xlpm.v,
VLOOKUP($I757,効果!$A:$B,COLUMN(効果!B$1),FALSE),
IF(_xlpm.v=0,"",_xlpm.v)
),"")</f>
        <v/>
      </c>
      <c r="L757" s="15" t="str">
        <f>IF(OR(COUNTIF(クラス!$A$1:$A$1035, $B757),$B757="",COUNTIF(スキル一覧!$A$1:$A$3500, $B757)), "", "存在しない")</f>
        <v/>
      </c>
      <c r="M757" s="2" t="str">
        <f>IF(COUNTIF($B$1:$C756, $B757), "", "存在しない")</f>
        <v>存在しない</v>
      </c>
      <c r="N757" s="2" t="s">
        <v>1196</v>
      </c>
    </row>
    <row r="758" spans="10:14" x14ac:dyDescent="0.4">
      <c r="J758" s="6" t="str">
        <f>IFERROR(_xlfn.LET(_xlpm.v,
VLOOKUP($I758,効果!$A:$B,COLUMN(効果!B$1),FALSE),
IF(_xlpm.v=0,"",_xlpm.v)
),"")</f>
        <v/>
      </c>
      <c r="L758" s="15" t="str">
        <f>IF(OR(COUNTIF(クラス!$A$1:$A$1035, $B758),$B758="",COUNTIF(スキル一覧!$A$1:$A$3500, $B758)), "", "存在しない")</f>
        <v/>
      </c>
      <c r="M758" s="2" t="str">
        <f>IF(COUNTIF($B$1:$C757, $B758), "", "存在しない")</f>
        <v>存在しない</v>
      </c>
      <c r="N758" s="2" t="s">
        <v>1196</v>
      </c>
    </row>
    <row r="759" spans="10:14" x14ac:dyDescent="0.4">
      <c r="J759" s="6" t="str">
        <f>IFERROR(_xlfn.LET(_xlpm.v,
VLOOKUP($I759,効果!$A:$B,COLUMN(効果!B$1),FALSE),
IF(_xlpm.v=0,"",_xlpm.v)
),"")</f>
        <v/>
      </c>
      <c r="L759" s="15" t="str">
        <f>IF(OR(COUNTIF(クラス!$A$1:$A$1035, $B759),$B759="",COUNTIF(スキル一覧!$A$1:$A$3500, $B759)), "", "存在しない")</f>
        <v/>
      </c>
      <c r="M759" s="2" t="str">
        <f>IF(COUNTIF($B$1:$C758, $B759), "", "存在しない")</f>
        <v>存在しない</v>
      </c>
      <c r="N759" s="2" t="s">
        <v>1196</v>
      </c>
    </row>
    <row r="760" spans="10:14" x14ac:dyDescent="0.4">
      <c r="J760" s="6" t="str">
        <f>IFERROR(_xlfn.LET(_xlpm.v,
VLOOKUP($I760,効果!$A:$B,COLUMN(効果!B$1),FALSE),
IF(_xlpm.v=0,"",_xlpm.v)
),"")</f>
        <v/>
      </c>
      <c r="L760" s="15" t="str">
        <f>IF(OR(COUNTIF(クラス!$A$1:$A$1035, $B760),$B760="",COUNTIF(スキル一覧!$A$1:$A$3500, $B760)), "", "存在しない")</f>
        <v/>
      </c>
      <c r="M760" s="2" t="str">
        <f>IF(COUNTIF($B$1:$C759, $B760), "", "存在しない")</f>
        <v>存在しない</v>
      </c>
      <c r="N760" s="2" t="s">
        <v>1196</v>
      </c>
    </row>
    <row r="761" spans="10:14" x14ac:dyDescent="0.4">
      <c r="J761" s="6" t="str">
        <f>IFERROR(_xlfn.LET(_xlpm.v,
VLOOKUP($I761,効果!$A:$B,COLUMN(効果!B$1),FALSE),
IF(_xlpm.v=0,"",_xlpm.v)
),"")</f>
        <v/>
      </c>
      <c r="L761" s="15" t="str">
        <f>IF(OR(COUNTIF(クラス!$A$1:$A$1035, $B761),$B761="",COUNTIF(スキル一覧!$A$1:$A$3500, $B761)), "", "存在しない")</f>
        <v/>
      </c>
      <c r="M761" s="2" t="str">
        <f>IF(COUNTIF($B$1:$C760, $B761), "", "存在しない")</f>
        <v>存在しない</v>
      </c>
      <c r="N761" s="2" t="s">
        <v>1196</v>
      </c>
    </row>
    <row r="762" spans="10:14" x14ac:dyDescent="0.4">
      <c r="J762" s="6" t="str">
        <f>IFERROR(_xlfn.LET(_xlpm.v,
VLOOKUP($I762,効果!$A:$B,COLUMN(効果!B$1),FALSE),
IF(_xlpm.v=0,"",_xlpm.v)
),"")</f>
        <v/>
      </c>
      <c r="L762" s="15" t="str">
        <f>IF(OR(COUNTIF(クラス!$A$1:$A$1035, $B762),$B762="",COUNTIF(スキル一覧!$A$1:$A$3500, $B762)), "", "存在しない")</f>
        <v/>
      </c>
      <c r="M762" s="2" t="str">
        <f>IF(COUNTIF($B$1:$C761, $B762), "", "存在しない")</f>
        <v>存在しない</v>
      </c>
      <c r="N762" s="2" t="s">
        <v>1196</v>
      </c>
    </row>
    <row r="763" spans="10:14" x14ac:dyDescent="0.4">
      <c r="J763" s="6" t="str">
        <f>IFERROR(_xlfn.LET(_xlpm.v,
VLOOKUP($I763,効果!$A:$B,COLUMN(効果!B$1),FALSE),
IF(_xlpm.v=0,"",_xlpm.v)
),"")</f>
        <v/>
      </c>
      <c r="L763" s="15" t="str">
        <f>IF(OR(COUNTIF(クラス!$A$1:$A$1035, $B763),$B763="",COUNTIF(スキル一覧!$A$1:$A$3500, $B763)), "", "存在しない")</f>
        <v/>
      </c>
      <c r="M763" s="2" t="str">
        <f>IF(COUNTIF($B$1:$C762, $B763), "", "存在しない")</f>
        <v>存在しない</v>
      </c>
      <c r="N763" s="2" t="s">
        <v>1196</v>
      </c>
    </row>
    <row r="764" spans="10:14" x14ac:dyDescent="0.4">
      <c r="J764" s="6" t="str">
        <f>IFERROR(_xlfn.LET(_xlpm.v,
VLOOKUP($I764,効果!$A:$B,COLUMN(効果!B$1),FALSE),
IF(_xlpm.v=0,"",_xlpm.v)
),"")</f>
        <v/>
      </c>
      <c r="L764" s="15" t="str">
        <f>IF(OR(COUNTIF(クラス!$A$1:$A$1035, $B764),$B764="",COUNTIF(スキル一覧!$A$1:$A$3500, $B764)), "", "存在しない")</f>
        <v/>
      </c>
      <c r="M764" s="2" t="str">
        <f>IF(COUNTIF($B$1:$C763, $B764), "", "存在しない")</f>
        <v>存在しない</v>
      </c>
      <c r="N764" s="2" t="s">
        <v>1196</v>
      </c>
    </row>
    <row r="765" spans="10:14" x14ac:dyDescent="0.4">
      <c r="J765" s="6" t="str">
        <f>IFERROR(_xlfn.LET(_xlpm.v,
VLOOKUP($I765,効果!$A:$B,COLUMN(効果!B$1),FALSE),
IF(_xlpm.v=0,"",_xlpm.v)
),"")</f>
        <v/>
      </c>
      <c r="L765" s="15" t="str">
        <f>IF(OR(COUNTIF(クラス!$A$1:$A$1035, $B765),$B765="",COUNTIF(スキル一覧!$A$1:$A$3500, $B765)), "", "存在しない")</f>
        <v/>
      </c>
      <c r="M765" s="2" t="str">
        <f>IF(COUNTIF($B$1:$C764, $B765), "", "存在しない")</f>
        <v>存在しない</v>
      </c>
      <c r="N765" s="2" t="s">
        <v>1196</v>
      </c>
    </row>
    <row r="766" spans="10:14" x14ac:dyDescent="0.4">
      <c r="J766" s="6" t="str">
        <f>IFERROR(_xlfn.LET(_xlpm.v,
VLOOKUP($I766,効果!$A:$B,COLUMN(効果!B$1),FALSE),
IF(_xlpm.v=0,"",_xlpm.v)
),"")</f>
        <v/>
      </c>
      <c r="L766" s="15" t="str">
        <f>IF(OR(COUNTIF(クラス!$A$1:$A$1035, $B766),$B766="",COUNTIF(スキル一覧!$A$1:$A$3500, $B766)), "", "存在しない")</f>
        <v/>
      </c>
      <c r="M766" s="2" t="str">
        <f>IF(COUNTIF($B$1:$C765, $B766), "", "存在しない")</f>
        <v>存在しない</v>
      </c>
      <c r="N766" s="2" t="s">
        <v>1196</v>
      </c>
    </row>
    <row r="767" spans="10:14" x14ac:dyDescent="0.4">
      <c r="J767" s="6" t="str">
        <f>IFERROR(_xlfn.LET(_xlpm.v,
VLOOKUP($I767,効果!$A:$B,COLUMN(効果!B$1),FALSE),
IF(_xlpm.v=0,"",_xlpm.v)
),"")</f>
        <v/>
      </c>
      <c r="L767" s="15" t="str">
        <f>IF(OR(COUNTIF(クラス!$A$1:$A$1035, $B767),$B767="",COUNTIF(スキル一覧!$A$1:$A$3500, $B767)), "", "存在しない")</f>
        <v/>
      </c>
      <c r="M767" s="2" t="str">
        <f>IF(COUNTIF($B$1:$C766, $B767), "", "存在しない")</f>
        <v>存在しない</v>
      </c>
      <c r="N767" s="2" t="s">
        <v>1196</v>
      </c>
    </row>
    <row r="768" spans="10:14" x14ac:dyDescent="0.4">
      <c r="J768" s="6" t="str">
        <f>IFERROR(_xlfn.LET(_xlpm.v,
VLOOKUP($I768,効果!$A:$B,COLUMN(効果!B$1),FALSE),
IF(_xlpm.v=0,"",_xlpm.v)
),"")</f>
        <v/>
      </c>
      <c r="L768" s="15" t="str">
        <f>IF(OR(COUNTIF(クラス!$A$1:$A$1035, $B768),$B768="",COUNTIF(スキル一覧!$A$1:$A$3500, $B768)), "", "存在しない")</f>
        <v/>
      </c>
      <c r="M768" s="2" t="str">
        <f>IF(COUNTIF($B$1:$C767, $B768), "", "存在しない")</f>
        <v>存在しない</v>
      </c>
      <c r="N768" s="2" t="s">
        <v>1196</v>
      </c>
    </row>
    <row r="769" spans="10:14" x14ac:dyDescent="0.4">
      <c r="J769" s="6" t="str">
        <f>IFERROR(_xlfn.LET(_xlpm.v,
VLOOKUP($I769,効果!$A:$B,COLUMN(効果!B$1),FALSE),
IF(_xlpm.v=0,"",_xlpm.v)
),"")</f>
        <v/>
      </c>
      <c r="L769" s="15" t="str">
        <f>IF(OR(COUNTIF(クラス!$A$1:$A$1035, $B769),$B769="",COUNTIF(スキル一覧!$A$1:$A$3500, $B769)), "", "存在しない")</f>
        <v/>
      </c>
      <c r="M769" s="2" t="str">
        <f>IF(COUNTIF($B$1:$C768, $B769), "", "存在しない")</f>
        <v>存在しない</v>
      </c>
      <c r="N769" s="2" t="s">
        <v>1196</v>
      </c>
    </row>
    <row r="770" spans="10:14" x14ac:dyDescent="0.4">
      <c r="J770" s="6" t="str">
        <f>IFERROR(_xlfn.LET(_xlpm.v,
VLOOKUP($I770,効果!$A:$B,COLUMN(効果!B$1),FALSE),
IF(_xlpm.v=0,"",_xlpm.v)
),"")</f>
        <v/>
      </c>
      <c r="L770" s="15" t="str">
        <f>IF(OR(COUNTIF(クラス!$A$1:$A$1035, $B770),$B770="",COUNTIF(スキル一覧!$A$1:$A$3500, $B770)), "", "存在しない")</f>
        <v/>
      </c>
      <c r="M770" s="2" t="str">
        <f>IF(COUNTIF($B$1:$C769, $B770), "", "存在しない")</f>
        <v>存在しない</v>
      </c>
      <c r="N770" s="2" t="s">
        <v>1196</v>
      </c>
    </row>
    <row r="771" spans="10:14" x14ac:dyDescent="0.4">
      <c r="J771" s="6" t="str">
        <f>IFERROR(_xlfn.LET(_xlpm.v,
VLOOKUP($I771,効果!$A:$B,COLUMN(効果!B$1),FALSE),
IF(_xlpm.v=0,"",_xlpm.v)
),"")</f>
        <v/>
      </c>
      <c r="L771" s="15" t="str">
        <f>IF(OR(COUNTIF(クラス!$A$1:$A$1035, $B771),$B771="",COUNTIF(スキル一覧!$A$1:$A$3500, $B771)), "", "存在しない")</f>
        <v/>
      </c>
      <c r="M771" s="2" t="str">
        <f>IF(COUNTIF($B$1:$C770, $B771), "", "存在しない")</f>
        <v>存在しない</v>
      </c>
      <c r="N771" s="2" t="s">
        <v>1196</v>
      </c>
    </row>
    <row r="772" spans="10:14" x14ac:dyDescent="0.4">
      <c r="J772" s="6" t="str">
        <f>IFERROR(_xlfn.LET(_xlpm.v,
VLOOKUP($I772,効果!$A:$B,COLUMN(効果!B$1),FALSE),
IF(_xlpm.v=0,"",_xlpm.v)
),"")</f>
        <v/>
      </c>
      <c r="L772" s="15" t="str">
        <f>IF(OR(COUNTIF(クラス!$A$1:$A$1035, $B772),$B772="",COUNTIF(スキル一覧!$A$1:$A$3500, $B772)), "", "存在しない")</f>
        <v/>
      </c>
      <c r="M772" s="2" t="str">
        <f>IF(COUNTIF($B$1:$C771, $B772), "", "存在しない")</f>
        <v>存在しない</v>
      </c>
      <c r="N772" s="2" t="s">
        <v>1196</v>
      </c>
    </row>
    <row r="773" spans="10:14" x14ac:dyDescent="0.4">
      <c r="J773" s="6" t="str">
        <f>IFERROR(_xlfn.LET(_xlpm.v,
VLOOKUP($I773,効果!$A:$B,COLUMN(効果!B$1),FALSE),
IF(_xlpm.v=0,"",_xlpm.v)
),"")</f>
        <v/>
      </c>
      <c r="L773" s="15" t="str">
        <f>IF(OR(COUNTIF(クラス!$A$1:$A$1035, $B773),$B773="",COUNTIF(スキル一覧!$A$1:$A$3500, $B773)), "", "存在しない")</f>
        <v/>
      </c>
      <c r="M773" s="2" t="str">
        <f>IF(COUNTIF($B$1:$C772, $B773), "", "存在しない")</f>
        <v>存在しない</v>
      </c>
      <c r="N773" s="2" t="s">
        <v>1196</v>
      </c>
    </row>
    <row r="774" spans="10:14" x14ac:dyDescent="0.4">
      <c r="J774" s="6" t="str">
        <f>IFERROR(_xlfn.LET(_xlpm.v,
VLOOKUP($I774,効果!$A:$B,COLUMN(効果!B$1),FALSE),
IF(_xlpm.v=0,"",_xlpm.v)
),"")</f>
        <v/>
      </c>
      <c r="L774" s="15" t="str">
        <f>IF(OR(COUNTIF(クラス!$A$1:$A$1035, $B774),$B774="",COUNTIF(スキル一覧!$A$1:$A$3500, $B774)), "", "存在しない")</f>
        <v/>
      </c>
      <c r="M774" s="2" t="str">
        <f>IF(COUNTIF($B$1:$C773, $B774), "", "存在しない")</f>
        <v>存在しない</v>
      </c>
      <c r="N774" s="2" t="s">
        <v>1196</v>
      </c>
    </row>
    <row r="775" spans="10:14" x14ac:dyDescent="0.4">
      <c r="J775" s="6" t="str">
        <f>IFERROR(_xlfn.LET(_xlpm.v,
VLOOKUP($I775,効果!$A:$B,COLUMN(効果!B$1),FALSE),
IF(_xlpm.v=0,"",_xlpm.v)
),"")</f>
        <v/>
      </c>
      <c r="L775" s="15" t="str">
        <f>IF(OR(COUNTIF(クラス!$A$1:$A$1035, $B775),$B775="",COUNTIF(スキル一覧!$A$1:$A$3500, $B775)), "", "存在しない")</f>
        <v/>
      </c>
      <c r="M775" s="2" t="str">
        <f>IF(COUNTIF($B$1:$C774, $B775), "", "存在しない")</f>
        <v>存在しない</v>
      </c>
      <c r="N775" s="2" t="s">
        <v>1196</v>
      </c>
    </row>
    <row r="776" spans="10:14" x14ac:dyDescent="0.4">
      <c r="J776" s="6" t="str">
        <f>IFERROR(_xlfn.LET(_xlpm.v,
VLOOKUP($I776,効果!$A:$B,COLUMN(効果!B$1),FALSE),
IF(_xlpm.v=0,"",_xlpm.v)
),"")</f>
        <v/>
      </c>
      <c r="L776" s="15" t="str">
        <f>IF(OR(COUNTIF(クラス!$A$1:$A$1035, $B776),$B776="",COUNTIF(スキル一覧!$A$1:$A$3500, $B776)), "", "存在しない")</f>
        <v/>
      </c>
      <c r="M776" s="2" t="str">
        <f>IF(COUNTIF($B$1:$C775, $B776), "", "存在しない")</f>
        <v>存在しない</v>
      </c>
      <c r="N776" s="2" t="s">
        <v>1196</v>
      </c>
    </row>
    <row r="777" spans="10:14" x14ac:dyDescent="0.4">
      <c r="J777" s="6" t="str">
        <f>IFERROR(_xlfn.LET(_xlpm.v,
VLOOKUP($I777,効果!$A:$B,COLUMN(効果!B$1),FALSE),
IF(_xlpm.v=0,"",_xlpm.v)
),"")</f>
        <v/>
      </c>
      <c r="L777" s="15" t="str">
        <f>IF(OR(COUNTIF(クラス!$A$1:$A$1035, $B777),$B777="",COUNTIF(スキル一覧!$A$1:$A$3500, $B777)), "", "存在しない")</f>
        <v/>
      </c>
      <c r="M777" s="2" t="str">
        <f>IF(COUNTIF($B$1:$C776, $B777), "", "存在しない")</f>
        <v>存在しない</v>
      </c>
      <c r="N777" s="2" t="s">
        <v>1196</v>
      </c>
    </row>
    <row r="778" spans="10:14" x14ac:dyDescent="0.4">
      <c r="J778" s="6" t="str">
        <f>IFERROR(_xlfn.LET(_xlpm.v,
VLOOKUP($I778,効果!$A:$B,COLUMN(効果!B$1),FALSE),
IF(_xlpm.v=0,"",_xlpm.v)
),"")</f>
        <v/>
      </c>
      <c r="L778" s="15" t="str">
        <f>IF(OR(COUNTIF(クラス!$A$1:$A$1035, $B778),$B778="",COUNTIF(スキル一覧!$A$1:$A$3500, $B778)), "", "存在しない")</f>
        <v/>
      </c>
      <c r="M778" s="2" t="str">
        <f>IF(COUNTIF($B$1:$C777, $B778), "", "存在しない")</f>
        <v>存在しない</v>
      </c>
      <c r="N778" s="2" t="s">
        <v>1196</v>
      </c>
    </row>
    <row r="779" spans="10:14" x14ac:dyDescent="0.4">
      <c r="J779" s="6" t="str">
        <f>IFERROR(_xlfn.LET(_xlpm.v,
VLOOKUP($I779,効果!$A:$B,COLUMN(効果!B$1),FALSE),
IF(_xlpm.v=0,"",_xlpm.v)
),"")</f>
        <v/>
      </c>
      <c r="L779" s="15" t="str">
        <f>IF(OR(COUNTIF(クラス!$A$1:$A$1035, $B779),$B779="",COUNTIF(スキル一覧!$A$1:$A$3500, $B779)), "", "存在しない")</f>
        <v/>
      </c>
      <c r="M779" s="2" t="str">
        <f>IF(COUNTIF($B$1:$C778, $B779), "", "存在しない")</f>
        <v>存在しない</v>
      </c>
      <c r="N779" s="2" t="s">
        <v>1196</v>
      </c>
    </row>
    <row r="780" spans="10:14" x14ac:dyDescent="0.4">
      <c r="J780" s="6" t="str">
        <f>IFERROR(_xlfn.LET(_xlpm.v,
VLOOKUP($I780,効果!$A:$B,COLUMN(効果!B$1),FALSE),
IF(_xlpm.v=0,"",_xlpm.v)
),"")</f>
        <v/>
      </c>
      <c r="L780" s="15" t="str">
        <f>IF(OR(COUNTIF(クラス!$A$1:$A$1035, $B780),$B780="",COUNTIF(スキル一覧!$A$1:$A$3500, $B780)), "", "存在しない")</f>
        <v/>
      </c>
      <c r="M780" s="2" t="str">
        <f>IF(COUNTIF($B$1:$C779, $B780), "", "存在しない")</f>
        <v>存在しない</v>
      </c>
      <c r="N780" s="2" t="s">
        <v>1196</v>
      </c>
    </row>
    <row r="781" spans="10:14" x14ac:dyDescent="0.4">
      <c r="J781" s="6" t="str">
        <f>IFERROR(_xlfn.LET(_xlpm.v,
VLOOKUP($I781,効果!$A:$B,COLUMN(効果!B$1),FALSE),
IF(_xlpm.v=0,"",_xlpm.v)
),"")</f>
        <v/>
      </c>
      <c r="L781" s="15" t="str">
        <f>IF(OR(COUNTIF(クラス!$A$1:$A$1035, $B781),$B781="",COUNTIF(スキル一覧!$A$1:$A$3500, $B781)), "", "存在しない")</f>
        <v/>
      </c>
      <c r="M781" s="2" t="str">
        <f>IF(COUNTIF($B$1:$C780, $B781), "", "存在しない")</f>
        <v>存在しない</v>
      </c>
      <c r="N781" s="2" t="s">
        <v>1196</v>
      </c>
    </row>
    <row r="782" spans="10:14" x14ac:dyDescent="0.4">
      <c r="J782" s="6" t="str">
        <f>IFERROR(_xlfn.LET(_xlpm.v,
VLOOKUP($I782,効果!$A:$B,COLUMN(効果!B$1),FALSE),
IF(_xlpm.v=0,"",_xlpm.v)
),"")</f>
        <v/>
      </c>
      <c r="L782" s="15" t="str">
        <f>IF(OR(COUNTIF(クラス!$A$1:$A$1035, $B782),$B782="",COUNTIF(スキル一覧!$A$1:$A$3500, $B782)), "", "存在しない")</f>
        <v/>
      </c>
      <c r="M782" s="2" t="str">
        <f>IF(COUNTIF($B$1:$C781, $B782), "", "存在しない")</f>
        <v>存在しない</v>
      </c>
      <c r="N782" s="2" t="s">
        <v>1196</v>
      </c>
    </row>
    <row r="783" spans="10:14" x14ac:dyDescent="0.4">
      <c r="J783" s="6" t="str">
        <f>IFERROR(_xlfn.LET(_xlpm.v,
VLOOKUP($I783,効果!$A:$B,COLUMN(効果!B$1),FALSE),
IF(_xlpm.v=0,"",_xlpm.v)
),"")</f>
        <v/>
      </c>
    </row>
    <row r="784" spans="10:14" x14ac:dyDescent="0.4">
      <c r="J784" s="6" t="str">
        <f>IFERROR(_xlfn.LET(_xlpm.v,
VLOOKUP($I784,効果!$A:$B,COLUMN(効果!B$1),FALSE),
IF(_xlpm.v=0,"",_xlpm.v)
),"")</f>
        <v/>
      </c>
    </row>
    <row r="785" spans="10:10" x14ac:dyDescent="0.4">
      <c r="J785" s="6" t="str">
        <f>IFERROR(_xlfn.LET(_xlpm.v,
VLOOKUP($I785,効果!$A:$B,COLUMN(効果!B$1),FALSE),
IF(_xlpm.v=0,"",_xlpm.v)
),"")</f>
        <v/>
      </c>
    </row>
    <row r="786" spans="10:10" x14ac:dyDescent="0.4">
      <c r="J786" s="6" t="str">
        <f>IFERROR(_xlfn.LET(_xlpm.v,
VLOOKUP($I786,効果!$A:$B,COLUMN(効果!B$1),FALSE),
IF(_xlpm.v=0,"",_xlpm.v)
),"")</f>
        <v/>
      </c>
    </row>
    <row r="787" spans="10:10" x14ac:dyDescent="0.4">
      <c r="J787" s="6" t="str">
        <f>IFERROR(_xlfn.LET(_xlpm.v,
VLOOKUP($I787,効果!$A:$B,COLUMN(効果!B$1),FALSE),
IF(_xlpm.v=0,"",_xlpm.v)
),"")</f>
        <v/>
      </c>
    </row>
    <row r="788" spans="10:10" x14ac:dyDescent="0.4">
      <c r="J788" s="6" t="str">
        <f>IFERROR(_xlfn.LET(_xlpm.v,
VLOOKUP($I788,効果!$A:$B,COLUMN(効果!B$1),FALSE),
IF(_xlpm.v=0,"",_xlpm.v)
),"")</f>
        <v/>
      </c>
    </row>
    <row r="789" spans="10:10" x14ac:dyDescent="0.4">
      <c r="J789" s="6" t="str">
        <f>IFERROR(_xlfn.LET(_xlpm.v,
VLOOKUP($I789,効果!$A:$B,COLUMN(効果!B$1),FALSE),
IF(_xlpm.v=0,"",_xlpm.v)
),"")</f>
        <v/>
      </c>
    </row>
    <row r="790" spans="10:10" x14ac:dyDescent="0.4">
      <c r="J790" s="6" t="str">
        <f>IFERROR(_xlfn.LET(_xlpm.v,
VLOOKUP($I790,効果!$A:$B,COLUMN(効果!B$1),FALSE),
IF(_xlpm.v=0,"",_xlpm.v)
),"")</f>
        <v/>
      </c>
    </row>
    <row r="791" spans="10:10" x14ac:dyDescent="0.4">
      <c r="J791" s="6" t="str">
        <f>IFERROR(_xlfn.LET(_xlpm.v,
VLOOKUP($I791,効果!$A:$B,COLUMN(効果!B$1),FALSE),
IF(_xlpm.v=0,"",_xlpm.v)
),"")</f>
        <v/>
      </c>
    </row>
    <row r="792" spans="10:10" x14ac:dyDescent="0.4">
      <c r="J792" s="6" t="str">
        <f>IFERROR(_xlfn.LET(_xlpm.v,
VLOOKUP($I792,効果!$A:$B,COLUMN(効果!B$1),FALSE),
IF(_xlpm.v=0,"",_xlpm.v)
),"")</f>
        <v/>
      </c>
    </row>
    <row r="793" spans="10:10" x14ac:dyDescent="0.4">
      <c r="J793" s="6" t="str">
        <f>IFERROR(_xlfn.LET(_xlpm.v,
VLOOKUP($I793,効果!$A:$B,COLUMN(効果!B$1),FALSE),
IF(_xlpm.v=0,"",_xlpm.v)
),"")</f>
        <v/>
      </c>
    </row>
    <row r="794" spans="10:10" x14ac:dyDescent="0.4">
      <c r="J794" s="6" t="str">
        <f>IFERROR(_xlfn.LET(_xlpm.v,
VLOOKUP($I794,効果!$A:$B,COLUMN(効果!B$1),FALSE),
IF(_xlpm.v=0,"",_xlpm.v)
),"")</f>
        <v/>
      </c>
    </row>
    <row r="795" spans="10:10" x14ac:dyDescent="0.4">
      <c r="J795" s="6" t="str">
        <f>IFERROR(_xlfn.LET(_xlpm.v,
VLOOKUP($I795,効果!$A:$B,COLUMN(効果!B$1),FALSE),
IF(_xlpm.v=0,"",_xlpm.v)
),"")</f>
        <v/>
      </c>
    </row>
    <row r="796" spans="10:10" x14ac:dyDescent="0.4">
      <c r="J796" s="6" t="str">
        <f>IFERROR(_xlfn.LET(_xlpm.v,
VLOOKUP($I796,効果!$A:$B,COLUMN(効果!B$1),FALSE),
IF(_xlpm.v=0,"",_xlpm.v)
),"")</f>
        <v/>
      </c>
    </row>
    <row r="797" spans="10:10" x14ac:dyDescent="0.4">
      <c r="J797" s="6" t="str">
        <f>IFERROR(_xlfn.LET(_xlpm.v,
VLOOKUP($I797,効果!$A:$B,COLUMN(効果!B$1),FALSE),
IF(_xlpm.v=0,"",_xlpm.v)
),"")</f>
        <v/>
      </c>
    </row>
    <row r="798" spans="10:10" x14ac:dyDescent="0.4">
      <c r="J798" s="6" t="str">
        <f>IFERROR(_xlfn.LET(_xlpm.v,
VLOOKUP($I798,効果!$A:$B,COLUMN(効果!B$1),FALSE),
IF(_xlpm.v=0,"",_xlpm.v)
),"")</f>
        <v/>
      </c>
    </row>
    <row r="799" spans="10:10" x14ac:dyDescent="0.4">
      <c r="J799" s="6" t="str">
        <f>IFERROR(_xlfn.LET(_xlpm.v,
VLOOKUP($I799,効果!$A:$B,COLUMN(効果!B$1),FALSE),
IF(_xlpm.v=0,"",_xlpm.v)
),"")</f>
        <v/>
      </c>
    </row>
    <row r="800" spans="10:10" x14ac:dyDescent="0.4">
      <c r="J800" s="6" t="str">
        <f>IFERROR(_xlfn.LET(_xlpm.v,
VLOOKUP($I800,効果!$A:$B,COLUMN(効果!B$1),FALSE),
IF(_xlpm.v=0,"",_xlpm.v)
),"")</f>
        <v/>
      </c>
    </row>
    <row r="801" spans="10:10" x14ac:dyDescent="0.4">
      <c r="J801" s="6" t="str">
        <f>IFERROR(_xlfn.LET(_xlpm.v,
VLOOKUP($I801,効果!$A:$B,COLUMN(効果!B$1),FALSE),
IF(_xlpm.v=0,"",_xlpm.v)
),"")</f>
        <v/>
      </c>
    </row>
    <row r="802" spans="10:10" x14ac:dyDescent="0.4">
      <c r="J802" s="6" t="str">
        <f>IFERROR(_xlfn.LET(_xlpm.v,
VLOOKUP($I802,効果!$A:$B,COLUMN(効果!B$1),FALSE),
IF(_xlpm.v=0,"",_xlpm.v)
),"")</f>
        <v/>
      </c>
    </row>
    <row r="803" spans="10:10" x14ac:dyDescent="0.4">
      <c r="J803" s="6" t="str">
        <f>IFERROR(_xlfn.LET(_xlpm.v,
VLOOKUP($I803,効果!$A:$B,COLUMN(効果!B$1),FALSE),
IF(_xlpm.v=0,"",_xlpm.v)
),"")</f>
        <v/>
      </c>
    </row>
    <row r="804" spans="10:10" x14ac:dyDescent="0.4">
      <c r="J804" s="6" t="str">
        <f>IFERROR(_xlfn.LET(_xlpm.v,
VLOOKUP($I804,効果!$A:$B,COLUMN(効果!B$1),FALSE),
IF(_xlpm.v=0,"",_xlpm.v)
),"")</f>
        <v/>
      </c>
    </row>
    <row r="805" spans="10:10" x14ac:dyDescent="0.4">
      <c r="J805" s="6" t="str">
        <f>IFERROR(_xlfn.LET(_xlpm.v,
VLOOKUP($I805,効果!$A:$B,COLUMN(効果!B$1),FALSE),
IF(_xlpm.v=0,"",_xlpm.v)
),"")</f>
        <v/>
      </c>
    </row>
    <row r="806" spans="10:10" x14ac:dyDescent="0.4">
      <c r="J806" s="6" t="str">
        <f>IFERROR(_xlfn.LET(_xlpm.v,
VLOOKUP($I806,効果!$A:$B,COLUMN(効果!B$1),FALSE),
IF(_xlpm.v=0,"",_xlpm.v)
),"")</f>
        <v/>
      </c>
    </row>
    <row r="807" spans="10:10" x14ac:dyDescent="0.4">
      <c r="J807" s="6" t="str">
        <f>IFERROR(_xlfn.LET(_xlpm.v,
VLOOKUP($I807,効果!$A:$B,COLUMN(効果!B$1),FALSE),
IF(_xlpm.v=0,"",_xlpm.v)
),"")</f>
        <v/>
      </c>
    </row>
    <row r="808" spans="10:10" x14ac:dyDescent="0.4">
      <c r="J808" s="6" t="str">
        <f>IFERROR(_xlfn.LET(_xlpm.v,
VLOOKUP($I808,効果!$A:$B,COLUMN(効果!B$1),FALSE),
IF(_xlpm.v=0,"",_xlpm.v)
),"")</f>
        <v/>
      </c>
    </row>
    <row r="809" spans="10:10" x14ac:dyDescent="0.4">
      <c r="J809" s="6" t="str">
        <f>IFERROR(_xlfn.LET(_xlpm.v,
VLOOKUP($I809,効果!$A:$B,COLUMN(効果!B$1),FALSE),
IF(_xlpm.v=0,"",_xlpm.v)
),"")</f>
        <v/>
      </c>
    </row>
    <row r="810" spans="10:10" x14ac:dyDescent="0.4">
      <c r="J810" s="6" t="str">
        <f>IFERROR(_xlfn.LET(_xlpm.v,
VLOOKUP($I810,効果!$A:$B,COLUMN(効果!B$1),FALSE),
IF(_xlpm.v=0,"",_xlpm.v)
),"")</f>
        <v/>
      </c>
    </row>
    <row r="811" spans="10:10" x14ac:dyDescent="0.4">
      <c r="J811" s="6" t="str">
        <f>IFERROR(_xlfn.LET(_xlpm.v,
VLOOKUP($I811,効果!$A:$B,COLUMN(効果!B$1),FALSE),
IF(_xlpm.v=0,"",_xlpm.v)
),"")</f>
        <v/>
      </c>
    </row>
    <row r="812" spans="10:10" x14ac:dyDescent="0.4">
      <c r="J812" s="6" t="str">
        <f>IFERROR(_xlfn.LET(_xlpm.v,
VLOOKUP($I812,効果!$A:$B,COLUMN(効果!B$1),FALSE),
IF(_xlpm.v=0,"",_xlpm.v)
),"")</f>
        <v/>
      </c>
    </row>
    <row r="813" spans="10:10" x14ac:dyDescent="0.4">
      <c r="J813" s="6" t="str">
        <f>IFERROR(_xlfn.LET(_xlpm.v,
VLOOKUP($I813,効果!$A:$B,COLUMN(効果!B$1),FALSE),
IF(_xlpm.v=0,"",_xlpm.v)
),"")</f>
        <v/>
      </c>
    </row>
    <row r="814" spans="10:10" x14ac:dyDescent="0.4">
      <c r="J814" s="6" t="str">
        <f>IFERROR(_xlfn.LET(_xlpm.v,
VLOOKUP($I814,効果!$A:$B,COLUMN(効果!B$1),FALSE),
IF(_xlpm.v=0,"",_xlpm.v)
),"")</f>
        <v/>
      </c>
    </row>
  </sheetData>
  <autoFilter ref="A4:T782" xr:uid="{D4D7922A-73DC-4912-BBD4-1197EC7EDE86}"/>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FA93A163-5FA1-452E-97F6-DA329B160557}">
          <x14:formula1>
            <xm:f>効果!$A:$A</xm:f>
          </x14:formula1>
          <xm:sqref>H74 I5:I783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68F9-480F-4A4C-A9F1-828525A97DDC}">
  <sheetPr codeName="Sheet1">
    <tabColor theme="5" tint="0.79998168889431442"/>
  </sheetPr>
  <dimension ref="A1:CI219"/>
  <sheetViews>
    <sheetView workbookViewId="0">
      <pane xSplit="5" ySplit="17" topLeftCell="BD33" activePane="bottomRight" state="frozen"/>
      <selection pane="topRight" activeCell="F1" sqref="F1"/>
      <selection pane="bottomLeft" activeCell="A18" sqref="A18"/>
      <selection pane="bottomRight" activeCell="A54" sqref="A54"/>
    </sheetView>
  </sheetViews>
  <sheetFormatPr defaultRowHeight="18.75" outlineLevelRow="1" outlineLevelCol="1" x14ac:dyDescent="0.4"/>
  <cols>
    <col min="1" max="2" width="8.75" customWidth="1"/>
    <col min="3" max="3" width="4.75" customWidth="1"/>
    <col min="4" max="4" width="11.5" customWidth="1"/>
    <col min="5" max="5" width="3.5" bestFit="1" customWidth="1"/>
    <col min="6" max="6" width="4.5" bestFit="1" customWidth="1"/>
    <col min="7" max="8" width="4.5" customWidth="1" outlineLevel="1"/>
    <col min="9" max="10" width="5.25" customWidth="1" outlineLevel="1"/>
    <col min="11" max="11" width="5.25" style="24" customWidth="1" outlineLevel="1"/>
    <col min="12" max="15" width="5.25" customWidth="1" outlineLevel="1"/>
    <col min="16" max="16" width="4.875" style="17" customWidth="1"/>
    <col min="17" max="26" width="4.875" style="17" customWidth="1" outlineLevel="1"/>
    <col min="27" max="32" width="4.875" customWidth="1" outlineLevel="1"/>
    <col min="33" max="33" width="5" customWidth="1" outlineLevel="1"/>
    <col min="34" max="34" width="6.625" customWidth="1" outlineLevel="1"/>
    <col min="35" max="35" width="5.25" bestFit="1" customWidth="1"/>
    <col min="36" max="41" width="5.25" customWidth="1" outlineLevel="1"/>
    <col min="42" max="42" width="5.5" customWidth="1" outlineLevel="1"/>
    <col min="43" max="49" width="5.25" customWidth="1" outlineLevel="1"/>
    <col min="51" max="59" width="9" customWidth="1" outlineLevel="1"/>
    <col min="60" max="60" width="7.625" bestFit="1" customWidth="1"/>
    <col min="61" max="61" width="7.625" customWidth="1"/>
    <col min="62" max="62" width="5.5" style="36" customWidth="1"/>
    <col min="63" max="63" width="7.625" customWidth="1" outlineLevel="1"/>
    <col min="64" max="64" width="6" style="36" customWidth="1" outlineLevel="1"/>
    <col min="65" max="65" width="7.625" customWidth="1" outlineLevel="1"/>
    <col min="66" max="66" width="6" style="36" customWidth="1" outlineLevel="1"/>
    <col min="67" max="67" width="7.625" customWidth="1" outlineLevel="1"/>
    <col min="68" max="68" width="6" style="36" customWidth="1" outlineLevel="1"/>
    <col min="72" max="73" width="5.5" customWidth="1" outlineLevel="1"/>
    <col min="74" max="74" width="4.5" customWidth="1" outlineLevel="1"/>
    <col min="75" max="77" width="3.625" customWidth="1" outlineLevel="1"/>
    <col min="78" max="78" width="8.25" customWidth="1" outlineLevel="1"/>
  </cols>
  <sheetData>
    <row r="1" spans="1:87" s="10" customFormat="1" ht="30" customHeight="1" thickBot="1" x14ac:dyDescent="0.25">
      <c r="A1" s="10" t="s">
        <v>7</v>
      </c>
      <c r="B1" s="10" t="s">
        <v>9</v>
      </c>
      <c r="C1" s="10" t="s">
        <v>28</v>
      </c>
      <c r="D1" s="10" t="s">
        <v>23</v>
      </c>
      <c r="E1" s="10" t="s">
        <v>887</v>
      </c>
      <c r="F1" s="22" t="s">
        <v>11</v>
      </c>
      <c r="G1" s="22" t="s">
        <v>1227</v>
      </c>
      <c r="H1" s="22" t="s">
        <v>1228</v>
      </c>
      <c r="I1" s="22" t="s">
        <v>13</v>
      </c>
      <c r="J1" s="22" t="s">
        <v>15</v>
      </c>
      <c r="K1" s="25" t="s">
        <v>17</v>
      </c>
      <c r="L1" s="22" t="s">
        <v>18</v>
      </c>
      <c r="M1" s="22" t="s">
        <v>20</v>
      </c>
      <c r="N1" s="22" t="s">
        <v>22</v>
      </c>
      <c r="O1" s="22" t="s">
        <v>29</v>
      </c>
      <c r="P1" s="20" t="s">
        <v>145</v>
      </c>
      <c r="Q1" s="20" t="s">
        <v>177</v>
      </c>
      <c r="R1" s="20" t="s">
        <v>667</v>
      </c>
      <c r="S1" s="20" t="s">
        <v>1221</v>
      </c>
      <c r="T1" s="20" t="s">
        <v>1222</v>
      </c>
      <c r="U1" s="20" t="s">
        <v>1223</v>
      </c>
      <c r="V1" s="20" t="s">
        <v>132</v>
      </c>
      <c r="W1" s="20" t="s">
        <v>133</v>
      </c>
      <c r="X1" s="20" t="s">
        <v>134</v>
      </c>
      <c r="Y1" s="20" t="s">
        <v>135</v>
      </c>
      <c r="Z1" s="20" t="s">
        <v>137</v>
      </c>
      <c r="AA1" s="20" t="s">
        <v>138</v>
      </c>
      <c r="AB1" s="20" t="s">
        <v>140</v>
      </c>
      <c r="AC1" s="20" t="s">
        <v>141</v>
      </c>
      <c r="AD1" s="20" t="s">
        <v>142</v>
      </c>
      <c r="AE1" s="20" t="s">
        <v>143</v>
      </c>
      <c r="AF1" s="20" t="s">
        <v>144</v>
      </c>
      <c r="AG1" s="20" t="s">
        <v>156</v>
      </c>
      <c r="AH1" s="20" t="s">
        <v>157</v>
      </c>
      <c r="AI1" s="26" t="s">
        <v>247</v>
      </c>
      <c r="AJ1" s="26" t="s">
        <v>1</v>
      </c>
      <c r="AK1" s="26" t="s">
        <v>2</v>
      </c>
      <c r="AL1" s="26" t="s">
        <v>105</v>
      </c>
      <c r="AM1" s="26" t="s">
        <v>104</v>
      </c>
      <c r="AN1" s="27" t="s">
        <v>4</v>
      </c>
      <c r="AO1" s="27" t="s">
        <v>3</v>
      </c>
      <c r="AP1" s="28" t="s">
        <v>226</v>
      </c>
      <c r="AQ1" s="28" t="s">
        <v>227</v>
      </c>
      <c r="AR1" s="28" t="s">
        <v>228</v>
      </c>
      <c r="AS1" s="28" t="s">
        <v>1814</v>
      </c>
      <c r="AT1" s="29" t="s">
        <v>230</v>
      </c>
      <c r="AU1" s="29" t="s">
        <v>5</v>
      </c>
      <c r="AV1" s="29" t="s">
        <v>991</v>
      </c>
      <c r="AW1" s="29" t="s">
        <v>6</v>
      </c>
      <c r="AX1" s="34" t="s">
        <v>255</v>
      </c>
      <c r="AY1" s="34" t="s">
        <v>256</v>
      </c>
      <c r="AZ1" s="34" t="s">
        <v>257</v>
      </c>
      <c r="BA1" s="34" t="s">
        <v>258</v>
      </c>
      <c r="BB1" s="34" t="s">
        <v>259</v>
      </c>
      <c r="BC1" s="34" t="s">
        <v>260</v>
      </c>
      <c r="BD1" s="34" t="s">
        <v>261</v>
      </c>
      <c r="BE1" s="34" t="s">
        <v>262</v>
      </c>
      <c r="BF1" s="34" t="s">
        <v>263</v>
      </c>
      <c r="BG1" s="34" t="s">
        <v>264</v>
      </c>
      <c r="BH1" s="10" t="s">
        <v>265</v>
      </c>
      <c r="BI1" s="10" t="s">
        <v>266</v>
      </c>
      <c r="BJ1" s="35" t="s">
        <v>267</v>
      </c>
      <c r="BK1" s="10" t="s">
        <v>268</v>
      </c>
      <c r="BL1" s="35" t="s">
        <v>269</v>
      </c>
      <c r="BM1" s="10" t="s">
        <v>270</v>
      </c>
      <c r="BN1" s="35" t="s">
        <v>271</v>
      </c>
      <c r="BO1" s="10" t="s">
        <v>272</v>
      </c>
      <c r="BP1" s="35" t="s">
        <v>273</v>
      </c>
      <c r="BQ1" s="10" t="s">
        <v>305</v>
      </c>
      <c r="BR1" s="10" t="s">
        <v>903</v>
      </c>
      <c r="BS1" s="10" t="s">
        <v>900</v>
      </c>
      <c r="BT1" s="53" t="s">
        <v>474</v>
      </c>
      <c r="BU1" s="53" t="s">
        <v>475</v>
      </c>
      <c r="BV1" s="53" t="s">
        <v>476</v>
      </c>
      <c r="BW1" s="53" t="s">
        <v>477</v>
      </c>
      <c r="BX1" s="10" t="s">
        <v>902</v>
      </c>
      <c r="BY1" s="10" t="s">
        <v>905</v>
      </c>
      <c r="CA1" s="10" t="s">
        <v>908</v>
      </c>
      <c r="CB1" s="10" t="s">
        <v>910</v>
      </c>
      <c r="CC1" s="10" t="s">
        <v>911</v>
      </c>
      <c r="CD1" s="10" t="s">
        <v>909</v>
      </c>
      <c r="CE1" s="10" t="s">
        <v>912</v>
      </c>
      <c r="CF1" s="10" t="s">
        <v>913</v>
      </c>
      <c r="CG1" s="10" t="s">
        <v>745</v>
      </c>
      <c r="CH1" s="10" t="s">
        <v>746</v>
      </c>
      <c r="CI1" s="10" t="s">
        <v>983</v>
      </c>
    </row>
    <row r="2" spans="1:87" s="10" customFormat="1" ht="14.25" hidden="1" customHeight="1" outlineLevel="1" x14ac:dyDescent="0.4">
      <c r="F2" s="22"/>
      <c r="G2" s="22"/>
      <c r="H2" s="22"/>
      <c r="I2" s="22"/>
      <c r="J2" s="22"/>
      <c r="K2" s="25"/>
      <c r="L2" s="22"/>
      <c r="M2" s="22"/>
      <c r="N2" s="22"/>
      <c r="O2" s="22"/>
      <c r="P2">
        <v>50</v>
      </c>
      <c r="Q2">
        <v>51</v>
      </c>
      <c r="R2"/>
      <c r="S2">
        <v>52</v>
      </c>
      <c r="T2">
        <v>53</v>
      </c>
      <c r="U2">
        <v>54</v>
      </c>
      <c r="V2">
        <v>52</v>
      </c>
      <c r="W2">
        <v>53</v>
      </c>
      <c r="X2">
        <v>54</v>
      </c>
      <c r="Y2">
        <v>55</v>
      </c>
      <c r="Z2">
        <v>56</v>
      </c>
      <c r="AA2">
        <v>57</v>
      </c>
      <c r="AB2">
        <v>58</v>
      </c>
      <c r="AC2">
        <v>59</v>
      </c>
      <c r="AD2">
        <v>60</v>
      </c>
      <c r="AE2">
        <v>61</v>
      </c>
      <c r="AF2">
        <v>62</v>
      </c>
      <c r="AG2">
        <v>63</v>
      </c>
      <c r="AH2">
        <v>64</v>
      </c>
      <c r="AI2" s="30" t="s">
        <v>0</v>
      </c>
      <c r="AJ2" s="75" t="s">
        <v>232</v>
      </c>
      <c r="AK2" s="75"/>
      <c r="AL2" s="75"/>
      <c r="AM2" s="75"/>
      <c r="AN2" s="75"/>
      <c r="AO2" s="75"/>
      <c r="AP2" s="75"/>
      <c r="AQ2" s="75"/>
      <c r="AR2" s="75"/>
      <c r="AS2" s="75"/>
      <c r="AT2" s="75"/>
      <c r="AU2" s="75"/>
      <c r="AV2" s="75"/>
      <c r="AW2" s="75"/>
      <c r="AX2" s="75"/>
      <c r="AY2" s="75"/>
      <c r="BJ2" s="35"/>
      <c r="BL2" s="35"/>
      <c r="BN2" s="35"/>
      <c r="BP2" s="35"/>
    </row>
    <row r="3" spans="1:87" s="10" customFormat="1" ht="14.25" hidden="1" customHeight="1" outlineLevel="1" x14ac:dyDescent="0.4">
      <c r="F3" s="22"/>
      <c r="G3" s="22"/>
      <c r="H3" s="22"/>
      <c r="I3" s="22"/>
      <c r="J3" s="22"/>
      <c r="K3" s="25"/>
      <c r="L3" s="22"/>
      <c r="M3" s="22"/>
      <c r="N3" s="22"/>
      <c r="O3" s="22"/>
      <c r="P3" s="17"/>
      <c r="Q3" s="17"/>
      <c r="R3" s="17"/>
      <c r="S3" s="17"/>
      <c r="T3" s="17"/>
      <c r="U3" s="17"/>
      <c r="V3" s="17"/>
      <c r="W3" s="17"/>
      <c r="X3" s="17"/>
      <c r="Y3" s="17"/>
      <c r="Z3" s="17"/>
      <c r="AA3"/>
      <c r="AB3"/>
      <c r="AC3"/>
      <c r="AD3"/>
      <c r="AE3"/>
      <c r="AF3"/>
      <c r="AG3"/>
      <c r="AH3"/>
      <c r="AI3" s="30" t="s">
        <v>1</v>
      </c>
      <c r="AJ3" s="75" t="s">
        <v>233</v>
      </c>
      <c r="AK3" s="75"/>
      <c r="AL3" s="75"/>
      <c r="AM3" s="75"/>
      <c r="AN3" s="75"/>
      <c r="AO3" s="75"/>
      <c r="AP3" s="75"/>
      <c r="AQ3" s="75"/>
      <c r="AR3" s="75"/>
      <c r="AS3" s="75"/>
      <c r="AT3" s="75"/>
      <c r="AU3" s="75"/>
      <c r="AV3" s="75"/>
      <c r="AW3" s="75"/>
      <c r="AX3" s="75"/>
      <c r="AY3" s="75"/>
      <c r="BJ3" s="35"/>
      <c r="BL3" s="35"/>
      <c r="BN3" s="35"/>
      <c r="BP3" s="35"/>
    </row>
    <row r="4" spans="1:87" s="10" customFormat="1" ht="14.25" hidden="1" customHeight="1" outlineLevel="1" x14ac:dyDescent="0.4">
      <c r="F4" s="22"/>
      <c r="G4" s="22"/>
      <c r="H4" s="22"/>
      <c r="I4" s="22"/>
      <c r="J4" s="22"/>
      <c r="K4" s="25"/>
      <c r="L4" s="22"/>
      <c r="M4" s="22"/>
      <c r="N4" s="22"/>
      <c r="O4" s="22"/>
      <c r="P4" s="17"/>
      <c r="Q4" s="17"/>
      <c r="R4" s="17"/>
      <c r="S4" s="17"/>
      <c r="T4" s="17"/>
      <c r="U4" s="17"/>
      <c r="V4" s="17"/>
      <c r="W4" s="17"/>
      <c r="X4" s="17"/>
      <c r="Y4" s="17"/>
      <c r="Z4" s="17"/>
      <c r="AA4"/>
      <c r="AB4"/>
      <c r="AC4"/>
      <c r="AD4"/>
      <c r="AE4"/>
      <c r="AF4"/>
      <c r="AG4"/>
      <c r="AH4"/>
      <c r="AI4" s="30" t="s">
        <v>2</v>
      </c>
      <c r="AJ4" s="75" t="s">
        <v>234</v>
      </c>
      <c r="AK4" s="75"/>
      <c r="AL4" s="75"/>
      <c r="AM4" s="75"/>
      <c r="AN4" s="75"/>
      <c r="AO4" s="75"/>
      <c r="AP4" s="75"/>
      <c r="AQ4" s="75"/>
      <c r="AR4" s="75"/>
      <c r="AS4" s="75"/>
      <c r="AT4" s="75"/>
      <c r="AU4" s="75"/>
      <c r="AV4" s="75"/>
      <c r="AW4" s="75"/>
      <c r="AX4" s="75"/>
      <c r="AY4" s="75"/>
      <c r="BJ4" s="35"/>
      <c r="BL4" s="35"/>
      <c r="BN4" s="35"/>
      <c r="BP4" s="35"/>
    </row>
    <row r="5" spans="1:87" s="10" customFormat="1" ht="14.25" hidden="1" customHeight="1" outlineLevel="1" x14ac:dyDescent="0.4">
      <c r="F5" s="22"/>
      <c r="G5" s="22"/>
      <c r="H5" s="22"/>
      <c r="I5" s="22"/>
      <c r="J5" s="22"/>
      <c r="K5" s="25"/>
      <c r="L5" s="22"/>
      <c r="M5" s="22"/>
      <c r="N5" s="22"/>
      <c r="O5" s="22"/>
      <c r="P5" s="17"/>
      <c r="Q5" s="17"/>
      <c r="R5" s="17"/>
      <c r="S5" s="17"/>
      <c r="T5" s="17"/>
      <c r="U5" s="17"/>
      <c r="V5" s="17"/>
      <c r="W5" s="17"/>
      <c r="X5" s="17"/>
      <c r="Y5" s="17"/>
      <c r="Z5" s="17"/>
      <c r="AA5"/>
      <c r="AB5"/>
      <c r="AC5"/>
      <c r="AD5"/>
      <c r="AE5"/>
      <c r="AF5"/>
      <c r="AG5"/>
      <c r="AH5"/>
      <c r="AI5" s="30" t="s">
        <v>105</v>
      </c>
      <c r="AJ5" s="75" t="s">
        <v>235</v>
      </c>
      <c r="AK5" s="75"/>
      <c r="AL5" s="75"/>
      <c r="AM5" s="75"/>
      <c r="AN5" s="75"/>
      <c r="AO5" s="75"/>
      <c r="AP5" s="75"/>
      <c r="AQ5" s="75"/>
      <c r="AR5" s="75"/>
      <c r="AS5" s="75"/>
      <c r="AT5" s="75"/>
      <c r="AU5" s="75"/>
      <c r="AV5" s="75"/>
      <c r="AW5" s="75"/>
      <c r="AX5" s="75"/>
      <c r="AY5" s="75"/>
      <c r="BJ5" s="35"/>
      <c r="BL5" s="35"/>
      <c r="BN5" s="35"/>
      <c r="BP5" s="35"/>
    </row>
    <row r="6" spans="1:87" s="10" customFormat="1" ht="14.25" hidden="1" customHeight="1" outlineLevel="1" x14ac:dyDescent="0.4">
      <c r="F6" s="22"/>
      <c r="G6" s="22"/>
      <c r="H6" s="22"/>
      <c r="I6" s="22"/>
      <c r="J6" s="22"/>
      <c r="K6" s="25"/>
      <c r="L6" s="22"/>
      <c r="M6" s="22"/>
      <c r="N6" s="22"/>
      <c r="O6" s="22"/>
      <c r="P6" s="17"/>
      <c r="Q6" s="17"/>
      <c r="R6" s="17"/>
      <c r="S6" s="17"/>
      <c r="T6" s="17"/>
      <c r="U6" s="17"/>
      <c r="V6" s="17"/>
      <c r="W6" s="17"/>
      <c r="X6" s="17"/>
      <c r="Y6" s="17"/>
      <c r="Z6" s="17"/>
      <c r="AA6"/>
      <c r="AB6"/>
      <c r="AC6"/>
      <c r="AD6"/>
      <c r="AE6"/>
      <c r="AF6"/>
      <c r="AG6"/>
      <c r="AH6"/>
      <c r="AI6" s="30" t="s">
        <v>104</v>
      </c>
      <c r="AJ6" s="75" t="s">
        <v>236</v>
      </c>
      <c r="AK6" s="75"/>
      <c r="AL6" s="75"/>
      <c r="AM6" s="75"/>
      <c r="AN6" s="75"/>
      <c r="AO6" s="75"/>
      <c r="AP6" s="75"/>
      <c r="AQ6" s="75"/>
      <c r="AR6" s="75"/>
      <c r="AS6" s="75"/>
      <c r="AT6" s="75"/>
      <c r="AU6" s="75"/>
      <c r="AV6" s="75"/>
      <c r="AW6" s="75"/>
      <c r="AX6" s="75"/>
      <c r="AY6" s="75"/>
      <c r="BJ6" s="35"/>
      <c r="BL6" s="35"/>
      <c r="BN6" s="35"/>
      <c r="BP6" s="35"/>
    </row>
    <row r="7" spans="1:87" s="10" customFormat="1" ht="14.25" hidden="1" customHeight="1" outlineLevel="1" x14ac:dyDescent="0.4">
      <c r="F7" s="22"/>
      <c r="G7" s="22"/>
      <c r="H7" s="22"/>
      <c r="I7" s="22"/>
      <c r="J7" s="22"/>
      <c r="K7" s="25"/>
      <c r="L7" s="22"/>
      <c r="M7" s="22"/>
      <c r="N7" s="22"/>
      <c r="O7" s="22"/>
      <c r="P7" s="17"/>
      <c r="Q7" s="17"/>
      <c r="R7" s="17"/>
      <c r="S7" s="17"/>
      <c r="T7" s="17"/>
      <c r="U7" s="17"/>
      <c r="V7" s="17"/>
      <c r="W7" s="17"/>
      <c r="X7" s="17"/>
      <c r="Y7" s="17"/>
      <c r="Z7" s="17"/>
      <c r="AA7"/>
      <c r="AB7"/>
      <c r="AC7"/>
      <c r="AD7"/>
      <c r="AE7"/>
      <c r="AF7"/>
      <c r="AG7"/>
      <c r="AH7"/>
      <c r="AI7" s="31" t="s">
        <v>4</v>
      </c>
      <c r="AJ7" s="73" t="s">
        <v>237</v>
      </c>
      <c r="AK7" s="73"/>
      <c r="AL7" s="73"/>
      <c r="AM7" s="73"/>
      <c r="AN7" s="73"/>
      <c r="AO7" s="73"/>
      <c r="AP7" s="73"/>
      <c r="AQ7" s="73"/>
      <c r="AR7" s="73"/>
      <c r="AS7" s="73"/>
      <c r="AT7" s="73"/>
      <c r="AU7" s="73"/>
      <c r="AV7" s="73"/>
      <c r="AW7" s="73"/>
      <c r="AX7" s="73"/>
      <c r="AY7" s="73"/>
      <c r="BJ7" s="35"/>
      <c r="BL7" s="35"/>
      <c r="BN7" s="35"/>
      <c r="BP7" s="35"/>
    </row>
    <row r="8" spans="1:87" s="10" customFormat="1" ht="14.25" hidden="1" customHeight="1" outlineLevel="1" x14ac:dyDescent="0.4">
      <c r="F8" s="22"/>
      <c r="G8" s="22"/>
      <c r="H8" s="22"/>
      <c r="I8" s="22"/>
      <c r="J8" s="22"/>
      <c r="K8" s="25"/>
      <c r="L8" s="22"/>
      <c r="M8" s="22"/>
      <c r="N8" s="22"/>
      <c r="O8" s="22"/>
      <c r="P8" s="17"/>
      <c r="Q8" s="17"/>
      <c r="R8" s="17"/>
      <c r="S8" s="17"/>
      <c r="T8" s="17"/>
      <c r="U8" s="17"/>
      <c r="V8" s="17"/>
      <c r="W8" s="17"/>
      <c r="X8" s="17"/>
      <c r="Y8" s="17"/>
      <c r="Z8" s="17"/>
      <c r="AA8"/>
      <c r="AB8"/>
      <c r="AC8"/>
      <c r="AD8"/>
      <c r="AE8"/>
      <c r="AF8"/>
      <c r="AG8"/>
      <c r="AH8"/>
      <c r="AI8" s="31" t="s">
        <v>3</v>
      </c>
      <c r="AJ8" s="73" t="s">
        <v>238</v>
      </c>
      <c r="AK8" s="73"/>
      <c r="AL8" s="73"/>
      <c r="AM8" s="73"/>
      <c r="AN8" s="73"/>
      <c r="AO8" s="73"/>
      <c r="AP8" s="73"/>
      <c r="AQ8" s="73"/>
      <c r="AR8" s="73"/>
      <c r="AS8" s="73"/>
      <c r="AT8" s="73"/>
      <c r="AU8" s="73"/>
      <c r="AV8" s="73"/>
      <c r="AW8" s="73"/>
      <c r="AX8" s="73"/>
      <c r="AY8" s="73"/>
      <c r="BJ8" s="35"/>
      <c r="BL8" s="35"/>
      <c r="BN8" s="35"/>
      <c r="BP8" s="35"/>
    </row>
    <row r="9" spans="1:87" s="10" customFormat="1" ht="14.25" hidden="1" customHeight="1" outlineLevel="1" x14ac:dyDescent="0.4">
      <c r="F9" s="22"/>
      <c r="G9" s="22"/>
      <c r="H9" s="22"/>
      <c r="I9" s="22"/>
      <c r="J9" s="22"/>
      <c r="K9" s="25"/>
      <c r="L9" s="22"/>
      <c r="M9" s="22"/>
      <c r="N9" s="22"/>
      <c r="O9" s="22"/>
      <c r="P9" s="17"/>
      <c r="Q9" s="17"/>
      <c r="R9" s="17"/>
      <c r="S9" s="17"/>
      <c r="T9" s="17"/>
      <c r="U9" s="17"/>
      <c r="V9" s="17"/>
      <c r="W9" s="17"/>
      <c r="X9" s="17"/>
      <c r="Y9" s="17"/>
      <c r="Z9" s="17"/>
      <c r="AA9"/>
      <c r="AB9"/>
      <c r="AC9"/>
      <c r="AD9"/>
      <c r="AE9"/>
      <c r="AF9"/>
      <c r="AG9"/>
      <c r="AH9"/>
      <c r="AI9" s="32" t="s">
        <v>226</v>
      </c>
      <c r="AJ9" s="74" t="s">
        <v>239</v>
      </c>
      <c r="AK9" s="74"/>
      <c r="AL9" s="74"/>
      <c r="AM9" s="74"/>
      <c r="AN9" s="74"/>
      <c r="AO9" s="74"/>
      <c r="AP9" s="74"/>
      <c r="AQ9" s="74"/>
      <c r="AR9" s="74"/>
      <c r="AS9" s="74"/>
      <c r="AT9" s="74"/>
      <c r="AU9" s="74"/>
      <c r="AV9" s="74"/>
      <c r="AW9" s="74"/>
      <c r="AX9" s="74"/>
      <c r="AY9" s="74"/>
      <c r="BJ9" s="35"/>
      <c r="BL9" s="35"/>
      <c r="BN9" s="35"/>
      <c r="BP9" s="35"/>
    </row>
    <row r="10" spans="1:87" s="10" customFormat="1" ht="14.25" hidden="1" customHeight="1" outlineLevel="1" x14ac:dyDescent="0.4">
      <c r="F10" s="22"/>
      <c r="G10" s="22"/>
      <c r="H10" s="22"/>
      <c r="I10" s="22"/>
      <c r="J10" s="22"/>
      <c r="K10" s="25"/>
      <c r="L10" s="22"/>
      <c r="M10" s="22"/>
      <c r="N10" s="22"/>
      <c r="O10" s="22"/>
      <c r="P10" s="17"/>
      <c r="Q10" s="17"/>
      <c r="R10" s="17"/>
      <c r="S10" s="17"/>
      <c r="T10" s="17"/>
      <c r="U10" s="17"/>
      <c r="V10" s="17"/>
      <c r="W10" s="17"/>
      <c r="X10" s="17"/>
      <c r="Y10" s="17"/>
      <c r="Z10" s="17"/>
      <c r="AA10"/>
      <c r="AB10"/>
      <c r="AC10"/>
      <c r="AD10"/>
      <c r="AE10"/>
      <c r="AF10"/>
      <c r="AG10"/>
      <c r="AH10"/>
      <c r="AI10" s="32" t="s">
        <v>227</v>
      </c>
      <c r="AJ10" s="74" t="s">
        <v>240</v>
      </c>
      <c r="AK10" s="74"/>
      <c r="AL10" s="74"/>
      <c r="AM10" s="74"/>
      <c r="AN10" s="74"/>
      <c r="AO10" s="74"/>
      <c r="AP10" s="74"/>
      <c r="AQ10" s="74"/>
      <c r="AR10" s="74"/>
      <c r="AS10" s="74"/>
      <c r="AT10" s="74"/>
      <c r="AU10" s="74"/>
      <c r="AV10" s="74"/>
      <c r="AW10" s="74"/>
      <c r="AX10" s="74"/>
      <c r="AY10" s="74"/>
      <c r="BJ10" s="35"/>
      <c r="BL10" s="35"/>
      <c r="BN10" s="35"/>
      <c r="BP10" s="35"/>
    </row>
    <row r="11" spans="1:87" s="10" customFormat="1" ht="14.25" hidden="1" customHeight="1" outlineLevel="1" x14ac:dyDescent="0.4">
      <c r="F11" s="22"/>
      <c r="G11" s="22"/>
      <c r="H11" s="22"/>
      <c r="I11" s="22"/>
      <c r="J11" s="22"/>
      <c r="K11" s="25"/>
      <c r="L11" s="22"/>
      <c r="M11" s="22"/>
      <c r="N11" s="22"/>
      <c r="O11" s="22"/>
      <c r="P11" s="17"/>
      <c r="Q11" s="17"/>
      <c r="R11" s="17"/>
      <c r="S11" s="17"/>
      <c r="T11" s="17"/>
      <c r="U11" s="17"/>
      <c r="V11" s="17"/>
      <c r="W11" s="17"/>
      <c r="X11" s="17"/>
      <c r="Y11" s="17"/>
      <c r="Z11" s="17"/>
      <c r="AA11"/>
      <c r="AB11"/>
      <c r="AC11"/>
      <c r="AD11"/>
      <c r="AE11"/>
      <c r="AF11"/>
      <c r="AG11"/>
      <c r="AH11"/>
      <c r="AI11" s="32" t="s">
        <v>228</v>
      </c>
      <c r="AJ11" s="74" t="s">
        <v>241</v>
      </c>
      <c r="AK11" s="74"/>
      <c r="AL11" s="74"/>
      <c r="AM11" s="74"/>
      <c r="AN11" s="74"/>
      <c r="AO11" s="74"/>
      <c r="AP11" s="74"/>
      <c r="AQ11" s="74"/>
      <c r="AR11" s="74"/>
      <c r="AS11" s="74"/>
      <c r="AT11" s="74"/>
      <c r="AU11" s="74"/>
      <c r="AV11" s="74"/>
      <c r="AW11" s="74"/>
      <c r="AX11" s="74"/>
      <c r="AY11" s="74"/>
      <c r="BJ11" s="35"/>
      <c r="BL11" s="35"/>
      <c r="BN11" s="35"/>
      <c r="BP11" s="35"/>
    </row>
    <row r="12" spans="1:87" s="10" customFormat="1" ht="14.25" hidden="1" customHeight="1" outlineLevel="1" x14ac:dyDescent="0.4">
      <c r="F12" s="22"/>
      <c r="G12" s="22"/>
      <c r="H12" s="22"/>
      <c r="I12" s="22"/>
      <c r="J12" s="22"/>
      <c r="K12" s="25"/>
      <c r="L12" s="22"/>
      <c r="M12" s="22"/>
      <c r="N12" s="22"/>
      <c r="O12" s="22"/>
      <c r="P12" s="17"/>
      <c r="Q12" s="17"/>
      <c r="R12" s="17"/>
      <c r="S12" s="17"/>
      <c r="T12" s="17"/>
      <c r="U12" s="17"/>
      <c r="V12" s="17"/>
      <c r="W12" s="17"/>
      <c r="X12" s="17"/>
      <c r="Y12" s="17"/>
      <c r="Z12" s="17"/>
      <c r="AA12"/>
      <c r="AB12"/>
      <c r="AC12"/>
      <c r="AD12"/>
      <c r="AE12"/>
      <c r="AF12"/>
      <c r="AG12"/>
      <c r="AH12"/>
      <c r="AI12" s="32" t="s">
        <v>229</v>
      </c>
      <c r="AJ12" s="74" t="s">
        <v>242</v>
      </c>
      <c r="AK12" s="74"/>
      <c r="AL12" s="74"/>
      <c r="AM12" s="74"/>
      <c r="AN12" s="74"/>
      <c r="AO12" s="74"/>
      <c r="AP12" s="74"/>
      <c r="AQ12" s="74"/>
      <c r="AR12" s="74"/>
      <c r="AS12" s="74"/>
      <c r="AT12" s="74"/>
      <c r="AU12" s="74"/>
      <c r="AV12" s="74"/>
      <c r="AW12" s="74"/>
      <c r="AX12" s="74"/>
      <c r="AY12" s="74"/>
      <c r="BJ12" s="35"/>
      <c r="BL12" s="35"/>
      <c r="BN12" s="35"/>
      <c r="BP12" s="35"/>
    </row>
    <row r="13" spans="1:87" s="10" customFormat="1" ht="14.25" hidden="1" customHeight="1" outlineLevel="1" x14ac:dyDescent="0.4">
      <c r="F13" s="22"/>
      <c r="G13" s="22"/>
      <c r="H13" s="22"/>
      <c r="I13" s="22"/>
      <c r="J13" s="22"/>
      <c r="K13" s="25"/>
      <c r="L13" s="22"/>
      <c r="M13" s="22"/>
      <c r="N13" s="22"/>
      <c r="O13" s="22"/>
      <c r="P13" s="17"/>
      <c r="Q13" s="17"/>
      <c r="R13" s="17"/>
      <c r="S13" s="17"/>
      <c r="T13" s="17"/>
      <c r="U13" s="17"/>
      <c r="V13" s="17"/>
      <c r="W13" s="17"/>
      <c r="X13" s="17"/>
      <c r="Y13" s="17"/>
      <c r="Z13" s="17"/>
      <c r="AA13"/>
      <c r="AB13"/>
      <c r="AC13"/>
      <c r="AD13"/>
      <c r="AE13"/>
      <c r="AF13"/>
      <c r="AG13"/>
      <c r="AH13"/>
      <c r="AI13" s="33" t="s">
        <v>230</v>
      </c>
      <c r="AJ13" s="72" t="s">
        <v>243</v>
      </c>
      <c r="AK13" s="72"/>
      <c r="AL13" s="72"/>
      <c r="AM13" s="72"/>
      <c r="AN13" s="72"/>
      <c r="AO13" s="72"/>
      <c r="AP13" s="72"/>
      <c r="AQ13" s="72"/>
      <c r="AR13" s="72"/>
      <c r="AS13" s="72"/>
      <c r="AT13" s="72"/>
      <c r="AU13" s="72"/>
      <c r="AV13" s="72"/>
      <c r="AW13" s="72"/>
      <c r="AX13" s="72"/>
      <c r="AY13" s="72"/>
      <c r="BJ13" s="35"/>
      <c r="BL13" s="35"/>
      <c r="BN13" s="35"/>
      <c r="BP13" s="35"/>
    </row>
    <row r="14" spans="1:87" s="10" customFormat="1" ht="14.25" hidden="1" customHeight="1" outlineLevel="1" x14ac:dyDescent="0.4">
      <c r="F14" s="22"/>
      <c r="G14" s="22"/>
      <c r="H14" s="22"/>
      <c r="I14" s="22"/>
      <c r="J14" s="22"/>
      <c r="K14" s="25"/>
      <c r="L14" s="22"/>
      <c r="M14" s="22"/>
      <c r="N14" s="22"/>
      <c r="O14" s="22"/>
      <c r="P14" s="17"/>
      <c r="Q14" s="17"/>
      <c r="R14" s="17"/>
      <c r="S14" s="17"/>
      <c r="T14" s="17"/>
      <c r="U14" s="17"/>
      <c r="V14" s="17"/>
      <c r="W14" s="17"/>
      <c r="X14" s="17"/>
      <c r="Y14" s="17"/>
      <c r="Z14" s="17"/>
      <c r="AA14"/>
      <c r="AB14"/>
      <c r="AC14"/>
      <c r="AD14"/>
      <c r="AE14"/>
      <c r="AF14"/>
      <c r="AG14"/>
      <c r="AH14"/>
      <c r="AI14" s="33" t="s">
        <v>5</v>
      </c>
      <c r="AJ14" s="72" t="s">
        <v>244</v>
      </c>
      <c r="AK14" s="72"/>
      <c r="AL14" s="72"/>
      <c r="AM14" s="72"/>
      <c r="AN14" s="72"/>
      <c r="AO14" s="72"/>
      <c r="AP14" s="72"/>
      <c r="AQ14" s="72"/>
      <c r="AR14" s="72"/>
      <c r="AS14" s="72"/>
      <c r="AT14" s="72"/>
      <c r="AU14" s="72"/>
      <c r="AV14" s="72"/>
      <c r="AW14" s="72"/>
      <c r="AX14" s="72"/>
      <c r="AY14" s="72"/>
      <c r="BJ14" s="35"/>
      <c r="BL14" s="35"/>
      <c r="BN14" s="35"/>
      <c r="BP14" s="35"/>
    </row>
    <row r="15" spans="1:87" s="10" customFormat="1" ht="14.25" hidden="1" customHeight="1" outlineLevel="1" x14ac:dyDescent="0.4">
      <c r="F15" s="22"/>
      <c r="G15" s="22"/>
      <c r="H15" s="22"/>
      <c r="I15" s="22"/>
      <c r="J15" s="22"/>
      <c r="K15" s="25"/>
      <c r="L15" s="22"/>
      <c r="M15" s="22"/>
      <c r="N15" s="22"/>
      <c r="O15" s="22"/>
      <c r="P15" s="17"/>
      <c r="Q15" s="17"/>
      <c r="R15" s="17"/>
      <c r="S15" s="17"/>
      <c r="T15" s="17"/>
      <c r="U15" s="17"/>
      <c r="V15" s="17"/>
      <c r="W15" s="17"/>
      <c r="X15" s="17"/>
      <c r="Y15" s="17"/>
      <c r="Z15" s="17"/>
      <c r="AA15"/>
      <c r="AB15"/>
      <c r="AC15"/>
      <c r="AD15"/>
      <c r="AE15"/>
      <c r="AF15"/>
      <c r="AG15"/>
      <c r="AH15"/>
      <c r="AI15" s="33" t="s">
        <v>991</v>
      </c>
      <c r="AJ15" s="72" t="s">
        <v>245</v>
      </c>
      <c r="AK15" s="72"/>
      <c r="AL15" s="72"/>
      <c r="AM15" s="72"/>
      <c r="AN15" s="72"/>
      <c r="AO15" s="72"/>
      <c r="AP15" s="72"/>
      <c r="AQ15" s="72"/>
      <c r="AR15" s="72"/>
      <c r="AS15" s="72"/>
      <c r="AT15" s="72"/>
      <c r="AU15" s="72"/>
      <c r="AV15" s="72"/>
      <c r="AW15" s="72"/>
      <c r="AX15" s="72"/>
      <c r="AY15" s="72"/>
      <c r="BJ15" s="35"/>
      <c r="BL15" s="35"/>
      <c r="BN15" s="35"/>
      <c r="BP15" s="35"/>
    </row>
    <row r="16" spans="1:87" s="10" customFormat="1" ht="14.25" hidden="1" customHeight="1" outlineLevel="1" x14ac:dyDescent="0.4">
      <c r="F16" s="22"/>
      <c r="G16" s="22"/>
      <c r="H16" s="22"/>
      <c r="I16" s="22"/>
      <c r="J16" s="22"/>
      <c r="K16" s="25"/>
      <c r="L16" s="22"/>
      <c r="M16" s="22"/>
      <c r="N16" s="22"/>
      <c r="O16" s="22"/>
      <c r="P16" s="17"/>
      <c r="Q16" s="17"/>
      <c r="R16" s="17"/>
      <c r="S16" s="17"/>
      <c r="T16" s="17"/>
      <c r="U16" s="17"/>
      <c r="V16" s="17"/>
      <c r="W16" s="17"/>
      <c r="X16" s="17"/>
      <c r="Y16" s="17"/>
      <c r="Z16" s="17"/>
      <c r="AA16"/>
      <c r="AB16"/>
      <c r="AC16"/>
      <c r="AD16"/>
      <c r="AE16"/>
      <c r="AF16"/>
      <c r="AG16"/>
      <c r="AH16"/>
      <c r="AI16" s="33" t="s">
        <v>6</v>
      </c>
      <c r="AJ16" s="72" t="s">
        <v>246</v>
      </c>
      <c r="AK16" s="72"/>
      <c r="AL16" s="72"/>
      <c r="AM16" s="72"/>
      <c r="AN16" s="72"/>
      <c r="AO16" s="72"/>
      <c r="AP16" s="72"/>
      <c r="AQ16" s="72"/>
      <c r="AR16" s="72"/>
      <c r="AS16" s="72"/>
      <c r="AT16" s="72"/>
      <c r="AU16" s="72"/>
      <c r="AV16" s="72"/>
      <c r="AW16" s="72"/>
      <c r="AX16" s="72"/>
      <c r="AY16" s="72"/>
      <c r="BJ16" s="35"/>
      <c r="BL16" s="35"/>
      <c r="BN16" s="35"/>
      <c r="BP16" s="35"/>
    </row>
    <row r="17" spans="1:87" collapsed="1" x14ac:dyDescent="0.4">
      <c r="BS17" s="3" t="s">
        <v>901</v>
      </c>
      <c r="BT17" s="53" t="s">
        <v>474</v>
      </c>
      <c r="BU17" s="53" t="s">
        <v>475</v>
      </c>
      <c r="BV17" s="53" t="s">
        <v>476</v>
      </c>
      <c r="BW17" s="53" t="s">
        <v>477</v>
      </c>
    </row>
    <row r="18" spans="1:87" x14ac:dyDescent="0.4">
      <c r="A18" t="s">
        <v>55</v>
      </c>
      <c r="C18" t="s">
        <v>60</v>
      </c>
      <c r="D18" t="str">
        <f>SUM(AI18:AW18,F18:N18)&amp;"/"&amp;SUM(F18:N18)&amp;"/"&amp;SUM(AI18:AW18)</f>
        <v>850/535/315</v>
      </c>
      <c r="E18">
        <v>1</v>
      </c>
      <c r="F18">
        <v>75</v>
      </c>
      <c r="G18">
        <v>0</v>
      </c>
      <c r="H18">
        <v>75</v>
      </c>
      <c r="I18">
        <v>70</v>
      </c>
      <c r="J18">
        <v>70</v>
      </c>
      <c r="K18" s="24">
        <v>25</v>
      </c>
      <c r="L18">
        <v>70</v>
      </c>
      <c r="M18">
        <v>70</v>
      </c>
      <c r="N18">
        <v>80</v>
      </c>
      <c r="O18">
        <v>170</v>
      </c>
      <c r="AI18">
        <v>35</v>
      </c>
      <c r="AJ18">
        <v>35</v>
      </c>
      <c r="AK18">
        <v>35</v>
      </c>
      <c r="AL18">
        <v>35</v>
      </c>
      <c r="AM18">
        <v>35</v>
      </c>
      <c r="AN18">
        <v>35</v>
      </c>
      <c r="AO18">
        <v>35</v>
      </c>
      <c r="AT18">
        <v>35</v>
      </c>
      <c r="AU18">
        <v>35</v>
      </c>
      <c r="AX18" t="str">
        <f>IF($A18="","", INDEX(CS!$B$1:$B$12903,MATCH($A18,CS!$B:$B,0)+COLUMN(A$1),1))</f>
        <v>エルフ</v>
      </c>
      <c r="AY18" t="str">
        <f>IF($A18="","", INDEX(CS!$B$1:$B$12903,MATCH($A18,CS!$B:$B,0)+COLUMN(B$1),1))</f>
        <v>ドワーフ</v>
      </c>
      <c r="AZ18">
        <f>IF($A18="","", INDEX(CS!$B$1:$B$12903,MATCH($A18,CS!$B:$B,0)+COLUMN(C$1),1))</f>
        <v>0</v>
      </c>
      <c r="BA18" t="str">
        <f>IF($A18="","", INDEX(CS!$B$1:$B$12903,MATCH($A18,CS!$B:$B,0)+COLUMN(D$1),1))</f>
        <v>ビーストマン</v>
      </c>
      <c r="BB18">
        <f>IF($A18="","", INDEX(CS!$B$1:$B$12903,MATCH($A18,CS!$B:$B,0)+COLUMN(E$1),1))</f>
        <v>0</v>
      </c>
      <c r="BC18">
        <f>IF($A18="","", INDEX(CS!$B$1:$B$12903,MATCH($A18,CS!$B:$B,0)+COLUMN(F$1),1))</f>
        <v>0</v>
      </c>
      <c r="BD18">
        <f>IF($A18="","", INDEX(CS!$B$1:$B$12903,MATCH($A18,CS!$B:$B,0)+COLUMN(G$1),1))</f>
        <v>0</v>
      </c>
      <c r="BE18">
        <f>IF($A18="","", INDEX(CS!$B$1:$B$12903,MATCH($A18,CS!$B:$B,0)+COLUMN(H$1),1))</f>
        <v>0</v>
      </c>
      <c r="BF18">
        <f>IF($A18="","", INDEX(CS!$B$1:$B$12903,MATCH($A18,CS!$B:$B,0)+COLUMN(I$1),1))</f>
        <v>0</v>
      </c>
      <c r="BG18">
        <f>IF($A18="","", INDEX(CS!$B$1:$B$12903,MATCH($A18,CS!$B:$B,0)+COLUMN(J$1),1))</f>
        <v>0</v>
      </c>
      <c r="BR18" t="s">
        <v>904</v>
      </c>
      <c r="BS18" s="53">
        <v>100</v>
      </c>
      <c r="BT18" s="52">
        <v>40</v>
      </c>
      <c r="BU18" s="52">
        <v>30</v>
      </c>
      <c r="BV18" s="52">
        <v>20</v>
      </c>
      <c r="BW18" s="52">
        <v>10</v>
      </c>
      <c r="CI18" t="s">
        <v>984</v>
      </c>
    </row>
    <row r="19" spans="1:87" outlineLevel="1" x14ac:dyDescent="0.4">
      <c r="A19" t="s">
        <v>57</v>
      </c>
      <c r="C19" t="s">
        <v>60</v>
      </c>
      <c r="D19" t="str">
        <f t="shared" ref="D19:D34" si="0">SUM(AI19:AW19,F19:N19)&amp;"/"&amp;SUM(F19:N19)&amp;"/"&amp;SUM(AI19:AW19)</f>
        <v>850/535/315</v>
      </c>
      <c r="E19">
        <v>1</v>
      </c>
      <c r="F19">
        <v>65</v>
      </c>
      <c r="G19">
        <v>15</v>
      </c>
      <c r="H19">
        <v>60</v>
      </c>
      <c r="I19">
        <v>65</v>
      </c>
      <c r="J19">
        <v>70</v>
      </c>
      <c r="K19" s="24">
        <v>25</v>
      </c>
      <c r="L19">
        <v>70</v>
      </c>
      <c r="M19">
        <v>85</v>
      </c>
      <c r="N19">
        <v>80</v>
      </c>
      <c r="O19">
        <v>170</v>
      </c>
      <c r="AI19">
        <v>35</v>
      </c>
      <c r="AK19">
        <v>35</v>
      </c>
      <c r="AL19">
        <v>35</v>
      </c>
      <c r="AN19">
        <v>35</v>
      </c>
      <c r="AO19">
        <v>35</v>
      </c>
      <c r="AP19">
        <v>35</v>
      </c>
      <c r="AQ19">
        <v>35</v>
      </c>
      <c r="AT19">
        <v>35</v>
      </c>
      <c r="AW19">
        <v>35</v>
      </c>
      <c r="AX19" t="str">
        <f>IF($A19="","", INDEX(CS!$B$1:$B$12903,MATCH($A19,CS!$B:$B,0)+COLUMN(A$1),1))</f>
        <v>ドワーフ</v>
      </c>
      <c r="AY19">
        <f>IF($A19="","", INDEX(CS!$B$1:$B$12903,MATCH($A19,CS!$B:$B,0)+COLUMN(B$1),1))</f>
        <v>0</v>
      </c>
      <c r="AZ19" t="str">
        <f>IF($A19="","", INDEX(CS!$B$1:$B$12903,MATCH($A19,CS!$B:$B,0)+COLUMN(C$1),1))</f>
        <v>ビーストマン</v>
      </c>
      <c r="BA19">
        <f>IF($A19="","", INDEX(CS!$B$1:$B$12903,MATCH($A19,CS!$B:$B,0)+COLUMN(D$1),1))</f>
        <v>0</v>
      </c>
      <c r="BB19">
        <f>IF($A19="","", INDEX(CS!$B$1:$B$12903,MATCH($A19,CS!$B:$B,0)+COLUMN(E$1),1))</f>
        <v>0</v>
      </c>
      <c r="BC19">
        <f>IF($A19="","", INDEX(CS!$B$1:$B$12903,MATCH($A19,CS!$B:$B,0)+COLUMN(F$1),1))</f>
        <v>0</v>
      </c>
      <c r="BD19">
        <f>IF($A19="","", INDEX(CS!$B$1:$B$12903,MATCH($A19,CS!$B:$B,0)+COLUMN(G$1),1))</f>
        <v>0</v>
      </c>
      <c r="BE19">
        <f>IF($A19="","", INDEX(CS!$B$1:$B$12903,MATCH($A19,CS!$B:$B,0)+COLUMN(H$1),1))</f>
        <v>0</v>
      </c>
      <c r="BF19">
        <f>IF($A19="","", INDEX(CS!$B$1:$B$12903,MATCH($A19,CS!$B:$B,0)+COLUMN(I$1),1))</f>
        <v>0</v>
      </c>
      <c r="BG19">
        <f>IF($A19="","", INDEX(CS!$B$1:$B$12903,MATCH($A19,CS!$B:$B,0)+COLUMN(J$1),1))</f>
        <v>0</v>
      </c>
      <c r="BR19" t="s">
        <v>904</v>
      </c>
      <c r="BS19" s="53">
        <v>100</v>
      </c>
      <c r="BT19" s="52">
        <v>20</v>
      </c>
      <c r="BU19" s="52">
        <v>50</v>
      </c>
      <c r="BV19" s="52">
        <v>10</v>
      </c>
      <c r="BW19" s="52">
        <v>20</v>
      </c>
      <c r="CI19" t="s">
        <v>876</v>
      </c>
    </row>
    <row r="20" spans="1:87" outlineLevel="1" x14ac:dyDescent="0.4">
      <c r="A20" t="s">
        <v>59</v>
      </c>
      <c r="C20" t="s">
        <v>60</v>
      </c>
      <c r="D20" t="str">
        <f t="shared" si="0"/>
        <v>850/535/315</v>
      </c>
      <c r="E20">
        <v>1</v>
      </c>
      <c r="F20">
        <v>85</v>
      </c>
      <c r="G20">
        <v>0</v>
      </c>
      <c r="H20">
        <v>75</v>
      </c>
      <c r="I20">
        <v>80</v>
      </c>
      <c r="J20">
        <v>80</v>
      </c>
      <c r="K20" s="24">
        <v>25</v>
      </c>
      <c r="L20">
        <v>60</v>
      </c>
      <c r="M20">
        <v>50</v>
      </c>
      <c r="N20">
        <v>80</v>
      </c>
      <c r="O20">
        <v>140</v>
      </c>
      <c r="AI20">
        <v>35</v>
      </c>
      <c r="AJ20">
        <v>35</v>
      </c>
      <c r="AM20">
        <v>35</v>
      </c>
      <c r="AN20">
        <v>35</v>
      </c>
      <c r="AO20">
        <v>35</v>
      </c>
      <c r="AS20">
        <v>35</v>
      </c>
      <c r="AT20">
        <v>35</v>
      </c>
      <c r="AU20">
        <v>35</v>
      </c>
      <c r="AV20">
        <v>35</v>
      </c>
      <c r="AX20">
        <f>IF($A20="","", INDEX(CS!$B$1:$B$12903,MATCH($A20,CS!$B:$B,0)+COLUMN(A$1),1))</f>
        <v>0</v>
      </c>
      <c r="AY20" t="str">
        <f>IF($A20="","", INDEX(CS!$B$1:$B$12903,MATCH($A20,CS!$B:$B,0)+COLUMN(B$1),1))</f>
        <v>ビーストマン</v>
      </c>
      <c r="AZ20">
        <f>IF($A20="","", INDEX(CS!$B$1:$B$12903,MATCH($A20,CS!$B:$B,0)+COLUMN(C$1),1))</f>
        <v>0</v>
      </c>
      <c r="BA20">
        <f>IF($A20="","", INDEX(CS!$B$1:$B$12903,MATCH($A20,CS!$B:$B,0)+COLUMN(D$1),1))</f>
        <v>0</v>
      </c>
      <c r="BB20">
        <f>IF($A20="","", INDEX(CS!$B$1:$B$12903,MATCH($A20,CS!$B:$B,0)+COLUMN(E$1),1))</f>
        <v>0</v>
      </c>
      <c r="BC20">
        <f>IF($A20="","", INDEX(CS!$B$1:$B$12903,MATCH($A20,CS!$B:$B,0)+COLUMN(F$1),1))</f>
        <v>0</v>
      </c>
      <c r="BD20">
        <f>IF($A20="","", INDEX(CS!$B$1:$B$12903,MATCH($A20,CS!$B:$B,0)+COLUMN(G$1),1))</f>
        <v>0</v>
      </c>
      <c r="BE20">
        <f>IF($A20="","", INDEX(CS!$B$1:$B$12903,MATCH($A20,CS!$B:$B,0)+COLUMN(H$1),1))</f>
        <v>0</v>
      </c>
      <c r="BF20">
        <f>IF($A20="","", INDEX(CS!$B$1:$B$12903,MATCH($A20,CS!$B:$B,0)+COLUMN(I$1),1))</f>
        <v>0</v>
      </c>
      <c r="BG20">
        <f>IF($A20="","", INDEX(CS!$B$1:$B$12903,MATCH($A20,CS!$B:$B,0)+COLUMN(J$1),1))</f>
        <v>0</v>
      </c>
      <c r="BR20" t="s">
        <v>904</v>
      </c>
      <c r="BS20" s="53">
        <v>100</v>
      </c>
      <c r="BT20" s="52">
        <v>30</v>
      </c>
      <c r="BU20" s="52">
        <v>20</v>
      </c>
      <c r="BV20" s="52">
        <v>40</v>
      </c>
      <c r="BW20" s="52">
        <v>10</v>
      </c>
      <c r="CI20" t="s">
        <v>985</v>
      </c>
    </row>
    <row r="21" spans="1:87" outlineLevel="1" x14ac:dyDescent="0.4">
      <c r="D21" t="str">
        <f t="shared" si="0"/>
        <v>0/0/0</v>
      </c>
      <c r="AX21" t="str">
        <f>IF($A21="","", INDEX(CS!$B$1:$B$12903,MATCH($A21,CS!$B:$B,0)+COLUMN(A$1),1))</f>
        <v/>
      </c>
      <c r="AY21" t="str">
        <f>IF($A21="","", INDEX(CS!$B$1:$B$12903,MATCH($A21,CS!$B:$B,0)+COLUMN(B$1),1))</f>
        <v/>
      </c>
      <c r="AZ21" t="str">
        <f>IF($A21="","", INDEX(CS!$B$1:$B$12903,MATCH($A21,CS!$B:$B,0)+COLUMN(C$1),1))</f>
        <v/>
      </c>
      <c r="BA21" t="str">
        <f>IF($A21="","", INDEX(CS!$B$1:$B$12903,MATCH($A21,CS!$B:$B,0)+COLUMN(D$1),1))</f>
        <v/>
      </c>
      <c r="BB21" t="str">
        <f>IF($A21="","", INDEX(CS!$B$1:$B$12903,MATCH($A21,CS!$B:$B,0)+COLUMN(E$1),1))</f>
        <v/>
      </c>
      <c r="BC21" t="str">
        <f>IF($A21="","", INDEX(CS!$B$1:$B$12903,MATCH($A21,CS!$B:$B,0)+COLUMN(F$1),1))</f>
        <v/>
      </c>
      <c r="BD21" t="str">
        <f>IF($A21="","", INDEX(CS!$B$1:$B$12903,MATCH($A21,CS!$B:$B,0)+COLUMN(G$1),1))</f>
        <v/>
      </c>
      <c r="BE21" t="str">
        <f>IF($A21="","", INDEX(CS!$B$1:$B$12903,MATCH($A21,CS!$B:$B,0)+COLUMN(H$1),1))</f>
        <v/>
      </c>
      <c r="BF21" t="str">
        <f>IF($A21="","", INDEX(CS!$B$1:$B$12903,MATCH($A21,CS!$B:$B,0)+COLUMN(I$1),1))</f>
        <v/>
      </c>
      <c r="BG21" t="str">
        <f>IF($A21="","", INDEX(CS!$B$1:$B$12903,MATCH($A21,CS!$B:$B,0)+COLUMN(J$1),1))</f>
        <v/>
      </c>
      <c r="BS21" s="53"/>
      <c r="BT21" s="52"/>
      <c r="BU21" s="52"/>
      <c r="BV21" s="52"/>
      <c r="BW21" s="52"/>
    </row>
    <row r="22" spans="1:87" outlineLevel="1" x14ac:dyDescent="0.4">
      <c r="A22" t="s">
        <v>53</v>
      </c>
      <c r="C22" t="s">
        <v>61</v>
      </c>
      <c r="D22" t="str">
        <f t="shared" si="0"/>
        <v>795/575/220</v>
      </c>
      <c r="E22">
        <v>1</v>
      </c>
      <c r="F22">
        <v>85</v>
      </c>
      <c r="G22">
        <v>10</v>
      </c>
      <c r="H22">
        <v>75</v>
      </c>
      <c r="I22">
        <v>85</v>
      </c>
      <c r="J22">
        <v>65</v>
      </c>
      <c r="K22" s="24">
        <v>35</v>
      </c>
      <c r="L22">
        <v>50</v>
      </c>
      <c r="M22">
        <v>100</v>
      </c>
      <c r="N22">
        <v>70</v>
      </c>
      <c r="AB22">
        <v>-20</v>
      </c>
      <c r="AC22">
        <v>10</v>
      </c>
      <c r="AE22">
        <v>10</v>
      </c>
      <c r="AJ22">
        <v>50</v>
      </c>
      <c r="AL22">
        <v>50</v>
      </c>
      <c r="AN22">
        <v>70</v>
      </c>
      <c r="AO22">
        <v>50</v>
      </c>
      <c r="AX22">
        <f>IF($A22="","", INDEX(CS!$B$1:$B$12903,MATCH($A22,CS!$B:$B,0)+COLUMN(A$1),1))</f>
        <v>0</v>
      </c>
      <c r="AY22">
        <f>IF($A22="","", INDEX(CS!$B$1:$B$12903,MATCH($A22,CS!$B:$B,0)+COLUMN(B$1),1))</f>
        <v>0</v>
      </c>
      <c r="AZ22">
        <f>IF($A22="","", INDEX(CS!$B$1:$B$12903,MATCH($A22,CS!$B:$B,0)+COLUMN(C$1),1))</f>
        <v>0</v>
      </c>
      <c r="BA22">
        <f>IF($A22="","", INDEX(CS!$B$1:$B$12903,MATCH($A22,CS!$B:$B,0)+COLUMN(D$1),1))</f>
        <v>0</v>
      </c>
      <c r="BB22">
        <f>IF($A22="","", INDEX(CS!$B$1:$B$12903,MATCH($A22,CS!$B:$B,0)+COLUMN(E$1),1))</f>
        <v>0</v>
      </c>
      <c r="BC22">
        <f>IF($A22="","", INDEX(CS!$B$1:$B$12903,MATCH($A22,CS!$B:$B,0)+COLUMN(F$1),1))</f>
        <v>0</v>
      </c>
      <c r="BD22">
        <f>IF($A22="","", INDEX(CS!$B$1:$B$12903,MATCH($A22,CS!$B:$B,0)+COLUMN(G$1),1))</f>
        <v>0</v>
      </c>
      <c r="BE22">
        <f>IF($A22="","", INDEX(CS!$B$1:$B$12903,MATCH($A22,CS!$B:$B,0)+COLUMN(H$1),1))</f>
        <v>0</v>
      </c>
      <c r="BF22">
        <f>IF($A22="","", INDEX(CS!$B$1:$B$12903,MATCH($A22,CS!$B:$B,0)+COLUMN(I$1),1))</f>
        <v>0</v>
      </c>
      <c r="BG22">
        <f>IF($A22="","", INDEX(CS!$B$1:$B$12903,MATCH($A22,CS!$B:$B,0)+COLUMN(J$1),1))</f>
        <v>0</v>
      </c>
      <c r="BR22" t="s">
        <v>904</v>
      </c>
      <c r="BS22" s="53">
        <v>110</v>
      </c>
      <c r="BT22" s="52">
        <v>20</v>
      </c>
      <c r="BU22" s="52">
        <v>20</v>
      </c>
      <c r="BV22" s="52">
        <v>50</v>
      </c>
      <c r="BW22" s="52">
        <v>20</v>
      </c>
      <c r="CI22" t="s">
        <v>878</v>
      </c>
    </row>
    <row r="23" spans="1:87" outlineLevel="1" x14ac:dyDescent="0.4">
      <c r="A23" t="s">
        <v>64</v>
      </c>
      <c r="C23" t="s">
        <v>61</v>
      </c>
      <c r="D23" t="str">
        <f t="shared" si="0"/>
        <v>790/570/220</v>
      </c>
      <c r="E23">
        <v>1</v>
      </c>
      <c r="F23">
        <v>90</v>
      </c>
      <c r="G23">
        <v>20</v>
      </c>
      <c r="H23">
        <v>60</v>
      </c>
      <c r="I23">
        <v>90</v>
      </c>
      <c r="J23">
        <v>75</v>
      </c>
      <c r="K23" s="24">
        <v>35</v>
      </c>
      <c r="L23">
        <v>70</v>
      </c>
      <c r="M23">
        <v>55</v>
      </c>
      <c r="N23">
        <v>75</v>
      </c>
      <c r="O23">
        <v>170</v>
      </c>
      <c r="P23" s="17">
        <v>5</v>
      </c>
      <c r="Q23" s="17">
        <v>5</v>
      </c>
      <c r="AC23">
        <v>15</v>
      </c>
      <c r="AF23">
        <v>-15</v>
      </c>
      <c r="AJ23">
        <v>75</v>
      </c>
      <c r="AK23">
        <v>45</v>
      </c>
      <c r="AL23">
        <v>25</v>
      </c>
      <c r="AO23">
        <v>50</v>
      </c>
      <c r="AV23">
        <v>25</v>
      </c>
      <c r="AX23">
        <f>IF($A23="","", INDEX(CS!$B$1:$B$12903,MATCH($A23,CS!$B:$B,0)+COLUMN(A$1),1))</f>
        <v>0</v>
      </c>
      <c r="AY23">
        <f>IF($A23="","", INDEX(CS!$B$1:$B$12903,MATCH($A23,CS!$B:$B,0)+COLUMN(B$1),1))</f>
        <v>0</v>
      </c>
      <c r="AZ23">
        <f>IF($A23="","", INDEX(CS!$B$1:$B$12903,MATCH($A23,CS!$B:$B,0)+COLUMN(C$1),1))</f>
        <v>0</v>
      </c>
      <c r="BA23">
        <f>IF($A23="","", INDEX(CS!$B$1:$B$12903,MATCH($A23,CS!$B:$B,0)+COLUMN(D$1),1))</f>
        <v>0</v>
      </c>
      <c r="BB23">
        <f>IF($A23="","", INDEX(CS!$B$1:$B$12903,MATCH($A23,CS!$B:$B,0)+COLUMN(E$1),1))</f>
        <v>0</v>
      </c>
      <c r="BC23">
        <f>IF($A23="","", INDEX(CS!$B$1:$B$12903,MATCH($A23,CS!$B:$B,0)+COLUMN(F$1),1))</f>
        <v>0</v>
      </c>
      <c r="BD23">
        <f>IF($A23="","", INDEX(CS!$B$1:$B$12903,MATCH($A23,CS!$B:$B,0)+COLUMN(G$1),1))</f>
        <v>0</v>
      </c>
      <c r="BE23">
        <f>IF($A23="","", INDEX(CS!$B$1:$B$12903,MATCH($A23,CS!$B:$B,0)+COLUMN(H$1),1))</f>
        <v>0</v>
      </c>
      <c r="BF23">
        <f>IF($A23="","", INDEX(CS!$B$1:$B$12903,MATCH($A23,CS!$B:$B,0)+COLUMN(I$1),1))</f>
        <v>0</v>
      </c>
      <c r="BG23">
        <f>IF($A23="","", INDEX(CS!$B$1:$B$12903,MATCH($A23,CS!$B:$B,0)+COLUMN(J$1),1))</f>
        <v>0</v>
      </c>
      <c r="BR23" t="s">
        <v>904</v>
      </c>
      <c r="BS23" s="53">
        <v>110</v>
      </c>
      <c r="BT23" s="52">
        <v>15</v>
      </c>
      <c r="BU23" s="52">
        <v>10</v>
      </c>
      <c r="BV23" s="52">
        <v>70</v>
      </c>
      <c r="BW23" s="52">
        <v>15</v>
      </c>
      <c r="CI23" t="s">
        <v>879</v>
      </c>
    </row>
    <row r="24" spans="1:87" outlineLevel="1" x14ac:dyDescent="0.4">
      <c r="A24" t="s">
        <v>42</v>
      </c>
      <c r="C24" t="s">
        <v>61</v>
      </c>
      <c r="D24" t="str">
        <f t="shared" si="0"/>
        <v>795/575/220</v>
      </c>
      <c r="E24">
        <v>1</v>
      </c>
      <c r="F24">
        <v>105</v>
      </c>
      <c r="G24">
        <v>10</v>
      </c>
      <c r="H24">
        <v>80</v>
      </c>
      <c r="I24">
        <v>105</v>
      </c>
      <c r="J24">
        <v>65</v>
      </c>
      <c r="K24" s="24">
        <v>50</v>
      </c>
      <c r="L24">
        <v>45</v>
      </c>
      <c r="M24">
        <v>55</v>
      </c>
      <c r="N24">
        <v>60</v>
      </c>
      <c r="O24">
        <v>300</v>
      </c>
      <c r="V24" s="17">
        <v>10</v>
      </c>
      <c r="AB24">
        <v>-15</v>
      </c>
      <c r="AC24">
        <v>15</v>
      </c>
      <c r="AF24">
        <v>-15</v>
      </c>
      <c r="AJ24">
        <v>125</v>
      </c>
      <c r="AK24">
        <v>25</v>
      </c>
      <c r="AL24">
        <v>-25</v>
      </c>
      <c r="AM24">
        <v>-25</v>
      </c>
      <c r="AN24">
        <v>25</v>
      </c>
      <c r="AO24">
        <v>25</v>
      </c>
      <c r="AT24">
        <v>15</v>
      </c>
      <c r="AU24">
        <v>15</v>
      </c>
      <c r="AV24">
        <v>40</v>
      </c>
      <c r="AX24">
        <f>IF($A24="","", INDEX(CS!$B$1:$B$12903,MATCH($A24,CS!$B:$B,0)+COLUMN(A$1),1))</f>
        <v>0</v>
      </c>
      <c r="AY24">
        <f>IF($A24="","", INDEX(CS!$B$1:$B$12903,MATCH($A24,CS!$B:$B,0)+COLUMN(B$1),1))</f>
        <v>0</v>
      </c>
      <c r="AZ24">
        <f>IF($A24="","", INDEX(CS!$B$1:$B$12903,MATCH($A24,CS!$B:$B,0)+COLUMN(C$1),1))</f>
        <v>0</v>
      </c>
      <c r="BA24">
        <f>IF($A24="","", INDEX(CS!$B$1:$B$12903,MATCH($A24,CS!$B:$B,0)+COLUMN(D$1),1))</f>
        <v>0</v>
      </c>
      <c r="BB24">
        <f>IF($A24="","", INDEX(CS!$B$1:$B$12903,MATCH($A24,CS!$B:$B,0)+COLUMN(E$1),1))</f>
        <v>0</v>
      </c>
      <c r="BC24">
        <f>IF($A24="","", INDEX(CS!$B$1:$B$12903,MATCH($A24,CS!$B:$B,0)+COLUMN(F$1),1))</f>
        <v>0</v>
      </c>
      <c r="BD24">
        <f>IF($A24="","", INDEX(CS!$B$1:$B$12903,MATCH($A24,CS!$B:$B,0)+COLUMN(G$1),1))</f>
        <v>0</v>
      </c>
      <c r="BE24">
        <f>IF($A24="","", INDEX(CS!$B$1:$B$12903,MATCH($A24,CS!$B:$B,0)+COLUMN(H$1),1))</f>
        <v>0</v>
      </c>
      <c r="BF24">
        <f>IF($A24="","", INDEX(CS!$B$1:$B$12903,MATCH($A24,CS!$B:$B,0)+COLUMN(I$1),1))</f>
        <v>0</v>
      </c>
      <c r="BG24">
        <f>IF($A24="","", INDEX(CS!$B$1:$B$12903,MATCH($A24,CS!$B:$B,0)+COLUMN(J$1),1))</f>
        <v>0</v>
      </c>
      <c r="BR24" t="s">
        <v>904</v>
      </c>
      <c r="BS24" s="53">
        <v>200</v>
      </c>
      <c r="BT24" s="52">
        <v>40</v>
      </c>
      <c r="BU24" s="52">
        <v>10</v>
      </c>
      <c r="BV24" s="52">
        <v>100</v>
      </c>
      <c r="BW24" s="52">
        <v>10</v>
      </c>
      <c r="CI24" t="s">
        <v>880</v>
      </c>
    </row>
    <row r="25" spans="1:87" outlineLevel="1" x14ac:dyDescent="0.4">
      <c r="A25" t="s">
        <v>66</v>
      </c>
      <c r="C25" t="s">
        <v>61</v>
      </c>
      <c r="D25" t="str">
        <f t="shared" si="0"/>
        <v>795/575/220</v>
      </c>
      <c r="E25">
        <v>1</v>
      </c>
      <c r="F25">
        <v>90</v>
      </c>
      <c r="G25">
        <v>10</v>
      </c>
      <c r="H25">
        <v>75</v>
      </c>
      <c r="I25">
        <v>90</v>
      </c>
      <c r="J25">
        <v>70</v>
      </c>
      <c r="K25" s="24">
        <v>25</v>
      </c>
      <c r="L25">
        <v>70</v>
      </c>
      <c r="M25">
        <v>70</v>
      </c>
      <c r="N25">
        <v>75</v>
      </c>
      <c r="O25">
        <v>550</v>
      </c>
      <c r="AI25">
        <v>50</v>
      </c>
      <c r="AJ25">
        <v>50</v>
      </c>
      <c r="AL25">
        <v>25</v>
      </c>
      <c r="AM25">
        <v>35</v>
      </c>
      <c r="AT25">
        <v>35</v>
      </c>
      <c r="AV25">
        <v>25</v>
      </c>
      <c r="AX25">
        <f>IF($A25="","", INDEX(CS!$B$1:$B$12903,MATCH($A25,CS!$B:$B,0)+COLUMN(A$1),1))</f>
        <v>0</v>
      </c>
      <c r="AY25">
        <f>IF($A25="","", INDEX(CS!$B$1:$B$12903,MATCH($A25,CS!$B:$B,0)+COLUMN(B$1),1))</f>
        <v>0</v>
      </c>
      <c r="AZ25">
        <f>IF($A25="","", INDEX(CS!$B$1:$B$12903,MATCH($A25,CS!$B:$B,0)+COLUMN(C$1),1))</f>
        <v>0</v>
      </c>
      <c r="BA25">
        <f>IF($A25="","", INDEX(CS!$B$1:$B$12903,MATCH($A25,CS!$B:$B,0)+COLUMN(D$1),1))</f>
        <v>0</v>
      </c>
      <c r="BB25">
        <f>IF($A25="","", INDEX(CS!$B$1:$B$12903,MATCH($A25,CS!$B:$B,0)+COLUMN(E$1),1))</f>
        <v>0</v>
      </c>
      <c r="BC25">
        <f>IF($A25="","", INDEX(CS!$B$1:$B$12903,MATCH($A25,CS!$B:$B,0)+COLUMN(F$1),1))</f>
        <v>0</v>
      </c>
      <c r="BD25">
        <f>IF($A25="","", INDEX(CS!$B$1:$B$12903,MATCH($A25,CS!$B:$B,0)+COLUMN(G$1),1))</f>
        <v>0</v>
      </c>
      <c r="BE25">
        <f>IF($A25="","", INDEX(CS!$B$1:$B$12903,MATCH($A25,CS!$B:$B,0)+COLUMN(H$1),1))</f>
        <v>0</v>
      </c>
      <c r="BF25">
        <f>IF($A25="","", INDEX(CS!$B$1:$B$12903,MATCH($A25,CS!$B:$B,0)+COLUMN(I$1),1))</f>
        <v>0</v>
      </c>
      <c r="BG25">
        <f>IF($A25="","", INDEX(CS!$B$1:$B$12903,MATCH($A25,CS!$B:$B,0)+COLUMN(J$1),1))</f>
        <v>0</v>
      </c>
      <c r="BR25" t="s">
        <v>904</v>
      </c>
      <c r="BS25" s="53">
        <v>250</v>
      </c>
      <c r="BT25" s="52">
        <v>60</v>
      </c>
      <c r="BU25" s="52">
        <v>30</v>
      </c>
      <c r="BV25" s="52">
        <v>200</v>
      </c>
      <c r="BW25" s="52">
        <v>30</v>
      </c>
      <c r="CI25" t="s">
        <v>881</v>
      </c>
    </row>
    <row r="26" spans="1:87" outlineLevel="1" x14ac:dyDescent="0.4">
      <c r="A26" t="s">
        <v>44</v>
      </c>
      <c r="C26" t="s">
        <v>61</v>
      </c>
      <c r="D26" t="str">
        <f t="shared" si="0"/>
        <v>795/575/220</v>
      </c>
      <c r="E26">
        <v>1</v>
      </c>
      <c r="F26">
        <v>90</v>
      </c>
      <c r="G26">
        <v>20</v>
      </c>
      <c r="H26">
        <v>55</v>
      </c>
      <c r="I26">
        <v>90</v>
      </c>
      <c r="J26">
        <v>70</v>
      </c>
      <c r="K26" s="24">
        <v>35</v>
      </c>
      <c r="L26">
        <v>55</v>
      </c>
      <c r="M26">
        <v>85</v>
      </c>
      <c r="N26">
        <v>75</v>
      </c>
      <c r="O26">
        <v>100</v>
      </c>
      <c r="Y26" s="17">
        <v>15</v>
      </c>
      <c r="AB26">
        <v>-15</v>
      </c>
      <c r="AI26">
        <v>25</v>
      </c>
      <c r="AJ26">
        <v>-25</v>
      </c>
      <c r="AL26">
        <v>70</v>
      </c>
      <c r="AM26">
        <v>50</v>
      </c>
      <c r="AN26">
        <v>75</v>
      </c>
      <c r="AO26">
        <v>75</v>
      </c>
      <c r="AT26">
        <v>-25</v>
      </c>
      <c r="AU26">
        <v>-25</v>
      </c>
      <c r="AX26">
        <f>IF($A26="","", INDEX(CS!$B$1:$B$12903,MATCH($A26,CS!$B:$B,0)+COLUMN(A$1),1))</f>
        <v>0</v>
      </c>
      <c r="AY26">
        <f>IF($A26="","", INDEX(CS!$B$1:$B$12903,MATCH($A26,CS!$B:$B,0)+COLUMN(B$1),1))</f>
        <v>0</v>
      </c>
      <c r="AZ26">
        <f>IF($A26="","", INDEX(CS!$B$1:$B$12903,MATCH($A26,CS!$B:$B,0)+COLUMN(C$1),1))</f>
        <v>0</v>
      </c>
      <c r="BA26">
        <f>IF($A26="","", INDEX(CS!$B$1:$B$12903,MATCH($A26,CS!$B:$B,0)+COLUMN(D$1),1))</f>
        <v>0</v>
      </c>
      <c r="BB26">
        <f>IF($A26="","", INDEX(CS!$B$1:$B$12903,MATCH($A26,CS!$B:$B,0)+COLUMN(E$1),1))</f>
        <v>0</v>
      </c>
      <c r="BC26">
        <f>IF($A26="","", INDEX(CS!$B$1:$B$12903,MATCH($A26,CS!$B:$B,0)+COLUMN(F$1),1))</f>
        <v>0</v>
      </c>
      <c r="BD26">
        <f>IF($A26="","", INDEX(CS!$B$1:$B$12903,MATCH($A26,CS!$B:$B,0)+COLUMN(G$1),1))</f>
        <v>0</v>
      </c>
      <c r="BE26">
        <f>IF($A26="","", INDEX(CS!$B$1:$B$12903,MATCH($A26,CS!$B:$B,0)+COLUMN(H$1),1))</f>
        <v>0</v>
      </c>
      <c r="BF26">
        <f>IF($A26="","", INDEX(CS!$B$1:$B$12903,MATCH($A26,CS!$B:$B,0)+COLUMN(I$1),1))</f>
        <v>0</v>
      </c>
      <c r="BG26">
        <f>IF($A26="","", INDEX(CS!$B$1:$B$12903,MATCH($A26,CS!$B:$B,0)+COLUMN(J$1),1))</f>
        <v>0</v>
      </c>
      <c r="BR26" t="s">
        <v>904</v>
      </c>
      <c r="BS26" s="53">
        <v>70</v>
      </c>
      <c r="BT26" s="52">
        <v>30</v>
      </c>
      <c r="BU26" s="52">
        <v>20</v>
      </c>
      <c r="BV26" s="52">
        <v>10</v>
      </c>
      <c r="BW26" s="52">
        <v>10</v>
      </c>
      <c r="CI26" t="s">
        <v>882</v>
      </c>
    </row>
    <row r="27" spans="1:87" outlineLevel="1" x14ac:dyDescent="0.4">
      <c r="A27" t="s">
        <v>1124</v>
      </c>
      <c r="C27" t="s">
        <v>61</v>
      </c>
      <c r="D27" t="str">
        <f t="shared" ref="D27" si="1">SUM(AI27:AW27,F27:N27)&amp;"/"&amp;SUM(F27:N27)&amp;"/"&amp;SUM(AI27:AW27)</f>
        <v>795/575/220</v>
      </c>
      <c r="E27">
        <v>1</v>
      </c>
      <c r="F27">
        <v>90</v>
      </c>
      <c r="G27">
        <v>30</v>
      </c>
      <c r="H27">
        <v>55</v>
      </c>
      <c r="I27">
        <v>90</v>
      </c>
      <c r="J27">
        <v>70</v>
      </c>
      <c r="K27" s="24">
        <v>25</v>
      </c>
      <c r="L27">
        <v>55</v>
      </c>
      <c r="M27">
        <v>85</v>
      </c>
      <c r="N27">
        <v>75</v>
      </c>
      <c r="O27">
        <v>100</v>
      </c>
      <c r="Y27" s="17">
        <v>15</v>
      </c>
      <c r="AB27">
        <v>-15</v>
      </c>
      <c r="AI27">
        <v>25</v>
      </c>
      <c r="AJ27">
        <v>-25</v>
      </c>
      <c r="AL27">
        <v>70</v>
      </c>
      <c r="AM27">
        <v>50</v>
      </c>
      <c r="AN27">
        <v>75</v>
      </c>
      <c r="AO27">
        <v>75</v>
      </c>
      <c r="AT27">
        <v>-25</v>
      </c>
      <c r="AU27">
        <v>-25</v>
      </c>
      <c r="AX27" t="e">
        <f>IF($A27="","", INDEX(CS!$B$1:$B$12903,MATCH($A27,CS!$B:$B,0)+COLUMN(A$1),1))</f>
        <v>#N/A</v>
      </c>
      <c r="AY27" t="e">
        <f>IF($A27="","", INDEX(CS!$B$1:$B$12903,MATCH($A27,CS!$B:$B,0)+COLUMN(B$1),1))</f>
        <v>#N/A</v>
      </c>
      <c r="AZ27" t="e">
        <f>IF($A27="","", INDEX(CS!$B$1:$B$12903,MATCH($A27,CS!$B:$B,0)+COLUMN(C$1),1))</f>
        <v>#N/A</v>
      </c>
      <c r="BA27" t="e">
        <f>IF($A27="","", INDEX(CS!$B$1:$B$12903,MATCH($A27,CS!$B:$B,0)+COLUMN(D$1),1))</f>
        <v>#N/A</v>
      </c>
      <c r="BB27" t="e">
        <f>IF($A27="","", INDEX(CS!$B$1:$B$12903,MATCH($A27,CS!$B:$B,0)+COLUMN(E$1),1))</f>
        <v>#N/A</v>
      </c>
      <c r="BC27" t="e">
        <f>IF($A27="","", INDEX(CS!$B$1:$B$12903,MATCH($A27,CS!$B:$B,0)+COLUMN(F$1),1))</f>
        <v>#N/A</v>
      </c>
      <c r="BD27" t="e">
        <f>IF($A27="","", INDEX(CS!$B$1:$B$12903,MATCH($A27,CS!$B:$B,0)+COLUMN(G$1),1))</f>
        <v>#N/A</v>
      </c>
      <c r="BE27" t="e">
        <f>IF($A27="","", INDEX(CS!$B$1:$B$12903,MATCH($A27,CS!$B:$B,0)+COLUMN(H$1),1))</f>
        <v>#N/A</v>
      </c>
      <c r="BF27" t="e">
        <f>IF($A27="","", INDEX(CS!$B$1:$B$12903,MATCH($A27,CS!$B:$B,0)+COLUMN(I$1),1))</f>
        <v>#N/A</v>
      </c>
      <c r="BG27" t="e">
        <f>IF($A27="","", INDEX(CS!$B$1:$B$12903,MATCH($A27,CS!$B:$B,0)+COLUMN(J$1),1))</f>
        <v>#N/A</v>
      </c>
      <c r="BR27" t="s">
        <v>904</v>
      </c>
      <c r="BS27" s="53">
        <v>70</v>
      </c>
      <c r="BT27" s="52">
        <v>30</v>
      </c>
      <c r="BU27" s="52">
        <v>20</v>
      </c>
      <c r="BV27" s="52">
        <v>10</v>
      </c>
      <c r="BW27" s="52">
        <v>10</v>
      </c>
      <c r="CI27" t="s">
        <v>882</v>
      </c>
    </row>
    <row r="28" spans="1:87" outlineLevel="1" x14ac:dyDescent="0.4">
      <c r="D28" t="str">
        <f t="shared" si="0"/>
        <v>0/0/0</v>
      </c>
      <c r="E28">
        <v>1</v>
      </c>
      <c r="AX28" t="str">
        <f>IF($A28="","", INDEX(CS!$B$1:$B$12903,MATCH($A28,CS!$B:$B,0)+COLUMN(A$1),1))</f>
        <v/>
      </c>
      <c r="AY28" t="str">
        <f>IF($A28="","", INDEX(CS!$B$1:$B$12903,MATCH($A28,CS!$B:$B,0)+COLUMN(B$1),1))</f>
        <v/>
      </c>
      <c r="AZ28" t="str">
        <f>IF($A28="","", INDEX(CS!$B$1:$B$12903,MATCH($A28,CS!$B:$B,0)+COLUMN(C$1),1))</f>
        <v/>
      </c>
      <c r="BA28" t="str">
        <f>IF($A28="","", INDEX(CS!$B$1:$B$12903,MATCH($A28,CS!$B:$B,0)+COLUMN(D$1),1))</f>
        <v/>
      </c>
      <c r="BB28" t="str">
        <f>IF($A28="","", INDEX(CS!$B$1:$B$12903,MATCH($A28,CS!$B:$B,0)+COLUMN(E$1),1))</f>
        <v/>
      </c>
      <c r="BC28" t="str">
        <f>IF($A28="","", INDEX(CS!$B$1:$B$12903,MATCH($A28,CS!$B:$B,0)+COLUMN(F$1),1))</f>
        <v/>
      </c>
      <c r="BD28" t="str">
        <f>IF($A28="","", INDEX(CS!$B$1:$B$12903,MATCH($A28,CS!$B:$B,0)+COLUMN(G$1),1))</f>
        <v/>
      </c>
      <c r="BE28" t="str">
        <f>IF($A28="","", INDEX(CS!$B$1:$B$12903,MATCH($A28,CS!$B:$B,0)+COLUMN(H$1),1))</f>
        <v/>
      </c>
      <c r="BF28" t="str">
        <f>IF($A28="","", INDEX(CS!$B$1:$B$12903,MATCH($A28,CS!$B:$B,0)+COLUMN(I$1),1))</f>
        <v/>
      </c>
      <c r="BG28" t="str">
        <f>IF($A28="","", INDEX(CS!$B$1:$B$12903,MATCH($A28,CS!$B:$B,0)+COLUMN(J$1),1))</f>
        <v/>
      </c>
      <c r="BS28" s="53"/>
      <c r="BT28" s="52"/>
      <c r="BU28" s="52"/>
      <c r="BV28" s="52"/>
      <c r="BW28" s="52"/>
    </row>
    <row r="29" spans="1:87" outlineLevel="1" x14ac:dyDescent="0.4">
      <c r="A29" t="s">
        <v>46</v>
      </c>
      <c r="C29" t="s">
        <v>62</v>
      </c>
      <c r="D29" t="str">
        <f t="shared" si="0"/>
        <v>800/605/195</v>
      </c>
      <c r="E29">
        <v>1</v>
      </c>
      <c r="F29">
        <v>90</v>
      </c>
      <c r="G29">
        <v>40</v>
      </c>
      <c r="H29">
        <v>50</v>
      </c>
      <c r="I29">
        <v>80</v>
      </c>
      <c r="J29">
        <v>70</v>
      </c>
      <c r="K29" s="24">
        <v>80</v>
      </c>
      <c r="L29">
        <v>60</v>
      </c>
      <c r="M29">
        <v>70</v>
      </c>
      <c r="N29">
        <v>65</v>
      </c>
      <c r="O29">
        <v>170</v>
      </c>
      <c r="P29" s="17">
        <v>10</v>
      </c>
      <c r="Q29" s="17">
        <v>5</v>
      </c>
      <c r="V29" s="17">
        <v>15</v>
      </c>
      <c r="W29" s="17">
        <v>15</v>
      </c>
      <c r="Z29" s="17">
        <v>-30</v>
      </c>
      <c r="AA29">
        <v>15</v>
      </c>
      <c r="AJ29">
        <v>75</v>
      </c>
      <c r="AK29">
        <v>20</v>
      </c>
      <c r="AV29">
        <v>100</v>
      </c>
      <c r="AX29">
        <f>IF($A29="","", INDEX(CS!$B$1:$B$12903,MATCH($A29,CS!$B:$B,0)+COLUMN(A$1),1))</f>
        <v>0</v>
      </c>
      <c r="AY29">
        <f>IF($A29="","", INDEX(CS!$B$1:$B$12903,MATCH($A29,CS!$B:$B,0)+COLUMN(B$1),1))</f>
        <v>0</v>
      </c>
      <c r="AZ29">
        <f>IF($A29="","", INDEX(CS!$B$1:$B$12903,MATCH($A29,CS!$B:$B,0)+COLUMN(C$1),1))</f>
        <v>0</v>
      </c>
      <c r="BA29">
        <f>IF($A29="","", INDEX(CS!$B$1:$B$12903,MATCH($A29,CS!$B:$B,0)+COLUMN(D$1),1))</f>
        <v>0</v>
      </c>
      <c r="BB29">
        <f>IF($A29="","", INDEX(CS!$B$1:$B$12903,MATCH($A29,CS!$B:$B,0)+COLUMN(E$1),1))</f>
        <v>0</v>
      </c>
      <c r="BC29">
        <f>IF($A29="","", INDEX(CS!$B$1:$B$12903,MATCH($A29,CS!$B:$B,0)+COLUMN(F$1),1))</f>
        <v>0</v>
      </c>
      <c r="BD29">
        <f>IF($A29="","", INDEX(CS!$B$1:$B$12903,MATCH($A29,CS!$B:$B,0)+COLUMN(G$1),1))</f>
        <v>0</v>
      </c>
      <c r="BE29">
        <f>IF($A29="","", INDEX(CS!$B$1:$B$12903,MATCH($A29,CS!$B:$B,0)+COLUMN(H$1),1))</f>
        <v>0</v>
      </c>
      <c r="BF29">
        <f>IF($A29="","", INDEX(CS!$B$1:$B$12903,MATCH($A29,CS!$B:$B,0)+COLUMN(I$1),1))</f>
        <v>0</v>
      </c>
      <c r="BG29">
        <f>IF($A29="","", INDEX(CS!$B$1:$B$12903,MATCH($A29,CS!$B:$B,0)+COLUMN(J$1),1))</f>
        <v>0</v>
      </c>
      <c r="BR29" t="s">
        <v>902</v>
      </c>
      <c r="BS29" s="53">
        <v>30</v>
      </c>
      <c r="BT29" s="52">
        <v>0</v>
      </c>
      <c r="BU29" s="52">
        <v>0</v>
      </c>
      <c r="BV29" s="52">
        <v>50</v>
      </c>
      <c r="BW29" s="52">
        <v>25</v>
      </c>
      <c r="BX29" s="52">
        <v>10</v>
      </c>
      <c r="CI29" t="s">
        <v>883</v>
      </c>
    </row>
    <row r="30" spans="1:87" outlineLevel="1" x14ac:dyDescent="0.4">
      <c r="A30" t="s">
        <v>48</v>
      </c>
      <c r="C30" t="s">
        <v>62</v>
      </c>
      <c r="D30" t="str">
        <f t="shared" si="0"/>
        <v>800/605/195</v>
      </c>
      <c r="E30">
        <v>1</v>
      </c>
      <c r="F30">
        <v>75</v>
      </c>
      <c r="G30">
        <v>40</v>
      </c>
      <c r="H30">
        <v>50</v>
      </c>
      <c r="I30">
        <v>70</v>
      </c>
      <c r="J30">
        <v>80</v>
      </c>
      <c r="K30" s="24">
        <v>80</v>
      </c>
      <c r="L30">
        <v>80</v>
      </c>
      <c r="M30">
        <v>65</v>
      </c>
      <c r="N30">
        <v>65</v>
      </c>
      <c r="O30">
        <v>170</v>
      </c>
      <c r="P30" s="17">
        <v>5</v>
      </c>
      <c r="Q30" s="17">
        <v>10</v>
      </c>
      <c r="X30" s="17">
        <v>15</v>
      </c>
      <c r="Y30" s="17">
        <v>15</v>
      </c>
      <c r="Z30" s="17">
        <v>15</v>
      </c>
      <c r="AA30" s="17">
        <v>-30</v>
      </c>
      <c r="AK30">
        <v>75</v>
      </c>
      <c r="AM30">
        <v>20</v>
      </c>
      <c r="AW30">
        <v>100</v>
      </c>
      <c r="AX30">
        <f>IF($A30="","", INDEX(CS!$B$1:$B$12903,MATCH($A30,CS!$B:$B,0)+COLUMN(A$1),1))</f>
        <v>0</v>
      </c>
      <c r="AY30">
        <f>IF($A30="","", INDEX(CS!$B$1:$B$12903,MATCH($A30,CS!$B:$B,0)+COLUMN(B$1),1))</f>
        <v>0</v>
      </c>
      <c r="AZ30">
        <f>IF($A30="","", INDEX(CS!$B$1:$B$12903,MATCH($A30,CS!$B:$B,0)+COLUMN(C$1),1))</f>
        <v>0</v>
      </c>
      <c r="BA30">
        <f>IF($A30="","", INDEX(CS!$B$1:$B$12903,MATCH($A30,CS!$B:$B,0)+COLUMN(D$1),1))</f>
        <v>0</v>
      </c>
      <c r="BB30">
        <f>IF($A30="","", INDEX(CS!$B$1:$B$12903,MATCH($A30,CS!$B:$B,0)+COLUMN(E$1),1))</f>
        <v>0</v>
      </c>
      <c r="BC30">
        <f>IF($A30="","", INDEX(CS!$B$1:$B$12903,MATCH($A30,CS!$B:$B,0)+COLUMN(F$1),1))</f>
        <v>0</v>
      </c>
      <c r="BD30">
        <f>IF($A30="","", INDEX(CS!$B$1:$B$12903,MATCH($A30,CS!$B:$B,0)+COLUMN(G$1),1))</f>
        <v>0</v>
      </c>
      <c r="BE30">
        <f>IF($A30="","", INDEX(CS!$B$1:$B$12903,MATCH($A30,CS!$B:$B,0)+COLUMN(H$1),1))</f>
        <v>0</v>
      </c>
      <c r="BF30">
        <f>IF($A30="","", INDEX(CS!$B$1:$B$12903,MATCH($A30,CS!$B:$B,0)+COLUMN(I$1),1))</f>
        <v>0</v>
      </c>
      <c r="BG30">
        <f>IF($A30="","", INDEX(CS!$B$1:$B$12903,MATCH($A30,CS!$B:$B,0)+COLUMN(J$1),1))</f>
        <v>0</v>
      </c>
      <c r="BR30" t="s">
        <v>902</v>
      </c>
      <c r="BS30" s="53">
        <v>30</v>
      </c>
      <c r="BT30" s="52">
        <v>10</v>
      </c>
      <c r="BU30" s="52">
        <v>30</v>
      </c>
      <c r="BV30" s="52">
        <v>10</v>
      </c>
      <c r="BW30" s="52">
        <v>10</v>
      </c>
      <c r="BX30" s="52">
        <v>10</v>
      </c>
      <c r="CI30" t="s">
        <v>884</v>
      </c>
    </row>
    <row r="31" spans="1:87" outlineLevel="1" x14ac:dyDescent="0.4">
      <c r="A31" t="s">
        <v>50</v>
      </c>
      <c r="C31" t="s">
        <v>62</v>
      </c>
      <c r="D31" t="str">
        <f t="shared" si="0"/>
        <v>805/610/195</v>
      </c>
      <c r="E31">
        <v>1</v>
      </c>
      <c r="F31">
        <v>90</v>
      </c>
      <c r="G31">
        <v>45</v>
      </c>
      <c r="H31">
        <v>50</v>
      </c>
      <c r="I31">
        <v>80</v>
      </c>
      <c r="J31">
        <v>60</v>
      </c>
      <c r="K31" s="24">
        <v>80</v>
      </c>
      <c r="L31">
        <v>60</v>
      </c>
      <c r="M31">
        <v>80</v>
      </c>
      <c r="N31">
        <v>65</v>
      </c>
      <c r="O31">
        <v>170</v>
      </c>
      <c r="P31" s="17">
        <v>15</v>
      </c>
      <c r="V31" s="17">
        <v>-30</v>
      </c>
      <c r="Y31" s="17">
        <v>100</v>
      </c>
      <c r="Z31" s="17">
        <v>-30</v>
      </c>
      <c r="AB31">
        <v>100</v>
      </c>
      <c r="AD31">
        <v>25</v>
      </c>
      <c r="AJ31">
        <v>45</v>
      </c>
      <c r="AK31">
        <v>50</v>
      </c>
      <c r="AN31">
        <v>50</v>
      </c>
      <c r="AO31">
        <v>50</v>
      </c>
      <c r="AX31">
        <f>IF($A31="","", INDEX(CS!$B$1:$B$12903,MATCH($A31,CS!$B:$B,0)+COLUMN(A$1),1))</f>
        <v>0</v>
      </c>
      <c r="AY31">
        <f>IF($A31="","", INDEX(CS!$B$1:$B$12903,MATCH($A31,CS!$B:$B,0)+COLUMN(B$1),1))</f>
        <v>0</v>
      </c>
      <c r="AZ31">
        <f>IF($A31="","", INDEX(CS!$B$1:$B$12903,MATCH($A31,CS!$B:$B,0)+COLUMN(C$1),1))</f>
        <v>0</v>
      </c>
      <c r="BA31">
        <f>IF($A31="","", INDEX(CS!$B$1:$B$12903,MATCH($A31,CS!$B:$B,0)+COLUMN(D$1),1))</f>
        <v>0</v>
      </c>
      <c r="BB31">
        <f>IF($A31="","", INDEX(CS!$B$1:$B$12903,MATCH($A31,CS!$B:$B,0)+COLUMN(E$1),1))</f>
        <v>0</v>
      </c>
      <c r="BC31">
        <f>IF($A31="","", INDEX(CS!$B$1:$B$12903,MATCH($A31,CS!$B:$B,0)+COLUMN(F$1),1))</f>
        <v>0</v>
      </c>
      <c r="BD31">
        <f>IF($A31="","", INDEX(CS!$B$1:$B$12903,MATCH($A31,CS!$B:$B,0)+COLUMN(G$1),1))</f>
        <v>0</v>
      </c>
      <c r="BE31">
        <f>IF($A31="","", INDEX(CS!$B$1:$B$12903,MATCH($A31,CS!$B:$B,0)+COLUMN(H$1),1))</f>
        <v>0</v>
      </c>
      <c r="BF31">
        <f>IF($A31="","", INDEX(CS!$B$1:$B$12903,MATCH($A31,CS!$B:$B,0)+COLUMN(I$1),1))</f>
        <v>0</v>
      </c>
      <c r="BG31">
        <f>IF($A31="","", INDEX(CS!$B$1:$B$12903,MATCH($A31,CS!$B:$B,0)+COLUMN(J$1),1))</f>
        <v>0</v>
      </c>
      <c r="BR31" t="s">
        <v>905</v>
      </c>
      <c r="BS31" s="53">
        <v>50</v>
      </c>
      <c r="BT31" s="52">
        <v>0</v>
      </c>
      <c r="BU31" s="52">
        <v>0</v>
      </c>
      <c r="BV31" s="52">
        <v>50</v>
      </c>
      <c r="BW31" s="52">
        <v>25</v>
      </c>
      <c r="BX31" s="52">
        <v>0</v>
      </c>
      <c r="BY31" s="52">
        <v>50</v>
      </c>
      <c r="CI31" t="s">
        <v>885</v>
      </c>
    </row>
    <row r="32" spans="1:87" outlineLevel="1" x14ac:dyDescent="0.4">
      <c r="C32" t="s">
        <v>62</v>
      </c>
      <c r="D32" t="str">
        <f t="shared" si="0"/>
        <v>0/0/0</v>
      </c>
      <c r="E32">
        <v>1</v>
      </c>
      <c r="AX32" t="str">
        <f>IF($A32="","", INDEX(CS!$B$1:$B$12903,MATCH($A32,CS!$B:$B,0)+COLUMN(A$1),1))</f>
        <v/>
      </c>
      <c r="AY32" t="str">
        <f>IF($A32="","", INDEX(CS!$B$1:$B$12903,MATCH($A32,CS!$B:$B,0)+COLUMN(B$1),1))</f>
        <v/>
      </c>
      <c r="AZ32" t="str">
        <f>IF($A32="","", INDEX(CS!$B$1:$B$12903,MATCH($A32,CS!$B:$B,0)+COLUMN(C$1),1))</f>
        <v/>
      </c>
      <c r="BA32" t="str">
        <f>IF($A32="","", INDEX(CS!$B$1:$B$12903,MATCH($A32,CS!$B:$B,0)+COLUMN(D$1),1))</f>
        <v/>
      </c>
      <c r="BB32" t="str">
        <f>IF($A32="","", INDEX(CS!$B$1:$B$12903,MATCH($A32,CS!$B:$B,0)+COLUMN(E$1),1))</f>
        <v/>
      </c>
      <c r="BC32" t="str">
        <f>IF($A32="","", INDEX(CS!$B$1:$B$12903,MATCH($A32,CS!$B:$B,0)+COLUMN(F$1),1))</f>
        <v/>
      </c>
      <c r="BD32" t="str">
        <f>IF($A32="","", INDEX(CS!$B$1:$B$12903,MATCH($A32,CS!$B:$B,0)+COLUMN(G$1),1))</f>
        <v/>
      </c>
      <c r="BE32" t="str">
        <f>IF($A32="","", INDEX(CS!$B$1:$B$12903,MATCH($A32,CS!$B:$B,0)+COLUMN(H$1),1))</f>
        <v/>
      </c>
      <c r="BF32" t="str">
        <f>IF($A32="","", INDEX(CS!$B$1:$B$12903,MATCH($A32,CS!$B:$B,0)+COLUMN(I$1),1))</f>
        <v/>
      </c>
      <c r="BG32" t="str">
        <f>IF($A32="","", INDEX(CS!$B$1:$B$12903,MATCH($A32,CS!$B:$B,0)+COLUMN(J$1),1))</f>
        <v/>
      </c>
      <c r="BS32" s="17"/>
      <c r="BT32" s="52"/>
      <c r="BU32" s="52"/>
      <c r="BV32" s="52"/>
      <c r="BW32" s="52"/>
    </row>
    <row r="33" spans="1:87" outlineLevel="1" x14ac:dyDescent="0.4">
      <c r="A33" t="s">
        <v>204</v>
      </c>
      <c r="C33" t="s">
        <v>62</v>
      </c>
      <c r="D33" t="str">
        <f t="shared" si="0"/>
        <v>535/460/75</v>
      </c>
      <c r="E33">
        <v>1</v>
      </c>
      <c r="F33">
        <v>110</v>
      </c>
      <c r="I33">
        <v>110</v>
      </c>
      <c r="J33">
        <v>40</v>
      </c>
      <c r="K33" s="24">
        <v>50</v>
      </c>
      <c r="L33">
        <v>50</v>
      </c>
      <c r="M33">
        <v>40</v>
      </c>
      <c r="N33">
        <v>60</v>
      </c>
      <c r="O33">
        <v>170</v>
      </c>
      <c r="V33" s="17">
        <v>-25</v>
      </c>
      <c r="Z33" s="17">
        <v>-25</v>
      </c>
      <c r="AB33">
        <v>100</v>
      </c>
      <c r="AC33">
        <v>25</v>
      </c>
      <c r="AD33">
        <v>25</v>
      </c>
      <c r="AF33">
        <v>25</v>
      </c>
      <c r="AH33">
        <v>-25</v>
      </c>
      <c r="AN33">
        <v>75</v>
      </c>
      <c r="AX33">
        <f>IF($A33="","", INDEX(CS!$B$1:$B$12903,MATCH($A33,CS!$B:$B,0)+COLUMN(A$1),1))</f>
        <v>0</v>
      </c>
      <c r="AY33">
        <f>IF($A33="","", INDEX(CS!$B$1:$B$12903,MATCH($A33,CS!$B:$B,0)+COLUMN(B$1),1))</f>
        <v>0</v>
      </c>
      <c r="AZ33">
        <f>IF($A33="","", INDEX(CS!$B$1:$B$12903,MATCH($A33,CS!$B:$B,0)+COLUMN(C$1),1))</f>
        <v>0</v>
      </c>
      <c r="BA33">
        <f>IF($A33="","", INDEX(CS!$B$1:$B$12903,MATCH($A33,CS!$B:$B,0)+COLUMN(D$1),1))</f>
        <v>0</v>
      </c>
      <c r="BB33">
        <f>IF($A33="","", INDEX(CS!$B$1:$B$12903,MATCH($A33,CS!$B:$B,0)+COLUMN(E$1),1))</f>
        <v>0</v>
      </c>
      <c r="BC33">
        <f>IF($A33="","", INDEX(CS!$B$1:$B$12903,MATCH($A33,CS!$B:$B,0)+COLUMN(F$1),1))</f>
        <v>0</v>
      </c>
      <c r="BD33">
        <f>IF($A33="","", INDEX(CS!$B$1:$B$12903,MATCH($A33,CS!$B:$B,0)+COLUMN(G$1),1))</f>
        <v>0</v>
      </c>
      <c r="BE33">
        <f>IF($A33="","", INDEX(CS!$B$1:$B$12903,MATCH($A33,CS!$B:$B,0)+COLUMN(H$1),1))</f>
        <v>0</v>
      </c>
      <c r="BF33">
        <f>IF($A33="","", INDEX(CS!$B$1:$B$12903,MATCH($A33,CS!$B:$B,0)+COLUMN(I$1),1))</f>
        <v>0</v>
      </c>
      <c r="BG33">
        <f>IF($A33="","", INDEX(CS!$B$1:$B$12903,MATCH($A33,CS!$B:$B,0)+COLUMN(J$1),1))</f>
        <v>0</v>
      </c>
      <c r="BR33" t="s">
        <v>905</v>
      </c>
      <c r="BS33" s="53">
        <v>50</v>
      </c>
      <c r="BV33" s="52">
        <v>75</v>
      </c>
      <c r="CI33" t="s">
        <v>986</v>
      </c>
    </row>
    <row r="34" spans="1:87" outlineLevel="1" x14ac:dyDescent="0.4">
      <c r="A34" t="s">
        <v>205</v>
      </c>
      <c r="C34" t="s">
        <v>62</v>
      </c>
      <c r="D34" t="str">
        <f t="shared" si="0"/>
        <v>680/505/175</v>
      </c>
      <c r="E34">
        <v>1</v>
      </c>
      <c r="F34">
        <v>80</v>
      </c>
      <c r="I34">
        <v>75</v>
      </c>
      <c r="J34">
        <v>75</v>
      </c>
      <c r="K34" s="24">
        <v>50</v>
      </c>
      <c r="L34">
        <v>75</v>
      </c>
      <c r="M34">
        <v>75</v>
      </c>
      <c r="N34">
        <v>75</v>
      </c>
      <c r="O34">
        <v>170</v>
      </c>
      <c r="P34" s="17">
        <v>10</v>
      </c>
      <c r="V34" s="17">
        <v>-35</v>
      </c>
      <c r="Z34" s="17">
        <v>-35</v>
      </c>
      <c r="AJ34">
        <v>75</v>
      </c>
      <c r="AL34">
        <v>50</v>
      </c>
      <c r="AN34">
        <v>50</v>
      </c>
      <c r="AX34">
        <f>IF($A34="","", INDEX(CS!$B$1:$B$12903,MATCH($A34,CS!$B:$B,0)+COLUMN(A$1),1))</f>
        <v>0</v>
      </c>
      <c r="AY34">
        <f>IF($A34="","", INDEX(CS!$B$1:$B$12903,MATCH($A34,CS!$B:$B,0)+COLUMN(B$1),1))</f>
        <v>0</v>
      </c>
      <c r="AZ34">
        <f>IF($A34="","", INDEX(CS!$B$1:$B$12903,MATCH($A34,CS!$B:$B,0)+COLUMN(C$1),1))</f>
        <v>0</v>
      </c>
      <c r="BA34">
        <f>IF($A34="","", INDEX(CS!$B$1:$B$12903,MATCH($A34,CS!$B:$B,0)+COLUMN(D$1),1))</f>
        <v>0</v>
      </c>
      <c r="BB34">
        <f>IF($A34="","", INDEX(CS!$B$1:$B$12903,MATCH($A34,CS!$B:$B,0)+COLUMN(E$1),1))</f>
        <v>0</v>
      </c>
      <c r="BC34">
        <f>IF($A34="","", INDEX(CS!$B$1:$B$12903,MATCH($A34,CS!$B:$B,0)+COLUMN(F$1),1))</f>
        <v>0</v>
      </c>
      <c r="BD34">
        <f>IF($A34="","", INDEX(CS!$B$1:$B$12903,MATCH($A34,CS!$B:$B,0)+COLUMN(G$1),1))</f>
        <v>0</v>
      </c>
      <c r="BE34">
        <f>IF($A34="","", INDEX(CS!$B$1:$B$12903,MATCH($A34,CS!$B:$B,0)+COLUMN(H$1),1))</f>
        <v>0</v>
      </c>
      <c r="BF34">
        <f>IF($A34="","", INDEX(CS!$B$1:$B$12903,MATCH($A34,CS!$B:$B,0)+COLUMN(I$1),1))</f>
        <v>0</v>
      </c>
      <c r="BG34">
        <f>IF($A34="","", INDEX(CS!$B$1:$B$12903,MATCH($A34,CS!$B:$B,0)+COLUMN(J$1),1))</f>
        <v>0</v>
      </c>
      <c r="BR34" t="s">
        <v>905</v>
      </c>
      <c r="BS34" s="53">
        <v>50</v>
      </c>
      <c r="CI34" t="s">
        <v>987</v>
      </c>
    </row>
    <row r="35" spans="1:87" outlineLevel="1" x14ac:dyDescent="0.4">
      <c r="A35" t="s">
        <v>207</v>
      </c>
      <c r="C35" t="s">
        <v>62</v>
      </c>
      <c r="D35" t="str">
        <f t="shared" ref="D35:D95" si="2">SUM(AI35:AW35,F35:N35)&amp;"/"&amp;SUM(F35:N35)&amp;"/"&amp;SUM(AI35:AW35)</f>
        <v>710/515/195</v>
      </c>
      <c r="E35">
        <v>1</v>
      </c>
      <c r="F35">
        <v>65</v>
      </c>
      <c r="I35">
        <v>65</v>
      </c>
      <c r="J35">
        <v>50</v>
      </c>
      <c r="K35" s="24">
        <v>90</v>
      </c>
      <c r="L35">
        <v>90</v>
      </c>
      <c r="M35">
        <v>90</v>
      </c>
      <c r="N35">
        <v>65</v>
      </c>
      <c r="O35">
        <v>170</v>
      </c>
      <c r="P35" s="17">
        <v>25</v>
      </c>
      <c r="AN35">
        <v>75</v>
      </c>
      <c r="AO35">
        <v>50</v>
      </c>
      <c r="AV35">
        <v>70</v>
      </c>
      <c r="AX35">
        <f>IF($A35="","", INDEX(CS!$B$1:$B$12903,MATCH($A35,CS!$B:$B,0)+COLUMN(A$1),1))</f>
        <v>0</v>
      </c>
      <c r="AY35">
        <f>IF($A35="","", INDEX(CS!$B$1:$B$12903,MATCH($A35,CS!$B:$B,0)+COLUMN(B$1),1))</f>
        <v>0</v>
      </c>
      <c r="AZ35">
        <f>IF($A35="","", INDEX(CS!$B$1:$B$12903,MATCH($A35,CS!$B:$B,0)+COLUMN(C$1),1))</f>
        <v>0</v>
      </c>
      <c r="BA35">
        <f>IF($A35="","", INDEX(CS!$B$1:$B$12903,MATCH($A35,CS!$B:$B,0)+COLUMN(D$1),1))</f>
        <v>0</v>
      </c>
      <c r="BB35">
        <f>IF($A35="","", INDEX(CS!$B$1:$B$12903,MATCH($A35,CS!$B:$B,0)+COLUMN(E$1),1))</f>
        <v>0</v>
      </c>
      <c r="BC35">
        <f>IF($A35="","", INDEX(CS!$B$1:$B$12903,MATCH($A35,CS!$B:$B,0)+COLUMN(F$1),1))</f>
        <v>0</v>
      </c>
      <c r="BD35">
        <f>IF($A35="","", INDEX(CS!$B$1:$B$12903,MATCH($A35,CS!$B:$B,0)+COLUMN(G$1),1))</f>
        <v>0</v>
      </c>
      <c r="BE35">
        <f>IF($A35="","", INDEX(CS!$B$1:$B$12903,MATCH($A35,CS!$B:$B,0)+COLUMN(H$1),1))</f>
        <v>0</v>
      </c>
      <c r="BF35">
        <f>IF($A35="","", INDEX(CS!$B$1:$B$12903,MATCH($A35,CS!$B:$B,0)+COLUMN(I$1),1))</f>
        <v>0</v>
      </c>
      <c r="BG35">
        <f>IF($A35="","", INDEX(CS!$B$1:$B$12903,MATCH($A35,CS!$B:$B,0)+COLUMN(J$1),1))</f>
        <v>0</v>
      </c>
      <c r="BR35" t="s">
        <v>902</v>
      </c>
      <c r="BS35" s="53">
        <v>25</v>
      </c>
      <c r="BX35">
        <v>25</v>
      </c>
      <c r="CD35" t="s">
        <v>914</v>
      </c>
      <c r="CE35" t="s">
        <v>914</v>
      </c>
      <c r="CF35" t="s">
        <v>914</v>
      </c>
      <c r="CI35" t="s">
        <v>988</v>
      </c>
    </row>
    <row r="36" spans="1:87" outlineLevel="1" x14ac:dyDescent="0.4">
      <c r="C36" t="s">
        <v>62</v>
      </c>
      <c r="D36" t="str">
        <f t="shared" si="2"/>
        <v>0/0/0</v>
      </c>
      <c r="E36">
        <v>1</v>
      </c>
      <c r="AX36" t="str">
        <f>IF($A36="","", INDEX(CS!$B$1:$B$12903,MATCH($A36,CS!$B:$B,0)+COLUMN(A$1),1))</f>
        <v/>
      </c>
      <c r="AY36" t="str">
        <f>IF($A36="","", INDEX(CS!$B$1:$B$12903,MATCH($A36,CS!$B:$B,0)+COLUMN(B$1),1))</f>
        <v/>
      </c>
      <c r="AZ36" t="str">
        <f>IF($A36="","", INDEX(CS!$B$1:$B$12903,MATCH($A36,CS!$B:$B,0)+COLUMN(C$1),1))</f>
        <v/>
      </c>
      <c r="BA36" t="str">
        <f>IF($A36="","", INDEX(CS!$B$1:$B$12903,MATCH($A36,CS!$B:$B,0)+COLUMN(D$1),1))</f>
        <v/>
      </c>
      <c r="BB36" t="str">
        <f>IF($A36="","", INDEX(CS!$B$1:$B$12903,MATCH($A36,CS!$B:$B,0)+COLUMN(E$1),1))</f>
        <v/>
      </c>
      <c r="BC36" t="str">
        <f>IF($A36="","", INDEX(CS!$B$1:$B$12903,MATCH($A36,CS!$B:$B,0)+COLUMN(F$1),1))</f>
        <v/>
      </c>
      <c r="BD36" t="str">
        <f>IF($A36="","", INDEX(CS!$B$1:$B$12903,MATCH($A36,CS!$B:$B,0)+COLUMN(G$1),1))</f>
        <v/>
      </c>
      <c r="BE36" t="str">
        <f>IF($A36="","", INDEX(CS!$B$1:$B$12903,MATCH($A36,CS!$B:$B,0)+COLUMN(H$1),1))</f>
        <v/>
      </c>
      <c r="BF36" t="str">
        <f>IF($A36="","", INDEX(CS!$B$1:$B$12903,MATCH($A36,CS!$B:$B,0)+COLUMN(I$1),1))</f>
        <v/>
      </c>
      <c r="BG36" t="str">
        <f>IF($A36="","", INDEX(CS!$B$1:$B$12903,MATCH($A36,CS!$B:$B,0)+COLUMN(J$1),1))</f>
        <v/>
      </c>
    </row>
    <row r="37" spans="1:87" outlineLevel="1" x14ac:dyDescent="0.4">
      <c r="C37" t="s">
        <v>62</v>
      </c>
      <c r="D37" t="str">
        <f t="shared" si="2"/>
        <v>0/0/0</v>
      </c>
      <c r="E37">
        <v>1</v>
      </c>
      <c r="AX37" t="str">
        <f>IF($A37="","", INDEX(CS!$B$1:$B$12903,MATCH($A37,CS!$B:$B,0)+COLUMN(A$1),1))</f>
        <v/>
      </c>
      <c r="AY37" t="str">
        <f>IF($A37="","", INDEX(CS!$B$1:$B$12903,MATCH($A37,CS!$B:$B,0)+COLUMN(B$1),1))</f>
        <v/>
      </c>
      <c r="AZ37" t="str">
        <f>IF($A37="","", INDEX(CS!$B$1:$B$12903,MATCH($A37,CS!$B:$B,0)+COLUMN(C$1),1))</f>
        <v/>
      </c>
      <c r="BA37" t="str">
        <f>IF($A37="","", INDEX(CS!$B$1:$B$12903,MATCH($A37,CS!$B:$B,0)+COLUMN(D$1),1))</f>
        <v/>
      </c>
      <c r="BB37" t="str">
        <f>IF($A37="","", INDEX(CS!$B$1:$B$12903,MATCH($A37,CS!$B:$B,0)+COLUMN(E$1),1))</f>
        <v/>
      </c>
      <c r="BC37" t="str">
        <f>IF($A37="","", INDEX(CS!$B$1:$B$12903,MATCH($A37,CS!$B:$B,0)+COLUMN(F$1),1))</f>
        <v/>
      </c>
      <c r="BD37" t="str">
        <f>IF($A37="","", INDEX(CS!$B$1:$B$12903,MATCH($A37,CS!$B:$B,0)+COLUMN(G$1),1))</f>
        <v/>
      </c>
      <c r="BE37" t="str">
        <f>IF($A37="","", INDEX(CS!$B$1:$B$12903,MATCH($A37,CS!$B:$B,0)+COLUMN(H$1),1))</f>
        <v/>
      </c>
      <c r="BF37" t="str">
        <f>IF($A37="","", INDEX(CS!$B$1:$B$12903,MATCH($A37,CS!$B:$B,0)+COLUMN(I$1),1))</f>
        <v/>
      </c>
      <c r="BG37" t="str">
        <f>IF($A37="","", INDEX(CS!$B$1:$B$12903,MATCH($A37,CS!$B:$B,0)+COLUMN(J$1),1))</f>
        <v/>
      </c>
    </row>
    <row r="38" spans="1:87" outlineLevel="1" x14ac:dyDescent="0.4">
      <c r="C38" t="s">
        <v>62</v>
      </c>
      <c r="D38" t="str">
        <f t="shared" si="2"/>
        <v>0/0/0</v>
      </c>
      <c r="E38">
        <v>1</v>
      </c>
      <c r="AX38" t="str">
        <f>IF($A38="","", INDEX(CS!$B$1:$B$12903,MATCH($A38,CS!$B:$B,0)+COLUMN(A$1),1))</f>
        <v/>
      </c>
      <c r="AY38" t="str">
        <f>IF($A38="","", INDEX(CS!$B$1:$B$12903,MATCH($A38,CS!$B:$B,0)+COLUMN(B$1),1))</f>
        <v/>
      </c>
      <c r="AZ38" t="str">
        <f>IF($A38="","", INDEX(CS!$B$1:$B$12903,MATCH($A38,CS!$B:$B,0)+COLUMN(C$1),1))</f>
        <v/>
      </c>
      <c r="BA38" t="str">
        <f>IF($A38="","", INDEX(CS!$B$1:$B$12903,MATCH($A38,CS!$B:$B,0)+COLUMN(D$1),1))</f>
        <v/>
      </c>
      <c r="BB38" t="str">
        <f>IF($A38="","", INDEX(CS!$B$1:$B$12903,MATCH($A38,CS!$B:$B,0)+COLUMN(E$1),1))</f>
        <v/>
      </c>
      <c r="BC38" t="str">
        <f>IF($A38="","", INDEX(CS!$B$1:$B$12903,MATCH($A38,CS!$B:$B,0)+COLUMN(F$1),1))</f>
        <v/>
      </c>
      <c r="BD38" t="str">
        <f>IF($A38="","", INDEX(CS!$B$1:$B$12903,MATCH($A38,CS!$B:$B,0)+COLUMN(G$1),1))</f>
        <v/>
      </c>
      <c r="BE38" t="str">
        <f>IF($A38="","", INDEX(CS!$B$1:$B$12903,MATCH($A38,CS!$B:$B,0)+COLUMN(H$1),1))</f>
        <v/>
      </c>
      <c r="BF38" t="str">
        <f>IF($A38="","", INDEX(CS!$B$1:$B$12903,MATCH($A38,CS!$B:$B,0)+COLUMN(I$1),1))</f>
        <v/>
      </c>
      <c r="BG38" t="str">
        <f>IF($A38="","", INDEX(CS!$B$1:$B$12903,MATCH($A38,CS!$B:$B,0)+COLUMN(J$1),1))</f>
        <v/>
      </c>
    </row>
    <row r="39" spans="1:87" outlineLevel="1" x14ac:dyDescent="0.4">
      <c r="C39" t="s">
        <v>62</v>
      </c>
      <c r="D39" t="str">
        <f t="shared" si="2"/>
        <v>0/0/0</v>
      </c>
      <c r="E39">
        <v>1</v>
      </c>
      <c r="AX39" t="str">
        <f>IF($A39="","", INDEX(CS!$B$1:$B$12903,MATCH($A39,CS!$B:$B,0)+COLUMN(A$1),1))</f>
        <v/>
      </c>
      <c r="AY39" t="str">
        <f>IF($A39="","", INDEX(CS!$B$1:$B$12903,MATCH($A39,CS!$B:$B,0)+COLUMN(B$1),1))</f>
        <v/>
      </c>
      <c r="AZ39" t="str">
        <f>IF($A39="","", INDEX(CS!$B$1:$B$12903,MATCH($A39,CS!$B:$B,0)+COLUMN(C$1),1))</f>
        <v/>
      </c>
      <c r="BA39" t="str">
        <f>IF($A39="","", INDEX(CS!$B$1:$B$12903,MATCH($A39,CS!$B:$B,0)+COLUMN(D$1),1))</f>
        <v/>
      </c>
      <c r="BB39" t="str">
        <f>IF($A39="","", INDEX(CS!$B$1:$B$12903,MATCH($A39,CS!$B:$B,0)+COLUMN(E$1),1))</f>
        <v/>
      </c>
      <c r="BC39" t="str">
        <f>IF($A39="","", INDEX(CS!$B$1:$B$12903,MATCH($A39,CS!$B:$B,0)+COLUMN(F$1),1))</f>
        <v/>
      </c>
      <c r="BD39" t="str">
        <f>IF($A39="","", INDEX(CS!$B$1:$B$12903,MATCH($A39,CS!$B:$B,0)+COLUMN(G$1),1))</f>
        <v/>
      </c>
      <c r="BE39" t="str">
        <f>IF($A39="","", INDEX(CS!$B$1:$B$12903,MATCH($A39,CS!$B:$B,0)+COLUMN(H$1),1))</f>
        <v/>
      </c>
      <c r="BF39" t="str">
        <f>IF($A39="","", INDEX(CS!$B$1:$B$12903,MATCH($A39,CS!$B:$B,0)+COLUMN(I$1),1))</f>
        <v/>
      </c>
      <c r="BG39" t="str">
        <f>IF($A39="","", INDEX(CS!$B$1:$B$12903,MATCH($A39,CS!$B:$B,0)+COLUMN(J$1),1))</f>
        <v/>
      </c>
    </row>
    <row r="40" spans="1:87" outlineLevel="1" x14ac:dyDescent="0.4">
      <c r="C40" t="s">
        <v>62</v>
      </c>
      <c r="D40" t="str">
        <f t="shared" si="2"/>
        <v>0/0/0</v>
      </c>
      <c r="E40">
        <v>1</v>
      </c>
      <c r="AX40" t="str">
        <f>IF($A40="","", INDEX(CS!$B$1:$B$12903,MATCH($A40,CS!$B:$B,0)+COLUMN(A$1),1))</f>
        <v/>
      </c>
      <c r="AY40" t="str">
        <f>IF($A40="","", INDEX(CS!$B$1:$B$12903,MATCH($A40,CS!$B:$B,0)+COLUMN(B$1),1))</f>
        <v/>
      </c>
      <c r="AZ40" t="str">
        <f>IF($A40="","", INDEX(CS!$B$1:$B$12903,MATCH($A40,CS!$B:$B,0)+COLUMN(C$1),1))</f>
        <v/>
      </c>
      <c r="BA40" t="str">
        <f>IF($A40="","", INDEX(CS!$B$1:$B$12903,MATCH($A40,CS!$B:$B,0)+COLUMN(D$1),1))</f>
        <v/>
      </c>
      <c r="BB40" t="str">
        <f>IF($A40="","", INDEX(CS!$B$1:$B$12903,MATCH($A40,CS!$B:$B,0)+COLUMN(E$1),1))</f>
        <v/>
      </c>
      <c r="BC40" t="str">
        <f>IF($A40="","", INDEX(CS!$B$1:$B$12903,MATCH($A40,CS!$B:$B,0)+COLUMN(F$1),1))</f>
        <v/>
      </c>
      <c r="BD40" t="str">
        <f>IF($A40="","", INDEX(CS!$B$1:$B$12903,MATCH($A40,CS!$B:$B,0)+COLUMN(G$1),1))</f>
        <v/>
      </c>
      <c r="BE40" t="str">
        <f>IF($A40="","", INDEX(CS!$B$1:$B$12903,MATCH($A40,CS!$B:$B,0)+COLUMN(H$1),1))</f>
        <v/>
      </c>
      <c r="BF40" t="str">
        <f>IF($A40="","", INDEX(CS!$B$1:$B$12903,MATCH($A40,CS!$B:$B,0)+COLUMN(I$1),1))</f>
        <v/>
      </c>
      <c r="BG40" t="str">
        <f>IF($A40="","", INDEX(CS!$B$1:$B$12903,MATCH($A40,CS!$B:$B,0)+COLUMN(J$1),1))</f>
        <v/>
      </c>
    </row>
    <row r="41" spans="1:87" x14ac:dyDescent="0.4">
      <c r="C41" t="s">
        <v>62</v>
      </c>
      <c r="D41" t="str">
        <f t="shared" si="2"/>
        <v>0/0/0</v>
      </c>
      <c r="E41">
        <v>1</v>
      </c>
      <c r="AX41" t="str">
        <f>IF($A41="","", INDEX(CS!$B$1:$B$12903,MATCH($A41,CS!$B:$B,0)+COLUMN(A$1),1))</f>
        <v/>
      </c>
      <c r="AY41" t="str">
        <f>IF($A41="","", INDEX(CS!$B$1:$B$12903,MATCH($A41,CS!$B:$B,0)+COLUMN(B$1),1))</f>
        <v/>
      </c>
      <c r="AZ41" t="str">
        <f>IF($A41="","", INDEX(CS!$B$1:$B$12903,MATCH($A41,CS!$B:$B,0)+COLUMN(C$1),1))</f>
        <v/>
      </c>
      <c r="BA41" t="str">
        <f>IF($A41="","", INDEX(CS!$B$1:$B$12903,MATCH($A41,CS!$B:$B,0)+COLUMN(D$1),1))</f>
        <v/>
      </c>
      <c r="BB41" t="str">
        <f>IF($A41="","", INDEX(CS!$B$1:$B$12903,MATCH($A41,CS!$B:$B,0)+COLUMN(E$1),1))</f>
        <v/>
      </c>
      <c r="BC41" t="str">
        <f>IF($A41="","", INDEX(CS!$B$1:$B$12903,MATCH($A41,CS!$B:$B,0)+COLUMN(F$1),1))</f>
        <v/>
      </c>
      <c r="BD41" t="str">
        <f>IF($A41="","", INDEX(CS!$B$1:$B$12903,MATCH($A41,CS!$B:$B,0)+COLUMN(G$1),1))</f>
        <v/>
      </c>
      <c r="BE41" t="str">
        <f>IF($A41="","", INDEX(CS!$B$1:$B$12903,MATCH($A41,CS!$B:$B,0)+COLUMN(H$1),1))</f>
        <v/>
      </c>
      <c r="BF41" t="str">
        <f>IF($A41="","", INDEX(CS!$B$1:$B$12903,MATCH($A41,CS!$B:$B,0)+COLUMN(I$1),1))</f>
        <v/>
      </c>
      <c r="BG41" t="str">
        <f>IF($A41="","", INDEX(CS!$B$1:$B$12903,MATCH($A41,CS!$B:$B,0)+COLUMN(J$1),1))</f>
        <v/>
      </c>
    </row>
    <row r="42" spans="1:87" x14ac:dyDescent="0.4">
      <c r="A42" s="1" t="s">
        <v>69</v>
      </c>
      <c r="B42" t="s">
        <v>67</v>
      </c>
      <c r="C42" t="s">
        <v>62</v>
      </c>
      <c r="D42" t="str">
        <f t="shared" si="2"/>
        <v>690/515/175</v>
      </c>
      <c r="E42">
        <v>1</v>
      </c>
      <c r="F42">
        <v>75</v>
      </c>
      <c r="I42">
        <v>55</v>
      </c>
      <c r="J42">
        <v>60</v>
      </c>
      <c r="K42" s="24">
        <v>100</v>
      </c>
      <c r="L42">
        <v>85</v>
      </c>
      <c r="M42">
        <v>75</v>
      </c>
      <c r="N42">
        <v>65</v>
      </c>
      <c r="O42">
        <v>140</v>
      </c>
      <c r="P42" s="17">
        <v>15</v>
      </c>
      <c r="S42" s="17">
        <v>100</v>
      </c>
      <c r="T42" s="17">
        <v>-45</v>
      </c>
      <c r="V42" s="17">
        <v>100</v>
      </c>
      <c r="W42" s="17">
        <v>-45</v>
      </c>
      <c r="AD42">
        <v>100</v>
      </c>
      <c r="AK42">
        <v>75</v>
      </c>
      <c r="AN42">
        <v>75</v>
      </c>
      <c r="AO42">
        <v>25</v>
      </c>
      <c r="AX42" t="str">
        <f>IF($A42="","", INDEX(CS!$B$1:$B$12903,MATCH($A42,CS!$B:$B,0)+COLUMN(A$1),1))</f>
        <v>炎の拳</v>
      </c>
      <c r="AY42">
        <f>IF($A42="","", INDEX(CS!$B$1:$B$12903,MATCH($A42,CS!$B:$B,0)+COLUMN(B$1),1))</f>
        <v>0</v>
      </c>
      <c r="AZ42" t="str">
        <f>IF($A42="","", INDEX(CS!$B$1:$B$12903,MATCH($A42,CS!$B:$B,0)+COLUMN(C$1),1))</f>
        <v>浮遊</v>
      </c>
      <c r="BA42">
        <f>IF($A42="","", INDEX(CS!$B$1:$B$12903,MATCH($A42,CS!$B:$B,0)+COLUMN(D$1),1))</f>
        <v>0</v>
      </c>
      <c r="BB42">
        <f>IF($A42="","", INDEX(CS!$B$1:$B$12903,MATCH($A42,CS!$B:$B,0)+COLUMN(E$1),1))</f>
        <v>0</v>
      </c>
      <c r="BC42" t="str">
        <f>IF($A42="","", INDEX(CS!$B$1:$B$12903,MATCH($A42,CS!$B:$B,0)+COLUMN(F$1),1))</f>
        <v>炎の魔力</v>
      </c>
      <c r="BD42">
        <f>IF($A42="","", INDEX(CS!$B$1:$B$12903,MATCH($A42,CS!$B:$B,0)+COLUMN(G$1),1))</f>
        <v>0</v>
      </c>
      <c r="BE42">
        <f>IF($A42="","", INDEX(CS!$B$1:$B$12903,MATCH($A42,CS!$B:$B,0)+COLUMN(H$1),1))</f>
        <v>0</v>
      </c>
      <c r="BF42" t="str">
        <f>IF($A42="","", INDEX(CS!$B$1:$B$12903,MATCH($A42,CS!$B:$B,0)+COLUMN(I$1),1))</f>
        <v>炎の力</v>
      </c>
      <c r="BG42" t="str">
        <f>IF($A42="","", INDEX(CS!$B$1:$B$12903,MATCH($A42,CS!$B:$B,0)+COLUMN(J$1),1))</f>
        <v>炎の吐息</v>
      </c>
      <c r="CD42" t="s">
        <v>914</v>
      </c>
      <c r="CE42" t="s">
        <v>914</v>
      </c>
      <c r="CF42" t="s">
        <v>914</v>
      </c>
      <c r="CI42" t="s">
        <v>67</v>
      </c>
    </row>
    <row r="43" spans="1:87" x14ac:dyDescent="0.4">
      <c r="A43" s="1" t="s">
        <v>71</v>
      </c>
      <c r="B43" t="s">
        <v>67</v>
      </c>
      <c r="C43" t="s">
        <v>62</v>
      </c>
      <c r="D43" t="str">
        <f t="shared" si="2"/>
        <v>690/515/175</v>
      </c>
      <c r="E43">
        <v>1</v>
      </c>
      <c r="F43">
        <v>75</v>
      </c>
      <c r="I43">
        <v>55</v>
      </c>
      <c r="J43">
        <v>60</v>
      </c>
      <c r="K43" s="24">
        <v>100</v>
      </c>
      <c r="L43">
        <v>85</v>
      </c>
      <c r="M43">
        <v>75</v>
      </c>
      <c r="N43">
        <v>65</v>
      </c>
      <c r="O43">
        <v>140</v>
      </c>
      <c r="P43" s="17">
        <v>15</v>
      </c>
      <c r="S43" s="17">
        <v>-45</v>
      </c>
      <c r="T43" s="17">
        <v>100</v>
      </c>
      <c r="V43" s="17">
        <v>-45</v>
      </c>
      <c r="W43" s="17">
        <v>100</v>
      </c>
      <c r="AD43">
        <v>100</v>
      </c>
      <c r="AK43">
        <v>75</v>
      </c>
      <c r="AN43">
        <v>75</v>
      </c>
      <c r="AO43">
        <v>25</v>
      </c>
      <c r="AX43" t="str">
        <f>IF($A43="","", INDEX(CS!$B$1:$B$12903,MATCH($A43,CS!$B:$B,0)+COLUMN(A$1),1))</f>
        <v>氷の拳</v>
      </c>
      <c r="AY43">
        <f>IF($A43="","", INDEX(CS!$B$1:$B$12903,MATCH($A43,CS!$B:$B,0)+COLUMN(B$1),1))</f>
        <v>0</v>
      </c>
      <c r="AZ43" t="str">
        <f>IF($A43="","", INDEX(CS!$B$1:$B$12903,MATCH($A43,CS!$B:$B,0)+COLUMN(C$1),1))</f>
        <v>浮遊</v>
      </c>
      <c r="BA43">
        <f>IF($A43="","", INDEX(CS!$B$1:$B$12903,MATCH($A43,CS!$B:$B,0)+COLUMN(D$1),1))</f>
        <v>0</v>
      </c>
      <c r="BB43">
        <f>IF($A43="","", INDEX(CS!$B$1:$B$12903,MATCH($A43,CS!$B:$B,0)+COLUMN(E$1),1))</f>
        <v>0</v>
      </c>
      <c r="BC43" t="str">
        <f>IF($A43="","", INDEX(CS!$B$1:$B$12903,MATCH($A43,CS!$B:$B,0)+COLUMN(F$1),1))</f>
        <v>氷の魔力</v>
      </c>
      <c r="BD43">
        <f>IF($A43="","", INDEX(CS!$B$1:$B$12903,MATCH($A43,CS!$B:$B,0)+COLUMN(G$1),1))</f>
        <v>0</v>
      </c>
      <c r="BE43">
        <f>IF($A43="","", INDEX(CS!$B$1:$B$12903,MATCH($A43,CS!$B:$B,0)+COLUMN(H$1),1))</f>
        <v>0</v>
      </c>
      <c r="BF43" t="str">
        <f>IF($A43="","", INDEX(CS!$B$1:$B$12903,MATCH($A43,CS!$B:$B,0)+COLUMN(I$1),1))</f>
        <v>氷の力</v>
      </c>
      <c r="BG43" t="str">
        <f>IF($A43="","", INDEX(CS!$B$1:$B$12903,MATCH($A43,CS!$B:$B,0)+COLUMN(J$1),1))</f>
        <v>氷の吐息</v>
      </c>
      <c r="CI43" t="s">
        <v>67</v>
      </c>
    </row>
    <row r="44" spans="1:87" x14ac:dyDescent="0.4">
      <c r="A44" s="1" t="s">
        <v>855</v>
      </c>
      <c r="B44" t="s">
        <v>67</v>
      </c>
      <c r="C44" t="s">
        <v>62</v>
      </c>
      <c r="D44" t="str">
        <f t="shared" ref="D44" si="3">SUM(AI44:AW44,F44:N44)&amp;"/"&amp;SUM(F44:N44)&amp;"/"&amp;SUM(AI44:AW44)</f>
        <v>690/515/175</v>
      </c>
      <c r="E44">
        <v>1</v>
      </c>
      <c r="F44">
        <v>75</v>
      </c>
      <c r="I44">
        <v>55</v>
      </c>
      <c r="J44">
        <v>60</v>
      </c>
      <c r="K44" s="24">
        <v>100</v>
      </c>
      <c r="L44">
        <v>85</v>
      </c>
      <c r="M44">
        <v>75</v>
      </c>
      <c r="N44">
        <v>65</v>
      </c>
      <c r="O44">
        <v>140</v>
      </c>
      <c r="P44" s="17">
        <v>15</v>
      </c>
      <c r="S44" s="17">
        <v>-45</v>
      </c>
      <c r="T44" s="17">
        <v>100</v>
      </c>
      <c r="V44" s="17">
        <v>-45</v>
      </c>
      <c r="W44" s="17">
        <v>100</v>
      </c>
      <c r="AD44">
        <v>100</v>
      </c>
      <c r="AK44">
        <v>75</v>
      </c>
      <c r="AN44">
        <v>75</v>
      </c>
      <c r="AO44">
        <v>25</v>
      </c>
      <c r="AX44" t="str">
        <f>IF($A44="","", INDEX(CS!$B$1:$B$12903,MATCH($A44,CS!$B:$B,0)+COLUMN(A$1),1))</f>
        <v>水の拳</v>
      </c>
      <c r="AY44">
        <f>IF($A44="","", INDEX(CS!$B$1:$B$12903,MATCH($A44,CS!$B:$B,0)+COLUMN(B$1),1))</f>
        <v>0</v>
      </c>
      <c r="AZ44" t="str">
        <f>IF($A44="","", INDEX(CS!$B$1:$B$12903,MATCH($A44,CS!$B:$B,0)+COLUMN(C$1),1))</f>
        <v>水の精霊</v>
      </c>
      <c r="BA44">
        <f>IF($A44="","", INDEX(CS!$B$1:$B$12903,MATCH($A44,CS!$B:$B,0)+COLUMN(D$1),1))</f>
        <v>0</v>
      </c>
      <c r="BB44">
        <f>IF($A44="","", INDEX(CS!$B$1:$B$12903,MATCH($A44,CS!$B:$B,0)+COLUMN(E$1),1))</f>
        <v>0</v>
      </c>
      <c r="BC44" t="str">
        <f>IF($A44="","", INDEX(CS!$B$1:$B$12903,MATCH($A44,CS!$B:$B,0)+COLUMN(F$1),1))</f>
        <v>水の魔力</v>
      </c>
      <c r="BD44">
        <f>IF($A44="","", INDEX(CS!$B$1:$B$12903,MATCH($A44,CS!$B:$B,0)+COLUMN(G$1),1))</f>
        <v>0</v>
      </c>
      <c r="BE44">
        <f>IF($A44="","", INDEX(CS!$B$1:$B$12903,MATCH($A44,CS!$B:$B,0)+COLUMN(H$1),1))</f>
        <v>0</v>
      </c>
      <c r="BF44" t="str">
        <f>IF($A44="","", INDEX(CS!$B$1:$B$12903,MATCH($A44,CS!$B:$B,0)+COLUMN(I$1),1))</f>
        <v>水の力</v>
      </c>
      <c r="BG44" t="str">
        <f>IF($A44="","", INDEX(CS!$B$1:$B$12903,MATCH($A44,CS!$B:$B,0)+COLUMN(J$1),1))</f>
        <v>水の吐息</v>
      </c>
      <c r="CI44" t="s">
        <v>67</v>
      </c>
    </row>
    <row r="45" spans="1:87" x14ac:dyDescent="0.4">
      <c r="A45" s="1" t="s">
        <v>73</v>
      </c>
      <c r="B45" t="s">
        <v>67</v>
      </c>
      <c r="C45" t="s">
        <v>62</v>
      </c>
      <c r="D45" t="str">
        <f t="shared" si="2"/>
        <v>690/515/175</v>
      </c>
      <c r="E45">
        <v>1</v>
      </c>
      <c r="F45">
        <v>75</v>
      </c>
      <c r="I45">
        <v>55</v>
      </c>
      <c r="J45">
        <v>60</v>
      </c>
      <c r="K45" s="24">
        <v>100</v>
      </c>
      <c r="L45">
        <v>85</v>
      </c>
      <c r="M45">
        <v>75</v>
      </c>
      <c r="N45">
        <v>65</v>
      </c>
      <c r="O45">
        <v>140</v>
      </c>
      <c r="P45" s="17">
        <v>-15</v>
      </c>
      <c r="U45" s="17">
        <v>100</v>
      </c>
      <c r="X45" s="17">
        <v>100</v>
      </c>
      <c r="AD45">
        <v>100</v>
      </c>
      <c r="AK45">
        <v>75</v>
      </c>
      <c r="AN45">
        <v>75</v>
      </c>
      <c r="AO45">
        <v>25</v>
      </c>
      <c r="AX45" t="str">
        <f>IF($A45="","", INDEX(CS!$B$1:$B$12903,MATCH($A45,CS!$B:$B,0)+COLUMN(A$1),1))</f>
        <v>風の拳</v>
      </c>
      <c r="AY45">
        <f>IF($A45="","", INDEX(CS!$B$1:$B$12903,MATCH($A45,CS!$B:$B,0)+COLUMN(B$1),1))</f>
        <v>0</v>
      </c>
      <c r="AZ45" t="str">
        <f>IF($A45="","", INDEX(CS!$B$1:$B$12903,MATCH($A45,CS!$B:$B,0)+COLUMN(C$1),1))</f>
        <v>浮遊</v>
      </c>
      <c r="BA45">
        <f>IF($A45="","", INDEX(CS!$B$1:$B$12903,MATCH($A45,CS!$B:$B,0)+COLUMN(D$1),1))</f>
        <v>0</v>
      </c>
      <c r="BB45">
        <f>IF($A45="","", INDEX(CS!$B$1:$B$12903,MATCH($A45,CS!$B:$B,0)+COLUMN(E$1),1))</f>
        <v>0</v>
      </c>
      <c r="BC45" t="str">
        <f>IF($A45="","", INDEX(CS!$B$1:$B$12903,MATCH($A45,CS!$B:$B,0)+COLUMN(F$1),1))</f>
        <v>風の魔力</v>
      </c>
      <c r="BD45">
        <f>IF($A45="","", INDEX(CS!$B$1:$B$12903,MATCH($A45,CS!$B:$B,0)+COLUMN(G$1),1))</f>
        <v>0</v>
      </c>
      <c r="BE45">
        <f>IF($A45="","", INDEX(CS!$B$1:$B$12903,MATCH($A45,CS!$B:$B,0)+COLUMN(H$1),1))</f>
        <v>0</v>
      </c>
      <c r="BF45" t="str">
        <f>IF($A45="","", INDEX(CS!$B$1:$B$12903,MATCH($A45,CS!$B:$B,0)+COLUMN(I$1),1))</f>
        <v>風の力</v>
      </c>
      <c r="BG45" t="str">
        <f>IF($A45="","", INDEX(CS!$B$1:$B$12903,MATCH($A45,CS!$B:$B,0)+COLUMN(J$1),1))</f>
        <v>風の吐息</v>
      </c>
      <c r="CI45" t="s">
        <v>67</v>
      </c>
    </row>
    <row r="46" spans="1:87" x14ac:dyDescent="0.4">
      <c r="A46" s="1" t="s">
        <v>75</v>
      </c>
      <c r="B46" t="s">
        <v>67</v>
      </c>
      <c r="C46" t="s">
        <v>62</v>
      </c>
      <c r="D46" t="str">
        <f t="shared" si="2"/>
        <v>700/525/175</v>
      </c>
      <c r="E46">
        <v>1</v>
      </c>
      <c r="F46">
        <v>90</v>
      </c>
      <c r="I46">
        <v>90</v>
      </c>
      <c r="J46">
        <v>80</v>
      </c>
      <c r="K46" s="24">
        <v>100</v>
      </c>
      <c r="L46">
        <v>50</v>
      </c>
      <c r="M46">
        <v>50</v>
      </c>
      <c r="N46">
        <v>65</v>
      </c>
      <c r="O46">
        <v>140</v>
      </c>
      <c r="P46" s="17">
        <v>15</v>
      </c>
      <c r="Y46" s="17">
        <v>-45</v>
      </c>
      <c r="AD46">
        <v>100</v>
      </c>
      <c r="AK46">
        <v>75</v>
      </c>
      <c r="AN46">
        <v>75</v>
      </c>
      <c r="AO46">
        <v>25</v>
      </c>
      <c r="AX46" t="str">
        <f>IF($A46="","", INDEX(CS!$B$1:$B$12903,MATCH($A46,CS!$B:$B,0)+COLUMN(A$1),1))</f>
        <v>地の拳</v>
      </c>
      <c r="AY46">
        <f>IF($A46="","", INDEX(CS!$B$1:$B$12903,MATCH($A46,CS!$B:$B,0)+COLUMN(B$1),1))</f>
        <v>0</v>
      </c>
      <c r="AZ46" t="str">
        <f>IF($A46="","", INDEX(CS!$B$1:$B$12903,MATCH($A46,CS!$B:$B,0)+COLUMN(C$1),1))</f>
        <v>浮遊</v>
      </c>
      <c r="BA46">
        <f>IF($A46="","", INDEX(CS!$B$1:$B$12903,MATCH($A46,CS!$B:$B,0)+COLUMN(D$1),1))</f>
        <v>0</v>
      </c>
      <c r="BB46">
        <f>IF($A46="","", INDEX(CS!$B$1:$B$12903,MATCH($A46,CS!$B:$B,0)+COLUMN(E$1),1))</f>
        <v>0</v>
      </c>
      <c r="BC46" t="str">
        <f>IF($A46="","", INDEX(CS!$B$1:$B$12903,MATCH($A46,CS!$B:$B,0)+COLUMN(F$1),1))</f>
        <v>地の魔力</v>
      </c>
      <c r="BD46">
        <f>IF($A46="","", INDEX(CS!$B$1:$B$12903,MATCH($A46,CS!$B:$B,0)+COLUMN(G$1),1))</f>
        <v>0</v>
      </c>
      <c r="BE46">
        <f>IF($A46="","", INDEX(CS!$B$1:$B$12903,MATCH($A46,CS!$B:$B,0)+COLUMN(H$1),1))</f>
        <v>0</v>
      </c>
      <c r="BF46" t="str">
        <f>IF($A46="","", INDEX(CS!$B$1:$B$12903,MATCH($A46,CS!$B:$B,0)+COLUMN(I$1),1))</f>
        <v>地の力</v>
      </c>
      <c r="BG46" t="str">
        <f>IF($A46="","", INDEX(CS!$B$1:$B$12903,MATCH($A46,CS!$B:$B,0)+COLUMN(J$1),1))</f>
        <v>石礫の吐息</v>
      </c>
      <c r="CI46" t="s">
        <v>67</v>
      </c>
    </row>
    <row r="47" spans="1:87" x14ac:dyDescent="0.4">
      <c r="C47" t="s">
        <v>62</v>
      </c>
      <c r="D47" t="str">
        <f t="shared" si="2"/>
        <v>0/0/0</v>
      </c>
      <c r="E47">
        <v>1</v>
      </c>
      <c r="AX47" t="str">
        <f>IF($A47="","", INDEX(CS!$B$1:$B$12903,MATCH($A47,CS!$B:$B,0)+COLUMN(A$1),1))</f>
        <v/>
      </c>
      <c r="AY47" t="str">
        <f>IF($A47="","", INDEX(CS!$B$1:$B$12903,MATCH($A47,CS!$B:$B,0)+COLUMN(B$1),1))</f>
        <v/>
      </c>
      <c r="AZ47" t="str">
        <f>IF($A47="","", INDEX(CS!$B$1:$B$12903,MATCH($A47,CS!$B:$B,0)+COLUMN(C$1),1))</f>
        <v/>
      </c>
      <c r="BA47" t="str">
        <f>IF($A47="","", INDEX(CS!$B$1:$B$12903,MATCH($A47,CS!$B:$B,0)+COLUMN(D$1),1))</f>
        <v/>
      </c>
      <c r="BB47" t="str">
        <f>IF($A47="","", INDEX(CS!$B$1:$B$12903,MATCH($A47,CS!$B:$B,0)+COLUMN(E$1),1))</f>
        <v/>
      </c>
      <c r="BC47" t="str">
        <f>IF($A47="","", INDEX(CS!$B$1:$B$12903,MATCH($A47,CS!$B:$B,0)+COLUMN(F$1),1))</f>
        <v/>
      </c>
      <c r="BD47" t="str">
        <f>IF($A47="","", INDEX(CS!$B$1:$B$12903,MATCH($A47,CS!$B:$B,0)+COLUMN(G$1),1))</f>
        <v/>
      </c>
      <c r="BE47" t="str">
        <f>IF($A47="","", INDEX(CS!$B$1:$B$12903,MATCH($A47,CS!$B:$B,0)+COLUMN(H$1),1))</f>
        <v/>
      </c>
      <c r="BF47" t="str">
        <f>IF($A47="","", INDEX(CS!$B$1:$B$12903,MATCH($A47,CS!$B:$B,0)+COLUMN(I$1),1))</f>
        <v/>
      </c>
      <c r="BG47" t="str">
        <f>IF($A47="","", INDEX(CS!$B$1:$B$12903,MATCH($A47,CS!$B:$B,0)+COLUMN(J$1),1))</f>
        <v/>
      </c>
    </row>
    <row r="48" spans="1:87" x14ac:dyDescent="0.4">
      <c r="C48" t="s">
        <v>62</v>
      </c>
      <c r="D48" t="str">
        <f t="shared" si="2"/>
        <v>0/0/0</v>
      </c>
      <c r="E48">
        <v>1</v>
      </c>
      <c r="AX48" t="str">
        <f>IF($A48="","", INDEX(CS!$B$1:$B$12903,MATCH($A48,CS!$B:$B,0)+COLUMN(A$1),1))</f>
        <v/>
      </c>
      <c r="AY48" t="str">
        <f>IF($A48="","", INDEX(CS!$B$1:$B$12903,MATCH($A48,CS!$B:$B,0)+COLUMN(B$1),1))</f>
        <v/>
      </c>
      <c r="AZ48" t="str">
        <f>IF($A48="","", INDEX(CS!$B$1:$B$12903,MATCH($A48,CS!$B:$B,0)+COLUMN(C$1),1))</f>
        <v/>
      </c>
      <c r="BA48" t="str">
        <f>IF($A48="","", INDEX(CS!$B$1:$B$12903,MATCH($A48,CS!$B:$B,0)+COLUMN(D$1),1))</f>
        <v/>
      </c>
      <c r="BB48" t="str">
        <f>IF($A48="","", INDEX(CS!$B$1:$B$12903,MATCH($A48,CS!$B:$B,0)+COLUMN(E$1),1))</f>
        <v/>
      </c>
      <c r="BC48" t="str">
        <f>IF($A48="","", INDEX(CS!$B$1:$B$12903,MATCH($A48,CS!$B:$B,0)+COLUMN(F$1),1))</f>
        <v/>
      </c>
      <c r="BD48" t="str">
        <f>IF($A48="","", INDEX(CS!$B$1:$B$12903,MATCH($A48,CS!$B:$B,0)+COLUMN(G$1),1))</f>
        <v/>
      </c>
      <c r="BE48" t="str">
        <f>IF($A48="","", INDEX(CS!$B$1:$B$12903,MATCH($A48,CS!$B:$B,0)+COLUMN(H$1),1))</f>
        <v/>
      </c>
      <c r="BF48" t="str">
        <f>IF($A48="","", INDEX(CS!$B$1:$B$12903,MATCH($A48,CS!$B:$B,0)+COLUMN(I$1),1))</f>
        <v/>
      </c>
      <c r="BG48" t="str">
        <f>IF($A48="","", INDEX(CS!$B$1:$B$12903,MATCH($A48,CS!$B:$B,0)+COLUMN(J$1),1))</f>
        <v/>
      </c>
    </row>
    <row r="49" spans="1:87" x14ac:dyDescent="0.4">
      <c r="C49" t="s">
        <v>62</v>
      </c>
      <c r="D49" t="str">
        <f t="shared" si="2"/>
        <v>0/0/0</v>
      </c>
      <c r="E49">
        <v>1</v>
      </c>
      <c r="AX49" t="str">
        <f>IF($A49="","", INDEX(CS!$B$1:$B$12903,MATCH($A49,CS!$B:$B,0)+COLUMN(A$1),1))</f>
        <v/>
      </c>
      <c r="AY49" t="str">
        <f>IF($A49="","", INDEX(CS!$B$1:$B$12903,MATCH($A49,CS!$B:$B,0)+COLUMN(B$1),1))</f>
        <v/>
      </c>
      <c r="AZ49" t="str">
        <f>IF($A49="","", INDEX(CS!$B$1:$B$12903,MATCH($A49,CS!$B:$B,0)+COLUMN(C$1),1))</f>
        <v/>
      </c>
      <c r="BA49" t="str">
        <f>IF($A49="","", INDEX(CS!$B$1:$B$12903,MATCH($A49,CS!$B:$B,0)+COLUMN(D$1),1))</f>
        <v/>
      </c>
      <c r="BB49" t="str">
        <f>IF($A49="","", INDEX(CS!$B$1:$B$12903,MATCH($A49,CS!$B:$B,0)+COLUMN(E$1),1))</f>
        <v/>
      </c>
      <c r="BC49" t="str">
        <f>IF($A49="","", INDEX(CS!$B$1:$B$12903,MATCH($A49,CS!$B:$B,0)+COLUMN(F$1),1))</f>
        <v/>
      </c>
      <c r="BD49" t="str">
        <f>IF($A49="","", INDEX(CS!$B$1:$B$12903,MATCH($A49,CS!$B:$B,0)+COLUMN(G$1),1))</f>
        <v/>
      </c>
      <c r="BE49" t="str">
        <f>IF($A49="","", INDEX(CS!$B$1:$B$12903,MATCH($A49,CS!$B:$B,0)+COLUMN(H$1),1))</f>
        <v/>
      </c>
      <c r="BF49" t="str">
        <f>IF($A49="","", INDEX(CS!$B$1:$B$12903,MATCH($A49,CS!$B:$B,0)+COLUMN(I$1),1))</f>
        <v/>
      </c>
      <c r="BG49" t="str">
        <f>IF($A49="","", INDEX(CS!$B$1:$B$12903,MATCH($A49,CS!$B:$B,0)+COLUMN(J$1),1))</f>
        <v/>
      </c>
    </row>
    <row r="50" spans="1:87" x14ac:dyDescent="0.4">
      <c r="C50" t="s">
        <v>62</v>
      </c>
      <c r="D50" t="str">
        <f t="shared" si="2"/>
        <v>0/0/0</v>
      </c>
      <c r="E50">
        <v>1</v>
      </c>
      <c r="AX50" t="str">
        <f>IF($A50="","", INDEX(CS!$B$1:$B$12903,MATCH($A50,CS!$B:$B,0)+COLUMN(A$1),1))</f>
        <v/>
      </c>
      <c r="AY50" t="str">
        <f>IF($A50="","", INDEX(CS!$B$1:$B$12903,MATCH($A50,CS!$B:$B,0)+COLUMN(B$1),1))</f>
        <v/>
      </c>
      <c r="AZ50" t="str">
        <f>IF($A50="","", INDEX(CS!$B$1:$B$12903,MATCH($A50,CS!$B:$B,0)+COLUMN(C$1),1))</f>
        <v/>
      </c>
      <c r="BA50" t="str">
        <f>IF($A50="","", INDEX(CS!$B$1:$B$12903,MATCH($A50,CS!$B:$B,0)+COLUMN(D$1),1))</f>
        <v/>
      </c>
      <c r="BB50" t="str">
        <f>IF($A50="","", INDEX(CS!$B$1:$B$12903,MATCH($A50,CS!$B:$B,0)+COLUMN(E$1),1))</f>
        <v/>
      </c>
      <c r="BC50" t="str">
        <f>IF($A50="","", INDEX(CS!$B$1:$B$12903,MATCH($A50,CS!$B:$B,0)+COLUMN(F$1),1))</f>
        <v/>
      </c>
      <c r="BD50" t="str">
        <f>IF($A50="","", INDEX(CS!$B$1:$B$12903,MATCH($A50,CS!$B:$B,0)+COLUMN(G$1),1))</f>
        <v/>
      </c>
      <c r="BE50" t="str">
        <f>IF($A50="","", INDEX(CS!$B$1:$B$12903,MATCH($A50,CS!$B:$B,0)+COLUMN(H$1),1))</f>
        <v/>
      </c>
      <c r="BF50" t="str">
        <f>IF($A50="","", INDEX(CS!$B$1:$B$12903,MATCH($A50,CS!$B:$B,0)+COLUMN(I$1),1))</f>
        <v/>
      </c>
      <c r="BG50" t="str">
        <f>IF($A50="","", INDEX(CS!$B$1:$B$12903,MATCH($A50,CS!$B:$B,0)+COLUMN(J$1),1))</f>
        <v/>
      </c>
    </row>
    <row r="51" spans="1:87" x14ac:dyDescent="0.4">
      <c r="C51" t="s">
        <v>62</v>
      </c>
      <c r="D51" t="str">
        <f t="shared" si="2"/>
        <v>0/0/0</v>
      </c>
      <c r="E51">
        <v>1</v>
      </c>
      <c r="AX51" t="str">
        <f>IF($A51="","", INDEX(CS!$B$1:$B$12903,MATCH($A51,CS!$B:$B,0)+COLUMN(A$1),1))</f>
        <v/>
      </c>
      <c r="AY51" t="str">
        <f>IF($A51="","", INDEX(CS!$B$1:$B$12903,MATCH($A51,CS!$B:$B,0)+COLUMN(B$1),1))</f>
        <v/>
      </c>
      <c r="AZ51" t="str">
        <f>IF($A51="","", INDEX(CS!$B$1:$B$12903,MATCH($A51,CS!$B:$B,0)+COLUMN(C$1),1))</f>
        <v/>
      </c>
      <c r="BA51" t="str">
        <f>IF($A51="","", INDEX(CS!$B$1:$B$12903,MATCH($A51,CS!$B:$B,0)+COLUMN(D$1),1))</f>
        <v/>
      </c>
      <c r="BB51" t="str">
        <f>IF($A51="","", INDEX(CS!$B$1:$B$12903,MATCH($A51,CS!$B:$B,0)+COLUMN(E$1),1))</f>
        <v/>
      </c>
      <c r="BC51" t="str">
        <f>IF($A51="","", INDEX(CS!$B$1:$B$12903,MATCH($A51,CS!$B:$B,0)+COLUMN(F$1),1))</f>
        <v/>
      </c>
      <c r="BD51" t="str">
        <f>IF($A51="","", INDEX(CS!$B$1:$B$12903,MATCH($A51,CS!$B:$B,0)+COLUMN(G$1),1))</f>
        <v/>
      </c>
      <c r="BE51" t="str">
        <f>IF($A51="","", INDEX(CS!$B$1:$B$12903,MATCH($A51,CS!$B:$B,0)+COLUMN(H$1),1))</f>
        <v/>
      </c>
      <c r="BF51" t="str">
        <f>IF($A51="","", INDEX(CS!$B$1:$B$12903,MATCH($A51,CS!$B:$B,0)+COLUMN(I$1),1))</f>
        <v/>
      </c>
      <c r="BG51" t="str">
        <f>IF($A51="","", INDEX(CS!$B$1:$B$12903,MATCH($A51,CS!$B:$B,0)+COLUMN(J$1),1))</f>
        <v/>
      </c>
    </row>
    <row r="52" spans="1:87" x14ac:dyDescent="0.4">
      <c r="B52" t="s">
        <v>896</v>
      </c>
      <c r="D52" t="str">
        <f t="shared" si="2"/>
        <v>0/0/0</v>
      </c>
      <c r="E52">
        <v>1</v>
      </c>
      <c r="AX52" t="str">
        <f>IF($A52="","", INDEX(CS!$B$1:$B$12903,MATCH($A52,CS!$B:$B,0)+COLUMN(A$1),1))</f>
        <v/>
      </c>
      <c r="AY52" t="str">
        <f>IF($A52="","", INDEX(CS!$B$1:$B$12903,MATCH($A52,CS!$B:$B,0)+COLUMN(B$1),1))</f>
        <v/>
      </c>
      <c r="AZ52" t="str">
        <f>IF($A52="","", INDEX(CS!$B$1:$B$12903,MATCH($A52,CS!$B:$B,0)+COLUMN(C$1),1))</f>
        <v/>
      </c>
      <c r="BA52" t="str">
        <f>IF($A52="","", INDEX(CS!$B$1:$B$12903,MATCH($A52,CS!$B:$B,0)+COLUMN(D$1),1))</f>
        <v/>
      </c>
      <c r="BB52" t="str">
        <f>IF($A52="","", INDEX(CS!$B$1:$B$12903,MATCH($A52,CS!$B:$B,0)+COLUMN(E$1),1))</f>
        <v/>
      </c>
      <c r="BC52" t="str">
        <f>IF($A52="","", INDEX(CS!$B$1:$B$12903,MATCH($A52,CS!$B:$B,0)+COLUMN(F$1),1))</f>
        <v/>
      </c>
      <c r="BD52" t="str">
        <f>IF($A52="","", INDEX(CS!$B$1:$B$12903,MATCH($A52,CS!$B:$B,0)+COLUMN(G$1),1))</f>
        <v/>
      </c>
      <c r="BE52" t="str">
        <f>IF($A52="","", INDEX(CS!$B$1:$B$12903,MATCH($A52,CS!$B:$B,0)+COLUMN(H$1),1))</f>
        <v/>
      </c>
      <c r="BF52" t="str">
        <f>IF($A52="","", INDEX(CS!$B$1:$B$12903,MATCH($A52,CS!$B:$B,0)+COLUMN(I$1),1))</f>
        <v/>
      </c>
      <c r="BG52" t="str">
        <f>IF($A52="","", INDEX(CS!$B$1:$B$12903,MATCH($A52,CS!$B:$B,0)+COLUMN(J$1),1))</f>
        <v/>
      </c>
    </row>
    <row r="53" spans="1:87" x14ac:dyDescent="0.4">
      <c r="AX53" t="str">
        <f>IF($A53="","", INDEX(CS!$B$1:$B$12903,MATCH($A53,CS!$B:$B,0)+COLUMN(A$1),1))</f>
        <v/>
      </c>
      <c r="AY53" t="str">
        <f>IF($A53="","", INDEX(CS!$B$1:$B$12903,MATCH($A53,CS!$B:$B,0)+COLUMN(B$1),1))</f>
        <v/>
      </c>
      <c r="AZ53" t="str">
        <f>IF($A53="","", INDEX(CS!$B$1:$B$12903,MATCH($A53,CS!$B:$B,0)+COLUMN(C$1),1))</f>
        <v/>
      </c>
      <c r="BA53" t="str">
        <f>IF($A53="","", INDEX(CS!$B$1:$B$12903,MATCH($A53,CS!$B:$B,0)+COLUMN(D$1),1))</f>
        <v/>
      </c>
      <c r="BB53" t="str">
        <f>IF($A53="","", INDEX(CS!$B$1:$B$12903,MATCH($A53,CS!$B:$B,0)+COLUMN(E$1),1))</f>
        <v/>
      </c>
      <c r="BC53" t="str">
        <f>IF($A53="","", INDEX(CS!$B$1:$B$12903,MATCH($A53,CS!$B:$B,0)+COLUMN(F$1),1))</f>
        <v/>
      </c>
      <c r="BD53" t="str">
        <f>IF($A53="","", INDEX(CS!$B$1:$B$12903,MATCH($A53,CS!$B:$B,0)+COLUMN(G$1),1))</f>
        <v/>
      </c>
      <c r="BE53" t="str">
        <f>IF($A53="","", INDEX(CS!$B$1:$B$12903,MATCH($A53,CS!$B:$B,0)+COLUMN(H$1),1))</f>
        <v/>
      </c>
      <c r="BF53" t="str">
        <f>IF($A53="","", INDEX(CS!$B$1:$B$12903,MATCH($A53,CS!$B:$B,0)+COLUMN(I$1),1))</f>
        <v/>
      </c>
      <c r="BG53" t="str">
        <f>IF($A53="","", INDEX(CS!$B$1:$B$12903,MATCH($A53,CS!$B:$B,0)+COLUMN(J$1),1))</f>
        <v/>
      </c>
      <c r="CD53" t="s">
        <v>918</v>
      </c>
      <c r="CE53" t="s">
        <v>922</v>
      </c>
      <c r="CF53" t="s">
        <v>1126</v>
      </c>
    </row>
    <row r="54" spans="1:87" x14ac:dyDescent="0.4">
      <c r="A54" s="1" t="s">
        <v>1844</v>
      </c>
      <c r="B54" t="s">
        <v>1845</v>
      </c>
      <c r="C54" t="s">
        <v>51</v>
      </c>
      <c r="D54" t="str">
        <f t="shared" ref="D54" si="4">SUM(AI54:AW54,F54:N54)&amp;"/"&amp;SUM(F54:N54)&amp;"/"&amp;SUM(AI54:AW54)</f>
        <v>690/515/175</v>
      </c>
      <c r="E54">
        <v>1</v>
      </c>
      <c r="F54">
        <v>75</v>
      </c>
      <c r="I54">
        <v>55</v>
      </c>
      <c r="J54">
        <v>60</v>
      </c>
      <c r="K54" s="24">
        <v>100</v>
      </c>
      <c r="L54">
        <v>85</v>
      </c>
      <c r="M54">
        <v>75</v>
      </c>
      <c r="N54">
        <v>65</v>
      </c>
      <c r="O54">
        <v>140</v>
      </c>
      <c r="P54" s="17">
        <v>15</v>
      </c>
      <c r="AA54" s="17"/>
      <c r="AB54" s="17"/>
      <c r="AC54" s="17"/>
      <c r="AD54" s="17"/>
      <c r="AE54" s="17"/>
      <c r="AF54" s="17"/>
      <c r="AG54" s="17"/>
      <c r="AH54" s="17"/>
      <c r="AI54" s="17"/>
      <c r="AK54">
        <v>75</v>
      </c>
      <c r="AN54">
        <v>75</v>
      </c>
      <c r="AO54">
        <v>25</v>
      </c>
      <c r="AX54" t="str">
        <f>IF($A54="","", INDEX(CS!$B$1:$B$12903,MATCH($A54,CS!$B:$B,0)+COLUMN(A$1),1))</f>
        <v>平地化</v>
      </c>
      <c r="AY54" t="str">
        <f>IF($A54="","", INDEX(CS!$B$1:$B$12903,MATCH($A54,CS!$B:$B,0)+COLUMN(B$1),1))</f>
        <v>森化</v>
      </c>
      <c r="AZ54" t="str">
        <f>IF($A54="","", INDEX(CS!$B$1:$B$12903,MATCH($A54,CS!$B:$B,0)+COLUMN(C$1),1))</f>
        <v>山岳化</v>
      </c>
      <c r="BA54" t="str">
        <f>IF($A54="","", INDEX(CS!$B$1:$B$12903,MATCH($A54,CS!$B:$B,0)+COLUMN(D$1),1))</f>
        <v>丘陵化</v>
      </c>
      <c r="BB54" t="str">
        <f>IF($A54="","", INDEX(CS!$B$1:$B$12903,MATCH($A54,CS!$B:$B,0)+COLUMN(E$1),1))</f>
        <v>河川化</v>
      </c>
      <c r="BC54" t="str">
        <f>IF($A54="","", INDEX(CS!$B$1:$B$12903,MATCH($A54,CS!$B:$B,0)+COLUMN(F$1),1))</f>
        <v>湖化</v>
      </c>
      <c r="BD54" t="str">
        <f>IF($A54="","", INDEX(CS!$B$1:$B$12903,MATCH($A54,CS!$B:$B,0)+COLUMN(G$1),1))</f>
        <v>海化</v>
      </c>
      <c r="BE54" t="str">
        <f>IF($A54="","", INDEX(CS!$B$1:$B$12903,MATCH($A54,CS!$B:$B,0)+COLUMN(H$1),1))</f>
        <v>砂漠化</v>
      </c>
      <c r="BF54" t="str">
        <f>IF($A54="","", INDEX(CS!$B$1:$B$12903,MATCH($A54,CS!$B:$B,0)+COLUMN(I$1),1))</f>
        <v>沼地化</v>
      </c>
      <c r="BG54" t="str">
        <f>IF($A54="","", INDEX(CS!$B$1:$B$12903,MATCH($A54,CS!$B:$B,0)+COLUMN(J$1),1))</f>
        <v>薬草繁茂化</v>
      </c>
      <c r="CI54" t="s">
        <v>67</v>
      </c>
    </row>
    <row r="55" spans="1:87" x14ac:dyDescent="0.4">
      <c r="AX55" t="str">
        <f>IF($A55="","", INDEX(CS!$B$1:$B$12903,MATCH($A55,CS!$B:$B,0)+COLUMN(A$1),1))</f>
        <v/>
      </c>
      <c r="AY55" t="str">
        <f>IF($A55="","", INDEX(CS!$B$1:$B$12903,MATCH($A55,CS!$B:$B,0)+COLUMN(B$1),1))</f>
        <v/>
      </c>
      <c r="AZ55" t="str">
        <f>IF($A55="","", INDEX(CS!$B$1:$B$12903,MATCH($A55,CS!$B:$B,0)+COLUMN(C$1),1))</f>
        <v/>
      </c>
      <c r="BA55" t="str">
        <f>IF($A55="","", INDEX(CS!$B$1:$B$12903,MATCH($A55,CS!$B:$B,0)+COLUMN(D$1),1))</f>
        <v/>
      </c>
      <c r="BB55" t="str">
        <f>IF($A55="","", INDEX(CS!$B$1:$B$12903,MATCH($A55,CS!$B:$B,0)+COLUMN(E$1),1))</f>
        <v/>
      </c>
      <c r="BC55" t="str">
        <f>IF($A55="","", INDEX(CS!$B$1:$B$12903,MATCH($A55,CS!$B:$B,0)+COLUMN(F$1),1))</f>
        <v/>
      </c>
      <c r="BD55" t="str">
        <f>IF($A55="","", INDEX(CS!$B$1:$B$12903,MATCH($A55,CS!$B:$B,0)+COLUMN(G$1),1))</f>
        <v/>
      </c>
      <c r="BE55" t="str">
        <f>IF($A55="","", INDEX(CS!$B$1:$B$12903,MATCH($A55,CS!$B:$B,0)+COLUMN(H$1),1))</f>
        <v/>
      </c>
      <c r="BF55" t="str">
        <f>IF($A55="","", INDEX(CS!$B$1:$B$12903,MATCH($A55,CS!$B:$B,0)+COLUMN(I$1),1))</f>
        <v/>
      </c>
      <c r="BG55" t="str">
        <f>IF($A55="","", INDEX(CS!$B$1:$B$12903,MATCH($A55,CS!$B:$B,0)+COLUMN(J$1),1))</f>
        <v/>
      </c>
      <c r="CD55" t="s">
        <v>918</v>
      </c>
      <c r="CE55" t="s">
        <v>922</v>
      </c>
      <c r="CF55" t="s">
        <v>1126</v>
      </c>
    </row>
    <row r="56" spans="1:87" x14ac:dyDescent="0.4">
      <c r="A56" t="s">
        <v>25</v>
      </c>
      <c r="B56" t="s">
        <v>27</v>
      </c>
      <c r="C56" t="s">
        <v>51</v>
      </c>
      <c r="D56" t="str">
        <f t="shared" ref="D56:D71" si="5">SUM(AI56:AW56,F56:N56)&amp;"/"&amp;SUM(F56:N56)&amp;"/"&amp;SUM(AI56:AW56)</f>
        <v>710/460/250</v>
      </c>
      <c r="E56">
        <v>1</v>
      </c>
      <c r="F56">
        <v>85</v>
      </c>
      <c r="I56">
        <v>90</v>
      </c>
      <c r="J56">
        <v>80</v>
      </c>
      <c r="K56" s="24">
        <v>25</v>
      </c>
      <c r="L56">
        <v>50</v>
      </c>
      <c r="M56">
        <v>55</v>
      </c>
      <c r="N56">
        <v>75</v>
      </c>
      <c r="AI56">
        <v>75</v>
      </c>
      <c r="AJ56">
        <v>50</v>
      </c>
      <c r="AK56">
        <v>25</v>
      </c>
      <c r="AL56">
        <v>25</v>
      </c>
      <c r="AM56">
        <v>25</v>
      </c>
      <c r="AO56">
        <v>25</v>
      </c>
      <c r="AT56">
        <v>25</v>
      </c>
      <c r="AX56">
        <f>IF($A56="","", INDEX(CS!$B$1:$B$12903,MATCH($A56,CS!$B:$B,0)+COLUMN(A$1),1))</f>
        <v>0</v>
      </c>
      <c r="AY56" t="str">
        <f>IF($A56="","", INDEX(CS!$B$1:$B$12903,MATCH($A56,CS!$B:$B,0)+COLUMN(B$1),1))</f>
        <v>闘気撃</v>
      </c>
      <c r="AZ56" t="str">
        <f>IF($A56="","", INDEX(CS!$B$1:$B$12903,MATCH($A56,CS!$B:$B,0)+COLUMN(C$1),1))</f>
        <v>武器の扱い</v>
      </c>
      <c r="BA56">
        <f>IF($A56="","", INDEX(CS!$B$1:$B$12903,MATCH($A56,CS!$B:$B,0)+COLUMN(D$1),1))</f>
        <v>0</v>
      </c>
      <c r="BB56" t="str">
        <f>IF($A56="","", INDEX(CS!$B$1:$B$12903,MATCH($A56,CS!$B:$B,0)+COLUMN(E$1),1))</f>
        <v>闘気守</v>
      </c>
      <c r="BC56">
        <f>IF($A56="","", INDEX(CS!$B$1:$B$12903,MATCH($A56,CS!$B:$B,0)+COLUMN(F$1),1))</f>
        <v>0</v>
      </c>
      <c r="BD56">
        <f>IF($A56="","", INDEX(CS!$B$1:$B$12903,MATCH($A56,CS!$B:$B,0)+COLUMN(G$1),1))</f>
        <v>0</v>
      </c>
      <c r="BE56" t="str">
        <f>IF($A56="","", INDEX(CS!$B$1:$B$12903,MATCH($A56,CS!$B:$B,0)+COLUMN(H$1),1))</f>
        <v>雄叫び</v>
      </c>
      <c r="BF56" t="str">
        <f>IF($A56="","", INDEX(CS!$B$1:$B$12903,MATCH($A56,CS!$B:$B,0)+COLUMN(I$1),1))</f>
        <v>武器の攻め</v>
      </c>
      <c r="BG56" t="str">
        <f>IF($A56="","", INDEX(CS!$B$1:$B$12903,MATCH($A56,CS!$B:$B,0)+COLUMN(J$1),1))</f>
        <v>一閃撃</v>
      </c>
      <c r="BH56" t="s">
        <v>888</v>
      </c>
      <c r="CB56" t="s">
        <v>1176</v>
      </c>
      <c r="CE56" t="s">
        <v>921</v>
      </c>
      <c r="CF56" t="s">
        <v>1126</v>
      </c>
      <c r="CI56" t="s">
        <v>27</v>
      </c>
    </row>
    <row r="57" spans="1:87" outlineLevel="1" x14ac:dyDescent="0.4">
      <c r="A57" t="s">
        <v>184</v>
      </c>
      <c r="B57" t="s">
        <v>186</v>
      </c>
      <c r="C57" t="s">
        <v>51</v>
      </c>
      <c r="D57" t="str">
        <f t="shared" si="5"/>
        <v>710/460/250</v>
      </c>
      <c r="E57">
        <v>1</v>
      </c>
      <c r="F57">
        <v>85</v>
      </c>
      <c r="I57">
        <v>80</v>
      </c>
      <c r="J57">
        <v>90</v>
      </c>
      <c r="K57" s="24">
        <v>25</v>
      </c>
      <c r="L57">
        <v>55</v>
      </c>
      <c r="M57">
        <v>50</v>
      </c>
      <c r="N57">
        <v>75</v>
      </c>
      <c r="AI57">
        <v>100</v>
      </c>
      <c r="AK57">
        <v>25</v>
      </c>
      <c r="AL57">
        <v>25</v>
      </c>
      <c r="AM57">
        <v>25</v>
      </c>
      <c r="AO57">
        <v>25</v>
      </c>
      <c r="AT57">
        <v>50</v>
      </c>
      <c r="AX57">
        <f>IF($A57="","", INDEX(CS!$B$1:$B$12903,MATCH($A57,CS!$B:$B,0)+COLUMN(A$1),1))</f>
        <v>0</v>
      </c>
      <c r="AY57" t="str">
        <f>IF($A57="","", INDEX(CS!$B$1:$B$12903,MATCH($A57,CS!$B:$B,0)+COLUMN(B$1),1))</f>
        <v>闘気守</v>
      </c>
      <c r="AZ57" t="str">
        <f>IF($A57="","", INDEX(CS!$B$1:$B$12903,MATCH($A57,CS!$B:$B,0)+COLUMN(C$1),1))</f>
        <v>武器の扱い</v>
      </c>
      <c r="BA57">
        <f>IF($A57="","", INDEX(CS!$B$1:$B$12903,MATCH($A57,CS!$B:$B,0)+COLUMN(D$1),1))</f>
        <v>0</v>
      </c>
      <c r="BB57" t="str">
        <f>IF($A57="","", INDEX(CS!$B$1:$B$12903,MATCH($A57,CS!$B:$B,0)+COLUMN(E$1),1))</f>
        <v>闘気撃</v>
      </c>
      <c r="BC57" t="str">
        <f>IF($A57="","", INDEX(CS!$B$1:$B$12903,MATCH($A57,CS!$B:$B,0)+COLUMN(F$1),1))</f>
        <v>反撃</v>
      </c>
      <c r="BD57">
        <f>IF($A57="","", INDEX(CS!$B$1:$B$12903,MATCH($A57,CS!$B:$B,0)+COLUMN(G$1),1))</f>
        <v>0</v>
      </c>
      <c r="BE57" t="str">
        <f>IF($A57="","", INDEX(CS!$B$1:$B$12903,MATCH($A57,CS!$B:$B,0)+COLUMN(H$1),1))</f>
        <v>雄叫び</v>
      </c>
      <c r="BF57" t="str">
        <f>IF($A57="","", INDEX(CS!$B$1:$B$12903,MATCH($A57,CS!$B:$B,0)+COLUMN(I$1),1))</f>
        <v>武器の守り</v>
      </c>
      <c r="BG57" t="str">
        <f>IF($A57="","", INDEX(CS!$B$1:$B$12903,MATCH($A57,CS!$B:$B,0)+COLUMN(J$1),1))</f>
        <v>一閃撃</v>
      </c>
      <c r="BH57" t="s">
        <v>888</v>
      </c>
      <c r="CB57" t="s">
        <v>676</v>
      </c>
      <c r="CC57" t="s">
        <v>1177</v>
      </c>
      <c r="CE57" t="s">
        <v>921</v>
      </c>
      <c r="CF57" t="s">
        <v>1126</v>
      </c>
      <c r="CI57" t="s">
        <v>27</v>
      </c>
    </row>
    <row r="58" spans="1:87" outlineLevel="1" x14ac:dyDescent="0.4">
      <c r="A58" t="s">
        <v>185</v>
      </c>
      <c r="B58" t="s">
        <v>187</v>
      </c>
      <c r="C58" t="s">
        <v>51</v>
      </c>
      <c r="D58" t="str">
        <f t="shared" si="5"/>
        <v>710/460/250</v>
      </c>
      <c r="E58">
        <v>1</v>
      </c>
      <c r="F58">
        <v>85</v>
      </c>
      <c r="I58">
        <v>80</v>
      </c>
      <c r="J58">
        <v>55</v>
      </c>
      <c r="K58" s="24">
        <v>25</v>
      </c>
      <c r="L58">
        <v>50</v>
      </c>
      <c r="M58">
        <v>90</v>
      </c>
      <c r="N58">
        <v>75</v>
      </c>
      <c r="AI58">
        <v>50</v>
      </c>
      <c r="AJ58">
        <v>50</v>
      </c>
      <c r="AK58">
        <v>25</v>
      </c>
      <c r="AL58">
        <v>50</v>
      </c>
      <c r="AM58">
        <v>25</v>
      </c>
      <c r="AO58">
        <v>25</v>
      </c>
      <c r="AT58">
        <v>25</v>
      </c>
      <c r="AX58">
        <f>IF($A58="","", INDEX(CS!$B$1:$B$12903,MATCH($A58,CS!$B:$B,0)+COLUMN(A$1),1))</f>
        <v>0</v>
      </c>
      <c r="AY58" t="str">
        <f>IF($A58="","", INDEX(CS!$B$1:$B$12903,MATCH($A58,CS!$B:$B,0)+COLUMN(B$1),1))</f>
        <v>闘気撃</v>
      </c>
      <c r="AZ58" t="str">
        <f>IF($A58="","", INDEX(CS!$B$1:$B$12903,MATCH($A58,CS!$B:$B,0)+COLUMN(C$1),1))</f>
        <v>武器の扱い</v>
      </c>
      <c r="BA58">
        <f>IF($A58="","", INDEX(CS!$B$1:$B$12903,MATCH($A58,CS!$B:$B,0)+COLUMN(D$1),1))</f>
        <v>0</v>
      </c>
      <c r="BB58" t="str">
        <f>IF($A58="","", INDEX(CS!$B$1:$B$12903,MATCH($A58,CS!$B:$B,0)+COLUMN(E$1),1))</f>
        <v>闘気速</v>
      </c>
      <c r="BC58">
        <f>IF($A58="","", INDEX(CS!$B$1:$B$12903,MATCH($A58,CS!$B:$B,0)+COLUMN(F$1),1))</f>
        <v>0</v>
      </c>
      <c r="BD58">
        <f>IF($A58="","", INDEX(CS!$B$1:$B$12903,MATCH($A58,CS!$B:$B,0)+COLUMN(G$1),1))</f>
        <v>0</v>
      </c>
      <c r="BE58" t="str">
        <f>IF($A58="","", INDEX(CS!$B$1:$B$12903,MATCH($A58,CS!$B:$B,0)+COLUMN(H$1),1))</f>
        <v>雄叫び</v>
      </c>
      <c r="BF58" t="str">
        <f>IF($A58="","", INDEX(CS!$B$1:$B$12903,MATCH($A58,CS!$B:$B,0)+COLUMN(I$1),1))</f>
        <v>武器の攻め</v>
      </c>
      <c r="BG58" t="str">
        <f>IF($A58="","", INDEX(CS!$B$1:$B$12903,MATCH($A58,CS!$B:$B,0)+COLUMN(J$1),1))</f>
        <v>一閃撃</v>
      </c>
      <c r="BH58" t="s">
        <v>888</v>
      </c>
      <c r="CB58" t="s">
        <v>1175</v>
      </c>
      <c r="CD58" t="s">
        <v>919</v>
      </c>
      <c r="CE58" t="s">
        <v>922</v>
      </c>
      <c r="CF58" t="s">
        <v>1126</v>
      </c>
      <c r="CI58" t="s">
        <v>27</v>
      </c>
    </row>
    <row r="59" spans="1:87" outlineLevel="1" x14ac:dyDescent="0.4">
      <c r="C59" t="s">
        <v>51</v>
      </c>
      <c r="D59" t="str">
        <f t="shared" si="5"/>
        <v>0/0/0</v>
      </c>
      <c r="E59">
        <v>1</v>
      </c>
      <c r="AX59" t="str">
        <f>IF($A59="","", INDEX(CS!$B$1:$B$12903,MATCH($A59,CS!$B:$B,0)+COLUMN(A$1),1))</f>
        <v/>
      </c>
      <c r="AY59" t="str">
        <f>IF($A59="","", INDEX(CS!$B$1:$B$12903,MATCH($A59,CS!$B:$B,0)+COLUMN(B$1),1))</f>
        <v/>
      </c>
      <c r="AZ59" t="str">
        <f>IF($A59="","", INDEX(CS!$B$1:$B$12903,MATCH($A59,CS!$B:$B,0)+COLUMN(C$1),1))</f>
        <v/>
      </c>
      <c r="BA59" t="str">
        <f>IF($A59="","", INDEX(CS!$B$1:$B$12903,MATCH($A59,CS!$B:$B,0)+COLUMN(D$1),1))</f>
        <v/>
      </c>
      <c r="BB59" t="str">
        <f>IF($A59="","", INDEX(CS!$B$1:$B$12903,MATCH($A59,CS!$B:$B,0)+COLUMN(E$1),1))</f>
        <v/>
      </c>
      <c r="BC59" t="str">
        <f>IF($A59="","", INDEX(CS!$B$1:$B$12903,MATCH($A59,CS!$B:$B,0)+COLUMN(F$1),1))</f>
        <v/>
      </c>
      <c r="BD59" t="str">
        <f>IF($A59="","", INDEX(CS!$B$1:$B$12903,MATCH($A59,CS!$B:$B,0)+COLUMN(G$1),1))</f>
        <v/>
      </c>
      <c r="BE59" t="str">
        <f>IF($A59="","", INDEX(CS!$B$1:$B$12903,MATCH($A59,CS!$B:$B,0)+COLUMN(H$1),1))</f>
        <v/>
      </c>
      <c r="BF59" t="str">
        <f>IF($A59="","", INDEX(CS!$B$1:$B$12903,MATCH($A59,CS!$B:$B,0)+COLUMN(I$1),1))</f>
        <v/>
      </c>
      <c r="BG59" t="str">
        <f>IF($A59="","", INDEX(CS!$B$1:$B$12903,MATCH($A59,CS!$B:$B,0)+COLUMN(J$1),1))</f>
        <v/>
      </c>
    </row>
    <row r="60" spans="1:87" outlineLevel="1" x14ac:dyDescent="0.4">
      <c r="A60" t="s">
        <v>254</v>
      </c>
      <c r="B60" t="s">
        <v>30</v>
      </c>
      <c r="C60" t="s">
        <v>51</v>
      </c>
      <c r="D60" t="str">
        <f t="shared" si="5"/>
        <v>710/445/265</v>
      </c>
      <c r="E60">
        <v>1</v>
      </c>
      <c r="F60">
        <v>75</v>
      </c>
      <c r="I60">
        <v>75</v>
      </c>
      <c r="J60">
        <v>50</v>
      </c>
      <c r="K60" s="24">
        <v>25</v>
      </c>
      <c r="L60">
        <v>50</v>
      </c>
      <c r="M60">
        <v>85</v>
      </c>
      <c r="N60">
        <v>85</v>
      </c>
      <c r="AJ60">
        <v>25</v>
      </c>
      <c r="AL60">
        <v>50</v>
      </c>
      <c r="AM60">
        <v>25</v>
      </c>
      <c r="AN60">
        <v>90</v>
      </c>
      <c r="AO60">
        <v>75</v>
      </c>
      <c r="AX60">
        <f>IF($A60="","", INDEX(CS!$B$1:$B$12903,MATCH($A60,CS!$B:$B,0)+COLUMN(A$1),1))</f>
        <v>0</v>
      </c>
      <c r="AY60" t="str">
        <f>IF($A60="","", INDEX(CS!$B$1:$B$12903,MATCH($A60,CS!$B:$B,0)+COLUMN(B$1),1))</f>
        <v>急所撃</v>
      </c>
      <c r="AZ60" t="str">
        <f>IF($A60="","", INDEX(CS!$B$1:$B$12903,MATCH($A60,CS!$B:$B,0)+COLUMN(C$1),1))</f>
        <v>隠密</v>
      </c>
      <c r="BA60">
        <f>IF($A60="","", INDEX(CS!$B$1:$B$12903,MATCH($A60,CS!$B:$B,0)+COLUMN(D$1),1))</f>
        <v>0</v>
      </c>
      <c r="BB60" t="str">
        <f>IF($A60="","", INDEX(CS!$B$1:$B$12903,MATCH($A60,CS!$B:$B,0)+COLUMN(E$1),1))</f>
        <v>痛撃</v>
      </c>
      <c r="BC60" t="str">
        <f>IF($A60="","", INDEX(CS!$B$1:$B$12903,MATCH($A60,CS!$B:$B,0)+COLUMN(F$1),1))</f>
        <v>罠技術</v>
      </c>
      <c r="BD60">
        <f>IF($A60="","", INDEX(CS!$B$1:$B$12903,MATCH($A60,CS!$B:$B,0)+COLUMN(G$1),1))</f>
        <v>0</v>
      </c>
      <c r="BE60" t="str">
        <f>IF($A60="","", INDEX(CS!$B$1:$B$12903,MATCH($A60,CS!$B:$B,0)+COLUMN(H$1),1))</f>
        <v>狙い</v>
      </c>
      <c r="BF60">
        <f>IF($A60="","", INDEX(CS!$B$1:$B$12903,MATCH($A60,CS!$B:$B,0)+COLUMN(I$1),1))</f>
        <v>0</v>
      </c>
      <c r="BG60">
        <f>IF($A60="","", INDEX(CS!$B$1:$B$12903,MATCH($A60,CS!$B:$B,0)+COLUMN(J$1),1))</f>
        <v>0</v>
      </c>
      <c r="BH60" t="s">
        <v>888</v>
      </c>
      <c r="CB60" t="s">
        <v>1178</v>
      </c>
      <c r="CE60" t="s">
        <v>922</v>
      </c>
      <c r="CF60" t="s">
        <v>1126</v>
      </c>
      <c r="CI60" t="s">
        <v>992</v>
      </c>
    </row>
    <row r="61" spans="1:87" outlineLevel="1" x14ac:dyDescent="0.4">
      <c r="A61" t="s">
        <v>32</v>
      </c>
      <c r="B61" t="s">
        <v>36</v>
      </c>
      <c r="C61" t="s">
        <v>51</v>
      </c>
      <c r="D61" t="str">
        <f t="shared" si="5"/>
        <v>710/460/250</v>
      </c>
      <c r="E61">
        <v>1</v>
      </c>
      <c r="F61">
        <v>75</v>
      </c>
      <c r="I61">
        <v>75</v>
      </c>
      <c r="J61">
        <v>75</v>
      </c>
      <c r="K61" s="24">
        <v>25</v>
      </c>
      <c r="L61">
        <v>50</v>
      </c>
      <c r="M61">
        <v>75</v>
      </c>
      <c r="N61">
        <v>85</v>
      </c>
      <c r="AL61">
        <v>50</v>
      </c>
      <c r="AM61">
        <v>35</v>
      </c>
      <c r="AN61">
        <v>75</v>
      </c>
      <c r="AO61">
        <v>90</v>
      </c>
      <c r="AX61">
        <f>IF($A61="","", INDEX(CS!$B$1:$B$12903,MATCH($A61,CS!$B:$B,0)+COLUMN(A$1),1))</f>
        <v>0</v>
      </c>
      <c r="AY61">
        <f>IF($A61="","", INDEX(CS!$B$1:$B$12903,MATCH($A61,CS!$B:$B,0)+COLUMN(B$1),1))</f>
        <v>0</v>
      </c>
      <c r="AZ61">
        <f>IF($A61="","", INDEX(CS!$B$1:$B$12903,MATCH($A61,CS!$B:$B,0)+COLUMN(C$1),1))</f>
        <v>0</v>
      </c>
      <c r="BA61">
        <f>IF($A61="","", INDEX(CS!$B$1:$B$12903,MATCH($A61,CS!$B:$B,0)+COLUMN(D$1),1))</f>
        <v>0</v>
      </c>
      <c r="BB61">
        <f>IF($A61="","", INDEX(CS!$B$1:$B$12903,MATCH($A61,CS!$B:$B,0)+COLUMN(E$1),1))</f>
        <v>0</v>
      </c>
      <c r="BC61">
        <f>IF($A61="","", INDEX(CS!$B$1:$B$12903,MATCH($A61,CS!$B:$B,0)+COLUMN(F$1),1))</f>
        <v>0</v>
      </c>
      <c r="BD61">
        <f>IF($A61="","", INDEX(CS!$B$1:$B$12903,MATCH($A61,CS!$B:$B,0)+COLUMN(G$1),1))</f>
        <v>0</v>
      </c>
      <c r="BE61">
        <f>IF($A61="","", INDEX(CS!$B$1:$B$12903,MATCH($A61,CS!$B:$B,0)+COLUMN(H$1),1))</f>
        <v>0</v>
      </c>
      <c r="BF61">
        <f>IF($A61="","", INDEX(CS!$B$1:$B$12903,MATCH($A61,CS!$B:$B,0)+COLUMN(I$1),1))</f>
        <v>0</v>
      </c>
      <c r="BG61">
        <f>IF($A61="","", INDEX(CS!$B$1:$B$12903,MATCH($A61,CS!$B:$B,0)+COLUMN(J$1),1))</f>
        <v>0</v>
      </c>
      <c r="BH61" t="s">
        <v>888</v>
      </c>
      <c r="CB61" t="s">
        <v>1179</v>
      </c>
      <c r="CE61" t="s">
        <v>922</v>
      </c>
      <c r="CF61" t="s">
        <v>1126</v>
      </c>
      <c r="CI61" t="s">
        <v>992</v>
      </c>
    </row>
    <row r="62" spans="1:87" outlineLevel="1" x14ac:dyDescent="0.4">
      <c r="A62" t="s">
        <v>34</v>
      </c>
      <c r="B62" t="s">
        <v>35</v>
      </c>
      <c r="C62" t="s">
        <v>51</v>
      </c>
      <c r="D62" t="str">
        <f t="shared" si="5"/>
        <v>710/445/265</v>
      </c>
      <c r="E62">
        <v>1</v>
      </c>
      <c r="F62">
        <v>75</v>
      </c>
      <c r="I62">
        <v>75</v>
      </c>
      <c r="J62">
        <v>50</v>
      </c>
      <c r="K62" s="24">
        <v>25</v>
      </c>
      <c r="L62">
        <v>50</v>
      </c>
      <c r="M62">
        <v>85</v>
      </c>
      <c r="N62">
        <v>85</v>
      </c>
      <c r="AL62">
        <v>50</v>
      </c>
      <c r="AM62">
        <v>65</v>
      </c>
      <c r="AN62">
        <v>75</v>
      </c>
      <c r="AO62">
        <v>75</v>
      </c>
      <c r="AX62">
        <f>IF($A62="","", INDEX(CS!$B$1:$B$12903,MATCH($A62,CS!$B:$B,0)+COLUMN(A$1),1))</f>
        <v>0</v>
      </c>
      <c r="AY62">
        <f>IF($A62="","", INDEX(CS!$B$1:$B$12903,MATCH($A62,CS!$B:$B,0)+COLUMN(B$1),1))</f>
        <v>0</v>
      </c>
      <c r="AZ62">
        <f>IF($A62="","", INDEX(CS!$B$1:$B$12903,MATCH($A62,CS!$B:$B,0)+COLUMN(C$1),1))</f>
        <v>0</v>
      </c>
      <c r="BA62">
        <f>IF($A62="","", INDEX(CS!$B$1:$B$12903,MATCH($A62,CS!$B:$B,0)+COLUMN(D$1),1))</f>
        <v>0</v>
      </c>
      <c r="BB62">
        <f>IF($A62="","", INDEX(CS!$B$1:$B$12903,MATCH($A62,CS!$B:$B,0)+COLUMN(E$1),1))</f>
        <v>0</v>
      </c>
      <c r="BC62">
        <f>IF($A62="","", INDEX(CS!$B$1:$B$12903,MATCH($A62,CS!$B:$B,0)+COLUMN(F$1),1))</f>
        <v>0</v>
      </c>
      <c r="BD62">
        <f>IF($A62="","", INDEX(CS!$B$1:$B$12903,MATCH($A62,CS!$B:$B,0)+COLUMN(G$1),1))</f>
        <v>0</v>
      </c>
      <c r="BE62">
        <f>IF($A62="","", INDEX(CS!$B$1:$B$12903,MATCH($A62,CS!$B:$B,0)+COLUMN(H$1),1))</f>
        <v>0</v>
      </c>
      <c r="BF62">
        <f>IF($A62="","", INDEX(CS!$B$1:$B$12903,MATCH($A62,CS!$B:$B,0)+COLUMN(I$1),1))</f>
        <v>0</v>
      </c>
      <c r="BG62">
        <f>IF($A62="","", INDEX(CS!$B$1:$B$12903,MATCH($A62,CS!$B:$B,0)+COLUMN(J$1),1))</f>
        <v>0</v>
      </c>
      <c r="BH62" t="s">
        <v>888</v>
      </c>
      <c r="CB62" t="s">
        <v>1178</v>
      </c>
      <c r="CE62" t="s">
        <v>922</v>
      </c>
      <c r="CF62" t="s">
        <v>1126</v>
      </c>
      <c r="CI62" t="s">
        <v>992</v>
      </c>
    </row>
    <row r="63" spans="1:87" outlineLevel="1" x14ac:dyDescent="0.4">
      <c r="C63" t="s">
        <v>51</v>
      </c>
      <c r="D63" t="str">
        <f t="shared" si="5"/>
        <v>0/0/0</v>
      </c>
      <c r="E63">
        <v>1</v>
      </c>
      <c r="AX63" t="str">
        <f>IF($A63="","", INDEX(CS!$B$1:$B$12903,MATCH($A63,CS!$B:$B,0)+COLUMN(A$1),1))</f>
        <v/>
      </c>
      <c r="AY63" t="str">
        <f>IF($A63="","", INDEX(CS!$B$1:$B$12903,MATCH($A63,CS!$B:$B,0)+COLUMN(B$1),1))</f>
        <v/>
      </c>
      <c r="AZ63" t="str">
        <f>IF($A63="","", INDEX(CS!$B$1:$B$12903,MATCH($A63,CS!$B:$B,0)+COLUMN(C$1),1))</f>
        <v/>
      </c>
      <c r="BA63" t="str">
        <f>IF($A63="","", INDEX(CS!$B$1:$B$12903,MATCH($A63,CS!$B:$B,0)+COLUMN(D$1),1))</f>
        <v/>
      </c>
      <c r="BB63" t="str">
        <f>IF($A63="","", INDEX(CS!$B$1:$B$12903,MATCH($A63,CS!$B:$B,0)+COLUMN(E$1),1))</f>
        <v/>
      </c>
      <c r="BC63" t="str">
        <f>IF($A63="","", INDEX(CS!$B$1:$B$12903,MATCH($A63,CS!$B:$B,0)+COLUMN(F$1),1))</f>
        <v/>
      </c>
      <c r="BD63" t="str">
        <f>IF($A63="","", INDEX(CS!$B$1:$B$12903,MATCH($A63,CS!$B:$B,0)+COLUMN(G$1),1))</f>
        <v/>
      </c>
      <c r="BE63" t="str">
        <f>IF($A63="","", INDEX(CS!$B$1:$B$12903,MATCH($A63,CS!$B:$B,0)+COLUMN(H$1),1))</f>
        <v/>
      </c>
      <c r="BF63" t="str">
        <f>IF($A63="","", INDEX(CS!$B$1:$B$12903,MATCH($A63,CS!$B:$B,0)+COLUMN(I$1),1))</f>
        <v/>
      </c>
      <c r="BG63" t="str">
        <f>IF($A63="","", INDEX(CS!$B$1:$B$12903,MATCH($A63,CS!$B:$B,0)+COLUMN(J$1),1))</f>
        <v/>
      </c>
    </row>
    <row r="64" spans="1:87" outlineLevel="1" x14ac:dyDescent="0.4">
      <c r="A64" t="s">
        <v>248</v>
      </c>
      <c r="B64" t="s">
        <v>251</v>
      </c>
      <c r="C64" t="s">
        <v>51</v>
      </c>
      <c r="D64" t="str">
        <f t="shared" si="5"/>
        <v>710/470/240</v>
      </c>
      <c r="E64">
        <v>1</v>
      </c>
      <c r="F64">
        <v>60</v>
      </c>
      <c r="I64">
        <v>50</v>
      </c>
      <c r="J64">
        <v>55</v>
      </c>
      <c r="K64" s="24">
        <v>90</v>
      </c>
      <c r="L64">
        <v>90</v>
      </c>
      <c r="M64">
        <v>50</v>
      </c>
      <c r="N64">
        <v>75</v>
      </c>
      <c r="AK64">
        <v>90</v>
      </c>
      <c r="AT64">
        <v>50</v>
      </c>
      <c r="AV64">
        <v>100</v>
      </c>
      <c r="AX64">
        <f>IF($A64="","", INDEX(CS!$B$1:$B$12903,MATCH($A64,CS!$B:$B,0)+COLUMN(A$1),1))</f>
        <v>0</v>
      </c>
      <c r="AY64">
        <f>IF($A64="","", INDEX(CS!$B$1:$B$12903,MATCH($A64,CS!$B:$B,0)+COLUMN(B$1),1))</f>
        <v>0</v>
      </c>
      <c r="AZ64">
        <f>IF($A64="","", INDEX(CS!$B$1:$B$12903,MATCH($A64,CS!$B:$B,0)+COLUMN(C$1),1))</f>
        <v>0</v>
      </c>
      <c r="BA64">
        <f>IF($A64="","", INDEX(CS!$B$1:$B$12903,MATCH($A64,CS!$B:$B,0)+COLUMN(D$1),1))</f>
        <v>0</v>
      </c>
      <c r="BB64">
        <f>IF($A64="","", INDEX(CS!$B$1:$B$12903,MATCH($A64,CS!$B:$B,0)+COLUMN(E$1),1))</f>
        <v>0</v>
      </c>
      <c r="BC64">
        <f>IF($A64="","", INDEX(CS!$B$1:$B$12903,MATCH($A64,CS!$B:$B,0)+COLUMN(F$1),1))</f>
        <v>0</v>
      </c>
      <c r="BD64">
        <f>IF($A64="","", INDEX(CS!$B$1:$B$12903,MATCH($A64,CS!$B:$B,0)+COLUMN(G$1),1))</f>
        <v>0</v>
      </c>
      <c r="BE64">
        <f>IF($A64="","", INDEX(CS!$B$1:$B$12903,MATCH($A64,CS!$B:$B,0)+COLUMN(H$1),1))</f>
        <v>0</v>
      </c>
      <c r="BF64">
        <f>IF($A64="","", INDEX(CS!$B$1:$B$12903,MATCH($A64,CS!$B:$B,0)+COLUMN(I$1),1))</f>
        <v>0</v>
      </c>
      <c r="BG64">
        <f>IF($A64="","", INDEX(CS!$B$1:$B$12903,MATCH($A64,CS!$B:$B,0)+COLUMN(J$1),1))</f>
        <v>0</v>
      </c>
      <c r="BH64" t="s">
        <v>888</v>
      </c>
      <c r="CB64" t="s">
        <v>658</v>
      </c>
      <c r="CD64" t="s">
        <v>919</v>
      </c>
      <c r="CE64" t="s">
        <v>923</v>
      </c>
      <c r="CF64" t="s">
        <v>1126</v>
      </c>
      <c r="CI64" t="s">
        <v>251</v>
      </c>
    </row>
    <row r="65" spans="1:87" outlineLevel="1" x14ac:dyDescent="0.4">
      <c r="A65" t="s">
        <v>250</v>
      </c>
      <c r="B65" t="s">
        <v>252</v>
      </c>
      <c r="C65" t="s">
        <v>51</v>
      </c>
      <c r="D65" t="str">
        <f t="shared" si="5"/>
        <v>710/465/245</v>
      </c>
      <c r="E65">
        <v>1</v>
      </c>
      <c r="F65">
        <v>60</v>
      </c>
      <c r="I65">
        <v>50</v>
      </c>
      <c r="J65">
        <v>55</v>
      </c>
      <c r="K65" s="24">
        <v>85</v>
      </c>
      <c r="L65">
        <v>90</v>
      </c>
      <c r="M65">
        <v>50</v>
      </c>
      <c r="N65">
        <v>75</v>
      </c>
      <c r="AK65">
        <v>75</v>
      </c>
      <c r="AL65">
        <v>50</v>
      </c>
      <c r="AM65">
        <v>20</v>
      </c>
      <c r="AV65">
        <v>100</v>
      </c>
      <c r="AX65">
        <f>IF($A65="","", INDEX(CS!$B$1:$B$12903,MATCH($A65,CS!$B:$B,0)+COLUMN(A$1),1))</f>
        <v>0</v>
      </c>
      <c r="AY65">
        <f>IF($A65="","", INDEX(CS!$B$1:$B$12903,MATCH($A65,CS!$B:$B,0)+COLUMN(B$1),1))</f>
        <v>0</v>
      </c>
      <c r="AZ65">
        <f>IF($A65="","", INDEX(CS!$B$1:$B$12903,MATCH($A65,CS!$B:$B,0)+COLUMN(C$1),1))</f>
        <v>0</v>
      </c>
      <c r="BA65">
        <f>IF($A65="","", INDEX(CS!$B$1:$B$12903,MATCH($A65,CS!$B:$B,0)+COLUMN(D$1),1))</f>
        <v>0</v>
      </c>
      <c r="BB65">
        <f>IF($A65="","", INDEX(CS!$B$1:$B$12903,MATCH($A65,CS!$B:$B,0)+COLUMN(E$1),1))</f>
        <v>0</v>
      </c>
      <c r="BC65">
        <f>IF($A65="","", INDEX(CS!$B$1:$B$12903,MATCH($A65,CS!$B:$B,0)+COLUMN(F$1),1))</f>
        <v>0</v>
      </c>
      <c r="BD65">
        <f>IF($A65="","", INDEX(CS!$B$1:$B$12903,MATCH($A65,CS!$B:$B,0)+COLUMN(G$1),1))</f>
        <v>0</v>
      </c>
      <c r="BE65">
        <f>IF($A65="","", INDEX(CS!$B$1:$B$12903,MATCH($A65,CS!$B:$B,0)+COLUMN(H$1),1))</f>
        <v>0</v>
      </c>
      <c r="BF65">
        <f>IF($A65="","", INDEX(CS!$B$1:$B$12903,MATCH($A65,CS!$B:$B,0)+COLUMN(I$1),1))</f>
        <v>0</v>
      </c>
      <c r="BG65">
        <f>IF($A65="","", INDEX(CS!$B$1:$B$12903,MATCH($A65,CS!$B:$B,0)+COLUMN(J$1),1))</f>
        <v>0</v>
      </c>
      <c r="BH65" t="s">
        <v>888</v>
      </c>
      <c r="CB65" t="s">
        <v>658</v>
      </c>
      <c r="CD65" t="s">
        <v>919</v>
      </c>
      <c r="CE65" t="s">
        <v>923</v>
      </c>
      <c r="CF65" t="s">
        <v>1126</v>
      </c>
      <c r="CI65" t="s">
        <v>251</v>
      </c>
    </row>
    <row r="66" spans="1:87" outlineLevel="1" x14ac:dyDescent="0.4">
      <c r="A66" t="s">
        <v>249</v>
      </c>
      <c r="B66" t="s">
        <v>253</v>
      </c>
      <c r="C66" t="s">
        <v>51</v>
      </c>
      <c r="D66" t="str">
        <f t="shared" si="5"/>
        <v>710/465/245</v>
      </c>
      <c r="E66">
        <v>1</v>
      </c>
      <c r="F66">
        <v>65</v>
      </c>
      <c r="I66">
        <v>55</v>
      </c>
      <c r="J66">
        <v>65</v>
      </c>
      <c r="K66" s="24">
        <v>85</v>
      </c>
      <c r="L66">
        <v>70</v>
      </c>
      <c r="M66">
        <v>50</v>
      </c>
      <c r="N66">
        <v>75</v>
      </c>
      <c r="AK66">
        <v>50</v>
      </c>
      <c r="AM66">
        <v>95</v>
      </c>
      <c r="AV66">
        <v>100</v>
      </c>
      <c r="AX66" t="str">
        <f>IF($A66="","", INDEX(CS!$B$1:$B$12903,MATCH($A66,CS!$B:$B,0)+COLUMN(A$1),1))</f>
        <v>爆薬</v>
      </c>
      <c r="AY66" t="str">
        <f>IF($A66="","", INDEX(CS!$B$1:$B$12903,MATCH($A66,CS!$B:$B,0)+COLUMN(B$1),1))</f>
        <v>闘気撃</v>
      </c>
      <c r="AZ66" t="str">
        <f>IF($A66="","", INDEX(CS!$B$1:$B$12903,MATCH($A66,CS!$B:$B,0)+COLUMN(C$1),1))</f>
        <v>闘気速</v>
      </c>
      <c r="BA66" t="str">
        <f>IF($A66="","", INDEX(CS!$B$1:$B$12903,MATCH($A66,CS!$B:$B,0)+COLUMN(D$1),1))</f>
        <v>雄叫び</v>
      </c>
      <c r="BB66" t="str">
        <f>IF($A66="","", INDEX(CS!$B$1:$B$12903,MATCH($A66,CS!$B:$B,0)+COLUMN(E$1),1))</f>
        <v>一閃撃</v>
      </c>
      <c r="BC66" t="str">
        <f>IF($A66="","", INDEX(CS!$B$1:$B$12903,MATCH($A66,CS!$B:$B,0)+COLUMN(F$1),1))</f>
        <v>急所撃</v>
      </c>
      <c r="BD66" t="str">
        <f>IF($A66="","", INDEX(CS!$B$1:$B$12903,MATCH($A66,CS!$B:$B,0)+COLUMN(G$1),1))</f>
        <v>炎の雨</v>
      </c>
      <c r="BE66" t="str">
        <f>IF($A66="","", INDEX(CS!$B$1:$B$12903,MATCH($A66,CS!$B:$B,0)+COLUMN(H$1),1))</f>
        <v>火球</v>
      </c>
      <c r="BF66" t="str">
        <f>IF($A66="","", INDEX(CS!$B$1:$B$12903,MATCH($A66,CS!$B:$B,0)+COLUMN(I$1),1))</f>
        <v>落下火球</v>
      </c>
      <c r="BG66" t="str">
        <f>IF($A66="","", INDEX(CS!$B$1:$B$12903,MATCH($A66,CS!$B:$B,0)+COLUMN(J$1),1))</f>
        <v>爆裂</v>
      </c>
      <c r="BH66" t="s">
        <v>888</v>
      </c>
      <c r="CB66" t="s">
        <v>658</v>
      </c>
      <c r="CD66" t="s">
        <v>919</v>
      </c>
      <c r="CE66" t="s">
        <v>923</v>
      </c>
      <c r="CF66" t="s">
        <v>1126</v>
      </c>
      <c r="CI66" t="s">
        <v>251</v>
      </c>
    </row>
    <row r="67" spans="1:87" outlineLevel="1" x14ac:dyDescent="0.4">
      <c r="C67" t="s">
        <v>51</v>
      </c>
      <c r="D67" t="str">
        <f t="shared" si="5"/>
        <v>0/0/0</v>
      </c>
      <c r="E67">
        <v>1</v>
      </c>
      <c r="AX67" t="str">
        <f>IF($A67="","", INDEX(CS!$B$1:$B$12903,MATCH($A67,CS!$B:$B,0)+COLUMN(A$1),1))</f>
        <v/>
      </c>
      <c r="AY67" t="str">
        <f>IF($A67="","", INDEX(CS!$B$1:$B$12903,MATCH($A67,CS!$B:$B,0)+COLUMN(B$1),1))</f>
        <v/>
      </c>
      <c r="AZ67" t="str">
        <f>IF($A67="","", INDEX(CS!$B$1:$B$12903,MATCH($A67,CS!$B:$B,0)+COLUMN(C$1),1))</f>
        <v/>
      </c>
      <c r="BA67" t="str">
        <f>IF($A67="","", INDEX(CS!$B$1:$B$12903,MATCH($A67,CS!$B:$B,0)+COLUMN(D$1),1))</f>
        <v/>
      </c>
      <c r="BB67" t="str">
        <f>IF($A67="","", INDEX(CS!$B$1:$B$12903,MATCH($A67,CS!$B:$B,0)+COLUMN(E$1),1))</f>
        <v/>
      </c>
      <c r="BC67" t="str">
        <f>IF($A67="","", INDEX(CS!$B$1:$B$12903,MATCH($A67,CS!$B:$B,0)+COLUMN(F$1),1))</f>
        <v/>
      </c>
      <c r="BD67" t="str">
        <f>IF($A67="","", INDEX(CS!$B$1:$B$12903,MATCH($A67,CS!$B:$B,0)+COLUMN(G$1),1))</f>
        <v/>
      </c>
      <c r="BE67" t="str">
        <f>IF($A67="","", INDEX(CS!$B$1:$B$12903,MATCH($A67,CS!$B:$B,0)+COLUMN(H$1),1))</f>
        <v/>
      </c>
      <c r="BF67" t="str">
        <f>IF($A67="","", INDEX(CS!$B$1:$B$12903,MATCH($A67,CS!$B:$B,0)+COLUMN(I$1),1))</f>
        <v/>
      </c>
      <c r="BG67" t="str">
        <f>IF($A67="","", INDEX(CS!$B$1:$B$12903,MATCH($A67,CS!$B:$B,0)+COLUMN(J$1),1))</f>
        <v/>
      </c>
    </row>
    <row r="68" spans="1:87" outlineLevel="1" x14ac:dyDescent="0.4">
      <c r="A68" t="s">
        <v>38</v>
      </c>
      <c r="B68" t="s">
        <v>192</v>
      </c>
      <c r="C68" t="s">
        <v>51</v>
      </c>
      <c r="D68" t="str">
        <f t="shared" si="5"/>
        <v>710/485/225</v>
      </c>
      <c r="E68">
        <v>1</v>
      </c>
      <c r="F68">
        <v>75</v>
      </c>
      <c r="I68">
        <v>70</v>
      </c>
      <c r="J68">
        <v>70</v>
      </c>
      <c r="K68" s="24">
        <v>75</v>
      </c>
      <c r="L68">
        <v>70</v>
      </c>
      <c r="M68">
        <v>50</v>
      </c>
      <c r="N68">
        <v>75</v>
      </c>
      <c r="AK68">
        <v>75</v>
      </c>
      <c r="AT68">
        <v>50</v>
      </c>
      <c r="AW68">
        <v>100</v>
      </c>
      <c r="AX68" t="str">
        <f>IF($A68="","", INDEX(CS!$B$1:$B$12903,MATCH($A68,CS!$B:$B,0)+COLUMN(A$1),1))</f>
        <v>光粒</v>
      </c>
      <c r="AY68" t="str">
        <f>IF($A68="","", INDEX(CS!$B$1:$B$12903,MATCH($A68,CS!$B:$B,0)+COLUMN(B$1),1))</f>
        <v>軽回復</v>
      </c>
      <c r="AZ68">
        <f>IF($A68="","", INDEX(CS!$B$1:$B$12903,MATCH($A68,CS!$B:$B,0)+COLUMN(C$1),1))</f>
        <v>0</v>
      </c>
      <c r="BA68">
        <f>IF($A68="","", INDEX(CS!$B$1:$B$12903,MATCH($A68,CS!$B:$B,0)+COLUMN(D$1),1))</f>
        <v>0</v>
      </c>
      <c r="BB68">
        <f>IF($A68="","", INDEX(CS!$B$1:$B$12903,MATCH($A68,CS!$B:$B,0)+COLUMN(E$1),1))</f>
        <v>0</v>
      </c>
      <c r="BC68">
        <f>IF($A68="","", INDEX(CS!$B$1:$B$12903,MATCH($A68,CS!$B:$B,0)+COLUMN(F$1),1))</f>
        <v>0</v>
      </c>
      <c r="BD68">
        <f>IF($A68="","", INDEX(CS!$B$1:$B$12903,MATCH($A68,CS!$B:$B,0)+COLUMN(G$1),1))</f>
        <v>0</v>
      </c>
      <c r="BE68">
        <f>IF($A68="","", INDEX(CS!$B$1:$B$12903,MATCH($A68,CS!$B:$B,0)+COLUMN(H$1),1))</f>
        <v>0</v>
      </c>
      <c r="BF68">
        <f>IF($A68="","", INDEX(CS!$B$1:$B$12903,MATCH($A68,CS!$B:$B,0)+COLUMN(I$1),1))</f>
        <v>0</v>
      </c>
      <c r="BG68">
        <f>IF($A68="","", INDEX(CS!$B$1:$B$12903,MATCH($A68,CS!$B:$B,0)+COLUMN(J$1),1))</f>
        <v>0</v>
      </c>
      <c r="BH68" t="s">
        <v>888</v>
      </c>
      <c r="CB68" t="s">
        <v>1180</v>
      </c>
      <c r="CD68" t="s">
        <v>919</v>
      </c>
      <c r="CE68" t="s">
        <v>923</v>
      </c>
      <c r="CF68" t="s">
        <v>1126</v>
      </c>
      <c r="CI68" t="s">
        <v>192</v>
      </c>
    </row>
    <row r="69" spans="1:87" outlineLevel="1" x14ac:dyDescent="0.4">
      <c r="A69" t="s">
        <v>40</v>
      </c>
      <c r="B69" t="s">
        <v>191</v>
      </c>
      <c r="C69" t="s">
        <v>51</v>
      </c>
      <c r="D69" t="str">
        <f t="shared" si="5"/>
        <v>710/485/225</v>
      </c>
      <c r="E69">
        <v>1</v>
      </c>
      <c r="F69">
        <v>85</v>
      </c>
      <c r="I69">
        <v>70</v>
      </c>
      <c r="J69">
        <v>85</v>
      </c>
      <c r="K69" s="24">
        <v>55</v>
      </c>
      <c r="L69">
        <v>60</v>
      </c>
      <c r="M69">
        <v>55</v>
      </c>
      <c r="N69">
        <v>75</v>
      </c>
      <c r="AI69">
        <v>50</v>
      </c>
      <c r="AK69">
        <v>50</v>
      </c>
      <c r="AT69">
        <v>50</v>
      </c>
      <c r="AW69">
        <v>75</v>
      </c>
      <c r="AX69">
        <f>IF($A69="","", INDEX(CS!$B$1:$B$12903,MATCH($A69,CS!$B:$B,0)+COLUMN(A$1),1))</f>
        <v>0</v>
      </c>
      <c r="AY69">
        <f>IF($A69="","", INDEX(CS!$B$1:$B$12903,MATCH($A69,CS!$B:$B,0)+COLUMN(B$1),1))</f>
        <v>0</v>
      </c>
      <c r="AZ69">
        <f>IF($A69="","", INDEX(CS!$B$1:$B$12903,MATCH($A69,CS!$B:$B,0)+COLUMN(C$1),1))</f>
        <v>0</v>
      </c>
      <c r="BA69">
        <f>IF($A69="","", INDEX(CS!$B$1:$B$12903,MATCH($A69,CS!$B:$B,0)+COLUMN(D$1),1))</f>
        <v>0</v>
      </c>
      <c r="BB69">
        <f>IF($A69="","", INDEX(CS!$B$1:$B$12903,MATCH($A69,CS!$B:$B,0)+COLUMN(E$1),1))</f>
        <v>0</v>
      </c>
      <c r="BC69">
        <f>IF($A69="","", INDEX(CS!$B$1:$B$12903,MATCH($A69,CS!$B:$B,0)+COLUMN(F$1),1))</f>
        <v>0</v>
      </c>
      <c r="BD69">
        <f>IF($A69="","", INDEX(CS!$B$1:$B$12903,MATCH($A69,CS!$B:$B,0)+COLUMN(G$1),1))</f>
        <v>0</v>
      </c>
      <c r="BE69">
        <f>IF($A69="","", INDEX(CS!$B$1:$B$12903,MATCH($A69,CS!$B:$B,0)+COLUMN(H$1),1))</f>
        <v>0</v>
      </c>
      <c r="BF69">
        <f>IF($A69="","", INDEX(CS!$B$1:$B$12903,MATCH($A69,CS!$B:$B,0)+COLUMN(I$1),1))</f>
        <v>0</v>
      </c>
      <c r="BG69">
        <f>IF($A69="","", INDEX(CS!$B$1:$B$12903,MATCH($A69,CS!$B:$B,0)+COLUMN(J$1),1))</f>
        <v>0</v>
      </c>
      <c r="BH69" t="s">
        <v>888</v>
      </c>
      <c r="CB69" t="s">
        <v>676</v>
      </c>
      <c r="CC69" t="s">
        <v>1177</v>
      </c>
      <c r="CD69" t="s">
        <v>919</v>
      </c>
      <c r="CE69" t="s">
        <v>923</v>
      </c>
      <c r="CF69" t="s">
        <v>1126</v>
      </c>
      <c r="CI69" t="s">
        <v>192</v>
      </c>
    </row>
    <row r="70" spans="1:87" outlineLevel="1" x14ac:dyDescent="0.4">
      <c r="A70" t="s">
        <v>189</v>
      </c>
      <c r="B70" t="s">
        <v>190</v>
      </c>
      <c r="C70" t="s">
        <v>51</v>
      </c>
      <c r="D70" t="str">
        <f t="shared" si="5"/>
        <v>710/485/225</v>
      </c>
      <c r="E70">
        <v>1</v>
      </c>
      <c r="F70">
        <v>75</v>
      </c>
      <c r="I70">
        <v>65</v>
      </c>
      <c r="J70">
        <v>65</v>
      </c>
      <c r="K70" s="24">
        <v>85</v>
      </c>
      <c r="L70">
        <v>70</v>
      </c>
      <c r="M70">
        <v>50</v>
      </c>
      <c r="N70">
        <v>75</v>
      </c>
      <c r="AK70">
        <v>75</v>
      </c>
      <c r="AL70">
        <v>25</v>
      </c>
      <c r="AM70">
        <v>25</v>
      </c>
      <c r="AO70">
        <v>50</v>
      </c>
      <c r="AW70">
        <v>50</v>
      </c>
      <c r="AX70" t="str">
        <f>IF($A70="","", INDEX(CS!$B$1:$B$12903,MATCH($A70,CS!$B:$B,0)+COLUMN(A$1),1))</f>
        <v>植物の絡み</v>
      </c>
      <c r="AY70">
        <f>IF($A70="","", INDEX(CS!$B$1:$B$12903,MATCH($A70,CS!$B:$B,0)+COLUMN(B$1),1))</f>
        <v>0</v>
      </c>
      <c r="AZ70" t="str">
        <f>IF($A70="","", INDEX(CS!$B$1:$B$12903,MATCH($A70,CS!$B:$B,0)+COLUMN(C$1),1))</f>
        <v>森の歩み</v>
      </c>
      <c r="BA70">
        <f>IF($A70="","", INDEX(CS!$B$1:$B$12903,MATCH($A70,CS!$B:$B,0)+COLUMN(D$1),1))</f>
        <v>0</v>
      </c>
      <c r="BB70">
        <f>IF($A70="","", INDEX(CS!$B$1:$B$12903,MATCH($A70,CS!$B:$B,0)+COLUMN(E$1),1))</f>
        <v>0</v>
      </c>
      <c r="BC70">
        <f>IF($A70="","", INDEX(CS!$B$1:$B$12903,MATCH($A70,CS!$B:$B,0)+COLUMN(F$1),1))</f>
        <v>0</v>
      </c>
      <c r="BD70">
        <f>IF($A70="","", INDEX(CS!$B$1:$B$12903,MATCH($A70,CS!$B:$B,0)+COLUMN(G$1),1))</f>
        <v>0</v>
      </c>
      <c r="BE70">
        <f>IF($A70="","", INDEX(CS!$B$1:$B$12903,MATCH($A70,CS!$B:$B,0)+COLUMN(H$1),1))</f>
        <v>0</v>
      </c>
      <c r="BF70">
        <f>IF($A70="","", INDEX(CS!$B$1:$B$12903,MATCH($A70,CS!$B:$B,0)+COLUMN(I$1),1))</f>
        <v>0</v>
      </c>
      <c r="BG70">
        <f>IF($A70="","", INDEX(CS!$B$1:$B$12903,MATCH($A70,CS!$B:$B,0)+COLUMN(J$1),1))</f>
        <v>0</v>
      </c>
      <c r="BH70" t="s">
        <v>888</v>
      </c>
      <c r="CB70" t="s">
        <v>1180</v>
      </c>
      <c r="CD70" t="s">
        <v>919</v>
      </c>
      <c r="CE70" t="s">
        <v>923</v>
      </c>
      <c r="CF70" t="s">
        <v>1126</v>
      </c>
      <c r="CI70" t="s">
        <v>192</v>
      </c>
    </row>
    <row r="71" spans="1:87" outlineLevel="1" x14ac:dyDescent="0.4">
      <c r="C71" t="s">
        <v>51</v>
      </c>
      <c r="D71" t="str">
        <f t="shared" si="5"/>
        <v>0/0/0</v>
      </c>
      <c r="E71">
        <v>1</v>
      </c>
      <c r="AX71" t="str">
        <f>IF($A71="","", INDEX(CS!$B$1:$B$12903,MATCH($A71,CS!$B:$B,0)+COLUMN(A$1),1))</f>
        <v/>
      </c>
      <c r="AY71" t="str">
        <f>IF($A71="","", INDEX(CS!$B$1:$B$12903,MATCH($A71,CS!$B:$B,0)+COLUMN(B$1),1))</f>
        <v/>
      </c>
      <c r="AZ71" t="str">
        <f>IF($A71="","", INDEX(CS!$B$1:$B$12903,MATCH($A71,CS!$B:$B,0)+COLUMN(C$1),1))</f>
        <v/>
      </c>
      <c r="BA71" t="str">
        <f>IF($A71="","", INDEX(CS!$B$1:$B$12903,MATCH($A71,CS!$B:$B,0)+COLUMN(D$1),1))</f>
        <v/>
      </c>
      <c r="BB71" t="str">
        <f>IF($A71="","", INDEX(CS!$B$1:$B$12903,MATCH($A71,CS!$B:$B,0)+COLUMN(E$1),1))</f>
        <v/>
      </c>
      <c r="BC71" t="str">
        <f>IF($A71="","", INDEX(CS!$B$1:$B$12903,MATCH($A71,CS!$B:$B,0)+COLUMN(F$1),1))</f>
        <v/>
      </c>
      <c r="BD71" t="str">
        <f>IF($A71="","", INDEX(CS!$B$1:$B$12903,MATCH($A71,CS!$B:$B,0)+COLUMN(G$1),1))</f>
        <v/>
      </c>
      <c r="BE71" t="str">
        <f>IF($A71="","", INDEX(CS!$B$1:$B$12903,MATCH($A71,CS!$B:$B,0)+COLUMN(H$1),1))</f>
        <v/>
      </c>
      <c r="BF71" t="str">
        <f>IF($A71="","", INDEX(CS!$B$1:$B$12903,MATCH($A71,CS!$B:$B,0)+COLUMN(I$1),1))</f>
        <v/>
      </c>
      <c r="BG71" t="str">
        <f>IF($A71="","", INDEX(CS!$B$1:$B$12903,MATCH($A71,CS!$B:$B,0)+COLUMN(J$1),1))</f>
        <v/>
      </c>
    </row>
    <row r="72" spans="1:87" x14ac:dyDescent="0.4">
      <c r="D72" t="str">
        <f t="shared" ref="D72" si="6">SUM(AI72:AW72,F72:N72)&amp;"/"&amp;SUM(F72:N72)&amp;"/"&amp;SUM(AI72:AW72)</f>
        <v>0/0/0</v>
      </c>
      <c r="AX72" t="str">
        <f>IF($A72="","", INDEX(CS!$B$1:$B$12903,MATCH($A72,CS!$B:$B,0)+COLUMN(A$1),1))</f>
        <v/>
      </c>
      <c r="AY72" t="str">
        <f>IF($A72="","", INDEX(CS!$B$1:$B$12903,MATCH($A72,CS!$B:$B,0)+COLUMN(B$1),1))</f>
        <v/>
      </c>
      <c r="AZ72" t="str">
        <f>IF($A72="","", INDEX(CS!$B$1:$B$12903,MATCH($A72,CS!$B:$B,0)+COLUMN(C$1),1))</f>
        <v/>
      </c>
      <c r="BA72" t="str">
        <f>IF($A72="","", INDEX(CS!$B$1:$B$12903,MATCH($A72,CS!$B:$B,0)+COLUMN(D$1),1))</f>
        <v/>
      </c>
      <c r="BB72" t="str">
        <f>IF($A72="","", INDEX(CS!$B$1:$B$12903,MATCH($A72,CS!$B:$B,0)+COLUMN(E$1),1))</f>
        <v/>
      </c>
      <c r="BC72" t="str">
        <f>IF($A72="","", INDEX(CS!$B$1:$B$12903,MATCH($A72,CS!$B:$B,0)+COLUMN(F$1),1))</f>
        <v/>
      </c>
      <c r="BD72" t="str">
        <f>IF($A72="","", INDEX(CS!$B$1:$B$12903,MATCH($A72,CS!$B:$B,0)+COLUMN(G$1),1))</f>
        <v/>
      </c>
      <c r="BE72" t="str">
        <f>IF($A72="","", INDEX(CS!$B$1:$B$12903,MATCH($A72,CS!$B:$B,0)+COLUMN(H$1),1))</f>
        <v/>
      </c>
      <c r="BF72" t="str">
        <f>IF($A72="","", INDEX(CS!$B$1:$B$12903,MATCH($A72,CS!$B:$B,0)+COLUMN(I$1),1))</f>
        <v/>
      </c>
      <c r="BG72" t="str">
        <f>IF($A72="","", INDEX(CS!$B$1:$B$12903,MATCH($A72,CS!$B:$B,0)+COLUMN(J$1),1))</f>
        <v/>
      </c>
    </row>
    <row r="73" spans="1:87" x14ac:dyDescent="0.4">
      <c r="B73" t="s">
        <v>897</v>
      </c>
      <c r="D73" t="str">
        <f t="shared" ref="D73" si="7">SUM(AI73:AW73,F73:N73)&amp;"/"&amp;SUM(F73:N73)&amp;"/"&amp;SUM(AI73:AW73)</f>
        <v>0/0/0</v>
      </c>
      <c r="E73">
        <v>1</v>
      </c>
      <c r="AX73" t="str">
        <f>IF($A73="","", INDEX(CS!$B$1:$B$12903,MATCH($A73,CS!$B:$B,0)+COLUMN(A$1),1))</f>
        <v/>
      </c>
      <c r="AY73" t="str">
        <f>IF($A73="","", INDEX(CS!$B$1:$B$12903,MATCH($A73,CS!$B:$B,0)+COLUMN(B$1),1))</f>
        <v/>
      </c>
      <c r="AZ73" t="str">
        <f>IF($A73="","", INDEX(CS!$B$1:$B$12903,MATCH($A73,CS!$B:$B,0)+COLUMN(C$1),1))</f>
        <v/>
      </c>
      <c r="BA73" t="str">
        <f>IF($A73="","", INDEX(CS!$B$1:$B$12903,MATCH($A73,CS!$B:$B,0)+COLUMN(D$1),1))</f>
        <v/>
      </c>
      <c r="BB73" t="str">
        <f>IF($A73="","", INDEX(CS!$B$1:$B$12903,MATCH($A73,CS!$B:$B,0)+COLUMN(E$1),1))</f>
        <v/>
      </c>
      <c r="BC73" t="str">
        <f>IF($A73="","", INDEX(CS!$B$1:$B$12903,MATCH($A73,CS!$B:$B,0)+COLUMN(F$1),1))</f>
        <v/>
      </c>
      <c r="BD73" t="str">
        <f>IF($A73="","", INDEX(CS!$B$1:$B$12903,MATCH($A73,CS!$B:$B,0)+COLUMN(G$1),1))</f>
        <v/>
      </c>
      <c r="BE73" t="str">
        <f>IF($A73="","", INDEX(CS!$B$1:$B$12903,MATCH($A73,CS!$B:$B,0)+COLUMN(H$1),1))</f>
        <v/>
      </c>
      <c r="BF73" t="str">
        <f>IF($A73="","", INDEX(CS!$B$1:$B$12903,MATCH($A73,CS!$B:$B,0)+COLUMN(I$1),1))</f>
        <v/>
      </c>
      <c r="BG73" t="str">
        <f>IF($A73="","", INDEX(CS!$B$1:$B$12903,MATCH($A73,CS!$B:$B,0)+COLUMN(J$1),1))</f>
        <v/>
      </c>
    </row>
    <row r="74" spans="1:87" outlineLevel="1" x14ac:dyDescent="0.4">
      <c r="A74" t="s">
        <v>898</v>
      </c>
      <c r="B74" t="s">
        <v>35</v>
      </c>
      <c r="C74" t="s">
        <v>51</v>
      </c>
      <c r="D74" t="str">
        <f>SUM(AI74:AW74,F74:N74)&amp;"/"&amp;SUM(F74:N74)&amp;"/"&amp;SUM(AI74:AW74)</f>
        <v>710/445/265</v>
      </c>
      <c r="E74">
        <v>1</v>
      </c>
      <c r="F74">
        <v>75</v>
      </c>
      <c r="I74">
        <v>75</v>
      </c>
      <c r="J74">
        <v>50</v>
      </c>
      <c r="K74" s="24">
        <v>25</v>
      </c>
      <c r="L74">
        <v>50</v>
      </c>
      <c r="M74">
        <v>85</v>
      </c>
      <c r="N74">
        <v>85</v>
      </c>
      <c r="AJ74">
        <v>25</v>
      </c>
      <c r="AL74">
        <v>50</v>
      </c>
      <c r="AM74">
        <v>25</v>
      </c>
      <c r="AN74">
        <v>90</v>
      </c>
      <c r="AO74">
        <v>75</v>
      </c>
      <c r="AX74" t="e">
        <f>IF($A74="","", INDEX(CS!$B$1:$B$12903,MATCH($A74,CS!$B:$B,0)+COLUMN(A$1),1))</f>
        <v>#N/A</v>
      </c>
      <c r="AY74" t="e">
        <f>IF($A74="","", INDEX(CS!$B$1:$B$12903,MATCH($A74,CS!$B:$B,0)+COLUMN(B$1),1))</f>
        <v>#N/A</v>
      </c>
      <c r="AZ74" t="e">
        <f>IF($A74="","", INDEX(CS!$B$1:$B$12903,MATCH($A74,CS!$B:$B,0)+COLUMN(C$1),1))</f>
        <v>#N/A</v>
      </c>
      <c r="BA74" t="e">
        <f>IF($A74="","", INDEX(CS!$B$1:$B$12903,MATCH($A74,CS!$B:$B,0)+COLUMN(D$1),1))</f>
        <v>#N/A</v>
      </c>
      <c r="BB74" t="e">
        <f>IF($A74="","", INDEX(CS!$B$1:$B$12903,MATCH($A74,CS!$B:$B,0)+COLUMN(E$1),1))</f>
        <v>#N/A</v>
      </c>
      <c r="BC74" t="e">
        <f>IF($A74="","", INDEX(CS!$B$1:$B$12903,MATCH($A74,CS!$B:$B,0)+COLUMN(F$1),1))</f>
        <v>#N/A</v>
      </c>
      <c r="BD74" t="e">
        <f>IF($A74="","", INDEX(CS!$B$1:$B$12903,MATCH($A74,CS!$B:$B,0)+COLUMN(G$1),1))</f>
        <v>#N/A</v>
      </c>
      <c r="BE74" t="e">
        <f>IF($A74="","", INDEX(CS!$B$1:$B$12903,MATCH($A74,CS!$B:$B,0)+COLUMN(H$1),1))</f>
        <v>#N/A</v>
      </c>
      <c r="BF74" t="e">
        <f>IF($A74="","", INDEX(CS!$B$1:$B$12903,MATCH($A74,CS!$B:$B,0)+COLUMN(I$1),1))</f>
        <v>#N/A</v>
      </c>
      <c r="BG74" t="e">
        <f>IF($A74="","", INDEX(CS!$B$1:$B$12903,MATCH($A74,CS!$B:$B,0)+COLUMN(J$1),1))</f>
        <v>#N/A</v>
      </c>
      <c r="BI74" t="s">
        <v>899</v>
      </c>
      <c r="CB74" t="s">
        <v>1178</v>
      </c>
      <c r="CE74" t="s">
        <v>922</v>
      </c>
      <c r="CF74" t="s">
        <v>1126</v>
      </c>
      <c r="CI74" t="s">
        <v>992</v>
      </c>
    </row>
    <row r="75" spans="1:87" outlineLevel="1" x14ac:dyDescent="0.4">
      <c r="C75" t="s">
        <v>51</v>
      </c>
      <c r="D75" t="str">
        <f>SUM(AI75:AW75,F75:N75)&amp;"/"&amp;SUM(F75:N75)&amp;"/"&amp;SUM(AI75:AW75)</f>
        <v>710/460/250</v>
      </c>
      <c r="E75">
        <v>1</v>
      </c>
      <c r="F75">
        <v>75</v>
      </c>
      <c r="I75">
        <v>75</v>
      </c>
      <c r="J75">
        <v>75</v>
      </c>
      <c r="K75" s="24">
        <v>25</v>
      </c>
      <c r="L75">
        <v>50</v>
      </c>
      <c r="M75">
        <v>75</v>
      </c>
      <c r="N75">
        <v>85</v>
      </c>
      <c r="AL75">
        <v>50</v>
      </c>
      <c r="AM75">
        <v>35</v>
      </c>
      <c r="AN75">
        <v>75</v>
      </c>
      <c r="AO75">
        <v>90</v>
      </c>
      <c r="AX75" t="str">
        <f>IF($A75="","", INDEX(CS!$B$1:$B$12903,MATCH($A75,CS!$B:$B,0)+COLUMN(A$1),1))</f>
        <v/>
      </c>
      <c r="AY75" t="str">
        <f>IF($A75="","", INDEX(CS!$B$1:$B$12903,MATCH($A75,CS!$B:$B,0)+COLUMN(B$1),1))</f>
        <v/>
      </c>
      <c r="AZ75" t="str">
        <f>IF($A75="","", INDEX(CS!$B$1:$B$12903,MATCH($A75,CS!$B:$B,0)+COLUMN(C$1),1))</f>
        <v/>
      </c>
      <c r="BA75" t="str">
        <f>IF($A75="","", INDEX(CS!$B$1:$B$12903,MATCH($A75,CS!$B:$B,0)+COLUMN(D$1),1))</f>
        <v/>
      </c>
      <c r="BB75" t="str">
        <f>IF($A75="","", INDEX(CS!$B$1:$B$12903,MATCH($A75,CS!$B:$B,0)+COLUMN(E$1),1))</f>
        <v/>
      </c>
      <c r="BC75" t="str">
        <f>IF($A75="","", INDEX(CS!$B$1:$B$12903,MATCH($A75,CS!$B:$B,0)+COLUMN(F$1),1))</f>
        <v/>
      </c>
      <c r="BD75" t="str">
        <f>IF($A75="","", INDEX(CS!$B$1:$B$12903,MATCH($A75,CS!$B:$B,0)+COLUMN(G$1),1))</f>
        <v/>
      </c>
      <c r="BE75" t="str">
        <f>IF($A75="","", INDEX(CS!$B$1:$B$12903,MATCH($A75,CS!$B:$B,0)+COLUMN(H$1),1))</f>
        <v/>
      </c>
      <c r="BF75" t="str">
        <f>IF($A75="","", INDEX(CS!$B$1:$B$12903,MATCH($A75,CS!$B:$B,0)+COLUMN(I$1),1))</f>
        <v/>
      </c>
      <c r="BG75" t="str">
        <f>IF($A75="","", INDEX(CS!$B$1:$B$12903,MATCH($A75,CS!$B:$B,0)+COLUMN(J$1),1))</f>
        <v/>
      </c>
    </row>
    <row r="76" spans="1:87" outlineLevel="1" x14ac:dyDescent="0.4">
      <c r="C76" t="s">
        <v>51</v>
      </c>
      <c r="D76" t="str">
        <f>SUM(AI76:AW76,F76:N76)&amp;"/"&amp;SUM(F76:N76)&amp;"/"&amp;SUM(AI76:AW76)</f>
        <v>710/445/265</v>
      </c>
      <c r="E76">
        <v>1</v>
      </c>
      <c r="F76">
        <v>75</v>
      </c>
      <c r="I76">
        <v>75</v>
      </c>
      <c r="J76">
        <v>50</v>
      </c>
      <c r="K76" s="24">
        <v>25</v>
      </c>
      <c r="L76">
        <v>50</v>
      </c>
      <c r="M76">
        <v>85</v>
      </c>
      <c r="N76">
        <v>85</v>
      </c>
      <c r="AL76">
        <v>50</v>
      </c>
      <c r="AM76">
        <v>65</v>
      </c>
      <c r="AN76">
        <v>75</v>
      </c>
      <c r="AO76">
        <v>75</v>
      </c>
      <c r="AX76" t="str">
        <f>IF($A76="","", INDEX(CS!$B$1:$B$12903,MATCH($A76,CS!$B:$B,0)+COLUMN(A$1),1))</f>
        <v/>
      </c>
      <c r="AY76" t="str">
        <f>IF($A76="","", INDEX(CS!$B$1:$B$12903,MATCH($A76,CS!$B:$B,0)+COLUMN(B$1),1))</f>
        <v/>
      </c>
      <c r="AZ76" t="str">
        <f>IF($A76="","", INDEX(CS!$B$1:$B$12903,MATCH($A76,CS!$B:$B,0)+COLUMN(C$1),1))</f>
        <v/>
      </c>
      <c r="BA76" t="str">
        <f>IF($A76="","", INDEX(CS!$B$1:$B$12903,MATCH($A76,CS!$B:$B,0)+COLUMN(D$1),1))</f>
        <v/>
      </c>
      <c r="BB76" t="str">
        <f>IF($A76="","", INDEX(CS!$B$1:$B$12903,MATCH($A76,CS!$B:$B,0)+COLUMN(E$1),1))</f>
        <v/>
      </c>
      <c r="BC76" t="str">
        <f>IF($A76="","", INDEX(CS!$B$1:$B$12903,MATCH($A76,CS!$B:$B,0)+COLUMN(F$1),1))</f>
        <v/>
      </c>
      <c r="BD76" t="str">
        <f>IF($A76="","", INDEX(CS!$B$1:$B$12903,MATCH($A76,CS!$B:$B,0)+COLUMN(G$1),1))</f>
        <v/>
      </c>
      <c r="BE76" t="str">
        <f>IF($A76="","", INDEX(CS!$B$1:$B$12903,MATCH($A76,CS!$B:$B,0)+COLUMN(H$1),1))</f>
        <v/>
      </c>
      <c r="BF76" t="str">
        <f>IF($A76="","", INDEX(CS!$B$1:$B$12903,MATCH($A76,CS!$B:$B,0)+COLUMN(I$1),1))</f>
        <v/>
      </c>
      <c r="BG76" t="str">
        <f>IF($A76="","", INDEX(CS!$B$1:$B$12903,MATCH($A76,CS!$B:$B,0)+COLUMN(J$1),1))</f>
        <v/>
      </c>
    </row>
    <row r="77" spans="1:87" outlineLevel="1" x14ac:dyDescent="0.4">
      <c r="C77" t="s">
        <v>51</v>
      </c>
      <c r="D77" t="str">
        <f>SUM(AI77:AW77,F77:N77)&amp;"/"&amp;SUM(F77:N77)&amp;"/"&amp;SUM(AI77:AW77)</f>
        <v>0/0/0</v>
      </c>
      <c r="E77">
        <v>1</v>
      </c>
      <c r="AX77" t="str">
        <f>IF($A77="","", INDEX(CS!$B$1:$B$12903,MATCH($A77,CS!$B:$B,0)+COLUMN(A$1),1))</f>
        <v/>
      </c>
      <c r="AY77" t="str">
        <f>IF($A77="","", INDEX(CS!$B$1:$B$12903,MATCH($A77,CS!$B:$B,0)+COLUMN(B$1),1))</f>
        <v/>
      </c>
      <c r="AZ77" t="str">
        <f>IF($A77="","", INDEX(CS!$B$1:$B$12903,MATCH($A77,CS!$B:$B,0)+COLUMN(C$1),1))</f>
        <v/>
      </c>
      <c r="BA77" t="str">
        <f>IF($A77="","", INDEX(CS!$B$1:$B$12903,MATCH($A77,CS!$B:$B,0)+COLUMN(D$1),1))</f>
        <v/>
      </c>
      <c r="BB77" t="str">
        <f>IF($A77="","", INDEX(CS!$B$1:$B$12903,MATCH($A77,CS!$B:$B,0)+COLUMN(E$1),1))</f>
        <v/>
      </c>
      <c r="BC77" t="str">
        <f>IF($A77="","", INDEX(CS!$B$1:$B$12903,MATCH($A77,CS!$B:$B,0)+COLUMN(F$1),1))</f>
        <v/>
      </c>
      <c r="BD77" t="str">
        <f>IF($A77="","", INDEX(CS!$B$1:$B$12903,MATCH($A77,CS!$B:$B,0)+COLUMN(G$1),1))</f>
        <v/>
      </c>
      <c r="BE77" t="str">
        <f>IF($A77="","", INDEX(CS!$B$1:$B$12903,MATCH($A77,CS!$B:$B,0)+COLUMN(H$1),1))</f>
        <v/>
      </c>
      <c r="BF77" t="str">
        <f>IF($A77="","", INDEX(CS!$B$1:$B$12903,MATCH($A77,CS!$B:$B,0)+COLUMN(I$1),1))</f>
        <v/>
      </c>
      <c r="BG77" t="str">
        <f>IF($A77="","", INDEX(CS!$B$1:$B$12903,MATCH($A77,CS!$B:$B,0)+COLUMN(J$1),1))</f>
        <v/>
      </c>
    </row>
    <row r="78" spans="1:87" x14ac:dyDescent="0.4">
      <c r="D78" t="str">
        <f t="shared" si="2"/>
        <v>0/0/0</v>
      </c>
      <c r="E78">
        <v>1</v>
      </c>
      <c r="AX78" t="str">
        <f>IF($A78="","", INDEX(CS!$B$1:$B$12903,MATCH($A78,CS!$B:$B,0)+COLUMN(A$1),1))</f>
        <v/>
      </c>
      <c r="AY78" t="str">
        <f>IF($A78="","", INDEX(CS!$B$1:$B$12903,MATCH($A78,CS!$B:$B,0)+COLUMN(B$1),1))</f>
        <v/>
      </c>
      <c r="AZ78" t="str">
        <f>IF($A78="","", INDEX(CS!$B$1:$B$12903,MATCH($A78,CS!$B:$B,0)+COLUMN(C$1),1))</f>
        <v/>
      </c>
      <c r="BA78" t="str">
        <f>IF($A78="","", INDEX(CS!$B$1:$B$12903,MATCH($A78,CS!$B:$B,0)+COLUMN(D$1),1))</f>
        <v/>
      </c>
      <c r="BB78" t="str">
        <f>IF($A78="","", INDEX(CS!$B$1:$B$12903,MATCH($A78,CS!$B:$B,0)+COLUMN(E$1),1))</f>
        <v/>
      </c>
      <c r="BC78" t="str">
        <f>IF($A78="","", INDEX(CS!$B$1:$B$12903,MATCH($A78,CS!$B:$B,0)+COLUMN(F$1),1))</f>
        <v/>
      </c>
      <c r="BD78" t="str">
        <f>IF($A78="","", INDEX(CS!$B$1:$B$12903,MATCH($A78,CS!$B:$B,0)+COLUMN(G$1),1))</f>
        <v/>
      </c>
      <c r="BE78" t="str">
        <f>IF($A78="","", INDEX(CS!$B$1:$B$12903,MATCH($A78,CS!$B:$B,0)+COLUMN(H$1),1))</f>
        <v/>
      </c>
      <c r="BF78" t="str">
        <f>IF($A78="","", INDEX(CS!$B$1:$B$12903,MATCH($A78,CS!$B:$B,0)+COLUMN(I$1),1))</f>
        <v/>
      </c>
      <c r="BG78" t="str">
        <f>IF($A78="","", INDEX(CS!$B$1:$B$12903,MATCH($A78,CS!$B:$B,0)+COLUMN(J$1),1))</f>
        <v/>
      </c>
    </row>
    <row r="79" spans="1:87" ht="20.25" customHeight="1" x14ac:dyDescent="0.4">
      <c r="D79" t="str">
        <f t="shared" si="2"/>
        <v>0/0/0</v>
      </c>
      <c r="E79">
        <v>1</v>
      </c>
      <c r="AX79" t="str">
        <f>IF($A79="","", INDEX(CS!$B$1:$B$12903,MATCH($A79,CS!$B:$B,0)+COLUMN(A$1),1))</f>
        <v/>
      </c>
      <c r="AY79" t="str">
        <f>IF($A79="","", INDEX(CS!$B$1:$B$12903,MATCH($A79,CS!$B:$B,0)+COLUMN(B$1),1))</f>
        <v/>
      </c>
      <c r="AZ79" t="str">
        <f>IF($A79="","", INDEX(CS!$B$1:$B$12903,MATCH($A79,CS!$B:$B,0)+COLUMN(C$1),1))</f>
        <v/>
      </c>
      <c r="BA79" t="str">
        <f>IF($A79="","", INDEX(CS!$B$1:$B$12903,MATCH($A79,CS!$B:$B,0)+COLUMN(D$1),1))</f>
        <v/>
      </c>
      <c r="BB79" t="str">
        <f>IF($A79="","", INDEX(CS!$B$1:$B$12903,MATCH($A79,CS!$B:$B,0)+COLUMN(E$1),1))</f>
        <v/>
      </c>
      <c r="BC79" t="str">
        <f>IF($A79="","", INDEX(CS!$B$1:$B$12903,MATCH($A79,CS!$B:$B,0)+COLUMN(F$1),1))</f>
        <v/>
      </c>
      <c r="BD79" t="str">
        <f>IF($A79="","", INDEX(CS!$B$1:$B$12903,MATCH($A79,CS!$B:$B,0)+COLUMN(G$1),1))</f>
        <v/>
      </c>
      <c r="BE79" t="str">
        <f>IF($A79="","", INDEX(CS!$B$1:$B$12903,MATCH($A79,CS!$B:$B,0)+COLUMN(H$1),1))</f>
        <v/>
      </c>
      <c r="BF79" t="str">
        <f>IF($A79="","", INDEX(CS!$B$1:$B$12903,MATCH($A79,CS!$B:$B,0)+COLUMN(I$1),1))</f>
        <v/>
      </c>
      <c r="BG79" t="str">
        <f>IF($A79="","", INDEX(CS!$B$1:$B$12903,MATCH($A79,CS!$B:$B,0)+COLUMN(J$1),1))</f>
        <v/>
      </c>
      <c r="BS79" s="53"/>
      <c r="BT79" s="53"/>
      <c r="BU79" s="53"/>
      <c r="BV79" s="53"/>
      <c r="BW79" s="53"/>
    </row>
    <row r="80" spans="1:87" x14ac:dyDescent="0.4">
      <c r="A80" t="s">
        <v>197</v>
      </c>
      <c r="C80" t="s">
        <v>193</v>
      </c>
      <c r="D80" t="str">
        <f t="shared" si="2"/>
        <v>710/490/220</v>
      </c>
      <c r="E80">
        <v>1</v>
      </c>
      <c r="F80">
        <v>100</v>
      </c>
      <c r="I80">
        <v>90</v>
      </c>
      <c r="J80">
        <v>90</v>
      </c>
      <c r="K80" s="24">
        <v>0</v>
      </c>
      <c r="L80">
        <v>50</v>
      </c>
      <c r="M80">
        <v>80</v>
      </c>
      <c r="N80">
        <v>80</v>
      </c>
      <c r="O80">
        <v>230</v>
      </c>
      <c r="AB80">
        <v>-35</v>
      </c>
      <c r="AC80">
        <v>10</v>
      </c>
      <c r="AE80">
        <v>15</v>
      </c>
      <c r="AF80">
        <v>10</v>
      </c>
      <c r="AJ80">
        <v>50</v>
      </c>
      <c r="AL80">
        <v>50</v>
      </c>
      <c r="AN80">
        <v>60</v>
      </c>
      <c r="AO80">
        <v>60</v>
      </c>
      <c r="AX80" t="str">
        <f>IF($A80="","", INDEX(CS!$B$1:$B$12903,MATCH($A80,CS!$B:$B,0)+COLUMN(A$1),1))</f>
        <v>爪</v>
      </c>
      <c r="AY80" t="str">
        <f>IF($A80="","", INDEX(CS!$B$1:$B$12903,MATCH($A80,CS!$B:$B,0)+COLUMN(B$1),1))</f>
        <v>牙</v>
      </c>
      <c r="AZ80">
        <f>IF($A80="","", INDEX(CS!$B$1:$B$12903,MATCH($A80,CS!$B:$B,0)+COLUMN(C$1),1))</f>
        <v>0</v>
      </c>
      <c r="BA80">
        <f>IF($A80="","", INDEX(CS!$B$1:$B$12903,MATCH($A80,CS!$B:$B,0)+COLUMN(D$1),1))</f>
        <v>0</v>
      </c>
      <c r="BB80">
        <f>IF($A80="","", INDEX(CS!$B$1:$B$12903,MATCH($A80,CS!$B:$B,0)+COLUMN(E$1),1))</f>
        <v>0</v>
      </c>
      <c r="BC80">
        <f>IF($A80="","", INDEX(CS!$B$1:$B$12903,MATCH($A80,CS!$B:$B,0)+COLUMN(F$1),1))</f>
        <v>0</v>
      </c>
      <c r="BD80">
        <f>IF($A80="","", INDEX(CS!$B$1:$B$12903,MATCH($A80,CS!$B:$B,0)+COLUMN(G$1),1))</f>
        <v>0</v>
      </c>
      <c r="BE80">
        <f>IF($A80="","", INDEX(CS!$B$1:$B$12903,MATCH($A80,CS!$B:$B,0)+COLUMN(H$1),1))</f>
        <v>0</v>
      </c>
      <c r="BF80">
        <f>IF($A80="","", INDEX(CS!$B$1:$B$12903,MATCH($A80,CS!$B:$B,0)+COLUMN(I$1),1))</f>
        <v>0</v>
      </c>
      <c r="BG80">
        <f>IF($A80="","", INDEX(CS!$B$1:$B$12903,MATCH($A80,CS!$B:$B,0)+COLUMN(J$1),1))</f>
        <v>0</v>
      </c>
      <c r="BR80" t="s">
        <v>904</v>
      </c>
      <c r="BS80" s="53">
        <v>120</v>
      </c>
      <c r="BT80" s="52">
        <v>10</v>
      </c>
      <c r="BU80" s="52">
        <v>10</v>
      </c>
      <c r="BV80" s="52">
        <v>90</v>
      </c>
      <c r="BW80" s="52">
        <v>10</v>
      </c>
      <c r="CB80" t="s">
        <v>914</v>
      </c>
      <c r="CC80" t="s">
        <v>914</v>
      </c>
      <c r="CF80" t="s">
        <v>914</v>
      </c>
      <c r="CI80" t="s">
        <v>193</v>
      </c>
    </row>
    <row r="81" spans="1:87" x14ac:dyDescent="0.4">
      <c r="A81" t="s">
        <v>194</v>
      </c>
      <c r="C81" t="s">
        <v>193</v>
      </c>
      <c r="D81" t="str">
        <f t="shared" si="2"/>
        <v>705/485/220</v>
      </c>
      <c r="E81">
        <v>1</v>
      </c>
      <c r="F81">
        <v>90</v>
      </c>
      <c r="I81">
        <v>85</v>
      </c>
      <c r="J81">
        <v>75</v>
      </c>
      <c r="K81" s="24">
        <v>0</v>
      </c>
      <c r="L81">
        <v>50</v>
      </c>
      <c r="M81">
        <v>100</v>
      </c>
      <c r="N81">
        <v>85</v>
      </c>
      <c r="O81">
        <v>175</v>
      </c>
      <c r="AB81">
        <v>-35</v>
      </c>
      <c r="AC81">
        <v>10</v>
      </c>
      <c r="AE81">
        <v>15</v>
      </c>
      <c r="AF81">
        <v>10</v>
      </c>
      <c r="AJ81">
        <v>50</v>
      </c>
      <c r="AL81">
        <v>50</v>
      </c>
      <c r="AN81">
        <v>60</v>
      </c>
      <c r="AO81">
        <v>60</v>
      </c>
      <c r="AX81" t="str">
        <f>IF($A81="","", INDEX(CS!$B$1:$B$12903,MATCH($A81,CS!$B:$B,0)+COLUMN(A$1),1))</f>
        <v>爪</v>
      </c>
      <c r="AY81" t="str">
        <f>IF($A81="","", INDEX(CS!$B$1:$B$12903,MATCH($A81,CS!$B:$B,0)+COLUMN(B$1),1))</f>
        <v>牙</v>
      </c>
      <c r="AZ81">
        <f>IF($A81="","", INDEX(CS!$B$1:$B$12903,MATCH($A81,CS!$B:$B,0)+COLUMN(C$1),1))</f>
        <v>0</v>
      </c>
      <c r="BA81">
        <f>IF($A81="","", INDEX(CS!$B$1:$B$12903,MATCH($A81,CS!$B:$B,0)+COLUMN(D$1),1))</f>
        <v>0</v>
      </c>
      <c r="BB81">
        <f>IF($A81="","", INDEX(CS!$B$1:$B$12903,MATCH($A81,CS!$B:$B,0)+COLUMN(E$1),1))</f>
        <v>0</v>
      </c>
      <c r="BC81">
        <f>IF($A81="","", INDEX(CS!$B$1:$B$12903,MATCH($A81,CS!$B:$B,0)+COLUMN(F$1),1))</f>
        <v>0</v>
      </c>
      <c r="BD81">
        <f>IF($A81="","", INDEX(CS!$B$1:$B$12903,MATCH($A81,CS!$B:$B,0)+COLUMN(G$1),1))</f>
        <v>0</v>
      </c>
      <c r="BE81">
        <f>IF($A81="","", INDEX(CS!$B$1:$B$12903,MATCH($A81,CS!$B:$B,0)+COLUMN(H$1),1))</f>
        <v>0</v>
      </c>
      <c r="BF81">
        <f>IF($A81="","", INDEX(CS!$B$1:$B$12903,MATCH($A81,CS!$B:$B,0)+COLUMN(I$1),1))</f>
        <v>0</v>
      </c>
      <c r="BG81">
        <f>IF($A81="","", INDEX(CS!$B$1:$B$12903,MATCH($A81,CS!$B:$B,0)+COLUMN(J$1),1))</f>
        <v>0</v>
      </c>
      <c r="BR81" t="s">
        <v>904</v>
      </c>
      <c r="BS81" s="53">
        <v>110</v>
      </c>
      <c r="BT81" s="52">
        <v>10</v>
      </c>
      <c r="BU81" s="52">
        <v>10</v>
      </c>
      <c r="BV81" s="52">
        <v>80</v>
      </c>
      <c r="BW81" s="52">
        <v>10</v>
      </c>
      <c r="CB81" t="s">
        <v>914</v>
      </c>
      <c r="CC81" t="s">
        <v>914</v>
      </c>
      <c r="CF81" t="s">
        <v>914</v>
      </c>
      <c r="CI81" t="s">
        <v>193</v>
      </c>
    </row>
    <row r="82" spans="1:87" x14ac:dyDescent="0.4">
      <c r="A82" t="s">
        <v>195</v>
      </c>
      <c r="C82" t="s">
        <v>193</v>
      </c>
      <c r="D82" t="str">
        <f t="shared" si="2"/>
        <v>670/450/220</v>
      </c>
      <c r="E82">
        <v>1</v>
      </c>
      <c r="F82">
        <v>90</v>
      </c>
      <c r="I82">
        <v>85</v>
      </c>
      <c r="J82">
        <v>75</v>
      </c>
      <c r="K82" s="24">
        <v>0</v>
      </c>
      <c r="L82">
        <v>50</v>
      </c>
      <c r="M82">
        <v>75</v>
      </c>
      <c r="N82">
        <v>75</v>
      </c>
      <c r="O82">
        <v>150</v>
      </c>
      <c r="AB82">
        <v>-35</v>
      </c>
      <c r="AC82">
        <v>10</v>
      </c>
      <c r="AE82">
        <v>15</v>
      </c>
      <c r="AF82">
        <v>10</v>
      </c>
      <c r="AJ82">
        <v>50</v>
      </c>
      <c r="AL82">
        <v>50</v>
      </c>
      <c r="AN82">
        <v>60</v>
      </c>
      <c r="AO82">
        <v>60</v>
      </c>
      <c r="AX82" t="str">
        <f>IF($A82="","", INDEX(CS!$B$1:$B$12903,MATCH($A82,CS!$B:$B,0)+COLUMN(A$1),1))</f>
        <v>牙</v>
      </c>
      <c r="AY82" t="str">
        <f>IF($A82="","", INDEX(CS!$B$1:$B$12903,MATCH($A82,CS!$B:$B,0)+COLUMN(B$1),1))</f>
        <v>尾</v>
      </c>
      <c r="AZ82" t="str">
        <f>IF($A82="","", INDEX(CS!$B$1:$B$12903,MATCH($A82,CS!$B:$B,0)+COLUMN(C$1),1))</f>
        <v>尾の巻き付き</v>
      </c>
      <c r="BA82">
        <f>IF($A82="","", INDEX(CS!$B$1:$B$12903,MATCH($A82,CS!$B:$B,0)+COLUMN(D$1),1))</f>
        <v>0</v>
      </c>
      <c r="BB82">
        <f>IF($A82="","", INDEX(CS!$B$1:$B$12903,MATCH($A82,CS!$B:$B,0)+COLUMN(E$1),1))</f>
        <v>0</v>
      </c>
      <c r="BC82">
        <f>IF($A82="","", INDEX(CS!$B$1:$B$12903,MATCH($A82,CS!$B:$B,0)+COLUMN(F$1),1))</f>
        <v>0</v>
      </c>
      <c r="BD82">
        <f>IF($A82="","", INDEX(CS!$B$1:$B$12903,MATCH($A82,CS!$B:$B,0)+COLUMN(G$1),1))</f>
        <v>0</v>
      </c>
      <c r="BE82">
        <f>IF($A82="","", INDEX(CS!$B$1:$B$12903,MATCH($A82,CS!$B:$B,0)+COLUMN(H$1),1))</f>
        <v>0</v>
      </c>
      <c r="BF82">
        <f>IF($A82="","", INDEX(CS!$B$1:$B$12903,MATCH($A82,CS!$B:$B,0)+COLUMN(I$1),1))</f>
        <v>0</v>
      </c>
      <c r="BG82">
        <f>IF($A82="","", INDEX(CS!$B$1:$B$12903,MATCH($A82,CS!$B:$B,0)+COLUMN(J$1),1))</f>
        <v>0</v>
      </c>
      <c r="BR82" t="s">
        <v>904</v>
      </c>
      <c r="BS82" s="53">
        <v>85</v>
      </c>
      <c r="BT82" s="52">
        <v>5</v>
      </c>
      <c r="BU82" s="52">
        <v>0</v>
      </c>
      <c r="BV82" s="52">
        <v>70</v>
      </c>
      <c r="BW82" s="52">
        <v>10</v>
      </c>
      <c r="CB82" t="s">
        <v>914</v>
      </c>
      <c r="CC82" t="s">
        <v>914</v>
      </c>
      <c r="CD82" t="s">
        <v>914</v>
      </c>
      <c r="CF82" t="s">
        <v>914</v>
      </c>
      <c r="CI82" t="s">
        <v>193</v>
      </c>
    </row>
    <row r="83" spans="1:87" x14ac:dyDescent="0.4">
      <c r="A83" t="s">
        <v>199</v>
      </c>
      <c r="C83" t="s">
        <v>193</v>
      </c>
      <c r="D83" t="str">
        <f t="shared" si="2"/>
        <v>695/475/220</v>
      </c>
      <c r="E83">
        <v>1</v>
      </c>
      <c r="F83">
        <v>75</v>
      </c>
      <c r="I83">
        <v>75</v>
      </c>
      <c r="J83">
        <v>75</v>
      </c>
      <c r="K83" s="24">
        <v>0</v>
      </c>
      <c r="L83">
        <v>50</v>
      </c>
      <c r="M83">
        <v>100</v>
      </c>
      <c r="N83">
        <v>100</v>
      </c>
      <c r="O83">
        <v>145</v>
      </c>
      <c r="AB83">
        <v>-35</v>
      </c>
      <c r="AC83">
        <v>10</v>
      </c>
      <c r="AE83">
        <v>15</v>
      </c>
      <c r="AF83">
        <v>10</v>
      </c>
      <c r="AJ83">
        <v>50</v>
      </c>
      <c r="AL83">
        <v>50</v>
      </c>
      <c r="AN83">
        <v>60</v>
      </c>
      <c r="AO83">
        <v>60</v>
      </c>
      <c r="AX83" t="str">
        <f>IF($A83="","", INDEX(CS!$B$1:$B$12903,MATCH($A83,CS!$B:$B,0)+COLUMN(A$1),1))</f>
        <v>爪</v>
      </c>
      <c r="AY83" t="str">
        <f>IF($A83="","", INDEX(CS!$B$1:$B$12903,MATCH($A83,CS!$B:$B,0)+COLUMN(B$1),1))</f>
        <v>牙</v>
      </c>
      <c r="AZ83">
        <f>IF($A83="","", INDEX(CS!$B$1:$B$12903,MATCH($A83,CS!$B:$B,0)+COLUMN(C$1),1))</f>
        <v>0</v>
      </c>
      <c r="BA83">
        <f>IF($A83="","", INDEX(CS!$B$1:$B$12903,MATCH($A83,CS!$B:$B,0)+COLUMN(D$1),1))</f>
        <v>0</v>
      </c>
      <c r="BB83">
        <f>IF($A83="","", INDEX(CS!$B$1:$B$12903,MATCH($A83,CS!$B:$B,0)+COLUMN(E$1),1))</f>
        <v>0</v>
      </c>
      <c r="BC83">
        <f>IF($A83="","", INDEX(CS!$B$1:$B$12903,MATCH($A83,CS!$B:$B,0)+COLUMN(F$1),1))</f>
        <v>0</v>
      </c>
      <c r="BD83">
        <f>IF($A83="","", INDEX(CS!$B$1:$B$12903,MATCH($A83,CS!$B:$B,0)+COLUMN(G$1),1))</f>
        <v>0</v>
      </c>
      <c r="BE83">
        <f>IF($A83="","", INDEX(CS!$B$1:$B$12903,MATCH($A83,CS!$B:$B,0)+COLUMN(H$1),1))</f>
        <v>0</v>
      </c>
      <c r="BF83">
        <f>IF($A83="","", INDEX(CS!$B$1:$B$12903,MATCH($A83,CS!$B:$B,0)+COLUMN(I$1),1))</f>
        <v>0</v>
      </c>
      <c r="BG83">
        <f>IF($A83="","", INDEX(CS!$B$1:$B$12903,MATCH($A83,CS!$B:$B,0)+COLUMN(J$1),1))</f>
        <v>0</v>
      </c>
      <c r="BR83" t="s">
        <v>904</v>
      </c>
      <c r="BS83" s="53">
        <v>80</v>
      </c>
      <c r="BT83" s="52">
        <v>10</v>
      </c>
      <c r="BU83" s="52">
        <v>10</v>
      </c>
      <c r="BV83" s="52">
        <v>50</v>
      </c>
      <c r="BW83" s="52">
        <v>10</v>
      </c>
      <c r="CB83" t="s">
        <v>914</v>
      </c>
      <c r="CC83" t="s">
        <v>914</v>
      </c>
      <c r="CF83" t="s">
        <v>914</v>
      </c>
      <c r="CI83" t="s">
        <v>193</v>
      </c>
    </row>
    <row r="84" spans="1:87" x14ac:dyDescent="0.4">
      <c r="A84" t="s">
        <v>201</v>
      </c>
      <c r="C84" t="s">
        <v>193</v>
      </c>
      <c r="D84" t="str">
        <f t="shared" si="2"/>
        <v>710/490/220</v>
      </c>
      <c r="E84">
        <v>1</v>
      </c>
      <c r="F84">
        <v>100</v>
      </c>
      <c r="I84">
        <v>100</v>
      </c>
      <c r="J84">
        <v>90</v>
      </c>
      <c r="K84" s="24">
        <v>0</v>
      </c>
      <c r="L84">
        <v>50</v>
      </c>
      <c r="M84">
        <v>75</v>
      </c>
      <c r="N84">
        <v>75</v>
      </c>
      <c r="O84">
        <v>300</v>
      </c>
      <c r="AB84">
        <v>-35</v>
      </c>
      <c r="AC84">
        <v>10</v>
      </c>
      <c r="AE84">
        <v>15</v>
      </c>
      <c r="AF84">
        <v>10</v>
      </c>
      <c r="AJ84">
        <v>50</v>
      </c>
      <c r="AL84">
        <v>50</v>
      </c>
      <c r="AN84">
        <v>60</v>
      </c>
      <c r="AO84">
        <v>60</v>
      </c>
      <c r="AX84" t="str">
        <f>IF($A84="","", INDEX(CS!$B$1:$B$12903,MATCH($A84,CS!$B:$B,0)+COLUMN(A$1),1))</f>
        <v>爪</v>
      </c>
      <c r="AY84" t="str">
        <f>IF($A84="","", INDEX(CS!$B$1:$B$12903,MATCH($A84,CS!$B:$B,0)+COLUMN(B$1),1))</f>
        <v>牙</v>
      </c>
      <c r="AZ84">
        <f>IF($A84="","", INDEX(CS!$B$1:$B$12903,MATCH($A84,CS!$B:$B,0)+COLUMN(C$1),1))</f>
        <v>0</v>
      </c>
      <c r="BA84">
        <f>IF($A84="","", INDEX(CS!$B$1:$B$12903,MATCH($A84,CS!$B:$B,0)+COLUMN(D$1),1))</f>
        <v>0</v>
      </c>
      <c r="BB84">
        <f>IF($A84="","", INDEX(CS!$B$1:$B$12903,MATCH($A84,CS!$B:$B,0)+COLUMN(E$1),1))</f>
        <v>0</v>
      </c>
      <c r="BC84">
        <f>IF($A84="","", INDEX(CS!$B$1:$B$12903,MATCH($A84,CS!$B:$B,0)+COLUMN(F$1),1))</f>
        <v>0</v>
      </c>
      <c r="BD84">
        <f>IF($A84="","", INDEX(CS!$B$1:$B$12903,MATCH($A84,CS!$B:$B,0)+COLUMN(G$1),1))</f>
        <v>0</v>
      </c>
      <c r="BE84">
        <f>IF($A84="","", INDEX(CS!$B$1:$B$12903,MATCH($A84,CS!$B:$B,0)+COLUMN(H$1),1))</f>
        <v>0</v>
      </c>
      <c r="BF84">
        <f>IF($A84="","", INDEX(CS!$B$1:$B$12903,MATCH($A84,CS!$B:$B,0)+COLUMN(I$1),1))</f>
        <v>0</v>
      </c>
      <c r="BG84">
        <f>IF($A84="","", INDEX(CS!$B$1:$B$12903,MATCH($A84,CS!$B:$B,0)+COLUMN(J$1),1))</f>
        <v>0</v>
      </c>
      <c r="BR84" t="s">
        <v>904</v>
      </c>
      <c r="BS84" s="53">
        <v>130</v>
      </c>
      <c r="BT84" s="52">
        <v>20</v>
      </c>
      <c r="BU84" s="52">
        <v>20</v>
      </c>
      <c r="BV84" s="52">
        <v>80</v>
      </c>
      <c r="BW84" s="52">
        <v>10</v>
      </c>
      <c r="CB84" t="s">
        <v>914</v>
      </c>
      <c r="CC84" t="s">
        <v>914</v>
      </c>
      <c r="CF84" t="s">
        <v>914</v>
      </c>
      <c r="CI84" t="s">
        <v>193</v>
      </c>
    </row>
    <row r="85" spans="1:87" x14ac:dyDescent="0.4">
      <c r="A85" t="s">
        <v>203</v>
      </c>
      <c r="C85" t="s">
        <v>193</v>
      </c>
      <c r="D85" t="str">
        <f t="shared" si="2"/>
        <v>705/485/220</v>
      </c>
      <c r="E85">
        <v>1</v>
      </c>
      <c r="F85">
        <v>100</v>
      </c>
      <c r="I85">
        <v>100</v>
      </c>
      <c r="J85">
        <v>90</v>
      </c>
      <c r="K85" s="24">
        <v>0</v>
      </c>
      <c r="L85">
        <v>50</v>
      </c>
      <c r="M85">
        <v>65</v>
      </c>
      <c r="N85">
        <v>80</v>
      </c>
      <c r="O85">
        <v>280</v>
      </c>
      <c r="AB85">
        <v>-35</v>
      </c>
      <c r="AC85">
        <v>10</v>
      </c>
      <c r="AE85">
        <v>15</v>
      </c>
      <c r="AF85">
        <v>10</v>
      </c>
      <c r="AJ85">
        <v>50</v>
      </c>
      <c r="AL85">
        <v>50</v>
      </c>
      <c r="AN85">
        <v>60</v>
      </c>
      <c r="AO85">
        <v>60</v>
      </c>
      <c r="AX85" t="str">
        <f>IF($A85="","", INDEX(CS!$B$1:$B$12903,MATCH($A85,CS!$B:$B,0)+COLUMN(A$1),1))</f>
        <v>牙</v>
      </c>
      <c r="AY85">
        <f>IF($A85="","", INDEX(CS!$B$1:$B$12903,MATCH($A85,CS!$B:$B,0)+COLUMN(B$1),1))</f>
        <v>0</v>
      </c>
      <c r="AZ85">
        <f>IF($A85="","", INDEX(CS!$B$1:$B$12903,MATCH($A85,CS!$B:$B,0)+COLUMN(C$1),1))</f>
        <v>0</v>
      </c>
      <c r="BA85">
        <f>IF($A85="","", INDEX(CS!$B$1:$B$12903,MATCH($A85,CS!$B:$B,0)+COLUMN(D$1),1))</f>
        <v>0</v>
      </c>
      <c r="BB85">
        <f>IF($A85="","", INDEX(CS!$B$1:$B$12903,MATCH($A85,CS!$B:$B,0)+COLUMN(E$1),1))</f>
        <v>0</v>
      </c>
      <c r="BC85">
        <f>IF($A85="","", INDEX(CS!$B$1:$B$12903,MATCH($A85,CS!$B:$B,0)+COLUMN(F$1),1))</f>
        <v>0</v>
      </c>
      <c r="BD85">
        <f>IF($A85="","", INDEX(CS!$B$1:$B$12903,MATCH($A85,CS!$B:$B,0)+COLUMN(G$1),1))</f>
        <v>0</v>
      </c>
      <c r="BE85">
        <f>IF($A85="","", INDEX(CS!$B$1:$B$12903,MATCH($A85,CS!$B:$B,0)+COLUMN(H$1),1))</f>
        <v>0</v>
      </c>
      <c r="BF85">
        <f>IF($A85="","", INDEX(CS!$B$1:$B$12903,MATCH($A85,CS!$B:$B,0)+COLUMN(I$1),1))</f>
        <v>0</v>
      </c>
      <c r="BG85">
        <f>IF($A85="","", INDEX(CS!$B$1:$B$12903,MATCH($A85,CS!$B:$B,0)+COLUMN(J$1),1))</f>
        <v>0</v>
      </c>
      <c r="BR85" t="s">
        <v>904</v>
      </c>
      <c r="BS85" s="53">
        <v>130</v>
      </c>
      <c r="BT85" s="52">
        <v>10</v>
      </c>
      <c r="BU85" s="52">
        <v>0</v>
      </c>
      <c r="BV85" s="52">
        <v>90</v>
      </c>
      <c r="BW85" s="52">
        <v>30</v>
      </c>
      <c r="CB85" t="s">
        <v>914</v>
      </c>
      <c r="CC85" t="s">
        <v>914</v>
      </c>
      <c r="CD85" t="s">
        <v>914</v>
      </c>
      <c r="CF85" t="s">
        <v>914</v>
      </c>
      <c r="CI85" t="s">
        <v>193</v>
      </c>
    </row>
    <row r="86" spans="1:87" x14ac:dyDescent="0.4">
      <c r="C86" t="s">
        <v>193</v>
      </c>
      <c r="D86" t="str">
        <f t="shared" si="2"/>
        <v>0/0/0</v>
      </c>
      <c r="E86">
        <v>1</v>
      </c>
      <c r="AX86" t="str">
        <f>IF($A86="","", INDEX(CS!$B$1:$B$12903,MATCH($A86,CS!$B:$B,0)+COLUMN(A$1),1))</f>
        <v/>
      </c>
      <c r="AY86" t="str">
        <f>IF($A86="","", INDEX(CS!$B$1:$B$12903,MATCH($A86,CS!$B:$B,0)+COLUMN(B$1),1))</f>
        <v/>
      </c>
      <c r="AZ86" t="str">
        <f>IF($A86="","", INDEX(CS!$B$1:$B$12903,MATCH($A86,CS!$B:$B,0)+COLUMN(C$1),1))</f>
        <v/>
      </c>
      <c r="BA86" t="str">
        <f>IF($A86="","", INDEX(CS!$B$1:$B$12903,MATCH($A86,CS!$B:$B,0)+COLUMN(D$1),1))</f>
        <v/>
      </c>
      <c r="BB86" t="str">
        <f>IF($A86="","", INDEX(CS!$B$1:$B$12903,MATCH($A86,CS!$B:$B,0)+COLUMN(E$1),1))</f>
        <v/>
      </c>
      <c r="BC86" t="str">
        <f>IF($A86="","", INDEX(CS!$B$1:$B$12903,MATCH($A86,CS!$B:$B,0)+COLUMN(F$1),1))</f>
        <v/>
      </c>
      <c r="BD86" t="str">
        <f>IF($A86="","", INDEX(CS!$B$1:$B$12903,MATCH($A86,CS!$B:$B,0)+COLUMN(G$1),1))</f>
        <v/>
      </c>
      <c r="BE86" t="str">
        <f>IF($A86="","", INDEX(CS!$B$1:$B$12903,MATCH($A86,CS!$B:$B,0)+COLUMN(H$1),1))</f>
        <v/>
      </c>
      <c r="BF86" t="str">
        <f>IF($A86="","", INDEX(CS!$B$1:$B$12903,MATCH($A86,CS!$B:$B,0)+COLUMN(I$1),1))</f>
        <v/>
      </c>
      <c r="BG86" t="str">
        <f>IF($A86="","", INDEX(CS!$B$1:$B$12903,MATCH($A86,CS!$B:$B,0)+COLUMN(J$1),1))</f>
        <v/>
      </c>
    </row>
    <row r="87" spans="1:87" x14ac:dyDescent="0.4">
      <c r="C87" t="s">
        <v>193</v>
      </c>
      <c r="D87" t="str">
        <f t="shared" ref="D87:D90" si="8">SUM(AI87:AW87,F87:N87)&amp;"/"&amp;SUM(F87:N87)&amp;"/"&amp;SUM(AI87:AW87)</f>
        <v>0/0/0</v>
      </c>
      <c r="E87">
        <v>1</v>
      </c>
      <c r="AX87" t="str">
        <f>IF($A87="","", INDEX(CS!$B$1:$B$12903,MATCH($A87,CS!$B:$B,0)+COLUMN(A$1),1))</f>
        <v/>
      </c>
      <c r="AY87" t="str">
        <f>IF($A87="","", INDEX(CS!$B$1:$B$12903,MATCH($A87,CS!$B:$B,0)+COLUMN(B$1),1))</f>
        <v/>
      </c>
      <c r="AZ87" t="str">
        <f>IF($A87="","", INDEX(CS!$B$1:$B$12903,MATCH($A87,CS!$B:$B,0)+COLUMN(C$1),1))</f>
        <v/>
      </c>
      <c r="BA87" t="str">
        <f>IF($A87="","", INDEX(CS!$B$1:$B$12903,MATCH($A87,CS!$B:$B,0)+COLUMN(D$1),1))</f>
        <v/>
      </c>
      <c r="BB87" t="str">
        <f>IF($A87="","", INDEX(CS!$B$1:$B$12903,MATCH($A87,CS!$B:$B,0)+COLUMN(E$1),1))</f>
        <v/>
      </c>
      <c r="BC87" t="str">
        <f>IF($A87="","", INDEX(CS!$B$1:$B$12903,MATCH($A87,CS!$B:$B,0)+COLUMN(F$1),1))</f>
        <v/>
      </c>
      <c r="BD87" t="str">
        <f>IF($A87="","", INDEX(CS!$B$1:$B$12903,MATCH($A87,CS!$B:$B,0)+COLUMN(G$1),1))</f>
        <v/>
      </c>
      <c r="BE87" t="str">
        <f>IF($A87="","", INDEX(CS!$B$1:$B$12903,MATCH($A87,CS!$B:$B,0)+COLUMN(H$1),1))</f>
        <v/>
      </c>
      <c r="BF87" t="str">
        <f>IF($A87="","", INDEX(CS!$B$1:$B$12903,MATCH($A87,CS!$B:$B,0)+COLUMN(I$1),1))</f>
        <v/>
      </c>
      <c r="BG87" t="str">
        <f>IF($A87="","", INDEX(CS!$B$1:$B$12903,MATCH($A87,CS!$B:$B,0)+COLUMN(J$1),1))</f>
        <v/>
      </c>
    </row>
    <row r="88" spans="1:87" x14ac:dyDescent="0.4">
      <c r="A88" t="s">
        <v>811</v>
      </c>
      <c r="C88" t="s">
        <v>193</v>
      </c>
      <c r="D88" t="str">
        <f t="shared" si="8"/>
        <v>0/0/0</v>
      </c>
      <c r="E88">
        <v>1</v>
      </c>
      <c r="V88" s="17">
        <v>50</v>
      </c>
      <c r="W88" s="17">
        <v>-30</v>
      </c>
      <c r="AX88" t="str">
        <f>IF($A88="","", INDEX(CS!$B$1:$B$12903,MATCH($A88,CS!$B:$B,0)+COLUMN(A$1),1))</f>
        <v>炎の適用</v>
      </c>
      <c r="AY88">
        <f>IF($A88="","", INDEX(CS!$B$1:$B$12903,MATCH($A88,CS!$B:$B,0)+COLUMN(B$1),1))</f>
        <v>0</v>
      </c>
      <c r="AZ88" t="str">
        <f>IF($A88="","", INDEX(CS!$B$1:$B$12903,MATCH($A88,CS!$B:$B,0)+COLUMN(C$1),1))</f>
        <v>炎の体</v>
      </c>
      <c r="BA88">
        <f>IF($A88="","", INDEX(CS!$B$1:$B$12903,MATCH($A88,CS!$B:$B,0)+COLUMN(D$1),1))</f>
        <v>0</v>
      </c>
      <c r="BB88">
        <f>IF($A88="","", INDEX(CS!$B$1:$B$12903,MATCH($A88,CS!$B:$B,0)+COLUMN(E$1),1))</f>
        <v>0</v>
      </c>
      <c r="BC88" t="str">
        <f>IF($A88="","", INDEX(CS!$B$1:$B$12903,MATCH($A88,CS!$B:$B,0)+COLUMN(F$1),1))</f>
        <v>火炎突撃</v>
      </c>
      <c r="BD88">
        <f>IF($A88="","", INDEX(CS!$B$1:$B$12903,MATCH($A88,CS!$B:$B,0)+COLUMN(G$1),1))</f>
        <v>0</v>
      </c>
      <c r="BE88">
        <f>IF($A88="","", INDEX(CS!$B$1:$B$12903,MATCH($A88,CS!$B:$B,0)+COLUMN(H$1),1))</f>
        <v>0</v>
      </c>
      <c r="BF88" t="str">
        <f>IF($A88="","", INDEX(CS!$B$1:$B$12903,MATCH($A88,CS!$B:$B,0)+COLUMN(I$1),1))</f>
        <v>炎強化</v>
      </c>
      <c r="BG88" t="str">
        <f>IF($A88="","", INDEX(CS!$B$1:$B$12903,MATCH($A88,CS!$B:$B,0)+COLUMN(J$1),1))</f>
        <v>炎の唾</v>
      </c>
      <c r="BH88" t="s">
        <v>889</v>
      </c>
      <c r="BI88" t="s">
        <v>193</v>
      </c>
      <c r="BJ88" s="36" t="s">
        <v>889</v>
      </c>
    </row>
    <row r="89" spans="1:87" x14ac:dyDescent="0.4">
      <c r="A89" t="s">
        <v>812</v>
      </c>
      <c r="C89" t="s">
        <v>193</v>
      </c>
      <c r="D89" t="str">
        <f t="shared" si="8"/>
        <v>0/0/0</v>
      </c>
      <c r="E89">
        <v>1</v>
      </c>
      <c r="V89" s="17">
        <v>-30</v>
      </c>
      <c r="W89" s="17">
        <v>50</v>
      </c>
      <c r="AX89" t="str">
        <f>IF($A89="","", INDEX(CS!$B$1:$B$12903,MATCH($A89,CS!$B:$B,0)+COLUMN(A$1),1))</f>
        <v>氷の適用</v>
      </c>
      <c r="AY89">
        <f>IF($A89="","", INDEX(CS!$B$1:$B$12903,MATCH($A89,CS!$B:$B,0)+COLUMN(B$1),1))</f>
        <v>0</v>
      </c>
      <c r="AZ89" t="str">
        <f>IF($A89="","", INDEX(CS!$B$1:$B$12903,MATCH($A89,CS!$B:$B,0)+COLUMN(C$1),1))</f>
        <v>氷の体</v>
      </c>
      <c r="BA89">
        <f>IF($A89="","", INDEX(CS!$B$1:$B$12903,MATCH($A89,CS!$B:$B,0)+COLUMN(D$1),1))</f>
        <v>0</v>
      </c>
      <c r="BB89">
        <f>IF($A89="","", INDEX(CS!$B$1:$B$12903,MATCH($A89,CS!$B:$B,0)+COLUMN(E$1),1))</f>
        <v>0</v>
      </c>
      <c r="BC89" t="str">
        <f>IF($A89="","", INDEX(CS!$B$1:$B$12903,MATCH($A89,CS!$B:$B,0)+COLUMN(F$1),1))</f>
        <v>氷結突撃</v>
      </c>
      <c r="BD89">
        <f>IF($A89="","", INDEX(CS!$B$1:$B$12903,MATCH($A89,CS!$B:$B,0)+COLUMN(G$1),1))</f>
        <v>0</v>
      </c>
      <c r="BE89">
        <f>IF($A89="","", INDEX(CS!$B$1:$B$12903,MATCH($A89,CS!$B:$B,0)+COLUMN(H$1),1))</f>
        <v>0</v>
      </c>
      <c r="BF89" t="str">
        <f>IF($A89="","", INDEX(CS!$B$1:$B$12903,MATCH($A89,CS!$B:$B,0)+COLUMN(I$1),1))</f>
        <v>氷強化</v>
      </c>
      <c r="BG89" t="str">
        <f>IF($A89="","", INDEX(CS!$B$1:$B$12903,MATCH($A89,CS!$B:$B,0)+COLUMN(J$1),1))</f>
        <v>氷の唾</v>
      </c>
      <c r="BH89" t="s">
        <v>889</v>
      </c>
      <c r="BI89" t="s">
        <v>193</v>
      </c>
      <c r="BJ89" s="36" t="s">
        <v>890</v>
      </c>
    </row>
    <row r="90" spans="1:87" x14ac:dyDescent="0.4">
      <c r="A90" t="s">
        <v>813</v>
      </c>
      <c r="C90" t="s">
        <v>193</v>
      </c>
      <c r="D90" t="str">
        <f t="shared" si="8"/>
        <v>0/0/0</v>
      </c>
      <c r="E90">
        <v>1</v>
      </c>
      <c r="AX90" t="str">
        <f>IF($A90="","", INDEX(CS!$B$1:$B$12903,MATCH($A90,CS!$B:$B,0)+COLUMN(A$1),1))</f>
        <v>風の適用</v>
      </c>
      <c r="AY90">
        <f>IF($A90="","", INDEX(CS!$B$1:$B$12903,MATCH($A90,CS!$B:$B,0)+COLUMN(B$1),1))</f>
        <v>0</v>
      </c>
      <c r="AZ90" t="str">
        <f>IF($A90="","", INDEX(CS!$B$1:$B$12903,MATCH($A90,CS!$B:$B,0)+COLUMN(C$1),1))</f>
        <v>風の体</v>
      </c>
      <c r="BA90">
        <f>IF($A90="","", INDEX(CS!$B$1:$B$12903,MATCH($A90,CS!$B:$B,0)+COLUMN(D$1),1))</f>
        <v>0</v>
      </c>
      <c r="BB90">
        <f>IF($A90="","", INDEX(CS!$B$1:$B$12903,MATCH($A90,CS!$B:$B,0)+COLUMN(E$1),1))</f>
        <v>0</v>
      </c>
      <c r="BC90" t="str">
        <f>IF($A90="","", INDEX(CS!$B$1:$B$12903,MATCH($A90,CS!$B:$B,0)+COLUMN(F$1),1))</f>
        <v>暴風突撃</v>
      </c>
      <c r="BD90">
        <f>IF($A90="","", INDEX(CS!$B$1:$B$12903,MATCH($A90,CS!$B:$B,0)+COLUMN(G$1),1))</f>
        <v>0</v>
      </c>
      <c r="BE90">
        <f>IF($A90="","", INDEX(CS!$B$1:$B$12903,MATCH($A90,CS!$B:$B,0)+COLUMN(H$1),1))</f>
        <v>0</v>
      </c>
      <c r="BF90" t="str">
        <f>IF($A90="","", INDEX(CS!$B$1:$B$12903,MATCH($A90,CS!$B:$B,0)+COLUMN(I$1),1))</f>
        <v>風強化</v>
      </c>
      <c r="BG90" t="str">
        <f>IF($A90="","", INDEX(CS!$B$1:$B$12903,MATCH($A90,CS!$B:$B,0)+COLUMN(J$1),1))</f>
        <v>風の唾</v>
      </c>
      <c r="BH90" t="s">
        <v>889</v>
      </c>
      <c r="BI90" t="s">
        <v>193</v>
      </c>
      <c r="BJ90" s="36" t="s">
        <v>891</v>
      </c>
    </row>
    <row r="91" spans="1:87" x14ac:dyDescent="0.4">
      <c r="A91" t="s">
        <v>814</v>
      </c>
      <c r="C91" t="s">
        <v>193</v>
      </c>
      <c r="D91" t="str">
        <f t="shared" si="2"/>
        <v>0/0/0</v>
      </c>
      <c r="E91">
        <v>1</v>
      </c>
      <c r="U91" s="17">
        <v>50</v>
      </c>
      <c r="X91" s="17">
        <v>50</v>
      </c>
      <c r="AX91" t="str">
        <f>IF($A91="","", INDEX(CS!$B$1:$B$12903,MATCH($A91,CS!$B:$B,0)+COLUMN(A$1),1))</f>
        <v>雷の適用</v>
      </c>
      <c r="AY91">
        <f>IF($A91="","", INDEX(CS!$B$1:$B$12903,MATCH($A91,CS!$B:$B,0)+COLUMN(B$1),1))</f>
        <v>0</v>
      </c>
      <c r="AZ91" t="str">
        <f>IF($A91="","", INDEX(CS!$B$1:$B$12903,MATCH($A91,CS!$B:$B,0)+COLUMN(C$1),1))</f>
        <v>雷の体</v>
      </c>
      <c r="BA91">
        <f>IF($A91="","", INDEX(CS!$B$1:$B$12903,MATCH($A91,CS!$B:$B,0)+COLUMN(D$1),1))</f>
        <v>0</v>
      </c>
      <c r="BB91">
        <f>IF($A91="","", INDEX(CS!$B$1:$B$12903,MATCH($A91,CS!$B:$B,0)+COLUMN(E$1),1))</f>
        <v>0</v>
      </c>
      <c r="BC91" t="str">
        <f>IF($A91="","", INDEX(CS!$B$1:$B$12903,MATCH($A91,CS!$B:$B,0)+COLUMN(F$1),1))</f>
        <v>電撃突撃</v>
      </c>
      <c r="BD91">
        <f>IF($A91="","", INDEX(CS!$B$1:$B$12903,MATCH($A91,CS!$B:$B,0)+COLUMN(G$1),1))</f>
        <v>0</v>
      </c>
      <c r="BE91">
        <f>IF($A91="","", INDEX(CS!$B$1:$B$12903,MATCH($A91,CS!$B:$B,0)+COLUMN(H$1),1))</f>
        <v>0</v>
      </c>
      <c r="BF91" t="str">
        <f>IF($A91="","", INDEX(CS!$B$1:$B$12903,MATCH($A91,CS!$B:$B,0)+COLUMN(I$1),1))</f>
        <v>雷強化</v>
      </c>
      <c r="BG91" t="str">
        <f>IF($A91="","", INDEX(CS!$B$1:$B$12903,MATCH($A91,CS!$B:$B,0)+COLUMN(J$1),1))</f>
        <v>雷の唾</v>
      </c>
      <c r="BH91" t="s">
        <v>889</v>
      </c>
      <c r="BI91" t="s">
        <v>193</v>
      </c>
      <c r="BJ91" s="36" t="s">
        <v>892</v>
      </c>
    </row>
    <row r="92" spans="1:87" x14ac:dyDescent="0.4">
      <c r="A92" t="s">
        <v>815</v>
      </c>
      <c r="C92" t="s">
        <v>193</v>
      </c>
      <c r="D92" t="str">
        <f t="shared" si="2"/>
        <v>0/0/0</v>
      </c>
      <c r="E92">
        <v>1</v>
      </c>
      <c r="Y92" s="17">
        <v>50</v>
      </c>
      <c r="Z92" s="17">
        <v>-30</v>
      </c>
      <c r="AX92" t="str">
        <f>IF($A92="","", INDEX(CS!$B$1:$B$12903,MATCH($A92,CS!$B:$B,0)+COLUMN(A$1),1))</f>
        <v>毒の適用</v>
      </c>
      <c r="AY92">
        <f>IF($A92="","", INDEX(CS!$B$1:$B$12903,MATCH($A92,CS!$B:$B,0)+COLUMN(B$1),1))</f>
        <v>0</v>
      </c>
      <c r="AZ92" t="str">
        <f>IF($A92="","", INDEX(CS!$B$1:$B$12903,MATCH($A92,CS!$B:$B,0)+COLUMN(C$1),1))</f>
        <v>毒の体</v>
      </c>
      <c r="BA92">
        <f>IF($A92="","", INDEX(CS!$B$1:$B$12903,MATCH($A92,CS!$B:$B,0)+COLUMN(D$1),1))</f>
        <v>0</v>
      </c>
      <c r="BB92">
        <f>IF($A92="","", INDEX(CS!$B$1:$B$12903,MATCH($A92,CS!$B:$B,0)+COLUMN(E$1),1))</f>
        <v>0</v>
      </c>
      <c r="BC92" t="str">
        <f>IF($A92="","", INDEX(CS!$B$1:$B$12903,MATCH($A92,CS!$B:$B,0)+COLUMN(F$1),1))</f>
        <v>腐蝕突撃</v>
      </c>
      <c r="BD92">
        <f>IF($A92="","", INDEX(CS!$B$1:$B$12903,MATCH($A92,CS!$B:$B,0)+COLUMN(G$1),1))</f>
        <v>0</v>
      </c>
      <c r="BE92">
        <f>IF($A92="","", INDEX(CS!$B$1:$B$12903,MATCH($A92,CS!$B:$B,0)+COLUMN(H$1),1))</f>
        <v>0</v>
      </c>
      <c r="BF92" t="str">
        <f>IF($A92="","", INDEX(CS!$B$1:$B$12903,MATCH($A92,CS!$B:$B,0)+COLUMN(I$1),1))</f>
        <v>毒強化</v>
      </c>
      <c r="BG92" t="str">
        <f>IF($A92="","", INDEX(CS!$B$1:$B$12903,MATCH($A92,CS!$B:$B,0)+COLUMN(J$1),1))</f>
        <v>毒の唾</v>
      </c>
      <c r="BH92" t="s">
        <v>889</v>
      </c>
      <c r="BI92" t="s">
        <v>193</v>
      </c>
      <c r="BJ92" s="36" t="s">
        <v>893</v>
      </c>
    </row>
    <row r="93" spans="1:87" x14ac:dyDescent="0.4">
      <c r="A93" t="s">
        <v>816</v>
      </c>
      <c r="C93" t="s">
        <v>193</v>
      </c>
      <c r="D93" t="str">
        <f t="shared" si="2"/>
        <v>0/0/0</v>
      </c>
      <c r="E93">
        <v>1</v>
      </c>
      <c r="W93" s="17">
        <v>30</v>
      </c>
      <c r="AE93">
        <v>30</v>
      </c>
      <c r="AX93" t="str">
        <f>IF($A93="","", INDEX(CS!$B$1:$B$12903,MATCH($A93,CS!$B:$B,0)+COLUMN(A$1),1))</f>
        <v>水の適用</v>
      </c>
      <c r="AY93">
        <f>IF($A93="","", INDEX(CS!$B$1:$B$12903,MATCH($A93,CS!$B:$B,0)+COLUMN(B$1),1))</f>
        <v>0</v>
      </c>
      <c r="AZ93" t="str">
        <f>IF($A93="","", INDEX(CS!$B$1:$B$12903,MATCH($A93,CS!$B:$B,0)+COLUMN(C$1),1))</f>
        <v>水の体</v>
      </c>
      <c r="BA93">
        <f>IF($A93="","", INDEX(CS!$B$1:$B$12903,MATCH($A93,CS!$B:$B,0)+COLUMN(D$1),1))</f>
        <v>0</v>
      </c>
      <c r="BB93">
        <f>IF($A93="","", INDEX(CS!$B$1:$B$12903,MATCH($A93,CS!$B:$B,0)+COLUMN(E$1),1))</f>
        <v>0</v>
      </c>
      <c r="BC93" t="str">
        <f>IF($A93="","", INDEX(CS!$B$1:$B$12903,MATCH($A93,CS!$B:$B,0)+COLUMN(F$1),1))</f>
        <v>突撃</v>
      </c>
      <c r="BD93">
        <f>IF($A93="","", INDEX(CS!$B$1:$B$12903,MATCH($A93,CS!$B:$B,0)+COLUMN(G$1),1))</f>
        <v>0</v>
      </c>
      <c r="BE93">
        <f>IF($A93="","", INDEX(CS!$B$1:$B$12903,MATCH($A93,CS!$B:$B,0)+COLUMN(H$1),1))</f>
        <v>0</v>
      </c>
      <c r="BF93" t="str">
        <f>IF($A93="","", INDEX(CS!$B$1:$B$12903,MATCH($A93,CS!$B:$B,0)+COLUMN(I$1),1))</f>
        <v>水強化</v>
      </c>
      <c r="BG93" t="str">
        <f>IF($A93="","", INDEX(CS!$B$1:$B$12903,MATCH($A93,CS!$B:$B,0)+COLUMN(J$1),1))</f>
        <v>水の唾</v>
      </c>
      <c r="BH93" t="s">
        <v>889</v>
      </c>
      <c r="BI93" t="s">
        <v>193</v>
      </c>
      <c r="BJ93" s="36" t="s">
        <v>894</v>
      </c>
    </row>
    <row r="94" spans="1:87" x14ac:dyDescent="0.4">
      <c r="C94" t="s">
        <v>193</v>
      </c>
      <c r="D94" t="str">
        <f t="shared" si="2"/>
        <v>0/0/0</v>
      </c>
      <c r="E94">
        <v>1</v>
      </c>
      <c r="AX94" t="str">
        <f>IF($A94="","", INDEX(CS!$B$1:$B$12903,MATCH($A94,CS!$B:$B,0)+COLUMN(A$1),1))</f>
        <v/>
      </c>
      <c r="AY94" t="str">
        <f>IF($A94="","", INDEX(CS!$B$1:$B$12903,MATCH($A94,CS!$B:$B,0)+COLUMN(B$1),1))</f>
        <v/>
      </c>
      <c r="AZ94" t="str">
        <f>IF($A94="","", INDEX(CS!$B$1:$B$12903,MATCH($A94,CS!$B:$B,0)+COLUMN(C$1),1))</f>
        <v/>
      </c>
      <c r="BA94" t="str">
        <f>IF($A94="","", INDEX(CS!$B$1:$B$12903,MATCH($A94,CS!$B:$B,0)+COLUMN(D$1),1))</f>
        <v/>
      </c>
      <c r="BB94" t="str">
        <f>IF($A94="","", INDEX(CS!$B$1:$B$12903,MATCH($A94,CS!$B:$B,0)+COLUMN(E$1),1))</f>
        <v/>
      </c>
      <c r="BC94" t="str">
        <f>IF($A94="","", INDEX(CS!$B$1:$B$12903,MATCH($A94,CS!$B:$B,0)+COLUMN(F$1),1))</f>
        <v/>
      </c>
      <c r="BD94" t="str">
        <f>IF($A94="","", INDEX(CS!$B$1:$B$12903,MATCH($A94,CS!$B:$B,0)+COLUMN(G$1),1))</f>
        <v/>
      </c>
      <c r="BE94" t="str">
        <f>IF($A94="","", INDEX(CS!$B$1:$B$12903,MATCH($A94,CS!$B:$B,0)+COLUMN(H$1),1))</f>
        <v/>
      </c>
      <c r="BF94" t="str">
        <f>IF($A94="","", INDEX(CS!$B$1:$B$12903,MATCH($A94,CS!$B:$B,0)+COLUMN(I$1),1))</f>
        <v/>
      </c>
      <c r="BG94" t="str">
        <f>IF($A94="","", INDEX(CS!$B$1:$B$12903,MATCH($A94,CS!$B:$B,0)+COLUMN(J$1),1))</f>
        <v/>
      </c>
    </row>
    <row r="95" spans="1:87" x14ac:dyDescent="0.4">
      <c r="C95" t="s">
        <v>193</v>
      </c>
      <c r="D95" t="str">
        <f t="shared" si="2"/>
        <v>0/0/0</v>
      </c>
      <c r="E95">
        <v>1</v>
      </c>
      <c r="AX95" t="str">
        <f>IF($A95="","", INDEX(CS!$B$1:$B$12903,MATCH($A95,CS!$B:$B,0)+COLUMN(A$1),1))</f>
        <v/>
      </c>
      <c r="AY95" t="str">
        <f>IF($A95="","", INDEX(CS!$B$1:$B$12903,MATCH($A95,CS!$B:$B,0)+COLUMN(B$1),1))</f>
        <v/>
      </c>
      <c r="AZ95" t="str">
        <f>IF($A95="","", INDEX(CS!$B$1:$B$12903,MATCH($A95,CS!$B:$B,0)+COLUMN(C$1),1))</f>
        <v/>
      </c>
      <c r="BA95" t="str">
        <f>IF($A95="","", INDEX(CS!$B$1:$B$12903,MATCH($A95,CS!$B:$B,0)+COLUMN(D$1),1))</f>
        <v/>
      </c>
      <c r="BB95" t="str">
        <f>IF($A95="","", INDEX(CS!$B$1:$B$12903,MATCH($A95,CS!$B:$B,0)+COLUMN(E$1),1))</f>
        <v/>
      </c>
      <c r="BC95" t="str">
        <f>IF($A95="","", INDEX(CS!$B$1:$B$12903,MATCH($A95,CS!$B:$B,0)+COLUMN(F$1),1))</f>
        <v/>
      </c>
      <c r="BD95" t="str">
        <f>IF($A95="","", INDEX(CS!$B$1:$B$12903,MATCH($A95,CS!$B:$B,0)+COLUMN(G$1),1))</f>
        <v/>
      </c>
      <c r="BE95" t="str">
        <f>IF($A95="","", INDEX(CS!$B$1:$B$12903,MATCH($A95,CS!$B:$B,0)+COLUMN(H$1),1))</f>
        <v/>
      </c>
      <c r="BF95" t="str">
        <f>IF($A95="","", INDEX(CS!$B$1:$B$12903,MATCH($A95,CS!$B:$B,0)+COLUMN(I$1),1))</f>
        <v/>
      </c>
      <c r="BG95" t="str">
        <f>IF($A95="","", INDEX(CS!$B$1:$B$12903,MATCH($A95,CS!$B:$B,0)+COLUMN(J$1),1))</f>
        <v/>
      </c>
      <c r="BS95" s="53"/>
      <c r="BT95" s="53"/>
      <c r="BU95" s="53"/>
      <c r="BV95" s="53"/>
      <c r="BW95" s="53"/>
    </row>
    <row r="96" spans="1:87" x14ac:dyDescent="0.4">
      <c r="A96" t="s">
        <v>853</v>
      </c>
      <c r="C96" t="s">
        <v>193</v>
      </c>
      <c r="D96" t="str">
        <f t="shared" ref="D96:D159" si="9">SUM(AI96:AW96,F96:N96)&amp;"/"&amp;SUM(F96:N96)&amp;"/"&amp;SUM(AI96:AW96)</f>
        <v>505/505/0</v>
      </c>
      <c r="E96">
        <v>1</v>
      </c>
      <c r="F96">
        <v>100</v>
      </c>
      <c r="I96">
        <v>85</v>
      </c>
      <c r="J96">
        <v>70</v>
      </c>
      <c r="K96" s="24">
        <v>50</v>
      </c>
      <c r="L96">
        <v>50</v>
      </c>
      <c r="M96">
        <v>75</v>
      </c>
      <c r="N96">
        <v>75</v>
      </c>
      <c r="O96">
        <v>250</v>
      </c>
      <c r="P96" s="17">
        <v>5</v>
      </c>
      <c r="Q96" s="17">
        <v>5</v>
      </c>
      <c r="Y96" s="17">
        <v>5</v>
      </c>
      <c r="AB96">
        <v>-15</v>
      </c>
      <c r="AC96">
        <v>5</v>
      </c>
      <c r="AD96">
        <v>5</v>
      </c>
      <c r="AX96" t="str">
        <f>IF($A96="","", INDEX(CS!$B$1:$B$12903,MATCH($A96,CS!$B:$B,0)+COLUMN(A$1),1))</f>
        <v>爪</v>
      </c>
      <c r="AY96">
        <f>IF($A96="","", INDEX(CS!$B$1:$B$12903,MATCH($A96,CS!$B:$B,0)+COLUMN(B$1),1))</f>
        <v>0</v>
      </c>
      <c r="AZ96" t="str">
        <f>IF($A96="","", INDEX(CS!$B$1:$B$12903,MATCH($A96,CS!$B:$B,0)+COLUMN(C$1),1))</f>
        <v>翼</v>
      </c>
      <c r="BA96">
        <f>IF($A96="","", INDEX(CS!$B$1:$B$12903,MATCH($A96,CS!$B:$B,0)+COLUMN(D$1),1))</f>
        <v>0</v>
      </c>
      <c r="BB96" t="str">
        <f>IF($A96="","", INDEX(CS!$B$1:$B$12903,MATCH($A96,CS!$B:$B,0)+COLUMN(E$1),1))</f>
        <v>威圧</v>
      </c>
      <c r="BC96" t="str">
        <f>IF($A96="","", INDEX(CS!$B$1:$B$12903,MATCH($A96,CS!$B:$B,0)+COLUMN(F$1),1))</f>
        <v>毒の唾</v>
      </c>
      <c r="BD96">
        <f>IF($A96="","", INDEX(CS!$B$1:$B$12903,MATCH($A96,CS!$B:$B,0)+COLUMN(G$1),1))</f>
        <v>0</v>
      </c>
      <c r="BE96" t="str">
        <f>IF($A96="","", INDEX(CS!$B$1:$B$12903,MATCH($A96,CS!$B:$B,0)+COLUMN(H$1),1))</f>
        <v>毒の尾</v>
      </c>
      <c r="BF96" t="str">
        <f>IF($A96="","", INDEX(CS!$B$1:$B$12903,MATCH($A96,CS!$B:$B,0)+COLUMN(I$1),1))</f>
        <v>外皮</v>
      </c>
      <c r="BG96">
        <f>IF($A96="","", INDEX(CS!$B$1:$B$12903,MATCH($A96,CS!$B:$B,0)+COLUMN(J$1),1))</f>
        <v>0</v>
      </c>
      <c r="BS96" s="53">
        <v>200</v>
      </c>
      <c r="BT96" s="52">
        <v>0</v>
      </c>
      <c r="BU96" s="52">
        <v>0</v>
      </c>
      <c r="BV96" s="52">
        <v>180</v>
      </c>
      <c r="BW96" s="52">
        <v>20</v>
      </c>
      <c r="CB96" t="s">
        <v>914</v>
      </c>
      <c r="CC96" t="s">
        <v>914</v>
      </c>
      <c r="CD96" t="s">
        <v>914</v>
      </c>
      <c r="CE96" t="s">
        <v>914</v>
      </c>
      <c r="CF96" t="s">
        <v>914</v>
      </c>
      <c r="CI96" t="s">
        <v>989</v>
      </c>
    </row>
    <row r="97" spans="3:59" x14ac:dyDescent="0.4">
      <c r="C97" t="s">
        <v>193</v>
      </c>
      <c r="D97" t="str">
        <f t="shared" si="9"/>
        <v>0/0/0</v>
      </c>
      <c r="E97">
        <v>1</v>
      </c>
      <c r="AX97" t="str">
        <f>IF($A97="","", INDEX(CS!$B$1:$B$12903,MATCH($A97,CS!$B:$B,0)+COLUMN(A$1),1))</f>
        <v/>
      </c>
      <c r="AY97" t="str">
        <f>IF($A97="","", INDEX(CS!$B$1:$B$12903,MATCH($A97,CS!$B:$B,0)+COLUMN(B$1),1))</f>
        <v/>
      </c>
      <c r="AZ97" t="str">
        <f>IF($A97="","", INDEX(CS!$B$1:$B$12903,MATCH($A97,CS!$B:$B,0)+COLUMN(C$1),1))</f>
        <v/>
      </c>
      <c r="BA97" t="str">
        <f>IF($A97="","", INDEX(CS!$B$1:$B$12903,MATCH($A97,CS!$B:$B,0)+COLUMN(D$1),1))</f>
        <v/>
      </c>
      <c r="BB97" t="str">
        <f>IF($A97="","", INDEX(CS!$B$1:$B$12903,MATCH($A97,CS!$B:$B,0)+COLUMN(E$1),1))</f>
        <v/>
      </c>
      <c r="BC97" t="str">
        <f>IF($A97="","", INDEX(CS!$B$1:$B$12903,MATCH($A97,CS!$B:$B,0)+COLUMN(F$1),1))</f>
        <v/>
      </c>
      <c r="BD97" t="str">
        <f>IF($A97="","", INDEX(CS!$B$1:$B$12903,MATCH($A97,CS!$B:$B,0)+COLUMN(G$1),1))</f>
        <v/>
      </c>
      <c r="BE97" t="str">
        <f>IF($A97="","", INDEX(CS!$B$1:$B$12903,MATCH($A97,CS!$B:$B,0)+COLUMN(H$1),1))</f>
        <v/>
      </c>
      <c r="BF97" t="str">
        <f>IF($A97="","", INDEX(CS!$B$1:$B$12903,MATCH($A97,CS!$B:$B,0)+COLUMN(I$1),1))</f>
        <v/>
      </c>
      <c r="BG97" t="str">
        <f>IF($A97="","", INDEX(CS!$B$1:$B$12903,MATCH($A97,CS!$B:$B,0)+COLUMN(J$1),1))</f>
        <v/>
      </c>
    </row>
    <row r="98" spans="3:59" x14ac:dyDescent="0.4">
      <c r="C98" t="s">
        <v>193</v>
      </c>
      <c r="D98" t="str">
        <f t="shared" si="9"/>
        <v>0/0/0</v>
      </c>
      <c r="E98">
        <v>1</v>
      </c>
      <c r="AX98" t="str">
        <f>IF($A98="","", INDEX(CS!$B$1:$B$12903,MATCH($A98,CS!$B:$B,0)+COLUMN(A$1),1))</f>
        <v/>
      </c>
      <c r="AY98" t="str">
        <f>IF($A98="","", INDEX(CS!$B$1:$B$12903,MATCH($A98,CS!$B:$B,0)+COLUMN(B$1),1))</f>
        <v/>
      </c>
      <c r="AZ98" t="str">
        <f>IF($A98="","", INDEX(CS!$B$1:$B$12903,MATCH($A98,CS!$B:$B,0)+COLUMN(C$1),1))</f>
        <v/>
      </c>
      <c r="BA98" t="str">
        <f>IF($A98="","", INDEX(CS!$B$1:$B$12903,MATCH($A98,CS!$B:$B,0)+COLUMN(D$1),1))</f>
        <v/>
      </c>
      <c r="BB98" t="str">
        <f>IF($A98="","", INDEX(CS!$B$1:$B$12903,MATCH($A98,CS!$B:$B,0)+COLUMN(E$1),1))</f>
        <v/>
      </c>
      <c r="BC98" t="str">
        <f>IF($A98="","", INDEX(CS!$B$1:$B$12903,MATCH($A98,CS!$B:$B,0)+COLUMN(F$1),1))</f>
        <v/>
      </c>
      <c r="BD98" t="str">
        <f>IF($A98="","", INDEX(CS!$B$1:$B$12903,MATCH($A98,CS!$B:$B,0)+COLUMN(G$1),1))</f>
        <v/>
      </c>
      <c r="BE98" t="str">
        <f>IF($A98="","", INDEX(CS!$B$1:$B$12903,MATCH($A98,CS!$B:$B,0)+COLUMN(H$1),1))</f>
        <v/>
      </c>
      <c r="BF98" t="str">
        <f>IF($A98="","", INDEX(CS!$B$1:$B$12903,MATCH($A98,CS!$B:$B,0)+COLUMN(I$1),1))</f>
        <v/>
      </c>
      <c r="BG98" t="str">
        <f>IF($A98="","", INDEX(CS!$B$1:$B$12903,MATCH($A98,CS!$B:$B,0)+COLUMN(J$1),1))</f>
        <v/>
      </c>
    </row>
    <row r="99" spans="3:59" x14ac:dyDescent="0.4">
      <c r="C99" t="s">
        <v>193</v>
      </c>
      <c r="D99" t="str">
        <f t="shared" si="9"/>
        <v>0/0/0</v>
      </c>
      <c r="E99">
        <v>1</v>
      </c>
      <c r="AX99" t="str">
        <f>IF($A99="","", INDEX(CS!$B$1:$B$12903,MATCH($A99,CS!$B:$B,0)+COLUMN(A$1),1))</f>
        <v/>
      </c>
      <c r="AY99" t="str">
        <f>IF($A99="","", INDEX(CS!$B$1:$B$12903,MATCH($A99,CS!$B:$B,0)+COLUMN(B$1),1))</f>
        <v/>
      </c>
      <c r="AZ99" t="str">
        <f>IF($A99="","", INDEX(CS!$B$1:$B$12903,MATCH($A99,CS!$B:$B,0)+COLUMN(C$1),1))</f>
        <v/>
      </c>
      <c r="BA99" t="str">
        <f>IF($A99="","", INDEX(CS!$B$1:$B$12903,MATCH($A99,CS!$B:$B,0)+COLUMN(D$1),1))</f>
        <v/>
      </c>
      <c r="BB99" t="str">
        <f>IF($A99="","", INDEX(CS!$B$1:$B$12903,MATCH($A99,CS!$B:$B,0)+COLUMN(E$1),1))</f>
        <v/>
      </c>
      <c r="BC99" t="str">
        <f>IF($A99="","", INDEX(CS!$B$1:$B$12903,MATCH($A99,CS!$B:$B,0)+COLUMN(F$1),1))</f>
        <v/>
      </c>
      <c r="BD99" t="str">
        <f>IF($A99="","", INDEX(CS!$B$1:$B$12903,MATCH($A99,CS!$B:$B,0)+COLUMN(G$1),1))</f>
        <v/>
      </c>
      <c r="BE99" t="str">
        <f>IF($A99="","", INDEX(CS!$B$1:$B$12903,MATCH($A99,CS!$B:$B,0)+COLUMN(H$1),1))</f>
        <v/>
      </c>
      <c r="BF99" t="str">
        <f>IF($A99="","", INDEX(CS!$B$1:$B$12903,MATCH($A99,CS!$B:$B,0)+COLUMN(I$1),1))</f>
        <v/>
      </c>
      <c r="BG99" t="str">
        <f>IF($A99="","", INDEX(CS!$B$1:$B$12903,MATCH($A99,CS!$B:$B,0)+COLUMN(J$1),1))</f>
        <v/>
      </c>
    </row>
    <row r="100" spans="3:59" x14ac:dyDescent="0.4">
      <c r="C100" t="s">
        <v>193</v>
      </c>
      <c r="D100" t="str">
        <f t="shared" si="9"/>
        <v>0/0/0</v>
      </c>
      <c r="E100">
        <v>1</v>
      </c>
      <c r="AX100" t="str">
        <f>IF($A100="","", INDEX(CS!$B$1:$B$12903,MATCH($A100,CS!$B:$B,0)+COLUMN(A$1),1))</f>
        <v/>
      </c>
      <c r="AY100" t="str">
        <f>IF($A100="","", INDEX(CS!$B$1:$B$12903,MATCH($A100,CS!$B:$B,0)+COLUMN(B$1),1))</f>
        <v/>
      </c>
      <c r="AZ100" t="str">
        <f>IF($A100="","", INDEX(CS!$B$1:$B$12903,MATCH($A100,CS!$B:$B,0)+COLUMN(C$1),1))</f>
        <v/>
      </c>
      <c r="BA100" t="str">
        <f>IF($A100="","", INDEX(CS!$B$1:$B$12903,MATCH($A100,CS!$B:$B,0)+COLUMN(D$1),1))</f>
        <v/>
      </c>
      <c r="BB100" t="str">
        <f>IF($A100="","", INDEX(CS!$B$1:$B$12903,MATCH($A100,CS!$B:$B,0)+COLUMN(E$1),1))</f>
        <v/>
      </c>
      <c r="BC100" t="str">
        <f>IF($A100="","", INDEX(CS!$B$1:$B$12903,MATCH($A100,CS!$B:$B,0)+COLUMN(F$1),1))</f>
        <v/>
      </c>
      <c r="BD100" t="str">
        <f>IF($A100="","", INDEX(CS!$B$1:$B$12903,MATCH($A100,CS!$B:$B,0)+COLUMN(G$1),1))</f>
        <v/>
      </c>
      <c r="BE100" t="str">
        <f>IF($A100="","", INDEX(CS!$B$1:$B$12903,MATCH($A100,CS!$B:$B,0)+COLUMN(H$1),1))</f>
        <v/>
      </c>
      <c r="BF100" t="str">
        <f>IF($A100="","", INDEX(CS!$B$1:$B$12903,MATCH($A100,CS!$B:$B,0)+COLUMN(I$1),1))</f>
        <v/>
      </c>
      <c r="BG100" t="str">
        <f>IF($A100="","", INDEX(CS!$B$1:$B$12903,MATCH($A100,CS!$B:$B,0)+COLUMN(J$1),1))</f>
        <v/>
      </c>
    </row>
    <row r="101" spans="3:59" x14ac:dyDescent="0.4">
      <c r="C101" t="s">
        <v>193</v>
      </c>
      <c r="D101" t="str">
        <f t="shared" si="9"/>
        <v>0/0/0</v>
      </c>
      <c r="E101">
        <v>1</v>
      </c>
      <c r="AX101" t="str">
        <f>IF($A101="","", INDEX(CS!$B$1:$B$12903,MATCH($A101,CS!$B:$B,0)+COLUMN(A$1),1))</f>
        <v/>
      </c>
      <c r="AY101" t="str">
        <f>IF($A101="","", INDEX(CS!$B$1:$B$12903,MATCH($A101,CS!$B:$B,0)+COLUMN(B$1),1))</f>
        <v/>
      </c>
      <c r="AZ101" t="str">
        <f>IF($A101="","", INDEX(CS!$B$1:$B$12903,MATCH($A101,CS!$B:$B,0)+COLUMN(C$1),1))</f>
        <v/>
      </c>
      <c r="BA101" t="str">
        <f>IF($A101="","", INDEX(CS!$B$1:$B$12903,MATCH($A101,CS!$B:$B,0)+COLUMN(D$1),1))</f>
        <v/>
      </c>
      <c r="BB101" t="str">
        <f>IF($A101="","", INDEX(CS!$B$1:$B$12903,MATCH($A101,CS!$B:$B,0)+COLUMN(E$1),1))</f>
        <v/>
      </c>
      <c r="BC101" t="str">
        <f>IF($A101="","", INDEX(CS!$B$1:$B$12903,MATCH($A101,CS!$B:$B,0)+COLUMN(F$1),1))</f>
        <v/>
      </c>
      <c r="BD101" t="str">
        <f>IF($A101="","", INDEX(CS!$B$1:$B$12903,MATCH($A101,CS!$B:$B,0)+COLUMN(G$1),1))</f>
        <v/>
      </c>
      <c r="BE101" t="str">
        <f>IF($A101="","", INDEX(CS!$B$1:$B$12903,MATCH($A101,CS!$B:$B,0)+COLUMN(H$1),1))</f>
        <v/>
      </c>
      <c r="BF101" t="str">
        <f>IF($A101="","", INDEX(CS!$B$1:$B$12903,MATCH($A101,CS!$B:$B,0)+COLUMN(I$1),1))</f>
        <v/>
      </c>
      <c r="BG101" t="str">
        <f>IF($A101="","", INDEX(CS!$B$1:$B$12903,MATCH($A101,CS!$B:$B,0)+COLUMN(J$1),1))</f>
        <v/>
      </c>
    </row>
    <row r="102" spans="3:59" x14ac:dyDescent="0.4">
      <c r="C102" t="s">
        <v>193</v>
      </c>
      <c r="D102" t="str">
        <f t="shared" si="9"/>
        <v>0/0/0</v>
      </c>
      <c r="E102">
        <v>1</v>
      </c>
      <c r="AX102" t="str">
        <f>IF($A102="","", INDEX(CS!$B$1:$B$12903,MATCH($A102,CS!$B:$B,0)+COLUMN(A$1),1))</f>
        <v/>
      </c>
      <c r="AY102" t="str">
        <f>IF($A102="","", INDEX(CS!$B$1:$B$12903,MATCH($A102,CS!$B:$B,0)+COLUMN(B$1),1))</f>
        <v/>
      </c>
      <c r="AZ102" t="str">
        <f>IF($A102="","", INDEX(CS!$B$1:$B$12903,MATCH($A102,CS!$B:$B,0)+COLUMN(C$1),1))</f>
        <v/>
      </c>
      <c r="BA102" t="str">
        <f>IF($A102="","", INDEX(CS!$B$1:$B$12903,MATCH($A102,CS!$B:$B,0)+COLUMN(D$1),1))</f>
        <v/>
      </c>
      <c r="BB102" t="str">
        <f>IF($A102="","", INDEX(CS!$B$1:$B$12903,MATCH($A102,CS!$B:$B,0)+COLUMN(E$1),1))</f>
        <v/>
      </c>
      <c r="BC102" t="str">
        <f>IF($A102="","", INDEX(CS!$B$1:$B$12903,MATCH($A102,CS!$B:$B,0)+COLUMN(F$1),1))</f>
        <v/>
      </c>
      <c r="BD102" t="str">
        <f>IF($A102="","", INDEX(CS!$B$1:$B$12903,MATCH($A102,CS!$B:$B,0)+COLUMN(G$1),1))</f>
        <v/>
      </c>
      <c r="BE102" t="str">
        <f>IF($A102="","", INDEX(CS!$B$1:$B$12903,MATCH($A102,CS!$B:$B,0)+COLUMN(H$1),1))</f>
        <v/>
      </c>
      <c r="BF102" t="str">
        <f>IF($A102="","", INDEX(CS!$B$1:$B$12903,MATCH($A102,CS!$B:$B,0)+COLUMN(I$1),1))</f>
        <v/>
      </c>
      <c r="BG102" t="str">
        <f>IF($A102="","", INDEX(CS!$B$1:$B$12903,MATCH($A102,CS!$B:$B,0)+COLUMN(J$1),1))</f>
        <v/>
      </c>
    </row>
    <row r="103" spans="3:59" x14ac:dyDescent="0.4">
      <c r="C103" t="s">
        <v>193</v>
      </c>
      <c r="D103" t="str">
        <f t="shared" si="9"/>
        <v>0/0/0</v>
      </c>
      <c r="E103">
        <v>1</v>
      </c>
      <c r="AX103" t="str">
        <f>IF($A103="","", INDEX(CS!$B$1:$B$12903,MATCH($A103,CS!$B:$B,0)+COLUMN(A$1),1))</f>
        <v/>
      </c>
      <c r="AY103" t="str">
        <f>IF($A103="","", INDEX(CS!$B$1:$B$12903,MATCH($A103,CS!$B:$B,0)+COLUMN(B$1),1))</f>
        <v/>
      </c>
      <c r="AZ103" t="str">
        <f>IF($A103="","", INDEX(CS!$B$1:$B$12903,MATCH($A103,CS!$B:$B,0)+COLUMN(C$1),1))</f>
        <v/>
      </c>
      <c r="BA103" t="str">
        <f>IF($A103="","", INDEX(CS!$B$1:$B$12903,MATCH($A103,CS!$B:$B,0)+COLUMN(D$1),1))</f>
        <v/>
      </c>
      <c r="BB103" t="str">
        <f>IF($A103="","", INDEX(CS!$B$1:$B$12903,MATCH($A103,CS!$B:$B,0)+COLUMN(E$1),1))</f>
        <v/>
      </c>
      <c r="BC103" t="str">
        <f>IF($A103="","", INDEX(CS!$B$1:$B$12903,MATCH($A103,CS!$B:$B,0)+COLUMN(F$1),1))</f>
        <v/>
      </c>
      <c r="BD103" t="str">
        <f>IF($A103="","", INDEX(CS!$B$1:$B$12903,MATCH($A103,CS!$B:$B,0)+COLUMN(G$1),1))</f>
        <v/>
      </c>
      <c r="BE103" t="str">
        <f>IF($A103="","", INDEX(CS!$B$1:$B$12903,MATCH($A103,CS!$B:$B,0)+COLUMN(H$1),1))</f>
        <v/>
      </c>
      <c r="BF103" t="str">
        <f>IF($A103="","", INDEX(CS!$B$1:$B$12903,MATCH($A103,CS!$B:$B,0)+COLUMN(I$1),1))</f>
        <v/>
      </c>
      <c r="BG103" t="str">
        <f>IF($A103="","", INDEX(CS!$B$1:$B$12903,MATCH($A103,CS!$B:$B,0)+COLUMN(J$1),1))</f>
        <v/>
      </c>
    </row>
    <row r="104" spans="3:59" x14ac:dyDescent="0.4">
      <c r="C104" t="s">
        <v>193</v>
      </c>
      <c r="D104" t="str">
        <f t="shared" si="9"/>
        <v>0/0/0</v>
      </c>
      <c r="E104">
        <v>1</v>
      </c>
      <c r="AX104" t="str">
        <f>IF($A104="","", INDEX(CS!$B$1:$B$12903,MATCH($A104,CS!$B:$B,0)+COLUMN(A$1),1))</f>
        <v/>
      </c>
      <c r="AY104" t="str">
        <f>IF($A104="","", INDEX(CS!$B$1:$B$12903,MATCH($A104,CS!$B:$B,0)+COLUMN(B$1),1))</f>
        <v/>
      </c>
      <c r="AZ104" t="str">
        <f>IF($A104="","", INDEX(CS!$B$1:$B$12903,MATCH($A104,CS!$B:$B,0)+COLUMN(C$1),1))</f>
        <v/>
      </c>
      <c r="BA104" t="str">
        <f>IF($A104="","", INDEX(CS!$B$1:$B$12903,MATCH($A104,CS!$B:$B,0)+COLUMN(D$1),1))</f>
        <v/>
      </c>
      <c r="BB104" t="str">
        <f>IF($A104="","", INDEX(CS!$B$1:$B$12903,MATCH($A104,CS!$B:$B,0)+COLUMN(E$1),1))</f>
        <v/>
      </c>
      <c r="BC104" t="str">
        <f>IF($A104="","", INDEX(CS!$B$1:$B$12903,MATCH($A104,CS!$B:$B,0)+COLUMN(F$1),1))</f>
        <v/>
      </c>
      <c r="BD104" t="str">
        <f>IF($A104="","", INDEX(CS!$B$1:$B$12903,MATCH($A104,CS!$B:$B,0)+COLUMN(G$1),1))</f>
        <v/>
      </c>
      <c r="BE104" t="str">
        <f>IF($A104="","", INDEX(CS!$B$1:$B$12903,MATCH($A104,CS!$B:$B,0)+COLUMN(H$1),1))</f>
        <v/>
      </c>
      <c r="BF104" t="str">
        <f>IF($A104="","", INDEX(CS!$B$1:$B$12903,MATCH($A104,CS!$B:$B,0)+COLUMN(I$1),1))</f>
        <v/>
      </c>
      <c r="BG104" t="str">
        <f>IF($A104="","", INDEX(CS!$B$1:$B$12903,MATCH($A104,CS!$B:$B,0)+COLUMN(J$1),1))</f>
        <v/>
      </c>
    </row>
    <row r="105" spans="3:59" x14ac:dyDescent="0.4">
      <c r="C105" t="s">
        <v>193</v>
      </c>
      <c r="D105" t="str">
        <f t="shared" si="9"/>
        <v>0/0/0</v>
      </c>
      <c r="E105">
        <v>1</v>
      </c>
      <c r="AX105" t="str">
        <f>IF($A105="","", INDEX(CS!$B$1:$B$12903,MATCH($A105,CS!$B:$B,0)+COLUMN(A$1),1))</f>
        <v/>
      </c>
      <c r="AY105" t="str">
        <f>IF($A105="","", INDEX(CS!$B$1:$B$12903,MATCH($A105,CS!$B:$B,0)+COLUMN(B$1),1))</f>
        <v/>
      </c>
      <c r="AZ105" t="str">
        <f>IF($A105="","", INDEX(CS!$B$1:$B$12903,MATCH($A105,CS!$B:$B,0)+COLUMN(C$1),1))</f>
        <v/>
      </c>
      <c r="BA105" t="str">
        <f>IF($A105="","", INDEX(CS!$B$1:$B$12903,MATCH($A105,CS!$B:$B,0)+COLUMN(D$1),1))</f>
        <v/>
      </c>
      <c r="BB105" t="str">
        <f>IF($A105="","", INDEX(CS!$B$1:$B$12903,MATCH($A105,CS!$B:$B,0)+COLUMN(E$1),1))</f>
        <v/>
      </c>
      <c r="BC105" t="str">
        <f>IF($A105="","", INDEX(CS!$B$1:$B$12903,MATCH($A105,CS!$B:$B,0)+COLUMN(F$1),1))</f>
        <v/>
      </c>
      <c r="BD105" t="str">
        <f>IF($A105="","", INDEX(CS!$B$1:$B$12903,MATCH($A105,CS!$B:$B,0)+COLUMN(G$1),1))</f>
        <v/>
      </c>
      <c r="BE105" t="str">
        <f>IF($A105="","", INDEX(CS!$B$1:$B$12903,MATCH($A105,CS!$B:$B,0)+COLUMN(H$1),1))</f>
        <v/>
      </c>
      <c r="BF105" t="str">
        <f>IF($A105="","", INDEX(CS!$B$1:$B$12903,MATCH($A105,CS!$B:$B,0)+COLUMN(I$1),1))</f>
        <v/>
      </c>
      <c r="BG105" t="str">
        <f>IF($A105="","", INDEX(CS!$B$1:$B$12903,MATCH($A105,CS!$B:$B,0)+COLUMN(J$1),1))</f>
        <v/>
      </c>
    </row>
    <row r="106" spans="3:59" x14ac:dyDescent="0.4">
      <c r="C106" t="s">
        <v>193</v>
      </c>
      <c r="D106" t="str">
        <f t="shared" si="9"/>
        <v>0/0/0</v>
      </c>
      <c r="E106">
        <v>1</v>
      </c>
      <c r="AX106" t="str">
        <f>IF($A106="","", INDEX(CS!$B$1:$B$12903,MATCH($A106,CS!$B:$B,0)+COLUMN(A$1),1))</f>
        <v/>
      </c>
      <c r="AY106" t="str">
        <f>IF($A106="","", INDEX(CS!$B$1:$B$12903,MATCH($A106,CS!$B:$B,0)+COLUMN(B$1),1))</f>
        <v/>
      </c>
      <c r="AZ106" t="str">
        <f>IF($A106="","", INDEX(CS!$B$1:$B$12903,MATCH($A106,CS!$B:$B,0)+COLUMN(C$1),1))</f>
        <v/>
      </c>
      <c r="BA106" t="str">
        <f>IF($A106="","", INDEX(CS!$B$1:$B$12903,MATCH($A106,CS!$B:$B,0)+COLUMN(D$1),1))</f>
        <v/>
      </c>
      <c r="BB106" t="str">
        <f>IF($A106="","", INDEX(CS!$B$1:$B$12903,MATCH($A106,CS!$B:$B,0)+COLUMN(E$1),1))</f>
        <v/>
      </c>
      <c r="BC106" t="str">
        <f>IF($A106="","", INDEX(CS!$B$1:$B$12903,MATCH($A106,CS!$B:$B,0)+COLUMN(F$1),1))</f>
        <v/>
      </c>
      <c r="BD106" t="str">
        <f>IF($A106="","", INDEX(CS!$B$1:$B$12903,MATCH($A106,CS!$B:$B,0)+COLUMN(G$1),1))</f>
        <v/>
      </c>
      <c r="BE106" t="str">
        <f>IF($A106="","", INDEX(CS!$B$1:$B$12903,MATCH($A106,CS!$B:$B,0)+COLUMN(H$1),1))</f>
        <v/>
      </c>
      <c r="BF106" t="str">
        <f>IF($A106="","", INDEX(CS!$B$1:$B$12903,MATCH($A106,CS!$B:$B,0)+COLUMN(I$1),1))</f>
        <v/>
      </c>
      <c r="BG106" t="str">
        <f>IF($A106="","", INDEX(CS!$B$1:$B$12903,MATCH($A106,CS!$B:$B,0)+COLUMN(J$1),1))</f>
        <v/>
      </c>
    </row>
    <row r="107" spans="3:59" x14ac:dyDescent="0.4">
      <c r="C107" t="s">
        <v>193</v>
      </c>
      <c r="D107" t="str">
        <f t="shared" si="9"/>
        <v>0/0/0</v>
      </c>
      <c r="E107">
        <v>1</v>
      </c>
      <c r="AX107" t="str">
        <f>IF($A107="","", INDEX(CS!$B$1:$B$12903,MATCH($A107,CS!$B:$B,0)+COLUMN(A$1),1))</f>
        <v/>
      </c>
      <c r="AY107" t="str">
        <f>IF($A107="","", INDEX(CS!$B$1:$B$12903,MATCH($A107,CS!$B:$B,0)+COLUMN(B$1),1))</f>
        <v/>
      </c>
      <c r="AZ107" t="str">
        <f>IF($A107="","", INDEX(CS!$B$1:$B$12903,MATCH($A107,CS!$B:$B,0)+COLUMN(C$1),1))</f>
        <v/>
      </c>
      <c r="BA107" t="str">
        <f>IF($A107="","", INDEX(CS!$B$1:$B$12903,MATCH($A107,CS!$B:$B,0)+COLUMN(D$1),1))</f>
        <v/>
      </c>
      <c r="BB107" t="str">
        <f>IF($A107="","", INDEX(CS!$B$1:$B$12903,MATCH($A107,CS!$B:$B,0)+COLUMN(E$1),1))</f>
        <v/>
      </c>
      <c r="BC107" t="str">
        <f>IF($A107="","", INDEX(CS!$B$1:$B$12903,MATCH($A107,CS!$B:$B,0)+COLUMN(F$1),1))</f>
        <v/>
      </c>
      <c r="BD107" t="str">
        <f>IF($A107="","", INDEX(CS!$B$1:$B$12903,MATCH($A107,CS!$B:$B,0)+COLUMN(G$1),1))</f>
        <v/>
      </c>
      <c r="BE107" t="str">
        <f>IF($A107="","", INDEX(CS!$B$1:$B$12903,MATCH($A107,CS!$B:$B,0)+COLUMN(H$1),1))</f>
        <v/>
      </c>
      <c r="BF107" t="str">
        <f>IF($A107="","", INDEX(CS!$B$1:$B$12903,MATCH($A107,CS!$B:$B,0)+COLUMN(I$1),1))</f>
        <v/>
      </c>
      <c r="BG107" t="str">
        <f>IF($A107="","", INDEX(CS!$B$1:$B$12903,MATCH($A107,CS!$B:$B,0)+COLUMN(J$1),1))</f>
        <v/>
      </c>
    </row>
    <row r="108" spans="3:59" x14ac:dyDescent="0.4">
      <c r="C108" t="s">
        <v>193</v>
      </c>
      <c r="D108" t="str">
        <f t="shared" si="9"/>
        <v>0/0/0</v>
      </c>
      <c r="E108">
        <v>1</v>
      </c>
      <c r="AX108" t="str">
        <f>IF($A108="","", INDEX(CS!$B$1:$B$12903,MATCH($A108,CS!$B:$B,0)+COLUMN(A$1),1))</f>
        <v/>
      </c>
      <c r="AY108" t="str">
        <f>IF($A108="","", INDEX(CS!$B$1:$B$12903,MATCH($A108,CS!$B:$B,0)+COLUMN(B$1),1))</f>
        <v/>
      </c>
      <c r="AZ108" t="str">
        <f>IF($A108="","", INDEX(CS!$B$1:$B$12903,MATCH($A108,CS!$B:$B,0)+COLUMN(C$1),1))</f>
        <v/>
      </c>
      <c r="BA108" t="str">
        <f>IF($A108="","", INDEX(CS!$B$1:$B$12903,MATCH($A108,CS!$B:$B,0)+COLUMN(D$1),1))</f>
        <v/>
      </c>
      <c r="BB108" t="str">
        <f>IF($A108="","", INDEX(CS!$B$1:$B$12903,MATCH($A108,CS!$B:$B,0)+COLUMN(E$1),1))</f>
        <v/>
      </c>
      <c r="BC108" t="str">
        <f>IF($A108="","", INDEX(CS!$B$1:$B$12903,MATCH($A108,CS!$B:$B,0)+COLUMN(F$1),1))</f>
        <v/>
      </c>
      <c r="BD108" t="str">
        <f>IF($A108="","", INDEX(CS!$B$1:$B$12903,MATCH($A108,CS!$B:$B,0)+COLUMN(G$1),1))</f>
        <v/>
      </c>
      <c r="BE108" t="str">
        <f>IF($A108="","", INDEX(CS!$B$1:$B$12903,MATCH($A108,CS!$B:$B,0)+COLUMN(H$1),1))</f>
        <v/>
      </c>
      <c r="BF108" t="str">
        <f>IF($A108="","", INDEX(CS!$B$1:$B$12903,MATCH($A108,CS!$B:$B,0)+COLUMN(I$1),1))</f>
        <v/>
      </c>
      <c r="BG108" t="str">
        <f>IF($A108="","", INDEX(CS!$B$1:$B$12903,MATCH($A108,CS!$B:$B,0)+COLUMN(J$1),1))</f>
        <v/>
      </c>
    </row>
    <row r="109" spans="3:59" x14ac:dyDescent="0.4">
      <c r="C109" t="s">
        <v>193</v>
      </c>
      <c r="D109" t="str">
        <f t="shared" si="9"/>
        <v>0/0/0</v>
      </c>
      <c r="E109">
        <v>1</v>
      </c>
      <c r="AX109" t="str">
        <f>IF($A109="","", INDEX(CS!$B$1:$B$12903,MATCH($A109,CS!$B:$B,0)+COLUMN(A$1),1))</f>
        <v/>
      </c>
      <c r="AY109" t="str">
        <f>IF($A109="","", INDEX(CS!$B$1:$B$12903,MATCH($A109,CS!$B:$B,0)+COLUMN(B$1),1))</f>
        <v/>
      </c>
      <c r="AZ109" t="str">
        <f>IF($A109="","", INDEX(CS!$B$1:$B$12903,MATCH($A109,CS!$B:$B,0)+COLUMN(C$1),1))</f>
        <v/>
      </c>
      <c r="BA109" t="str">
        <f>IF($A109="","", INDEX(CS!$B$1:$B$12903,MATCH($A109,CS!$B:$B,0)+COLUMN(D$1),1))</f>
        <v/>
      </c>
      <c r="BB109" t="str">
        <f>IF($A109="","", INDEX(CS!$B$1:$B$12903,MATCH($A109,CS!$B:$B,0)+COLUMN(E$1),1))</f>
        <v/>
      </c>
      <c r="BC109" t="str">
        <f>IF($A109="","", INDEX(CS!$B$1:$B$12903,MATCH($A109,CS!$B:$B,0)+COLUMN(F$1),1))</f>
        <v/>
      </c>
      <c r="BD109" t="str">
        <f>IF($A109="","", INDEX(CS!$B$1:$B$12903,MATCH($A109,CS!$B:$B,0)+COLUMN(G$1),1))</f>
        <v/>
      </c>
      <c r="BE109" t="str">
        <f>IF($A109="","", INDEX(CS!$B$1:$B$12903,MATCH($A109,CS!$B:$B,0)+COLUMN(H$1),1))</f>
        <v/>
      </c>
      <c r="BF109" t="str">
        <f>IF($A109="","", INDEX(CS!$B$1:$B$12903,MATCH($A109,CS!$B:$B,0)+COLUMN(I$1),1))</f>
        <v/>
      </c>
      <c r="BG109" t="str">
        <f>IF($A109="","", INDEX(CS!$B$1:$B$12903,MATCH($A109,CS!$B:$B,0)+COLUMN(J$1),1))</f>
        <v/>
      </c>
    </row>
    <row r="110" spans="3:59" x14ac:dyDescent="0.4">
      <c r="C110" t="s">
        <v>193</v>
      </c>
      <c r="D110" t="str">
        <f t="shared" si="9"/>
        <v>0/0/0</v>
      </c>
      <c r="E110">
        <v>1</v>
      </c>
      <c r="AX110" t="str">
        <f>IF($A110="","", INDEX(CS!$B$1:$B$12903,MATCH($A110,CS!$B:$B,0)+COLUMN(A$1),1))</f>
        <v/>
      </c>
      <c r="AY110" t="str">
        <f>IF($A110="","", INDEX(CS!$B$1:$B$12903,MATCH($A110,CS!$B:$B,0)+COLUMN(B$1),1))</f>
        <v/>
      </c>
      <c r="AZ110" t="str">
        <f>IF($A110="","", INDEX(CS!$B$1:$B$12903,MATCH($A110,CS!$B:$B,0)+COLUMN(C$1),1))</f>
        <v/>
      </c>
      <c r="BA110" t="str">
        <f>IF($A110="","", INDEX(CS!$B$1:$B$12903,MATCH($A110,CS!$B:$B,0)+COLUMN(D$1),1))</f>
        <v/>
      </c>
      <c r="BB110" t="str">
        <f>IF($A110="","", INDEX(CS!$B$1:$B$12903,MATCH($A110,CS!$B:$B,0)+COLUMN(E$1),1))</f>
        <v/>
      </c>
      <c r="BC110" t="str">
        <f>IF($A110="","", INDEX(CS!$B$1:$B$12903,MATCH($A110,CS!$B:$B,0)+COLUMN(F$1),1))</f>
        <v/>
      </c>
      <c r="BD110" t="str">
        <f>IF($A110="","", INDEX(CS!$B$1:$B$12903,MATCH($A110,CS!$B:$B,0)+COLUMN(G$1),1))</f>
        <v/>
      </c>
      <c r="BE110" t="str">
        <f>IF($A110="","", INDEX(CS!$B$1:$B$12903,MATCH($A110,CS!$B:$B,0)+COLUMN(H$1),1))</f>
        <v/>
      </c>
      <c r="BF110" t="str">
        <f>IF($A110="","", INDEX(CS!$B$1:$B$12903,MATCH($A110,CS!$B:$B,0)+COLUMN(I$1),1))</f>
        <v/>
      </c>
      <c r="BG110" t="str">
        <f>IF($A110="","", INDEX(CS!$B$1:$B$12903,MATCH($A110,CS!$B:$B,0)+COLUMN(J$1),1))</f>
        <v/>
      </c>
    </row>
    <row r="111" spans="3:59" x14ac:dyDescent="0.4">
      <c r="C111" t="s">
        <v>193</v>
      </c>
      <c r="D111" t="str">
        <f t="shared" si="9"/>
        <v>0/0/0</v>
      </c>
      <c r="E111">
        <v>1</v>
      </c>
      <c r="AX111" t="str">
        <f>IF($A111="","", INDEX(CS!$B$1:$B$12903,MATCH($A111,CS!$B:$B,0)+COLUMN(A$1),1))</f>
        <v/>
      </c>
      <c r="AY111" t="str">
        <f>IF($A111="","", INDEX(CS!$B$1:$B$12903,MATCH($A111,CS!$B:$B,0)+COLUMN(B$1),1))</f>
        <v/>
      </c>
      <c r="AZ111" t="str">
        <f>IF($A111="","", INDEX(CS!$B$1:$B$12903,MATCH($A111,CS!$B:$B,0)+COLUMN(C$1),1))</f>
        <v/>
      </c>
      <c r="BA111" t="str">
        <f>IF($A111="","", INDEX(CS!$B$1:$B$12903,MATCH($A111,CS!$B:$B,0)+COLUMN(D$1),1))</f>
        <v/>
      </c>
      <c r="BB111" t="str">
        <f>IF($A111="","", INDEX(CS!$B$1:$B$12903,MATCH($A111,CS!$B:$B,0)+COLUMN(E$1),1))</f>
        <v/>
      </c>
      <c r="BC111" t="str">
        <f>IF($A111="","", INDEX(CS!$B$1:$B$12903,MATCH($A111,CS!$B:$B,0)+COLUMN(F$1),1))</f>
        <v/>
      </c>
      <c r="BD111" t="str">
        <f>IF($A111="","", INDEX(CS!$B$1:$B$12903,MATCH($A111,CS!$B:$B,0)+COLUMN(G$1),1))</f>
        <v/>
      </c>
      <c r="BE111" t="str">
        <f>IF($A111="","", INDEX(CS!$B$1:$B$12903,MATCH($A111,CS!$B:$B,0)+COLUMN(H$1),1))</f>
        <v/>
      </c>
      <c r="BF111" t="str">
        <f>IF($A111="","", INDEX(CS!$B$1:$B$12903,MATCH($A111,CS!$B:$B,0)+COLUMN(I$1),1))</f>
        <v/>
      </c>
      <c r="BG111" t="str">
        <f>IF($A111="","", INDEX(CS!$B$1:$B$12903,MATCH($A111,CS!$B:$B,0)+COLUMN(J$1),1))</f>
        <v/>
      </c>
    </row>
    <row r="112" spans="3:59" x14ac:dyDescent="0.4">
      <c r="C112" t="s">
        <v>193</v>
      </c>
      <c r="D112" t="str">
        <f t="shared" si="9"/>
        <v>0/0/0</v>
      </c>
      <c r="E112">
        <v>1</v>
      </c>
      <c r="AX112" t="str">
        <f>IF($A112="","", INDEX(CS!$B$1:$B$12903,MATCH($A112,CS!$B:$B,0)+COLUMN(A$1),1))</f>
        <v/>
      </c>
      <c r="AY112" t="str">
        <f>IF($A112="","", INDEX(CS!$B$1:$B$12903,MATCH($A112,CS!$B:$B,0)+COLUMN(B$1),1))</f>
        <v/>
      </c>
      <c r="AZ112" t="str">
        <f>IF($A112="","", INDEX(CS!$B$1:$B$12903,MATCH($A112,CS!$B:$B,0)+COLUMN(C$1),1))</f>
        <v/>
      </c>
      <c r="BA112" t="str">
        <f>IF($A112="","", INDEX(CS!$B$1:$B$12903,MATCH($A112,CS!$B:$B,0)+COLUMN(D$1),1))</f>
        <v/>
      </c>
      <c r="BB112" t="str">
        <f>IF($A112="","", INDEX(CS!$B$1:$B$12903,MATCH($A112,CS!$B:$B,0)+COLUMN(E$1),1))</f>
        <v/>
      </c>
      <c r="BC112" t="str">
        <f>IF($A112="","", INDEX(CS!$B$1:$B$12903,MATCH($A112,CS!$B:$B,0)+COLUMN(F$1),1))</f>
        <v/>
      </c>
      <c r="BD112" t="str">
        <f>IF($A112="","", INDEX(CS!$B$1:$B$12903,MATCH($A112,CS!$B:$B,0)+COLUMN(G$1),1))</f>
        <v/>
      </c>
      <c r="BE112" t="str">
        <f>IF($A112="","", INDEX(CS!$B$1:$B$12903,MATCH($A112,CS!$B:$B,0)+COLUMN(H$1),1))</f>
        <v/>
      </c>
      <c r="BF112" t="str">
        <f>IF($A112="","", INDEX(CS!$B$1:$B$12903,MATCH($A112,CS!$B:$B,0)+COLUMN(I$1),1))</f>
        <v/>
      </c>
      <c r="BG112" t="str">
        <f>IF($A112="","", INDEX(CS!$B$1:$B$12903,MATCH($A112,CS!$B:$B,0)+COLUMN(J$1),1))</f>
        <v/>
      </c>
    </row>
    <row r="113" spans="3:59" x14ac:dyDescent="0.4">
      <c r="C113" t="s">
        <v>193</v>
      </c>
      <c r="D113" t="str">
        <f t="shared" si="9"/>
        <v>0/0/0</v>
      </c>
      <c r="E113">
        <v>1</v>
      </c>
      <c r="AX113" t="str">
        <f>IF($A113="","", INDEX(CS!$B$1:$B$12903,MATCH($A113,CS!$B:$B,0)+COLUMN(A$1),1))</f>
        <v/>
      </c>
      <c r="AY113" t="str">
        <f>IF($A113="","", INDEX(CS!$B$1:$B$12903,MATCH($A113,CS!$B:$B,0)+COLUMN(B$1),1))</f>
        <v/>
      </c>
      <c r="AZ113" t="str">
        <f>IF($A113="","", INDEX(CS!$B$1:$B$12903,MATCH($A113,CS!$B:$B,0)+COLUMN(C$1),1))</f>
        <v/>
      </c>
      <c r="BA113" t="str">
        <f>IF($A113="","", INDEX(CS!$B$1:$B$12903,MATCH($A113,CS!$B:$B,0)+COLUMN(D$1),1))</f>
        <v/>
      </c>
      <c r="BB113" t="str">
        <f>IF($A113="","", INDEX(CS!$B$1:$B$12903,MATCH($A113,CS!$B:$B,0)+COLUMN(E$1),1))</f>
        <v/>
      </c>
      <c r="BC113" t="str">
        <f>IF($A113="","", INDEX(CS!$B$1:$B$12903,MATCH($A113,CS!$B:$B,0)+COLUMN(F$1),1))</f>
        <v/>
      </c>
      <c r="BD113" t="str">
        <f>IF($A113="","", INDEX(CS!$B$1:$B$12903,MATCH($A113,CS!$B:$B,0)+COLUMN(G$1),1))</f>
        <v/>
      </c>
      <c r="BE113" t="str">
        <f>IF($A113="","", INDEX(CS!$B$1:$B$12903,MATCH($A113,CS!$B:$B,0)+COLUMN(H$1),1))</f>
        <v/>
      </c>
      <c r="BF113" t="str">
        <f>IF($A113="","", INDEX(CS!$B$1:$B$12903,MATCH($A113,CS!$B:$B,0)+COLUMN(I$1),1))</f>
        <v/>
      </c>
      <c r="BG113" t="str">
        <f>IF($A113="","", INDEX(CS!$B$1:$B$12903,MATCH($A113,CS!$B:$B,0)+COLUMN(J$1),1))</f>
        <v/>
      </c>
    </row>
    <row r="114" spans="3:59" x14ac:dyDescent="0.4">
      <c r="C114" t="s">
        <v>193</v>
      </c>
      <c r="D114" t="str">
        <f t="shared" si="9"/>
        <v>0/0/0</v>
      </c>
      <c r="E114">
        <v>1</v>
      </c>
      <c r="AX114" t="str">
        <f>IF($A114="","", INDEX(CS!$B$1:$B$12903,MATCH($A114,CS!$B:$B,0)+COLUMN(A$1),1))</f>
        <v/>
      </c>
      <c r="AY114" t="str">
        <f>IF($A114="","", INDEX(CS!$B$1:$B$12903,MATCH($A114,CS!$B:$B,0)+COLUMN(B$1),1))</f>
        <v/>
      </c>
      <c r="AZ114" t="str">
        <f>IF($A114="","", INDEX(CS!$B$1:$B$12903,MATCH($A114,CS!$B:$B,0)+COLUMN(C$1),1))</f>
        <v/>
      </c>
      <c r="BA114" t="str">
        <f>IF($A114="","", INDEX(CS!$B$1:$B$12903,MATCH($A114,CS!$B:$B,0)+COLUMN(D$1),1))</f>
        <v/>
      </c>
      <c r="BB114" t="str">
        <f>IF($A114="","", INDEX(CS!$B$1:$B$12903,MATCH($A114,CS!$B:$B,0)+COLUMN(E$1),1))</f>
        <v/>
      </c>
      <c r="BC114" t="str">
        <f>IF($A114="","", INDEX(CS!$B$1:$B$12903,MATCH($A114,CS!$B:$B,0)+COLUMN(F$1),1))</f>
        <v/>
      </c>
      <c r="BD114" t="str">
        <f>IF($A114="","", INDEX(CS!$B$1:$B$12903,MATCH($A114,CS!$B:$B,0)+COLUMN(G$1),1))</f>
        <v/>
      </c>
      <c r="BE114" t="str">
        <f>IF($A114="","", INDEX(CS!$B$1:$B$12903,MATCH($A114,CS!$B:$B,0)+COLUMN(H$1),1))</f>
        <v/>
      </c>
      <c r="BF114" t="str">
        <f>IF($A114="","", INDEX(CS!$B$1:$B$12903,MATCH($A114,CS!$B:$B,0)+COLUMN(I$1),1))</f>
        <v/>
      </c>
      <c r="BG114" t="str">
        <f>IF($A114="","", INDEX(CS!$B$1:$B$12903,MATCH($A114,CS!$B:$B,0)+COLUMN(J$1),1))</f>
        <v/>
      </c>
    </row>
    <row r="115" spans="3:59" x14ac:dyDescent="0.4">
      <c r="C115" t="s">
        <v>193</v>
      </c>
      <c r="D115" t="str">
        <f t="shared" si="9"/>
        <v>0/0/0</v>
      </c>
      <c r="E115">
        <v>1</v>
      </c>
      <c r="AX115" t="str">
        <f>IF($A115="","", INDEX(CS!$B$1:$B$12903,MATCH($A115,CS!$B:$B,0)+COLUMN(A$1),1))</f>
        <v/>
      </c>
      <c r="AY115" t="str">
        <f>IF($A115="","", INDEX(CS!$B$1:$B$12903,MATCH($A115,CS!$B:$B,0)+COLUMN(B$1),1))</f>
        <v/>
      </c>
      <c r="AZ115" t="str">
        <f>IF($A115="","", INDEX(CS!$B$1:$B$12903,MATCH($A115,CS!$B:$B,0)+COLUMN(C$1),1))</f>
        <v/>
      </c>
      <c r="BA115" t="str">
        <f>IF($A115="","", INDEX(CS!$B$1:$B$12903,MATCH($A115,CS!$B:$B,0)+COLUMN(D$1),1))</f>
        <v/>
      </c>
      <c r="BB115" t="str">
        <f>IF($A115="","", INDEX(CS!$B$1:$B$12903,MATCH($A115,CS!$B:$B,0)+COLUMN(E$1),1))</f>
        <v/>
      </c>
      <c r="BC115" t="str">
        <f>IF($A115="","", INDEX(CS!$B$1:$B$12903,MATCH($A115,CS!$B:$B,0)+COLUMN(F$1),1))</f>
        <v/>
      </c>
      <c r="BD115" t="str">
        <f>IF($A115="","", INDEX(CS!$B$1:$B$12903,MATCH($A115,CS!$B:$B,0)+COLUMN(G$1),1))</f>
        <v/>
      </c>
      <c r="BE115" t="str">
        <f>IF($A115="","", INDEX(CS!$B$1:$B$12903,MATCH($A115,CS!$B:$B,0)+COLUMN(H$1),1))</f>
        <v/>
      </c>
      <c r="BF115" t="str">
        <f>IF($A115="","", INDEX(CS!$B$1:$B$12903,MATCH($A115,CS!$B:$B,0)+COLUMN(I$1),1))</f>
        <v/>
      </c>
      <c r="BG115" t="str">
        <f>IF($A115="","", INDEX(CS!$B$1:$B$12903,MATCH($A115,CS!$B:$B,0)+COLUMN(J$1),1))</f>
        <v/>
      </c>
    </row>
    <row r="116" spans="3:59" x14ac:dyDescent="0.4">
      <c r="C116" t="s">
        <v>193</v>
      </c>
      <c r="D116" t="str">
        <f t="shared" si="9"/>
        <v>0/0/0</v>
      </c>
      <c r="E116">
        <v>1</v>
      </c>
      <c r="AX116" t="str">
        <f>IF($A116="","", INDEX(CS!$B$1:$B$12903,MATCH($A116,CS!$B:$B,0)+COLUMN(A$1),1))</f>
        <v/>
      </c>
      <c r="AY116" t="str">
        <f>IF($A116="","", INDEX(CS!$B$1:$B$12903,MATCH($A116,CS!$B:$B,0)+COLUMN(B$1),1))</f>
        <v/>
      </c>
      <c r="AZ116" t="str">
        <f>IF($A116="","", INDEX(CS!$B$1:$B$12903,MATCH($A116,CS!$B:$B,0)+COLUMN(C$1),1))</f>
        <v/>
      </c>
      <c r="BA116" t="str">
        <f>IF($A116="","", INDEX(CS!$B$1:$B$12903,MATCH($A116,CS!$B:$B,0)+COLUMN(D$1),1))</f>
        <v/>
      </c>
      <c r="BB116" t="str">
        <f>IF($A116="","", INDEX(CS!$B$1:$B$12903,MATCH($A116,CS!$B:$B,0)+COLUMN(E$1),1))</f>
        <v/>
      </c>
      <c r="BC116" t="str">
        <f>IF($A116="","", INDEX(CS!$B$1:$B$12903,MATCH($A116,CS!$B:$B,0)+COLUMN(F$1),1))</f>
        <v/>
      </c>
      <c r="BD116" t="str">
        <f>IF($A116="","", INDEX(CS!$B$1:$B$12903,MATCH($A116,CS!$B:$B,0)+COLUMN(G$1),1))</f>
        <v/>
      </c>
      <c r="BE116" t="str">
        <f>IF($A116="","", INDEX(CS!$B$1:$B$12903,MATCH($A116,CS!$B:$B,0)+COLUMN(H$1),1))</f>
        <v/>
      </c>
      <c r="BF116" t="str">
        <f>IF($A116="","", INDEX(CS!$B$1:$B$12903,MATCH($A116,CS!$B:$B,0)+COLUMN(I$1),1))</f>
        <v/>
      </c>
      <c r="BG116" t="str">
        <f>IF($A116="","", INDEX(CS!$B$1:$B$12903,MATCH($A116,CS!$B:$B,0)+COLUMN(J$1),1))</f>
        <v/>
      </c>
    </row>
    <row r="117" spans="3:59" x14ac:dyDescent="0.4">
      <c r="C117" t="s">
        <v>193</v>
      </c>
      <c r="D117" t="str">
        <f t="shared" si="9"/>
        <v>0/0/0</v>
      </c>
      <c r="E117">
        <v>1</v>
      </c>
      <c r="AX117" t="str">
        <f>IF($A117="","", INDEX(CS!$B$1:$B$12903,MATCH($A117,CS!$B:$B,0)+COLUMN(A$1),1))</f>
        <v/>
      </c>
      <c r="AY117" t="str">
        <f>IF($A117="","", INDEX(CS!$B$1:$B$12903,MATCH($A117,CS!$B:$B,0)+COLUMN(B$1),1))</f>
        <v/>
      </c>
      <c r="AZ117" t="str">
        <f>IF($A117="","", INDEX(CS!$B$1:$B$12903,MATCH($A117,CS!$B:$B,0)+COLUMN(C$1),1))</f>
        <v/>
      </c>
      <c r="BA117" t="str">
        <f>IF($A117="","", INDEX(CS!$B$1:$B$12903,MATCH($A117,CS!$B:$B,0)+COLUMN(D$1),1))</f>
        <v/>
      </c>
      <c r="BB117" t="str">
        <f>IF($A117="","", INDEX(CS!$B$1:$B$12903,MATCH($A117,CS!$B:$B,0)+COLUMN(E$1),1))</f>
        <v/>
      </c>
      <c r="BC117" t="str">
        <f>IF($A117="","", INDEX(CS!$B$1:$B$12903,MATCH($A117,CS!$B:$B,0)+COLUMN(F$1),1))</f>
        <v/>
      </c>
      <c r="BD117" t="str">
        <f>IF($A117="","", INDEX(CS!$B$1:$B$12903,MATCH($A117,CS!$B:$B,0)+COLUMN(G$1),1))</f>
        <v/>
      </c>
      <c r="BE117" t="str">
        <f>IF($A117="","", INDEX(CS!$B$1:$B$12903,MATCH($A117,CS!$B:$B,0)+COLUMN(H$1),1))</f>
        <v/>
      </c>
      <c r="BF117" t="str">
        <f>IF($A117="","", INDEX(CS!$B$1:$B$12903,MATCH($A117,CS!$B:$B,0)+COLUMN(I$1),1))</f>
        <v/>
      </c>
      <c r="BG117" t="str">
        <f>IF($A117="","", INDEX(CS!$B$1:$B$12903,MATCH($A117,CS!$B:$B,0)+COLUMN(J$1),1))</f>
        <v/>
      </c>
    </row>
    <row r="118" spans="3:59" x14ac:dyDescent="0.4">
      <c r="C118" t="s">
        <v>193</v>
      </c>
      <c r="D118" t="str">
        <f t="shared" si="9"/>
        <v>0/0/0</v>
      </c>
      <c r="E118">
        <v>1</v>
      </c>
      <c r="AX118" t="str">
        <f>IF($A118="","", INDEX(CS!$B$1:$B$12903,MATCH($A118,CS!$B:$B,0)+COLUMN(A$1),1))</f>
        <v/>
      </c>
      <c r="AY118" t="str">
        <f>IF($A118="","", INDEX(CS!$B$1:$B$12903,MATCH($A118,CS!$B:$B,0)+COLUMN(B$1),1))</f>
        <v/>
      </c>
      <c r="AZ118" t="str">
        <f>IF($A118="","", INDEX(CS!$B$1:$B$12903,MATCH($A118,CS!$B:$B,0)+COLUMN(C$1),1))</f>
        <v/>
      </c>
      <c r="BA118" t="str">
        <f>IF($A118="","", INDEX(CS!$B$1:$B$12903,MATCH($A118,CS!$B:$B,0)+COLUMN(D$1),1))</f>
        <v/>
      </c>
      <c r="BB118" t="str">
        <f>IF($A118="","", INDEX(CS!$B$1:$B$12903,MATCH($A118,CS!$B:$B,0)+COLUMN(E$1),1))</f>
        <v/>
      </c>
      <c r="BC118" t="str">
        <f>IF($A118="","", INDEX(CS!$B$1:$B$12903,MATCH($A118,CS!$B:$B,0)+COLUMN(F$1),1))</f>
        <v/>
      </c>
      <c r="BD118" t="str">
        <f>IF($A118="","", INDEX(CS!$B$1:$B$12903,MATCH($A118,CS!$B:$B,0)+COLUMN(G$1),1))</f>
        <v/>
      </c>
      <c r="BE118" t="str">
        <f>IF($A118="","", INDEX(CS!$B$1:$B$12903,MATCH($A118,CS!$B:$B,0)+COLUMN(H$1),1))</f>
        <v/>
      </c>
      <c r="BF118" t="str">
        <f>IF($A118="","", INDEX(CS!$B$1:$B$12903,MATCH($A118,CS!$B:$B,0)+COLUMN(I$1),1))</f>
        <v/>
      </c>
      <c r="BG118" t="str">
        <f>IF($A118="","", INDEX(CS!$B$1:$B$12903,MATCH($A118,CS!$B:$B,0)+COLUMN(J$1),1))</f>
        <v/>
      </c>
    </row>
    <row r="119" spans="3:59" x14ac:dyDescent="0.4">
      <c r="C119" t="s">
        <v>193</v>
      </c>
      <c r="D119" t="str">
        <f t="shared" si="9"/>
        <v>0/0/0</v>
      </c>
      <c r="E119">
        <v>1</v>
      </c>
      <c r="AX119" t="str">
        <f>IF($A119="","", INDEX(CS!$B$1:$B$12903,MATCH($A119,CS!$B:$B,0)+COLUMN(A$1),1))</f>
        <v/>
      </c>
      <c r="AY119" t="str">
        <f>IF($A119="","", INDEX(CS!$B$1:$B$12903,MATCH($A119,CS!$B:$B,0)+COLUMN(B$1),1))</f>
        <v/>
      </c>
      <c r="AZ119" t="str">
        <f>IF($A119="","", INDEX(CS!$B$1:$B$12903,MATCH($A119,CS!$B:$B,0)+COLUMN(C$1),1))</f>
        <v/>
      </c>
      <c r="BA119" t="str">
        <f>IF($A119="","", INDEX(CS!$B$1:$B$12903,MATCH($A119,CS!$B:$B,0)+COLUMN(D$1),1))</f>
        <v/>
      </c>
      <c r="BB119" t="str">
        <f>IF($A119="","", INDEX(CS!$B$1:$B$12903,MATCH($A119,CS!$B:$B,0)+COLUMN(E$1),1))</f>
        <v/>
      </c>
      <c r="BC119" t="str">
        <f>IF($A119="","", INDEX(CS!$B$1:$B$12903,MATCH($A119,CS!$B:$B,0)+COLUMN(F$1),1))</f>
        <v/>
      </c>
      <c r="BD119" t="str">
        <f>IF($A119="","", INDEX(CS!$B$1:$B$12903,MATCH($A119,CS!$B:$B,0)+COLUMN(G$1),1))</f>
        <v/>
      </c>
      <c r="BE119" t="str">
        <f>IF($A119="","", INDEX(CS!$B$1:$B$12903,MATCH($A119,CS!$B:$B,0)+COLUMN(H$1),1))</f>
        <v/>
      </c>
      <c r="BF119" t="str">
        <f>IF($A119="","", INDEX(CS!$B$1:$B$12903,MATCH($A119,CS!$B:$B,0)+COLUMN(I$1),1))</f>
        <v/>
      </c>
      <c r="BG119" t="str">
        <f>IF($A119="","", INDEX(CS!$B$1:$B$12903,MATCH($A119,CS!$B:$B,0)+COLUMN(J$1),1))</f>
        <v/>
      </c>
    </row>
    <row r="120" spans="3:59" x14ac:dyDescent="0.4">
      <c r="C120" t="s">
        <v>193</v>
      </c>
      <c r="D120" t="str">
        <f t="shared" si="9"/>
        <v>0/0/0</v>
      </c>
      <c r="E120">
        <v>1</v>
      </c>
      <c r="AX120" t="str">
        <f>IF($A120="","", INDEX(CS!$B$1:$B$12903,MATCH($A120,CS!$B:$B,0)+COLUMN(A$1),1))</f>
        <v/>
      </c>
      <c r="AY120" t="str">
        <f>IF($A120="","", INDEX(CS!$B$1:$B$12903,MATCH($A120,CS!$B:$B,0)+COLUMN(B$1),1))</f>
        <v/>
      </c>
      <c r="AZ120" t="str">
        <f>IF($A120="","", INDEX(CS!$B$1:$B$12903,MATCH($A120,CS!$B:$B,0)+COLUMN(C$1),1))</f>
        <v/>
      </c>
      <c r="BA120" t="str">
        <f>IF($A120="","", INDEX(CS!$B$1:$B$12903,MATCH($A120,CS!$B:$B,0)+COLUMN(D$1),1))</f>
        <v/>
      </c>
      <c r="BB120" t="str">
        <f>IF($A120="","", INDEX(CS!$B$1:$B$12903,MATCH($A120,CS!$B:$B,0)+COLUMN(E$1),1))</f>
        <v/>
      </c>
      <c r="BC120" t="str">
        <f>IF($A120="","", INDEX(CS!$B$1:$B$12903,MATCH($A120,CS!$B:$B,0)+COLUMN(F$1),1))</f>
        <v/>
      </c>
      <c r="BD120" t="str">
        <f>IF($A120="","", INDEX(CS!$B$1:$B$12903,MATCH($A120,CS!$B:$B,0)+COLUMN(G$1),1))</f>
        <v/>
      </c>
      <c r="BE120" t="str">
        <f>IF($A120="","", INDEX(CS!$B$1:$B$12903,MATCH($A120,CS!$B:$B,0)+COLUMN(H$1),1))</f>
        <v/>
      </c>
      <c r="BF120" t="str">
        <f>IF($A120="","", INDEX(CS!$B$1:$B$12903,MATCH($A120,CS!$B:$B,0)+COLUMN(I$1),1))</f>
        <v/>
      </c>
      <c r="BG120" t="str">
        <f>IF($A120="","", INDEX(CS!$B$1:$B$12903,MATCH($A120,CS!$B:$B,0)+COLUMN(J$1),1))</f>
        <v/>
      </c>
    </row>
    <row r="121" spans="3:59" x14ac:dyDescent="0.4">
      <c r="C121" t="s">
        <v>193</v>
      </c>
      <c r="D121" t="str">
        <f t="shared" si="9"/>
        <v>0/0/0</v>
      </c>
      <c r="E121">
        <v>1</v>
      </c>
      <c r="AX121" t="str">
        <f>IF($A121="","", INDEX(CS!$B$1:$B$12903,MATCH($A121,CS!$B:$B,0)+COLUMN(A$1),1))</f>
        <v/>
      </c>
      <c r="AY121" t="str">
        <f>IF($A121="","", INDEX(CS!$B$1:$B$12903,MATCH($A121,CS!$B:$B,0)+COLUMN(B$1),1))</f>
        <v/>
      </c>
      <c r="AZ121" t="str">
        <f>IF($A121="","", INDEX(CS!$B$1:$B$12903,MATCH($A121,CS!$B:$B,0)+COLUMN(C$1),1))</f>
        <v/>
      </c>
      <c r="BA121" t="str">
        <f>IF($A121="","", INDEX(CS!$B$1:$B$12903,MATCH($A121,CS!$B:$B,0)+COLUMN(D$1),1))</f>
        <v/>
      </c>
      <c r="BB121" t="str">
        <f>IF($A121="","", INDEX(CS!$B$1:$B$12903,MATCH($A121,CS!$B:$B,0)+COLUMN(E$1),1))</f>
        <v/>
      </c>
      <c r="BC121" t="str">
        <f>IF($A121="","", INDEX(CS!$B$1:$B$12903,MATCH($A121,CS!$B:$B,0)+COLUMN(F$1),1))</f>
        <v/>
      </c>
      <c r="BD121" t="str">
        <f>IF($A121="","", INDEX(CS!$B$1:$B$12903,MATCH($A121,CS!$B:$B,0)+COLUMN(G$1),1))</f>
        <v/>
      </c>
      <c r="BE121" t="str">
        <f>IF($A121="","", INDEX(CS!$B$1:$B$12903,MATCH($A121,CS!$B:$B,0)+COLUMN(H$1),1))</f>
        <v/>
      </c>
      <c r="BF121" t="str">
        <f>IF($A121="","", INDEX(CS!$B$1:$B$12903,MATCH($A121,CS!$B:$B,0)+COLUMN(I$1),1))</f>
        <v/>
      </c>
      <c r="BG121" t="str">
        <f>IF($A121="","", INDEX(CS!$B$1:$B$12903,MATCH($A121,CS!$B:$B,0)+COLUMN(J$1),1))</f>
        <v/>
      </c>
    </row>
    <row r="122" spans="3:59" x14ac:dyDescent="0.4">
      <c r="C122" t="s">
        <v>193</v>
      </c>
      <c r="D122" t="str">
        <f t="shared" si="9"/>
        <v>0/0/0</v>
      </c>
      <c r="E122">
        <v>1</v>
      </c>
      <c r="AX122" t="str">
        <f>IF($A122="","", INDEX(CS!$B$1:$B$12903,MATCH($A122,CS!$B:$B,0)+COLUMN(A$1),1))</f>
        <v/>
      </c>
      <c r="AY122" t="str">
        <f>IF($A122="","", INDEX(CS!$B$1:$B$12903,MATCH($A122,CS!$B:$B,0)+COLUMN(B$1),1))</f>
        <v/>
      </c>
      <c r="AZ122" t="str">
        <f>IF($A122="","", INDEX(CS!$B$1:$B$12903,MATCH($A122,CS!$B:$B,0)+COLUMN(C$1),1))</f>
        <v/>
      </c>
      <c r="BA122" t="str">
        <f>IF($A122="","", INDEX(CS!$B$1:$B$12903,MATCH($A122,CS!$B:$B,0)+COLUMN(D$1),1))</f>
        <v/>
      </c>
      <c r="BB122" t="str">
        <f>IF($A122="","", INDEX(CS!$B$1:$B$12903,MATCH($A122,CS!$B:$B,0)+COLUMN(E$1),1))</f>
        <v/>
      </c>
      <c r="BC122" t="str">
        <f>IF($A122="","", INDEX(CS!$B$1:$B$12903,MATCH($A122,CS!$B:$B,0)+COLUMN(F$1),1))</f>
        <v/>
      </c>
      <c r="BD122" t="str">
        <f>IF($A122="","", INDEX(CS!$B$1:$B$12903,MATCH($A122,CS!$B:$B,0)+COLUMN(G$1),1))</f>
        <v/>
      </c>
      <c r="BE122" t="str">
        <f>IF($A122="","", INDEX(CS!$B$1:$B$12903,MATCH($A122,CS!$B:$B,0)+COLUMN(H$1),1))</f>
        <v/>
      </c>
      <c r="BF122" t="str">
        <f>IF($A122="","", INDEX(CS!$B$1:$B$12903,MATCH($A122,CS!$B:$B,0)+COLUMN(I$1),1))</f>
        <v/>
      </c>
      <c r="BG122" t="str">
        <f>IF($A122="","", INDEX(CS!$B$1:$B$12903,MATCH($A122,CS!$B:$B,0)+COLUMN(J$1),1))</f>
        <v/>
      </c>
    </row>
    <row r="123" spans="3:59" x14ac:dyDescent="0.4">
      <c r="C123" t="s">
        <v>193</v>
      </c>
      <c r="D123" t="str">
        <f t="shared" si="9"/>
        <v>0/0/0</v>
      </c>
      <c r="E123">
        <v>1</v>
      </c>
      <c r="AX123" t="str">
        <f>IF($A123="","", INDEX(CS!$B$1:$B$12903,MATCH($A123,CS!$B:$B,0)+COLUMN(A$1),1))</f>
        <v/>
      </c>
      <c r="AY123" t="str">
        <f>IF($A123="","", INDEX(CS!$B$1:$B$12903,MATCH($A123,CS!$B:$B,0)+COLUMN(B$1),1))</f>
        <v/>
      </c>
      <c r="AZ123" t="str">
        <f>IF($A123="","", INDEX(CS!$B$1:$B$12903,MATCH($A123,CS!$B:$B,0)+COLUMN(C$1),1))</f>
        <v/>
      </c>
      <c r="BA123" t="str">
        <f>IF($A123="","", INDEX(CS!$B$1:$B$12903,MATCH($A123,CS!$B:$B,0)+COLUMN(D$1),1))</f>
        <v/>
      </c>
      <c r="BB123" t="str">
        <f>IF($A123="","", INDEX(CS!$B$1:$B$12903,MATCH($A123,CS!$B:$B,0)+COLUMN(E$1),1))</f>
        <v/>
      </c>
      <c r="BC123" t="str">
        <f>IF($A123="","", INDEX(CS!$B$1:$B$12903,MATCH($A123,CS!$B:$B,0)+COLUMN(F$1),1))</f>
        <v/>
      </c>
      <c r="BD123" t="str">
        <f>IF($A123="","", INDEX(CS!$B$1:$B$12903,MATCH($A123,CS!$B:$B,0)+COLUMN(G$1),1))</f>
        <v/>
      </c>
      <c r="BE123" t="str">
        <f>IF($A123="","", INDEX(CS!$B$1:$B$12903,MATCH($A123,CS!$B:$B,0)+COLUMN(H$1),1))</f>
        <v/>
      </c>
      <c r="BF123" t="str">
        <f>IF($A123="","", INDEX(CS!$B$1:$B$12903,MATCH($A123,CS!$B:$B,0)+COLUMN(I$1),1))</f>
        <v/>
      </c>
      <c r="BG123" t="str">
        <f>IF($A123="","", INDEX(CS!$B$1:$B$12903,MATCH($A123,CS!$B:$B,0)+COLUMN(J$1),1))</f>
        <v/>
      </c>
    </row>
    <row r="124" spans="3:59" x14ac:dyDescent="0.4">
      <c r="C124" t="s">
        <v>193</v>
      </c>
      <c r="D124" t="str">
        <f t="shared" si="9"/>
        <v>0/0/0</v>
      </c>
      <c r="E124">
        <v>1</v>
      </c>
      <c r="AX124" t="str">
        <f>IF($A124="","", INDEX(CS!$B$1:$B$12903,MATCH($A124,CS!$B:$B,0)+COLUMN(A$1),1))</f>
        <v/>
      </c>
      <c r="AY124" t="str">
        <f>IF($A124="","", INDEX(CS!$B$1:$B$12903,MATCH($A124,CS!$B:$B,0)+COLUMN(B$1),1))</f>
        <v/>
      </c>
      <c r="AZ124" t="str">
        <f>IF($A124="","", INDEX(CS!$B$1:$B$12903,MATCH($A124,CS!$B:$B,0)+COLUMN(C$1),1))</f>
        <v/>
      </c>
      <c r="BA124" t="str">
        <f>IF($A124="","", INDEX(CS!$B$1:$B$12903,MATCH($A124,CS!$B:$B,0)+COLUMN(D$1),1))</f>
        <v/>
      </c>
      <c r="BB124" t="str">
        <f>IF($A124="","", INDEX(CS!$B$1:$B$12903,MATCH($A124,CS!$B:$B,0)+COLUMN(E$1),1))</f>
        <v/>
      </c>
      <c r="BC124" t="str">
        <f>IF($A124="","", INDEX(CS!$B$1:$B$12903,MATCH($A124,CS!$B:$B,0)+COLUMN(F$1),1))</f>
        <v/>
      </c>
      <c r="BD124" t="str">
        <f>IF($A124="","", INDEX(CS!$B$1:$B$12903,MATCH($A124,CS!$B:$B,0)+COLUMN(G$1),1))</f>
        <v/>
      </c>
      <c r="BE124" t="str">
        <f>IF($A124="","", INDEX(CS!$B$1:$B$12903,MATCH($A124,CS!$B:$B,0)+COLUMN(H$1),1))</f>
        <v/>
      </c>
      <c r="BF124" t="str">
        <f>IF($A124="","", INDEX(CS!$B$1:$B$12903,MATCH($A124,CS!$B:$B,0)+COLUMN(I$1),1))</f>
        <v/>
      </c>
      <c r="BG124" t="str">
        <f>IF($A124="","", INDEX(CS!$B$1:$B$12903,MATCH($A124,CS!$B:$B,0)+COLUMN(J$1),1))</f>
        <v/>
      </c>
    </row>
    <row r="125" spans="3:59" x14ac:dyDescent="0.4">
      <c r="C125" t="s">
        <v>193</v>
      </c>
      <c r="D125" t="str">
        <f t="shared" si="9"/>
        <v>0/0/0</v>
      </c>
      <c r="E125">
        <v>1</v>
      </c>
      <c r="AX125" t="str">
        <f>IF($A125="","", INDEX(CS!$B$1:$B$12903,MATCH($A125,CS!$B:$B,0)+COLUMN(A$1),1))</f>
        <v/>
      </c>
      <c r="AY125" t="str">
        <f>IF($A125="","", INDEX(CS!$B$1:$B$12903,MATCH($A125,CS!$B:$B,0)+COLUMN(B$1),1))</f>
        <v/>
      </c>
      <c r="AZ125" t="str">
        <f>IF($A125="","", INDEX(CS!$B$1:$B$12903,MATCH($A125,CS!$B:$B,0)+COLUMN(C$1),1))</f>
        <v/>
      </c>
      <c r="BA125" t="str">
        <f>IF($A125="","", INDEX(CS!$B$1:$B$12903,MATCH($A125,CS!$B:$B,0)+COLUMN(D$1),1))</f>
        <v/>
      </c>
      <c r="BB125" t="str">
        <f>IF($A125="","", INDEX(CS!$B$1:$B$12903,MATCH($A125,CS!$B:$B,0)+COLUMN(E$1),1))</f>
        <v/>
      </c>
      <c r="BC125" t="str">
        <f>IF($A125="","", INDEX(CS!$B$1:$B$12903,MATCH($A125,CS!$B:$B,0)+COLUMN(F$1),1))</f>
        <v/>
      </c>
      <c r="BD125" t="str">
        <f>IF($A125="","", INDEX(CS!$B$1:$B$12903,MATCH($A125,CS!$B:$B,0)+COLUMN(G$1),1))</f>
        <v/>
      </c>
      <c r="BE125" t="str">
        <f>IF($A125="","", INDEX(CS!$B$1:$B$12903,MATCH($A125,CS!$B:$B,0)+COLUMN(H$1),1))</f>
        <v/>
      </c>
      <c r="BF125" t="str">
        <f>IF($A125="","", INDEX(CS!$B$1:$B$12903,MATCH($A125,CS!$B:$B,0)+COLUMN(I$1),1))</f>
        <v/>
      </c>
      <c r="BG125" t="str">
        <f>IF($A125="","", INDEX(CS!$B$1:$B$12903,MATCH($A125,CS!$B:$B,0)+COLUMN(J$1),1))</f>
        <v/>
      </c>
    </row>
    <row r="126" spans="3:59" x14ac:dyDescent="0.4">
      <c r="C126" t="s">
        <v>193</v>
      </c>
      <c r="D126" t="str">
        <f t="shared" si="9"/>
        <v>0/0/0</v>
      </c>
      <c r="E126">
        <v>1</v>
      </c>
      <c r="AX126" t="str">
        <f>IF($A126="","", INDEX(CS!$B$1:$B$12903,MATCH($A126,CS!$B:$B,0)+COLUMN(A$1),1))</f>
        <v/>
      </c>
      <c r="AY126" t="str">
        <f>IF($A126="","", INDEX(CS!$B$1:$B$12903,MATCH($A126,CS!$B:$B,0)+COLUMN(B$1),1))</f>
        <v/>
      </c>
      <c r="AZ126" t="str">
        <f>IF($A126="","", INDEX(CS!$B$1:$B$12903,MATCH($A126,CS!$B:$B,0)+COLUMN(C$1),1))</f>
        <v/>
      </c>
      <c r="BA126" t="str">
        <f>IF($A126="","", INDEX(CS!$B$1:$B$12903,MATCH($A126,CS!$B:$B,0)+COLUMN(D$1),1))</f>
        <v/>
      </c>
      <c r="BB126" t="str">
        <f>IF($A126="","", INDEX(CS!$B$1:$B$12903,MATCH($A126,CS!$B:$B,0)+COLUMN(E$1),1))</f>
        <v/>
      </c>
      <c r="BC126" t="str">
        <f>IF($A126="","", INDEX(CS!$B$1:$B$12903,MATCH($A126,CS!$B:$B,0)+COLUMN(F$1),1))</f>
        <v/>
      </c>
      <c r="BD126" t="str">
        <f>IF($A126="","", INDEX(CS!$B$1:$B$12903,MATCH($A126,CS!$B:$B,0)+COLUMN(G$1),1))</f>
        <v/>
      </c>
      <c r="BE126" t="str">
        <f>IF($A126="","", INDEX(CS!$B$1:$B$12903,MATCH($A126,CS!$B:$B,0)+COLUMN(H$1),1))</f>
        <v/>
      </c>
      <c r="BF126" t="str">
        <f>IF($A126="","", INDEX(CS!$B$1:$B$12903,MATCH($A126,CS!$B:$B,0)+COLUMN(I$1),1))</f>
        <v/>
      </c>
      <c r="BG126" t="str">
        <f>IF($A126="","", INDEX(CS!$B$1:$B$12903,MATCH($A126,CS!$B:$B,0)+COLUMN(J$1),1))</f>
        <v/>
      </c>
    </row>
    <row r="127" spans="3:59" x14ac:dyDescent="0.4">
      <c r="C127" t="s">
        <v>193</v>
      </c>
      <c r="D127" t="str">
        <f t="shared" si="9"/>
        <v>0/0/0</v>
      </c>
      <c r="E127">
        <v>1</v>
      </c>
      <c r="AX127" t="str">
        <f>IF($A127="","", INDEX(CS!$B$1:$B$12903,MATCH($A127,CS!$B:$B,0)+COLUMN(A$1),1))</f>
        <v/>
      </c>
      <c r="AY127" t="str">
        <f>IF($A127="","", INDEX(CS!$B$1:$B$12903,MATCH($A127,CS!$B:$B,0)+COLUMN(B$1),1))</f>
        <v/>
      </c>
      <c r="AZ127" t="str">
        <f>IF($A127="","", INDEX(CS!$B$1:$B$12903,MATCH($A127,CS!$B:$B,0)+COLUMN(C$1),1))</f>
        <v/>
      </c>
      <c r="BA127" t="str">
        <f>IF($A127="","", INDEX(CS!$B$1:$B$12903,MATCH($A127,CS!$B:$B,0)+COLUMN(D$1),1))</f>
        <v/>
      </c>
      <c r="BB127" t="str">
        <f>IF($A127="","", INDEX(CS!$B$1:$B$12903,MATCH($A127,CS!$B:$B,0)+COLUMN(E$1),1))</f>
        <v/>
      </c>
      <c r="BC127" t="str">
        <f>IF($A127="","", INDEX(CS!$B$1:$B$12903,MATCH($A127,CS!$B:$B,0)+COLUMN(F$1),1))</f>
        <v/>
      </c>
      <c r="BD127" t="str">
        <f>IF($A127="","", INDEX(CS!$B$1:$B$12903,MATCH($A127,CS!$B:$B,0)+COLUMN(G$1),1))</f>
        <v/>
      </c>
      <c r="BE127" t="str">
        <f>IF($A127="","", INDEX(CS!$B$1:$B$12903,MATCH($A127,CS!$B:$B,0)+COLUMN(H$1),1))</f>
        <v/>
      </c>
      <c r="BF127" t="str">
        <f>IF($A127="","", INDEX(CS!$B$1:$B$12903,MATCH($A127,CS!$B:$B,0)+COLUMN(I$1),1))</f>
        <v/>
      </c>
      <c r="BG127" t="str">
        <f>IF($A127="","", INDEX(CS!$B$1:$B$12903,MATCH($A127,CS!$B:$B,0)+COLUMN(J$1),1))</f>
        <v/>
      </c>
    </row>
    <row r="128" spans="3:59" x14ac:dyDescent="0.4">
      <c r="C128" t="s">
        <v>193</v>
      </c>
      <c r="D128" t="str">
        <f t="shared" si="9"/>
        <v>0/0/0</v>
      </c>
      <c r="E128">
        <v>1</v>
      </c>
      <c r="AX128" t="str">
        <f>IF($A128="","", INDEX(CS!$B$1:$B$12903,MATCH($A128,CS!$B:$B,0)+COLUMN(A$1),1))</f>
        <v/>
      </c>
      <c r="AY128" t="str">
        <f>IF($A128="","", INDEX(CS!$B$1:$B$12903,MATCH($A128,CS!$B:$B,0)+COLUMN(B$1),1))</f>
        <v/>
      </c>
      <c r="AZ128" t="str">
        <f>IF($A128="","", INDEX(CS!$B$1:$B$12903,MATCH($A128,CS!$B:$B,0)+COLUMN(C$1),1))</f>
        <v/>
      </c>
      <c r="BA128" t="str">
        <f>IF($A128="","", INDEX(CS!$B$1:$B$12903,MATCH($A128,CS!$B:$B,0)+COLUMN(D$1),1))</f>
        <v/>
      </c>
      <c r="BB128" t="str">
        <f>IF($A128="","", INDEX(CS!$B$1:$B$12903,MATCH($A128,CS!$B:$B,0)+COLUMN(E$1),1))</f>
        <v/>
      </c>
      <c r="BC128" t="str">
        <f>IF($A128="","", INDEX(CS!$B$1:$B$12903,MATCH($A128,CS!$B:$B,0)+COLUMN(F$1),1))</f>
        <v/>
      </c>
      <c r="BD128" t="str">
        <f>IF($A128="","", INDEX(CS!$B$1:$B$12903,MATCH($A128,CS!$B:$B,0)+COLUMN(G$1),1))</f>
        <v/>
      </c>
      <c r="BE128" t="str">
        <f>IF($A128="","", INDEX(CS!$B$1:$B$12903,MATCH($A128,CS!$B:$B,0)+COLUMN(H$1),1))</f>
        <v/>
      </c>
      <c r="BF128" t="str">
        <f>IF($A128="","", INDEX(CS!$B$1:$B$12903,MATCH($A128,CS!$B:$B,0)+COLUMN(I$1),1))</f>
        <v/>
      </c>
      <c r="BG128" t="str">
        <f>IF($A128="","", INDEX(CS!$B$1:$B$12903,MATCH($A128,CS!$B:$B,0)+COLUMN(J$1),1))</f>
        <v/>
      </c>
    </row>
    <row r="129" spans="3:59" x14ac:dyDescent="0.4">
      <c r="C129" t="s">
        <v>193</v>
      </c>
      <c r="D129" t="str">
        <f t="shared" si="9"/>
        <v>0/0/0</v>
      </c>
      <c r="E129">
        <v>1</v>
      </c>
      <c r="AX129" t="str">
        <f>IF($A129="","", INDEX(CS!$B$1:$B$12903,MATCH($A129,CS!$B:$B,0)+COLUMN(A$1),1))</f>
        <v/>
      </c>
      <c r="AY129" t="str">
        <f>IF($A129="","", INDEX(CS!$B$1:$B$12903,MATCH($A129,CS!$B:$B,0)+COLUMN(B$1),1))</f>
        <v/>
      </c>
      <c r="AZ129" t="str">
        <f>IF($A129="","", INDEX(CS!$B$1:$B$12903,MATCH($A129,CS!$B:$B,0)+COLUMN(C$1),1))</f>
        <v/>
      </c>
      <c r="BA129" t="str">
        <f>IF($A129="","", INDEX(CS!$B$1:$B$12903,MATCH($A129,CS!$B:$B,0)+COLUMN(D$1),1))</f>
        <v/>
      </c>
      <c r="BB129" t="str">
        <f>IF($A129="","", INDEX(CS!$B$1:$B$12903,MATCH($A129,CS!$B:$B,0)+COLUMN(E$1),1))</f>
        <v/>
      </c>
      <c r="BC129" t="str">
        <f>IF($A129="","", INDEX(CS!$B$1:$B$12903,MATCH($A129,CS!$B:$B,0)+COLUMN(F$1),1))</f>
        <v/>
      </c>
      <c r="BD129" t="str">
        <f>IF($A129="","", INDEX(CS!$B$1:$B$12903,MATCH($A129,CS!$B:$B,0)+COLUMN(G$1),1))</f>
        <v/>
      </c>
      <c r="BE129" t="str">
        <f>IF($A129="","", INDEX(CS!$B$1:$B$12903,MATCH($A129,CS!$B:$B,0)+COLUMN(H$1),1))</f>
        <v/>
      </c>
      <c r="BF129" t="str">
        <f>IF($A129="","", INDEX(CS!$B$1:$B$12903,MATCH($A129,CS!$B:$B,0)+COLUMN(I$1),1))</f>
        <v/>
      </c>
      <c r="BG129" t="str">
        <f>IF($A129="","", INDEX(CS!$B$1:$B$12903,MATCH($A129,CS!$B:$B,0)+COLUMN(J$1),1))</f>
        <v/>
      </c>
    </row>
    <row r="130" spans="3:59" x14ac:dyDescent="0.4">
      <c r="C130" t="s">
        <v>193</v>
      </c>
      <c r="D130" t="str">
        <f t="shared" si="9"/>
        <v>0/0/0</v>
      </c>
      <c r="E130">
        <v>1</v>
      </c>
      <c r="AX130" t="str">
        <f>IF($A130="","", INDEX(CS!$B$1:$B$12903,MATCH($A130,CS!$B:$B,0)+COLUMN(A$1),1))</f>
        <v/>
      </c>
      <c r="AY130" t="str">
        <f>IF($A130="","", INDEX(CS!$B$1:$B$12903,MATCH($A130,CS!$B:$B,0)+COLUMN(B$1),1))</f>
        <v/>
      </c>
      <c r="AZ130" t="str">
        <f>IF($A130="","", INDEX(CS!$B$1:$B$12903,MATCH($A130,CS!$B:$B,0)+COLUMN(C$1),1))</f>
        <v/>
      </c>
      <c r="BA130" t="str">
        <f>IF($A130="","", INDEX(CS!$B$1:$B$12903,MATCH($A130,CS!$B:$B,0)+COLUMN(D$1),1))</f>
        <v/>
      </c>
      <c r="BB130" t="str">
        <f>IF($A130="","", INDEX(CS!$B$1:$B$12903,MATCH($A130,CS!$B:$B,0)+COLUMN(E$1),1))</f>
        <v/>
      </c>
      <c r="BC130" t="str">
        <f>IF($A130="","", INDEX(CS!$B$1:$B$12903,MATCH($A130,CS!$B:$B,0)+COLUMN(F$1),1))</f>
        <v/>
      </c>
      <c r="BD130" t="str">
        <f>IF($A130="","", INDEX(CS!$B$1:$B$12903,MATCH($A130,CS!$B:$B,0)+COLUMN(G$1),1))</f>
        <v/>
      </c>
      <c r="BE130" t="str">
        <f>IF($A130="","", INDEX(CS!$B$1:$B$12903,MATCH($A130,CS!$B:$B,0)+COLUMN(H$1),1))</f>
        <v/>
      </c>
      <c r="BF130" t="str">
        <f>IF($A130="","", INDEX(CS!$B$1:$B$12903,MATCH($A130,CS!$B:$B,0)+COLUMN(I$1),1))</f>
        <v/>
      </c>
      <c r="BG130" t="str">
        <f>IF($A130="","", INDEX(CS!$B$1:$B$12903,MATCH($A130,CS!$B:$B,0)+COLUMN(J$1),1))</f>
        <v/>
      </c>
    </row>
    <row r="131" spans="3:59" x14ac:dyDescent="0.4">
      <c r="C131" t="s">
        <v>193</v>
      </c>
      <c r="D131" t="str">
        <f t="shared" si="9"/>
        <v>0/0/0</v>
      </c>
      <c r="E131">
        <v>1</v>
      </c>
      <c r="AX131" t="str">
        <f>IF($A131="","", INDEX(CS!$B$1:$B$12903,MATCH($A131,CS!$B:$B,0)+COLUMN(A$1),1))</f>
        <v/>
      </c>
      <c r="AY131" t="str">
        <f>IF($A131="","", INDEX(CS!$B$1:$B$12903,MATCH($A131,CS!$B:$B,0)+COLUMN(B$1),1))</f>
        <v/>
      </c>
      <c r="AZ131" t="str">
        <f>IF($A131="","", INDEX(CS!$B$1:$B$12903,MATCH($A131,CS!$B:$B,0)+COLUMN(C$1),1))</f>
        <v/>
      </c>
      <c r="BA131" t="str">
        <f>IF($A131="","", INDEX(CS!$B$1:$B$12903,MATCH($A131,CS!$B:$B,0)+COLUMN(D$1),1))</f>
        <v/>
      </c>
      <c r="BB131" t="str">
        <f>IF($A131="","", INDEX(CS!$B$1:$B$12903,MATCH($A131,CS!$B:$B,0)+COLUMN(E$1),1))</f>
        <v/>
      </c>
      <c r="BC131" t="str">
        <f>IF($A131="","", INDEX(CS!$B$1:$B$12903,MATCH($A131,CS!$B:$B,0)+COLUMN(F$1),1))</f>
        <v/>
      </c>
      <c r="BD131" t="str">
        <f>IF($A131="","", INDEX(CS!$B$1:$B$12903,MATCH($A131,CS!$B:$B,0)+COLUMN(G$1),1))</f>
        <v/>
      </c>
      <c r="BE131" t="str">
        <f>IF($A131="","", INDEX(CS!$B$1:$B$12903,MATCH($A131,CS!$B:$B,0)+COLUMN(H$1),1))</f>
        <v/>
      </c>
      <c r="BF131" t="str">
        <f>IF($A131="","", INDEX(CS!$B$1:$B$12903,MATCH($A131,CS!$B:$B,0)+COLUMN(I$1),1))</f>
        <v/>
      </c>
      <c r="BG131" t="str">
        <f>IF($A131="","", INDEX(CS!$B$1:$B$12903,MATCH($A131,CS!$B:$B,0)+COLUMN(J$1),1))</f>
        <v/>
      </c>
    </row>
    <row r="132" spans="3:59" x14ac:dyDescent="0.4">
      <c r="C132" t="s">
        <v>193</v>
      </c>
      <c r="D132" t="str">
        <f t="shared" si="9"/>
        <v>0/0/0</v>
      </c>
      <c r="E132">
        <v>1</v>
      </c>
      <c r="AX132" t="str">
        <f>IF($A132="","", INDEX(CS!$B$1:$B$12903,MATCH($A132,CS!$B:$B,0)+COLUMN(A$1),1))</f>
        <v/>
      </c>
      <c r="AY132" t="str">
        <f>IF($A132="","", INDEX(CS!$B$1:$B$12903,MATCH($A132,CS!$B:$B,0)+COLUMN(B$1),1))</f>
        <v/>
      </c>
      <c r="AZ132" t="str">
        <f>IF($A132="","", INDEX(CS!$B$1:$B$12903,MATCH($A132,CS!$B:$B,0)+COLUMN(C$1),1))</f>
        <v/>
      </c>
      <c r="BA132" t="str">
        <f>IF($A132="","", INDEX(CS!$B$1:$B$12903,MATCH($A132,CS!$B:$B,0)+COLUMN(D$1),1))</f>
        <v/>
      </c>
      <c r="BB132" t="str">
        <f>IF($A132="","", INDEX(CS!$B$1:$B$12903,MATCH($A132,CS!$B:$B,0)+COLUMN(E$1),1))</f>
        <v/>
      </c>
      <c r="BC132" t="str">
        <f>IF($A132="","", INDEX(CS!$B$1:$B$12903,MATCH($A132,CS!$B:$B,0)+COLUMN(F$1),1))</f>
        <v/>
      </c>
      <c r="BD132" t="str">
        <f>IF($A132="","", INDEX(CS!$B$1:$B$12903,MATCH($A132,CS!$B:$B,0)+COLUMN(G$1),1))</f>
        <v/>
      </c>
      <c r="BE132" t="str">
        <f>IF($A132="","", INDEX(CS!$B$1:$B$12903,MATCH($A132,CS!$B:$B,0)+COLUMN(H$1),1))</f>
        <v/>
      </c>
      <c r="BF132" t="str">
        <f>IF($A132="","", INDEX(CS!$B$1:$B$12903,MATCH($A132,CS!$B:$B,0)+COLUMN(I$1),1))</f>
        <v/>
      </c>
      <c r="BG132" t="str">
        <f>IF($A132="","", INDEX(CS!$B$1:$B$12903,MATCH($A132,CS!$B:$B,0)+COLUMN(J$1),1))</f>
        <v/>
      </c>
    </row>
    <row r="133" spans="3:59" x14ac:dyDescent="0.4">
      <c r="C133" t="s">
        <v>193</v>
      </c>
      <c r="D133" t="str">
        <f t="shared" si="9"/>
        <v>0/0/0</v>
      </c>
      <c r="E133">
        <v>1</v>
      </c>
      <c r="AX133" t="str">
        <f>IF($A133="","", INDEX(CS!$B$1:$B$12903,MATCH($A133,CS!$B:$B,0)+COLUMN(A$1),1))</f>
        <v/>
      </c>
      <c r="AY133" t="str">
        <f>IF($A133="","", INDEX(CS!$B$1:$B$12903,MATCH($A133,CS!$B:$B,0)+COLUMN(B$1),1))</f>
        <v/>
      </c>
      <c r="AZ133" t="str">
        <f>IF($A133="","", INDEX(CS!$B$1:$B$12903,MATCH($A133,CS!$B:$B,0)+COLUMN(C$1),1))</f>
        <v/>
      </c>
      <c r="BA133" t="str">
        <f>IF($A133="","", INDEX(CS!$B$1:$B$12903,MATCH($A133,CS!$B:$B,0)+COLUMN(D$1),1))</f>
        <v/>
      </c>
      <c r="BB133" t="str">
        <f>IF($A133="","", INDEX(CS!$B$1:$B$12903,MATCH($A133,CS!$B:$B,0)+COLUMN(E$1),1))</f>
        <v/>
      </c>
      <c r="BC133" t="str">
        <f>IF($A133="","", INDEX(CS!$B$1:$B$12903,MATCH($A133,CS!$B:$B,0)+COLUMN(F$1),1))</f>
        <v/>
      </c>
      <c r="BD133" t="str">
        <f>IF($A133="","", INDEX(CS!$B$1:$B$12903,MATCH($A133,CS!$B:$B,0)+COLUMN(G$1),1))</f>
        <v/>
      </c>
      <c r="BE133" t="str">
        <f>IF($A133="","", INDEX(CS!$B$1:$B$12903,MATCH($A133,CS!$B:$B,0)+COLUMN(H$1),1))</f>
        <v/>
      </c>
      <c r="BF133" t="str">
        <f>IF($A133="","", INDEX(CS!$B$1:$B$12903,MATCH($A133,CS!$B:$B,0)+COLUMN(I$1),1))</f>
        <v/>
      </c>
      <c r="BG133" t="str">
        <f>IF($A133="","", INDEX(CS!$B$1:$B$12903,MATCH($A133,CS!$B:$B,0)+COLUMN(J$1),1))</f>
        <v/>
      </c>
    </row>
    <row r="134" spans="3:59" x14ac:dyDescent="0.4">
      <c r="C134" t="s">
        <v>193</v>
      </c>
      <c r="D134" t="str">
        <f t="shared" si="9"/>
        <v>0/0/0</v>
      </c>
      <c r="E134">
        <v>1</v>
      </c>
      <c r="AX134" t="str">
        <f>IF($A134="","", INDEX(CS!$B$1:$B$12903,MATCH($A134,CS!$B:$B,0)+COLUMN(A$1),1))</f>
        <v/>
      </c>
      <c r="AY134" t="str">
        <f>IF($A134="","", INDEX(CS!$B$1:$B$12903,MATCH($A134,CS!$B:$B,0)+COLUMN(B$1),1))</f>
        <v/>
      </c>
      <c r="AZ134" t="str">
        <f>IF($A134="","", INDEX(CS!$B$1:$B$12903,MATCH($A134,CS!$B:$B,0)+COLUMN(C$1),1))</f>
        <v/>
      </c>
      <c r="BA134" t="str">
        <f>IF($A134="","", INDEX(CS!$B$1:$B$12903,MATCH($A134,CS!$B:$B,0)+COLUMN(D$1),1))</f>
        <v/>
      </c>
      <c r="BB134" t="str">
        <f>IF($A134="","", INDEX(CS!$B$1:$B$12903,MATCH($A134,CS!$B:$B,0)+COLUMN(E$1),1))</f>
        <v/>
      </c>
      <c r="BC134" t="str">
        <f>IF($A134="","", INDEX(CS!$B$1:$B$12903,MATCH($A134,CS!$B:$B,0)+COLUMN(F$1),1))</f>
        <v/>
      </c>
      <c r="BD134" t="str">
        <f>IF($A134="","", INDEX(CS!$B$1:$B$12903,MATCH($A134,CS!$B:$B,0)+COLUMN(G$1),1))</f>
        <v/>
      </c>
      <c r="BE134" t="str">
        <f>IF($A134="","", INDEX(CS!$B$1:$B$12903,MATCH($A134,CS!$B:$B,0)+COLUMN(H$1),1))</f>
        <v/>
      </c>
      <c r="BF134" t="str">
        <f>IF($A134="","", INDEX(CS!$B$1:$B$12903,MATCH($A134,CS!$B:$B,0)+COLUMN(I$1),1))</f>
        <v/>
      </c>
      <c r="BG134" t="str">
        <f>IF($A134="","", INDEX(CS!$B$1:$B$12903,MATCH($A134,CS!$B:$B,0)+COLUMN(J$1),1))</f>
        <v/>
      </c>
    </row>
    <row r="135" spans="3:59" x14ac:dyDescent="0.4">
      <c r="C135" t="s">
        <v>193</v>
      </c>
      <c r="D135" t="str">
        <f t="shared" si="9"/>
        <v>0/0/0</v>
      </c>
      <c r="E135">
        <v>1</v>
      </c>
      <c r="AX135" t="str">
        <f>IF($A135="","", INDEX(CS!$B$1:$B$12903,MATCH($A135,CS!$B:$B,0)+COLUMN(A$1),1))</f>
        <v/>
      </c>
      <c r="AY135" t="str">
        <f>IF($A135="","", INDEX(CS!$B$1:$B$12903,MATCH($A135,CS!$B:$B,0)+COLUMN(B$1),1))</f>
        <v/>
      </c>
      <c r="AZ135" t="str">
        <f>IF($A135="","", INDEX(CS!$B$1:$B$12903,MATCH($A135,CS!$B:$B,0)+COLUMN(C$1),1))</f>
        <v/>
      </c>
      <c r="BA135" t="str">
        <f>IF($A135="","", INDEX(CS!$B$1:$B$12903,MATCH($A135,CS!$B:$B,0)+COLUMN(D$1),1))</f>
        <v/>
      </c>
      <c r="BB135" t="str">
        <f>IF($A135="","", INDEX(CS!$B$1:$B$12903,MATCH($A135,CS!$B:$B,0)+COLUMN(E$1),1))</f>
        <v/>
      </c>
      <c r="BC135" t="str">
        <f>IF($A135="","", INDEX(CS!$B$1:$B$12903,MATCH($A135,CS!$B:$B,0)+COLUMN(F$1),1))</f>
        <v/>
      </c>
      <c r="BD135" t="str">
        <f>IF($A135="","", INDEX(CS!$B$1:$B$12903,MATCH($A135,CS!$B:$B,0)+COLUMN(G$1),1))</f>
        <v/>
      </c>
      <c r="BE135" t="str">
        <f>IF($A135="","", INDEX(CS!$B$1:$B$12903,MATCH($A135,CS!$B:$B,0)+COLUMN(H$1),1))</f>
        <v/>
      </c>
      <c r="BF135" t="str">
        <f>IF($A135="","", INDEX(CS!$B$1:$B$12903,MATCH($A135,CS!$B:$B,0)+COLUMN(I$1),1))</f>
        <v/>
      </c>
      <c r="BG135" t="str">
        <f>IF($A135="","", INDEX(CS!$B$1:$B$12903,MATCH($A135,CS!$B:$B,0)+COLUMN(J$1),1))</f>
        <v/>
      </c>
    </row>
    <row r="136" spans="3:59" x14ac:dyDescent="0.4">
      <c r="C136" t="s">
        <v>193</v>
      </c>
      <c r="D136" t="str">
        <f t="shared" si="9"/>
        <v>0/0/0</v>
      </c>
      <c r="E136">
        <v>1</v>
      </c>
      <c r="AX136" t="str">
        <f>IF($A136="","", INDEX(CS!$B$1:$B$12903,MATCH($A136,CS!$B:$B,0)+COLUMN(A$1),1))</f>
        <v/>
      </c>
      <c r="AY136" t="str">
        <f>IF($A136="","", INDEX(CS!$B$1:$B$12903,MATCH($A136,CS!$B:$B,0)+COLUMN(B$1),1))</f>
        <v/>
      </c>
      <c r="AZ136" t="str">
        <f>IF($A136="","", INDEX(CS!$B$1:$B$12903,MATCH($A136,CS!$B:$B,0)+COLUMN(C$1),1))</f>
        <v/>
      </c>
      <c r="BA136" t="str">
        <f>IF($A136="","", INDEX(CS!$B$1:$B$12903,MATCH($A136,CS!$B:$B,0)+COLUMN(D$1),1))</f>
        <v/>
      </c>
      <c r="BB136" t="str">
        <f>IF($A136="","", INDEX(CS!$B$1:$B$12903,MATCH($A136,CS!$B:$B,0)+COLUMN(E$1),1))</f>
        <v/>
      </c>
      <c r="BC136" t="str">
        <f>IF($A136="","", INDEX(CS!$B$1:$B$12903,MATCH($A136,CS!$B:$B,0)+COLUMN(F$1),1))</f>
        <v/>
      </c>
      <c r="BD136" t="str">
        <f>IF($A136="","", INDEX(CS!$B$1:$B$12903,MATCH($A136,CS!$B:$B,0)+COLUMN(G$1),1))</f>
        <v/>
      </c>
      <c r="BE136" t="str">
        <f>IF($A136="","", INDEX(CS!$B$1:$B$12903,MATCH($A136,CS!$B:$B,0)+COLUMN(H$1),1))</f>
        <v/>
      </c>
      <c r="BF136" t="str">
        <f>IF($A136="","", INDEX(CS!$B$1:$B$12903,MATCH($A136,CS!$B:$B,0)+COLUMN(I$1),1))</f>
        <v/>
      </c>
      <c r="BG136" t="str">
        <f>IF($A136="","", INDEX(CS!$B$1:$B$12903,MATCH($A136,CS!$B:$B,0)+COLUMN(J$1),1))</f>
        <v/>
      </c>
    </row>
    <row r="137" spans="3:59" x14ac:dyDescent="0.4">
      <c r="C137" t="s">
        <v>193</v>
      </c>
      <c r="D137" t="str">
        <f t="shared" si="9"/>
        <v>0/0/0</v>
      </c>
      <c r="E137">
        <v>1</v>
      </c>
      <c r="AX137" t="str">
        <f>IF($A137="","", INDEX(CS!$B$1:$B$12903,MATCH($A137,CS!$B:$B,0)+COLUMN(A$1),1))</f>
        <v/>
      </c>
      <c r="AY137" t="str">
        <f>IF($A137="","", INDEX(CS!$B$1:$B$12903,MATCH($A137,CS!$B:$B,0)+COLUMN(B$1),1))</f>
        <v/>
      </c>
      <c r="AZ137" t="str">
        <f>IF($A137="","", INDEX(CS!$B$1:$B$12903,MATCH($A137,CS!$B:$B,0)+COLUMN(C$1),1))</f>
        <v/>
      </c>
      <c r="BA137" t="str">
        <f>IF($A137="","", INDEX(CS!$B$1:$B$12903,MATCH($A137,CS!$B:$B,0)+COLUMN(D$1),1))</f>
        <v/>
      </c>
      <c r="BB137" t="str">
        <f>IF($A137="","", INDEX(CS!$B$1:$B$12903,MATCH($A137,CS!$B:$B,0)+COLUMN(E$1),1))</f>
        <v/>
      </c>
      <c r="BC137" t="str">
        <f>IF($A137="","", INDEX(CS!$B$1:$B$12903,MATCH($A137,CS!$B:$B,0)+COLUMN(F$1),1))</f>
        <v/>
      </c>
      <c r="BD137" t="str">
        <f>IF($A137="","", INDEX(CS!$B$1:$B$12903,MATCH($A137,CS!$B:$B,0)+COLUMN(G$1),1))</f>
        <v/>
      </c>
      <c r="BE137" t="str">
        <f>IF($A137="","", INDEX(CS!$B$1:$B$12903,MATCH($A137,CS!$B:$B,0)+COLUMN(H$1),1))</f>
        <v/>
      </c>
      <c r="BF137" t="str">
        <f>IF($A137="","", INDEX(CS!$B$1:$B$12903,MATCH($A137,CS!$B:$B,0)+COLUMN(I$1),1))</f>
        <v/>
      </c>
      <c r="BG137" t="str">
        <f>IF($A137="","", INDEX(CS!$B$1:$B$12903,MATCH($A137,CS!$B:$B,0)+COLUMN(J$1),1))</f>
        <v/>
      </c>
    </row>
    <row r="138" spans="3:59" x14ac:dyDescent="0.4">
      <c r="C138" t="s">
        <v>193</v>
      </c>
      <c r="D138" t="str">
        <f t="shared" si="9"/>
        <v>0/0/0</v>
      </c>
      <c r="E138">
        <v>1</v>
      </c>
      <c r="AX138" t="str">
        <f>IF($A138="","", INDEX(CS!$B$1:$B$12903,MATCH($A138,CS!$B:$B,0)+COLUMN(A$1),1))</f>
        <v/>
      </c>
      <c r="AY138" t="str">
        <f>IF($A138="","", INDEX(CS!$B$1:$B$12903,MATCH($A138,CS!$B:$B,0)+COLUMN(B$1),1))</f>
        <v/>
      </c>
      <c r="AZ138" t="str">
        <f>IF($A138="","", INDEX(CS!$B$1:$B$12903,MATCH($A138,CS!$B:$B,0)+COLUMN(C$1),1))</f>
        <v/>
      </c>
      <c r="BA138" t="str">
        <f>IF($A138="","", INDEX(CS!$B$1:$B$12903,MATCH($A138,CS!$B:$B,0)+COLUMN(D$1),1))</f>
        <v/>
      </c>
      <c r="BB138" t="str">
        <f>IF($A138="","", INDEX(CS!$B$1:$B$12903,MATCH($A138,CS!$B:$B,0)+COLUMN(E$1),1))</f>
        <v/>
      </c>
      <c r="BC138" t="str">
        <f>IF($A138="","", INDEX(CS!$B$1:$B$12903,MATCH($A138,CS!$B:$B,0)+COLUMN(F$1),1))</f>
        <v/>
      </c>
      <c r="BD138" t="str">
        <f>IF($A138="","", INDEX(CS!$B$1:$B$12903,MATCH($A138,CS!$B:$B,0)+COLUMN(G$1),1))</f>
        <v/>
      </c>
      <c r="BE138" t="str">
        <f>IF($A138="","", INDEX(CS!$B$1:$B$12903,MATCH($A138,CS!$B:$B,0)+COLUMN(H$1),1))</f>
        <v/>
      </c>
      <c r="BF138" t="str">
        <f>IF($A138="","", INDEX(CS!$B$1:$B$12903,MATCH($A138,CS!$B:$B,0)+COLUMN(I$1),1))</f>
        <v/>
      </c>
      <c r="BG138" t="str">
        <f>IF($A138="","", INDEX(CS!$B$1:$B$12903,MATCH($A138,CS!$B:$B,0)+COLUMN(J$1),1))</f>
        <v/>
      </c>
    </row>
    <row r="139" spans="3:59" x14ac:dyDescent="0.4">
      <c r="C139" t="s">
        <v>193</v>
      </c>
      <c r="D139" t="str">
        <f t="shared" si="9"/>
        <v>0/0/0</v>
      </c>
      <c r="E139">
        <v>1</v>
      </c>
      <c r="AX139" t="str">
        <f>IF($A139="","", INDEX(CS!$B$1:$B$12903,MATCH($A139,CS!$B:$B,0)+COLUMN(A$1),1))</f>
        <v/>
      </c>
      <c r="AY139" t="str">
        <f>IF($A139="","", INDEX(CS!$B$1:$B$12903,MATCH($A139,CS!$B:$B,0)+COLUMN(B$1),1))</f>
        <v/>
      </c>
      <c r="AZ139" t="str">
        <f>IF($A139="","", INDEX(CS!$B$1:$B$12903,MATCH($A139,CS!$B:$B,0)+COLUMN(C$1),1))</f>
        <v/>
      </c>
      <c r="BA139" t="str">
        <f>IF($A139="","", INDEX(CS!$B$1:$B$12903,MATCH($A139,CS!$B:$B,0)+COLUMN(D$1),1))</f>
        <v/>
      </c>
      <c r="BB139" t="str">
        <f>IF($A139="","", INDEX(CS!$B$1:$B$12903,MATCH($A139,CS!$B:$B,0)+COLUMN(E$1),1))</f>
        <v/>
      </c>
      <c r="BC139" t="str">
        <f>IF($A139="","", INDEX(CS!$B$1:$B$12903,MATCH($A139,CS!$B:$B,0)+COLUMN(F$1),1))</f>
        <v/>
      </c>
      <c r="BD139" t="str">
        <f>IF($A139="","", INDEX(CS!$B$1:$B$12903,MATCH($A139,CS!$B:$B,0)+COLUMN(G$1),1))</f>
        <v/>
      </c>
      <c r="BE139" t="str">
        <f>IF($A139="","", INDEX(CS!$B$1:$B$12903,MATCH($A139,CS!$B:$B,0)+COLUMN(H$1),1))</f>
        <v/>
      </c>
      <c r="BF139" t="str">
        <f>IF($A139="","", INDEX(CS!$B$1:$B$12903,MATCH($A139,CS!$B:$B,0)+COLUMN(I$1),1))</f>
        <v/>
      </c>
      <c r="BG139" t="str">
        <f>IF($A139="","", INDEX(CS!$B$1:$B$12903,MATCH($A139,CS!$B:$B,0)+COLUMN(J$1),1))</f>
        <v/>
      </c>
    </row>
    <row r="140" spans="3:59" x14ac:dyDescent="0.4">
      <c r="C140" t="s">
        <v>193</v>
      </c>
      <c r="D140" t="str">
        <f t="shared" si="9"/>
        <v>0/0/0</v>
      </c>
      <c r="E140">
        <v>1</v>
      </c>
      <c r="AX140" t="str">
        <f>IF($A140="","", INDEX(CS!$B$1:$B$12903,MATCH($A140,CS!$B:$B,0)+COLUMN(A$1),1))</f>
        <v/>
      </c>
      <c r="AY140" t="str">
        <f>IF($A140="","", INDEX(CS!$B$1:$B$12903,MATCH($A140,CS!$B:$B,0)+COLUMN(B$1),1))</f>
        <v/>
      </c>
      <c r="AZ140" t="str">
        <f>IF($A140="","", INDEX(CS!$B$1:$B$12903,MATCH($A140,CS!$B:$B,0)+COLUMN(C$1),1))</f>
        <v/>
      </c>
      <c r="BA140" t="str">
        <f>IF($A140="","", INDEX(CS!$B$1:$B$12903,MATCH($A140,CS!$B:$B,0)+COLUMN(D$1),1))</f>
        <v/>
      </c>
      <c r="BB140" t="str">
        <f>IF($A140="","", INDEX(CS!$B$1:$B$12903,MATCH($A140,CS!$B:$B,0)+COLUMN(E$1),1))</f>
        <v/>
      </c>
      <c r="BC140" t="str">
        <f>IF($A140="","", INDEX(CS!$B$1:$B$12903,MATCH($A140,CS!$B:$B,0)+COLUMN(F$1),1))</f>
        <v/>
      </c>
      <c r="BD140" t="str">
        <f>IF($A140="","", INDEX(CS!$B$1:$B$12903,MATCH($A140,CS!$B:$B,0)+COLUMN(G$1),1))</f>
        <v/>
      </c>
      <c r="BE140" t="str">
        <f>IF($A140="","", INDEX(CS!$B$1:$B$12903,MATCH($A140,CS!$B:$B,0)+COLUMN(H$1),1))</f>
        <v/>
      </c>
      <c r="BF140" t="str">
        <f>IF($A140="","", INDEX(CS!$B$1:$B$12903,MATCH($A140,CS!$B:$B,0)+COLUMN(I$1),1))</f>
        <v/>
      </c>
      <c r="BG140" t="str">
        <f>IF($A140="","", INDEX(CS!$B$1:$B$12903,MATCH($A140,CS!$B:$B,0)+COLUMN(J$1),1))</f>
        <v/>
      </c>
    </row>
    <row r="141" spans="3:59" x14ac:dyDescent="0.4">
      <c r="C141" t="s">
        <v>193</v>
      </c>
      <c r="D141" t="str">
        <f t="shared" si="9"/>
        <v>0/0/0</v>
      </c>
      <c r="E141">
        <v>1</v>
      </c>
      <c r="AX141" t="str">
        <f>IF($A141="","", INDEX(CS!$B$1:$B$12903,MATCH($A141,CS!$B:$B,0)+COLUMN(A$1),1))</f>
        <v/>
      </c>
      <c r="AY141" t="str">
        <f>IF($A141="","", INDEX(CS!$B$1:$B$12903,MATCH($A141,CS!$B:$B,0)+COLUMN(B$1),1))</f>
        <v/>
      </c>
      <c r="AZ141" t="str">
        <f>IF($A141="","", INDEX(CS!$B$1:$B$12903,MATCH($A141,CS!$B:$B,0)+COLUMN(C$1),1))</f>
        <v/>
      </c>
      <c r="BA141" t="str">
        <f>IF($A141="","", INDEX(CS!$B$1:$B$12903,MATCH($A141,CS!$B:$B,0)+COLUMN(D$1),1))</f>
        <v/>
      </c>
      <c r="BB141" t="str">
        <f>IF($A141="","", INDEX(CS!$B$1:$B$12903,MATCH($A141,CS!$B:$B,0)+COLUMN(E$1),1))</f>
        <v/>
      </c>
      <c r="BC141" t="str">
        <f>IF($A141="","", INDEX(CS!$B$1:$B$12903,MATCH($A141,CS!$B:$B,0)+COLUMN(F$1),1))</f>
        <v/>
      </c>
      <c r="BD141" t="str">
        <f>IF($A141="","", INDEX(CS!$B$1:$B$12903,MATCH($A141,CS!$B:$B,0)+COLUMN(G$1),1))</f>
        <v/>
      </c>
      <c r="BE141" t="str">
        <f>IF($A141="","", INDEX(CS!$B$1:$B$12903,MATCH($A141,CS!$B:$B,0)+COLUMN(H$1),1))</f>
        <v/>
      </c>
      <c r="BF141" t="str">
        <f>IF($A141="","", INDEX(CS!$B$1:$B$12903,MATCH($A141,CS!$B:$B,0)+COLUMN(I$1),1))</f>
        <v/>
      </c>
      <c r="BG141" t="str">
        <f>IF($A141="","", INDEX(CS!$B$1:$B$12903,MATCH($A141,CS!$B:$B,0)+COLUMN(J$1),1))</f>
        <v/>
      </c>
    </row>
    <row r="142" spans="3:59" x14ac:dyDescent="0.4">
      <c r="C142" t="s">
        <v>193</v>
      </c>
      <c r="D142" t="str">
        <f t="shared" si="9"/>
        <v>0/0/0</v>
      </c>
      <c r="E142">
        <v>1</v>
      </c>
      <c r="AX142" t="str">
        <f>IF($A142="","", INDEX(CS!$B$1:$B$12903,MATCH($A142,CS!$B:$B,0)+COLUMN(A$1),1))</f>
        <v/>
      </c>
      <c r="AY142" t="str">
        <f>IF($A142="","", INDEX(CS!$B$1:$B$12903,MATCH($A142,CS!$B:$B,0)+COLUMN(B$1),1))</f>
        <v/>
      </c>
      <c r="AZ142" t="str">
        <f>IF($A142="","", INDEX(CS!$B$1:$B$12903,MATCH($A142,CS!$B:$B,0)+COLUMN(C$1),1))</f>
        <v/>
      </c>
      <c r="BA142" t="str">
        <f>IF($A142="","", INDEX(CS!$B$1:$B$12903,MATCH($A142,CS!$B:$B,0)+COLUMN(D$1),1))</f>
        <v/>
      </c>
      <c r="BB142" t="str">
        <f>IF($A142="","", INDEX(CS!$B$1:$B$12903,MATCH($A142,CS!$B:$B,0)+COLUMN(E$1),1))</f>
        <v/>
      </c>
      <c r="BC142" t="str">
        <f>IF($A142="","", INDEX(CS!$B$1:$B$12903,MATCH($A142,CS!$B:$B,0)+COLUMN(F$1),1))</f>
        <v/>
      </c>
      <c r="BD142" t="str">
        <f>IF($A142="","", INDEX(CS!$B$1:$B$12903,MATCH($A142,CS!$B:$B,0)+COLUMN(G$1),1))</f>
        <v/>
      </c>
      <c r="BE142" t="str">
        <f>IF($A142="","", INDEX(CS!$B$1:$B$12903,MATCH($A142,CS!$B:$B,0)+COLUMN(H$1),1))</f>
        <v/>
      </c>
      <c r="BF142" t="str">
        <f>IF($A142="","", INDEX(CS!$B$1:$B$12903,MATCH($A142,CS!$B:$B,0)+COLUMN(I$1),1))</f>
        <v/>
      </c>
      <c r="BG142" t="str">
        <f>IF($A142="","", INDEX(CS!$B$1:$B$12903,MATCH($A142,CS!$B:$B,0)+COLUMN(J$1),1))</f>
        <v/>
      </c>
    </row>
    <row r="143" spans="3:59" x14ac:dyDescent="0.4">
      <c r="C143" t="s">
        <v>193</v>
      </c>
      <c r="D143" t="str">
        <f t="shared" si="9"/>
        <v>0/0/0</v>
      </c>
      <c r="E143">
        <v>1</v>
      </c>
      <c r="AX143" t="str">
        <f>IF($A143="","", INDEX(CS!$B$1:$B$12903,MATCH($A143,CS!$B:$B,0)+COLUMN(A$1),1))</f>
        <v/>
      </c>
      <c r="AY143" t="str">
        <f>IF($A143="","", INDEX(CS!$B$1:$B$12903,MATCH($A143,CS!$B:$B,0)+COLUMN(B$1),1))</f>
        <v/>
      </c>
      <c r="AZ143" t="str">
        <f>IF($A143="","", INDEX(CS!$B$1:$B$12903,MATCH($A143,CS!$B:$B,0)+COLUMN(C$1),1))</f>
        <v/>
      </c>
      <c r="BA143" t="str">
        <f>IF($A143="","", INDEX(CS!$B$1:$B$12903,MATCH($A143,CS!$B:$B,0)+COLUMN(D$1),1))</f>
        <v/>
      </c>
      <c r="BB143" t="str">
        <f>IF($A143="","", INDEX(CS!$B$1:$B$12903,MATCH($A143,CS!$B:$B,0)+COLUMN(E$1),1))</f>
        <v/>
      </c>
      <c r="BC143" t="str">
        <f>IF($A143="","", INDEX(CS!$B$1:$B$12903,MATCH($A143,CS!$B:$B,0)+COLUMN(F$1),1))</f>
        <v/>
      </c>
      <c r="BD143" t="str">
        <f>IF($A143="","", INDEX(CS!$B$1:$B$12903,MATCH($A143,CS!$B:$B,0)+COLUMN(G$1),1))</f>
        <v/>
      </c>
      <c r="BE143" t="str">
        <f>IF($A143="","", INDEX(CS!$B$1:$B$12903,MATCH($A143,CS!$B:$B,0)+COLUMN(H$1),1))</f>
        <v/>
      </c>
      <c r="BF143" t="str">
        <f>IF($A143="","", INDEX(CS!$B$1:$B$12903,MATCH($A143,CS!$B:$B,0)+COLUMN(I$1),1))</f>
        <v/>
      </c>
      <c r="BG143" t="str">
        <f>IF($A143="","", INDEX(CS!$B$1:$B$12903,MATCH($A143,CS!$B:$B,0)+COLUMN(J$1),1))</f>
        <v/>
      </c>
    </row>
    <row r="144" spans="3:59" x14ac:dyDescent="0.4">
      <c r="C144" t="s">
        <v>193</v>
      </c>
      <c r="D144" t="str">
        <f t="shared" si="9"/>
        <v>0/0/0</v>
      </c>
      <c r="E144">
        <v>1</v>
      </c>
      <c r="AX144" t="str">
        <f>IF($A144="","", INDEX(CS!$B$1:$B$12903,MATCH($A144,CS!$B:$B,0)+COLUMN(A$1),1))</f>
        <v/>
      </c>
      <c r="AY144" t="str">
        <f>IF($A144="","", INDEX(CS!$B$1:$B$12903,MATCH($A144,CS!$B:$B,0)+COLUMN(B$1),1))</f>
        <v/>
      </c>
      <c r="AZ144" t="str">
        <f>IF($A144="","", INDEX(CS!$B$1:$B$12903,MATCH($A144,CS!$B:$B,0)+COLUMN(C$1),1))</f>
        <v/>
      </c>
      <c r="BA144" t="str">
        <f>IF($A144="","", INDEX(CS!$B$1:$B$12903,MATCH($A144,CS!$B:$B,0)+COLUMN(D$1),1))</f>
        <v/>
      </c>
      <c r="BB144" t="str">
        <f>IF($A144="","", INDEX(CS!$B$1:$B$12903,MATCH($A144,CS!$B:$B,0)+COLUMN(E$1),1))</f>
        <v/>
      </c>
      <c r="BC144" t="str">
        <f>IF($A144="","", INDEX(CS!$B$1:$B$12903,MATCH($A144,CS!$B:$B,0)+COLUMN(F$1),1))</f>
        <v/>
      </c>
      <c r="BD144" t="str">
        <f>IF($A144="","", INDEX(CS!$B$1:$B$12903,MATCH($A144,CS!$B:$B,0)+COLUMN(G$1),1))</f>
        <v/>
      </c>
      <c r="BE144" t="str">
        <f>IF($A144="","", INDEX(CS!$B$1:$B$12903,MATCH($A144,CS!$B:$B,0)+COLUMN(H$1),1))</f>
        <v/>
      </c>
      <c r="BF144" t="str">
        <f>IF($A144="","", INDEX(CS!$B$1:$B$12903,MATCH($A144,CS!$B:$B,0)+COLUMN(I$1),1))</f>
        <v/>
      </c>
      <c r="BG144" t="str">
        <f>IF($A144="","", INDEX(CS!$B$1:$B$12903,MATCH($A144,CS!$B:$B,0)+COLUMN(J$1),1))</f>
        <v/>
      </c>
    </row>
    <row r="145" spans="3:59" x14ac:dyDescent="0.4">
      <c r="C145" t="s">
        <v>193</v>
      </c>
      <c r="D145" t="str">
        <f t="shared" si="9"/>
        <v>0/0/0</v>
      </c>
      <c r="E145">
        <v>1</v>
      </c>
      <c r="AX145" t="str">
        <f>IF($A145="","", INDEX(CS!$B$1:$B$12903,MATCH($A145,CS!$B:$B,0)+COLUMN(A$1),1))</f>
        <v/>
      </c>
      <c r="AY145" t="str">
        <f>IF($A145="","", INDEX(CS!$B$1:$B$12903,MATCH($A145,CS!$B:$B,0)+COLUMN(B$1),1))</f>
        <v/>
      </c>
      <c r="AZ145" t="str">
        <f>IF($A145="","", INDEX(CS!$B$1:$B$12903,MATCH($A145,CS!$B:$B,0)+COLUMN(C$1),1))</f>
        <v/>
      </c>
      <c r="BA145" t="str">
        <f>IF($A145="","", INDEX(CS!$B$1:$B$12903,MATCH($A145,CS!$B:$B,0)+COLUMN(D$1),1))</f>
        <v/>
      </c>
      <c r="BB145" t="str">
        <f>IF($A145="","", INDEX(CS!$B$1:$B$12903,MATCH($A145,CS!$B:$B,0)+COLUMN(E$1),1))</f>
        <v/>
      </c>
      <c r="BC145" t="str">
        <f>IF($A145="","", INDEX(CS!$B$1:$B$12903,MATCH($A145,CS!$B:$B,0)+COLUMN(F$1),1))</f>
        <v/>
      </c>
      <c r="BD145" t="str">
        <f>IF($A145="","", INDEX(CS!$B$1:$B$12903,MATCH($A145,CS!$B:$B,0)+COLUMN(G$1),1))</f>
        <v/>
      </c>
      <c r="BE145" t="str">
        <f>IF($A145="","", INDEX(CS!$B$1:$B$12903,MATCH($A145,CS!$B:$B,0)+COLUMN(H$1),1))</f>
        <v/>
      </c>
      <c r="BF145" t="str">
        <f>IF($A145="","", INDEX(CS!$B$1:$B$12903,MATCH($A145,CS!$B:$B,0)+COLUMN(I$1),1))</f>
        <v/>
      </c>
      <c r="BG145" t="str">
        <f>IF($A145="","", INDEX(CS!$B$1:$B$12903,MATCH($A145,CS!$B:$B,0)+COLUMN(J$1),1))</f>
        <v/>
      </c>
    </row>
    <row r="146" spans="3:59" x14ac:dyDescent="0.4">
      <c r="C146" t="s">
        <v>193</v>
      </c>
      <c r="D146" t="str">
        <f t="shared" si="9"/>
        <v>0/0/0</v>
      </c>
      <c r="E146">
        <v>1</v>
      </c>
      <c r="AX146" t="str">
        <f>IF($A146="","", INDEX(CS!$B$1:$B$12903,MATCH($A146,CS!$B:$B,0)+COLUMN(A$1),1))</f>
        <v/>
      </c>
      <c r="AY146" t="str">
        <f>IF($A146="","", INDEX(CS!$B$1:$B$12903,MATCH($A146,CS!$B:$B,0)+COLUMN(B$1),1))</f>
        <v/>
      </c>
      <c r="AZ146" t="str">
        <f>IF($A146="","", INDEX(CS!$B$1:$B$12903,MATCH($A146,CS!$B:$B,0)+COLUMN(C$1),1))</f>
        <v/>
      </c>
      <c r="BA146" t="str">
        <f>IF($A146="","", INDEX(CS!$B$1:$B$12903,MATCH($A146,CS!$B:$B,0)+COLUMN(D$1),1))</f>
        <v/>
      </c>
      <c r="BB146" t="str">
        <f>IF($A146="","", INDEX(CS!$B$1:$B$12903,MATCH($A146,CS!$B:$B,0)+COLUMN(E$1),1))</f>
        <v/>
      </c>
      <c r="BC146" t="str">
        <f>IF($A146="","", INDEX(CS!$B$1:$B$12903,MATCH($A146,CS!$B:$B,0)+COLUMN(F$1),1))</f>
        <v/>
      </c>
      <c r="BD146" t="str">
        <f>IF($A146="","", INDEX(CS!$B$1:$B$12903,MATCH($A146,CS!$B:$B,0)+COLUMN(G$1),1))</f>
        <v/>
      </c>
      <c r="BE146" t="str">
        <f>IF($A146="","", INDEX(CS!$B$1:$B$12903,MATCH($A146,CS!$B:$B,0)+COLUMN(H$1),1))</f>
        <v/>
      </c>
      <c r="BF146" t="str">
        <f>IF($A146="","", INDEX(CS!$B$1:$B$12903,MATCH($A146,CS!$B:$B,0)+COLUMN(I$1),1))</f>
        <v/>
      </c>
      <c r="BG146" t="str">
        <f>IF($A146="","", INDEX(CS!$B$1:$B$12903,MATCH($A146,CS!$B:$B,0)+COLUMN(J$1),1))</f>
        <v/>
      </c>
    </row>
    <row r="147" spans="3:59" x14ac:dyDescent="0.4">
      <c r="C147" t="s">
        <v>193</v>
      </c>
      <c r="D147" t="str">
        <f t="shared" si="9"/>
        <v>0/0/0</v>
      </c>
      <c r="E147">
        <v>1</v>
      </c>
      <c r="AX147" t="str">
        <f>IF($A147="","", INDEX(CS!$B$1:$B$12903,MATCH($A147,CS!$B:$B,0)+COLUMN(A$1),1))</f>
        <v/>
      </c>
      <c r="AY147" t="str">
        <f>IF($A147="","", INDEX(CS!$B$1:$B$12903,MATCH($A147,CS!$B:$B,0)+COLUMN(B$1),1))</f>
        <v/>
      </c>
      <c r="AZ147" t="str">
        <f>IF($A147="","", INDEX(CS!$B$1:$B$12903,MATCH($A147,CS!$B:$B,0)+COLUMN(C$1),1))</f>
        <v/>
      </c>
      <c r="BA147" t="str">
        <f>IF($A147="","", INDEX(CS!$B$1:$B$12903,MATCH($A147,CS!$B:$B,0)+COLUMN(D$1),1))</f>
        <v/>
      </c>
      <c r="BB147" t="str">
        <f>IF($A147="","", INDEX(CS!$B$1:$B$12903,MATCH($A147,CS!$B:$B,0)+COLUMN(E$1),1))</f>
        <v/>
      </c>
      <c r="BC147" t="str">
        <f>IF($A147="","", INDEX(CS!$B$1:$B$12903,MATCH($A147,CS!$B:$B,0)+COLUMN(F$1),1))</f>
        <v/>
      </c>
      <c r="BD147" t="str">
        <f>IF($A147="","", INDEX(CS!$B$1:$B$12903,MATCH($A147,CS!$B:$B,0)+COLUMN(G$1),1))</f>
        <v/>
      </c>
      <c r="BE147" t="str">
        <f>IF($A147="","", INDEX(CS!$B$1:$B$12903,MATCH($A147,CS!$B:$B,0)+COLUMN(H$1),1))</f>
        <v/>
      </c>
      <c r="BF147" t="str">
        <f>IF($A147="","", INDEX(CS!$B$1:$B$12903,MATCH($A147,CS!$B:$B,0)+COLUMN(I$1),1))</f>
        <v/>
      </c>
      <c r="BG147" t="str">
        <f>IF($A147="","", INDEX(CS!$B$1:$B$12903,MATCH($A147,CS!$B:$B,0)+COLUMN(J$1),1))</f>
        <v/>
      </c>
    </row>
    <row r="148" spans="3:59" x14ac:dyDescent="0.4">
      <c r="C148" t="s">
        <v>193</v>
      </c>
      <c r="D148" t="str">
        <f t="shared" si="9"/>
        <v>0/0/0</v>
      </c>
      <c r="E148">
        <v>1</v>
      </c>
      <c r="AX148" t="str">
        <f>IF($A148="","", INDEX(CS!$B$1:$B$12903,MATCH($A148,CS!$B:$B,0)+COLUMN(A$1),1))</f>
        <v/>
      </c>
      <c r="AY148" t="str">
        <f>IF($A148="","", INDEX(CS!$B$1:$B$12903,MATCH($A148,CS!$B:$B,0)+COLUMN(B$1),1))</f>
        <v/>
      </c>
      <c r="AZ148" t="str">
        <f>IF($A148="","", INDEX(CS!$B$1:$B$12903,MATCH($A148,CS!$B:$B,0)+COLUMN(C$1),1))</f>
        <v/>
      </c>
      <c r="BA148" t="str">
        <f>IF($A148="","", INDEX(CS!$B$1:$B$12903,MATCH($A148,CS!$B:$B,0)+COLUMN(D$1),1))</f>
        <v/>
      </c>
      <c r="BB148" t="str">
        <f>IF($A148="","", INDEX(CS!$B$1:$B$12903,MATCH($A148,CS!$B:$B,0)+COLUMN(E$1),1))</f>
        <v/>
      </c>
      <c r="BC148" t="str">
        <f>IF($A148="","", INDEX(CS!$B$1:$B$12903,MATCH($A148,CS!$B:$B,0)+COLUMN(F$1),1))</f>
        <v/>
      </c>
      <c r="BD148" t="str">
        <f>IF($A148="","", INDEX(CS!$B$1:$B$12903,MATCH($A148,CS!$B:$B,0)+COLUMN(G$1),1))</f>
        <v/>
      </c>
      <c r="BE148" t="str">
        <f>IF($A148="","", INDEX(CS!$B$1:$B$12903,MATCH($A148,CS!$B:$B,0)+COLUMN(H$1),1))</f>
        <v/>
      </c>
      <c r="BF148" t="str">
        <f>IF($A148="","", INDEX(CS!$B$1:$B$12903,MATCH($A148,CS!$B:$B,0)+COLUMN(I$1),1))</f>
        <v/>
      </c>
      <c r="BG148" t="str">
        <f>IF($A148="","", INDEX(CS!$B$1:$B$12903,MATCH($A148,CS!$B:$B,0)+COLUMN(J$1),1))</f>
        <v/>
      </c>
    </row>
    <row r="149" spans="3:59" x14ac:dyDescent="0.4">
      <c r="C149" t="s">
        <v>193</v>
      </c>
      <c r="D149" t="str">
        <f t="shared" si="9"/>
        <v>0/0/0</v>
      </c>
      <c r="E149">
        <v>1</v>
      </c>
      <c r="AX149" t="str">
        <f>IF($A149="","", INDEX(CS!$B$1:$B$12903,MATCH($A149,CS!$B:$B,0)+COLUMN(A$1),1))</f>
        <v/>
      </c>
      <c r="AY149" t="str">
        <f>IF($A149="","", INDEX(CS!$B$1:$B$12903,MATCH($A149,CS!$B:$B,0)+COLUMN(B$1),1))</f>
        <v/>
      </c>
      <c r="AZ149" t="str">
        <f>IF($A149="","", INDEX(CS!$B$1:$B$12903,MATCH($A149,CS!$B:$B,0)+COLUMN(C$1),1))</f>
        <v/>
      </c>
      <c r="BA149" t="str">
        <f>IF($A149="","", INDEX(CS!$B$1:$B$12903,MATCH($A149,CS!$B:$B,0)+COLUMN(D$1),1))</f>
        <v/>
      </c>
      <c r="BB149" t="str">
        <f>IF($A149="","", INDEX(CS!$B$1:$B$12903,MATCH($A149,CS!$B:$B,0)+COLUMN(E$1),1))</f>
        <v/>
      </c>
      <c r="BC149" t="str">
        <f>IF($A149="","", INDEX(CS!$B$1:$B$12903,MATCH($A149,CS!$B:$B,0)+COLUMN(F$1),1))</f>
        <v/>
      </c>
      <c r="BD149" t="str">
        <f>IF($A149="","", INDEX(CS!$B$1:$B$12903,MATCH($A149,CS!$B:$B,0)+COLUMN(G$1),1))</f>
        <v/>
      </c>
      <c r="BE149" t="str">
        <f>IF($A149="","", INDEX(CS!$B$1:$B$12903,MATCH($A149,CS!$B:$B,0)+COLUMN(H$1),1))</f>
        <v/>
      </c>
      <c r="BF149" t="str">
        <f>IF($A149="","", INDEX(CS!$B$1:$B$12903,MATCH($A149,CS!$B:$B,0)+COLUMN(I$1),1))</f>
        <v/>
      </c>
      <c r="BG149" t="str">
        <f>IF($A149="","", INDEX(CS!$B$1:$B$12903,MATCH($A149,CS!$B:$B,0)+COLUMN(J$1),1))</f>
        <v/>
      </c>
    </row>
    <row r="150" spans="3:59" x14ac:dyDescent="0.4">
      <c r="C150" t="s">
        <v>193</v>
      </c>
      <c r="D150" t="str">
        <f t="shared" si="9"/>
        <v>0/0/0</v>
      </c>
      <c r="E150">
        <v>1</v>
      </c>
      <c r="AX150" t="str">
        <f>IF($A150="","", INDEX(CS!$B$1:$B$12903,MATCH($A150,CS!$B:$B,0)+COLUMN(A$1),1))</f>
        <v/>
      </c>
      <c r="AY150" t="str">
        <f>IF($A150="","", INDEX(CS!$B$1:$B$12903,MATCH($A150,CS!$B:$B,0)+COLUMN(B$1),1))</f>
        <v/>
      </c>
      <c r="AZ150" t="str">
        <f>IF($A150="","", INDEX(CS!$B$1:$B$12903,MATCH($A150,CS!$B:$B,0)+COLUMN(C$1),1))</f>
        <v/>
      </c>
      <c r="BA150" t="str">
        <f>IF($A150="","", INDEX(CS!$B$1:$B$12903,MATCH($A150,CS!$B:$B,0)+COLUMN(D$1),1))</f>
        <v/>
      </c>
      <c r="BB150" t="str">
        <f>IF($A150="","", INDEX(CS!$B$1:$B$12903,MATCH($A150,CS!$B:$B,0)+COLUMN(E$1),1))</f>
        <v/>
      </c>
      <c r="BC150" t="str">
        <f>IF($A150="","", INDEX(CS!$B$1:$B$12903,MATCH($A150,CS!$B:$B,0)+COLUMN(F$1),1))</f>
        <v/>
      </c>
      <c r="BD150" t="str">
        <f>IF($A150="","", INDEX(CS!$B$1:$B$12903,MATCH($A150,CS!$B:$B,0)+COLUMN(G$1),1))</f>
        <v/>
      </c>
      <c r="BE150" t="str">
        <f>IF($A150="","", INDEX(CS!$B$1:$B$12903,MATCH($A150,CS!$B:$B,0)+COLUMN(H$1),1))</f>
        <v/>
      </c>
      <c r="BF150" t="str">
        <f>IF($A150="","", INDEX(CS!$B$1:$B$12903,MATCH($A150,CS!$B:$B,0)+COLUMN(I$1),1))</f>
        <v/>
      </c>
      <c r="BG150" t="str">
        <f>IF($A150="","", INDEX(CS!$B$1:$B$12903,MATCH($A150,CS!$B:$B,0)+COLUMN(J$1),1))</f>
        <v/>
      </c>
    </row>
    <row r="151" spans="3:59" x14ac:dyDescent="0.4">
      <c r="C151" t="s">
        <v>193</v>
      </c>
      <c r="D151" t="str">
        <f t="shared" si="9"/>
        <v>0/0/0</v>
      </c>
      <c r="E151">
        <v>1</v>
      </c>
      <c r="AX151" t="str">
        <f>IF($A151="","", INDEX(CS!$B$1:$B$12903,MATCH($A151,CS!$B:$B,0)+COLUMN(A$1),1))</f>
        <v/>
      </c>
      <c r="AY151" t="str">
        <f>IF($A151="","", INDEX(CS!$B$1:$B$12903,MATCH($A151,CS!$B:$B,0)+COLUMN(B$1),1))</f>
        <v/>
      </c>
      <c r="AZ151" t="str">
        <f>IF($A151="","", INDEX(CS!$B$1:$B$12903,MATCH($A151,CS!$B:$B,0)+COLUMN(C$1),1))</f>
        <v/>
      </c>
      <c r="BA151" t="str">
        <f>IF($A151="","", INDEX(CS!$B$1:$B$12903,MATCH($A151,CS!$B:$B,0)+COLUMN(D$1),1))</f>
        <v/>
      </c>
      <c r="BB151" t="str">
        <f>IF($A151="","", INDEX(CS!$B$1:$B$12903,MATCH($A151,CS!$B:$B,0)+COLUMN(E$1),1))</f>
        <v/>
      </c>
      <c r="BC151" t="str">
        <f>IF($A151="","", INDEX(CS!$B$1:$B$12903,MATCH($A151,CS!$B:$B,0)+COLUMN(F$1),1))</f>
        <v/>
      </c>
      <c r="BD151" t="str">
        <f>IF($A151="","", INDEX(CS!$B$1:$B$12903,MATCH($A151,CS!$B:$B,0)+COLUMN(G$1),1))</f>
        <v/>
      </c>
      <c r="BE151" t="str">
        <f>IF($A151="","", INDEX(CS!$B$1:$B$12903,MATCH($A151,CS!$B:$B,0)+COLUMN(H$1),1))</f>
        <v/>
      </c>
      <c r="BF151" t="str">
        <f>IF($A151="","", INDEX(CS!$B$1:$B$12903,MATCH($A151,CS!$B:$B,0)+COLUMN(I$1),1))</f>
        <v/>
      </c>
      <c r="BG151" t="str">
        <f>IF($A151="","", INDEX(CS!$B$1:$B$12903,MATCH($A151,CS!$B:$B,0)+COLUMN(J$1),1))</f>
        <v/>
      </c>
    </row>
    <row r="152" spans="3:59" x14ac:dyDescent="0.4">
      <c r="C152" t="s">
        <v>193</v>
      </c>
      <c r="D152" t="str">
        <f t="shared" si="9"/>
        <v>0/0/0</v>
      </c>
      <c r="E152">
        <v>1</v>
      </c>
      <c r="AX152" t="str">
        <f>IF($A152="","", INDEX(CS!$B$1:$B$12903,MATCH($A152,CS!$B:$B,0)+COLUMN(A$1),1))</f>
        <v/>
      </c>
      <c r="AY152" t="str">
        <f>IF($A152="","", INDEX(CS!$B$1:$B$12903,MATCH($A152,CS!$B:$B,0)+COLUMN(B$1),1))</f>
        <v/>
      </c>
      <c r="AZ152" t="str">
        <f>IF($A152="","", INDEX(CS!$B$1:$B$12903,MATCH($A152,CS!$B:$B,0)+COLUMN(C$1),1))</f>
        <v/>
      </c>
      <c r="BA152" t="str">
        <f>IF($A152="","", INDEX(CS!$B$1:$B$12903,MATCH($A152,CS!$B:$B,0)+COLUMN(D$1),1))</f>
        <v/>
      </c>
      <c r="BB152" t="str">
        <f>IF($A152="","", INDEX(CS!$B$1:$B$12903,MATCH($A152,CS!$B:$B,0)+COLUMN(E$1),1))</f>
        <v/>
      </c>
      <c r="BC152" t="str">
        <f>IF($A152="","", INDEX(CS!$B$1:$B$12903,MATCH($A152,CS!$B:$B,0)+COLUMN(F$1),1))</f>
        <v/>
      </c>
      <c r="BD152" t="str">
        <f>IF($A152="","", INDEX(CS!$B$1:$B$12903,MATCH($A152,CS!$B:$B,0)+COLUMN(G$1),1))</f>
        <v/>
      </c>
      <c r="BE152" t="str">
        <f>IF($A152="","", INDEX(CS!$B$1:$B$12903,MATCH($A152,CS!$B:$B,0)+COLUMN(H$1),1))</f>
        <v/>
      </c>
      <c r="BF152" t="str">
        <f>IF($A152="","", INDEX(CS!$B$1:$B$12903,MATCH($A152,CS!$B:$B,0)+COLUMN(I$1),1))</f>
        <v/>
      </c>
      <c r="BG152" t="str">
        <f>IF($A152="","", INDEX(CS!$B$1:$B$12903,MATCH($A152,CS!$B:$B,0)+COLUMN(J$1),1))</f>
        <v/>
      </c>
    </row>
    <row r="153" spans="3:59" x14ac:dyDescent="0.4">
      <c r="C153" t="s">
        <v>193</v>
      </c>
      <c r="D153" t="str">
        <f t="shared" si="9"/>
        <v>0/0/0</v>
      </c>
      <c r="E153">
        <v>1</v>
      </c>
      <c r="AX153" t="str">
        <f>IF($A153="","", INDEX(CS!$B$1:$B$12903,MATCH($A153,CS!$B:$B,0)+COLUMN(A$1),1))</f>
        <v/>
      </c>
      <c r="AY153" t="str">
        <f>IF($A153="","", INDEX(CS!$B$1:$B$12903,MATCH($A153,CS!$B:$B,0)+COLUMN(B$1),1))</f>
        <v/>
      </c>
      <c r="AZ153" t="str">
        <f>IF($A153="","", INDEX(CS!$B$1:$B$12903,MATCH($A153,CS!$B:$B,0)+COLUMN(C$1),1))</f>
        <v/>
      </c>
      <c r="BA153" t="str">
        <f>IF($A153="","", INDEX(CS!$B$1:$B$12903,MATCH($A153,CS!$B:$B,0)+COLUMN(D$1),1))</f>
        <v/>
      </c>
      <c r="BB153" t="str">
        <f>IF($A153="","", INDEX(CS!$B$1:$B$12903,MATCH($A153,CS!$B:$B,0)+COLUMN(E$1),1))</f>
        <v/>
      </c>
      <c r="BC153" t="str">
        <f>IF($A153="","", INDEX(CS!$B$1:$B$12903,MATCH($A153,CS!$B:$B,0)+COLUMN(F$1),1))</f>
        <v/>
      </c>
      <c r="BD153" t="str">
        <f>IF($A153="","", INDEX(CS!$B$1:$B$12903,MATCH($A153,CS!$B:$B,0)+COLUMN(G$1),1))</f>
        <v/>
      </c>
      <c r="BE153" t="str">
        <f>IF($A153="","", INDEX(CS!$B$1:$B$12903,MATCH($A153,CS!$B:$B,0)+COLUMN(H$1),1))</f>
        <v/>
      </c>
      <c r="BF153" t="str">
        <f>IF($A153="","", INDEX(CS!$B$1:$B$12903,MATCH($A153,CS!$B:$B,0)+COLUMN(I$1),1))</f>
        <v/>
      </c>
      <c r="BG153" t="str">
        <f>IF($A153="","", INDEX(CS!$B$1:$B$12903,MATCH($A153,CS!$B:$B,0)+COLUMN(J$1),1))</f>
        <v/>
      </c>
    </row>
    <row r="154" spans="3:59" x14ac:dyDescent="0.4">
      <c r="C154" t="s">
        <v>193</v>
      </c>
      <c r="D154" t="str">
        <f t="shared" si="9"/>
        <v>0/0/0</v>
      </c>
      <c r="E154">
        <v>1</v>
      </c>
      <c r="AX154" t="str">
        <f>IF($A154="","", INDEX(CS!$B$1:$B$12903,MATCH($A154,CS!$B:$B,0)+COLUMN(A$1),1))</f>
        <v/>
      </c>
      <c r="AY154" t="str">
        <f>IF($A154="","", INDEX(CS!$B$1:$B$12903,MATCH($A154,CS!$B:$B,0)+COLUMN(B$1),1))</f>
        <v/>
      </c>
      <c r="AZ154" t="str">
        <f>IF($A154="","", INDEX(CS!$B$1:$B$12903,MATCH($A154,CS!$B:$B,0)+COLUMN(C$1),1))</f>
        <v/>
      </c>
      <c r="BA154" t="str">
        <f>IF($A154="","", INDEX(CS!$B$1:$B$12903,MATCH($A154,CS!$B:$B,0)+COLUMN(D$1),1))</f>
        <v/>
      </c>
      <c r="BB154" t="str">
        <f>IF($A154="","", INDEX(CS!$B$1:$B$12903,MATCH($A154,CS!$B:$B,0)+COLUMN(E$1),1))</f>
        <v/>
      </c>
      <c r="BC154" t="str">
        <f>IF($A154="","", INDEX(CS!$B$1:$B$12903,MATCH($A154,CS!$B:$B,0)+COLUMN(F$1),1))</f>
        <v/>
      </c>
      <c r="BD154" t="str">
        <f>IF($A154="","", INDEX(CS!$B$1:$B$12903,MATCH($A154,CS!$B:$B,0)+COLUMN(G$1),1))</f>
        <v/>
      </c>
      <c r="BE154" t="str">
        <f>IF($A154="","", INDEX(CS!$B$1:$B$12903,MATCH($A154,CS!$B:$B,0)+COLUMN(H$1),1))</f>
        <v/>
      </c>
      <c r="BF154" t="str">
        <f>IF($A154="","", INDEX(CS!$B$1:$B$12903,MATCH($A154,CS!$B:$B,0)+COLUMN(I$1),1))</f>
        <v/>
      </c>
      <c r="BG154" t="str">
        <f>IF($A154="","", INDEX(CS!$B$1:$B$12903,MATCH($A154,CS!$B:$B,0)+COLUMN(J$1),1))</f>
        <v/>
      </c>
    </row>
    <row r="155" spans="3:59" x14ac:dyDescent="0.4">
      <c r="C155" t="s">
        <v>193</v>
      </c>
      <c r="D155" t="str">
        <f t="shared" si="9"/>
        <v>0/0/0</v>
      </c>
      <c r="E155">
        <v>1</v>
      </c>
      <c r="AX155" t="str">
        <f>IF($A155="","", INDEX(CS!$B$1:$B$12903,MATCH($A155,CS!$B:$B,0)+COLUMN(A$1),1))</f>
        <v/>
      </c>
      <c r="AY155" t="str">
        <f>IF($A155="","", INDEX(CS!$B$1:$B$12903,MATCH($A155,CS!$B:$B,0)+COLUMN(B$1),1))</f>
        <v/>
      </c>
      <c r="AZ155" t="str">
        <f>IF($A155="","", INDEX(CS!$B$1:$B$12903,MATCH($A155,CS!$B:$B,0)+COLUMN(C$1),1))</f>
        <v/>
      </c>
      <c r="BA155" t="str">
        <f>IF($A155="","", INDEX(CS!$B$1:$B$12903,MATCH($A155,CS!$B:$B,0)+COLUMN(D$1),1))</f>
        <v/>
      </c>
      <c r="BB155" t="str">
        <f>IF($A155="","", INDEX(CS!$B$1:$B$12903,MATCH($A155,CS!$B:$B,0)+COLUMN(E$1),1))</f>
        <v/>
      </c>
      <c r="BC155" t="str">
        <f>IF($A155="","", INDEX(CS!$B$1:$B$12903,MATCH($A155,CS!$B:$B,0)+COLUMN(F$1),1))</f>
        <v/>
      </c>
      <c r="BD155" t="str">
        <f>IF($A155="","", INDEX(CS!$B$1:$B$12903,MATCH($A155,CS!$B:$B,0)+COLUMN(G$1),1))</f>
        <v/>
      </c>
      <c r="BE155" t="str">
        <f>IF($A155="","", INDEX(CS!$B$1:$B$12903,MATCH($A155,CS!$B:$B,0)+COLUMN(H$1),1))</f>
        <v/>
      </c>
      <c r="BF155" t="str">
        <f>IF($A155="","", INDEX(CS!$B$1:$B$12903,MATCH($A155,CS!$B:$B,0)+COLUMN(I$1),1))</f>
        <v/>
      </c>
      <c r="BG155" t="str">
        <f>IF($A155="","", INDEX(CS!$B$1:$B$12903,MATCH($A155,CS!$B:$B,0)+COLUMN(J$1),1))</f>
        <v/>
      </c>
    </row>
    <row r="156" spans="3:59" x14ac:dyDescent="0.4">
      <c r="C156" t="s">
        <v>193</v>
      </c>
      <c r="D156" t="str">
        <f t="shared" si="9"/>
        <v>0/0/0</v>
      </c>
      <c r="E156">
        <v>1</v>
      </c>
      <c r="AX156" t="str">
        <f>IF($A156="","", INDEX(CS!$B$1:$B$12903,MATCH($A156,CS!$B:$B,0)+COLUMN(A$1),1))</f>
        <v/>
      </c>
      <c r="AY156" t="str">
        <f>IF($A156="","", INDEX(CS!$B$1:$B$12903,MATCH($A156,CS!$B:$B,0)+COLUMN(B$1),1))</f>
        <v/>
      </c>
      <c r="AZ156" t="str">
        <f>IF($A156="","", INDEX(CS!$B$1:$B$12903,MATCH($A156,CS!$B:$B,0)+COLUMN(C$1),1))</f>
        <v/>
      </c>
      <c r="BA156" t="str">
        <f>IF($A156="","", INDEX(CS!$B$1:$B$12903,MATCH($A156,CS!$B:$B,0)+COLUMN(D$1),1))</f>
        <v/>
      </c>
      <c r="BB156" t="str">
        <f>IF($A156="","", INDEX(CS!$B$1:$B$12903,MATCH($A156,CS!$B:$B,0)+COLUMN(E$1),1))</f>
        <v/>
      </c>
      <c r="BC156" t="str">
        <f>IF($A156="","", INDEX(CS!$B$1:$B$12903,MATCH($A156,CS!$B:$B,0)+COLUMN(F$1),1))</f>
        <v/>
      </c>
      <c r="BD156" t="str">
        <f>IF($A156="","", INDEX(CS!$B$1:$B$12903,MATCH($A156,CS!$B:$B,0)+COLUMN(G$1),1))</f>
        <v/>
      </c>
      <c r="BE156" t="str">
        <f>IF($A156="","", INDEX(CS!$B$1:$B$12903,MATCH($A156,CS!$B:$B,0)+COLUMN(H$1),1))</f>
        <v/>
      </c>
      <c r="BF156" t="str">
        <f>IF($A156="","", INDEX(CS!$B$1:$B$12903,MATCH($A156,CS!$B:$B,0)+COLUMN(I$1),1))</f>
        <v/>
      </c>
      <c r="BG156" t="str">
        <f>IF($A156="","", INDEX(CS!$B$1:$B$12903,MATCH($A156,CS!$B:$B,0)+COLUMN(J$1),1))</f>
        <v/>
      </c>
    </row>
    <row r="157" spans="3:59" x14ac:dyDescent="0.4">
      <c r="C157" t="s">
        <v>193</v>
      </c>
      <c r="D157" t="str">
        <f t="shared" si="9"/>
        <v>0/0/0</v>
      </c>
      <c r="E157">
        <v>1</v>
      </c>
      <c r="AX157" t="str">
        <f>IF($A157="","", INDEX(CS!$B$1:$B$12903,MATCH($A157,CS!$B:$B,0)+COLUMN(A$1),1))</f>
        <v/>
      </c>
      <c r="AY157" t="str">
        <f>IF($A157="","", INDEX(CS!$B$1:$B$12903,MATCH($A157,CS!$B:$B,0)+COLUMN(B$1),1))</f>
        <v/>
      </c>
      <c r="AZ157" t="str">
        <f>IF($A157="","", INDEX(CS!$B$1:$B$12903,MATCH($A157,CS!$B:$B,0)+COLUMN(C$1),1))</f>
        <v/>
      </c>
      <c r="BA157" t="str">
        <f>IF($A157="","", INDEX(CS!$B$1:$B$12903,MATCH($A157,CS!$B:$B,0)+COLUMN(D$1),1))</f>
        <v/>
      </c>
      <c r="BB157" t="str">
        <f>IF($A157="","", INDEX(CS!$B$1:$B$12903,MATCH($A157,CS!$B:$B,0)+COLUMN(E$1),1))</f>
        <v/>
      </c>
      <c r="BC157" t="str">
        <f>IF($A157="","", INDEX(CS!$B$1:$B$12903,MATCH($A157,CS!$B:$B,0)+COLUMN(F$1),1))</f>
        <v/>
      </c>
      <c r="BD157" t="str">
        <f>IF($A157="","", INDEX(CS!$B$1:$B$12903,MATCH($A157,CS!$B:$B,0)+COLUMN(G$1),1))</f>
        <v/>
      </c>
      <c r="BE157" t="str">
        <f>IF($A157="","", INDEX(CS!$B$1:$B$12903,MATCH($A157,CS!$B:$B,0)+COLUMN(H$1),1))</f>
        <v/>
      </c>
      <c r="BF157" t="str">
        <f>IF($A157="","", INDEX(CS!$B$1:$B$12903,MATCH($A157,CS!$B:$B,0)+COLUMN(I$1),1))</f>
        <v/>
      </c>
      <c r="BG157" t="str">
        <f>IF($A157="","", INDEX(CS!$B$1:$B$12903,MATCH($A157,CS!$B:$B,0)+COLUMN(J$1),1))</f>
        <v/>
      </c>
    </row>
    <row r="158" spans="3:59" x14ac:dyDescent="0.4">
      <c r="C158" t="s">
        <v>193</v>
      </c>
      <c r="D158" t="str">
        <f t="shared" si="9"/>
        <v>0/0/0</v>
      </c>
      <c r="E158">
        <v>1</v>
      </c>
      <c r="AX158" t="str">
        <f>IF($A158="","", INDEX(CS!$B$1:$B$12903,MATCH($A158,CS!$B:$B,0)+COLUMN(A$1),1))</f>
        <v/>
      </c>
      <c r="AY158" t="str">
        <f>IF($A158="","", INDEX(CS!$B$1:$B$12903,MATCH($A158,CS!$B:$B,0)+COLUMN(B$1),1))</f>
        <v/>
      </c>
      <c r="AZ158" t="str">
        <f>IF($A158="","", INDEX(CS!$B$1:$B$12903,MATCH($A158,CS!$B:$B,0)+COLUMN(C$1),1))</f>
        <v/>
      </c>
      <c r="BA158" t="str">
        <f>IF($A158="","", INDEX(CS!$B$1:$B$12903,MATCH($A158,CS!$B:$B,0)+COLUMN(D$1),1))</f>
        <v/>
      </c>
      <c r="BB158" t="str">
        <f>IF($A158="","", INDEX(CS!$B$1:$B$12903,MATCH($A158,CS!$B:$B,0)+COLUMN(E$1),1))</f>
        <v/>
      </c>
      <c r="BC158" t="str">
        <f>IF($A158="","", INDEX(CS!$B$1:$B$12903,MATCH($A158,CS!$B:$B,0)+COLUMN(F$1),1))</f>
        <v/>
      </c>
      <c r="BD158" t="str">
        <f>IF($A158="","", INDEX(CS!$B$1:$B$12903,MATCH($A158,CS!$B:$B,0)+COLUMN(G$1),1))</f>
        <v/>
      </c>
      <c r="BE158" t="str">
        <f>IF($A158="","", INDEX(CS!$B$1:$B$12903,MATCH($A158,CS!$B:$B,0)+COLUMN(H$1),1))</f>
        <v/>
      </c>
      <c r="BF158" t="str">
        <f>IF($A158="","", INDEX(CS!$B$1:$B$12903,MATCH($A158,CS!$B:$B,0)+COLUMN(I$1),1))</f>
        <v/>
      </c>
      <c r="BG158" t="str">
        <f>IF($A158="","", INDEX(CS!$B$1:$B$12903,MATCH($A158,CS!$B:$B,0)+COLUMN(J$1),1))</f>
        <v/>
      </c>
    </row>
    <row r="159" spans="3:59" x14ac:dyDescent="0.4">
      <c r="C159" t="s">
        <v>193</v>
      </c>
      <c r="D159" t="str">
        <f t="shared" si="9"/>
        <v>0/0/0</v>
      </c>
      <c r="E159">
        <v>1</v>
      </c>
      <c r="AX159" t="str">
        <f>IF($A159="","", INDEX(CS!$B$1:$B$12903,MATCH($A159,CS!$B:$B,0)+COLUMN(A$1),1))</f>
        <v/>
      </c>
      <c r="AY159" t="str">
        <f>IF($A159="","", INDEX(CS!$B$1:$B$12903,MATCH($A159,CS!$B:$B,0)+COLUMN(B$1),1))</f>
        <v/>
      </c>
      <c r="AZ159" t="str">
        <f>IF($A159="","", INDEX(CS!$B$1:$B$12903,MATCH($A159,CS!$B:$B,0)+COLUMN(C$1),1))</f>
        <v/>
      </c>
      <c r="BA159" t="str">
        <f>IF($A159="","", INDEX(CS!$B$1:$B$12903,MATCH($A159,CS!$B:$B,0)+COLUMN(D$1),1))</f>
        <v/>
      </c>
      <c r="BB159" t="str">
        <f>IF($A159="","", INDEX(CS!$B$1:$B$12903,MATCH($A159,CS!$B:$B,0)+COLUMN(E$1),1))</f>
        <v/>
      </c>
      <c r="BC159" t="str">
        <f>IF($A159="","", INDEX(CS!$B$1:$B$12903,MATCH($A159,CS!$B:$B,0)+COLUMN(F$1),1))</f>
        <v/>
      </c>
      <c r="BD159" t="str">
        <f>IF($A159="","", INDEX(CS!$B$1:$B$12903,MATCH($A159,CS!$B:$B,0)+COLUMN(G$1),1))</f>
        <v/>
      </c>
      <c r="BE159" t="str">
        <f>IF($A159="","", INDEX(CS!$B$1:$B$12903,MATCH($A159,CS!$B:$B,0)+COLUMN(H$1),1))</f>
        <v/>
      </c>
      <c r="BF159" t="str">
        <f>IF($A159="","", INDEX(CS!$B$1:$B$12903,MATCH($A159,CS!$B:$B,0)+COLUMN(I$1),1))</f>
        <v/>
      </c>
      <c r="BG159" t="str">
        <f>IF($A159="","", INDEX(CS!$B$1:$B$12903,MATCH($A159,CS!$B:$B,0)+COLUMN(J$1),1))</f>
        <v/>
      </c>
    </row>
    <row r="160" spans="3:59" x14ac:dyDescent="0.4">
      <c r="C160" t="s">
        <v>193</v>
      </c>
      <c r="D160" t="str">
        <f t="shared" ref="D160:D219" si="10">SUM(AI160:AW160,F160:N160)&amp;"/"&amp;SUM(F160:N160)&amp;"/"&amp;SUM(AI160:AW160)</f>
        <v>0/0/0</v>
      </c>
      <c r="E160">
        <v>1</v>
      </c>
      <c r="AX160" t="str">
        <f>IF($A160="","", INDEX(CS!$B$1:$B$12903,MATCH($A160,CS!$B:$B,0)+COLUMN(A$1),1))</f>
        <v/>
      </c>
      <c r="AY160" t="str">
        <f>IF($A160="","", INDEX(CS!$B$1:$B$12903,MATCH($A160,CS!$B:$B,0)+COLUMN(B$1),1))</f>
        <v/>
      </c>
      <c r="AZ160" t="str">
        <f>IF($A160="","", INDEX(CS!$B$1:$B$12903,MATCH($A160,CS!$B:$B,0)+COLUMN(C$1),1))</f>
        <v/>
      </c>
      <c r="BA160" t="str">
        <f>IF($A160="","", INDEX(CS!$B$1:$B$12903,MATCH($A160,CS!$B:$B,0)+COLUMN(D$1),1))</f>
        <v/>
      </c>
      <c r="BB160" t="str">
        <f>IF($A160="","", INDEX(CS!$B$1:$B$12903,MATCH($A160,CS!$B:$B,0)+COLUMN(E$1),1))</f>
        <v/>
      </c>
      <c r="BC160" t="str">
        <f>IF($A160="","", INDEX(CS!$B$1:$B$12903,MATCH($A160,CS!$B:$B,0)+COLUMN(F$1),1))</f>
        <v/>
      </c>
      <c r="BD160" t="str">
        <f>IF($A160="","", INDEX(CS!$B$1:$B$12903,MATCH($A160,CS!$B:$B,0)+COLUMN(G$1),1))</f>
        <v/>
      </c>
      <c r="BE160" t="str">
        <f>IF($A160="","", INDEX(CS!$B$1:$B$12903,MATCH($A160,CS!$B:$B,0)+COLUMN(H$1),1))</f>
        <v/>
      </c>
      <c r="BF160" t="str">
        <f>IF($A160="","", INDEX(CS!$B$1:$B$12903,MATCH($A160,CS!$B:$B,0)+COLUMN(I$1),1))</f>
        <v/>
      </c>
      <c r="BG160" t="str">
        <f>IF($A160="","", INDEX(CS!$B$1:$B$12903,MATCH($A160,CS!$B:$B,0)+COLUMN(J$1),1))</f>
        <v/>
      </c>
    </row>
    <row r="161" spans="3:59" x14ac:dyDescent="0.4">
      <c r="C161" t="s">
        <v>193</v>
      </c>
      <c r="D161" t="str">
        <f t="shared" si="10"/>
        <v>0/0/0</v>
      </c>
      <c r="E161">
        <v>1</v>
      </c>
      <c r="AX161" t="str">
        <f>IF($A161="","", INDEX(CS!$B$1:$B$12903,MATCH($A161,CS!$B:$B,0)+COLUMN(A$1),1))</f>
        <v/>
      </c>
      <c r="AY161" t="str">
        <f>IF($A161="","", INDEX(CS!$B$1:$B$12903,MATCH($A161,CS!$B:$B,0)+COLUMN(B$1),1))</f>
        <v/>
      </c>
      <c r="AZ161" t="str">
        <f>IF($A161="","", INDEX(CS!$B$1:$B$12903,MATCH($A161,CS!$B:$B,0)+COLUMN(C$1),1))</f>
        <v/>
      </c>
      <c r="BA161" t="str">
        <f>IF($A161="","", INDEX(CS!$B$1:$B$12903,MATCH($A161,CS!$B:$B,0)+COLUMN(D$1),1))</f>
        <v/>
      </c>
      <c r="BB161" t="str">
        <f>IF($A161="","", INDEX(CS!$B$1:$B$12903,MATCH($A161,CS!$B:$B,0)+COLUMN(E$1),1))</f>
        <v/>
      </c>
      <c r="BC161" t="str">
        <f>IF($A161="","", INDEX(CS!$B$1:$B$12903,MATCH($A161,CS!$B:$B,0)+COLUMN(F$1),1))</f>
        <v/>
      </c>
      <c r="BD161" t="str">
        <f>IF($A161="","", INDEX(CS!$B$1:$B$12903,MATCH($A161,CS!$B:$B,0)+COLUMN(G$1),1))</f>
        <v/>
      </c>
      <c r="BE161" t="str">
        <f>IF($A161="","", INDEX(CS!$B$1:$B$12903,MATCH($A161,CS!$B:$B,0)+COLUMN(H$1),1))</f>
        <v/>
      </c>
      <c r="BF161" t="str">
        <f>IF($A161="","", INDEX(CS!$B$1:$B$12903,MATCH($A161,CS!$B:$B,0)+COLUMN(I$1),1))</f>
        <v/>
      </c>
      <c r="BG161" t="str">
        <f>IF($A161="","", INDEX(CS!$B$1:$B$12903,MATCH($A161,CS!$B:$B,0)+COLUMN(J$1),1))</f>
        <v/>
      </c>
    </row>
    <row r="162" spans="3:59" x14ac:dyDescent="0.4">
      <c r="C162" t="s">
        <v>193</v>
      </c>
      <c r="D162" t="str">
        <f t="shared" si="10"/>
        <v>0/0/0</v>
      </c>
      <c r="E162">
        <v>1</v>
      </c>
      <c r="AX162" t="str">
        <f>IF($A162="","", INDEX(CS!$B$1:$B$12903,MATCH($A162,CS!$B:$B,0)+COLUMN(A$1),1))</f>
        <v/>
      </c>
      <c r="AY162" t="str">
        <f>IF($A162="","", INDEX(CS!$B$1:$B$12903,MATCH($A162,CS!$B:$B,0)+COLUMN(B$1),1))</f>
        <v/>
      </c>
      <c r="AZ162" t="str">
        <f>IF($A162="","", INDEX(CS!$B$1:$B$12903,MATCH($A162,CS!$B:$B,0)+COLUMN(C$1),1))</f>
        <v/>
      </c>
      <c r="BA162" t="str">
        <f>IF($A162="","", INDEX(CS!$B$1:$B$12903,MATCH($A162,CS!$B:$B,0)+COLUMN(D$1),1))</f>
        <v/>
      </c>
      <c r="BB162" t="str">
        <f>IF($A162="","", INDEX(CS!$B$1:$B$12903,MATCH($A162,CS!$B:$B,0)+COLUMN(E$1),1))</f>
        <v/>
      </c>
      <c r="BC162" t="str">
        <f>IF($A162="","", INDEX(CS!$B$1:$B$12903,MATCH($A162,CS!$B:$B,0)+COLUMN(F$1),1))</f>
        <v/>
      </c>
      <c r="BD162" t="str">
        <f>IF($A162="","", INDEX(CS!$B$1:$B$12903,MATCH($A162,CS!$B:$B,0)+COLUMN(G$1),1))</f>
        <v/>
      </c>
      <c r="BE162" t="str">
        <f>IF($A162="","", INDEX(CS!$B$1:$B$12903,MATCH($A162,CS!$B:$B,0)+COLUMN(H$1),1))</f>
        <v/>
      </c>
      <c r="BF162" t="str">
        <f>IF($A162="","", INDEX(CS!$B$1:$B$12903,MATCH($A162,CS!$B:$B,0)+COLUMN(I$1),1))</f>
        <v/>
      </c>
      <c r="BG162" t="str">
        <f>IF($A162="","", INDEX(CS!$B$1:$B$12903,MATCH($A162,CS!$B:$B,0)+COLUMN(J$1),1))</f>
        <v/>
      </c>
    </row>
    <row r="163" spans="3:59" x14ac:dyDescent="0.4">
      <c r="C163" t="s">
        <v>193</v>
      </c>
      <c r="D163" t="str">
        <f t="shared" si="10"/>
        <v>0/0/0</v>
      </c>
      <c r="E163">
        <v>1</v>
      </c>
      <c r="AX163" t="str">
        <f>IF($A163="","", INDEX(CS!$B$1:$B$12903,MATCH($A163,CS!$B:$B,0)+COLUMN(A$1),1))</f>
        <v/>
      </c>
      <c r="AY163" t="str">
        <f>IF($A163="","", INDEX(CS!$B$1:$B$12903,MATCH($A163,CS!$B:$B,0)+COLUMN(B$1),1))</f>
        <v/>
      </c>
      <c r="AZ163" t="str">
        <f>IF($A163="","", INDEX(CS!$B$1:$B$12903,MATCH($A163,CS!$B:$B,0)+COLUMN(C$1),1))</f>
        <v/>
      </c>
      <c r="BA163" t="str">
        <f>IF($A163="","", INDEX(CS!$B$1:$B$12903,MATCH($A163,CS!$B:$B,0)+COLUMN(D$1),1))</f>
        <v/>
      </c>
      <c r="BB163" t="str">
        <f>IF($A163="","", INDEX(CS!$B$1:$B$12903,MATCH($A163,CS!$B:$B,0)+COLUMN(E$1),1))</f>
        <v/>
      </c>
      <c r="BC163" t="str">
        <f>IF($A163="","", INDEX(CS!$B$1:$B$12903,MATCH($A163,CS!$B:$B,0)+COLUMN(F$1),1))</f>
        <v/>
      </c>
      <c r="BD163" t="str">
        <f>IF($A163="","", INDEX(CS!$B$1:$B$12903,MATCH($A163,CS!$B:$B,0)+COLUMN(G$1),1))</f>
        <v/>
      </c>
      <c r="BE163" t="str">
        <f>IF($A163="","", INDEX(CS!$B$1:$B$12903,MATCH($A163,CS!$B:$B,0)+COLUMN(H$1),1))</f>
        <v/>
      </c>
      <c r="BF163" t="str">
        <f>IF($A163="","", INDEX(CS!$B$1:$B$12903,MATCH($A163,CS!$B:$B,0)+COLUMN(I$1),1))</f>
        <v/>
      </c>
      <c r="BG163" t="str">
        <f>IF($A163="","", INDEX(CS!$B$1:$B$12903,MATCH($A163,CS!$B:$B,0)+COLUMN(J$1),1))</f>
        <v/>
      </c>
    </row>
    <row r="164" spans="3:59" x14ac:dyDescent="0.4">
      <c r="C164" t="s">
        <v>193</v>
      </c>
      <c r="D164" t="str">
        <f t="shared" si="10"/>
        <v>0/0/0</v>
      </c>
      <c r="E164">
        <v>1</v>
      </c>
      <c r="AX164" t="str">
        <f>IF($A164="","", INDEX(CS!$B$1:$B$12903,MATCH($A164,CS!$B:$B,0)+COLUMN(A$1),1))</f>
        <v/>
      </c>
      <c r="AY164" t="str">
        <f>IF($A164="","", INDEX(CS!$B$1:$B$12903,MATCH($A164,CS!$B:$B,0)+COLUMN(B$1),1))</f>
        <v/>
      </c>
      <c r="AZ164" t="str">
        <f>IF($A164="","", INDEX(CS!$B$1:$B$12903,MATCH($A164,CS!$B:$B,0)+COLUMN(C$1),1))</f>
        <v/>
      </c>
      <c r="BA164" t="str">
        <f>IF($A164="","", INDEX(CS!$B$1:$B$12903,MATCH($A164,CS!$B:$B,0)+COLUMN(D$1),1))</f>
        <v/>
      </c>
      <c r="BB164" t="str">
        <f>IF($A164="","", INDEX(CS!$B$1:$B$12903,MATCH($A164,CS!$B:$B,0)+COLUMN(E$1),1))</f>
        <v/>
      </c>
      <c r="BC164" t="str">
        <f>IF($A164="","", INDEX(CS!$B$1:$B$12903,MATCH($A164,CS!$B:$B,0)+COLUMN(F$1),1))</f>
        <v/>
      </c>
      <c r="BD164" t="str">
        <f>IF($A164="","", INDEX(CS!$B$1:$B$12903,MATCH($A164,CS!$B:$B,0)+COLUMN(G$1),1))</f>
        <v/>
      </c>
      <c r="BE164" t="str">
        <f>IF($A164="","", INDEX(CS!$B$1:$B$12903,MATCH($A164,CS!$B:$B,0)+COLUMN(H$1),1))</f>
        <v/>
      </c>
      <c r="BF164" t="str">
        <f>IF($A164="","", INDEX(CS!$B$1:$B$12903,MATCH($A164,CS!$B:$B,0)+COLUMN(I$1),1))</f>
        <v/>
      </c>
      <c r="BG164" t="str">
        <f>IF($A164="","", INDEX(CS!$B$1:$B$12903,MATCH($A164,CS!$B:$B,0)+COLUMN(J$1),1))</f>
        <v/>
      </c>
    </row>
    <row r="165" spans="3:59" x14ac:dyDescent="0.4">
      <c r="C165" t="s">
        <v>193</v>
      </c>
      <c r="D165" t="str">
        <f t="shared" si="10"/>
        <v>0/0/0</v>
      </c>
      <c r="E165">
        <v>1</v>
      </c>
      <c r="AX165" t="str">
        <f>IF($A165="","", INDEX(CS!$B$1:$B$12903,MATCH($A165,CS!$B:$B,0)+COLUMN(A$1),1))</f>
        <v/>
      </c>
      <c r="AY165" t="str">
        <f>IF($A165="","", INDEX(CS!$B$1:$B$12903,MATCH($A165,CS!$B:$B,0)+COLUMN(B$1),1))</f>
        <v/>
      </c>
      <c r="AZ165" t="str">
        <f>IF($A165="","", INDEX(CS!$B$1:$B$12903,MATCH($A165,CS!$B:$B,0)+COLUMN(C$1),1))</f>
        <v/>
      </c>
      <c r="BA165" t="str">
        <f>IF($A165="","", INDEX(CS!$B$1:$B$12903,MATCH($A165,CS!$B:$B,0)+COLUMN(D$1),1))</f>
        <v/>
      </c>
      <c r="BB165" t="str">
        <f>IF($A165="","", INDEX(CS!$B$1:$B$12903,MATCH($A165,CS!$B:$B,0)+COLUMN(E$1),1))</f>
        <v/>
      </c>
      <c r="BC165" t="str">
        <f>IF($A165="","", INDEX(CS!$B$1:$B$12903,MATCH($A165,CS!$B:$B,0)+COLUMN(F$1),1))</f>
        <v/>
      </c>
      <c r="BD165" t="str">
        <f>IF($A165="","", INDEX(CS!$B$1:$B$12903,MATCH($A165,CS!$B:$B,0)+COLUMN(G$1),1))</f>
        <v/>
      </c>
      <c r="BE165" t="str">
        <f>IF($A165="","", INDEX(CS!$B$1:$B$12903,MATCH($A165,CS!$B:$B,0)+COLUMN(H$1),1))</f>
        <v/>
      </c>
      <c r="BF165" t="str">
        <f>IF($A165="","", INDEX(CS!$B$1:$B$12903,MATCH($A165,CS!$B:$B,0)+COLUMN(I$1),1))</f>
        <v/>
      </c>
      <c r="BG165" t="str">
        <f>IF($A165="","", INDEX(CS!$B$1:$B$12903,MATCH($A165,CS!$B:$B,0)+COLUMN(J$1),1))</f>
        <v/>
      </c>
    </row>
    <row r="166" spans="3:59" x14ac:dyDescent="0.4">
      <c r="C166" t="s">
        <v>193</v>
      </c>
      <c r="D166" t="str">
        <f t="shared" si="10"/>
        <v>0/0/0</v>
      </c>
      <c r="E166">
        <v>1</v>
      </c>
      <c r="AX166" t="str">
        <f>IF($A166="","", INDEX(CS!$B$1:$B$12903,MATCH($A166,CS!$B:$B,0)+COLUMN(A$1),1))</f>
        <v/>
      </c>
      <c r="AY166" t="str">
        <f>IF($A166="","", INDEX(CS!$B$1:$B$12903,MATCH($A166,CS!$B:$B,0)+COLUMN(B$1),1))</f>
        <v/>
      </c>
      <c r="AZ166" t="str">
        <f>IF($A166="","", INDEX(CS!$B$1:$B$12903,MATCH($A166,CS!$B:$B,0)+COLUMN(C$1),1))</f>
        <v/>
      </c>
      <c r="BA166" t="str">
        <f>IF($A166="","", INDEX(CS!$B$1:$B$12903,MATCH($A166,CS!$B:$B,0)+COLUMN(D$1),1))</f>
        <v/>
      </c>
      <c r="BB166" t="str">
        <f>IF($A166="","", INDEX(CS!$B$1:$B$12903,MATCH($A166,CS!$B:$B,0)+COLUMN(E$1),1))</f>
        <v/>
      </c>
      <c r="BC166" t="str">
        <f>IF($A166="","", INDEX(CS!$B$1:$B$12903,MATCH($A166,CS!$B:$B,0)+COLUMN(F$1),1))</f>
        <v/>
      </c>
      <c r="BD166" t="str">
        <f>IF($A166="","", INDEX(CS!$B$1:$B$12903,MATCH($A166,CS!$B:$B,0)+COLUMN(G$1),1))</f>
        <v/>
      </c>
      <c r="BE166" t="str">
        <f>IF($A166="","", INDEX(CS!$B$1:$B$12903,MATCH($A166,CS!$B:$B,0)+COLUMN(H$1),1))</f>
        <v/>
      </c>
      <c r="BF166" t="str">
        <f>IF($A166="","", INDEX(CS!$B$1:$B$12903,MATCH($A166,CS!$B:$B,0)+COLUMN(I$1),1))</f>
        <v/>
      </c>
      <c r="BG166" t="str">
        <f>IF($A166="","", INDEX(CS!$B$1:$B$12903,MATCH($A166,CS!$B:$B,0)+COLUMN(J$1),1))</f>
        <v/>
      </c>
    </row>
    <row r="167" spans="3:59" x14ac:dyDescent="0.4">
      <c r="C167" t="s">
        <v>193</v>
      </c>
      <c r="D167" t="str">
        <f t="shared" si="10"/>
        <v>0/0/0</v>
      </c>
      <c r="E167">
        <v>1</v>
      </c>
      <c r="AX167" t="str">
        <f>IF($A167="","", INDEX(CS!$B$1:$B$12903,MATCH($A167,CS!$B:$B,0)+COLUMN(A$1),1))</f>
        <v/>
      </c>
      <c r="AY167" t="str">
        <f>IF($A167="","", INDEX(CS!$B$1:$B$12903,MATCH($A167,CS!$B:$B,0)+COLUMN(B$1),1))</f>
        <v/>
      </c>
      <c r="AZ167" t="str">
        <f>IF($A167="","", INDEX(CS!$B$1:$B$12903,MATCH($A167,CS!$B:$B,0)+COLUMN(C$1),1))</f>
        <v/>
      </c>
      <c r="BA167" t="str">
        <f>IF($A167="","", INDEX(CS!$B$1:$B$12903,MATCH($A167,CS!$B:$B,0)+COLUMN(D$1),1))</f>
        <v/>
      </c>
      <c r="BB167" t="str">
        <f>IF($A167="","", INDEX(CS!$B$1:$B$12903,MATCH($A167,CS!$B:$B,0)+COLUMN(E$1),1))</f>
        <v/>
      </c>
      <c r="BC167" t="str">
        <f>IF($A167="","", INDEX(CS!$B$1:$B$12903,MATCH($A167,CS!$B:$B,0)+COLUMN(F$1),1))</f>
        <v/>
      </c>
      <c r="BD167" t="str">
        <f>IF($A167="","", INDEX(CS!$B$1:$B$12903,MATCH($A167,CS!$B:$B,0)+COLUMN(G$1),1))</f>
        <v/>
      </c>
      <c r="BE167" t="str">
        <f>IF($A167="","", INDEX(CS!$B$1:$B$12903,MATCH($A167,CS!$B:$B,0)+COLUMN(H$1),1))</f>
        <v/>
      </c>
      <c r="BF167" t="str">
        <f>IF($A167="","", INDEX(CS!$B$1:$B$12903,MATCH($A167,CS!$B:$B,0)+COLUMN(I$1),1))</f>
        <v/>
      </c>
      <c r="BG167" t="str">
        <f>IF($A167="","", INDEX(CS!$B$1:$B$12903,MATCH($A167,CS!$B:$B,0)+COLUMN(J$1),1))</f>
        <v/>
      </c>
    </row>
    <row r="168" spans="3:59" x14ac:dyDescent="0.4">
      <c r="C168" t="s">
        <v>193</v>
      </c>
      <c r="D168" t="str">
        <f t="shared" si="10"/>
        <v>0/0/0</v>
      </c>
      <c r="E168">
        <v>1</v>
      </c>
      <c r="AX168" t="str">
        <f>IF($A168="","", INDEX(CS!$B$1:$B$12903,MATCH($A168,CS!$B:$B,0)+COLUMN(A$1),1))</f>
        <v/>
      </c>
      <c r="AY168" t="str">
        <f>IF($A168="","", INDEX(CS!$B$1:$B$12903,MATCH($A168,CS!$B:$B,0)+COLUMN(B$1),1))</f>
        <v/>
      </c>
      <c r="AZ168" t="str">
        <f>IF($A168="","", INDEX(CS!$B$1:$B$12903,MATCH($A168,CS!$B:$B,0)+COLUMN(C$1),1))</f>
        <v/>
      </c>
      <c r="BA168" t="str">
        <f>IF($A168="","", INDEX(CS!$B$1:$B$12903,MATCH($A168,CS!$B:$B,0)+COLUMN(D$1),1))</f>
        <v/>
      </c>
      <c r="BB168" t="str">
        <f>IF($A168="","", INDEX(CS!$B$1:$B$12903,MATCH($A168,CS!$B:$B,0)+COLUMN(E$1),1))</f>
        <v/>
      </c>
      <c r="BC168" t="str">
        <f>IF($A168="","", INDEX(CS!$B$1:$B$12903,MATCH($A168,CS!$B:$B,0)+COLUMN(F$1),1))</f>
        <v/>
      </c>
      <c r="BD168" t="str">
        <f>IF($A168="","", INDEX(CS!$B$1:$B$12903,MATCH($A168,CS!$B:$B,0)+COLUMN(G$1),1))</f>
        <v/>
      </c>
      <c r="BE168" t="str">
        <f>IF($A168="","", INDEX(CS!$B$1:$B$12903,MATCH($A168,CS!$B:$B,0)+COLUMN(H$1),1))</f>
        <v/>
      </c>
      <c r="BF168" t="str">
        <f>IF($A168="","", INDEX(CS!$B$1:$B$12903,MATCH($A168,CS!$B:$B,0)+COLUMN(I$1),1))</f>
        <v/>
      </c>
      <c r="BG168" t="str">
        <f>IF($A168="","", INDEX(CS!$B$1:$B$12903,MATCH($A168,CS!$B:$B,0)+COLUMN(J$1),1))</f>
        <v/>
      </c>
    </row>
    <row r="169" spans="3:59" x14ac:dyDescent="0.4">
      <c r="C169" t="s">
        <v>193</v>
      </c>
      <c r="D169" t="str">
        <f t="shared" si="10"/>
        <v>0/0/0</v>
      </c>
      <c r="E169">
        <v>1</v>
      </c>
      <c r="AX169" t="str">
        <f>IF($A169="","", INDEX(CS!$B$1:$B$12903,MATCH($A169,CS!$B:$B,0)+COLUMN(A$1),1))</f>
        <v/>
      </c>
      <c r="AY169" t="str">
        <f>IF($A169="","", INDEX(CS!$B$1:$B$12903,MATCH($A169,CS!$B:$B,0)+COLUMN(B$1),1))</f>
        <v/>
      </c>
      <c r="AZ169" t="str">
        <f>IF($A169="","", INDEX(CS!$B$1:$B$12903,MATCH($A169,CS!$B:$B,0)+COLUMN(C$1),1))</f>
        <v/>
      </c>
      <c r="BA169" t="str">
        <f>IF($A169="","", INDEX(CS!$B$1:$B$12903,MATCH($A169,CS!$B:$B,0)+COLUMN(D$1),1))</f>
        <v/>
      </c>
      <c r="BB169" t="str">
        <f>IF($A169="","", INDEX(CS!$B$1:$B$12903,MATCH($A169,CS!$B:$B,0)+COLUMN(E$1),1))</f>
        <v/>
      </c>
      <c r="BC169" t="str">
        <f>IF($A169="","", INDEX(CS!$B$1:$B$12903,MATCH($A169,CS!$B:$B,0)+COLUMN(F$1),1))</f>
        <v/>
      </c>
      <c r="BD169" t="str">
        <f>IF($A169="","", INDEX(CS!$B$1:$B$12903,MATCH($A169,CS!$B:$B,0)+COLUMN(G$1),1))</f>
        <v/>
      </c>
      <c r="BE169" t="str">
        <f>IF($A169="","", INDEX(CS!$B$1:$B$12903,MATCH($A169,CS!$B:$B,0)+COLUMN(H$1),1))</f>
        <v/>
      </c>
      <c r="BF169" t="str">
        <f>IF($A169="","", INDEX(CS!$B$1:$B$12903,MATCH($A169,CS!$B:$B,0)+COLUMN(I$1),1))</f>
        <v/>
      </c>
      <c r="BG169" t="str">
        <f>IF($A169="","", INDEX(CS!$B$1:$B$12903,MATCH($A169,CS!$B:$B,0)+COLUMN(J$1),1))</f>
        <v/>
      </c>
    </row>
    <row r="170" spans="3:59" x14ac:dyDescent="0.4">
      <c r="C170" t="s">
        <v>193</v>
      </c>
      <c r="D170" t="str">
        <f t="shared" si="10"/>
        <v>0/0/0</v>
      </c>
      <c r="E170">
        <v>1</v>
      </c>
      <c r="AX170" t="str">
        <f>IF($A170="","", INDEX(CS!$B$1:$B$12903,MATCH($A170,CS!$B:$B,0)+COLUMN(A$1),1))</f>
        <v/>
      </c>
      <c r="AY170" t="str">
        <f>IF($A170="","", INDEX(CS!$B$1:$B$12903,MATCH($A170,CS!$B:$B,0)+COLUMN(B$1),1))</f>
        <v/>
      </c>
      <c r="AZ170" t="str">
        <f>IF($A170="","", INDEX(CS!$B$1:$B$12903,MATCH($A170,CS!$B:$B,0)+COLUMN(C$1),1))</f>
        <v/>
      </c>
      <c r="BA170" t="str">
        <f>IF($A170="","", INDEX(CS!$B$1:$B$12903,MATCH($A170,CS!$B:$B,0)+COLUMN(D$1),1))</f>
        <v/>
      </c>
      <c r="BB170" t="str">
        <f>IF($A170="","", INDEX(CS!$B$1:$B$12903,MATCH($A170,CS!$B:$B,0)+COLUMN(E$1),1))</f>
        <v/>
      </c>
      <c r="BC170" t="str">
        <f>IF($A170="","", INDEX(CS!$B$1:$B$12903,MATCH($A170,CS!$B:$B,0)+COLUMN(F$1),1))</f>
        <v/>
      </c>
      <c r="BD170" t="str">
        <f>IF($A170="","", INDEX(CS!$B$1:$B$12903,MATCH($A170,CS!$B:$B,0)+COLUMN(G$1),1))</f>
        <v/>
      </c>
      <c r="BE170" t="str">
        <f>IF($A170="","", INDEX(CS!$B$1:$B$12903,MATCH($A170,CS!$B:$B,0)+COLUMN(H$1),1))</f>
        <v/>
      </c>
      <c r="BF170" t="str">
        <f>IF($A170="","", INDEX(CS!$B$1:$B$12903,MATCH($A170,CS!$B:$B,0)+COLUMN(I$1),1))</f>
        <v/>
      </c>
      <c r="BG170" t="str">
        <f>IF($A170="","", INDEX(CS!$B$1:$B$12903,MATCH($A170,CS!$B:$B,0)+COLUMN(J$1),1))</f>
        <v/>
      </c>
    </row>
    <row r="171" spans="3:59" x14ac:dyDescent="0.4">
      <c r="C171" t="s">
        <v>193</v>
      </c>
      <c r="D171" t="str">
        <f t="shared" si="10"/>
        <v>0/0/0</v>
      </c>
      <c r="E171">
        <v>1</v>
      </c>
      <c r="AX171" t="str">
        <f>IF($A171="","", INDEX(CS!$B$1:$B$12903,MATCH($A171,CS!$B:$B,0)+COLUMN(A$1),1))</f>
        <v/>
      </c>
      <c r="AY171" t="str">
        <f>IF($A171="","", INDEX(CS!$B$1:$B$12903,MATCH($A171,CS!$B:$B,0)+COLUMN(B$1),1))</f>
        <v/>
      </c>
      <c r="AZ171" t="str">
        <f>IF($A171="","", INDEX(CS!$B$1:$B$12903,MATCH($A171,CS!$B:$B,0)+COLUMN(C$1),1))</f>
        <v/>
      </c>
      <c r="BA171" t="str">
        <f>IF($A171="","", INDEX(CS!$B$1:$B$12903,MATCH($A171,CS!$B:$B,0)+COLUMN(D$1),1))</f>
        <v/>
      </c>
      <c r="BB171" t="str">
        <f>IF($A171="","", INDEX(CS!$B$1:$B$12903,MATCH($A171,CS!$B:$B,0)+COLUMN(E$1),1))</f>
        <v/>
      </c>
      <c r="BC171" t="str">
        <f>IF($A171="","", INDEX(CS!$B$1:$B$12903,MATCH($A171,CS!$B:$B,0)+COLUMN(F$1),1))</f>
        <v/>
      </c>
      <c r="BD171" t="str">
        <f>IF($A171="","", INDEX(CS!$B$1:$B$12903,MATCH($A171,CS!$B:$B,0)+COLUMN(G$1),1))</f>
        <v/>
      </c>
      <c r="BE171" t="str">
        <f>IF($A171="","", INDEX(CS!$B$1:$B$12903,MATCH($A171,CS!$B:$B,0)+COLUMN(H$1),1))</f>
        <v/>
      </c>
      <c r="BF171" t="str">
        <f>IF($A171="","", INDEX(CS!$B$1:$B$12903,MATCH($A171,CS!$B:$B,0)+COLUMN(I$1),1))</f>
        <v/>
      </c>
      <c r="BG171" t="str">
        <f>IF($A171="","", INDEX(CS!$B$1:$B$12903,MATCH($A171,CS!$B:$B,0)+COLUMN(J$1),1))</f>
        <v/>
      </c>
    </row>
    <row r="172" spans="3:59" x14ac:dyDescent="0.4">
      <c r="C172" t="s">
        <v>193</v>
      </c>
      <c r="D172" t="str">
        <f t="shared" si="10"/>
        <v>0/0/0</v>
      </c>
      <c r="E172">
        <v>1</v>
      </c>
      <c r="AX172" t="str">
        <f>IF($A172="","", INDEX(CS!$B$1:$B$12903,MATCH($A172,CS!$B:$B,0)+COLUMN(A$1),1))</f>
        <v/>
      </c>
      <c r="AY172" t="str">
        <f>IF($A172="","", INDEX(CS!$B$1:$B$12903,MATCH($A172,CS!$B:$B,0)+COLUMN(B$1),1))</f>
        <v/>
      </c>
      <c r="AZ172" t="str">
        <f>IF($A172="","", INDEX(CS!$B$1:$B$12903,MATCH($A172,CS!$B:$B,0)+COLUMN(C$1),1))</f>
        <v/>
      </c>
      <c r="BA172" t="str">
        <f>IF($A172="","", INDEX(CS!$B$1:$B$12903,MATCH($A172,CS!$B:$B,0)+COLUMN(D$1),1))</f>
        <v/>
      </c>
      <c r="BB172" t="str">
        <f>IF($A172="","", INDEX(CS!$B$1:$B$12903,MATCH($A172,CS!$B:$B,0)+COLUMN(E$1),1))</f>
        <v/>
      </c>
      <c r="BC172" t="str">
        <f>IF($A172="","", INDEX(CS!$B$1:$B$12903,MATCH($A172,CS!$B:$B,0)+COLUMN(F$1),1))</f>
        <v/>
      </c>
      <c r="BD172" t="str">
        <f>IF($A172="","", INDEX(CS!$B$1:$B$12903,MATCH($A172,CS!$B:$B,0)+COLUMN(G$1),1))</f>
        <v/>
      </c>
      <c r="BE172" t="str">
        <f>IF($A172="","", INDEX(CS!$B$1:$B$12903,MATCH($A172,CS!$B:$B,0)+COLUMN(H$1),1))</f>
        <v/>
      </c>
      <c r="BF172" t="str">
        <f>IF($A172="","", INDEX(CS!$B$1:$B$12903,MATCH($A172,CS!$B:$B,0)+COLUMN(I$1),1))</f>
        <v/>
      </c>
      <c r="BG172" t="str">
        <f>IF($A172="","", INDEX(CS!$B$1:$B$12903,MATCH($A172,CS!$B:$B,0)+COLUMN(J$1),1))</f>
        <v/>
      </c>
    </row>
    <row r="173" spans="3:59" x14ac:dyDescent="0.4">
      <c r="C173" t="s">
        <v>193</v>
      </c>
      <c r="D173" t="str">
        <f t="shared" si="10"/>
        <v>0/0/0</v>
      </c>
      <c r="E173">
        <v>1</v>
      </c>
      <c r="AX173" t="str">
        <f>IF($A173="","", INDEX(CS!$B$1:$B$12903,MATCH($A173,CS!$B:$B,0)+COLUMN(A$1),1))</f>
        <v/>
      </c>
      <c r="AY173" t="str">
        <f>IF($A173="","", INDEX(CS!$B$1:$B$12903,MATCH($A173,CS!$B:$B,0)+COLUMN(B$1),1))</f>
        <v/>
      </c>
      <c r="AZ173" t="str">
        <f>IF($A173="","", INDEX(CS!$B$1:$B$12903,MATCH($A173,CS!$B:$B,0)+COLUMN(C$1),1))</f>
        <v/>
      </c>
      <c r="BA173" t="str">
        <f>IF($A173="","", INDEX(CS!$B$1:$B$12903,MATCH($A173,CS!$B:$B,0)+COLUMN(D$1),1))</f>
        <v/>
      </c>
      <c r="BB173" t="str">
        <f>IF($A173="","", INDEX(CS!$B$1:$B$12903,MATCH($A173,CS!$B:$B,0)+COLUMN(E$1),1))</f>
        <v/>
      </c>
      <c r="BC173" t="str">
        <f>IF($A173="","", INDEX(CS!$B$1:$B$12903,MATCH($A173,CS!$B:$B,0)+COLUMN(F$1),1))</f>
        <v/>
      </c>
      <c r="BD173" t="str">
        <f>IF($A173="","", INDEX(CS!$B$1:$B$12903,MATCH($A173,CS!$B:$B,0)+COLUMN(G$1),1))</f>
        <v/>
      </c>
      <c r="BE173" t="str">
        <f>IF($A173="","", INDEX(CS!$B$1:$B$12903,MATCH($A173,CS!$B:$B,0)+COLUMN(H$1),1))</f>
        <v/>
      </c>
      <c r="BF173" t="str">
        <f>IF($A173="","", INDEX(CS!$B$1:$B$12903,MATCH($A173,CS!$B:$B,0)+COLUMN(I$1),1))</f>
        <v/>
      </c>
      <c r="BG173" t="str">
        <f>IF($A173="","", INDEX(CS!$B$1:$B$12903,MATCH($A173,CS!$B:$B,0)+COLUMN(J$1),1))</f>
        <v/>
      </c>
    </row>
    <row r="174" spans="3:59" x14ac:dyDescent="0.4">
      <c r="C174" t="s">
        <v>193</v>
      </c>
      <c r="D174" t="str">
        <f t="shared" si="10"/>
        <v>0/0/0</v>
      </c>
      <c r="E174">
        <v>1</v>
      </c>
      <c r="AX174" t="str">
        <f>IF($A174="","", INDEX(CS!$B$1:$B$12903,MATCH($A174,CS!$B:$B,0)+COLUMN(A$1),1))</f>
        <v/>
      </c>
      <c r="AY174" t="str">
        <f>IF($A174="","", INDEX(CS!$B$1:$B$12903,MATCH($A174,CS!$B:$B,0)+COLUMN(B$1),1))</f>
        <v/>
      </c>
      <c r="AZ174" t="str">
        <f>IF($A174="","", INDEX(CS!$B$1:$B$12903,MATCH($A174,CS!$B:$B,0)+COLUMN(C$1),1))</f>
        <v/>
      </c>
      <c r="BA174" t="str">
        <f>IF($A174="","", INDEX(CS!$B$1:$B$12903,MATCH($A174,CS!$B:$B,0)+COLUMN(D$1),1))</f>
        <v/>
      </c>
      <c r="BB174" t="str">
        <f>IF($A174="","", INDEX(CS!$B$1:$B$12903,MATCH($A174,CS!$B:$B,0)+COLUMN(E$1),1))</f>
        <v/>
      </c>
      <c r="BC174" t="str">
        <f>IF($A174="","", INDEX(CS!$B$1:$B$12903,MATCH($A174,CS!$B:$B,0)+COLUMN(F$1),1))</f>
        <v/>
      </c>
      <c r="BD174" t="str">
        <f>IF($A174="","", INDEX(CS!$B$1:$B$12903,MATCH($A174,CS!$B:$B,0)+COLUMN(G$1),1))</f>
        <v/>
      </c>
      <c r="BE174" t="str">
        <f>IF($A174="","", INDEX(CS!$B$1:$B$12903,MATCH($A174,CS!$B:$B,0)+COLUMN(H$1),1))</f>
        <v/>
      </c>
      <c r="BF174" t="str">
        <f>IF($A174="","", INDEX(CS!$B$1:$B$12903,MATCH($A174,CS!$B:$B,0)+COLUMN(I$1),1))</f>
        <v/>
      </c>
      <c r="BG174" t="str">
        <f>IF($A174="","", INDEX(CS!$B$1:$B$12903,MATCH($A174,CS!$B:$B,0)+COLUMN(J$1),1))</f>
        <v/>
      </c>
    </row>
    <row r="175" spans="3:59" x14ac:dyDescent="0.4">
      <c r="C175" t="s">
        <v>193</v>
      </c>
      <c r="D175" t="str">
        <f t="shared" si="10"/>
        <v>0/0/0</v>
      </c>
      <c r="E175">
        <v>1</v>
      </c>
      <c r="AX175" t="str">
        <f>IF($A175="","", INDEX(CS!$B$1:$B$12903,MATCH($A175,CS!$B:$B,0)+COLUMN(A$1),1))</f>
        <v/>
      </c>
      <c r="AY175" t="str">
        <f>IF($A175="","", INDEX(CS!$B$1:$B$12903,MATCH($A175,CS!$B:$B,0)+COLUMN(B$1),1))</f>
        <v/>
      </c>
      <c r="AZ175" t="str">
        <f>IF($A175="","", INDEX(CS!$B$1:$B$12903,MATCH($A175,CS!$B:$B,0)+COLUMN(C$1),1))</f>
        <v/>
      </c>
      <c r="BA175" t="str">
        <f>IF($A175="","", INDEX(CS!$B$1:$B$12903,MATCH($A175,CS!$B:$B,0)+COLUMN(D$1),1))</f>
        <v/>
      </c>
      <c r="BB175" t="str">
        <f>IF($A175="","", INDEX(CS!$B$1:$B$12903,MATCH($A175,CS!$B:$B,0)+COLUMN(E$1),1))</f>
        <v/>
      </c>
      <c r="BC175" t="str">
        <f>IF($A175="","", INDEX(CS!$B$1:$B$12903,MATCH($A175,CS!$B:$B,0)+COLUMN(F$1),1))</f>
        <v/>
      </c>
      <c r="BD175" t="str">
        <f>IF($A175="","", INDEX(CS!$B$1:$B$12903,MATCH($A175,CS!$B:$B,0)+COLUMN(G$1),1))</f>
        <v/>
      </c>
      <c r="BE175" t="str">
        <f>IF($A175="","", INDEX(CS!$B$1:$B$12903,MATCH($A175,CS!$B:$B,0)+COLUMN(H$1),1))</f>
        <v/>
      </c>
      <c r="BF175" t="str">
        <f>IF($A175="","", INDEX(CS!$B$1:$B$12903,MATCH($A175,CS!$B:$B,0)+COLUMN(I$1),1))</f>
        <v/>
      </c>
      <c r="BG175" t="str">
        <f>IF($A175="","", INDEX(CS!$B$1:$B$12903,MATCH($A175,CS!$B:$B,0)+COLUMN(J$1),1))</f>
        <v/>
      </c>
    </row>
    <row r="176" spans="3:59" x14ac:dyDescent="0.4">
      <c r="C176" t="s">
        <v>193</v>
      </c>
      <c r="D176" t="str">
        <f t="shared" si="10"/>
        <v>0/0/0</v>
      </c>
      <c r="E176">
        <v>1</v>
      </c>
      <c r="AX176" t="str">
        <f>IF($A176="","", INDEX(CS!$B$1:$B$12903,MATCH($A176,CS!$B:$B,0)+COLUMN(A$1),1))</f>
        <v/>
      </c>
      <c r="AY176" t="str">
        <f>IF($A176="","", INDEX(CS!$B$1:$B$12903,MATCH($A176,CS!$B:$B,0)+COLUMN(B$1),1))</f>
        <v/>
      </c>
      <c r="AZ176" t="str">
        <f>IF($A176="","", INDEX(CS!$B$1:$B$12903,MATCH($A176,CS!$B:$B,0)+COLUMN(C$1),1))</f>
        <v/>
      </c>
      <c r="BA176" t="str">
        <f>IF($A176="","", INDEX(CS!$B$1:$B$12903,MATCH($A176,CS!$B:$B,0)+COLUMN(D$1),1))</f>
        <v/>
      </c>
      <c r="BB176" t="str">
        <f>IF($A176="","", INDEX(CS!$B$1:$B$12903,MATCH($A176,CS!$B:$B,0)+COLUMN(E$1),1))</f>
        <v/>
      </c>
      <c r="BC176" t="str">
        <f>IF($A176="","", INDEX(CS!$B$1:$B$12903,MATCH($A176,CS!$B:$B,0)+COLUMN(F$1),1))</f>
        <v/>
      </c>
      <c r="BD176" t="str">
        <f>IF($A176="","", INDEX(CS!$B$1:$B$12903,MATCH($A176,CS!$B:$B,0)+COLUMN(G$1),1))</f>
        <v/>
      </c>
      <c r="BE176" t="str">
        <f>IF($A176="","", INDEX(CS!$B$1:$B$12903,MATCH($A176,CS!$B:$B,0)+COLUMN(H$1),1))</f>
        <v/>
      </c>
      <c r="BF176" t="str">
        <f>IF($A176="","", INDEX(CS!$B$1:$B$12903,MATCH($A176,CS!$B:$B,0)+COLUMN(I$1),1))</f>
        <v/>
      </c>
      <c r="BG176" t="str">
        <f>IF($A176="","", INDEX(CS!$B$1:$B$12903,MATCH($A176,CS!$B:$B,0)+COLUMN(J$1),1))</f>
        <v/>
      </c>
    </row>
    <row r="177" spans="3:59" x14ac:dyDescent="0.4">
      <c r="C177" t="s">
        <v>193</v>
      </c>
      <c r="D177" t="str">
        <f t="shared" si="10"/>
        <v>0/0/0</v>
      </c>
      <c r="E177">
        <v>1</v>
      </c>
      <c r="AX177" t="str">
        <f>IF($A177="","", INDEX(CS!$B$1:$B$12903,MATCH($A177,CS!$B:$B,0)+COLUMN(A$1),1))</f>
        <v/>
      </c>
      <c r="AY177" t="str">
        <f>IF($A177="","", INDEX(CS!$B$1:$B$12903,MATCH($A177,CS!$B:$B,0)+COLUMN(B$1),1))</f>
        <v/>
      </c>
      <c r="AZ177" t="str">
        <f>IF($A177="","", INDEX(CS!$B$1:$B$12903,MATCH($A177,CS!$B:$B,0)+COLUMN(C$1),1))</f>
        <v/>
      </c>
      <c r="BA177" t="str">
        <f>IF($A177="","", INDEX(CS!$B$1:$B$12903,MATCH($A177,CS!$B:$B,0)+COLUMN(D$1),1))</f>
        <v/>
      </c>
      <c r="BB177" t="str">
        <f>IF($A177="","", INDEX(CS!$B$1:$B$12903,MATCH($A177,CS!$B:$B,0)+COLUMN(E$1),1))</f>
        <v/>
      </c>
      <c r="BC177" t="str">
        <f>IF($A177="","", INDEX(CS!$B$1:$B$12903,MATCH($A177,CS!$B:$B,0)+COLUMN(F$1),1))</f>
        <v/>
      </c>
      <c r="BD177" t="str">
        <f>IF($A177="","", INDEX(CS!$B$1:$B$12903,MATCH($A177,CS!$B:$B,0)+COLUMN(G$1),1))</f>
        <v/>
      </c>
      <c r="BE177" t="str">
        <f>IF($A177="","", INDEX(CS!$B$1:$B$12903,MATCH($A177,CS!$B:$B,0)+COLUMN(H$1),1))</f>
        <v/>
      </c>
      <c r="BF177" t="str">
        <f>IF($A177="","", INDEX(CS!$B$1:$B$12903,MATCH($A177,CS!$B:$B,0)+COLUMN(I$1),1))</f>
        <v/>
      </c>
      <c r="BG177" t="str">
        <f>IF($A177="","", INDEX(CS!$B$1:$B$12903,MATCH($A177,CS!$B:$B,0)+COLUMN(J$1),1))</f>
        <v/>
      </c>
    </row>
    <row r="178" spans="3:59" x14ac:dyDescent="0.4">
      <c r="C178" t="s">
        <v>193</v>
      </c>
      <c r="D178" t="str">
        <f t="shared" si="10"/>
        <v>0/0/0</v>
      </c>
      <c r="E178">
        <v>1</v>
      </c>
      <c r="AX178" t="str">
        <f>IF($A178="","", INDEX(CS!$B$1:$B$12903,MATCH($A178,CS!$B:$B,0)+COLUMN(A$1),1))</f>
        <v/>
      </c>
      <c r="AY178" t="str">
        <f>IF($A178="","", INDEX(CS!$B$1:$B$12903,MATCH($A178,CS!$B:$B,0)+COLUMN(B$1),1))</f>
        <v/>
      </c>
      <c r="AZ178" t="str">
        <f>IF($A178="","", INDEX(CS!$B$1:$B$12903,MATCH($A178,CS!$B:$B,0)+COLUMN(C$1),1))</f>
        <v/>
      </c>
      <c r="BA178" t="str">
        <f>IF($A178="","", INDEX(CS!$B$1:$B$12903,MATCH($A178,CS!$B:$B,0)+COLUMN(D$1),1))</f>
        <v/>
      </c>
      <c r="BB178" t="str">
        <f>IF($A178="","", INDEX(CS!$B$1:$B$12903,MATCH($A178,CS!$B:$B,0)+COLUMN(E$1),1))</f>
        <v/>
      </c>
      <c r="BC178" t="str">
        <f>IF($A178="","", INDEX(CS!$B$1:$B$12903,MATCH($A178,CS!$B:$B,0)+COLUMN(F$1),1))</f>
        <v/>
      </c>
      <c r="BD178" t="str">
        <f>IF($A178="","", INDEX(CS!$B$1:$B$12903,MATCH($A178,CS!$B:$B,0)+COLUMN(G$1),1))</f>
        <v/>
      </c>
      <c r="BE178" t="str">
        <f>IF($A178="","", INDEX(CS!$B$1:$B$12903,MATCH($A178,CS!$B:$B,0)+COLUMN(H$1),1))</f>
        <v/>
      </c>
      <c r="BF178" t="str">
        <f>IF($A178="","", INDEX(CS!$B$1:$B$12903,MATCH($A178,CS!$B:$B,0)+COLUMN(I$1),1))</f>
        <v/>
      </c>
      <c r="BG178" t="str">
        <f>IF($A178="","", INDEX(CS!$B$1:$B$12903,MATCH($A178,CS!$B:$B,0)+COLUMN(J$1),1))</f>
        <v/>
      </c>
    </row>
    <row r="179" spans="3:59" x14ac:dyDescent="0.4">
      <c r="C179" t="s">
        <v>193</v>
      </c>
      <c r="D179" t="str">
        <f t="shared" si="10"/>
        <v>0/0/0</v>
      </c>
      <c r="E179">
        <v>1</v>
      </c>
      <c r="AX179" t="str">
        <f>IF($A179="","", INDEX(CS!$B$1:$B$12903,MATCH($A179,CS!$B:$B,0)+COLUMN(A$1),1))</f>
        <v/>
      </c>
      <c r="AY179" t="str">
        <f>IF($A179="","", INDEX(CS!$B$1:$B$12903,MATCH($A179,CS!$B:$B,0)+COLUMN(B$1),1))</f>
        <v/>
      </c>
      <c r="AZ179" t="str">
        <f>IF($A179="","", INDEX(CS!$B$1:$B$12903,MATCH($A179,CS!$B:$B,0)+COLUMN(C$1),1))</f>
        <v/>
      </c>
      <c r="BA179" t="str">
        <f>IF($A179="","", INDEX(CS!$B$1:$B$12903,MATCH($A179,CS!$B:$B,0)+COLUMN(D$1),1))</f>
        <v/>
      </c>
      <c r="BB179" t="str">
        <f>IF($A179="","", INDEX(CS!$B$1:$B$12903,MATCH($A179,CS!$B:$B,0)+COLUMN(E$1),1))</f>
        <v/>
      </c>
      <c r="BC179" t="str">
        <f>IF($A179="","", INDEX(CS!$B$1:$B$12903,MATCH($A179,CS!$B:$B,0)+COLUMN(F$1),1))</f>
        <v/>
      </c>
      <c r="BD179" t="str">
        <f>IF($A179="","", INDEX(CS!$B$1:$B$12903,MATCH($A179,CS!$B:$B,0)+COLUMN(G$1),1))</f>
        <v/>
      </c>
      <c r="BE179" t="str">
        <f>IF($A179="","", INDEX(CS!$B$1:$B$12903,MATCH($A179,CS!$B:$B,0)+COLUMN(H$1),1))</f>
        <v/>
      </c>
      <c r="BF179" t="str">
        <f>IF($A179="","", INDEX(CS!$B$1:$B$12903,MATCH($A179,CS!$B:$B,0)+COLUMN(I$1),1))</f>
        <v/>
      </c>
      <c r="BG179" t="str">
        <f>IF($A179="","", INDEX(CS!$B$1:$B$12903,MATCH($A179,CS!$B:$B,0)+COLUMN(J$1),1))</f>
        <v/>
      </c>
    </row>
    <row r="180" spans="3:59" x14ac:dyDescent="0.4">
      <c r="C180" t="s">
        <v>193</v>
      </c>
      <c r="D180" t="str">
        <f t="shared" si="10"/>
        <v>0/0/0</v>
      </c>
      <c r="E180">
        <v>1</v>
      </c>
      <c r="AX180" t="str">
        <f>IF($A180="","", INDEX(CS!$B$1:$B$12903,MATCH($A180,CS!$B:$B,0)+COLUMN(A$1),1))</f>
        <v/>
      </c>
      <c r="AY180" t="str">
        <f>IF($A180="","", INDEX(CS!$B$1:$B$12903,MATCH($A180,CS!$B:$B,0)+COLUMN(B$1),1))</f>
        <v/>
      </c>
      <c r="AZ180" t="str">
        <f>IF($A180="","", INDEX(CS!$B$1:$B$12903,MATCH($A180,CS!$B:$B,0)+COLUMN(C$1),1))</f>
        <v/>
      </c>
      <c r="BA180" t="str">
        <f>IF($A180="","", INDEX(CS!$B$1:$B$12903,MATCH($A180,CS!$B:$B,0)+COLUMN(D$1),1))</f>
        <v/>
      </c>
      <c r="BB180" t="str">
        <f>IF($A180="","", INDEX(CS!$B$1:$B$12903,MATCH($A180,CS!$B:$B,0)+COLUMN(E$1),1))</f>
        <v/>
      </c>
      <c r="BC180" t="str">
        <f>IF($A180="","", INDEX(CS!$B$1:$B$12903,MATCH($A180,CS!$B:$B,0)+COLUMN(F$1),1))</f>
        <v/>
      </c>
      <c r="BD180" t="str">
        <f>IF($A180="","", INDEX(CS!$B$1:$B$12903,MATCH($A180,CS!$B:$B,0)+COLUMN(G$1),1))</f>
        <v/>
      </c>
      <c r="BE180" t="str">
        <f>IF($A180="","", INDEX(CS!$B$1:$B$12903,MATCH($A180,CS!$B:$B,0)+COLUMN(H$1),1))</f>
        <v/>
      </c>
      <c r="BF180" t="str">
        <f>IF($A180="","", INDEX(CS!$B$1:$B$12903,MATCH($A180,CS!$B:$B,0)+COLUMN(I$1),1))</f>
        <v/>
      </c>
      <c r="BG180" t="str">
        <f>IF($A180="","", INDEX(CS!$B$1:$B$12903,MATCH($A180,CS!$B:$B,0)+COLUMN(J$1),1))</f>
        <v/>
      </c>
    </row>
    <row r="181" spans="3:59" x14ac:dyDescent="0.4">
      <c r="C181" t="s">
        <v>193</v>
      </c>
      <c r="D181" t="str">
        <f t="shared" si="10"/>
        <v>0/0/0</v>
      </c>
      <c r="E181">
        <v>1</v>
      </c>
      <c r="AX181" t="str">
        <f>IF($A181="","", INDEX(CS!$B$1:$B$12903,MATCH($A181,CS!$B:$B,0)+COLUMN(A$1),1))</f>
        <v/>
      </c>
      <c r="AY181" t="str">
        <f>IF($A181="","", INDEX(CS!$B$1:$B$12903,MATCH($A181,CS!$B:$B,0)+COLUMN(B$1),1))</f>
        <v/>
      </c>
      <c r="AZ181" t="str">
        <f>IF($A181="","", INDEX(CS!$B$1:$B$12903,MATCH($A181,CS!$B:$B,0)+COLUMN(C$1),1))</f>
        <v/>
      </c>
      <c r="BA181" t="str">
        <f>IF($A181="","", INDEX(CS!$B$1:$B$12903,MATCH($A181,CS!$B:$B,0)+COLUMN(D$1),1))</f>
        <v/>
      </c>
      <c r="BB181" t="str">
        <f>IF($A181="","", INDEX(CS!$B$1:$B$12903,MATCH($A181,CS!$B:$B,0)+COLUMN(E$1),1))</f>
        <v/>
      </c>
      <c r="BC181" t="str">
        <f>IF($A181="","", INDEX(CS!$B$1:$B$12903,MATCH($A181,CS!$B:$B,0)+COLUMN(F$1),1))</f>
        <v/>
      </c>
      <c r="BD181" t="str">
        <f>IF($A181="","", INDEX(CS!$B$1:$B$12903,MATCH($A181,CS!$B:$B,0)+COLUMN(G$1),1))</f>
        <v/>
      </c>
      <c r="BE181" t="str">
        <f>IF($A181="","", INDEX(CS!$B$1:$B$12903,MATCH($A181,CS!$B:$B,0)+COLUMN(H$1),1))</f>
        <v/>
      </c>
      <c r="BF181" t="str">
        <f>IF($A181="","", INDEX(CS!$B$1:$B$12903,MATCH($A181,CS!$B:$B,0)+COLUMN(I$1),1))</f>
        <v/>
      </c>
      <c r="BG181" t="str">
        <f>IF($A181="","", INDEX(CS!$B$1:$B$12903,MATCH($A181,CS!$B:$B,0)+COLUMN(J$1),1))</f>
        <v/>
      </c>
    </row>
    <row r="182" spans="3:59" x14ac:dyDescent="0.4">
      <c r="C182" t="s">
        <v>193</v>
      </c>
      <c r="D182" t="str">
        <f t="shared" si="10"/>
        <v>0/0/0</v>
      </c>
      <c r="E182">
        <v>1</v>
      </c>
      <c r="AX182" t="str">
        <f>IF($A182="","", INDEX(CS!$B$1:$B$12903,MATCH($A182,CS!$B:$B,0)+COLUMN(A$1),1))</f>
        <v/>
      </c>
      <c r="AY182" t="str">
        <f>IF($A182="","", INDEX(CS!$B$1:$B$12903,MATCH($A182,CS!$B:$B,0)+COLUMN(B$1),1))</f>
        <v/>
      </c>
      <c r="AZ182" t="str">
        <f>IF($A182="","", INDEX(CS!$B$1:$B$12903,MATCH($A182,CS!$B:$B,0)+COLUMN(C$1),1))</f>
        <v/>
      </c>
      <c r="BA182" t="str">
        <f>IF($A182="","", INDEX(CS!$B$1:$B$12903,MATCH($A182,CS!$B:$B,0)+COLUMN(D$1),1))</f>
        <v/>
      </c>
      <c r="BB182" t="str">
        <f>IF($A182="","", INDEX(CS!$B$1:$B$12903,MATCH($A182,CS!$B:$B,0)+COLUMN(E$1),1))</f>
        <v/>
      </c>
      <c r="BC182" t="str">
        <f>IF($A182="","", INDEX(CS!$B$1:$B$12903,MATCH($A182,CS!$B:$B,0)+COLUMN(F$1),1))</f>
        <v/>
      </c>
      <c r="BD182" t="str">
        <f>IF($A182="","", INDEX(CS!$B$1:$B$12903,MATCH($A182,CS!$B:$B,0)+COLUMN(G$1),1))</f>
        <v/>
      </c>
      <c r="BE182" t="str">
        <f>IF($A182="","", INDEX(CS!$B$1:$B$12903,MATCH($A182,CS!$B:$B,0)+COLUMN(H$1),1))</f>
        <v/>
      </c>
      <c r="BF182" t="str">
        <f>IF($A182="","", INDEX(CS!$B$1:$B$12903,MATCH($A182,CS!$B:$B,0)+COLUMN(I$1),1))</f>
        <v/>
      </c>
      <c r="BG182" t="str">
        <f>IF($A182="","", INDEX(CS!$B$1:$B$12903,MATCH($A182,CS!$B:$B,0)+COLUMN(J$1),1))</f>
        <v/>
      </c>
    </row>
    <row r="183" spans="3:59" x14ac:dyDescent="0.4">
      <c r="C183" t="s">
        <v>193</v>
      </c>
      <c r="D183" t="str">
        <f t="shared" si="10"/>
        <v>0/0/0</v>
      </c>
      <c r="E183">
        <v>1</v>
      </c>
      <c r="AX183" t="str">
        <f>IF($A183="","", INDEX(CS!$B$1:$B$12903,MATCH($A183,CS!$B:$B,0)+COLUMN(A$1),1))</f>
        <v/>
      </c>
      <c r="AY183" t="str">
        <f>IF($A183="","", INDEX(CS!$B$1:$B$12903,MATCH($A183,CS!$B:$B,0)+COLUMN(B$1),1))</f>
        <v/>
      </c>
      <c r="AZ183" t="str">
        <f>IF($A183="","", INDEX(CS!$B$1:$B$12903,MATCH($A183,CS!$B:$B,0)+COLUMN(C$1),1))</f>
        <v/>
      </c>
      <c r="BA183" t="str">
        <f>IF($A183="","", INDEX(CS!$B$1:$B$12903,MATCH($A183,CS!$B:$B,0)+COLUMN(D$1),1))</f>
        <v/>
      </c>
      <c r="BB183" t="str">
        <f>IF($A183="","", INDEX(CS!$B$1:$B$12903,MATCH($A183,CS!$B:$B,0)+COLUMN(E$1),1))</f>
        <v/>
      </c>
      <c r="BC183" t="str">
        <f>IF($A183="","", INDEX(CS!$B$1:$B$12903,MATCH($A183,CS!$B:$B,0)+COLUMN(F$1),1))</f>
        <v/>
      </c>
      <c r="BD183" t="str">
        <f>IF($A183="","", INDEX(CS!$B$1:$B$12903,MATCH($A183,CS!$B:$B,0)+COLUMN(G$1),1))</f>
        <v/>
      </c>
      <c r="BE183" t="str">
        <f>IF($A183="","", INDEX(CS!$B$1:$B$12903,MATCH($A183,CS!$B:$B,0)+COLUMN(H$1),1))</f>
        <v/>
      </c>
      <c r="BF183" t="str">
        <f>IF($A183="","", INDEX(CS!$B$1:$B$12903,MATCH($A183,CS!$B:$B,0)+COLUMN(I$1),1))</f>
        <v/>
      </c>
      <c r="BG183" t="str">
        <f>IF($A183="","", INDEX(CS!$B$1:$B$12903,MATCH($A183,CS!$B:$B,0)+COLUMN(J$1),1))</f>
        <v/>
      </c>
    </row>
    <row r="184" spans="3:59" x14ac:dyDescent="0.4">
      <c r="C184" t="s">
        <v>193</v>
      </c>
      <c r="D184" t="str">
        <f t="shared" si="10"/>
        <v>0/0/0</v>
      </c>
      <c r="E184">
        <v>1</v>
      </c>
      <c r="AX184" t="str">
        <f>IF($A184="","", INDEX(CS!$B$1:$B$12903,MATCH($A184,CS!$B:$B,0)+COLUMN(A$1),1))</f>
        <v/>
      </c>
      <c r="AY184" t="str">
        <f>IF($A184="","", INDEX(CS!$B$1:$B$12903,MATCH($A184,CS!$B:$B,0)+COLUMN(B$1),1))</f>
        <v/>
      </c>
      <c r="AZ184" t="str">
        <f>IF($A184="","", INDEX(CS!$B$1:$B$12903,MATCH($A184,CS!$B:$B,0)+COLUMN(C$1),1))</f>
        <v/>
      </c>
      <c r="BA184" t="str">
        <f>IF($A184="","", INDEX(CS!$B$1:$B$12903,MATCH($A184,CS!$B:$B,0)+COLUMN(D$1),1))</f>
        <v/>
      </c>
      <c r="BB184" t="str">
        <f>IF($A184="","", INDEX(CS!$B$1:$B$12903,MATCH($A184,CS!$B:$B,0)+COLUMN(E$1),1))</f>
        <v/>
      </c>
      <c r="BC184" t="str">
        <f>IF($A184="","", INDEX(CS!$B$1:$B$12903,MATCH($A184,CS!$B:$B,0)+COLUMN(F$1),1))</f>
        <v/>
      </c>
      <c r="BD184" t="str">
        <f>IF($A184="","", INDEX(CS!$B$1:$B$12903,MATCH($A184,CS!$B:$B,0)+COLUMN(G$1),1))</f>
        <v/>
      </c>
      <c r="BE184" t="str">
        <f>IF($A184="","", INDEX(CS!$B$1:$B$12903,MATCH($A184,CS!$B:$B,0)+COLUMN(H$1),1))</f>
        <v/>
      </c>
      <c r="BF184" t="str">
        <f>IF($A184="","", INDEX(CS!$B$1:$B$12903,MATCH($A184,CS!$B:$B,0)+COLUMN(I$1),1))</f>
        <v/>
      </c>
      <c r="BG184" t="str">
        <f>IF($A184="","", INDEX(CS!$B$1:$B$12903,MATCH($A184,CS!$B:$B,0)+COLUMN(J$1),1))</f>
        <v/>
      </c>
    </row>
    <row r="185" spans="3:59" x14ac:dyDescent="0.4">
      <c r="C185" t="s">
        <v>193</v>
      </c>
      <c r="D185" t="str">
        <f t="shared" si="10"/>
        <v>0/0/0</v>
      </c>
      <c r="E185">
        <v>1</v>
      </c>
      <c r="AX185" t="str">
        <f>IF($A185="","", INDEX(CS!$B$1:$B$12903,MATCH($A185,CS!$B:$B,0)+COLUMN(A$1),1))</f>
        <v/>
      </c>
      <c r="AY185" t="str">
        <f>IF($A185="","", INDEX(CS!$B$1:$B$12903,MATCH($A185,CS!$B:$B,0)+COLUMN(B$1),1))</f>
        <v/>
      </c>
      <c r="AZ185" t="str">
        <f>IF($A185="","", INDEX(CS!$B$1:$B$12903,MATCH($A185,CS!$B:$B,0)+COLUMN(C$1),1))</f>
        <v/>
      </c>
      <c r="BA185" t="str">
        <f>IF($A185="","", INDEX(CS!$B$1:$B$12903,MATCH($A185,CS!$B:$B,0)+COLUMN(D$1),1))</f>
        <v/>
      </c>
      <c r="BB185" t="str">
        <f>IF($A185="","", INDEX(CS!$B$1:$B$12903,MATCH($A185,CS!$B:$B,0)+COLUMN(E$1),1))</f>
        <v/>
      </c>
      <c r="BC185" t="str">
        <f>IF($A185="","", INDEX(CS!$B$1:$B$12903,MATCH($A185,CS!$B:$B,0)+COLUMN(F$1),1))</f>
        <v/>
      </c>
      <c r="BD185" t="str">
        <f>IF($A185="","", INDEX(CS!$B$1:$B$12903,MATCH($A185,CS!$B:$B,0)+COLUMN(G$1),1))</f>
        <v/>
      </c>
      <c r="BE185" t="str">
        <f>IF($A185="","", INDEX(CS!$B$1:$B$12903,MATCH($A185,CS!$B:$B,0)+COLUMN(H$1),1))</f>
        <v/>
      </c>
      <c r="BF185" t="str">
        <f>IF($A185="","", INDEX(CS!$B$1:$B$12903,MATCH($A185,CS!$B:$B,0)+COLUMN(I$1),1))</f>
        <v/>
      </c>
      <c r="BG185" t="str">
        <f>IF($A185="","", INDEX(CS!$B$1:$B$12903,MATCH($A185,CS!$B:$B,0)+COLUMN(J$1),1))</f>
        <v/>
      </c>
    </row>
    <row r="186" spans="3:59" x14ac:dyDescent="0.4">
      <c r="C186" t="s">
        <v>193</v>
      </c>
      <c r="D186" t="str">
        <f t="shared" si="10"/>
        <v>0/0/0</v>
      </c>
      <c r="E186">
        <v>1</v>
      </c>
      <c r="AX186" t="str">
        <f>IF($A186="","", INDEX(CS!$B$1:$B$12903,MATCH($A186,CS!$B:$B,0)+COLUMN(A$1),1))</f>
        <v/>
      </c>
      <c r="AY186" t="str">
        <f>IF($A186="","", INDEX(CS!$B$1:$B$12903,MATCH($A186,CS!$B:$B,0)+COLUMN(B$1),1))</f>
        <v/>
      </c>
      <c r="AZ186" t="str">
        <f>IF($A186="","", INDEX(CS!$B$1:$B$12903,MATCH($A186,CS!$B:$B,0)+COLUMN(C$1),1))</f>
        <v/>
      </c>
      <c r="BA186" t="str">
        <f>IF($A186="","", INDEX(CS!$B$1:$B$12903,MATCH($A186,CS!$B:$B,0)+COLUMN(D$1),1))</f>
        <v/>
      </c>
      <c r="BB186" t="str">
        <f>IF($A186="","", INDEX(CS!$B$1:$B$12903,MATCH($A186,CS!$B:$B,0)+COLUMN(E$1),1))</f>
        <v/>
      </c>
      <c r="BC186" t="str">
        <f>IF($A186="","", INDEX(CS!$B$1:$B$12903,MATCH($A186,CS!$B:$B,0)+COLUMN(F$1),1))</f>
        <v/>
      </c>
      <c r="BD186" t="str">
        <f>IF($A186="","", INDEX(CS!$B$1:$B$12903,MATCH($A186,CS!$B:$B,0)+COLUMN(G$1),1))</f>
        <v/>
      </c>
      <c r="BE186" t="str">
        <f>IF($A186="","", INDEX(CS!$B$1:$B$12903,MATCH($A186,CS!$B:$B,0)+COLUMN(H$1),1))</f>
        <v/>
      </c>
      <c r="BF186" t="str">
        <f>IF($A186="","", INDEX(CS!$B$1:$B$12903,MATCH($A186,CS!$B:$B,0)+COLUMN(I$1),1))</f>
        <v/>
      </c>
      <c r="BG186" t="str">
        <f>IF($A186="","", INDEX(CS!$B$1:$B$12903,MATCH($A186,CS!$B:$B,0)+COLUMN(J$1),1))</f>
        <v/>
      </c>
    </row>
    <row r="187" spans="3:59" x14ac:dyDescent="0.4">
      <c r="C187" t="s">
        <v>193</v>
      </c>
      <c r="D187" t="str">
        <f t="shared" si="10"/>
        <v>0/0/0</v>
      </c>
      <c r="E187">
        <v>1</v>
      </c>
      <c r="AX187" t="str">
        <f>IF($A187="","", INDEX(CS!$B$1:$B$12903,MATCH($A187,CS!$B:$B,0)+COLUMN(A$1),1))</f>
        <v/>
      </c>
      <c r="AY187" t="str">
        <f>IF($A187="","", INDEX(CS!$B$1:$B$12903,MATCH($A187,CS!$B:$B,0)+COLUMN(B$1),1))</f>
        <v/>
      </c>
      <c r="AZ187" t="str">
        <f>IF($A187="","", INDEX(CS!$B$1:$B$12903,MATCH($A187,CS!$B:$B,0)+COLUMN(C$1),1))</f>
        <v/>
      </c>
      <c r="BA187" t="str">
        <f>IF($A187="","", INDEX(CS!$B$1:$B$12903,MATCH($A187,CS!$B:$B,0)+COLUMN(D$1),1))</f>
        <v/>
      </c>
      <c r="BB187" t="str">
        <f>IF($A187="","", INDEX(CS!$B$1:$B$12903,MATCH($A187,CS!$B:$B,0)+COLUMN(E$1),1))</f>
        <v/>
      </c>
      <c r="BC187" t="str">
        <f>IF($A187="","", INDEX(CS!$B$1:$B$12903,MATCH($A187,CS!$B:$B,0)+COLUMN(F$1),1))</f>
        <v/>
      </c>
      <c r="BD187" t="str">
        <f>IF($A187="","", INDEX(CS!$B$1:$B$12903,MATCH($A187,CS!$B:$B,0)+COLUMN(G$1),1))</f>
        <v/>
      </c>
      <c r="BE187" t="str">
        <f>IF($A187="","", INDEX(CS!$B$1:$B$12903,MATCH($A187,CS!$B:$B,0)+COLUMN(H$1),1))</f>
        <v/>
      </c>
      <c r="BF187" t="str">
        <f>IF($A187="","", INDEX(CS!$B$1:$B$12903,MATCH($A187,CS!$B:$B,0)+COLUMN(I$1),1))</f>
        <v/>
      </c>
      <c r="BG187" t="str">
        <f>IF($A187="","", INDEX(CS!$B$1:$B$12903,MATCH($A187,CS!$B:$B,0)+COLUMN(J$1),1))</f>
        <v/>
      </c>
    </row>
    <row r="188" spans="3:59" x14ac:dyDescent="0.4">
      <c r="C188" t="s">
        <v>193</v>
      </c>
      <c r="D188" t="str">
        <f t="shared" si="10"/>
        <v>0/0/0</v>
      </c>
      <c r="E188">
        <v>1</v>
      </c>
      <c r="AX188" t="str">
        <f>IF($A188="","", INDEX(CS!$B$1:$B$12903,MATCH($A188,CS!$B:$B,0)+COLUMN(A$1),1))</f>
        <v/>
      </c>
      <c r="AY188" t="str">
        <f>IF($A188="","", INDEX(CS!$B$1:$B$12903,MATCH($A188,CS!$B:$B,0)+COLUMN(B$1),1))</f>
        <v/>
      </c>
      <c r="AZ188" t="str">
        <f>IF($A188="","", INDEX(CS!$B$1:$B$12903,MATCH($A188,CS!$B:$B,0)+COLUMN(C$1),1))</f>
        <v/>
      </c>
      <c r="BA188" t="str">
        <f>IF($A188="","", INDEX(CS!$B$1:$B$12903,MATCH($A188,CS!$B:$B,0)+COLUMN(D$1),1))</f>
        <v/>
      </c>
      <c r="BB188" t="str">
        <f>IF($A188="","", INDEX(CS!$B$1:$B$12903,MATCH($A188,CS!$B:$B,0)+COLUMN(E$1),1))</f>
        <v/>
      </c>
      <c r="BC188" t="str">
        <f>IF($A188="","", INDEX(CS!$B$1:$B$12903,MATCH($A188,CS!$B:$B,0)+COLUMN(F$1),1))</f>
        <v/>
      </c>
      <c r="BD188" t="str">
        <f>IF($A188="","", INDEX(CS!$B$1:$B$12903,MATCH($A188,CS!$B:$B,0)+COLUMN(G$1),1))</f>
        <v/>
      </c>
      <c r="BE188" t="str">
        <f>IF($A188="","", INDEX(CS!$B$1:$B$12903,MATCH($A188,CS!$B:$B,0)+COLUMN(H$1),1))</f>
        <v/>
      </c>
      <c r="BF188" t="str">
        <f>IF($A188="","", INDEX(CS!$B$1:$B$12903,MATCH($A188,CS!$B:$B,0)+COLUMN(I$1),1))</f>
        <v/>
      </c>
      <c r="BG188" t="str">
        <f>IF($A188="","", INDEX(CS!$B$1:$B$12903,MATCH($A188,CS!$B:$B,0)+COLUMN(J$1),1))</f>
        <v/>
      </c>
    </row>
    <row r="189" spans="3:59" x14ac:dyDescent="0.4">
      <c r="C189" t="s">
        <v>193</v>
      </c>
      <c r="D189" t="str">
        <f t="shared" si="10"/>
        <v>0/0/0</v>
      </c>
      <c r="E189">
        <v>1</v>
      </c>
      <c r="AX189" t="str">
        <f>IF($A189="","", INDEX(CS!$B$1:$B$12903,MATCH($A189,CS!$B:$B,0)+COLUMN(A$1),1))</f>
        <v/>
      </c>
      <c r="AY189" t="str">
        <f>IF($A189="","", INDEX(CS!$B$1:$B$12903,MATCH($A189,CS!$B:$B,0)+COLUMN(B$1),1))</f>
        <v/>
      </c>
      <c r="AZ189" t="str">
        <f>IF($A189="","", INDEX(CS!$B$1:$B$12903,MATCH($A189,CS!$B:$B,0)+COLUMN(C$1),1))</f>
        <v/>
      </c>
      <c r="BA189" t="str">
        <f>IF($A189="","", INDEX(CS!$B$1:$B$12903,MATCH($A189,CS!$B:$B,0)+COLUMN(D$1),1))</f>
        <v/>
      </c>
      <c r="BB189" t="str">
        <f>IF($A189="","", INDEX(CS!$B$1:$B$12903,MATCH($A189,CS!$B:$B,0)+COLUMN(E$1),1))</f>
        <v/>
      </c>
      <c r="BC189" t="str">
        <f>IF($A189="","", INDEX(CS!$B$1:$B$12903,MATCH($A189,CS!$B:$B,0)+COLUMN(F$1),1))</f>
        <v/>
      </c>
      <c r="BD189" t="str">
        <f>IF($A189="","", INDEX(CS!$B$1:$B$12903,MATCH($A189,CS!$B:$B,0)+COLUMN(G$1),1))</f>
        <v/>
      </c>
      <c r="BE189" t="str">
        <f>IF($A189="","", INDEX(CS!$B$1:$B$12903,MATCH($A189,CS!$B:$B,0)+COLUMN(H$1),1))</f>
        <v/>
      </c>
      <c r="BF189" t="str">
        <f>IF($A189="","", INDEX(CS!$B$1:$B$12903,MATCH($A189,CS!$B:$B,0)+COLUMN(I$1),1))</f>
        <v/>
      </c>
      <c r="BG189" t="str">
        <f>IF($A189="","", INDEX(CS!$B$1:$B$12903,MATCH($A189,CS!$B:$B,0)+COLUMN(J$1),1))</f>
        <v/>
      </c>
    </row>
    <row r="190" spans="3:59" x14ac:dyDescent="0.4">
      <c r="C190" t="s">
        <v>193</v>
      </c>
      <c r="D190" t="str">
        <f t="shared" si="10"/>
        <v>0/0/0</v>
      </c>
      <c r="E190">
        <v>1</v>
      </c>
      <c r="AX190" t="str">
        <f>IF($A190="","", INDEX(CS!$B$1:$B$12903,MATCH($A190,CS!$B:$B,0)+COLUMN(A$1),1))</f>
        <v/>
      </c>
      <c r="AY190" t="str">
        <f>IF($A190="","", INDEX(CS!$B$1:$B$12903,MATCH($A190,CS!$B:$B,0)+COLUMN(B$1),1))</f>
        <v/>
      </c>
      <c r="AZ190" t="str">
        <f>IF($A190="","", INDEX(CS!$B$1:$B$12903,MATCH($A190,CS!$B:$B,0)+COLUMN(C$1),1))</f>
        <v/>
      </c>
      <c r="BA190" t="str">
        <f>IF($A190="","", INDEX(CS!$B$1:$B$12903,MATCH($A190,CS!$B:$B,0)+COLUMN(D$1),1))</f>
        <v/>
      </c>
      <c r="BB190" t="str">
        <f>IF($A190="","", INDEX(CS!$B$1:$B$12903,MATCH($A190,CS!$B:$B,0)+COLUMN(E$1),1))</f>
        <v/>
      </c>
      <c r="BC190" t="str">
        <f>IF($A190="","", INDEX(CS!$B$1:$B$12903,MATCH($A190,CS!$B:$B,0)+COLUMN(F$1),1))</f>
        <v/>
      </c>
      <c r="BD190" t="str">
        <f>IF($A190="","", INDEX(CS!$B$1:$B$12903,MATCH($A190,CS!$B:$B,0)+COLUMN(I$1),1))</f>
        <v/>
      </c>
      <c r="BE190" t="str">
        <f>IF($A190="","", INDEX(CS!$B$1:$B$12903,MATCH($A190,CS!$B:$B,0)+COLUMN(J$1),1))</f>
        <v/>
      </c>
      <c r="BF190" t="str">
        <f>IF($A190="","", INDEX(CS!$B$1:$B$12903,MATCH($A190,CS!$B:$B,0)+COLUMN(K$1),1))</f>
        <v/>
      </c>
      <c r="BG190" t="str">
        <f>IF($A190="","", INDEX(CS!$B$1:$B$12903,MATCH($A190,CS!$B:$B,0)+COLUMN(L$1),1))</f>
        <v/>
      </c>
    </row>
    <row r="191" spans="3:59" x14ac:dyDescent="0.4">
      <c r="C191" t="s">
        <v>193</v>
      </c>
      <c r="D191" t="str">
        <f t="shared" si="10"/>
        <v>0/0/0</v>
      </c>
      <c r="E191">
        <v>1</v>
      </c>
      <c r="AX191" t="str">
        <f>IF($A191="","", INDEX(CS!$B$1:$B$12903,MATCH($A191,CS!$B:$B,0)+COLUMN(A$1),1))</f>
        <v/>
      </c>
      <c r="AY191" t="str">
        <f>IF($A191="","", INDEX(CS!$B$1:$B$12903,MATCH($A191,CS!$B:$B,0)+COLUMN(B$1),1))</f>
        <v/>
      </c>
      <c r="AZ191" t="str">
        <f>IF($A191="","", INDEX(CS!$B$1:$B$12903,MATCH($A191,CS!$B:$B,0)+COLUMN(C$1),1))</f>
        <v/>
      </c>
      <c r="BA191" t="str">
        <f>IF($A191="","", INDEX(CS!$B$1:$B$12903,MATCH($A191,CS!$B:$B,0)+COLUMN(D$1),1))</f>
        <v/>
      </c>
      <c r="BB191" t="str">
        <f>IF($A191="","", INDEX(CS!$B$1:$B$12903,MATCH($A191,CS!$B:$B,0)+COLUMN(E$1),1))</f>
        <v/>
      </c>
      <c r="BC191" t="str">
        <f>IF($A191="","", INDEX(CS!$B$1:$B$12903,MATCH($A191,CS!$B:$B,0)+COLUMN(F$1),1))</f>
        <v/>
      </c>
      <c r="BD191" t="str">
        <f>IF($A191="","", INDEX(CS!$B$1:$B$12903,MATCH($A191,CS!$B:$B,0)+COLUMN(I$1),1))</f>
        <v/>
      </c>
      <c r="BE191" t="str">
        <f>IF($A191="","", INDEX(CS!$B$1:$B$12903,MATCH($A191,CS!$B:$B,0)+COLUMN(J$1),1))</f>
        <v/>
      </c>
      <c r="BF191" t="str">
        <f>IF($A191="","", INDEX(CS!$B$1:$B$12903,MATCH($A191,CS!$B:$B,0)+COLUMN(K$1),1))</f>
        <v/>
      </c>
      <c r="BG191" t="str">
        <f>IF($A191="","", INDEX(CS!$B$1:$B$12903,MATCH($A191,CS!$B:$B,0)+COLUMN(L$1),1))</f>
        <v/>
      </c>
    </row>
    <row r="192" spans="3:59" x14ac:dyDescent="0.4">
      <c r="C192" t="s">
        <v>193</v>
      </c>
      <c r="D192" t="str">
        <f t="shared" si="10"/>
        <v>0/0/0</v>
      </c>
      <c r="E192">
        <v>1</v>
      </c>
      <c r="AX192" t="str">
        <f>IF($A192="","", INDEX(CS!$B$1:$B$12903,MATCH($A192,CS!$B:$B,0)+COLUMN(A$1),1))</f>
        <v/>
      </c>
      <c r="AY192" t="str">
        <f>IF($A192="","", INDEX(CS!$B$1:$B$12903,MATCH($A192,CS!$B:$B,0)+COLUMN(B$1),1))</f>
        <v/>
      </c>
      <c r="AZ192" t="str">
        <f>IF($A192="","", INDEX(CS!$B$1:$B$12903,MATCH($A192,CS!$B:$B,0)+COLUMN(C$1),1))</f>
        <v/>
      </c>
      <c r="BA192" t="str">
        <f>IF($A192="","", INDEX(CS!$B$1:$B$12903,MATCH($A192,CS!$B:$B,0)+COLUMN(D$1),1))</f>
        <v/>
      </c>
      <c r="BB192" t="str">
        <f>IF($A192="","", INDEX(CS!$B$1:$B$12903,MATCH($A192,CS!$B:$B,0)+COLUMN(E$1),1))</f>
        <v/>
      </c>
      <c r="BC192" t="str">
        <f>IF($A192="","", INDEX(CS!$B$1:$B$12903,MATCH($A192,CS!$B:$B,0)+COLUMN(F$1),1))</f>
        <v/>
      </c>
      <c r="BD192" t="str">
        <f>IF($A192="","", INDEX(CS!$B$1:$B$12903,MATCH($A192,CS!$B:$B,0)+COLUMN(I$1),1))</f>
        <v/>
      </c>
      <c r="BE192" t="str">
        <f>IF($A192="","", INDEX(CS!$B$1:$B$12903,MATCH($A192,CS!$B:$B,0)+COLUMN(J$1),1))</f>
        <v/>
      </c>
      <c r="BF192" t="str">
        <f>IF($A192="","", INDEX(CS!$B$1:$B$12903,MATCH($A192,CS!$B:$B,0)+COLUMN(K$1),1))</f>
        <v/>
      </c>
      <c r="BG192" t="str">
        <f>IF($A192="","", INDEX(CS!$B$1:$B$12903,MATCH($A192,CS!$B:$B,0)+COLUMN(L$1),1))</f>
        <v/>
      </c>
    </row>
    <row r="193" spans="3:59" x14ac:dyDescent="0.4">
      <c r="C193" t="s">
        <v>193</v>
      </c>
      <c r="D193" t="str">
        <f t="shared" si="10"/>
        <v>0/0/0</v>
      </c>
      <c r="E193">
        <v>1</v>
      </c>
      <c r="AX193" t="str">
        <f>IF($A193="","", INDEX(CS!$B$1:$B$12903,MATCH($A193,CS!$B:$B,0)+COLUMN(A$1),1))</f>
        <v/>
      </c>
      <c r="AY193" t="str">
        <f>IF($A193="","", INDEX(CS!$B$1:$B$12903,MATCH($A193,CS!$B:$B,0)+COLUMN(B$1),1))</f>
        <v/>
      </c>
      <c r="AZ193" t="str">
        <f>IF($A193="","", INDEX(CS!$B$1:$B$12903,MATCH($A193,CS!$B:$B,0)+COLUMN(C$1),1))</f>
        <v/>
      </c>
      <c r="BA193" t="str">
        <f>IF($A193="","", INDEX(CS!$B$1:$B$12903,MATCH($A193,CS!$B:$B,0)+COLUMN(D$1),1))</f>
        <v/>
      </c>
      <c r="BB193" t="str">
        <f>IF($A193="","", INDEX(CS!$B$1:$B$12903,MATCH($A193,CS!$B:$B,0)+COLUMN(E$1),1))</f>
        <v/>
      </c>
      <c r="BC193" t="str">
        <f>IF($A193="","", INDEX(CS!$B$1:$B$12903,MATCH($A193,CS!$B:$B,0)+COLUMN(F$1),1))</f>
        <v/>
      </c>
      <c r="BD193" t="str">
        <f>IF($A193="","", INDEX(CS!$B$1:$B$12903,MATCH($A193,CS!$B:$B,0)+COLUMN(I$1),1))</f>
        <v/>
      </c>
      <c r="BE193" t="str">
        <f>IF($A193="","", INDEX(CS!$B$1:$B$12903,MATCH($A193,CS!$B:$B,0)+COLUMN(J$1),1))</f>
        <v/>
      </c>
      <c r="BF193" t="str">
        <f>IF($A193="","", INDEX(CS!$B$1:$B$12903,MATCH($A193,CS!$B:$B,0)+COLUMN(K$1),1))</f>
        <v/>
      </c>
      <c r="BG193" t="str">
        <f>IF($A193="","", INDEX(CS!$B$1:$B$12903,MATCH($A193,CS!$B:$B,0)+COLUMN(L$1),1))</f>
        <v/>
      </c>
    </row>
    <row r="194" spans="3:59" x14ac:dyDescent="0.4">
      <c r="C194" t="s">
        <v>193</v>
      </c>
      <c r="D194" t="str">
        <f t="shared" si="10"/>
        <v>0/0/0</v>
      </c>
      <c r="E194">
        <v>1</v>
      </c>
      <c r="AX194" t="str">
        <f>IF($A194="","", INDEX(CS!$B$1:$B$12903,MATCH($A194,CS!$B:$B,0)+COLUMN(A$1),1))</f>
        <v/>
      </c>
      <c r="AY194" t="str">
        <f>IF($A194="","", INDEX(CS!$B$1:$B$12903,MATCH($A194,CS!$B:$B,0)+COLUMN(B$1),1))</f>
        <v/>
      </c>
      <c r="AZ194" t="str">
        <f>IF($A194="","", INDEX(CS!$B$1:$B$12903,MATCH($A194,CS!$B:$B,0)+COLUMN(C$1),1))</f>
        <v/>
      </c>
      <c r="BA194" t="str">
        <f>IF($A194="","", INDEX(CS!$B$1:$B$12903,MATCH($A194,CS!$B:$B,0)+COLUMN(D$1),1))</f>
        <v/>
      </c>
      <c r="BB194" t="str">
        <f>IF($A194="","", INDEX(CS!$B$1:$B$12903,MATCH($A194,CS!$B:$B,0)+COLUMN(E$1),1))</f>
        <v/>
      </c>
      <c r="BC194" t="str">
        <f>IF($A194="","", INDEX(CS!$B$1:$B$12903,MATCH($A194,CS!$B:$B,0)+COLUMN(F$1),1))</f>
        <v/>
      </c>
      <c r="BD194" t="str">
        <f>IF($A194="","", INDEX(CS!$B$1:$B$12903,MATCH($A194,CS!$B:$B,0)+COLUMN(I$1),1))</f>
        <v/>
      </c>
      <c r="BE194" t="str">
        <f>IF($A194="","", INDEX(CS!$B$1:$B$12903,MATCH($A194,CS!$B:$B,0)+COLUMN(J$1),1))</f>
        <v/>
      </c>
      <c r="BF194" t="str">
        <f>IF($A194="","", INDEX(CS!$B$1:$B$12903,MATCH($A194,CS!$B:$B,0)+COLUMN(K$1),1))</f>
        <v/>
      </c>
      <c r="BG194" t="str">
        <f>IF($A194="","", INDEX(CS!$B$1:$B$12903,MATCH($A194,CS!$B:$B,0)+COLUMN(L$1),1))</f>
        <v/>
      </c>
    </row>
    <row r="195" spans="3:59" x14ac:dyDescent="0.4">
      <c r="C195" t="s">
        <v>193</v>
      </c>
      <c r="D195" t="str">
        <f t="shared" si="10"/>
        <v>0/0/0</v>
      </c>
      <c r="E195">
        <v>1</v>
      </c>
      <c r="AX195" t="str">
        <f>IF($A195="","", INDEX(CS!$B$1:$B$12903,MATCH($A195,CS!$B:$B,0)+COLUMN(A$1),1))</f>
        <v/>
      </c>
      <c r="AY195" t="str">
        <f>IF($A195="","", INDEX(CS!$B$1:$B$12903,MATCH($A195,CS!$B:$B,0)+COLUMN(B$1),1))</f>
        <v/>
      </c>
      <c r="AZ195" t="str">
        <f>IF($A195="","", INDEX(CS!$B$1:$B$12903,MATCH($A195,CS!$B:$B,0)+COLUMN(C$1),1))</f>
        <v/>
      </c>
      <c r="BA195" t="str">
        <f>IF($A195="","", INDEX(CS!$B$1:$B$12903,MATCH($A195,CS!$B:$B,0)+COLUMN(D$1),1))</f>
        <v/>
      </c>
      <c r="BB195" t="str">
        <f>IF($A195="","", INDEX(CS!$B$1:$B$12903,MATCH($A195,CS!$B:$B,0)+COLUMN(E$1),1))</f>
        <v/>
      </c>
      <c r="BC195" t="str">
        <f>IF($A195="","", INDEX(CS!$B$1:$B$12903,MATCH($A195,CS!$B:$B,0)+COLUMN(F$1),1))</f>
        <v/>
      </c>
      <c r="BD195" t="str">
        <f>IF($A195="","", INDEX(CS!$B$1:$B$12903,MATCH($A195,CS!$B:$B,0)+COLUMN(I$1),1))</f>
        <v/>
      </c>
      <c r="BE195" t="str">
        <f>IF($A195="","", INDEX(CS!$B$1:$B$12903,MATCH($A195,CS!$B:$B,0)+COLUMN(J$1),1))</f>
        <v/>
      </c>
      <c r="BF195" t="str">
        <f>IF($A195="","", INDEX(CS!$B$1:$B$12903,MATCH($A195,CS!$B:$B,0)+COLUMN(K$1),1))</f>
        <v/>
      </c>
      <c r="BG195" t="str">
        <f>IF($A195="","", INDEX(CS!$B$1:$B$12903,MATCH($A195,CS!$B:$B,0)+COLUMN(L$1),1))</f>
        <v/>
      </c>
    </row>
    <row r="196" spans="3:59" x14ac:dyDescent="0.4">
      <c r="C196" t="s">
        <v>193</v>
      </c>
      <c r="D196" t="str">
        <f t="shared" si="10"/>
        <v>0/0/0</v>
      </c>
      <c r="E196">
        <v>1</v>
      </c>
      <c r="AX196" t="str">
        <f>IF($A196="","", INDEX(CS!$B$1:$B$12903,MATCH($A196,CS!$B:$B,0)+COLUMN(A$1),1))</f>
        <v/>
      </c>
      <c r="AY196" t="str">
        <f>IF($A196="","", INDEX(CS!$B$1:$B$12903,MATCH($A196,CS!$B:$B,0)+COLUMN(B$1),1))</f>
        <v/>
      </c>
      <c r="AZ196" t="str">
        <f>IF($A196="","", INDEX(CS!$B$1:$B$12903,MATCH($A196,CS!$B:$B,0)+COLUMN(C$1),1))</f>
        <v/>
      </c>
      <c r="BA196" t="str">
        <f>IF($A196="","", INDEX(CS!$B$1:$B$12903,MATCH($A196,CS!$B:$B,0)+COLUMN(D$1),1))</f>
        <v/>
      </c>
      <c r="BB196" t="str">
        <f>IF($A196="","", INDEX(CS!$B$1:$B$12903,MATCH($A196,CS!$B:$B,0)+COLUMN(E$1),1))</f>
        <v/>
      </c>
      <c r="BC196" t="str">
        <f>IF($A196="","", INDEX(CS!$B$1:$B$12903,MATCH($A196,CS!$B:$B,0)+COLUMN(F$1),1))</f>
        <v/>
      </c>
      <c r="BD196" t="str">
        <f>IF($A196="","", INDEX(CS!$B$1:$B$12903,MATCH($A196,CS!$B:$B,0)+COLUMN(I$1),1))</f>
        <v/>
      </c>
      <c r="BE196" t="str">
        <f>IF($A196="","", INDEX(CS!$B$1:$B$12903,MATCH($A196,CS!$B:$B,0)+COLUMN(J$1),1))</f>
        <v/>
      </c>
      <c r="BF196" t="str">
        <f>IF($A196="","", INDEX(CS!$B$1:$B$12903,MATCH($A196,CS!$B:$B,0)+COLUMN(K$1),1))</f>
        <v/>
      </c>
      <c r="BG196" t="str">
        <f>IF($A196="","", INDEX(CS!$B$1:$B$12903,MATCH($A196,CS!$B:$B,0)+COLUMN(L$1),1))</f>
        <v/>
      </c>
    </row>
    <row r="197" spans="3:59" x14ac:dyDescent="0.4">
      <c r="C197" t="s">
        <v>193</v>
      </c>
      <c r="D197" t="str">
        <f t="shared" si="10"/>
        <v>0/0/0</v>
      </c>
      <c r="E197">
        <v>1</v>
      </c>
      <c r="AX197" t="str">
        <f>IF($A197="","", INDEX(CS!$B$1:$B$12903,MATCH($A197,CS!$B:$B,0)+COLUMN(A$1),1))</f>
        <v/>
      </c>
      <c r="AY197" t="str">
        <f>IF($A197="","", INDEX(CS!$B$1:$B$12903,MATCH($A197,CS!$B:$B,0)+COLUMN(B$1),1))</f>
        <v/>
      </c>
      <c r="AZ197" t="str">
        <f>IF($A197="","", INDEX(CS!$B$1:$B$12903,MATCH($A197,CS!$B:$B,0)+COLUMN(C$1),1))</f>
        <v/>
      </c>
      <c r="BA197" t="str">
        <f>IF($A197="","", INDEX(CS!$B$1:$B$12903,MATCH($A197,CS!$B:$B,0)+COLUMN(D$1),1))</f>
        <v/>
      </c>
      <c r="BB197" t="str">
        <f>IF($A197="","", INDEX(CS!$B$1:$B$12903,MATCH($A197,CS!$B:$B,0)+COLUMN(E$1),1))</f>
        <v/>
      </c>
      <c r="BC197" t="str">
        <f>IF($A197="","", INDEX(CS!$B$1:$B$12903,MATCH($A197,CS!$B:$B,0)+COLUMN(F$1),1))</f>
        <v/>
      </c>
      <c r="BD197" t="str">
        <f>IF($A197="","", INDEX(CS!$B$1:$B$12903,MATCH($A197,CS!$B:$B,0)+COLUMN(I$1),1))</f>
        <v/>
      </c>
      <c r="BE197" t="str">
        <f>IF($A197="","", INDEX(CS!$B$1:$B$12903,MATCH($A197,CS!$B:$B,0)+COLUMN(J$1),1))</f>
        <v/>
      </c>
      <c r="BF197" t="str">
        <f>IF($A197="","", INDEX(CS!$B$1:$B$12903,MATCH($A197,CS!$B:$B,0)+COLUMN(K$1),1))</f>
        <v/>
      </c>
      <c r="BG197" t="str">
        <f>IF($A197="","", INDEX(CS!$B$1:$B$12903,MATCH($A197,CS!$B:$B,0)+COLUMN(L$1),1))</f>
        <v/>
      </c>
    </row>
    <row r="198" spans="3:59" x14ac:dyDescent="0.4">
      <c r="C198" t="s">
        <v>193</v>
      </c>
      <c r="D198" t="str">
        <f t="shared" si="10"/>
        <v>0/0/0</v>
      </c>
      <c r="E198">
        <v>1</v>
      </c>
      <c r="AX198" t="str">
        <f>IF($A198="","", INDEX(CS!$B$1:$B$12903,MATCH($A198,CS!$B:$B,0)+COLUMN(A$1),1))</f>
        <v/>
      </c>
      <c r="AY198" t="str">
        <f>IF($A198="","", INDEX(CS!$B$1:$B$12903,MATCH($A198,CS!$B:$B,0)+COLUMN(B$1),1))</f>
        <v/>
      </c>
      <c r="AZ198" t="str">
        <f>IF($A198="","", INDEX(CS!$B$1:$B$12903,MATCH($A198,CS!$B:$B,0)+COLUMN(C$1),1))</f>
        <v/>
      </c>
      <c r="BA198" t="str">
        <f>IF($A198="","", INDEX(CS!$B$1:$B$12903,MATCH($A198,CS!$B:$B,0)+COLUMN(D$1),1))</f>
        <v/>
      </c>
      <c r="BB198" t="str">
        <f>IF($A198="","", INDEX(CS!$B$1:$B$12903,MATCH($A198,CS!$B:$B,0)+COLUMN(E$1),1))</f>
        <v/>
      </c>
      <c r="BC198" t="str">
        <f>IF($A198="","", INDEX(CS!$B$1:$B$12903,MATCH($A198,CS!$B:$B,0)+COLUMN(F$1),1))</f>
        <v/>
      </c>
      <c r="BD198" t="str">
        <f>IF($A198="","", INDEX(CS!$B$1:$B$12903,MATCH($A198,CS!$B:$B,0)+COLUMN(I$1),1))</f>
        <v/>
      </c>
      <c r="BE198" t="str">
        <f>IF($A198="","", INDEX(CS!$B$1:$B$12903,MATCH($A198,CS!$B:$B,0)+COLUMN(J$1),1))</f>
        <v/>
      </c>
      <c r="BF198" t="str">
        <f>IF($A198="","", INDEX(CS!$B$1:$B$12903,MATCH($A198,CS!$B:$B,0)+COLUMN(K$1),1))</f>
        <v/>
      </c>
      <c r="BG198" t="str">
        <f>IF($A198="","", INDEX(CS!$B$1:$B$12903,MATCH($A198,CS!$B:$B,0)+COLUMN(L$1),1))</f>
        <v/>
      </c>
    </row>
    <row r="199" spans="3:59" x14ac:dyDescent="0.4">
      <c r="C199" t="s">
        <v>193</v>
      </c>
      <c r="D199" t="str">
        <f t="shared" si="10"/>
        <v>0/0/0</v>
      </c>
      <c r="E199">
        <v>1</v>
      </c>
      <c r="AX199" t="str">
        <f>IF($A199="","", INDEX(CS!$B$1:$B$12903,MATCH($A199,CS!$B:$B,0)+COLUMN(A$1),1))</f>
        <v/>
      </c>
      <c r="AY199" t="str">
        <f>IF($A199="","", INDEX(CS!$B$1:$B$12903,MATCH($A199,CS!$B:$B,0)+COLUMN(B$1),1))</f>
        <v/>
      </c>
      <c r="AZ199" t="str">
        <f>IF($A199="","", INDEX(CS!$B$1:$B$12903,MATCH($A199,CS!$B:$B,0)+COLUMN(C$1),1))</f>
        <v/>
      </c>
      <c r="BA199" t="str">
        <f>IF($A199="","", INDEX(CS!$B$1:$B$12903,MATCH($A199,CS!$B:$B,0)+COLUMN(D$1),1))</f>
        <v/>
      </c>
      <c r="BB199" t="str">
        <f>IF($A199="","", INDEX(CS!$B$1:$B$12903,MATCH($A199,CS!$B:$B,0)+COLUMN(E$1),1))</f>
        <v/>
      </c>
      <c r="BC199" t="str">
        <f>IF($A199="","", INDEX(CS!$B$1:$B$12903,MATCH($A199,CS!$B:$B,0)+COLUMN(F$1),1))</f>
        <v/>
      </c>
      <c r="BD199" t="str">
        <f>IF($A199="","", INDEX(CS!$B$1:$B$12903,MATCH($A199,CS!$B:$B,0)+COLUMN(I$1),1))</f>
        <v/>
      </c>
      <c r="BE199" t="str">
        <f>IF($A199="","", INDEX(CS!$B$1:$B$12903,MATCH($A199,CS!$B:$B,0)+COLUMN(J$1),1))</f>
        <v/>
      </c>
      <c r="BF199" t="str">
        <f>IF($A199="","", INDEX(CS!$B$1:$B$12903,MATCH($A199,CS!$B:$B,0)+COLUMN(K$1),1))</f>
        <v/>
      </c>
      <c r="BG199" t="str">
        <f>IF($A199="","", INDEX(CS!$B$1:$B$12903,MATCH($A199,CS!$B:$B,0)+COLUMN(L$1),1))</f>
        <v/>
      </c>
    </row>
    <row r="200" spans="3:59" x14ac:dyDescent="0.4">
      <c r="C200" t="s">
        <v>193</v>
      </c>
      <c r="D200" t="str">
        <f t="shared" si="10"/>
        <v>0/0/0</v>
      </c>
      <c r="E200">
        <v>1</v>
      </c>
      <c r="AX200" t="str">
        <f>IF($A200="","", INDEX(CS!$B$1:$B$12903,MATCH($A200,CS!$B:$B,0)+COLUMN(A$1),1))</f>
        <v/>
      </c>
      <c r="AY200" t="str">
        <f>IF($A200="","", INDEX(CS!$B$1:$B$12903,MATCH($A200,CS!$B:$B,0)+COLUMN(B$1),1))</f>
        <v/>
      </c>
      <c r="AZ200" t="str">
        <f>IF($A200="","", INDEX(CS!$B$1:$B$12903,MATCH($A200,CS!$B:$B,0)+COLUMN(C$1),1))</f>
        <v/>
      </c>
      <c r="BA200" t="str">
        <f>IF($A200="","", INDEX(CS!$B$1:$B$12903,MATCH($A200,CS!$B:$B,0)+COLUMN(D$1),1))</f>
        <v/>
      </c>
      <c r="BB200" t="str">
        <f>IF($A200="","", INDEX(CS!$B$1:$B$12903,MATCH($A200,CS!$B:$B,0)+COLUMN(E$1),1))</f>
        <v/>
      </c>
      <c r="BC200" t="str">
        <f>IF($A200="","", INDEX(CS!$B$1:$B$12903,MATCH($A200,CS!$B:$B,0)+COLUMN(F$1),1))</f>
        <v/>
      </c>
      <c r="BD200" t="str">
        <f>IF($A200="","", INDEX(CS!$B$1:$B$12903,MATCH($A200,CS!$B:$B,0)+COLUMN(I$1),1))</f>
        <v/>
      </c>
      <c r="BE200" t="str">
        <f>IF($A200="","", INDEX(CS!$B$1:$B$12903,MATCH($A200,CS!$B:$B,0)+COLUMN(J$1),1))</f>
        <v/>
      </c>
      <c r="BF200" t="str">
        <f>IF($A200="","", INDEX(CS!$B$1:$B$12903,MATCH($A200,CS!$B:$B,0)+COLUMN(K$1),1))</f>
        <v/>
      </c>
      <c r="BG200" t="str">
        <f>IF($A200="","", INDEX(CS!$B$1:$B$12903,MATCH($A200,CS!$B:$B,0)+COLUMN(L$1),1))</f>
        <v/>
      </c>
    </row>
    <row r="201" spans="3:59" x14ac:dyDescent="0.4">
      <c r="C201" t="s">
        <v>193</v>
      </c>
      <c r="D201" t="str">
        <f t="shared" si="10"/>
        <v>0/0/0</v>
      </c>
      <c r="E201">
        <v>1</v>
      </c>
      <c r="AX201" t="str">
        <f>IF($A201="","", INDEX(CS!$B$1:$B$12903,MATCH($A201,CS!$B:$B,0)+COLUMN(A$1),1))</f>
        <v/>
      </c>
      <c r="AY201" t="str">
        <f>IF($A201="","", INDEX(CS!$B$1:$B$12903,MATCH($A201,CS!$B:$B,0)+COLUMN(B$1),1))</f>
        <v/>
      </c>
      <c r="AZ201" t="str">
        <f>IF($A201="","", INDEX(CS!$B$1:$B$12903,MATCH($A201,CS!$B:$B,0)+COLUMN(C$1),1))</f>
        <v/>
      </c>
      <c r="BA201" t="str">
        <f>IF($A201="","", INDEX(CS!$B$1:$B$12903,MATCH($A201,CS!$B:$B,0)+COLUMN(D$1),1))</f>
        <v/>
      </c>
      <c r="BB201" t="str">
        <f>IF($A201="","", INDEX(CS!$B$1:$B$12903,MATCH($A201,CS!$B:$B,0)+COLUMN(E$1),1))</f>
        <v/>
      </c>
      <c r="BC201" t="str">
        <f>IF($A201="","", INDEX(CS!$B$1:$B$12903,MATCH($A201,CS!$B:$B,0)+COLUMN(F$1),1))</f>
        <v/>
      </c>
      <c r="BD201" t="str">
        <f>IF($A201="","", INDEX(CS!$B$1:$B$12903,MATCH($A201,CS!$B:$B,0)+COLUMN(I$1),1))</f>
        <v/>
      </c>
      <c r="BE201" t="str">
        <f>IF($A201="","", INDEX(CS!$B$1:$B$12903,MATCH($A201,CS!$B:$B,0)+COLUMN(J$1),1))</f>
        <v/>
      </c>
      <c r="BF201" t="str">
        <f>IF($A201="","", INDEX(CS!$B$1:$B$12903,MATCH($A201,CS!$B:$B,0)+COLUMN(K$1),1))</f>
        <v/>
      </c>
      <c r="BG201" t="str">
        <f>IF($A201="","", INDEX(CS!$B$1:$B$12903,MATCH($A201,CS!$B:$B,0)+COLUMN(L$1),1))</f>
        <v/>
      </c>
    </row>
    <row r="202" spans="3:59" x14ac:dyDescent="0.4">
      <c r="C202" t="s">
        <v>193</v>
      </c>
      <c r="D202" t="str">
        <f t="shared" si="10"/>
        <v>0/0/0</v>
      </c>
      <c r="E202">
        <v>1</v>
      </c>
      <c r="AX202" t="str">
        <f>IF($A202="","", INDEX(CS!$B$1:$B$12903,MATCH($A202,CS!$B:$B,0)+COLUMN(A$1),1))</f>
        <v/>
      </c>
      <c r="AY202" t="str">
        <f>IF($A202="","", INDEX(CS!$B$1:$B$12903,MATCH($A202,CS!$B:$B,0)+COLUMN(B$1),1))</f>
        <v/>
      </c>
      <c r="AZ202" t="str">
        <f>IF($A202="","", INDEX(CS!$B$1:$B$12903,MATCH($A202,CS!$B:$B,0)+COLUMN(C$1),1))</f>
        <v/>
      </c>
      <c r="BA202" t="str">
        <f>IF($A202="","", INDEX(CS!$B$1:$B$12903,MATCH($A202,CS!$B:$B,0)+COLUMN(D$1),1))</f>
        <v/>
      </c>
      <c r="BB202" t="str">
        <f>IF($A202="","", INDEX(CS!$B$1:$B$12903,MATCH($A202,CS!$B:$B,0)+COLUMN(E$1),1))</f>
        <v/>
      </c>
      <c r="BC202" t="str">
        <f>IF($A202="","", INDEX(CS!$B$1:$B$12903,MATCH($A202,CS!$B:$B,0)+COLUMN(F$1),1))</f>
        <v/>
      </c>
      <c r="BD202" t="str">
        <f>IF($A202="","", INDEX(CS!$B$1:$B$12903,MATCH($A202,CS!$B:$B,0)+COLUMN(I$1),1))</f>
        <v/>
      </c>
      <c r="BE202" t="str">
        <f>IF($A202="","", INDEX(CS!$B$1:$B$12903,MATCH($A202,CS!$B:$B,0)+COLUMN(J$1),1))</f>
        <v/>
      </c>
      <c r="BF202" t="str">
        <f>IF($A202="","", INDEX(CS!$B$1:$B$12903,MATCH($A202,CS!$B:$B,0)+COLUMN(K$1),1))</f>
        <v/>
      </c>
      <c r="BG202" t="str">
        <f>IF($A202="","", INDEX(CS!$B$1:$B$12903,MATCH($A202,CS!$B:$B,0)+COLUMN(L$1),1))</f>
        <v/>
      </c>
    </row>
    <row r="203" spans="3:59" x14ac:dyDescent="0.4">
      <c r="C203" t="s">
        <v>193</v>
      </c>
      <c r="D203" t="str">
        <f t="shared" si="10"/>
        <v>0/0/0</v>
      </c>
      <c r="E203">
        <v>1</v>
      </c>
      <c r="AX203" t="str">
        <f>IF($A203="","", INDEX(CS!$B$1:$B$12903,MATCH($A203,CS!$B:$B,0)+COLUMN(A$1),1))</f>
        <v/>
      </c>
      <c r="AY203" t="str">
        <f>IF($A203="","", INDEX(CS!$B$1:$B$12903,MATCH($A203,CS!$B:$B,0)+COLUMN(B$1),1))</f>
        <v/>
      </c>
      <c r="AZ203" t="str">
        <f>IF($A203="","", INDEX(CS!$B$1:$B$12903,MATCH($A203,CS!$B:$B,0)+COLUMN(C$1),1))</f>
        <v/>
      </c>
      <c r="BA203" t="str">
        <f>IF($A203="","", INDEX(CS!$B$1:$B$12903,MATCH($A203,CS!$B:$B,0)+COLUMN(D$1),1))</f>
        <v/>
      </c>
      <c r="BB203" t="str">
        <f>IF($A203="","", INDEX(CS!$B$1:$B$12903,MATCH($A203,CS!$B:$B,0)+COLUMN(E$1),1))</f>
        <v/>
      </c>
      <c r="BC203" t="str">
        <f>IF($A203="","", INDEX(CS!$B$1:$B$12903,MATCH($A203,CS!$B:$B,0)+COLUMN(F$1),1))</f>
        <v/>
      </c>
      <c r="BD203" t="str">
        <f>IF($A203="","", INDEX(CS!$B$1:$B$12903,MATCH($A203,CS!$B:$B,0)+COLUMN(I$1),1))</f>
        <v/>
      </c>
      <c r="BE203" t="str">
        <f>IF($A203="","", INDEX(CS!$B$1:$B$12903,MATCH($A203,CS!$B:$B,0)+COLUMN(J$1),1))</f>
        <v/>
      </c>
      <c r="BF203" t="str">
        <f>IF($A203="","", INDEX(CS!$B$1:$B$12903,MATCH($A203,CS!$B:$B,0)+COLUMN(K$1),1))</f>
        <v/>
      </c>
      <c r="BG203" t="str">
        <f>IF($A203="","", INDEX(CS!$B$1:$B$12903,MATCH($A203,CS!$B:$B,0)+COLUMN(L$1),1))</f>
        <v/>
      </c>
    </row>
    <row r="204" spans="3:59" x14ac:dyDescent="0.4">
      <c r="C204" t="s">
        <v>193</v>
      </c>
      <c r="D204" t="str">
        <f t="shared" si="10"/>
        <v>0/0/0</v>
      </c>
      <c r="E204">
        <v>1</v>
      </c>
      <c r="AX204" t="str">
        <f>IF($A204="","", INDEX(CS!$B$1:$B$12903,MATCH($A204,CS!$B:$B,0)+COLUMN(A$1),1))</f>
        <v/>
      </c>
      <c r="AY204" t="str">
        <f>IF($A204="","", INDEX(CS!$B$1:$B$12903,MATCH($A204,CS!$B:$B,0)+COLUMN(B$1),1))</f>
        <v/>
      </c>
      <c r="AZ204" t="str">
        <f>IF($A204="","", INDEX(CS!$B$1:$B$12903,MATCH($A204,CS!$B:$B,0)+COLUMN(C$1),1))</f>
        <v/>
      </c>
      <c r="BA204" t="str">
        <f>IF($A204="","", INDEX(CS!$B$1:$B$12903,MATCH($A204,CS!$B:$B,0)+COLUMN(D$1),1))</f>
        <v/>
      </c>
      <c r="BB204" t="str">
        <f>IF($A204="","", INDEX(CS!$B$1:$B$12903,MATCH($A204,CS!$B:$B,0)+COLUMN(E$1),1))</f>
        <v/>
      </c>
      <c r="BC204" t="str">
        <f>IF($A204="","", INDEX(CS!$B$1:$B$12903,MATCH($A204,CS!$B:$B,0)+COLUMN(F$1),1))</f>
        <v/>
      </c>
      <c r="BD204" t="str">
        <f>IF($A204="","", INDEX(CS!$B$1:$B$12903,MATCH($A204,CS!$B:$B,0)+COLUMN(I$1),1))</f>
        <v/>
      </c>
      <c r="BE204" t="str">
        <f>IF($A204="","", INDEX(CS!$B$1:$B$12903,MATCH($A204,CS!$B:$B,0)+COLUMN(J$1),1))</f>
        <v/>
      </c>
      <c r="BF204" t="str">
        <f>IF($A204="","", INDEX(CS!$B$1:$B$12903,MATCH($A204,CS!$B:$B,0)+COLUMN(K$1),1))</f>
        <v/>
      </c>
      <c r="BG204" t="str">
        <f>IF($A204="","", INDEX(CS!$B$1:$B$12903,MATCH($A204,CS!$B:$B,0)+COLUMN(L$1),1))</f>
        <v/>
      </c>
    </row>
    <row r="205" spans="3:59" x14ac:dyDescent="0.4">
      <c r="C205" t="s">
        <v>193</v>
      </c>
      <c r="D205" t="str">
        <f t="shared" si="10"/>
        <v>0/0/0</v>
      </c>
      <c r="E205">
        <v>1</v>
      </c>
      <c r="AX205" t="str">
        <f>IF($A205="","", INDEX(CS!$B$1:$B$12903,MATCH($A205,CS!$B:$B,0)+COLUMN(A$1),1))</f>
        <v/>
      </c>
      <c r="AY205" t="str">
        <f>IF($A205="","", INDEX(CS!$B$1:$B$12903,MATCH($A205,CS!$B:$B,0)+COLUMN(B$1),1))</f>
        <v/>
      </c>
      <c r="AZ205" t="str">
        <f>IF($A205="","", INDEX(CS!$B$1:$B$12903,MATCH($A205,CS!$B:$B,0)+COLUMN(C$1),1))</f>
        <v/>
      </c>
      <c r="BA205" t="str">
        <f>IF($A205="","", INDEX(CS!$B$1:$B$12903,MATCH($A205,CS!$B:$B,0)+COLUMN(D$1),1))</f>
        <v/>
      </c>
      <c r="BB205" t="str">
        <f>IF($A205="","", INDEX(CS!$B$1:$B$12903,MATCH($A205,CS!$B:$B,0)+COLUMN(E$1),1))</f>
        <v/>
      </c>
      <c r="BC205" t="str">
        <f>IF($A205="","", INDEX(CS!$B$1:$B$12903,MATCH($A205,CS!$B:$B,0)+COLUMN(F$1),1))</f>
        <v/>
      </c>
      <c r="BD205" t="str">
        <f>IF($A205="","", INDEX(CS!$B$1:$B$12903,MATCH($A205,CS!$B:$B,0)+COLUMN(I$1),1))</f>
        <v/>
      </c>
      <c r="BE205" t="str">
        <f>IF($A205="","", INDEX(CS!$B$1:$B$12903,MATCH($A205,CS!$B:$B,0)+COLUMN(J$1),1))</f>
        <v/>
      </c>
      <c r="BF205" t="str">
        <f>IF($A205="","", INDEX(CS!$B$1:$B$12903,MATCH($A205,CS!$B:$B,0)+COLUMN(K$1),1))</f>
        <v/>
      </c>
      <c r="BG205" t="str">
        <f>IF($A205="","", INDEX(CS!$B$1:$B$12903,MATCH($A205,CS!$B:$B,0)+COLUMN(L$1),1))</f>
        <v/>
      </c>
    </row>
    <row r="206" spans="3:59" x14ac:dyDescent="0.4">
      <c r="C206" t="s">
        <v>193</v>
      </c>
      <c r="D206" t="str">
        <f t="shared" si="10"/>
        <v>0/0/0</v>
      </c>
      <c r="E206">
        <v>1</v>
      </c>
      <c r="AX206" t="str">
        <f>IF($A206="","", INDEX(CS!$B$1:$B$12903,MATCH($A206,CS!$B:$B,0)+COLUMN(A$1),1))</f>
        <v/>
      </c>
      <c r="AY206" t="str">
        <f>IF($A206="","", INDEX(CS!$B$1:$B$12903,MATCH($A206,CS!$B:$B,0)+COLUMN(B$1),1))</f>
        <v/>
      </c>
      <c r="AZ206" t="str">
        <f>IF($A206="","", INDEX(CS!$B$1:$B$12903,MATCH($A206,CS!$B:$B,0)+COLUMN(C$1),1))</f>
        <v/>
      </c>
      <c r="BA206" t="str">
        <f>IF($A206="","", INDEX(CS!$B$1:$B$12903,MATCH($A206,CS!$B:$B,0)+COLUMN(D$1),1))</f>
        <v/>
      </c>
      <c r="BB206" t="str">
        <f>IF($A206="","", INDEX(CS!$B$1:$B$12903,MATCH($A206,CS!$B:$B,0)+COLUMN(E$1),1))</f>
        <v/>
      </c>
      <c r="BC206" t="str">
        <f>IF($A206="","", INDEX(CS!$B$1:$B$12903,MATCH($A206,CS!$B:$B,0)+COLUMN(F$1),1))</f>
        <v/>
      </c>
      <c r="BD206" t="str">
        <f>IF($A206="","", INDEX(CS!$B$1:$B$12903,MATCH($A206,CS!$B:$B,0)+COLUMN(I$1),1))</f>
        <v/>
      </c>
      <c r="BE206" t="str">
        <f>IF($A206="","", INDEX(CS!$B$1:$B$12903,MATCH($A206,CS!$B:$B,0)+COLUMN(J$1),1))</f>
        <v/>
      </c>
      <c r="BF206" t="str">
        <f>IF($A206="","", INDEX(CS!$B$1:$B$12903,MATCH($A206,CS!$B:$B,0)+COLUMN(K$1),1))</f>
        <v/>
      </c>
      <c r="BG206" t="str">
        <f>IF($A206="","", INDEX(CS!$B$1:$B$12903,MATCH($A206,CS!$B:$B,0)+COLUMN(L$1),1))</f>
        <v/>
      </c>
    </row>
    <row r="207" spans="3:59" x14ac:dyDescent="0.4">
      <c r="C207" t="s">
        <v>193</v>
      </c>
      <c r="D207" t="str">
        <f t="shared" si="10"/>
        <v>0/0/0</v>
      </c>
      <c r="E207">
        <v>1</v>
      </c>
      <c r="AX207" t="str">
        <f>IF($A207="","", INDEX(CS!$B$1:$B$12903,MATCH($A207,CS!$B:$B,0)+COLUMN(A$1),1))</f>
        <v/>
      </c>
      <c r="AY207" t="str">
        <f>IF($A207="","", INDEX(CS!$B$1:$B$12903,MATCH($A207,CS!$B:$B,0)+COLUMN(B$1),1))</f>
        <v/>
      </c>
      <c r="AZ207" t="str">
        <f>IF($A207="","", INDEX(CS!$B$1:$B$12903,MATCH($A207,CS!$B:$B,0)+COLUMN(C$1),1))</f>
        <v/>
      </c>
      <c r="BA207" t="str">
        <f>IF($A207="","", INDEX(CS!$B$1:$B$12903,MATCH($A207,CS!$B:$B,0)+COLUMN(D$1),1))</f>
        <v/>
      </c>
      <c r="BB207" t="str">
        <f>IF($A207="","", INDEX(CS!$B$1:$B$12903,MATCH($A207,CS!$B:$B,0)+COLUMN(E$1),1))</f>
        <v/>
      </c>
      <c r="BC207" t="str">
        <f>IF($A207="","", INDEX(CS!$B$1:$B$12903,MATCH($A207,CS!$B:$B,0)+COLUMN(F$1),1))</f>
        <v/>
      </c>
      <c r="BD207" t="str">
        <f>IF($A207="","", INDEX(CS!$B$1:$B$12903,MATCH($A207,CS!$B:$B,0)+COLUMN(I$1),1))</f>
        <v/>
      </c>
      <c r="BE207" t="str">
        <f>IF($A207="","", INDEX(CS!$B$1:$B$12903,MATCH($A207,CS!$B:$B,0)+COLUMN(J$1),1))</f>
        <v/>
      </c>
      <c r="BF207" t="str">
        <f>IF($A207="","", INDEX(CS!$B$1:$B$12903,MATCH($A207,CS!$B:$B,0)+COLUMN(K$1),1))</f>
        <v/>
      </c>
      <c r="BG207" t="str">
        <f>IF($A207="","", INDEX(CS!$B$1:$B$12903,MATCH($A207,CS!$B:$B,0)+COLUMN(L$1),1))</f>
        <v/>
      </c>
    </row>
    <row r="208" spans="3:59" x14ac:dyDescent="0.4">
      <c r="C208" t="s">
        <v>193</v>
      </c>
      <c r="D208" t="str">
        <f t="shared" si="10"/>
        <v>0/0/0</v>
      </c>
      <c r="E208">
        <v>1</v>
      </c>
      <c r="AX208" t="str">
        <f>IF($A208="","", INDEX(CS!$B$1:$B$12903,MATCH($A208,CS!$B:$B,0)+COLUMN(A$1),1))</f>
        <v/>
      </c>
      <c r="AY208" t="str">
        <f>IF($A208="","", INDEX(CS!$B$1:$B$12903,MATCH($A208,CS!$B:$B,0)+COLUMN(B$1),1))</f>
        <v/>
      </c>
      <c r="AZ208" t="str">
        <f>IF($A208="","", INDEX(CS!$B$1:$B$12903,MATCH($A208,CS!$B:$B,0)+COLUMN(C$1),1))</f>
        <v/>
      </c>
      <c r="BA208" t="str">
        <f>IF($A208="","", INDEX(CS!$B$1:$B$12903,MATCH($A208,CS!$B:$B,0)+COLUMN(D$1),1))</f>
        <v/>
      </c>
      <c r="BB208" t="str">
        <f>IF($A208="","", INDEX(CS!$B$1:$B$12903,MATCH($A208,CS!$B:$B,0)+COLUMN(E$1),1))</f>
        <v/>
      </c>
      <c r="BC208" t="str">
        <f>IF($A208="","", INDEX(CS!$B$1:$B$12903,MATCH($A208,CS!$B:$B,0)+COLUMN(F$1),1))</f>
        <v/>
      </c>
      <c r="BD208" t="str">
        <f>IF($A208="","", INDEX(CS!$B$1:$B$12903,MATCH($A208,CS!$B:$B,0)+COLUMN(I$1),1))</f>
        <v/>
      </c>
      <c r="BE208" t="str">
        <f>IF($A208="","", INDEX(CS!$B$1:$B$12903,MATCH($A208,CS!$B:$B,0)+COLUMN(J$1),1))</f>
        <v/>
      </c>
      <c r="BF208" t="str">
        <f>IF($A208="","", INDEX(CS!$B$1:$B$12903,MATCH($A208,CS!$B:$B,0)+COLUMN(K$1),1))</f>
        <v/>
      </c>
      <c r="BG208" t="str">
        <f>IF($A208="","", INDEX(CS!$B$1:$B$12903,MATCH($A208,CS!$B:$B,0)+COLUMN(L$1),1))</f>
        <v/>
      </c>
    </row>
    <row r="209" spans="3:59" x14ac:dyDescent="0.4">
      <c r="C209" t="s">
        <v>193</v>
      </c>
      <c r="D209" t="str">
        <f t="shared" si="10"/>
        <v>0/0/0</v>
      </c>
      <c r="E209">
        <v>1</v>
      </c>
      <c r="AX209" t="str">
        <f>IF($A209="","", INDEX(CS!$B$1:$B$12903,MATCH($A209,CS!$B:$B,0)+COLUMN(A$1),1))</f>
        <v/>
      </c>
      <c r="AY209" t="str">
        <f>IF($A209="","", INDEX(CS!$B$1:$B$12903,MATCH($A209,CS!$B:$B,0)+COLUMN(B$1),1))</f>
        <v/>
      </c>
      <c r="AZ209" t="str">
        <f>IF($A209="","", INDEX(CS!$B$1:$B$12903,MATCH($A209,CS!$B:$B,0)+COLUMN(C$1),1))</f>
        <v/>
      </c>
      <c r="BA209" t="str">
        <f>IF($A209="","", INDEX(CS!$B$1:$B$12903,MATCH($A209,CS!$B:$B,0)+COLUMN(D$1),1))</f>
        <v/>
      </c>
      <c r="BB209" t="str">
        <f>IF($A209="","", INDEX(CS!$B$1:$B$12903,MATCH($A209,CS!$B:$B,0)+COLUMN(E$1),1))</f>
        <v/>
      </c>
      <c r="BC209" t="str">
        <f>IF($A209="","", INDEX(CS!$B$1:$B$12903,MATCH($A209,CS!$B:$B,0)+COLUMN(F$1),1))</f>
        <v/>
      </c>
      <c r="BD209" t="str">
        <f>IF($A209="","", INDEX(CS!$B$1:$B$12903,MATCH($A209,CS!$B:$B,0)+COLUMN(I$1),1))</f>
        <v/>
      </c>
      <c r="BE209" t="str">
        <f>IF($A209="","", INDEX(CS!$B$1:$B$12903,MATCH($A209,CS!$B:$B,0)+COLUMN(J$1),1))</f>
        <v/>
      </c>
      <c r="BF209" t="str">
        <f>IF($A209="","", INDEX(CS!$B$1:$B$12903,MATCH($A209,CS!$B:$B,0)+COLUMN(K$1),1))</f>
        <v/>
      </c>
      <c r="BG209" t="str">
        <f>IF($A209="","", INDEX(CS!$B$1:$B$12903,MATCH($A209,CS!$B:$B,0)+COLUMN(L$1),1))</f>
        <v/>
      </c>
    </row>
    <row r="210" spans="3:59" x14ac:dyDescent="0.4">
      <c r="C210" t="s">
        <v>193</v>
      </c>
      <c r="D210" t="str">
        <f t="shared" si="10"/>
        <v>0/0/0</v>
      </c>
      <c r="E210">
        <v>1</v>
      </c>
      <c r="AX210" t="str">
        <f>IF($A210="","", INDEX(CS!$B$1:$B$12903,MATCH($A210,CS!$B:$B,0)+COLUMN(A$1),1))</f>
        <v/>
      </c>
      <c r="AY210" t="str">
        <f>IF($A210="","", INDEX(CS!$B$1:$B$12903,MATCH($A210,CS!$B:$B,0)+COLUMN(B$1),1))</f>
        <v/>
      </c>
      <c r="AZ210" t="str">
        <f>IF($A210="","", INDEX(CS!$B$1:$B$12903,MATCH($A210,CS!$B:$B,0)+COLUMN(C$1),1))</f>
        <v/>
      </c>
      <c r="BA210" t="str">
        <f>IF($A210="","", INDEX(CS!$B$1:$B$12903,MATCH($A210,CS!$B:$B,0)+COLUMN(D$1),1))</f>
        <v/>
      </c>
      <c r="BB210" t="str">
        <f>IF($A210="","", INDEX(CS!$B$1:$B$12903,MATCH($A210,CS!$B:$B,0)+COLUMN(E$1),1))</f>
        <v/>
      </c>
      <c r="BC210" t="str">
        <f>IF($A210="","", INDEX(CS!$B$1:$B$12903,MATCH($A210,CS!$B:$B,0)+COLUMN(F$1),1))</f>
        <v/>
      </c>
      <c r="BD210" t="str">
        <f>IF($A210="","", INDEX(CS!$B$1:$B$12903,MATCH($A210,CS!$B:$B,0)+COLUMN(I$1),1))</f>
        <v/>
      </c>
      <c r="BE210" t="str">
        <f>IF($A210="","", INDEX(CS!$B$1:$B$12903,MATCH($A210,CS!$B:$B,0)+COLUMN(J$1),1))</f>
        <v/>
      </c>
      <c r="BF210" t="str">
        <f>IF($A210="","", INDEX(CS!$B$1:$B$12903,MATCH($A210,CS!$B:$B,0)+COLUMN(K$1),1))</f>
        <v/>
      </c>
      <c r="BG210" t="str">
        <f>IF($A210="","", INDEX(CS!$B$1:$B$12903,MATCH($A210,CS!$B:$B,0)+COLUMN(L$1),1))</f>
        <v/>
      </c>
    </row>
    <row r="211" spans="3:59" x14ac:dyDescent="0.4">
      <c r="C211" t="s">
        <v>193</v>
      </c>
      <c r="D211" t="str">
        <f t="shared" si="10"/>
        <v>0/0/0</v>
      </c>
      <c r="E211">
        <v>1</v>
      </c>
      <c r="AX211" t="str">
        <f>IF($A211="","", INDEX(CS!$B$1:$B$12903,MATCH($A211,CS!$B:$B,0)+COLUMN(A$1),1))</f>
        <v/>
      </c>
      <c r="AY211" t="str">
        <f>IF($A211="","", INDEX(CS!$B$1:$B$12903,MATCH($A211,CS!$B:$B,0)+COLUMN(B$1),1))</f>
        <v/>
      </c>
      <c r="AZ211" t="str">
        <f>IF($A211="","", INDEX(CS!$B$1:$B$12903,MATCH($A211,CS!$B:$B,0)+COLUMN(C$1),1))</f>
        <v/>
      </c>
      <c r="BA211" t="str">
        <f>IF($A211="","", INDEX(CS!$B$1:$B$12903,MATCH($A211,CS!$B:$B,0)+COLUMN(D$1),1))</f>
        <v/>
      </c>
      <c r="BB211" t="str">
        <f>IF($A211="","", INDEX(CS!$B$1:$B$12903,MATCH($A211,CS!$B:$B,0)+COLUMN(E$1),1))</f>
        <v/>
      </c>
      <c r="BC211" t="str">
        <f>IF($A211="","", INDEX(CS!$B$1:$B$12903,MATCH($A211,CS!$B:$B,0)+COLUMN(F$1),1))</f>
        <v/>
      </c>
      <c r="BD211" t="str">
        <f>IF($A211="","", INDEX(CS!$B$1:$B$12903,MATCH($A211,CS!$B:$B,0)+COLUMN(I$1),1))</f>
        <v/>
      </c>
      <c r="BE211" t="str">
        <f>IF($A211="","", INDEX(CS!$B$1:$B$12903,MATCH($A211,CS!$B:$B,0)+COLUMN(J$1),1))</f>
        <v/>
      </c>
      <c r="BF211" t="str">
        <f>IF($A211="","", INDEX(CS!$B$1:$B$12903,MATCH($A211,CS!$B:$B,0)+COLUMN(K$1),1))</f>
        <v/>
      </c>
      <c r="BG211" t="str">
        <f>IF($A211="","", INDEX(CS!$B$1:$B$12903,MATCH($A211,CS!$B:$B,0)+COLUMN(L$1),1))</f>
        <v/>
      </c>
    </row>
    <row r="212" spans="3:59" x14ac:dyDescent="0.4">
      <c r="C212" t="s">
        <v>193</v>
      </c>
      <c r="D212" t="str">
        <f t="shared" si="10"/>
        <v>0/0/0</v>
      </c>
      <c r="E212">
        <v>1</v>
      </c>
      <c r="AX212" t="str">
        <f>IF($A212="","", INDEX(CS!$B$1:$B$12903,MATCH($A212,CS!$B:$B,0)+COLUMN(A$1),1))</f>
        <v/>
      </c>
      <c r="AY212" t="str">
        <f>IF($A212="","", INDEX(CS!$B$1:$B$12903,MATCH($A212,CS!$B:$B,0)+COLUMN(B$1),1))</f>
        <v/>
      </c>
      <c r="AZ212" t="str">
        <f>IF($A212="","", INDEX(CS!$B$1:$B$12903,MATCH($A212,CS!$B:$B,0)+COLUMN(C$1),1))</f>
        <v/>
      </c>
      <c r="BA212" t="str">
        <f>IF($A212="","", INDEX(CS!$B$1:$B$12903,MATCH($A212,CS!$B:$B,0)+COLUMN(D$1),1))</f>
        <v/>
      </c>
      <c r="BB212" t="str">
        <f>IF($A212="","", INDEX(CS!$B$1:$B$12903,MATCH($A212,CS!$B:$B,0)+COLUMN(E$1),1))</f>
        <v/>
      </c>
      <c r="BC212" t="str">
        <f>IF($A212="","", INDEX(CS!$B$1:$B$12903,MATCH($A212,CS!$B:$B,0)+COLUMN(F$1),1))</f>
        <v/>
      </c>
      <c r="BD212" t="str">
        <f>IF($A212="","", INDEX(CS!$B$1:$B$12903,MATCH($A212,CS!$B:$B,0)+COLUMN(I$1),1))</f>
        <v/>
      </c>
      <c r="BE212" t="str">
        <f>IF($A212="","", INDEX(CS!$B$1:$B$12903,MATCH($A212,CS!$B:$B,0)+COLUMN(J$1),1))</f>
        <v/>
      </c>
      <c r="BF212" t="str">
        <f>IF($A212="","", INDEX(CS!$B$1:$B$12903,MATCH($A212,CS!$B:$B,0)+COLUMN(K$1),1))</f>
        <v/>
      </c>
      <c r="BG212" t="str">
        <f>IF($A212="","", INDEX(CS!$B$1:$B$12903,MATCH($A212,CS!$B:$B,0)+COLUMN(L$1),1))</f>
        <v/>
      </c>
    </row>
    <row r="213" spans="3:59" x14ac:dyDescent="0.4">
      <c r="C213" t="s">
        <v>193</v>
      </c>
      <c r="D213" t="str">
        <f t="shared" si="10"/>
        <v>0/0/0</v>
      </c>
      <c r="E213">
        <v>1</v>
      </c>
      <c r="AX213" t="str">
        <f>IF($A213="","", INDEX(CS!$B$1:$B$12903,MATCH($A213,CS!$B:$B,0)+COLUMN(A$1),1))</f>
        <v/>
      </c>
      <c r="AY213" t="str">
        <f>IF($A213="","", INDEX(CS!$B$1:$B$12903,MATCH($A213,CS!$B:$B,0)+COLUMN(B$1),1))</f>
        <v/>
      </c>
      <c r="AZ213" t="str">
        <f>IF($A213="","", INDEX(CS!$B$1:$B$12903,MATCH($A213,CS!$B:$B,0)+COLUMN(C$1),1))</f>
        <v/>
      </c>
      <c r="BA213" t="str">
        <f>IF($A213="","", INDEX(CS!$B$1:$B$12903,MATCH($A213,CS!$B:$B,0)+COLUMN(D$1),1))</f>
        <v/>
      </c>
      <c r="BB213" t="str">
        <f>IF($A213="","", INDEX(CS!$B$1:$B$12903,MATCH($A213,CS!$B:$B,0)+COLUMN(E$1),1))</f>
        <v/>
      </c>
      <c r="BC213" t="str">
        <f>IF($A213="","", INDEX(CS!$B$1:$B$12903,MATCH($A213,CS!$B:$B,0)+COLUMN(F$1),1))</f>
        <v/>
      </c>
      <c r="BD213" t="str">
        <f>IF($A213="","", INDEX(CS!$B$1:$B$12903,MATCH($A213,CS!$B:$B,0)+COLUMN(I$1),1))</f>
        <v/>
      </c>
      <c r="BE213" t="str">
        <f>IF($A213="","", INDEX(CS!$B$1:$B$12903,MATCH($A213,CS!$B:$B,0)+COLUMN(J$1),1))</f>
        <v/>
      </c>
      <c r="BF213" t="str">
        <f>IF($A213="","", INDEX(CS!$B$1:$B$12903,MATCH($A213,CS!$B:$B,0)+COLUMN(K$1),1))</f>
        <v/>
      </c>
      <c r="BG213" t="str">
        <f>IF($A213="","", INDEX(CS!$B$1:$B$12903,MATCH($A213,CS!$B:$B,0)+COLUMN(L$1),1))</f>
        <v/>
      </c>
    </row>
    <row r="214" spans="3:59" x14ac:dyDescent="0.4">
      <c r="C214" t="s">
        <v>193</v>
      </c>
      <c r="D214" t="str">
        <f t="shared" si="10"/>
        <v>0/0/0</v>
      </c>
      <c r="E214">
        <v>1</v>
      </c>
      <c r="AX214" t="str">
        <f>IF($A214="","", INDEX(CS!$B$1:$B$12903,MATCH($A214,CS!$B:$B,0)+COLUMN(A$1),1))</f>
        <v/>
      </c>
      <c r="AY214" t="str">
        <f>IF($A214="","", INDEX(CS!$B$1:$B$12903,MATCH($A214,CS!$B:$B,0)+COLUMN(B$1),1))</f>
        <v/>
      </c>
      <c r="AZ214" t="str">
        <f>IF($A214="","", INDEX(CS!$B$1:$B$12903,MATCH($A214,CS!$B:$B,0)+COLUMN(C$1),1))</f>
        <v/>
      </c>
      <c r="BA214" t="str">
        <f>IF($A214="","", INDEX(CS!$B$1:$B$12903,MATCH($A214,CS!$B:$B,0)+COLUMN(D$1),1))</f>
        <v/>
      </c>
      <c r="BB214" t="str">
        <f>IF($A214="","", INDEX(CS!$B$1:$B$12903,MATCH($A214,CS!$B:$B,0)+COLUMN(E$1),1))</f>
        <v/>
      </c>
      <c r="BC214" t="str">
        <f>IF($A214="","", INDEX(CS!$B$1:$B$12903,MATCH($A214,CS!$B:$B,0)+COLUMN(F$1),1))</f>
        <v/>
      </c>
      <c r="BD214" t="str">
        <f>IF($A214="","", INDEX(CS!$B$1:$B$12903,MATCH($A214,CS!$B:$B,0)+COLUMN(I$1),1))</f>
        <v/>
      </c>
      <c r="BE214" t="str">
        <f>IF($A214="","", INDEX(CS!$B$1:$B$12903,MATCH($A214,CS!$B:$B,0)+COLUMN(J$1),1))</f>
        <v/>
      </c>
      <c r="BF214" t="str">
        <f>IF($A214="","", INDEX(CS!$B$1:$B$12903,MATCH($A214,CS!$B:$B,0)+COLUMN(K$1),1))</f>
        <v/>
      </c>
      <c r="BG214" t="str">
        <f>IF($A214="","", INDEX(CS!$B$1:$B$12903,MATCH($A214,CS!$B:$B,0)+COLUMN(L$1),1))</f>
        <v/>
      </c>
    </row>
    <row r="215" spans="3:59" x14ac:dyDescent="0.4">
      <c r="C215" t="s">
        <v>193</v>
      </c>
      <c r="D215" t="str">
        <f t="shared" si="10"/>
        <v>0/0/0</v>
      </c>
      <c r="E215">
        <v>1</v>
      </c>
      <c r="AX215" t="str">
        <f>IF($A215="","", INDEX(CS!$B$1:$B$12903,MATCH($A215,CS!$B:$B,0)+COLUMN(A$1),1))</f>
        <v/>
      </c>
      <c r="AY215" t="str">
        <f>IF($A215="","", INDEX(CS!$B$1:$B$12903,MATCH($A215,CS!$B:$B,0)+COLUMN(B$1),1))</f>
        <v/>
      </c>
      <c r="AZ215" t="str">
        <f>IF($A215="","", INDEX(CS!$B$1:$B$12903,MATCH($A215,CS!$B:$B,0)+COLUMN(C$1),1))</f>
        <v/>
      </c>
      <c r="BA215" t="str">
        <f>IF($A215="","", INDEX(CS!$B$1:$B$12903,MATCH($A215,CS!$B:$B,0)+COLUMN(D$1),1))</f>
        <v/>
      </c>
      <c r="BB215" t="str">
        <f>IF($A215="","", INDEX(CS!$B$1:$B$12903,MATCH($A215,CS!$B:$B,0)+COLUMN(E$1),1))</f>
        <v/>
      </c>
      <c r="BC215" t="str">
        <f>IF($A215="","", INDEX(CS!$B$1:$B$12903,MATCH($A215,CS!$B:$B,0)+COLUMN(F$1),1))</f>
        <v/>
      </c>
      <c r="BD215" t="str">
        <f>IF($A215="","", INDEX(CS!$B$1:$B$12903,MATCH($A215,CS!$B:$B,0)+COLUMN(I$1),1))</f>
        <v/>
      </c>
      <c r="BE215" t="str">
        <f>IF($A215="","", INDEX(CS!$B$1:$B$12903,MATCH($A215,CS!$B:$B,0)+COLUMN(J$1),1))</f>
        <v/>
      </c>
      <c r="BF215" t="str">
        <f>IF($A215="","", INDEX(CS!$B$1:$B$12903,MATCH($A215,CS!$B:$B,0)+COLUMN(K$1),1))</f>
        <v/>
      </c>
      <c r="BG215" t="str">
        <f>IF($A215="","", INDEX(CS!$B$1:$B$12903,MATCH($A215,CS!$B:$B,0)+COLUMN(L$1),1))</f>
        <v/>
      </c>
    </row>
    <row r="216" spans="3:59" x14ac:dyDescent="0.4">
      <c r="C216" t="s">
        <v>193</v>
      </c>
      <c r="D216" t="str">
        <f t="shared" si="10"/>
        <v>0/0/0</v>
      </c>
      <c r="E216">
        <v>1</v>
      </c>
      <c r="AX216" t="str">
        <f>IF($A216="","", INDEX(CS!$B$1:$B$12903,MATCH($A216,CS!$B:$B,0)+COLUMN(A$1),1))</f>
        <v/>
      </c>
      <c r="AY216" t="str">
        <f>IF($A216="","", INDEX(CS!$B$1:$B$12903,MATCH($A216,CS!$B:$B,0)+COLUMN(B$1),1))</f>
        <v/>
      </c>
      <c r="AZ216" t="str">
        <f>IF($A216="","", INDEX(CS!$B$1:$B$12903,MATCH($A216,CS!$B:$B,0)+COLUMN(C$1),1))</f>
        <v/>
      </c>
      <c r="BA216" t="str">
        <f>IF($A216="","", INDEX(CS!$B$1:$B$12903,MATCH($A216,CS!$B:$B,0)+COLUMN(D$1),1))</f>
        <v/>
      </c>
      <c r="BB216" t="str">
        <f>IF($A216="","", INDEX(CS!$B$1:$B$12903,MATCH($A216,CS!$B:$B,0)+COLUMN(E$1),1))</f>
        <v/>
      </c>
      <c r="BC216" t="str">
        <f>IF($A216="","", INDEX(CS!$B$1:$B$12903,MATCH($A216,CS!$B:$B,0)+COLUMN(F$1),1))</f>
        <v/>
      </c>
      <c r="BD216" t="str">
        <f>IF($A216="","", INDEX(CS!$B$1:$B$12903,MATCH($A216,CS!$B:$B,0)+COLUMN(I$1),1))</f>
        <v/>
      </c>
      <c r="BE216" t="str">
        <f>IF($A216="","", INDEX(CS!$B$1:$B$12903,MATCH($A216,CS!$B:$B,0)+COLUMN(J$1),1))</f>
        <v/>
      </c>
      <c r="BF216" t="str">
        <f>IF($A216="","", INDEX(CS!$B$1:$B$12903,MATCH($A216,CS!$B:$B,0)+COLUMN(K$1),1))</f>
        <v/>
      </c>
      <c r="BG216" t="str">
        <f>IF($A216="","", INDEX(CS!$B$1:$B$12903,MATCH($A216,CS!$B:$B,0)+COLUMN(L$1),1))</f>
        <v/>
      </c>
    </row>
    <row r="217" spans="3:59" x14ac:dyDescent="0.4">
      <c r="C217" t="s">
        <v>193</v>
      </c>
      <c r="D217" t="str">
        <f t="shared" si="10"/>
        <v>0/0/0</v>
      </c>
      <c r="E217">
        <v>1</v>
      </c>
      <c r="AX217" t="str">
        <f>IF($A217="","", INDEX(CS!$B$1:$B$12903,MATCH($A217,CS!$B:$B,0)+COLUMN(A$1),1))</f>
        <v/>
      </c>
      <c r="AY217" t="str">
        <f>IF($A217="","", INDEX(CS!$B$1:$B$12903,MATCH($A217,CS!$B:$B,0)+COLUMN(B$1),1))</f>
        <v/>
      </c>
      <c r="AZ217" t="str">
        <f>IF($A217="","", INDEX(CS!$B$1:$B$12903,MATCH($A217,CS!$B:$B,0)+COLUMN(C$1),1))</f>
        <v/>
      </c>
      <c r="BA217" t="str">
        <f>IF($A217="","", INDEX(CS!$B$1:$B$12903,MATCH($A217,CS!$B:$B,0)+COLUMN(D$1),1))</f>
        <v/>
      </c>
      <c r="BB217" t="str">
        <f>IF($A217="","", INDEX(CS!$B$1:$B$12903,MATCH($A217,CS!$B:$B,0)+COLUMN(E$1),1))</f>
        <v/>
      </c>
      <c r="BC217" t="str">
        <f>IF($A217="","", INDEX(CS!$B$1:$B$12903,MATCH($A217,CS!$B:$B,0)+COLUMN(F$1),1))</f>
        <v/>
      </c>
      <c r="BD217" t="str">
        <f>IF($A217="","", INDEX(CS!$B$1:$B$12903,MATCH($A217,CS!$B:$B,0)+COLUMN(I$1),1))</f>
        <v/>
      </c>
      <c r="BE217" t="str">
        <f>IF($A217="","", INDEX(CS!$B$1:$B$12903,MATCH($A217,CS!$B:$B,0)+COLUMN(J$1),1))</f>
        <v/>
      </c>
      <c r="BF217" t="str">
        <f>IF($A217="","", INDEX(CS!$B$1:$B$12903,MATCH($A217,CS!$B:$B,0)+COLUMN(K$1),1))</f>
        <v/>
      </c>
      <c r="BG217" t="str">
        <f>IF($A217="","", INDEX(CS!$B$1:$B$12903,MATCH($A217,CS!$B:$B,0)+COLUMN(L$1),1))</f>
        <v/>
      </c>
    </row>
    <row r="218" spans="3:59" x14ac:dyDescent="0.4">
      <c r="C218" t="s">
        <v>193</v>
      </c>
      <c r="D218" t="str">
        <f t="shared" si="10"/>
        <v>0/0/0</v>
      </c>
      <c r="E218">
        <v>1</v>
      </c>
      <c r="AX218" t="str">
        <f>IF($A218="","", INDEX(CS!$B$1:$B$12903,MATCH($A218,CS!$B:$B,0)+COLUMN(A$1),1))</f>
        <v/>
      </c>
      <c r="AY218" t="str">
        <f>IF($A218="","", INDEX(CS!$B$1:$B$12903,MATCH($A218,CS!$B:$B,0)+COLUMN(B$1),1))</f>
        <v/>
      </c>
      <c r="AZ218" t="str">
        <f>IF($A218="","", INDEX(CS!$B$1:$B$12903,MATCH($A218,CS!$B:$B,0)+COLUMN(C$1),1))</f>
        <v/>
      </c>
      <c r="BA218" t="str">
        <f>IF($A218="","", INDEX(CS!$B$1:$B$12903,MATCH($A218,CS!$B:$B,0)+COLUMN(D$1),1))</f>
        <v/>
      </c>
      <c r="BB218" t="str">
        <f>IF($A218="","", INDEX(CS!$B$1:$B$12903,MATCH($A218,CS!$B:$B,0)+COLUMN(E$1),1))</f>
        <v/>
      </c>
      <c r="BC218" t="str">
        <f>IF($A218="","", INDEX(CS!$B$1:$B$12903,MATCH($A218,CS!$B:$B,0)+COLUMN(F$1),1))</f>
        <v/>
      </c>
      <c r="BD218" t="str">
        <f>IF($A218="","", INDEX(CS!$B$1:$B$12903,MATCH($A218,CS!$B:$B,0)+COLUMN(I$1),1))</f>
        <v/>
      </c>
      <c r="BE218" t="str">
        <f>IF($A218="","", INDEX(CS!$B$1:$B$12903,MATCH($A218,CS!$B:$B,0)+COLUMN(J$1),1))</f>
        <v/>
      </c>
      <c r="BF218" t="str">
        <f>IF($A218="","", INDEX(CS!$B$1:$B$12903,MATCH($A218,CS!$B:$B,0)+COLUMN(K$1),1))</f>
        <v/>
      </c>
      <c r="BG218" t="str">
        <f>IF($A218="","", INDEX(CS!$B$1:$B$12903,MATCH($A218,CS!$B:$B,0)+COLUMN(L$1),1))</f>
        <v/>
      </c>
    </row>
    <row r="219" spans="3:59" x14ac:dyDescent="0.4">
      <c r="C219" t="s">
        <v>193</v>
      </c>
      <c r="D219" t="str">
        <f t="shared" si="10"/>
        <v>0/0/0</v>
      </c>
      <c r="E219">
        <v>1</v>
      </c>
      <c r="AX219" t="str">
        <f>IF($A219="","", INDEX(CS!$B$1:$B$12903,MATCH($A219,CS!$B:$B,0)+COLUMN(A$1),1))</f>
        <v/>
      </c>
      <c r="AY219" t="str">
        <f>IF($A219="","", INDEX(CS!$B$1:$B$12903,MATCH($A219,CS!$B:$B,0)+COLUMN(B$1),1))</f>
        <v/>
      </c>
      <c r="AZ219" t="str">
        <f>IF($A219="","", INDEX(CS!$B$1:$B$12903,MATCH($A219,CS!$B:$B,0)+COLUMN(C$1),1))</f>
        <v/>
      </c>
      <c r="BA219" t="str">
        <f>IF($A219="","", INDEX(CS!$B$1:$B$12903,MATCH($A219,CS!$B:$B,0)+COLUMN(D$1),1))</f>
        <v/>
      </c>
      <c r="BB219" t="str">
        <f>IF($A219="","", INDEX(CS!$B$1:$B$12903,MATCH($A219,CS!$B:$B,0)+COLUMN(E$1),1))</f>
        <v/>
      </c>
      <c r="BC219" t="str">
        <f>IF($A219="","", INDEX(CS!$B$1:$B$12903,MATCH($A219,CS!$B:$B,0)+COLUMN(F$1),1))</f>
        <v/>
      </c>
      <c r="BD219" t="str">
        <f>IF($A219="","", INDEX(CS!$B$1:$B$12903,MATCH($A219,CS!$B:$B,0)+COLUMN(I$1),1))</f>
        <v/>
      </c>
      <c r="BE219" t="str">
        <f>IF($A219="","", INDEX(CS!$B$1:$B$12903,MATCH($A219,CS!$B:$B,0)+COLUMN(J$1),1))</f>
        <v/>
      </c>
      <c r="BF219" t="str">
        <f>IF($A219="","", INDEX(CS!$B$1:$B$12903,MATCH($A219,CS!$B:$B,0)+COLUMN(K$1),1))</f>
        <v/>
      </c>
      <c r="BG219" t="str">
        <f>IF($A219="","", INDEX(CS!$B$1:$B$12903,MATCH($A219,CS!$B:$B,0)+COLUMN(L$1),1))</f>
        <v/>
      </c>
    </row>
  </sheetData>
  <mergeCells count="15">
    <mergeCell ref="AJ7:AY7"/>
    <mergeCell ref="AJ2:AY2"/>
    <mergeCell ref="AJ3:AY3"/>
    <mergeCell ref="AJ4:AY4"/>
    <mergeCell ref="AJ5:AY5"/>
    <mergeCell ref="AJ6:AY6"/>
    <mergeCell ref="AJ14:AY14"/>
    <mergeCell ref="AJ15:AY15"/>
    <mergeCell ref="AJ16:AY16"/>
    <mergeCell ref="AJ8:AY8"/>
    <mergeCell ref="AJ9:AY9"/>
    <mergeCell ref="AJ10:AY10"/>
    <mergeCell ref="AJ11:AY11"/>
    <mergeCell ref="AJ12:AY12"/>
    <mergeCell ref="AJ13:AY13"/>
  </mergeCells>
  <phoneticPr fontId="2"/>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1EB26-4A77-41D5-9C66-760EDE62DA64}">
  <sheetPr codeName="Sheet23"/>
  <dimension ref="A1:I9"/>
  <sheetViews>
    <sheetView workbookViewId="0">
      <selection activeCell="A8" sqref="A8"/>
    </sheetView>
  </sheetViews>
  <sheetFormatPr defaultRowHeight="18.75" x14ac:dyDescent="0.4"/>
  <cols>
    <col min="1" max="2" width="13" bestFit="1" customWidth="1"/>
    <col min="3" max="3" width="15" bestFit="1" customWidth="1"/>
    <col min="4" max="4" width="36.25" bestFit="1" customWidth="1"/>
    <col min="5" max="5" width="46.375" bestFit="1" customWidth="1"/>
    <col min="6" max="6" width="95.875" bestFit="1" customWidth="1"/>
    <col min="7" max="7" width="43.75" bestFit="1" customWidth="1"/>
    <col min="8" max="8" width="4.5" bestFit="1" customWidth="1"/>
    <col min="9" max="9" width="4.75" bestFit="1" customWidth="1"/>
  </cols>
  <sheetData>
    <row r="1" spans="1:9" s="2" customFormat="1" ht="18" x14ac:dyDescent="0.4">
      <c r="A1" s="2" t="s">
        <v>1488</v>
      </c>
      <c r="B1" s="2" t="s">
        <v>1489</v>
      </c>
      <c r="C1" s="2" t="s">
        <v>1490</v>
      </c>
      <c r="D1" s="2" t="s">
        <v>1491</v>
      </c>
      <c r="E1" s="2" t="s">
        <v>1492</v>
      </c>
      <c r="F1" s="2" t="s">
        <v>1493</v>
      </c>
      <c r="G1" s="2" t="s">
        <v>1494</v>
      </c>
      <c r="H1" s="2" t="s">
        <v>1495</v>
      </c>
      <c r="I1" s="2" t="s">
        <v>1496</v>
      </c>
    </row>
    <row r="2" spans="1:9" x14ac:dyDescent="0.4">
      <c r="A2" t="s">
        <v>1497</v>
      </c>
      <c r="B2" t="s">
        <v>1497</v>
      </c>
      <c r="C2" t="s">
        <v>54</v>
      </c>
      <c r="D2" t="s">
        <v>1498</v>
      </c>
      <c r="E2" t="s">
        <v>1499</v>
      </c>
      <c r="F2" t="s">
        <v>1500</v>
      </c>
      <c r="G2" t="s">
        <v>1501</v>
      </c>
      <c r="H2">
        <v>110</v>
      </c>
      <c r="I2">
        <v>22</v>
      </c>
    </row>
    <row r="3" spans="1:9" x14ac:dyDescent="0.4">
      <c r="A3" t="s">
        <v>56</v>
      </c>
      <c r="B3" t="s">
        <v>56</v>
      </c>
      <c r="C3" t="s">
        <v>56</v>
      </c>
      <c r="D3" t="s">
        <v>1502</v>
      </c>
      <c r="E3" t="s">
        <v>1503</v>
      </c>
      <c r="F3" t="s">
        <v>1504</v>
      </c>
      <c r="G3" t="s">
        <v>1505</v>
      </c>
      <c r="H3">
        <v>85</v>
      </c>
      <c r="I3">
        <v>26</v>
      </c>
    </row>
    <row r="4" spans="1:9" x14ac:dyDescent="0.4">
      <c r="A4" t="s">
        <v>41</v>
      </c>
      <c r="B4" t="s">
        <v>41</v>
      </c>
      <c r="C4" t="s">
        <v>41</v>
      </c>
      <c r="D4" t="s">
        <v>1506</v>
      </c>
      <c r="E4" t="s">
        <v>1507</v>
      </c>
      <c r="F4" t="s">
        <v>1508</v>
      </c>
      <c r="G4" t="s">
        <v>1509</v>
      </c>
      <c r="H4">
        <v>145</v>
      </c>
      <c r="I4">
        <v>30</v>
      </c>
    </row>
    <row r="5" spans="1:9" x14ac:dyDescent="0.4">
      <c r="A5" t="s">
        <v>43</v>
      </c>
      <c r="B5" t="s">
        <v>43</v>
      </c>
      <c r="C5" t="s">
        <v>43</v>
      </c>
      <c r="D5" t="s">
        <v>1510</v>
      </c>
      <c r="E5" t="s">
        <v>1511</v>
      </c>
      <c r="F5" t="s">
        <v>1512</v>
      </c>
      <c r="G5" t="s">
        <v>1513</v>
      </c>
      <c r="H5">
        <v>78</v>
      </c>
      <c r="I5">
        <v>18</v>
      </c>
    </row>
    <row r="6" spans="1:9" x14ac:dyDescent="0.4">
      <c r="A6" t="s">
        <v>1514</v>
      </c>
      <c r="B6" t="s">
        <v>1514</v>
      </c>
      <c r="C6" t="s">
        <v>63</v>
      </c>
      <c r="D6" t="s">
        <v>1515</v>
      </c>
      <c r="E6" t="s">
        <v>1516</v>
      </c>
      <c r="F6" t="s">
        <v>1517</v>
      </c>
      <c r="G6" t="s">
        <v>1518</v>
      </c>
      <c r="H6">
        <v>125</v>
      </c>
      <c r="I6">
        <v>28</v>
      </c>
    </row>
    <row r="7" spans="1:9" x14ac:dyDescent="0.4">
      <c r="A7" t="s">
        <v>1519</v>
      </c>
      <c r="B7" t="s">
        <v>1519</v>
      </c>
      <c r="C7" t="s">
        <v>45</v>
      </c>
      <c r="D7" t="s">
        <v>1520</v>
      </c>
      <c r="E7" t="s">
        <v>1521</v>
      </c>
      <c r="F7" t="s">
        <v>1522</v>
      </c>
      <c r="G7" t="s">
        <v>1523</v>
      </c>
      <c r="H7">
        <v>95</v>
      </c>
      <c r="I7">
        <v>32</v>
      </c>
    </row>
    <row r="8" spans="1:9" x14ac:dyDescent="0.4">
      <c r="A8" t="s">
        <v>1524</v>
      </c>
      <c r="B8" t="s">
        <v>1524</v>
      </c>
      <c r="C8" t="s">
        <v>47</v>
      </c>
      <c r="D8" t="s">
        <v>1525</v>
      </c>
      <c r="E8" t="s">
        <v>1526</v>
      </c>
      <c r="F8" t="s">
        <v>1527</v>
      </c>
      <c r="G8" t="s">
        <v>1528</v>
      </c>
      <c r="H8">
        <v>105</v>
      </c>
      <c r="I8">
        <v>21</v>
      </c>
    </row>
    <row r="9" spans="1:9" x14ac:dyDescent="0.4">
      <c r="A9" t="s">
        <v>49</v>
      </c>
      <c r="B9" t="s">
        <v>49</v>
      </c>
      <c r="C9" t="s">
        <v>49</v>
      </c>
      <c r="D9" t="s">
        <v>1529</v>
      </c>
      <c r="E9" t="s">
        <v>1530</v>
      </c>
      <c r="F9" t="s">
        <v>1531</v>
      </c>
      <c r="G9" t="s">
        <v>1532</v>
      </c>
      <c r="H9">
        <v>100</v>
      </c>
      <c r="I9">
        <v>24</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51429-F0C9-4C5F-8920-A25E750E5DB9}">
  <sheetPr codeName="Sheet18"/>
  <dimension ref="A1:I12"/>
  <sheetViews>
    <sheetView workbookViewId="0">
      <selection activeCell="E1" sqref="E1:F1"/>
    </sheetView>
  </sheetViews>
  <sheetFormatPr defaultRowHeight="18.75" x14ac:dyDescent="0.4"/>
  <cols>
    <col min="1" max="1" width="7.125" bestFit="1" customWidth="1"/>
    <col min="2" max="2" width="15" bestFit="1" customWidth="1"/>
    <col min="3" max="4" width="15" customWidth="1"/>
    <col min="5" max="5" width="8.5" customWidth="1"/>
    <col min="9" max="9" width="5.625" customWidth="1"/>
  </cols>
  <sheetData>
    <row r="1" spans="1:9" x14ac:dyDescent="0.4">
      <c r="A1" t="s">
        <v>854</v>
      </c>
      <c r="B1" t="s">
        <v>886</v>
      </c>
      <c r="C1" t="s">
        <v>1335</v>
      </c>
      <c r="D1" t="s">
        <v>1336</v>
      </c>
      <c r="E1" t="s">
        <v>895</v>
      </c>
      <c r="F1" t="s">
        <v>972</v>
      </c>
      <c r="G1" t="s">
        <v>1168</v>
      </c>
      <c r="H1" t="s">
        <v>1015</v>
      </c>
      <c r="I1" t="s">
        <v>971</v>
      </c>
    </row>
    <row r="2" spans="1:9" x14ac:dyDescent="0.4">
      <c r="A2" t="s">
        <v>875</v>
      </c>
      <c r="B2" t="s">
        <v>55</v>
      </c>
      <c r="C2" t="s">
        <v>1337</v>
      </c>
      <c r="D2" t="s">
        <v>1338</v>
      </c>
      <c r="E2">
        <v>50</v>
      </c>
      <c r="F2">
        <v>0</v>
      </c>
      <c r="G2" s="39">
        <v>1</v>
      </c>
      <c r="H2" s="39">
        <v>0.15</v>
      </c>
      <c r="I2" t="s">
        <v>974</v>
      </c>
    </row>
    <row r="3" spans="1:9" x14ac:dyDescent="0.4">
      <c r="A3" t="s">
        <v>876</v>
      </c>
      <c r="B3" t="s">
        <v>57</v>
      </c>
      <c r="C3" t="s">
        <v>499</v>
      </c>
      <c r="D3" t="s">
        <v>1339</v>
      </c>
      <c r="E3">
        <v>50</v>
      </c>
      <c r="F3">
        <v>0</v>
      </c>
      <c r="G3" s="39">
        <v>1</v>
      </c>
      <c r="H3" s="39">
        <v>0.1</v>
      </c>
      <c r="I3" t="s">
        <v>973</v>
      </c>
    </row>
    <row r="4" spans="1:9" x14ac:dyDescent="0.4">
      <c r="A4" t="s">
        <v>877</v>
      </c>
      <c r="B4" t="s">
        <v>59</v>
      </c>
      <c r="C4" t="s">
        <v>1340</v>
      </c>
      <c r="D4" t="s">
        <v>1341</v>
      </c>
      <c r="E4">
        <v>50</v>
      </c>
      <c r="F4">
        <v>1</v>
      </c>
      <c r="G4" s="39">
        <v>1</v>
      </c>
      <c r="H4" s="39">
        <v>0.1</v>
      </c>
      <c r="I4" t="s">
        <v>975</v>
      </c>
    </row>
    <row r="5" spans="1:9" x14ac:dyDescent="0.4">
      <c r="A5" t="s">
        <v>878</v>
      </c>
      <c r="B5" t="s">
        <v>53</v>
      </c>
      <c r="C5" t="s">
        <v>1342</v>
      </c>
      <c r="D5" t="s">
        <v>1343</v>
      </c>
      <c r="E5">
        <v>60</v>
      </c>
      <c r="F5">
        <v>1</v>
      </c>
      <c r="G5" s="39">
        <v>0.8</v>
      </c>
      <c r="H5" s="39">
        <v>0.2</v>
      </c>
      <c r="I5" t="s">
        <v>974</v>
      </c>
    </row>
    <row r="6" spans="1:9" x14ac:dyDescent="0.4">
      <c r="A6" t="s">
        <v>879</v>
      </c>
      <c r="B6" t="s">
        <v>64</v>
      </c>
      <c r="C6" t="s">
        <v>1344</v>
      </c>
      <c r="D6" t="s">
        <v>1345</v>
      </c>
      <c r="E6">
        <v>25</v>
      </c>
      <c r="F6">
        <v>1</v>
      </c>
      <c r="G6" s="39">
        <v>1.25</v>
      </c>
      <c r="H6" s="39">
        <v>0.25</v>
      </c>
      <c r="I6" t="s">
        <v>979</v>
      </c>
    </row>
    <row r="7" spans="1:9" x14ac:dyDescent="0.4">
      <c r="A7" t="s">
        <v>880</v>
      </c>
      <c r="B7" t="s">
        <v>42</v>
      </c>
      <c r="C7" t="s">
        <v>1346</v>
      </c>
      <c r="D7" t="s">
        <v>1347</v>
      </c>
      <c r="E7">
        <v>25</v>
      </c>
      <c r="F7">
        <v>1</v>
      </c>
      <c r="G7" s="39">
        <v>0.8</v>
      </c>
      <c r="H7" s="39">
        <v>0.35</v>
      </c>
      <c r="I7" t="s">
        <v>976</v>
      </c>
    </row>
    <row r="8" spans="1:9" x14ac:dyDescent="0.4">
      <c r="A8" t="s">
        <v>881</v>
      </c>
      <c r="B8" t="s">
        <v>66</v>
      </c>
      <c r="C8" t="s">
        <v>1348</v>
      </c>
      <c r="D8" t="s">
        <v>1349</v>
      </c>
      <c r="E8">
        <v>15</v>
      </c>
      <c r="F8">
        <v>2</v>
      </c>
      <c r="G8" s="39">
        <v>1.2</v>
      </c>
      <c r="H8" s="39">
        <v>0.45</v>
      </c>
      <c r="I8" t="s">
        <v>978</v>
      </c>
    </row>
    <row r="9" spans="1:9" x14ac:dyDescent="0.4">
      <c r="A9" t="s">
        <v>882</v>
      </c>
      <c r="B9" t="s">
        <v>44</v>
      </c>
      <c r="C9" t="s">
        <v>1350</v>
      </c>
      <c r="D9" t="s">
        <v>1351</v>
      </c>
      <c r="E9">
        <v>75</v>
      </c>
      <c r="F9">
        <v>0</v>
      </c>
      <c r="G9" s="39">
        <v>0.5</v>
      </c>
      <c r="H9" s="39">
        <v>0.1</v>
      </c>
      <c r="I9" t="s">
        <v>977</v>
      </c>
    </row>
    <row r="10" spans="1:9" x14ac:dyDescent="0.4">
      <c r="A10" t="s">
        <v>883</v>
      </c>
      <c r="B10" t="s">
        <v>46</v>
      </c>
      <c r="C10" t="s">
        <v>1352</v>
      </c>
      <c r="D10" t="s">
        <v>1353</v>
      </c>
      <c r="E10">
        <v>10</v>
      </c>
      <c r="F10">
        <v>3</v>
      </c>
      <c r="G10" s="39">
        <v>1.5</v>
      </c>
      <c r="H10" s="39">
        <v>0.6</v>
      </c>
      <c r="I10" t="s">
        <v>981</v>
      </c>
    </row>
    <row r="11" spans="1:9" x14ac:dyDescent="0.4">
      <c r="A11" t="s">
        <v>884</v>
      </c>
      <c r="B11" t="s">
        <v>48</v>
      </c>
      <c r="C11" t="s">
        <v>1354</v>
      </c>
      <c r="D11" t="s">
        <v>1355</v>
      </c>
      <c r="E11">
        <v>15</v>
      </c>
      <c r="F11">
        <v>3</v>
      </c>
      <c r="G11" s="39">
        <v>1.5</v>
      </c>
      <c r="H11" s="39">
        <v>0.6</v>
      </c>
      <c r="I11" t="s">
        <v>980</v>
      </c>
    </row>
    <row r="12" spans="1:9" x14ac:dyDescent="0.4">
      <c r="A12" t="s">
        <v>885</v>
      </c>
      <c r="B12" t="s">
        <v>50</v>
      </c>
      <c r="C12" t="s">
        <v>1356</v>
      </c>
      <c r="D12" t="s">
        <v>1357</v>
      </c>
      <c r="E12">
        <v>10</v>
      </c>
      <c r="G12" s="39">
        <v>1.5</v>
      </c>
      <c r="H12" s="39">
        <v>0.6</v>
      </c>
      <c r="I12" t="s">
        <v>982</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6456C-9285-4937-9717-122335B22E41}">
  <sheetPr codeName="Sheet2">
    <tabColor theme="5" tint="0.79998168889431442"/>
  </sheetPr>
  <dimension ref="A1:B16"/>
  <sheetViews>
    <sheetView workbookViewId="0">
      <selection activeCell="B12" sqref="B12"/>
    </sheetView>
  </sheetViews>
  <sheetFormatPr defaultRowHeight="18.75" x14ac:dyDescent="0.4"/>
  <cols>
    <col min="2" max="2" width="51.875" style="17" customWidth="1"/>
  </cols>
  <sheetData>
    <row r="1" spans="1:2" x14ac:dyDescent="0.4">
      <c r="A1" t="s">
        <v>231</v>
      </c>
      <c r="B1" s="17" t="s">
        <v>81</v>
      </c>
    </row>
    <row r="2" spans="1:2" ht="37.5" x14ac:dyDescent="0.4">
      <c r="A2" t="s">
        <v>0</v>
      </c>
      <c r="B2" s="17" t="s">
        <v>1815</v>
      </c>
    </row>
    <row r="3" spans="1:2" ht="37.5" x14ac:dyDescent="0.4">
      <c r="A3" t="s">
        <v>1</v>
      </c>
      <c r="B3" s="17" t="s">
        <v>233</v>
      </c>
    </row>
    <row r="4" spans="1:2" ht="37.5" x14ac:dyDescent="0.4">
      <c r="A4" t="s">
        <v>2</v>
      </c>
      <c r="B4" s="17" t="s">
        <v>234</v>
      </c>
    </row>
    <row r="5" spans="1:2" ht="37.5" x14ac:dyDescent="0.4">
      <c r="A5" t="s">
        <v>105</v>
      </c>
      <c r="B5" s="17" t="s">
        <v>235</v>
      </c>
    </row>
    <row r="6" spans="1:2" ht="37.5" x14ac:dyDescent="0.4">
      <c r="A6" t="s">
        <v>1816</v>
      </c>
      <c r="B6" s="17" t="s">
        <v>236</v>
      </c>
    </row>
    <row r="7" spans="1:2" ht="37.5" x14ac:dyDescent="0.4">
      <c r="A7" t="s">
        <v>4</v>
      </c>
      <c r="B7" s="17" t="s">
        <v>237</v>
      </c>
    </row>
    <row r="8" spans="1:2" ht="37.5" x14ac:dyDescent="0.4">
      <c r="A8" t="s">
        <v>3</v>
      </c>
      <c r="B8" s="17" t="s">
        <v>238</v>
      </c>
    </row>
    <row r="9" spans="1:2" ht="37.5" x14ac:dyDescent="0.4">
      <c r="A9" t="s">
        <v>226</v>
      </c>
      <c r="B9" s="17" t="s">
        <v>239</v>
      </c>
    </row>
    <row r="10" spans="1:2" ht="37.5" x14ac:dyDescent="0.4">
      <c r="A10" t="s">
        <v>227</v>
      </c>
      <c r="B10" s="17" t="s">
        <v>240</v>
      </c>
    </row>
    <row r="11" spans="1:2" ht="37.5" x14ac:dyDescent="0.4">
      <c r="A11" t="s">
        <v>228</v>
      </c>
      <c r="B11" s="17" t="s">
        <v>241</v>
      </c>
    </row>
    <row r="12" spans="1:2" ht="37.5" x14ac:dyDescent="0.4">
      <c r="A12" t="s">
        <v>945</v>
      </c>
      <c r="B12" s="17" t="s">
        <v>1817</v>
      </c>
    </row>
    <row r="13" spans="1:2" ht="37.5" x14ac:dyDescent="0.4">
      <c r="A13" t="s">
        <v>230</v>
      </c>
      <c r="B13" s="17" t="s">
        <v>243</v>
      </c>
    </row>
    <row r="14" spans="1:2" ht="37.5" x14ac:dyDescent="0.4">
      <c r="A14" t="s">
        <v>5</v>
      </c>
      <c r="B14" s="17" t="s">
        <v>244</v>
      </c>
    </row>
    <row r="15" spans="1:2" ht="37.5" x14ac:dyDescent="0.4">
      <c r="A15" t="s">
        <v>991</v>
      </c>
      <c r="B15" s="17" t="s">
        <v>942</v>
      </c>
    </row>
    <row r="16" spans="1:2" ht="37.5" x14ac:dyDescent="0.4">
      <c r="A16" t="s">
        <v>6</v>
      </c>
      <c r="B16" s="17" t="s">
        <v>941</v>
      </c>
    </row>
  </sheetData>
  <phoneticPr fontId="2"/>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C196-6ACB-43D4-A2AD-35AA78DAEC1F}">
  <sheetPr codeName="Sheet4">
    <tabColor theme="5" tint="0.79998168889431442"/>
  </sheetPr>
  <dimension ref="A1:CM100"/>
  <sheetViews>
    <sheetView workbookViewId="0">
      <pane xSplit="8" ySplit="3" topLeftCell="AR63" activePane="bottomRight" state="frozen"/>
      <selection pane="topRight" activeCell="H1" sqref="H1"/>
      <selection pane="bottomLeft" activeCell="A4" sqref="A4"/>
      <selection pane="bottomRight" activeCell="F67" sqref="F67"/>
    </sheetView>
  </sheetViews>
  <sheetFormatPr defaultRowHeight="18.75" outlineLevelRow="1" outlineLevelCol="1" x14ac:dyDescent="0.4"/>
  <cols>
    <col min="1" max="2" width="11.625" customWidth="1"/>
    <col min="3" max="4" width="2.875" customWidth="1"/>
    <col min="5" max="6" width="3.625" customWidth="1"/>
    <col min="7" max="7" width="6.25" style="51" customWidth="1"/>
    <col min="8" max="8" width="31.375" style="17" customWidth="1"/>
    <col min="9" max="11" width="5.5" customWidth="1"/>
    <col min="12" max="12" width="5.375" style="17" customWidth="1"/>
    <col min="13" max="14" width="6.5" style="17" customWidth="1" collapsed="1"/>
    <col min="15" max="15" width="4.875" style="17" customWidth="1" collapsed="1"/>
    <col min="16" max="25" width="4.875" style="17" customWidth="1" outlineLevel="1"/>
    <col min="26" max="32" width="4.875" customWidth="1" outlineLevel="1"/>
    <col min="33" max="33" width="5.25" customWidth="1" outlineLevel="1"/>
    <col min="34" max="34" width="7.125" customWidth="1" outlineLevel="1"/>
    <col min="35" max="35" width="4.125" bestFit="1" customWidth="1"/>
    <col min="36" max="37" width="4.5" customWidth="1" outlineLevel="1"/>
    <col min="38" max="43" width="5.25" customWidth="1" outlineLevel="1"/>
    <col min="44" max="44" width="4.25" customWidth="1" outlineLevel="1"/>
    <col min="45" max="45" width="5.25" bestFit="1" customWidth="1"/>
    <col min="46" max="59" width="5.25" hidden="1" customWidth="1" outlineLevel="1"/>
    <col min="60" max="60" width="4.875" style="17" customWidth="1" collapsed="1"/>
    <col min="61" max="70" width="4.875" style="17" customWidth="1" outlineLevel="1"/>
    <col min="71" max="77" width="4.875" customWidth="1" outlineLevel="1"/>
    <col min="78" max="78" width="5" customWidth="1" outlineLevel="1"/>
    <col min="79" max="79" width="6.625" customWidth="1" outlineLevel="1"/>
    <col min="80" max="91" width="4.875" customWidth="1"/>
  </cols>
  <sheetData>
    <row r="1" spans="1:91" s="10" customFormat="1" ht="34.5" customHeight="1" x14ac:dyDescent="0.4">
      <c r="A1" s="10" t="s">
        <v>7</v>
      </c>
      <c r="B1" s="10" t="s">
        <v>9</v>
      </c>
      <c r="C1" s="3" t="s">
        <v>77</v>
      </c>
      <c r="D1" s="4" t="s">
        <v>78</v>
      </c>
      <c r="E1" s="5" t="s">
        <v>79</v>
      </c>
      <c r="F1" s="18" t="s">
        <v>126</v>
      </c>
      <c r="G1" s="71" t="s">
        <v>1321</v>
      </c>
      <c r="H1" s="21" t="s">
        <v>305</v>
      </c>
      <c r="I1" s="38" t="s">
        <v>158</v>
      </c>
      <c r="J1" s="38" t="s">
        <v>159</v>
      </c>
      <c r="K1" s="38" t="s">
        <v>160</v>
      </c>
      <c r="L1" s="37" t="s">
        <v>215</v>
      </c>
      <c r="M1" s="37" t="s">
        <v>312</v>
      </c>
      <c r="N1" s="37" t="s">
        <v>175</v>
      </c>
      <c r="O1" s="37" t="s">
        <v>146</v>
      </c>
      <c r="P1" s="37" t="s">
        <v>176</v>
      </c>
      <c r="Q1" s="37" t="s">
        <v>666</v>
      </c>
      <c r="R1" s="37" t="s">
        <v>1224</v>
      </c>
      <c r="S1" s="37" t="s">
        <v>1225</v>
      </c>
      <c r="T1" s="37" t="s">
        <v>1226</v>
      </c>
      <c r="U1" s="37" t="s">
        <v>147</v>
      </c>
      <c r="V1" s="37" t="s">
        <v>148</v>
      </c>
      <c r="W1" s="37" t="s">
        <v>149</v>
      </c>
      <c r="X1" s="37" t="s">
        <v>150</v>
      </c>
      <c r="Y1" s="37" t="s">
        <v>136</v>
      </c>
      <c r="Z1" s="37" t="s">
        <v>151</v>
      </c>
      <c r="AA1" s="37" t="s">
        <v>1819</v>
      </c>
      <c r="AB1" s="37" t="s">
        <v>320</v>
      </c>
      <c r="AC1" s="37" t="s">
        <v>139</v>
      </c>
      <c r="AD1" s="37" t="s">
        <v>111</v>
      </c>
      <c r="AE1" s="37" t="s">
        <v>152</v>
      </c>
      <c r="AF1" s="37" t="s">
        <v>153</v>
      </c>
      <c r="AG1" s="37" t="s">
        <v>154</v>
      </c>
      <c r="AH1" s="37" t="s">
        <v>155</v>
      </c>
      <c r="AI1" s="22" t="s">
        <v>11</v>
      </c>
      <c r="AJ1" s="22" t="s">
        <v>1227</v>
      </c>
      <c r="AK1" s="22" t="s">
        <v>1228</v>
      </c>
      <c r="AL1" s="22" t="s">
        <v>13</v>
      </c>
      <c r="AM1" s="22" t="s">
        <v>15</v>
      </c>
      <c r="AN1" s="22" t="s">
        <v>17</v>
      </c>
      <c r="AO1" s="22" t="s">
        <v>18</v>
      </c>
      <c r="AP1" s="22" t="s">
        <v>20</v>
      </c>
      <c r="AQ1" s="22" t="s">
        <v>22</v>
      </c>
      <c r="AR1" s="22" t="s">
        <v>29</v>
      </c>
      <c r="AS1" s="26" t="s">
        <v>247</v>
      </c>
      <c r="AT1" s="26" t="s">
        <v>1</v>
      </c>
      <c r="AU1" s="26" t="s">
        <v>2</v>
      </c>
      <c r="AV1" s="26" t="s">
        <v>105</v>
      </c>
      <c r="AW1" s="26" t="s">
        <v>104</v>
      </c>
      <c r="AX1" s="27" t="s">
        <v>4</v>
      </c>
      <c r="AY1" s="27" t="s">
        <v>3</v>
      </c>
      <c r="AZ1" s="28" t="s">
        <v>226</v>
      </c>
      <c r="BA1" s="28" t="s">
        <v>227</v>
      </c>
      <c r="BB1" s="28" t="s">
        <v>228</v>
      </c>
      <c r="BC1" s="28" t="s">
        <v>229</v>
      </c>
      <c r="BD1" s="29" t="s">
        <v>230</v>
      </c>
      <c r="BE1" s="29" t="s">
        <v>5</v>
      </c>
      <c r="BF1" s="29" t="s">
        <v>991</v>
      </c>
      <c r="BG1" s="29" t="s">
        <v>6</v>
      </c>
      <c r="BH1" s="20" t="s">
        <v>145</v>
      </c>
      <c r="BI1" s="20" t="s">
        <v>177</v>
      </c>
      <c r="BJ1" s="20" t="s">
        <v>667</v>
      </c>
      <c r="BK1" s="20" t="s">
        <v>1221</v>
      </c>
      <c r="BL1" s="20" t="s">
        <v>1222</v>
      </c>
      <c r="BM1" s="20" t="s">
        <v>1223</v>
      </c>
      <c r="BN1" s="20" t="s">
        <v>132</v>
      </c>
      <c r="BO1" s="20" t="s">
        <v>133</v>
      </c>
      <c r="BP1" s="20" t="s">
        <v>134</v>
      </c>
      <c r="BQ1" s="20" t="s">
        <v>135</v>
      </c>
      <c r="BR1" s="20" t="s">
        <v>137</v>
      </c>
      <c r="BS1" s="20" t="s">
        <v>138</v>
      </c>
      <c r="BT1" s="20" t="s">
        <v>1820</v>
      </c>
      <c r="BU1" s="20" t="s">
        <v>319</v>
      </c>
      <c r="BV1" s="20" t="s">
        <v>141</v>
      </c>
      <c r="BW1" s="20" t="s">
        <v>142</v>
      </c>
      <c r="BX1" s="20" t="s">
        <v>143</v>
      </c>
      <c r="BY1" s="20" t="s">
        <v>144</v>
      </c>
      <c r="BZ1" s="20" t="s">
        <v>156</v>
      </c>
      <c r="CA1" s="20" t="s">
        <v>157</v>
      </c>
      <c r="CB1" s="23" t="s">
        <v>161</v>
      </c>
      <c r="CC1" s="23" t="s">
        <v>162</v>
      </c>
      <c r="CD1" s="23" t="s">
        <v>1267</v>
      </c>
      <c r="CE1" s="23" t="s">
        <v>163</v>
      </c>
      <c r="CF1" s="23" t="s">
        <v>164</v>
      </c>
      <c r="CG1" s="23" t="s">
        <v>165</v>
      </c>
      <c r="CH1" s="23" t="s">
        <v>166</v>
      </c>
      <c r="CI1" s="23" t="s">
        <v>167</v>
      </c>
      <c r="CJ1" s="23" t="s">
        <v>168</v>
      </c>
      <c r="CK1" s="23" t="s">
        <v>169</v>
      </c>
      <c r="CL1" s="23" t="s">
        <v>170</v>
      </c>
      <c r="CM1" s="23" t="s">
        <v>819</v>
      </c>
    </row>
    <row r="2" spans="1:91" outlineLevel="1" x14ac:dyDescent="0.4">
      <c r="B2">
        <v>2</v>
      </c>
      <c r="C2">
        <v>3</v>
      </c>
      <c r="D2">
        <v>4</v>
      </c>
      <c r="E2">
        <v>5</v>
      </c>
      <c r="F2">
        <v>6</v>
      </c>
      <c r="H2">
        <v>7</v>
      </c>
      <c r="L2"/>
      <c r="M2"/>
      <c r="N2"/>
      <c r="O2"/>
      <c r="P2"/>
      <c r="Q2"/>
      <c r="R2"/>
      <c r="S2"/>
      <c r="T2"/>
      <c r="U2"/>
      <c r="V2"/>
      <c r="W2"/>
      <c r="X2"/>
      <c r="Y2"/>
      <c r="BH2"/>
      <c r="BI2"/>
      <c r="BJ2"/>
      <c r="BK2"/>
      <c r="BL2"/>
      <c r="BM2"/>
      <c r="BN2"/>
      <c r="BO2"/>
      <c r="BP2"/>
      <c r="BQ2"/>
      <c r="BR2"/>
    </row>
    <row r="3" spans="1:91" outlineLevel="1" x14ac:dyDescent="0.4">
      <c r="B3" t="str">
        <f>IFERROR(_xlfn.LET(_xlpm.v,
VLOOKUP($A3,CS!$B:$H,COLUMN(CS!B$1),FALSE),
IF(_xlpm.v=0,"",_xlpm.v)
),"")</f>
        <v/>
      </c>
      <c r="C3" t="str">
        <f>IFERROR(_xlfn.LET(_xlpm.v,
VLOOKUP($A3,CS!$B:$H,COLUMN(CS!C$1),FALSE),
IF(_xlpm.v=0,"",_xlpm.v)
),"")</f>
        <v/>
      </c>
      <c r="D3" t="str">
        <f>IFERROR(_xlfn.LET(_xlpm.v,
VLOOKUP($A3,CS!$B:$H,COLUMN(CS!D$1),FALSE),
IF(_xlpm.v=0,"",_xlpm.v)
),"")</f>
        <v/>
      </c>
      <c r="E3" t="str">
        <f>IFERROR(_xlfn.LET(_xlpm.v,
VLOOKUP($A3,CS!$B:$H,COLUMN(CS!E$1),FALSE),
IF(_xlpm.v=0,"",_xlpm.v)
),"")</f>
        <v/>
      </c>
      <c r="F3" t="str">
        <f>IFERROR(_xlfn.LET(_xlpm.v,
VLOOKUP($A3,CS!$B:$H,COLUMN(CS!F$1),FALSE),
IF(_xlpm.v=0,"",_xlpm.v)
),"")</f>
        <v/>
      </c>
      <c r="H3" s="17" t="str">
        <f>IFERROR(_xlfn.LET(_xlpm.v,
VLOOKUP($A3,CS!$B:$H,COLUMN(CS!G$1),FALSE),
IF(_xlpm.v=0,"",_xlpm.v)
),"")</f>
        <v/>
      </c>
    </row>
    <row r="4" spans="1:91" outlineLevel="1" x14ac:dyDescent="0.4">
      <c r="A4" s="2" t="s">
        <v>285</v>
      </c>
      <c r="B4" t="str">
        <f>IFERROR(_xlfn.LET(_xlpm.v,
VLOOKUP($A4,CS!$B:$H,COLUMN(CS!B$1),FALSE),
IF(_xlpm.v=0,"",_xlpm.v)
),"")</f>
        <v/>
      </c>
      <c r="C4" t="str">
        <f>IFERROR(_xlfn.LET(_xlpm.v,
VLOOKUP($A4,CS!$B:$H,COLUMN(CS!C$1),FALSE),
IF(_xlpm.v=0,"",_xlpm.v)
),"")</f>
        <v/>
      </c>
      <c r="D4" t="str">
        <f>IFERROR(_xlfn.LET(_xlpm.v,
VLOOKUP($A4,CS!$B:$H,COLUMN(CS!D$1),FALSE),
IF(_xlpm.v=0,"",_xlpm.v)
),"")</f>
        <v>A</v>
      </c>
      <c r="E4" t="str">
        <f>IFERROR(_xlfn.LET(_xlpm.v,
VLOOKUP($A4,CS!$B:$H,COLUMN(CS!E$1),FALSE),
IF(_xlpm.v=0,"",_xlpm.v)
),"")</f>
        <v/>
      </c>
      <c r="F4">
        <f>IFERROR(_xlfn.LET(_xlpm.v,
VLOOKUP($A4,CS!$B:$H,COLUMN(CS!F$1),FALSE),
IF(_xlpm.v=0,"",_xlpm.v)
),"")</f>
        <v>60</v>
      </c>
      <c r="G4" s="51" t="str">
        <f>IFERROR(_xlfn.LET(_xlpm.v,
VLOOKUP($A4,CS!$B:$N,COLUMN(CS!M$1),FALSE),
IF(_xlpm.v=0,"",_xlpm.v)
),"")</f>
        <v>角</v>
      </c>
      <c r="H4" s="17" t="str">
        <f>IFERROR(_xlfn.LET(_xlpm.v,
VLOOKUP($A4,CS!$B:$H,COLUMN(CS!G$1),FALSE),
IF(_xlpm.v=0,"",_xlpm.v)
),"")</f>
        <v>攻撃手段:角 物理+25 判定:攻撃</v>
      </c>
      <c r="I4" t="s">
        <v>107</v>
      </c>
      <c r="O4" s="17">
        <v>25</v>
      </c>
      <c r="CJ4" t="s">
        <v>12</v>
      </c>
    </row>
    <row r="5" spans="1:91" outlineLevel="1" x14ac:dyDescent="0.4">
      <c r="A5" s="2" t="s">
        <v>283</v>
      </c>
      <c r="B5" t="str">
        <f>IFERROR(_xlfn.LET(_xlpm.v,
VLOOKUP($A5,CS!$B:$H,COLUMN(CS!B$1),FALSE),
IF(_xlpm.v=0,"",_xlpm.v)
),"")</f>
        <v/>
      </c>
      <c r="C5" t="str">
        <f>IFERROR(_xlfn.LET(_xlpm.v,
VLOOKUP($A5,CS!$B:$H,COLUMN(CS!C$1),FALSE),
IF(_xlpm.v=0,"",_xlpm.v)
),"")</f>
        <v/>
      </c>
      <c r="D5" t="str">
        <f>IFERROR(_xlfn.LET(_xlpm.v,
VLOOKUP($A5,CS!$B:$H,COLUMN(CS!D$1),FALSE),
IF(_xlpm.v=0,"",_xlpm.v)
),"")</f>
        <v>A</v>
      </c>
      <c r="E5" t="str">
        <f>IFERROR(_xlfn.LET(_xlpm.v,
VLOOKUP($A5,CS!$B:$H,COLUMN(CS!E$1),FALSE),
IF(_xlpm.v=0,"",_xlpm.v)
),"")</f>
        <v/>
      </c>
      <c r="F5">
        <f>IFERROR(_xlfn.LET(_xlpm.v,
VLOOKUP($A5,CS!$B:$H,COLUMN(CS!F$1),FALSE),
IF(_xlpm.v=0,"",_xlpm.v)
),"")</f>
        <v>30</v>
      </c>
      <c r="G5" s="51" t="str">
        <f>IFERROR(_xlfn.LET(_xlpm.v,
VLOOKUP($A5,CS!$B:$N,COLUMN(CS!M$1),FALSE),
IF(_xlpm.v=0,"",_xlpm.v)
),"")</f>
        <v>牙</v>
      </c>
      <c r="H5" s="17" t="str">
        <f>IFERROR(_xlfn.LET(_xlpm.v,
VLOOKUP($A5,CS!$B:$H,COLUMN(CS!G$1),FALSE),
IF(_xlpm.v=0,"",_xlpm.v)
),"")</f>
        <v>攻撃手段:牙 物理+20 判定:攻撃</v>
      </c>
      <c r="I5" t="s">
        <v>108</v>
      </c>
      <c r="O5" s="17">
        <v>20</v>
      </c>
      <c r="CJ5" t="s">
        <v>12</v>
      </c>
    </row>
    <row r="6" spans="1:91" ht="37.5" outlineLevel="1" x14ac:dyDescent="0.4">
      <c r="A6" s="2" t="s">
        <v>282</v>
      </c>
      <c r="B6" t="str">
        <f>IFERROR(_xlfn.LET(_xlpm.v,
VLOOKUP($A6,CS!$B:$H,COLUMN(CS!B$1),FALSE),
IF(_xlpm.v=0,"",_xlpm.v)
),"")</f>
        <v/>
      </c>
      <c r="C6" t="str">
        <f>IFERROR(_xlfn.LET(_xlpm.v,
VLOOKUP($A6,CS!$B:$H,COLUMN(CS!C$1),FALSE),
IF(_xlpm.v=0,"",_xlpm.v)
),"")</f>
        <v/>
      </c>
      <c r="D6" t="str">
        <f>IFERROR(_xlfn.LET(_xlpm.v,
VLOOKUP($A6,CS!$B:$H,COLUMN(CS!D$1),FALSE),
IF(_xlpm.v=0,"",_xlpm.v)
),"")</f>
        <v>A</v>
      </c>
      <c r="E6" t="str">
        <f>IFERROR(_xlfn.LET(_xlpm.v,
VLOOKUP($A6,CS!$B:$H,COLUMN(CS!E$1),FALSE),
IF(_xlpm.v=0,"",_xlpm.v)
),"")</f>
        <v/>
      </c>
      <c r="F6">
        <f>IFERROR(_xlfn.LET(_xlpm.v,
VLOOKUP($A6,CS!$B:$H,COLUMN(CS!F$1),FALSE),
IF(_xlpm.v=0,"",_xlpm.v)
),"")</f>
        <v>40</v>
      </c>
      <c r="G6" s="51" t="str">
        <f>IFERROR(_xlfn.LET(_xlpm.v,
VLOOKUP($A6,CS!$B:$N,COLUMN(CS!M$1),FALSE),
IF(_xlpm.v=0,"",_xlpm.v)
),"")</f>
        <v>爪</v>
      </c>
      <c r="H6" s="17" t="str">
        <f>IFERROR(_xlfn.LET(_xlpm.v,
VLOOKUP($A6,CS!$B:$H,COLUMN(CS!G$1),FALSE),
IF(_xlpm.v=0,"",_xlpm.v)
),"")</f>
        <v>攻撃手段:爪 物理+15 攻撃回数:2 判定:攻撃</v>
      </c>
      <c r="I6" t="s">
        <v>109</v>
      </c>
      <c r="O6" s="17">
        <v>15</v>
      </c>
      <c r="CG6">
        <v>2</v>
      </c>
      <c r="CJ6" t="s">
        <v>12</v>
      </c>
    </row>
    <row r="7" spans="1:91" outlineLevel="1" x14ac:dyDescent="0.4">
      <c r="A7" s="2" t="s">
        <v>286</v>
      </c>
      <c r="B7" t="str">
        <f>IFERROR(_xlfn.LET(_xlpm.v,
VLOOKUP($A7,CS!$B:$H,COLUMN(CS!B$1),FALSE),
IF(_xlpm.v=0,"",_xlpm.v)
),"")</f>
        <v/>
      </c>
      <c r="C7" t="str">
        <f>IFERROR(_xlfn.LET(_xlpm.v,
VLOOKUP($A7,CS!$B:$H,COLUMN(CS!C$1),FALSE),
IF(_xlpm.v=0,"",_xlpm.v)
),"")</f>
        <v/>
      </c>
      <c r="D7" t="str">
        <f>IFERROR(_xlfn.LET(_xlpm.v,
VLOOKUP($A7,CS!$B:$H,COLUMN(CS!D$1),FALSE),
IF(_xlpm.v=0,"",_xlpm.v)
),"")</f>
        <v>A</v>
      </c>
      <c r="E7" t="str">
        <f>IFERROR(_xlfn.LET(_xlpm.v,
VLOOKUP($A7,CS!$B:$H,COLUMN(CS!E$1),FALSE),
IF(_xlpm.v=0,"",_xlpm.v)
),"")</f>
        <v/>
      </c>
      <c r="F7">
        <f>IFERROR(_xlfn.LET(_xlpm.v,
VLOOKUP($A7,CS!$B:$H,COLUMN(CS!F$1),FALSE),
IF(_xlpm.v=0,"",_xlpm.v)
),"")</f>
        <v>20</v>
      </c>
      <c r="G7" s="51" t="str">
        <f>IFERROR(_xlfn.LET(_xlpm.v,
VLOOKUP($A7,CS!$B:$N,COLUMN(CS!M$1),FALSE),
IF(_xlpm.v=0,"",_xlpm.v)
),"")</f>
        <v>尾</v>
      </c>
      <c r="H7" s="17" t="str">
        <f>IFERROR(_xlfn.LET(_xlpm.v,
VLOOKUP($A7,CS!$B:$H,COLUMN(CS!G$1),FALSE),
IF(_xlpm.v=0,"",_xlpm.v)
),"")</f>
        <v>攻撃手段:尾 物理+15 判定:攻撃</v>
      </c>
      <c r="I7" t="s">
        <v>110</v>
      </c>
      <c r="O7" s="17">
        <v>15</v>
      </c>
      <c r="CJ7" t="s">
        <v>12</v>
      </c>
    </row>
    <row r="8" spans="1:91" outlineLevel="1" x14ac:dyDescent="0.4">
      <c r="A8" s="2" t="s">
        <v>287</v>
      </c>
      <c r="B8" t="str">
        <f>IFERROR(_xlfn.LET(_xlpm.v,
VLOOKUP($A8,CS!$B:$H,COLUMN(CS!B$1),FALSE),
IF(_xlpm.v=0,"",_xlpm.v)
),"")</f>
        <v/>
      </c>
      <c r="C8" t="str">
        <f>IFERROR(_xlfn.LET(_xlpm.v,
VLOOKUP($A8,CS!$B:$H,COLUMN(CS!C$1),FALSE),
IF(_xlpm.v=0,"",_xlpm.v)
),"")</f>
        <v/>
      </c>
      <c r="D8" t="str">
        <f>IFERROR(_xlfn.LET(_xlpm.v,
VLOOKUP($A8,CS!$B:$H,COLUMN(CS!D$1),FALSE),
IF(_xlpm.v=0,"",_xlpm.v)
),"")</f>
        <v>A</v>
      </c>
      <c r="E8" t="str">
        <f>IFERROR(_xlfn.LET(_xlpm.v,
VLOOKUP($A8,CS!$B:$H,COLUMN(CS!E$1),FALSE),
IF(_xlpm.v=0,"",_xlpm.v)
),"")</f>
        <v/>
      </c>
      <c r="F8">
        <f>IFERROR(_xlfn.LET(_xlpm.v,
VLOOKUP($A8,CS!$B:$H,COLUMN(CS!F$1),FALSE),
IF(_xlpm.v=0,"",_xlpm.v)
),"")</f>
        <v>20</v>
      </c>
      <c r="G8" s="51" t="str">
        <f>IFERROR(_xlfn.LET(_xlpm.v,
VLOOKUP($A8,CS!$B:$N,COLUMN(CS!M$1),FALSE),
IF(_xlpm.v=0,"",_xlpm.v)
),"")</f>
        <v/>
      </c>
      <c r="H8" s="17" t="str">
        <f>IFERROR(_xlfn.LET(_xlpm.v,
VLOOKUP($A8,CS!$B:$H,COLUMN(CS!G$1),FALSE),
IF(_xlpm.v=0,"",_xlpm.v)
),"")</f>
        <v>攻撃手段:尾 物理+25  判定:攻撃</v>
      </c>
      <c r="I8" t="s">
        <v>110</v>
      </c>
      <c r="O8" s="17">
        <v>25</v>
      </c>
      <c r="CJ8" t="s">
        <v>12</v>
      </c>
    </row>
    <row r="9" spans="1:91" ht="37.5" outlineLevel="1" x14ac:dyDescent="0.4">
      <c r="A9" s="2" t="s">
        <v>289</v>
      </c>
      <c r="B9" t="str">
        <f>IFERROR(_xlfn.LET(_xlpm.v,
VLOOKUP($A9,CS!$B:$H,COLUMN(CS!B$1),FALSE),
IF(_xlpm.v=0,"",_xlpm.v)
),"")</f>
        <v/>
      </c>
      <c r="C9" t="str">
        <f>IFERROR(_xlfn.LET(_xlpm.v,
VLOOKUP($A9,CS!$B:$H,COLUMN(CS!C$1),FALSE),
IF(_xlpm.v=0,"",_xlpm.v)
),"")</f>
        <v/>
      </c>
      <c r="D9" t="str">
        <f>IFERROR(_xlfn.LET(_xlpm.v,
VLOOKUP($A9,CS!$B:$H,COLUMN(CS!D$1),FALSE),
IF(_xlpm.v=0,"",_xlpm.v)
),"")</f>
        <v>A</v>
      </c>
      <c r="E9" t="str">
        <f>IFERROR(_xlfn.LET(_xlpm.v,
VLOOKUP($A9,CS!$B:$H,COLUMN(CS!E$1),FALSE),
IF(_xlpm.v=0,"",_xlpm.v)
),"")</f>
        <v/>
      </c>
      <c r="F9">
        <f>IFERROR(_xlfn.LET(_xlpm.v,
VLOOKUP($A9,CS!$B:$H,COLUMN(CS!F$1),FALSE),
IF(_xlpm.v=0,"",_xlpm.v)
),"")</f>
        <v>70</v>
      </c>
      <c r="G9" s="51" t="str">
        <f>IFERROR(_xlfn.LET(_xlpm.v,
VLOOKUP($A9,CS!$B:$N,COLUMN(CS!M$1),FALSE),
IF(_xlpm.v=0,"",_xlpm.v)
),"")</f>
        <v/>
      </c>
      <c r="H9" s="17" t="str">
        <f>IFERROR(_xlfn.LET(_xlpm.v,
VLOOKUP($A9,CS!$B:$H,COLUMN(CS!G$1),FALSE),
IF(_xlpm.v=0,"",_xlpm.v)
),"")</f>
        <v>攻撃手段:尾 物理+10 拘束+30 判定:攻撃</v>
      </c>
      <c r="I9" t="s">
        <v>110</v>
      </c>
      <c r="O9" s="17">
        <v>10</v>
      </c>
      <c r="AE9">
        <v>30</v>
      </c>
      <c r="CJ9" t="s">
        <v>12</v>
      </c>
    </row>
    <row r="10" spans="1:91" ht="37.5" outlineLevel="1" x14ac:dyDescent="0.4">
      <c r="A10" s="2" t="s">
        <v>288</v>
      </c>
      <c r="B10" t="str">
        <f>IFERROR(_xlfn.LET(_xlpm.v,
VLOOKUP($A10,CS!$B:$H,COLUMN(CS!B$1),FALSE),
IF(_xlpm.v=0,"",_xlpm.v)
),"")</f>
        <v/>
      </c>
      <c r="C10" t="str">
        <f>IFERROR(_xlfn.LET(_xlpm.v,
VLOOKUP($A10,CS!$B:$H,COLUMN(CS!C$1),FALSE),
IF(_xlpm.v=0,"",_xlpm.v)
),"")</f>
        <v/>
      </c>
      <c r="D10" t="str">
        <f>IFERROR(_xlfn.LET(_xlpm.v,
VLOOKUP($A10,CS!$B:$H,COLUMN(CS!D$1),FALSE),
IF(_xlpm.v=0,"",_xlpm.v)
),"")</f>
        <v>A</v>
      </c>
      <c r="E10" t="str">
        <f>IFERROR(_xlfn.LET(_xlpm.v,
VLOOKUP($A10,CS!$B:$H,COLUMN(CS!E$1),FALSE),
IF(_xlpm.v=0,"",_xlpm.v)
),"")</f>
        <v/>
      </c>
      <c r="F10">
        <f>IFERROR(_xlfn.LET(_xlpm.v,
VLOOKUP($A10,CS!$B:$H,COLUMN(CS!F$1),FALSE),
IF(_xlpm.v=0,"",_xlpm.v)
),"")</f>
        <v>40</v>
      </c>
      <c r="G10" s="51" t="str">
        <f>IFERROR(_xlfn.LET(_xlpm.v,
VLOOKUP($A10,CS!$B:$N,COLUMN(CS!M$1),FALSE),
IF(_xlpm.v=0,"",_xlpm.v)
),"")</f>
        <v/>
      </c>
      <c r="H10" s="17" t="str">
        <f>IFERROR(_xlfn.LET(_xlpm.v,
VLOOKUP($A10,CS!$B:$H,COLUMN(CS!G$1),FALSE),
IF(_xlpm.v=0,"",_xlpm.v)
),"")</f>
        <v>攻撃手段:翼 物理+10 ガード+15 攻撃回数:2 判定:攻撃</v>
      </c>
      <c r="I10" t="s">
        <v>826</v>
      </c>
      <c r="N10" s="17">
        <v>15</v>
      </c>
      <c r="O10" s="17">
        <v>10</v>
      </c>
      <c r="CG10">
        <v>2</v>
      </c>
      <c r="CJ10" t="s">
        <v>12</v>
      </c>
    </row>
    <row r="11" spans="1:91" outlineLevel="1" x14ac:dyDescent="0.4">
      <c r="A11" s="2" t="s">
        <v>171</v>
      </c>
      <c r="B11" t="str">
        <f>IFERROR(_xlfn.LET(_xlpm.v,
VLOOKUP($A11,CS!$B:$H,COLUMN(CS!B$1),FALSE),
IF(_xlpm.v=0,"",_xlpm.v)
),"")</f>
        <v>オーラ・ストライク</v>
      </c>
      <c r="C11" t="str">
        <f>IFERROR(_xlfn.LET(_xlpm.v,
VLOOKUP($A11,CS!$B:$H,COLUMN(CS!C$1),FALSE),
IF(_xlpm.v=0,"",_xlpm.v)
),"")</f>
        <v/>
      </c>
      <c r="D11" t="str">
        <f>IFERROR(_xlfn.LET(_xlpm.v,
VLOOKUP($A11,CS!$B:$H,COLUMN(CS!D$1),FALSE),
IF(_xlpm.v=0,"",_xlpm.v)
),"")</f>
        <v>A</v>
      </c>
      <c r="E11" t="str">
        <f>IFERROR(_xlfn.LET(_xlpm.v,
VLOOKUP($A11,CS!$B:$H,COLUMN(CS!E$1),FALSE),
IF(_xlpm.v=0,"",_xlpm.v)
),"")</f>
        <v/>
      </c>
      <c r="F11">
        <f>IFERROR(_xlfn.LET(_xlpm.v,
VLOOKUP($A11,CS!$B:$H,COLUMN(CS!F$1),FALSE),
IF(_xlpm.v=0,"",_xlpm.v)
),"")</f>
        <v>60</v>
      </c>
      <c r="G11" s="51" t="str">
        <f>IFERROR(_xlfn.LET(_xlpm.v,
VLOOKUP($A11,CS!$B:$N,COLUMN(CS!M$1),FALSE),
IF(_xlpm.v=0,"",_xlpm.v)
),"")</f>
        <v/>
      </c>
      <c r="H11" s="17" t="str">
        <f>IFERROR(_xlfn.LET(_xlpm.v,
VLOOKUP($A11,CS!$B:$H,COLUMN(CS!G$1),FALSE),
IF(_xlpm.v=0,"",_xlpm.v)
),"")</f>
        <v>攻撃手段:武器 物理+25 判定:攻撃</v>
      </c>
      <c r="I11" t="s">
        <v>313</v>
      </c>
      <c r="O11" s="17">
        <v>25</v>
      </c>
      <c r="CJ11" t="s">
        <v>12</v>
      </c>
    </row>
    <row r="12" spans="1:91" outlineLevel="1" x14ac:dyDescent="0.4">
      <c r="A12" s="2" t="s">
        <v>130</v>
      </c>
      <c r="B12" t="str">
        <f>IFERROR(_xlfn.LET(_xlpm.v,
VLOOKUP($A12,CS!$B:$H,COLUMN(CS!B$1),FALSE),
IF(_xlpm.v=0,"",_xlpm.v)
),"")</f>
        <v/>
      </c>
      <c r="C12" t="str">
        <f>IFERROR(_xlfn.LET(_xlpm.v,
VLOOKUP($A12,CS!$B:$H,COLUMN(CS!C$1),FALSE),
IF(_xlpm.v=0,"",_xlpm.v)
),"")</f>
        <v/>
      </c>
      <c r="D12" t="str">
        <f>IFERROR(_xlfn.LET(_xlpm.v,
VLOOKUP($A12,CS!$B:$H,COLUMN(CS!D$1),FALSE),
IF(_xlpm.v=0,"",_xlpm.v)
),"")</f>
        <v>P</v>
      </c>
      <c r="E12" t="str">
        <f>IFERROR(_xlfn.LET(_xlpm.v,
VLOOKUP($A12,CS!$B:$H,COLUMN(CS!E$1),FALSE),
IF(_xlpm.v=0,"",_xlpm.v)
),"")</f>
        <v/>
      </c>
      <c r="F12" t="str">
        <f>IFERROR(_xlfn.LET(_xlpm.v,
VLOOKUP($A12,CS!$B:$H,COLUMN(CS!F$1),FALSE),
IF(_xlpm.v=0,"",_xlpm.v)
),"")</f>
        <v/>
      </c>
      <c r="G12" s="51" t="str">
        <f>IFERROR(_xlfn.LET(_xlpm.v,
VLOOKUP($A12,CS!$B:$N,COLUMN(CS!M$1),FALSE),
IF(_xlpm.v=0,"",_xlpm.v)
),"")</f>
        <v/>
      </c>
      <c r="H12" s="17" t="str">
        <f>IFERROR(_xlfn.LET(_xlpm.v,
VLOOKUP($A12,CS!$B:$H,COLUMN(CS!G$1),FALSE),
IF(_xlpm.v=0,"",_xlpm.v)
),"")</f>
        <v>攻撃手段:武器 命中+10</v>
      </c>
      <c r="I12" t="s">
        <v>313</v>
      </c>
      <c r="AQ12">
        <v>10</v>
      </c>
    </row>
    <row r="13" spans="1:91" outlineLevel="1" x14ac:dyDescent="0.4">
      <c r="A13" s="2" t="s">
        <v>173</v>
      </c>
      <c r="B13" t="str">
        <f>IFERROR(_xlfn.LET(_xlpm.v,
VLOOKUP($A13,CS!$B:$H,COLUMN(CS!B$1),FALSE),
IF(_xlpm.v=0,"",_xlpm.v)
),"")</f>
        <v>オーラ・ガード</v>
      </c>
      <c r="C13" t="str">
        <f>IFERROR(_xlfn.LET(_xlpm.v,
VLOOKUP($A13,CS!$B:$H,COLUMN(CS!C$1),FALSE),
IF(_xlpm.v=0,"",_xlpm.v)
),"")</f>
        <v/>
      </c>
      <c r="D13" t="str">
        <f>IFERROR(_xlfn.LET(_xlpm.v,
VLOOKUP($A13,CS!$B:$H,COLUMN(CS!D$1),FALSE),
IF(_xlpm.v=0,"",_xlpm.v)
),"")</f>
        <v>A</v>
      </c>
      <c r="E13" t="str">
        <f>IFERROR(_xlfn.LET(_xlpm.v,
VLOOKUP($A13,CS!$B:$H,COLUMN(CS!E$1),FALSE),
IF(_xlpm.v=0,"",_xlpm.v)
),"")</f>
        <v/>
      </c>
      <c r="F13">
        <f>IFERROR(_xlfn.LET(_xlpm.v,
VLOOKUP($A13,CS!$B:$H,COLUMN(CS!F$1),FALSE),
IF(_xlpm.v=0,"",_xlpm.v)
),"")</f>
        <v>50</v>
      </c>
      <c r="G13" s="51" t="str">
        <f>IFERROR(_xlfn.LET(_xlpm.v,
VLOOKUP($A13,CS!$B:$N,COLUMN(CS!M$1),FALSE),
IF(_xlpm.v=0,"",_xlpm.v)
),"")</f>
        <v/>
      </c>
      <c r="H13" s="17" t="str">
        <f>IFERROR(_xlfn.LET(_xlpm.v,
VLOOKUP($A13,CS!$B:$H,COLUMN(CS!G$1),FALSE),
IF(_xlpm.v=0,"",_xlpm.v)
),"")</f>
        <v>攻撃手段:武器 ガード+25 判定:防御</v>
      </c>
      <c r="I13" t="s">
        <v>313</v>
      </c>
      <c r="N13" s="17">
        <v>25</v>
      </c>
      <c r="CJ13" t="s">
        <v>14</v>
      </c>
    </row>
    <row r="14" spans="1:91" outlineLevel="1" x14ac:dyDescent="0.4">
      <c r="A14" s="2" t="s">
        <v>117</v>
      </c>
      <c r="B14" t="str">
        <f>IFERROR(_xlfn.LET(_xlpm.v,
VLOOKUP($A14,CS!$B:$H,COLUMN(CS!B$1),FALSE),
IF(_xlpm.v=0,"",_xlpm.v)
),"")</f>
        <v>ロアー</v>
      </c>
      <c r="C14" t="str">
        <f>IFERROR(_xlfn.LET(_xlpm.v,
VLOOKUP($A14,CS!$B:$H,COLUMN(CS!C$1),FALSE),
IF(_xlpm.v=0,"",_xlpm.v)
),"")</f>
        <v/>
      </c>
      <c r="D14" t="str">
        <f>IFERROR(_xlfn.LET(_xlpm.v,
VLOOKUP($A14,CS!$B:$H,COLUMN(CS!D$1),FALSE),
IF(_xlpm.v=0,"",_xlpm.v)
),"")</f>
        <v>A</v>
      </c>
      <c r="E14" t="str">
        <f>IFERROR(_xlfn.LET(_xlpm.v,
VLOOKUP($A14,CS!$B:$H,COLUMN(CS!E$1),FALSE),
IF(_xlpm.v=0,"",_xlpm.v)
),"")</f>
        <v/>
      </c>
      <c r="F14">
        <f>IFERROR(_xlfn.LET(_xlpm.v,
VLOOKUP($A14,CS!$B:$H,COLUMN(CS!F$1),FALSE),
IF(_xlpm.v=0,"",_xlpm.v)
),"")</f>
        <v>40</v>
      </c>
      <c r="G14" s="51" t="str">
        <f>IFERROR(_xlfn.LET(_xlpm.v,
VLOOKUP($A14,CS!$B:$N,COLUMN(CS!M$1),FALSE),
IF(_xlpm.v=0,"",_xlpm.v)
),"")</f>
        <v/>
      </c>
      <c r="H14" s="17" t="str">
        <f>IFERROR(_xlfn.LET(_xlpm.v,
VLOOKUP($A14,CS!$B:$H,COLUMN(CS!G$1),FALSE),
IF(_xlpm.v=0,"",_xlpm.v)
),"")</f>
        <v>効果時間:4t 攻撃+15 精神耐性+10</v>
      </c>
      <c r="AL14">
        <v>15</v>
      </c>
      <c r="CK14" t="s">
        <v>323</v>
      </c>
    </row>
    <row r="15" spans="1:91" outlineLevel="1" x14ac:dyDescent="0.4">
      <c r="A15" s="2" t="s">
        <v>209</v>
      </c>
      <c r="B15" t="str">
        <f>IFERROR(_xlfn.LET(_xlpm.v,
VLOOKUP($A15,CS!$B:$H,COLUMN(CS!B$1),FALSE),
IF(_xlpm.v=0,"",_xlpm.v)
),"")</f>
        <v/>
      </c>
      <c r="C15" t="str">
        <f>IFERROR(_xlfn.LET(_xlpm.v,
VLOOKUP($A15,CS!$B:$H,COLUMN(CS!C$1),FALSE),
IF(_xlpm.v=0,"",_xlpm.v)
),"")</f>
        <v/>
      </c>
      <c r="D15" t="str">
        <f>IFERROR(_xlfn.LET(_xlpm.v,
VLOOKUP($A15,CS!$B:$H,COLUMN(CS!D$1),FALSE),
IF(_xlpm.v=0,"",_xlpm.v)
),"")</f>
        <v>P</v>
      </c>
      <c r="E15" t="str">
        <f>IFERROR(_xlfn.LET(_xlpm.v,
VLOOKUP($A15,CS!$B:$H,COLUMN(CS!E$1),FALSE),
IF(_xlpm.v=0,"",_xlpm.v)
),"")</f>
        <v/>
      </c>
      <c r="F15" t="str">
        <f>IFERROR(_xlfn.LET(_xlpm.v,
VLOOKUP($A15,CS!$B:$H,COLUMN(CS!F$1),FALSE),
IF(_xlpm.v=0,"",_xlpm.v)
),"")</f>
        <v/>
      </c>
      <c r="G15" s="51" t="str">
        <f>IFERROR(_xlfn.LET(_xlpm.v,
VLOOKUP($A15,CS!$B:$N,COLUMN(CS!M$1),FALSE),
IF(_xlpm.v=0,"",_xlpm.v)
),"")</f>
        <v/>
      </c>
      <c r="H15" s="17" t="str">
        <f>IFERROR(_xlfn.LET(_xlpm.v,
VLOOKUP($A15,CS!$B:$H,COLUMN(CS!G$1),FALSE),
IF(_xlpm.v=0,"",_xlpm.v)
),"")</f>
        <v>攻撃手段:武器 物理+2 命中+5</v>
      </c>
      <c r="I15" t="s">
        <v>313</v>
      </c>
      <c r="O15" s="17">
        <v>2</v>
      </c>
      <c r="AQ15">
        <v>5</v>
      </c>
    </row>
    <row r="16" spans="1:91" ht="37.5" outlineLevel="1" x14ac:dyDescent="0.4">
      <c r="A16" s="2" t="s">
        <v>178</v>
      </c>
      <c r="B16" t="str">
        <f>IFERROR(_xlfn.LET(_xlpm.v,
VLOOKUP($A16,CS!$B:$H,COLUMN(CS!B$1),FALSE),
IF(_xlpm.v=0,"",_xlpm.v)
),"")</f>
        <v>ブランデッシュ</v>
      </c>
      <c r="C16" t="str">
        <f>IFERROR(_xlfn.LET(_xlpm.v,
VLOOKUP($A16,CS!$B:$H,COLUMN(CS!C$1),FALSE),
IF(_xlpm.v=0,"",_xlpm.v)
),"")</f>
        <v/>
      </c>
      <c r="D16" t="str">
        <f>IFERROR(_xlfn.LET(_xlpm.v,
VLOOKUP($A16,CS!$B:$H,COLUMN(CS!D$1),FALSE),
IF(_xlpm.v=0,"",_xlpm.v)
),"")</f>
        <v>A</v>
      </c>
      <c r="E16" t="str">
        <f>IFERROR(_xlfn.LET(_xlpm.v,
VLOOKUP($A16,CS!$B:$H,COLUMN(CS!E$1),FALSE),
IF(_xlpm.v=0,"",_xlpm.v)
),"")</f>
        <v/>
      </c>
      <c r="F16">
        <f>IFERROR(_xlfn.LET(_xlpm.v,
VLOOKUP($A16,CS!$B:$H,COLUMN(CS!F$1),FALSE),
IF(_xlpm.v=0,"",_xlpm.v)
),"")</f>
        <v>60</v>
      </c>
      <c r="G16" s="51" t="str">
        <f>IFERROR(_xlfn.LET(_xlpm.v,
VLOOKUP($A16,CS!$B:$N,COLUMN(CS!M$1),FALSE),
IF(_xlpm.v=0,"",_xlpm.v)
),"")</f>
        <v/>
      </c>
      <c r="H16" s="17" t="str">
        <f>IFERROR(_xlfn.LET(_xlpm.v,
VLOOKUP($A16,CS!$B:$H,COLUMN(CS!G$1),FALSE),
IF(_xlpm.v=0,"",_xlpm.v)
),"")</f>
        <v>攻撃手段:武器 物理+15 命中+25 判定:攻撃</v>
      </c>
      <c r="I16" t="s">
        <v>313</v>
      </c>
      <c r="O16" s="17">
        <v>15</v>
      </c>
      <c r="AQ16">
        <v>25</v>
      </c>
      <c r="CJ16" t="s">
        <v>12</v>
      </c>
    </row>
    <row r="17" spans="1:89" outlineLevel="1" x14ac:dyDescent="0.4">
      <c r="A17" s="2" t="s">
        <v>224</v>
      </c>
      <c r="B17" t="str">
        <f>IFERROR(_xlfn.LET(_xlpm.v,
VLOOKUP($A17,CS!$B:$H,COLUMN(CS!B$1),FALSE),
IF(_xlpm.v=0,"",_xlpm.v)
),"")</f>
        <v/>
      </c>
      <c r="C17" t="str">
        <f>IFERROR(_xlfn.LET(_xlpm.v,
VLOOKUP($A17,CS!$B:$H,COLUMN(CS!C$1),FALSE),
IF(_xlpm.v=0,"",_xlpm.v)
),"")</f>
        <v/>
      </c>
      <c r="D17" t="str">
        <f>IFERROR(_xlfn.LET(_xlpm.v,
VLOOKUP($A17,CS!$B:$H,COLUMN(CS!D$1),FALSE),
IF(_xlpm.v=0,"",_xlpm.v)
),"")</f>
        <v>P</v>
      </c>
      <c r="E17" t="str">
        <f>IFERROR(_xlfn.LET(_xlpm.v,
VLOOKUP($A17,CS!$B:$H,COLUMN(CS!E$1),FALSE),
IF(_xlpm.v=0,"",_xlpm.v)
),"")</f>
        <v/>
      </c>
      <c r="F17" t="str">
        <f>IFERROR(_xlfn.LET(_xlpm.v,
VLOOKUP($A17,CS!$B:$H,COLUMN(CS!F$1),FALSE),
IF(_xlpm.v=0,"",_xlpm.v)
),"")</f>
        <v/>
      </c>
      <c r="G17" s="51" t="str">
        <f>IFERROR(_xlfn.LET(_xlpm.v,
VLOOKUP($A17,CS!$B:$N,COLUMN(CS!M$1),FALSE),
IF(_xlpm.v=0,"",_xlpm.v)
),"")</f>
        <v/>
      </c>
      <c r="H17" s="17" t="str">
        <f>IFERROR(_xlfn.LET(_xlpm.v,
VLOOKUP($A17,CS!$B:$H,COLUMN(CS!G$1),FALSE),
IF(_xlpm.v=0,"",_xlpm.v)
),"")</f>
        <v xml:space="preserve">条件:ガード時 物理+3 </v>
      </c>
      <c r="J17" t="s">
        <v>314</v>
      </c>
      <c r="O17" s="17">
        <v>3</v>
      </c>
    </row>
    <row r="18" spans="1:89" outlineLevel="1" x14ac:dyDescent="0.4">
      <c r="A18" s="2" t="s">
        <v>210</v>
      </c>
      <c r="B18" t="str">
        <f>IFERROR(_xlfn.LET(_xlpm.v,
VLOOKUP($A18,CS!$B:$H,COLUMN(CS!B$1),FALSE),
IF(_xlpm.v=0,"",_xlpm.v)
),"")</f>
        <v/>
      </c>
      <c r="C18" t="str">
        <f>IFERROR(_xlfn.LET(_xlpm.v,
VLOOKUP($A18,CS!$B:$H,COLUMN(CS!C$1),FALSE),
IF(_xlpm.v=0,"",_xlpm.v)
),"")</f>
        <v/>
      </c>
      <c r="D18" t="str">
        <f>IFERROR(_xlfn.LET(_xlpm.v,
VLOOKUP($A18,CS!$B:$H,COLUMN(CS!D$1),FALSE),
IF(_xlpm.v=0,"",_xlpm.v)
),"")</f>
        <v>P</v>
      </c>
      <c r="E18" t="str">
        <f>IFERROR(_xlfn.LET(_xlpm.v,
VLOOKUP($A18,CS!$B:$H,COLUMN(CS!E$1),FALSE),
IF(_xlpm.v=0,"",_xlpm.v)
),"")</f>
        <v/>
      </c>
      <c r="F18" t="str">
        <f>IFERROR(_xlfn.LET(_xlpm.v,
VLOOKUP($A18,CS!$B:$H,COLUMN(CS!F$1),FALSE),
IF(_xlpm.v=0,"",_xlpm.v)
),"")</f>
        <v/>
      </c>
      <c r="G18" s="51" t="str">
        <f>IFERROR(_xlfn.LET(_xlpm.v,
VLOOKUP($A18,CS!$B:$N,COLUMN(CS!M$1),FALSE),
IF(_xlpm.v=0,"",_xlpm.v)
),"")</f>
        <v/>
      </c>
      <c r="H18" s="17" t="str">
        <f>IFERROR(_xlfn.LET(_xlpm.v,
VLOOKUP($A18,CS!$B:$H,COLUMN(CS!G$1),FALSE),
IF(_xlpm.v=0,"",_xlpm.v)
),"")</f>
        <v>攻撃手段:武器 ガード+2 命中+5</v>
      </c>
      <c r="I18" t="s">
        <v>313</v>
      </c>
      <c r="N18" s="17">
        <v>2</v>
      </c>
      <c r="AQ18">
        <v>5</v>
      </c>
    </row>
    <row r="19" spans="1:89" ht="37.5" outlineLevel="1" x14ac:dyDescent="0.4">
      <c r="A19" s="2" t="s">
        <v>212</v>
      </c>
      <c r="B19" t="str">
        <f>IFERROR(_xlfn.LET(_xlpm.v,
VLOOKUP($A19,CS!$B:$H,COLUMN(CS!B$1),FALSE),
IF(_xlpm.v=0,"",_xlpm.v)
),"")</f>
        <v>オーラ・クイック</v>
      </c>
      <c r="C19" t="str">
        <f>IFERROR(_xlfn.LET(_xlpm.v,
VLOOKUP($A19,CS!$B:$H,COLUMN(CS!C$1),FALSE),
IF(_xlpm.v=0,"",_xlpm.v)
),"")</f>
        <v/>
      </c>
      <c r="D19" t="str">
        <f>IFERROR(_xlfn.LET(_xlpm.v,
VLOOKUP($A19,CS!$B:$H,COLUMN(CS!D$1),FALSE),
IF(_xlpm.v=0,"",_xlpm.v)
),"")</f>
        <v>A</v>
      </c>
      <c r="E19" t="str">
        <f>IFERROR(_xlfn.LET(_xlpm.v,
VLOOKUP($A19,CS!$B:$H,COLUMN(CS!E$1),FALSE),
IF(_xlpm.v=0,"",_xlpm.v)
),"")</f>
        <v/>
      </c>
      <c r="F19">
        <f>IFERROR(_xlfn.LET(_xlpm.v,
VLOOKUP($A19,CS!$B:$H,COLUMN(CS!F$1),FALSE),
IF(_xlpm.v=0,"",_xlpm.v)
),"")</f>
        <v>40</v>
      </c>
      <c r="G19" s="51" t="str">
        <f>IFERROR(_xlfn.LET(_xlpm.v,
VLOOKUP($A19,CS!$B:$N,COLUMN(CS!M$1),FALSE),
IF(_xlpm.v=0,"",_xlpm.v)
),"")</f>
        <v/>
      </c>
      <c r="H19" s="17" t="str">
        <f>IFERROR(_xlfn.LET(_xlpm.v,
VLOOKUP($A19,CS!$B:$H,COLUMN(CS!G$1),FALSE),
IF(_xlpm.v=0,"",_xlpm.v)
),"")</f>
        <v xml:space="preserve">攻撃手段:武器 物理+15 速度+25 判定:速度 </v>
      </c>
      <c r="I19" t="s">
        <v>313</v>
      </c>
      <c r="O19" s="17">
        <v>15</v>
      </c>
      <c r="AP19">
        <v>25</v>
      </c>
      <c r="CJ19" t="s">
        <v>19</v>
      </c>
    </row>
    <row r="20" spans="1:89" outlineLevel="1" x14ac:dyDescent="0.4">
      <c r="A20" s="2" t="s">
        <v>216</v>
      </c>
      <c r="B20" t="str">
        <f>IFERROR(_xlfn.LET(_xlpm.v,
VLOOKUP($A20,CS!$B:$H,COLUMN(CS!B$1),FALSE),
IF(_xlpm.v=0,"",_xlpm.v)
),"")</f>
        <v>ポイントストライク</v>
      </c>
      <c r="C20" t="str">
        <f>IFERROR(_xlfn.LET(_xlpm.v,
VLOOKUP($A20,CS!$B:$H,COLUMN(CS!C$1),FALSE),
IF(_xlpm.v=0,"",_xlpm.v)
),"")</f>
        <v/>
      </c>
      <c r="D20" t="str">
        <f>IFERROR(_xlfn.LET(_xlpm.v,
VLOOKUP($A20,CS!$B:$H,COLUMN(CS!D$1),FALSE),
IF(_xlpm.v=0,"",_xlpm.v)
),"")</f>
        <v>A</v>
      </c>
      <c r="E20" t="str">
        <f>IFERROR(_xlfn.LET(_xlpm.v,
VLOOKUP($A20,CS!$B:$H,COLUMN(CS!E$1),FALSE),
IF(_xlpm.v=0,"",_xlpm.v)
),"")</f>
        <v/>
      </c>
      <c r="F20">
        <f>IFERROR(_xlfn.LET(_xlpm.v,
VLOOKUP($A20,CS!$B:$H,COLUMN(CS!F$1),FALSE),
IF(_xlpm.v=0,"",_xlpm.v)
),"")</f>
        <v>60</v>
      </c>
      <c r="G20" s="51" t="str">
        <f>IFERROR(_xlfn.LET(_xlpm.v,
VLOOKUP($A20,CS!$B:$N,COLUMN(CS!M$1),FALSE),
IF(_xlpm.v=0,"",_xlpm.v)
),"")</f>
        <v/>
      </c>
      <c r="H20" s="17" t="str">
        <f>IFERROR(_xlfn.LET(_xlpm.v,
VLOOKUP($A20,CS!$B:$H,COLUMN(CS!G$1),FALSE),
IF(_xlpm.v=0,"",_xlpm.v)
),"")</f>
        <v xml:space="preserve">条件:不意打ち 物理+35 判定:命中 </v>
      </c>
      <c r="J20" t="s">
        <v>315</v>
      </c>
      <c r="O20" s="17">
        <v>35</v>
      </c>
      <c r="CJ20" t="s">
        <v>21</v>
      </c>
    </row>
    <row r="21" spans="1:89" outlineLevel="1" x14ac:dyDescent="0.4">
      <c r="A21" s="2" t="s">
        <v>225</v>
      </c>
      <c r="B21" t="str">
        <f>IFERROR(_xlfn.LET(_xlpm.v,
VLOOKUP($A21,CS!$B:$H,COLUMN(CS!B$1),FALSE),
IF(_xlpm.v=0,"",_xlpm.v)
),"")</f>
        <v/>
      </c>
      <c r="C21" t="str">
        <f>IFERROR(_xlfn.LET(_xlpm.v,
VLOOKUP($A21,CS!$B:$H,COLUMN(CS!C$1),FALSE),
IF(_xlpm.v=0,"",_xlpm.v)
),"")</f>
        <v/>
      </c>
      <c r="D21" t="str">
        <f>IFERROR(_xlfn.LET(_xlpm.v,
VLOOKUP($A21,CS!$B:$H,COLUMN(CS!D$1),FALSE),
IF(_xlpm.v=0,"",_xlpm.v)
),"")</f>
        <v>P</v>
      </c>
      <c r="E21" t="str">
        <f>IFERROR(_xlfn.LET(_xlpm.v,
VLOOKUP($A21,CS!$B:$H,COLUMN(CS!E$1),FALSE),
IF(_xlpm.v=0,"",_xlpm.v)
),"")</f>
        <v/>
      </c>
      <c r="F21" t="str">
        <f>IFERROR(_xlfn.LET(_xlpm.v,
VLOOKUP($A21,CS!$B:$H,COLUMN(CS!F$1),FALSE),
IF(_xlpm.v=0,"",_xlpm.v)
),"")</f>
        <v/>
      </c>
      <c r="G21" s="51" t="str">
        <f>IFERROR(_xlfn.LET(_xlpm.v,
VLOOKUP($A21,CS!$B:$N,COLUMN(CS!M$1),FALSE),
IF(_xlpm.v=0,"",_xlpm.v)
),"")</f>
        <v/>
      </c>
      <c r="H21" s="17" t="str">
        <f>IFERROR(_xlfn.LET(_xlpm.v,
VLOOKUP($A21,CS!$B:$H,COLUMN(CS!G$1),FALSE),
IF(_xlpm.v=0,"",_xlpm.v)
),"")</f>
        <v/>
      </c>
    </row>
    <row r="22" spans="1:89" outlineLevel="1" x14ac:dyDescent="0.4">
      <c r="A22" s="2" t="s">
        <v>219</v>
      </c>
      <c r="B22" t="str">
        <f>IFERROR(_xlfn.LET(_xlpm.v,
VLOOKUP($A22,CS!$B:$H,COLUMN(CS!B$1),FALSE),
IF(_xlpm.v=0,"",_xlpm.v)
),"")</f>
        <v>ペイン・ストライク</v>
      </c>
      <c r="C22" t="str">
        <f>IFERROR(_xlfn.LET(_xlpm.v,
VLOOKUP($A22,CS!$B:$H,COLUMN(CS!C$1),FALSE),
IF(_xlpm.v=0,"",_xlpm.v)
),"")</f>
        <v/>
      </c>
      <c r="D22" t="str">
        <f>IFERROR(_xlfn.LET(_xlpm.v,
VLOOKUP($A22,CS!$B:$H,COLUMN(CS!D$1),FALSE),
IF(_xlpm.v=0,"",_xlpm.v)
),"")</f>
        <v>A</v>
      </c>
      <c r="E22" t="str">
        <f>IFERROR(_xlfn.LET(_xlpm.v,
VLOOKUP($A22,CS!$B:$H,COLUMN(CS!E$1),FALSE),
IF(_xlpm.v=0,"",_xlpm.v)
),"")</f>
        <v/>
      </c>
      <c r="F22">
        <f>IFERROR(_xlfn.LET(_xlpm.v,
VLOOKUP($A22,CS!$B:$H,COLUMN(CS!F$1),FALSE),
IF(_xlpm.v=0,"",_xlpm.v)
),"")</f>
        <v>60</v>
      </c>
      <c r="G22" s="51" t="str">
        <f>IFERROR(_xlfn.LET(_xlpm.v,
VLOOKUP($A22,CS!$B:$N,COLUMN(CS!M$1),FALSE),
IF(_xlpm.v=0,"",_xlpm.v)
),"")</f>
        <v/>
      </c>
      <c r="H22" s="17" t="str">
        <f>IFERROR(_xlfn.LET(_xlpm.v,
VLOOKUP($A22,CS!$B:$H,COLUMN(CS!G$1),FALSE),
IF(_xlpm.v=0,"",_xlpm.v)
),"")</f>
        <v>攻撃手段:武器 怯み+30 判定:命中</v>
      </c>
      <c r="I22" t="s">
        <v>313</v>
      </c>
      <c r="AC22">
        <v>30</v>
      </c>
      <c r="CJ22" t="s">
        <v>21</v>
      </c>
    </row>
    <row r="23" spans="1:89" outlineLevel="1" x14ac:dyDescent="0.4">
      <c r="A23" s="2" t="s">
        <v>274</v>
      </c>
      <c r="B23" t="str">
        <f>IFERROR(_xlfn.LET(_xlpm.v,
VLOOKUP($A23,CS!$B:$H,COLUMN(CS!B$1),FALSE),
IF(_xlpm.v=0,"",_xlpm.v)
),"")</f>
        <v/>
      </c>
      <c r="C23" t="str">
        <f>IFERROR(_xlfn.LET(_xlpm.v,
VLOOKUP($A23,CS!$B:$H,COLUMN(CS!C$1),FALSE),
IF(_xlpm.v=0,"",_xlpm.v)
),"")</f>
        <v/>
      </c>
      <c r="D23" t="str">
        <f>IFERROR(_xlfn.LET(_xlpm.v,
VLOOKUP($A23,CS!$B:$H,COLUMN(CS!D$1),FALSE),
IF(_xlpm.v=0,"",_xlpm.v)
),"")</f>
        <v>P</v>
      </c>
      <c r="E23" t="str">
        <f>IFERROR(_xlfn.LET(_xlpm.v,
VLOOKUP($A23,CS!$B:$H,COLUMN(CS!E$1),FALSE),
IF(_xlpm.v=0,"",_xlpm.v)
),"")</f>
        <v/>
      </c>
      <c r="F23" t="str">
        <f>IFERROR(_xlfn.LET(_xlpm.v,
VLOOKUP($A23,CS!$B:$H,COLUMN(CS!F$1),FALSE),
IF(_xlpm.v=0,"",_xlpm.v)
),"")</f>
        <v/>
      </c>
      <c r="G23" s="51" t="str">
        <f>IFERROR(_xlfn.LET(_xlpm.v,
VLOOKUP($A23,CS!$B:$N,COLUMN(CS!M$1),FALSE),
IF(_xlpm.v=0,"",_xlpm.v)
),"")</f>
        <v/>
      </c>
      <c r="H23" s="17" t="str">
        <f>IFERROR(_xlfn.LET(_xlpm.v,
VLOOKUP($A23,CS!$B:$H,COLUMN(CS!G$1),FALSE),
IF(_xlpm.v=0,"",_xlpm.v)
),"")</f>
        <v/>
      </c>
    </row>
    <row r="24" spans="1:89" outlineLevel="1" x14ac:dyDescent="0.4">
      <c r="A24" s="2" t="s">
        <v>222</v>
      </c>
      <c r="B24" t="str">
        <f>IFERROR(_xlfn.LET(_xlpm.v,
VLOOKUP($A24,CS!$B:$H,COLUMN(CS!B$1),FALSE),
IF(_xlpm.v=0,"",_xlpm.v)
),"")</f>
        <v>ターゲット</v>
      </c>
      <c r="C24" t="str">
        <f>IFERROR(_xlfn.LET(_xlpm.v,
VLOOKUP($A24,CS!$B:$H,COLUMN(CS!C$1),FALSE),
IF(_xlpm.v=0,"",_xlpm.v)
),"")</f>
        <v/>
      </c>
      <c r="D24" t="str">
        <f>IFERROR(_xlfn.LET(_xlpm.v,
VLOOKUP($A24,CS!$B:$H,COLUMN(CS!D$1),FALSE),
IF(_xlpm.v=0,"",_xlpm.v)
),"")</f>
        <v>A</v>
      </c>
      <c r="E24" t="str">
        <f>IFERROR(_xlfn.LET(_xlpm.v,
VLOOKUP($A24,CS!$B:$H,COLUMN(CS!E$1),FALSE),
IF(_xlpm.v=0,"",_xlpm.v)
),"")</f>
        <v/>
      </c>
      <c r="F24" t="str">
        <f>IFERROR(_xlfn.LET(_xlpm.v,
VLOOKUP($A24,CS!$B:$H,COLUMN(CS!F$1),FALSE),
IF(_xlpm.v=0,"",_xlpm.v)
),"")</f>
        <v/>
      </c>
      <c r="G24" s="51" t="str">
        <f>IFERROR(_xlfn.LET(_xlpm.v,
VLOOKUP($A24,CS!$B:$N,COLUMN(CS!M$1),FALSE),
IF(_xlpm.v=0,"",_xlpm.v)
),"")</f>
        <v/>
      </c>
      <c r="H24" s="17" t="str">
        <f>IFERROR(_xlfn.LET(_xlpm.v,
VLOOKUP($A24,CS!$B:$H,COLUMN(CS!G$1),FALSE),
IF(_xlpm.v=0,"",_xlpm.v)
),"")</f>
        <v>効果時間:4t 命中+20 Cr率+5</v>
      </c>
      <c r="AG24">
        <v>5</v>
      </c>
      <c r="AQ24">
        <v>20</v>
      </c>
      <c r="CK24" t="s">
        <v>323</v>
      </c>
    </row>
    <row r="25" spans="1:89" ht="37.5" outlineLevel="1" x14ac:dyDescent="0.4">
      <c r="A25" s="2" t="s">
        <v>275</v>
      </c>
      <c r="B25" t="str">
        <f>IFERROR(_xlfn.LET(_xlpm.v,
VLOOKUP($A25,CS!$B:$H,COLUMN(CS!B$1),FALSE),
IF(_xlpm.v=0,"",_xlpm.v)
),"")</f>
        <v/>
      </c>
      <c r="C25" t="str">
        <f>IFERROR(_xlfn.LET(_xlpm.v,
VLOOKUP($A25,CS!$B:$H,COLUMN(CS!C$1),FALSE),
IF(_xlpm.v=0,"",_xlpm.v)
),"")</f>
        <v>炎</v>
      </c>
      <c r="D25" t="str">
        <f>IFERROR(_xlfn.LET(_xlpm.v,
VLOOKUP($A25,CS!$B:$H,COLUMN(CS!D$1),FALSE),
IF(_xlpm.v=0,"",_xlpm.v)
),"")</f>
        <v>A</v>
      </c>
      <c r="E25" t="str">
        <f>IFERROR(_xlfn.LET(_xlpm.v,
VLOOKUP($A25,CS!$B:$H,COLUMN(CS!E$1),FALSE),
IF(_xlpm.v=0,"",_xlpm.v)
),"")</f>
        <v/>
      </c>
      <c r="F25">
        <f>IFERROR(_xlfn.LET(_xlpm.v,
VLOOKUP($A25,CS!$B:$H,COLUMN(CS!F$1),FALSE),
IF(_xlpm.v=0,"",_xlpm.v)
),"")</f>
        <v>60</v>
      </c>
      <c r="G25" s="51" t="str">
        <f>IFERROR(_xlfn.LET(_xlpm.v,
VLOOKUP($A25,CS!$B:$N,COLUMN(CS!M$1),FALSE),
IF(_xlpm.v=0,"",_xlpm.v)
),"")</f>
        <v/>
      </c>
      <c r="H25" s="17" t="str">
        <f>IFERROR(_xlfn.LET(_xlpm.v,
VLOOKUP($A25,CS!$B:$H,COLUMN(CS!G$1),FALSE),
IF(_xlpm.v=0,"",_xlpm.v)
),"")</f>
        <v>攻撃手段:素手 物理+15 炎+25 判定:攻撃</v>
      </c>
      <c r="I25" t="s">
        <v>106</v>
      </c>
      <c r="O25" s="17">
        <v>15</v>
      </c>
      <c r="U25" s="17">
        <v>25</v>
      </c>
      <c r="CJ25" t="s">
        <v>12</v>
      </c>
    </row>
    <row r="26" spans="1:89" outlineLevel="1" x14ac:dyDescent="0.4">
      <c r="A26" s="2" t="s">
        <v>278</v>
      </c>
      <c r="B26" t="str">
        <f>IFERROR(_xlfn.LET(_xlpm.v,
VLOOKUP($A26,CS!$B:$H,COLUMN(CS!B$1),FALSE),
IF(_xlpm.v=0,"",_xlpm.v)
),"")</f>
        <v/>
      </c>
      <c r="C26" t="str">
        <f>IFERROR(_xlfn.LET(_xlpm.v,
VLOOKUP($A26,CS!$B:$H,COLUMN(CS!C$1),FALSE),
IF(_xlpm.v=0,"",_xlpm.v)
),"")</f>
        <v/>
      </c>
      <c r="D26" t="str">
        <f>IFERROR(_xlfn.LET(_xlpm.v,
VLOOKUP($A26,CS!$B:$H,COLUMN(CS!D$1),FALSE),
IF(_xlpm.v=0,"",_xlpm.v)
),"")</f>
        <v>P</v>
      </c>
      <c r="E26" t="str">
        <f>IFERROR(_xlfn.LET(_xlpm.v,
VLOOKUP($A26,CS!$B:$H,COLUMN(CS!E$1),FALSE),
IF(_xlpm.v=0,"",_xlpm.v)
),"")</f>
        <v/>
      </c>
      <c r="F26" t="str">
        <f>IFERROR(_xlfn.LET(_xlpm.v,
VLOOKUP($A26,CS!$B:$H,COLUMN(CS!F$1),FALSE),
IF(_xlpm.v=0,"",_xlpm.v)
),"")</f>
        <v/>
      </c>
      <c r="G26" s="51" t="str">
        <f>IFERROR(_xlfn.LET(_xlpm.v,
VLOOKUP($A26,CS!$B:$N,COLUMN(CS!M$1),FALSE),
IF(_xlpm.v=0,"",_xlpm.v)
),"")</f>
        <v/>
      </c>
      <c r="H26" s="17" t="str">
        <f>IFERROR(_xlfn.LET(_xlpm.v,
VLOOKUP($A26,CS!$B:$H,COLUMN(CS!G$1),FALSE),
IF(_xlpm.v=0,"",_xlpm.v)
),"")</f>
        <v>効果:浮遊</v>
      </c>
      <c r="CF26" t="s">
        <v>277</v>
      </c>
    </row>
    <row r="27" spans="1:89" outlineLevel="1" x14ac:dyDescent="0.4">
      <c r="A27" s="2" t="s">
        <v>276</v>
      </c>
      <c r="B27" t="str">
        <f>IFERROR(_xlfn.LET(_xlpm.v,
VLOOKUP($A27,CS!$B:$H,COLUMN(CS!B$1),FALSE),
IF(_xlpm.v=0,"",_xlpm.v)
),"")</f>
        <v/>
      </c>
      <c r="C27" t="str">
        <f>IFERROR(_xlfn.LET(_xlpm.v,
VLOOKUP($A27,CS!$B:$H,COLUMN(CS!C$1),FALSE),
IF(_xlpm.v=0,"",_xlpm.v)
),"")</f>
        <v/>
      </c>
      <c r="D27" t="str">
        <f>IFERROR(_xlfn.LET(_xlpm.v,
VLOOKUP($A27,CS!$B:$H,COLUMN(CS!D$1),FALSE),
IF(_xlpm.v=0,"",_xlpm.v)
),"")</f>
        <v>P</v>
      </c>
      <c r="E27" t="str">
        <f>IFERROR(_xlfn.LET(_xlpm.v,
VLOOKUP($A27,CS!$B:$H,COLUMN(CS!E$1),FALSE),
IF(_xlpm.v=0,"",_xlpm.v)
),"")</f>
        <v/>
      </c>
      <c r="F27" t="str">
        <f>IFERROR(_xlfn.LET(_xlpm.v,
VLOOKUP($A27,CS!$B:$H,COLUMN(CS!F$1),FALSE),
IF(_xlpm.v=0,"",_xlpm.v)
),"")</f>
        <v/>
      </c>
      <c r="G27" s="51" t="str">
        <f>IFERROR(_xlfn.LET(_xlpm.v,
VLOOKUP($A27,CS!$B:$N,COLUMN(CS!M$1),FALSE),
IF(_xlpm.v=0,"",_xlpm.v)
),"")</f>
        <v/>
      </c>
      <c r="H27" s="17" t="str">
        <f>IFERROR(_xlfn.LET(_xlpm.v,
VLOOKUP($A27,CS!$B:$H,COLUMN(CS!G$1),FALSE),
IF(_xlpm.v=0,"",_xlpm.v)
),"")</f>
        <v>条件系統:炎 魔力+30</v>
      </c>
      <c r="K27" t="s">
        <v>98</v>
      </c>
      <c r="AN27">
        <v>30</v>
      </c>
    </row>
    <row r="28" spans="1:89" outlineLevel="1" x14ac:dyDescent="0.4">
      <c r="A28" s="2" t="s">
        <v>112</v>
      </c>
      <c r="B28" t="str">
        <f>IFERROR(_xlfn.LET(_xlpm.v,
VLOOKUP($A28,CS!$B:$H,COLUMN(CS!B$1),FALSE),
IF(_xlpm.v=0,"",_xlpm.v)
),"")</f>
        <v/>
      </c>
      <c r="C28" t="str">
        <f>IFERROR(_xlfn.LET(_xlpm.v,
VLOOKUP($A28,CS!$B:$H,COLUMN(CS!C$1),FALSE),
IF(_xlpm.v=0,"",_xlpm.v)
),"")</f>
        <v/>
      </c>
      <c r="D28" t="str">
        <f>IFERROR(_xlfn.LET(_xlpm.v,
VLOOKUP($A28,CS!$B:$H,COLUMN(CS!D$1),FALSE),
IF(_xlpm.v=0,"",_xlpm.v)
),"")</f>
        <v>P</v>
      </c>
      <c r="E28" t="str">
        <f>IFERROR(_xlfn.LET(_xlpm.v,
VLOOKUP($A28,CS!$B:$H,COLUMN(CS!E$1),FALSE),
IF(_xlpm.v=0,"",_xlpm.v)
),"")</f>
        <v/>
      </c>
      <c r="F28" t="str">
        <f>IFERROR(_xlfn.LET(_xlpm.v,
VLOOKUP($A28,CS!$B:$H,COLUMN(CS!F$1),FALSE),
IF(_xlpm.v=0,"",_xlpm.v)
),"")</f>
        <v/>
      </c>
      <c r="G28" s="51" t="str">
        <f>IFERROR(_xlfn.LET(_xlpm.v,
VLOOKUP($A28,CS!$B:$N,COLUMN(CS!M$1),FALSE),
IF(_xlpm.v=0,"",_xlpm.v)
),"")</f>
        <v/>
      </c>
      <c r="H28" s="17" t="str">
        <f>IFERROR(_xlfn.LET(_xlpm.v,
VLOOKUP($A28,CS!$B:$H,COLUMN(CS!G$1),FALSE),
IF(_xlpm.v=0,"",_xlpm.v)
),"")</f>
        <v>条件系統:炎 攻撃+30</v>
      </c>
      <c r="K28" t="s">
        <v>98</v>
      </c>
      <c r="AL28">
        <v>30</v>
      </c>
    </row>
    <row r="29" spans="1:89" ht="37.5" outlineLevel="1" x14ac:dyDescent="0.4">
      <c r="A29" s="2" t="s">
        <v>114</v>
      </c>
      <c r="B29" t="str">
        <f>IFERROR(_xlfn.LET(_xlpm.v,
VLOOKUP($A29,CS!$B:$H,COLUMN(CS!B$1),FALSE),
IF(_xlpm.v=0,"",_xlpm.v)
),"")</f>
        <v/>
      </c>
      <c r="C29" t="str">
        <f>IFERROR(_xlfn.LET(_xlpm.v,
VLOOKUP($A29,CS!$B:$H,COLUMN(CS!C$1),FALSE),
IF(_xlpm.v=0,"",_xlpm.v)
),"")</f>
        <v>炎</v>
      </c>
      <c r="D29" t="str">
        <f>IFERROR(_xlfn.LET(_xlpm.v,
VLOOKUP($A29,CS!$B:$H,COLUMN(CS!D$1),FALSE),
IF(_xlpm.v=0,"",_xlpm.v)
),"")</f>
        <v>A</v>
      </c>
      <c r="E29" t="str">
        <f>IFERROR(_xlfn.LET(_xlpm.v,
VLOOKUP($A29,CS!$B:$H,COLUMN(CS!E$1),FALSE),
IF(_xlpm.v=0,"",_xlpm.v)
),"")</f>
        <v/>
      </c>
      <c r="F29">
        <f>IFERROR(_xlfn.LET(_xlpm.v,
VLOOKUP($A29,CS!$B:$H,COLUMN(CS!F$1),FALSE),
IF(_xlpm.v=0,"",_xlpm.v)
),"")</f>
        <v>80</v>
      </c>
      <c r="G29" s="51" t="str">
        <f>IFERROR(_xlfn.LET(_xlpm.v,
VLOOKUP($A29,CS!$B:$N,COLUMN(CS!M$1),FALSE),
IF(_xlpm.v=0,"",_xlpm.v)
),"")</f>
        <v/>
      </c>
      <c r="H29" s="17" t="str">
        <f>IFERROR(_xlfn.LET(_xlpm.v,
VLOOKUP($A29,CS!$B:$H,COLUMN(CS!G$1),FALSE),
IF(_xlpm.v=0,"",_xlpm.v)
),"")</f>
        <v>攻撃手段:吐息 炎+45 射程:20 範囲:放射</v>
      </c>
      <c r="I29" t="s">
        <v>316</v>
      </c>
      <c r="U29" s="17">
        <v>45</v>
      </c>
      <c r="CB29">
        <v>20</v>
      </c>
      <c r="CC29" t="s">
        <v>317</v>
      </c>
    </row>
    <row r="30" spans="1:89" ht="37.5" outlineLevel="1" x14ac:dyDescent="0.4">
      <c r="A30" s="2" t="s">
        <v>295</v>
      </c>
      <c r="B30" t="str">
        <f>IFERROR(_xlfn.LET(_xlpm.v,
VLOOKUP($A30,CS!$B:$H,COLUMN(CS!B$1),FALSE),
IF(_xlpm.v=0,"",_xlpm.v)
),"")</f>
        <v/>
      </c>
      <c r="C30" t="str">
        <f>IFERROR(_xlfn.LET(_xlpm.v,
VLOOKUP($A30,CS!$B:$H,COLUMN(CS!C$1),FALSE),
IF(_xlpm.v=0,"",_xlpm.v)
),"")</f>
        <v>氷</v>
      </c>
      <c r="D30" t="str">
        <f>IFERROR(_xlfn.LET(_xlpm.v,
VLOOKUP($A30,CS!$B:$H,COLUMN(CS!D$1),FALSE),
IF(_xlpm.v=0,"",_xlpm.v)
),"")</f>
        <v>A</v>
      </c>
      <c r="E30" t="str">
        <f>IFERROR(_xlfn.LET(_xlpm.v,
VLOOKUP($A30,CS!$B:$H,COLUMN(CS!E$1),FALSE),
IF(_xlpm.v=0,"",_xlpm.v)
),"")</f>
        <v/>
      </c>
      <c r="F30">
        <f>IFERROR(_xlfn.LET(_xlpm.v,
VLOOKUP($A30,CS!$B:$H,COLUMN(CS!F$1),FALSE),
IF(_xlpm.v=0,"",_xlpm.v)
),"")</f>
        <v>60</v>
      </c>
      <c r="G30" s="51" t="str">
        <f>IFERROR(_xlfn.LET(_xlpm.v,
VLOOKUP($A30,CS!$B:$N,COLUMN(CS!M$1),FALSE),
IF(_xlpm.v=0,"",_xlpm.v)
),"")</f>
        <v/>
      </c>
      <c r="H30" s="17" t="str">
        <f>IFERROR(_xlfn.LET(_xlpm.v,
VLOOKUP($A30,CS!$B:$H,COLUMN(CS!G$1),FALSE),
IF(_xlpm.v=0,"",_xlpm.v)
),"")</f>
        <v>攻撃手段:素手 物理+15 氷+25 判定:攻撃</v>
      </c>
      <c r="I30" t="s">
        <v>106</v>
      </c>
      <c r="O30" s="17">
        <v>15</v>
      </c>
      <c r="V30" s="17">
        <v>25</v>
      </c>
      <c r="CJ30" t="s">
        <v>12</v>
      </c>
    </row>
    <row r="31" spans="1:89" outlineLevel="1" x14ac:dyDescent="0.4">
      <c r="A31" s="2" t="s">
        <v>296</v>
      </c>
      <c r="B31" t="str">
        <f>IFERROR(_xlfn.LET(_xlpm.v,
VLOOKUP($A31,CS!$B:$H,COLUMN(CS!B$1),FALSE),
IF(_xlpm.v=0,"",_xlpm.v)
),"")</f>
        <v/>
      </c>
      <c r="C31" t="str">
        <f>IFERROR(_xlfn.LET(_xlpm.v,
VLOOKUP($A31,CS!$B:$H,COLUMN(CS!C$1),FALSE),
IF(_xlpm.v=0,"",_xlpm.v)
),"")</f>
        <v/>
      </c>
      <c r="D31" t="str">
        <f>IFERROR(_xlfn.LET(_xlpm.v,
VLOOKUP($A31,CS!$B:$H,COLUMN(CS!D$1),FALSE),
IF(_xlpm.v=0,"",_xlpm.v)
),"")</f>
        <v>P</v>
      </c>
      <c r="E31" t="str">
        <f>IFERROR(_xlfn.LET(_xlpm.v,
VLOOKUP($A31,CS!$B:$H,COLUMN(CS!E$1),FALSE),
IF(_xlpm.v=0,"",_xlpm.v)
),"")</f>
        <v/>
      </c>
      <c r="F31" t="str">
        <f>IFERROR(_xlfn.LET(_xlpm.v,
VLOOKUP($A31,CS!$B:$H,COLUMN(CS!F$1),FALSE),
IF(_xlpm.v=0,"",_xlpm.v)
),"")</f>
        <v/>
      </c>
      <c r="G31" s="51" t="str">
        <f>IFERROR(_xlfn.LET(_xlpm.v,
VLOOKUP($A31,CS!$B:$N,COLUMN(CS!M$1),FALSE),
IF(_xlpm.v=0,"",_xlpm.v)
),"")</f>
        <v/>
      </c>
      <c r="H31" s="17" t="str">
        <f>IFERROR(_xlfn.LET(_xlpm.v,
VLOOKUP($A31,CS!$B:$H,COLUMN(CS!G$1),FALSE),
IF(_xlpm.v=0,"",_xlpm.v)
),"")</f>
        <v>条件系統:氷 魔力+30</v>
      </c>
      <c r="K31" t="s">
        <v>99</v>
      </c>
      <c r="AN31">
        <v>30</v>
      </c>
    </row>
    <row r="32" spans="1:89" outlineLevel="1" x14ac:dyDescent="0.4">
      <c r="A32" s="2" t="s">
        <v>113</v>
      </c>
      <c r="B32" t="str">
        <f>IFERROR(_xlfn.LET(_xlpm.v,
VLOOKUP($A32,CS!$B:$H,COLUMN(CS!B$1),FALSE),
IF(_xlpm.v=0,"",_xlpm.v)
),"")</f>
        <v/>
      </c>
      <c r="C32" t="str">
        <f>IFERROR(_xlfn.LET(_xlpm.v,
VLOOKUP($A32,CS!$B:$H,COLUMN(CS!C$1),FALSE),
IF(_xlpm.v=0,"",_xlpm.v)
),"")</f>
        <v/>
      </c>
      <c r="D32" t="str">
        <f>IFERROR(_xlfn.LET(_xlpm.v,
VLOOKUP($A32,CS!$B:$H,COLUMN(CS!D$1),FALSE),
IF(_xlpm.v=0,"",_xlpm.v)
),"")</f>
        <v>P</v>
      </c>
      <c r="E32" t="str">
        <f>IFERROR(_xlfn.LET(_xlpm.v,
VLOOKUP($A32,CS!$B:$H,COLUMN(CS!E$1),FALSE),
IF(_xlpm.v=0,"",_xlpm.v)
),"")</f>
        <v/>
      </c>
      <c r="F32" t="str">
        <f>IFERROR(_xlfn.LET(_xlpm.v,
VLOOKUP($A32,CS!$B:$H,COLUMN(CS!F$1),FALSE),
IF(_xlpm.v=0,"",_xlpm.v)
),"")</f>
        <v/>
      </c>
      <c r="G32" s="51" t="str">
        <f>IFERROR(_xlfn.LET(_xlpm.v,
VLOOKUP($A32,CS!$B:$N,COLUMN(CS!M$1),FALSE),
IF(_xlpm.v=0,"",_xlpm.v)
),"")</f>
        <v/>
      </c>
      <c r="H32" s="17" t="str">
        <f>IFERROR(_xlfn.LET(_xlpm.v,
VLOOKUP($A32,CS!$B:$H,COLUMN(CS!G$1),FALSE),
IF(_xlpm.v=0,"",_xlpm.v)
),"")</f>
        <v>条件系統:氷 攻撃+30</v>
      </c>
      <c r="K32" t="s">
        <v>99</v>
      </c>
      <c r="AL32">
        <v>30</v>
      </c>
    </row>
    <row r="33" spans="1:88" ht="37.5" outlineLevel="1" x14ac:dyDescent="0.4">
      <c r="A33" s="2" t="s">
        <v>115</v>
      </c>
      <c r="B33" t="str">
        <f>IFERROR(_xlfn.LET(_xlpm.v,
VLOOKUP($A33,CS!$B:$H,COLUMN(CS!B$1),FALSE),
IF(_xlpm.v=0,"",_xlpm.v)
),"")</f>
        <v/>
      </c>
      <c r="C33" t="str">
        <f>IFERROR(_xlfn.LET(_xlpm.v,
VLOOKUP($A33,CS!$B:$H,COLUMN(CS!C$1),FALSE),
IF(_xlpm.v=0,"",_xlpm.v)
),"")</f>
        <v>氷</v>
      </c>
      <c r="D33" t="str">
        <f>IFERROR(_xlfn.LET(_xlpm.v,
VLOOKUP($A33,CS!$B:$H,COLUMN(CS!D$1),FALSE),
IF(_xlpm.v=0,"",_xlpm.v)
),"")</f>
        <v>A</v>
      </c>
      <c r="E33" t="str">
        <f>IFERROR(_xlfn.LET(_xlpm.v,
VLOOKUP($A33,CS!$B:$H,COLUMN(CS!E$1),FALSE),
IF(_xlpm.v=0,"",_xlpm.v)
),"")</f>
        <v/>
      </c>
      <c r="F33">
        <f>IFERROR(_xlfn.LET(_xlpm.v,
VLOOKUP($A33,CS!$B:$H,COLUMN(CS!F$1),FALSE),
IF(_xlpm.v=0,"",_xlpm.v)
),"")</f>
        <v>80</v>
      </c>
      <c r="G33" s="51" t="str">
        <f>IFERROR(_xlfn.LET(_xlpm.v,
VLOOKUP($A33,CS!$B:$N,COLUMN(CS!M$1),FALSE),
IF(_xlpm.v=0,"",_xlpm.v)
),"")</f>
        <v/>
      </c>
      <c r="H33" s="17" t="str">
        <f>IFERROR(_xlfn.LET(_xlpm.v,
VLOOKUP($A33,CS!$B:$H,COLUMN(CS!G$1),FALSE),
IF(_xlpm.v=0,"",_xlpm.v)
),"")</f>
        <v>攻撃手段:吐息 氷+45 射程:20 範囲:放射</v>
      </c>
      <c r="I33" t="s">
        <v>316</v>
      </c>
      <c r="V33" s="17">
        <v>45</v>
      </c>
      <c r="CB33">
        <v>20</v>
      </c>
      <c r="CC33" t="s">
        <v>317</v>
      </c>
    </row>
    <row r="34" spans="1:88" ht="37.5" outlineLevel="1" x14ac:dyDescent="0.4">
      <c r="A34" s="2" t="s">
        <v>297</v>
      </c>
      <c r="B34" t="str">
        <f>IFERROR(_xlfn.LET(_xlpm.v,
VLOOKUP($A34,CS!$B:$H,COLUMN(CS!B$1),FALSE),
IF(_xlpm.v=0,"",_xlpm.v)
),"")</f>
        <v/>
      </c>
      <c r="C34" t="str">
        <f>IFERROR(_xlfn.LET(_xlpm.v,
VLOOKUP($A34,CS!$B:$H,COLUMN(CS!C$1),FALSE),
IF(_xlpm.v=0,"",_xlpm.v)
),"")</f>
        <v>風</v>
      </c>
      <c r="D34" t="str">
        <f>IFERROR(_xlfn.LET(_xlpm.v,
VLOOKUP($A34,CS!$B:$H,COLUMN(CS!D$1),FALSE),
IF(_xlpm.v=0,"",_xlpm.v)
),"")</f>
        <v>A</v>
      </c>
      <c r="E34" t="str">
        <f>IFERROR(_xlfn.LET(_xlpm.v,
VLOOKUP($A34,CS!$B:$H,COLUMN(CS!E$1),FALSE),
IF(_xlpm.v=0,"",_xlpm.v)
),"")</f>
        <v/>
      </c>
      <c r="F34">
        <f>IFERROR(_xlfn.LET(_xlpm.v,
VLOOKUP($A34,CS!$B:$H,COLUMN(CS!F$1),FALSE),
IF(_xlpm.v=0,"",_xlpm.v)
),"")</f>
        <v>60</v>
      </c>
      <c r="G34" s="51" t="str">
        <f>IFERROR(_xlfn.LET(_xlpm.v,
VLOOKUP($A34,CS!$B:$N,COLUMN(CS!M$1),FALSE),
IF(_xlpm.v=0,"",_xlpm.v)
),"")</f>
        <v/>
      </c>
      <c r="H34" s="17" t="str">
        <f>IFERROR(_xlfn.LET(_xlpm.v,
VLOOKUP($A34,CS!$B:$H,COLUMN(CS!G$1),FALSE),
IF(_xlpm.v=0,"",_xlpm.v)
),"")</f>
        <v>攻撃手段:素手 物理+15 怯み+25 判定:攻撃</v>
      </c>
      <c r="I34" t="s">
        <v>106</v>
      </c>
      <c r="O34" s="17">
        <v>15</v>
      </c>
      <c r="AC34">
        <v>25</v>
      </c>
      <c r="CJ34" t="s">
        <v>12</v>
      </c>
    </row>
    <row r="35" spans="1:88" outlineLevel="1" x14ac:dyDescent="0.4">
      <c r="A35" s="2" t="s">
        <v>298</v>
      </c>
      <c r="B35" t="str">
        <f>IFERROR(_xlfn.LET(_xlpm.v,
VLOOKUP($A35,CS!$B:$H,COLUMN(CS!B$1),FALSE),
IF(_xlpm.v=0,"",_xlpm.v)
),"")</f>
        <v/>
      </c>
      <c r="C35" t="str">
        <f>IFERROR(_xlfn.LET(_xlpm.v,
VLOOKUP($A35,CS!$B:$H,COLUMN(CS!C$1),FALSE),
IF(_xlpm.v=0,"",_xlpm.v)
),"")</f>
        <v/>
      </c>
      <c r="D35" t="str">
        <f>IFERROR(_xlfn.LET(_xlpm.v,
VLOOKUP($A35,CS!$B:$H,COLUMN(CS!D$1),FALSE),
IF(_xlpm.v=0,"",_xlpm.v)
),"")</f>
        <v>P</v>
      </c>
      <c r="E35" t="str">
        <f>IFERROR(_xlfn.LET(_xlpm.v,
VLOOKUP($A35,CS!$B:$H,COLUMN(CS!E$1),FALSE),
IF(_xlpm.v=0,"",_xlpm.v)
),"")</f>
        <v/>
      </c>
      <c r="F35" t="str">
        <f>IFERROR(_xlfn.LET(_xlpm.v,
VLOOKUP($A35,CS!$B:$H,COLUMN(CS!F$1),FALSE),
IF(_xlpm.v=0,"",_xlpm.v)
),"")</f>
        <v/>
      </c>
      <c r="G35" s="51" t="str">
        <f>IFERROR(_xlfn.LET(_xlpm.v,
VLOOKUP($A35,CS!$B:$N,COLUMN(CS!M$1),FALSE),
IF(_xlpm.v=0,"",_xlpm.v)
),"")</f>
        <v/>
      </c>
      <c r="H35" s="17" t="str">
        <f>IFERROR(_xlfn.LET(_xlpm.v,
VLOOKUP($A35,CS!$B:$H,COLUMN(CS!G$1),FALSE),
IF(_xlpm.v=0,"",_xlpm.v)
),"")</f>
        <v>条件系統:風 魔力+30</v>
      </c>
      <c r="K35" t="s">
        <v>101</v>
      </c>
      <c r="AN35">
        <v>30</v>
      </c>
    </row>
    <row r="36" spans="1:88" outlineLevel="1" x14ac:dyDescent="0.4">
      <c r="A36" s="2" t="s">
        <v>299</v>
      </c>
      <c r="B36" t="str">
        <f>IFERROR(_xlfn.LET(_xlpm.v,
VLOOKUP($A36,CS!$B:$H,COLUMN(CS!B$1),FALSE),
IF(_xlpm.v=0,"",_xlpm.v)
),"")</f>
        <v/>
      </c>
      <c r="C36" t="str">
        <f>IFERROR(_xlfn.LET(_xlpm.v,
VLOOKUP($A36,CS!$B:$H,COLUMN(CS!C$1),FALSE),
IF(_xlpm.v=0,"",_xlpm.v)
),"")</f>
        <v/>
      </c>
      <c r="D36" t="str">
        <f>IFERROR(_xlfn.LET(_xlpm.v,
VLOOKUP($A36,CS!$B:$H,COLUMN(CS!D$1),FALSE),
IF(_xlpm.v=0,"",_xlpm.v)
),"")</f>
        <v>P</v>
      </c>
      <c r="E36" t="str">
        <f>IFERROR(_xlfn.LET(_xlpm.v,
VLOOKUP($A36,CS!$B:$H,COLUMN(CS!E$1),FALSE),
IF(_xlpm.v=0,"",_xlpm.v)
),"")</f>
        <v/>
      </c>
      <c r="F36" t="str">
        <f>IFERROR(_xlfn.LET(_xlpm.v,
VLOOKUP($A36,CS!$B:$H,COLUMN(CS!F$1),FALSE),
IF(_xlpm.v=0,"",_xlpm.v)
),"")</f>
        <v/>
      </c>
      <c r="G36" s="51" t="str">
        <f>IFERROR(_xlfn.LET(_xlpm.v,
VLOOKUP($A36,CS!$B:$N,COLUMN(CS!M$1),FALSE),
IF(_xlpm.v=0,"",_xlpm.v)
),"")</f>
        <v/>
      </c>
      <c r="H36" s="17" t="str">
        <f>IFERROR(_xlfn.LET(_xlpm.v,
VLOOKUP($A36,CS!$B:$H,COLUMN(CS!G$1),FALSE),
IF(_xlpm.v=0,"",_xlpm.v)
),"")</f>
        <v>条件系統:風 攻撃+30</v>
      </c>
      <c r="K36" t="s">
        <v>101</v>
      </c>
      <c r="AL36">
        <v>30</v>
      </c>
    </row>
    <row r="37" spans="1:88" ht="37.5" outlineLevel="1" x14ac:dyDescent="0.4">
      <c r="A37" s="2" t="s">
        <v>300</v>
      </c>
      <c r="B37" t="str">
        <f>IFERROR(_xlfn.LET(_xlpm.v,
VLOOKUP($A37,CS!$B:$H,COLUMN(CS!B$1),FALSE),
IF(_xlpm.v=0,"",_xlpm.v)
),"")</f>
        <v/>
      </c>
      <c r="C37" t="str">
        <f>IFERROR(_xlfn.LET(_xlpm.v,
VLOOKUP($A37,CS!$B:$H,COLUMN(CS!C$1),FALSE),
IF(_xlpm.v=0,"",_xlpm.v)
),"")</f>
        <v>風</v>
      </c>
      <c r="D37" t="str">
        <f>IFERROR(_xlfn.LET(_xlpm.v,
VLOOKUP($A37,CS!$B:$H,COLUMN(CS!D$1),FALSE),
IF(_xlpm.v=0,"",_xlpm.v)
),"")</f>
        <v>A</v>
      </c>
      <c r="E37" t="str">
        <f>IFERROR(_xlfn.LET(_xlpm.v,
VLOOKUP($A37,CS!$B:$H,COLUMN(CS!E$1),FALSE),
IF(_xlpm.v=0,"",_xlpm.v)
),"")</f>
        <v/>
      </c>
      <c r="F37">
        <f>IFERROR(_xlfn.LET(_xlpm.v,
VLOOKUP($A37,CS!$B:$H,COLUMN(CS!F$1),FALSE),
IF(_xlpm.v=0,"",_xlpm.v)
),"")</f>
        <v>80</v>
      </c>
      <c r="G37" s="51" t="str">
        <f>IFERROR(_xlfn.LET(_xlpm.v,
VLOOKUP($A37,CS!$B:$N,COLUMN(CS!M$1),FALSE),
IF(_xlpm.v=0,"",_xlpm.v)
),"")</f>
        <v/>
      </c>
      <c r="H37" s="17" t="str">
        <f>IFERROR(_xlfn.LET(_xlpm.v,
VLOOKUP($A37,CS!$B:$H,COLUMN(CS!G$1),FALSE),
IF(_xlpm.v=0,"",_xlpm.v)
),"")</f>
        <v>攻撃手段:吐息 怯み+45 射程:20 範囲:放射</v>
      </c>
      <c r="I37" t="s">
        <v>316</v>
      </c>
      <c r="AC37">
        <v>45</v>
      </c>
      <c r="CB37">
        <v>20</v>
      </c>
      <c r="CC37" t="s">
        <v>317</v>
      </c>
    </row>
    <row r="38" spans="1:88" ht="37.5" outlineLevel="1" x14ac:dyDescent="0.4">
      <c r="A38" s="2" t="s">
        <v>301</v>
      </c>
      <c r="B38" t="str">
        <f>IFERROR(_xlfn.LET(_xlpm.v,
VLOOKUP($A38,CS!$B:$H,COLUMN(CS!B$1),FALSE),
IF(_xlpm.v=0,"",_xlpm.v)
),"")</f>
        <v/>
      </c>
      <c r="C38" t="str">
        <f>IFERROR(_xlfn.LET(_xlpm.v,
VLOOKUP($A38,CS!$B:$H,COLUMN(CS!C$1),FALSE),
IF(_xlpm.v=0,"",_xlpm.v)
),"")</f>
        <v>地</v>
      </c>
      <c r="D38" t="str">
        <f>IFERROR(_xlfn.LET(_xlpm.v,
VLOOKUP($A38,CS!$B:$H,COLUMN(CS!D$1),FALSE),
IF(_xlpm.v=0,"",_xlpm.v)
),"")</f>
        <v>A</v>
      </c>
      <c r="E38" t="str">
        <f>IFERROR(_xlfn.LET(_xlpm.v,
VLOOKUP($A38,CS!$B:$H,COLUMN(CS!E$1),FALSE),
IF(_xlpm.v=0,"",_xlpm.v)
),"")</f>
        <v/>
      </c>
      <c r="F38">
        <f>IFERROR(_xlfn.LET(_xlpm.v,
VLOOKUP($A38,CS!$B:$H,COLUMN(CS!F$1),FALSE),
IF(_xlpm.v=0,"",_xlpm.v)
),"")</f>
        <v>60</v>
      </c>
      <c r="G38" s="51" t="str">
        <f>IFERROR(_xlfn.LET(_xlpm.v,
VLOOKUP($A38,CS!$B:$N,COLUMN(CS!M$1),FALSE),
IF(_xlpm.v=0,"",_xlpm.v)
),"")</f>
        <v/>
      </c>
      <c r="H38" s="17" t="str">
        <f>IFERROR(_xlfn.LET(_xlpm.v,
VLOOKUP($A38,CS!$B:$H,COLUMN(CS!G$1),FALSE),
IF(_xlpm.v=0,"",_xlpm.v)
),"")</f>
        <v>攻撃手段:素手 物理+15 ガード+25 判定:攻撃</v>
      </c>
      <c r="I38" t="s">
        <v>106</v>
      </c>
      <c r="N38" s="17">
        <v>25</v>
      </c>
      <c r="O38" s="17">
        <v>15</v>
      </c>
      <c r="CJ38" t="s">
        <v>12</v>
      </c>
    </row>
    <row r="39" spans="1:88" outlineLevel="1" x14ac:dyDescent="0.4">
      <c r="A39" s="2" t="s">
        <v>302</v>
      </c>
      <c r="B39" t="str">
        <f>IFERROR(_xlfn.LET(_xlpm.v,
VLOOKUP($A39,CS!$B:$H,COLUMN(CS!B$1),FALSE),
IF(_xlpm.v=0,"",_xlpm.v)
),"")</f>
        <v/>
      </c>
      <c r="C39" t="str">
        <f>IFERROR(_xlfn.LET(_xlpm.v,
VLOOKUP($A39,CS!$B:$H,COLUMN(CS!C$1),FALSE),
IF(_xlpm.v=0,"",_xlpm.v)
),"")</f>
        <v/>
      </c>
      <c r="D39" t="str">
        <f>IFERROR(_xlfn.LET(_xlpm.v,
VLOOKUP($A39,CS!$B:$H,COLUMN(CS!D$1),FALSE),
IF(_xlpm.v=0,"",_xlpm.v)
),"")</f>
        <v>P</v>
      </c>
      <c r="E39" t="str">
        <f>IFERROR(_xlfn.LET(_xlpm.v,
VLOOKUP($A39,CS!$B:$H,COLUMN(CS!E$1),FALSE),
IF(_xlpm.v=0,"",_xlpm.v)
),"")</f>
        <v/>
      </c>
      <c r="F39" t="str">
        <f>IFERROR(_xlfn.LET(_xlpm.v,
VLOOKUP($A39,CS!$B:$H,COLUMN(CS!F$1),FALSE),
IF(_xlpm.v=0,"",_xlpm.v)
),"")</f>
        <v/>
      </c>
      <c r="G39" s="51" t="str">
        <f>IFERROR(_xlfn.LET(_xlpm.v,
VLOOKUP($A39,CS!$B:$N,COLUMN(CS!M$1),FALSE),
IF(_xlpm.v=0,"",_xlpm.v)
),"")</f>
        <v/>
      </c>
      <c r="H39" s="17" t="str">
        <f>IFERROR(_xlfn.LET(_xlpm.v,
VLOOKUP($A39,CS!$B:$H,COLUMN(CS!G$1),FALSE),
IF(_xlpm.v=0,"",_xlpm.v)
),"")</f>
        <v>条件系統:地 魔力+30</v>
      </c>
      <c r="K39" t="s">
        <v>102</v>
      </c>
      <c r="AN39">
        <v>30</v>
      </c>
    </row>
    <row r="40" spans="1:88" outlineLevel="1" x14ac:dyDescent="0.4">
      <c r="A40" s="2" t="s">
        <v>303</v>
      </c>
      <c r="B40" t="str">
        <f>IFERROR(_xlfn.LET(_xlpm.v,
VLOOKUP($A40,CS!$B:$H,COLUMN(CS!B$1),FALSE),
IF(_xlpm.v=0,"",_xlpm.v)
),"")</f>
        <v/>
      </c>
      <c r="C40" t="str">
        <f>IFERROR(_xlfn.LET(_xlpm.v,
VLOOKUP($A40,CS!$B:$H,COLUMN(CS!C$1),FALSE),
IF(_xlpm.v=0,"",_xlpm.v)
),"")</f>
        <v/>
      </c>
      <c r="D40" t="str">
        <f>IFERROR(_xlfn.LET(_xlpm.v,
VLOOKUP($A40,CS!$B:$H,COLUMN(CS!D$1),FALSE),
IF(_xlpm.v=0,"",_xlpm.v)
),"")</f>
        <v>P</v>
      </c>
      <c r="E40" t="str">
        <f>IFERROR(_xlfn.LET(_xlpm.v,
VLOOKUP($A40,CS!$B:$H,COLUMN(CS!E$1),FALSE),
IF(_xlpm.v=0,"",_xlpm.v)
),"")</f>
        <v/>
      </c>
      <c r="F40" t="str">
        <f>IFERROR(_xlfn.LET(_xlpm.v,
VLOOKUP($A40,CS!$B:$H,COLUMN(CS!F$1),FALSE),
IF(_xlpm.v=0,"",_xlpm.v)
),"")</f>
        <v/>
      </c>
      <c r="G40" s="51" t="str">
        <f>IFERROR(_xlfn.LET(_xlpm.v,
VLOOKUP($A40,CS!$B:$N,COLUMN(CS!M$1),FALSE),
IF(_xlpm.v=0,"",_xlpm.v)
),"")</f>
        <v/>
      </c>
      <c r="H40" s="17" t="str">
        <f>IFERROR(_xlfn.LET(_xlpm.v,
VLOOKUP($A40,CS!$B:$H,COLUMN(CS!G$1),FALSE),
IF(_xlpm.v=0,"",_xlpm.v)
),"")</f>
        <v>条件系統:地 攻撃+30</v>
      </c>
      <c r="K40" t="s">
        <v>102</v>
      </c>
      <c r="AL40">
        <v>30</v>
      </c>
    </row>
    <row r="41" spans="1:88" ht="37.5" outlineLevel="1" x14ac:dyDescent="0.4">
      <c r="A41" s="2" t="s">
        <v>304</v>
      </c>
      <c r="B41" t="str">
        <f>IFERROR(_xlfn.LET(_xlpm.v,
VLOOKUP($A41,CS!$B:$H,COLUMN(CS!B$1),FALSE),
IF(_xlpm.v=0,"",_xlpm.v)
),"")</f>
        <v/>
      </c>
      <c r="C41" t="str">
        <f>IFERROR(_xlfn.LET(_xlpm.v,
VLOOKUP($A41,CS!$B:$H,COLUMN(CS!C$1),FALSE),
IF(_xlpm.v=0,"",_xlpm.v)
),"")</f>
        <v>地</v>
      </c>
      <c r="D41" t="str">
        <f>IFERROR(_xlfn.LET(_xlpm.v,
VLOOKUP($A41,CS!$B:$H,COLUMN(CS!D$1),FALSE),
IF(_xlpm.v=0,"",_xlpm.v)
),"")</f>
        <v>A</v>
      </c>
      <c r="E41" t="str">
        <f>IFERROR(_xlfn.LET(_xlpm.v,
VLOOKUP($A41,CS!$B:$H,COLUMN(CS!E$1),FALSE),
IF(_xlpm.v=0,"",_xlpm.v)
),"")</f>
        <v/>
      </c>
      <c r="F41">
        <f>IFERROR(_xlfn.LET(_xlpm.v,
VLOOKUP($A41,CS!$B:$H,COLUMN(CS!F$1),FALSE),
IF(_xlpm.v=0,"",_xlpm.v)
),"")</f>
        <v>80</v>
      </c>
      <c r="G41" s="51" t="str">
        <f>IFERROR(_xlfn.LET(_xlpm.v,
VLOOKUP($A41,CS!$B:$N,COLUMN(CS!M$1),FALSE),
IF(_xlpm.v=0,"",_xlpm.v)
),"")</f>
        <v/>
      </c>
      <c r="H41" s="17" t="str">
        <f>IFERROR(_xlfn.LET(_xlpm.v,
VLOOKUP($A41,CS!$B:$H,COLUMN(CS!G$1),FALSE),
IF(_xlpm.v=0,"",_xlpm.v)
),"")</f>
        <v>攻撃手段:吐息 物理+35 怯み+20 射程:20 範囲:放射</v>
      </c>
      <c r="I41" t="s">
        <v>316</v>
      </c>
      <c r="O41" s="17">
        <v>35</v>
      </c>
      <c r="AC41">
        <v>20</v>
      </c>
      <c r="CB41">
        <v>20</v>
      </c>
      <c r="CC41" t="s">
        <v>317</v>
      </c>
    </row>
    <row r="42" spans="1:88" ht="37.5" outlineLevel="1" x14ac:dyDescent="0.4">
      <c r="A42" s="2" t="s">
        <v>306</v>
      </c>
      <c r="B42" t="str">
        <f>IFERROR(_xlfn.LET(_xlpm.v,
VLOOKUP($A42,CS!$B:$H,COLUMN(CS!B$1),FALSE),
IF(_xlpm.v=0,"",_xlpm.v)
),"")</f>
        <v/>
      </c>
      <c r="C42" t="str">
        <f>IFERROR(_xlfn.LET(_xlpm.v,
VLOOKUP($A42,CS!$B:$H,COLUMN(CS!C$1),FALSE),
IF(_xlpm.v=0,"",_xlpm.v)
),"")</f>
        <v>光</v>
      </c>
      <c r="D42" t="str">
        <f>IFERROR(_xlfn.LET(_xlpm.v,
VLOOKUP($A42,CS!$B:$H,COLUMN(CS!D$1),FALSE),
IF(_xlpm.v=0,"",_xlpm.v)
),"")</f>
        <v>A</v>
      </c>
      <c r="E42" t="str">
        <f>IFERROR(_xlfn.LET(_xlpm.v,
VLOOKUP($A42,CS!$B:$H,COLUMN(CS!E$1),FALSE),
IF(_xlpm.v=0,"",_xlpm.v)
),"")</f>
        <v/>
      </c>
      <c r="F42" t="str">
        <f>IFERROR(_xlfn.LET(_xlpm.v,
VLOOKUP($A42,CS!$B:$H,COLUMN(CS!F$1),FALSE),
IF(_xlpm.v=0,"",_xlpm.v)
),"")</f>
        <v/>
      </c>
      <c r="G42" s="51" t="str">
        <f>IFERROR(_xlfn.LET(_xlpm.v,
VLOOKUP($A42,CS!$B:$N,COLUMN(CS!M$1),FALSE),
IF(_xlpm.v=0,"",_xlpm.v)
),"")</f>
        <v/>
      </c>
      <c r="H42" s="17" t="str">
        <f>IFERROR(_xlfn.LET(_xlpm.v,
VLOOKUP($A42,CS!$B:$H,COLUMN(CS!G$1),FALSE),
IF(_xlpm.v=0,"",_xlpm.v)
),"")</f>
        <v xml:space="preserve">攻撃手段:魔法 光+25 盲目+20 射程:10 判定:魔力 </v>
      </c>
      <c r="I42" t="s">
        <v>103</v>
      </c>
      <c r="Y42" s="17">
        <v>25</v>
      </c>
      <c r="AB42">
        <v>20</v>
      </c>
      <c r="CB42">
        <v>10</v>
      </c>
      <c r="CJ42" t="s">
        <v>16</v>
      </c>
    </row>
    <row r="43" spans="1:88" ht="37.5" outlineLevel="1" x14ac:dyDescent="0.4">
      <c r="A43" s="2" t="s">
        <v>308</v>
      </c>
      <c r="B43" t="str">
        <f>IFERROR(_xlfn.LET(_xlpm.v,
VLOOKUP($A43,CS!$B:$H,COLUMN(CS!B$1),FALSE),
IF(_xlpm.v=0,"",_xlpm.v)
),"")</f>
        <v>ライト・ヒール</v>
      </c>
      <c r="C43" t="str">
        <f>IFERROR(_xlfn.LET(_xlpm.v,
VLOOKUP($A43,CS!$B:$H,COLUMN(CS!C$1),FALSE),
IF(_xlpm.v=0,"",_xlpm.v)
),"")</f>
        <v>治癒</v>
      </c>
      <c r="D43" t="str">
        <f>IFERROR(_xlfn.LET(_xlpm.v,
VLOOKUP($A43,CS!$B:$H,COLUMN(CS!D$1),FALSE),
IF(_xlpm.v=0,"",_xlpm.v)
),"")</f>
        <v>A</v>
      </c>
      <c r="E43" t="str">
        <f>IFERROR(_xlfn.LET(_xlpm.v,
VLOOKUP($A43,CS!$B:$H,COLUMN(CS!E$1),FALSE),
IF(_xlpm.v=0,"",_xlpm.v)
),"")</f>
        <v/>
      </c>
      <c r="F43" t="str">
        <f>IFERROR(_xlfn.LET(_xlpm.v,
VLOOKUP($A43,CS!$B:$H,COLUMN(CS!F$1),FALSE),
IF(_xlpm.v=0,"",_xlpm.v)
),"")</f>
        <v/>
      </c>
      <c r="G43" s="51" t="str">
        <f>IFERROR(_xlfn.LET(_xlpm.v,
VLOOKUP($A43,CS!$B:$N,COLUMN(CS!M$1),FALSE),
IF(_xlpm.v=0,"",_xlpm.v)
),"")</f>
        <v/>
      </c>
      <c r="H43" s="17" t="str">
        <f>IFERROR(_xlfn.LET(_xlpm.v,
VLOOKUP($A43,CS!$B:$H,COLUMN(CS!G$1),FALSE),
IF(_xlpm.v=0,"",_xlpm.v)
),"")</f>
        <v>攻撃手段:魔法 回復+15 射程:10 追加威力:魔力</v>
      </c>
      <c r="I43" t="s">
        <v>103</v>
      </c>
      <c r="L43" s="17">
        <v>15</v>
      </c>
      <c r="CB43">
        <v>10</v>
      </c>
      <c r="CI43" t="s">
        <v>16</v>
      </c>
    </row>
    <row r="44" spans="1:88" ht="37.5" outlineLevel="1" x14ac:dyDescent="0.4">
      <c r="A44" s="2" t="s">
        <v>310</v>
      </c>
      <c r="B44" t="str">
        <f>IFERROR(_xlfn.LET(_xlpm.v,
VLOOKUP($A44,CS!$B:$H,COLUMN(CS!B$1),FALSE),
IF(_xlpm.v=0,"",_xlpm.v)
),"")</f>
        <v>ヴァイン・プラント</v>
      </c>
      <c r="C44" t="str">
        <f>IFERROR(_xlfn.LET(_xlpm.v,
VLOOKUP($A44,CS!$B:$H,COLUMN(CS!C$1),FALSE),
IF(_xlpm.v=0,"",_xlpm.v)
),"")</f>
        <v/>
      </c>
      <c r="D44" t="str">
        <f>IFERROR(_xlfn.LET(_xlpm.v,
VLOOKUP($A44,CS!$B:$H,COLUMN(CS!D$1),FALSE),
IF(_xlpm.v=0,"",_xlpm.v)
),"")</f>
        <v>A</v>
      </c>
      <c r="E44" t="str">
        <f>IFERROR(_xlfn.LET(_xlpm.v,
VLOOKUP($A44,CS!$B:$H,COLUMN(CS!E$1),FALSE),
IF(_xlpm.v=0,"",_xlpm.v)
),"")</f>
        <v/>
      </c>
      <c r="F44">
        <f>IFERROR(_xlfn.LET(_xlpm.v,
VLOOKUP($A44,CS!$B:$H,COLUMN(CS!F$1),FALSE),
IF(_xlpm.v=0,"",_xlpm.v)
),"")</f>
        <v>100</v>
      </c>
      <c r="G44" s="51" t="str">
        <f>IFERROR(_xlfn.LET(_xlpm.v,
VLOOKUP($A44,CS!$B:$N,COLUMN(CS!M$1),FALSE),
IF(_xlpm.v=0,"",_xlpm.v)
),"")</f>
        <v/>
      </c>
      <c r="H44" s="17" t="str">
        <f>IFERROR(_xlfn.LET(_xlpm.v,
VLOOKUP($A44,CS!$B:$H,COLUMN(CS!G$1),FALSE),
IF(_xlpm.v=0,"",_xlpm.v)
),"")</f>
        <v>攻撃手段:魔法 物理+10 拘束+30 射程:20 判定:魔力</v>
      </c>
      <c r="I44" t="s">
        <v>103</v>
      </c>
      <c r="O44" s="17">
        <v>10</v>
      </c>
      <c r="AE44">
        <v>30</v>
      </c>
      <c r="CB44">
        <v>20</v>
      </c>
      <c r="CJ44" t="s">
        <v>16</v>
      </c>
    </row>
    <row r="45" spans="1:88" ht="37.5" outlineLevel="1" x14ac:dyDescent="0.4">
      <c r="A45" s="2" t="s">
        <v>1268</v>
      </c>
      <c r="B45" t="str">
        <f>IFERROR(_xlfn.LET(_xlpm.v,
VLOOKUP($A45,CS!$B:$H,COLUMN(CS!B$1),FALSE),
IF(_xlpm.v=0,"",_xlpm.v)
),"")</f>
        <v>ボム</v>
      </c>
      <c r="C45" t="str">
        <f>IFERROR(_xlfn.LET(_xlpm.v,
VLOOKUP($A45,CS!$B:$H,COLUMN(CS!C$1),FALSE),
IF(_xlpm.v=0,"",_xlpm.v)
),"")</f>
        <v>錬金</v>
      </c>
      <c r="D45" t="str">
        <f>IFERROR(_xlfn.LET(_xlpm.v,
VLOOKUP($A45,CS!$B:$H,COLUMN(CS!D$1),FALSE),
IF(_xlpm.v=0,"",_xlpm.v)
),"")</f>
        <v>A</v>
      </c>
      <c r="E45" t="str">
        <f>IFERROR(_xlfn.LET(_xlpm.v,
VLOOKUP($A45,CS!$B:$H,COLUMN(CS!E$1),FALSE),
IF(_xlpm.v=0,"",_xlpm.v)
),"")</f>
        <v/>
      </c>
      <c r="F45">
        <f>IFERROR(_xlfn.LET(_xlpm.v,
VLOOKUP($A45,CS!$B:$H,COLUMN(CS!F$1),FALSE),
IF(_xlpm.v=0,"",_xlpm.v)
),"")</f>
        <v>50</v>
      </c>
      <c r="G45" s="51" t="str">
        <f>IFERROR(_xlfn.LET(_xlpm.v,
VLOOKUP($A45,CS!$B:$N,COLUMN(CS!M$1),FALSE),
IF(_xlpm.v=0,"",_xlpm.v)
),"")</f>
        <v/>
      </c>
      <c r="H45" s="17" t="str">
        <f>IFERROR(_xlfn.LET(_xlpm.v,
VLOOKUP($A45,CS!$B:$H,COLUMN(CS!G$1),FALSE),
IF(_xlpm.v=0,"",_xlpm.v)
),"")</f>
        <v xml:space="preserve">攻撃手段:魔法 炎+15 射程:10 炸裂:1 判定:魔力 追加威力:技術 </v>
      </c>
      <c r="I45" t="s">
        <v>103</v>
      </c>
      <c r="U45" s="17">
        <v>15</v>
      </c>
      <c r="CB45">
        <v>10</v>
      </c>
      <c r="CD45">
        <v>1</v>
      </c>
      <c r="CI45" t="s">
        <v>104</v>
      </c>
      <c r="CJ45" t="s">
        <v>16</v>
      </c>
    </row>
    <row r="46" spans="1:88" ht="37.5" outlineLevel="1" x14ac:dyDescent="0.4">
      <c r="A46" s="54" t="s">
        <v>1273</v>
      </c>
      <c r="B46" t="str">
        <f>IFERROR(_xlfn.LET(_xlpm.v,
VLOOKUP($A46,CS!$B:$H,COLUMN(CS!B$1),FALSE),
IF(_xlpm.v=0,"",_xlpm.v)
),"")</f>
        <v>バーニング</v>
      </c>
      <c r="C46" t="str">
        <f>IFERROR(_xlfn.LET(_xlpm.v,
VLOOKUP($A46,CS!$B:$H,COLUMN(CS!C$1),FALSE),
IF(_xlpm.v=0,"",_xlpm.v)
),"")</f>
        <v>炎</v>
      </c>
      <c r="D46" t="str">
        <f>IFERROR(_xlfn.LET(_xlpm.v,
VLOOKUP($A46,CS!$B:$H,COLUMN(CS!D$1),FALSE),
IF(_xlpm.v=0,"",_xlpm.v)
),"")</f>
        <v>A</v>
      </c>
      <c r="E46" t="str">
        <f>IFERROR(_xlfn.LET(_xlpm.v,
VLOOKUP($A46,CS!$B:$H,COLUMN(CS!E$1),FALSE),
IF(_xlpm.v=0,"",_xlpm.v)
),"")</f>
        <v/>
      </c>
      <c r="F46">
        <f>IFERROR(_xlfn.LET(_xlpm.v,
VLOOKUP($A46,CS!$B:$H,COLUMN(CS!F$1),FALSE),
IF(_xlpm.v=0,"",_xlpm.v)
),"")</f>
        <v>4</v>
      </c>
      <c r="G46" s="51" t="str">
        <f>IFERROR(_xlfn.LET(_xlpm.v,
VLOOKUP($A46,CS!$B:$N,COLUMN(CS!M$1),FALSE),
IF(_xlpm.v=0,"",_xlpm.v)
),"")</f>
        <v>火炎</v>
      </c>
      <c r="H46" s="17" t="str">
        <f>IFERROR(_xlfn.LET(_xlpm.v,
VLOOKUP($A46,CS!$B:$H,COLUMN(CS!G$1),FALSE),
IF(_xlpm.v=0,"",_xlpm.v)
),"")</f>
        <v>攻撃手段:魔法 特殊:攻撃 炎+35 射程:10 判定:魔力</v>
      </c>
      <c r="I46" t="s">
        <v>103</v>
      </c>
      <c r="U46" s="17">
        <v>35</v>
      </c>
      <c r="CB46">
        <v>10</v>
      </c>
      <c r="CJ46" t="s">
        <v>16</v>
      </c>
    </row>
    <row r="47" spans="1:88" ht="37.5" outlineLevel="1" x14ac:dyDescent="0.4">
      <c r="A47" s="48" t="s">
        <v>1276</v>
      </c>
      <c r="B47" t="str">
        <f>IFERROR(_xlfn.LET(_xlpm.v,
VLOOKUP($A47,CS!$B:$H,COLUMN(CS!B$1),FALSE),
IF(_xlpm.v=0,"",_xlpm.v)
),"")</f>
        <v>ファイアーレイン</v>
      </c>
      <c r="C47" t="str">
        <f>IFERROR(_xlfn.LET(_xlpm.v,
VLOOKUP($A47,CS!$B:$H,COLUMN(CS!C$1),FALSE),
IF(_xlpm.v=0,"",_xlpm.v)
),"")</f>
        <v>炎</v>
      </c>
      <c r="D47" t="str">
        <f>IFERROR(_xlfn.LET(_xlpm.v,
VLOOKUP($A47,CS!$B:$H,COLUMN(CS!D$1),FALSE),
IF(_xlpm.v=0,"",_xlpm.v)
),"")</f>
        <v>A</v>
      </c>
      <c r="E47" t="str">
        <f>IFERROR(_xlfn.LET(_xlpm.v,
VLOOKUP($A47,CS!$B:$H,COLUMN(CS!E$1),FALSE),
IF(_xlpm.v=0,"",_xlpm.v)
),"")</f>
        <v/>
      </c>
      <c r="F47">
        <f>IFERROR(_xlfn.LET(_xlpm.v,
VLOOKUP($A47,CS!$B:$H,COLUMN(CS!F$1),FALSE),
IF(_xlpm.v=0,"",_xlpm.v)
),"")</f>
        <v>8</v>
      </c>
      <c r="G47" s="51" t="str">
        <f>IFERROR(_xlfn.LET(_xlpm.v,
VLOOKUP($A47,CS!$B:$N,COLUMN(CS!M$1),FALSE),
IF(_xlpm.v=0,"",_xlpm.v)
),"")</f>
        <v>炎の雨</v>
      </c>
      <c r="H47" s="17" t="str">
        <f>IFERROR(_xlfn.LET(_xlpm.v,
VLOOKUP($A47,CS!$B:$H,COLUMN(CS!G$1),FALSE),
IF(_xlpm.v=0,"",_xlpm.v)
),"")</f>
        <v>攻撃手段:魔法 炎+16 攻撃回数4 射程:20 範囲:散弾 判定:魔力</v>
      </c>
      <c r="I47" t="s">
        <v>103</v>
      </c>
      <c r="U47" s="17">
        <v>16</v>
      </c>
      <c r="CB47">
        <v>20</v>
      </c>
      <c r="CC47" t="s">
        <v>1314</v>
      </c>
      <c r="CJ47" t="s">
        <v>16</v>
      </c>
    </row>
    <row r="48" spans="1:88" ht="37.5" outlineLevel="1" x14ac:dyDescent="0.4">
      <c r="A48" s="48" t="s">
        <v>1272</v>
      </c>
      <c r="B48" t="str">
        <f>IFERROR(_xlfn.LET(_xlpm.v,
VLOOKUP($A48,CS!$B:$H,COLUMN(CS!B$1),FALSE),
IF(_xlpm.v=0,"",_xlpm.v)
),"")</f>
        <v>ファイアーボール</v>
      </c>
      <c r="C48" t="str">
        <f>IFERROR(_xlfn.LET(_xlpm.v,
VLOOKUP($A48,CS!$B:$H,COLUMN(CS!C$1),FALSE),
IF(_xlpm.v=0,"",_xlpm.v)
),"")</f>
        <v>炎</v>
      </c>
      <c r="D48" t="str">
        <f>IFERROR(_xlfn.LET(_xlpm.v,
VLOOKUP($A48,CS!$B:$H,COLUMN(CS!D$1),FALSE),
IF(_xlpm.v=0,"",_xlpm.v)
),"")</f>
        <v>A</v>
      </c>
      <c r="E48" t="str">
        <f>IFERROR(_xlfn.LET(_xlpm.v,
VLOOKUP($A48,CS!$B:$H,COLUMN(CS!E$1),FALSE),
IF(_xlpm.v=0,"",_xlpm.v)
),"")</f>
        <v/>
      </c>
      <c r="F48">
        <f>IFERROR(_xlfn.LET(_xlpm.v,
VLOOKUP($A48,CS!$B:$H,COLUMN(CS!F$1),FALSE),
IF(_xlpm.v=0,"",_xlpm.v)
),"")</f>
        <v>8</v>
      </c>
      <c r="G48" s="51" t="str">
        <f>IFERROR(_xlfn.LET(_xlpm.v,
VLOOKUP($A48,CS!$B:$N,COLUMN(CS!M$1),FALSE),
IF(_xlpm.v=0,"",_xlpm.v)
),"")</f>
        <v>火球2</v>
      </c>
      <c r="H48" s="17" t="str">
        <f>IFERROR(_xlfn.LET(_xlpm.v,
VLOOKUP($A48,CS!$B:$H,COLUMN(CS!G$1),FALSE),
IF(_xlpm.v=0,"",_xlpm.v)
),"")</f>
        <v>攻撃手段:魔法 特殊:攻撃 炎+49 射程:20 炸裂:0.5 判定:魔力</v>
      </c>
      <c r="I48" t="s">
        <v>103</v>
      </c>
      <c r="U48" s="17">
        <v>49</v>
      </c>
      <c r="CB48">
        <v>20</v>
      </c>
      <c r="CD48">
        <v>0.5</v>
      </c>
      <c r="CJ48" t="s">
        <v>16</v>
      </c>
    </row>
    <row r="49" spans="1:88" ht="37.5" outlineLevel="1" x14ac:dyDescent="0.4">
      <c r="A49" s="48" t="s">
        <v>1279</v>
      </c>
      <c r="B49" t="str">
        <f>IFERROR(_xlfn.LET(_xlpm.v,
VLOOKUP($A49,CS!$B:$H,COLUMN(CS!B$1),FALSE),
IF(_xlpm.v=0,"",_xlpm.v)
),"")</f>
        <v>フォール・ファイアー</v>
      </c>
      <c r="C49" t="str">
        <f>IFERROR(_xlfn.LET(_xlpm.v,
VLOOKUP($A49,CS!$B:$H,COLUMN(CS!C$1),FALSE),
IF(_xlpm.v=0,"",_xlpm.v)
),"")</f>
        <v>炎</v>
      </c>
      <c r="D49" t="str">
        <f>IFERROR(_xlfn.LET(_xlpm.v,
VLOOKUP($A49,CS!$B:$H,COLUMN(CS!D$1),FALSE),
IF(_xlpm.v=0,"",_xlpm.v)
),"")</f>
        <v>A</v>
      </c>
      <c r="E49" t="str">
        <f>IFERROR(_xlfn.LET(_xlpm.v,
VLOOKUP($A49,CS!$B:$H,COLUMN(CS!E$1),FALSE),
IF(_xlpm.v=0,"",_xlpm.v)
),"")</f>
        <v/>
      </c>
      <c r="F49">
        <f>IFERROR(_xlfn.LET(_xlpm.v,
VLOOKUP($A49,CS!$B:$H,COLUMN(CS!F$1),FALSE),
IF(_xlpm.v=0,"",_xlpm.v)
),"")</f>
        <v>12</v>
      </c>
      <c r="G49" s="51" t="str">
        <f>IFERROR(_xlfn.LET(_xlpm.v,
VLOOKUP($A49,CS!$B:$N,COLUMN(CS!M$1),FALSE),
IF(_xlpm.v=0,"",_xlpm.v)
),"")</f>
        <v>炎の雨:火球2</v>
      </c>
      <c r="H49" s="17" t="str">
        <f>IFERROR(_xlfn.LET(_xlpm.v,
VLOOKUP($A49,CS!$B:$H,COLUMN(CS!G$1),FALSE),
IF(_xlpm.v=0,"",_xlpm.v)
),"")</f>
        <v>攻撃手段:魔法 特殊:攻撃 炎+56 射程:20 炸裂1 判定:魔力</v>
      </c>
      <c r="I49" t="s">
        <v>103</v>
      </c>
      <c r="U49" s="17">
        <v>56</v>
      </c>
      <c r="CB49">
        <v>20</v>
      </c>
      <c r="CJ49" t="s">
        <v>16</v>
      </c>
    </row>
    <row r="50" spans="1:88" ht="56.25" outlineLevel="1" x14ac:dyDescent="0.4">
      <c r="A50" s="48" t="s">
        <v>1281</v>
      </c>
      <c r="B50" t="str">
        <f>IFERROR(_xlfn.LET(_xlpm.v,
VLOOKUP($A50,CS!$B:$H,COLUMN(CS!B$1),FALSE),
IF(_xlpm.v=0,"",_xlpm.v)
),"")</f>
        <v>ファイアー・ウォール</v>
      </c>
      <c r="C50" t="str">
        <f>IFERROR(_xlfn.LET(_xlpm.v,
VLOOKUP($A50,CS!$B:$H,COLUMN(CS!C$1),FALSE),
IF(_xlpm.v=0,"",_xlpm.v)
),"")</f>
        <v>炎</v>
      </c>
      <c r="D50" t="str">
        <f>IFERROR(_xlfn.LET(_xlpm.v,
VLOOKUP($A50,CS!$B:$H,COLUMN(CS!D$1),FALSE),
IF(_xlpm.v=0,"",_xlpm.v)
),"")</f>
        <v>A</v>
      </c>
      <c r="E50" t="str">
        <f>IFERROR(_xlfn.LET(_xlpm.v,
VLOOKUP($A50,CS!$B:$H,COLUMN(CS!E$1),FALSE),
IF(_xlpm.v=0,"",_xlpm.v)
),"")</f>
        <v/>
      </c>
      <c r="F50">
        <f>IFERROR(_xlfn.LET(_xlpm.v,
VLOOKUP($A50,CS!$B:$H,COLUMN(CS!F$1),FALSE),
IF(_xlpm.v=0,"",_xlpm.v)
),"")</f>
        <v>12</v>
      </c>
      <c r="G50" s="51" t="str">
        <f>IFERROR(_xlfn.LET(_xlpm.v,
VLOOKUP($A50,CS!$B:$N,COLUMN(CS!M$1),FALSE),
IF(_xlpm.v=0,"",_xlpm.v)
),"")</f>
        <v/>
      </c>
      <c r="H50" s="17" t="str">
        <f>IFERROR(_xlfn.LET(_xlpm.v,
VLOOKUP($A50,CS!$B:$H,COLUMN(CS!G$1),FALSE),
IF(_xlpm.v=0,"",_xlpm.v)
),"")</f>
        <v>効果時間2t 攻撃手段:魔法 特殊:攻撃 炎+35 射程:20 範囲:ライン 判定:魔力</v>
      </c>
      <c r="I50" t="s">
        <v>103</v>
      </c>
      <c r="U50" s="17">
        <v>35</v>
      </c>
      <c r="CB50">
        <v>20</v>
      </c>
      <c r="CC50" t="s">
        <v>1316</v>
      </c>
      <c r="CJ50" t="s">
        <v>16</v>
      </c>
    </row>
    <row r="51" spans="1:88" ht="37.5" outlineLevel="1" x14ac:dyDescent="0.4">
      <c r="A51" s="48" t="s">
        <v>1283</v>
      </c>
      <c r="B51" t="str">
        <f>IFERROR(_xlfn.LET(_xlpm.v,
VLOOKUP($A51,CS!$B:$H,COLUMN(CS!B$1),FALSE),
IF(_xlpm.v=0,"",_xlpm.v)
),"")</f>
        <v>エクスプロージョン</v>
      </c>
      <c r="C51" t="str">
        <f>IFERROR(_xlfn.LET(_xlpm.v,
VLOOKUP($A51,CS!$B:$H,COLUMN(CS!C$1),FALSE),
IF(_xlpm.v=0,"",_xlpm.v)
),"")</f>
        <v>炎</v>
      </c>
      <c r="D51" t="str">
        <f>IFERROR(_xlfn.LET(_xlpm.v,
VLOOKUP($A51,CS!$B:$H,COLUMN(CS!D$1),FALSE),
IF(_xlpm.v=0,"",_xlpm.v)
),"")</f>
        <v>A</v>
      </c>
      <c r="E51" t="str">
        <f>IFERROR(_xlfn.LET(_xlpm.v,
VLOOKUP($A51,CS!$B:$H,COLUMN(CS!E$1),FALSE),
IF(_xlpm.v=0,"",_xlpm.v)
),"")</f>
        <v/>
      </c>
      <c r="F51">
        <f>IFERROR(_xlfn.LET(_xlpm.v,
VLOOKUP($A51,CS!$B:$H,COLUMN(CS!F$1),FALSE),
IF(_xlpm.v=0,"",_xlpm.v)
),"")</f>
        <v>16</v>
      </c>
      <c r="G51" s="51" t="str">
        <f>IFERROR(_xlfn.LET(_xlpm.v,
VLOOKUP($A51,CS!$B:$N,COLUMN(CS!M$1),FALSE),
IF(_xlpm.v=0,"",_xlpm.v)
),"")</f>
        <v>炎溜め:火球2</v>
      </c>
      <c r="H51" s="17" t="str">
        <f>IFERROR(_xlfn.LET(_xlpm.v,
VLOOKUP($A51,CS!$B:$H,COLUMN(CS!G$1),FALSE),
IF(_xlpm.v=0,"",_xlpm.v)
),"")</f>
        <v>攻撃手段:魔法 特殊:攻撃 打撃+25 炎+65 射程:20 炸裂:1 判定:魔力</v>
      </c>
      <c r="I51" t="s">
        <v>103</v>
      </c>
      <c r="T51" s="17">
        <v>25</v>
      </c>
      <c r="U51" s="17">
        <v>65</v>
      </c>
      <c r="CB51">
        <v>20</v>
      </c>
      <c r="CD51">
        <v>1</v>
      </c>
      <c r="CJ51" t="s">
        <v>16</v>
      </c>
    </row>
    <row r="52" spans="1:88" ht="37.5" outlineLevel="1" x14ac:dyDescent="0.4">
      <c r="A52" s="48" t="s">
        <v>1285</v>
      </c>
      <c r="B52" t="str">
        <f>IFERROR(_xlfn.LET(_xlpm.v,
VLOOKUP($A52,CS!$B:$H,COLUMN(CS!B$1),FALSE),
IF(_xlpm.v=0,"",_xlpm.v)
),"")</f>
        <v>バーニング・レディエーション</v>
      </c>
      <c r="C52" t="str">
        <f>IFERROR(_xlfn.LET(_xlpm.v,
VLOOKUP($A52,CS!$B:$H,COLUMN(CS!C$1),FALSE),
IF(_xlpm.v=0,"",_xlpm.v)
),"")</f>
        <v>炎</v>
      </c>
      <c r="D52" t="str">
        <f>IFERROR(_xlfn.LET(_xlpm.v,
VLOOKUP($A52,CS!$B:$H,COLUMN(CS!D$1),FALSE),
IF(_xlpm.v=0,"",_xlpm.v)
),"")</f>
        <v>A</v>
      </c>
      <c r="E52" t="str">
        <f>IFERROR(_xlfn.LET(_xlpm.v,
VLOOKUP($A52,CS!$B:$H,COLUMN(CS!E$1),FALSE),
IF(_xlpm.v=0,"",_xlpm.v)
),"")</f>
        <v/>
      </c>
      <c r="F52">
        <f>IFERROR(_xlfn.LET(_xlpm.v,
VLOOKUP($A52,CS!$B:$H,COLUMN(CS!F$1),FALSE),
IF(_xlpm.v=0,"",_xlpm.v)
),"")</f>
        <v>16</v>
      </c>
      <c r="G52" s="51" t="str">
        <f>IFERROR(_xlfn.LET(_xlpm.v,
VLOOKUP($A52,CS!$B:$N,COLUMN(CS!M$1),FALSE),
IF(_xlpm.v=0,"",_xlpm.v)
),"")</f>
        <v/>
      </c>
      <c r="H52" s="17" t="str">
        <f>IFERROR(_xlfn.LET(_xlpm.v,
VLOOKUP($A52,CS!$B:$H,COLUMN(CS!G$1),FALSE),
IF(_xlpm.v=0,"",_xlpm.v)
),"")</f>
        <v>攻撃手段:魔法 特殊:攻撃 炎+95 射程:20 範囲:縦 判定:魔力</v>
      </c>
      <c r="I52" t="s">
        <v>103</v>
      </c>
      <c r="U52" s="17">
        <v>95</v>
      </c>
      <c r="CB52">
        <v>20</v>
      </c>
      <c r="CC52" t="s">
        <v>1318</v>
      </c>
      <c r="CJ52" t="s">
        <v>16</v>
      </c>
    </row>
    <row r="53" spans="1:88" ht="37.5" outlineLevel="1" x14ac:dyDescent="0.4">
      <c r="A53" s="48" t="s">
        <v>1287</v>
      </c>
      <c r="B53" t="str">
        <f>IFERROR(_xlfn.LET(_xlpm.v,
VLOOKUP($A53,CS!$B:$H,COLUMN(CS!B$1),FALSE),
IF(_xlpm.v=0,"",_xlpm.v)
),"")</f>
        <v>バーニング・ナパーム</v>
      </c>
      <c r="C53" t="str">
        <f>IFERROR(_xlfn.LET(_xlpm.v,
VLOOKUP($A53,CS!$B:$H,COLUMN(CS!C$1),FALSE),
IF(_xlpm.v=0,"",_xlpm.v)
),"")</f>
        <v>炎</v>
      </c>
      <c r="D53" t="str">
        <f>IFERROR(_xlfn.LET(_xlpm.v,
VLOOKUP($A53,CS!$B:$H,COLUMN(CS!D$1),FALSE),
IF(_xlpm.v=0,"",_xlpm.v)
),"")</f>
        <v>A</v>
      </c>
      <c r="E53" t="str">
        <f>IFERROR(_xlfn.LET(_xlpm.v,
VLOOKUP($A53,CS!$B:$H,COLUMN(CS!E$1),FALSE),
IF(_xlpm.v=0,"",_xlpm.v)
),"")</f>
        <v/>
      </c>
      <c r="F53">
        <f>IFERROR(_xlfn.LET(_xlpm.v,
VLOOKUP($A53,CS!$B:$H,COLUMN(CS!F$1),FALSE),
IF(_xlpm.v=0,"",_xlpm.v)
),"")</f>
        <v>20</v>
      </c>
      <c r="G53" s="51" t="str">
        <f>IFERROR(_xlfn.LET(_xlpm.v,
VLOOKUP($A53,CS!$B:$N,COLUMN(CS!M$1),FALSE),
IF(_xlpm.v=0,"",_xlpm.v)
),"")</f>
        <v/>
      </c>
      <c r="H53" s="17" t="str">
        <f>IFERROR(_xlfn.LET(_xlpm.v,
VLOOKUP($A53,CS!$B:$H,COLUMN(CS!G$1),FALSE),
IF(_xlpm.v=0,"",_xlpm.v)
),"")</f>
        <v>攻撃手段:魔法 特殊:攻撃 炎+105 射程:20 範囲:爆発 判定:魔力</v>
      </c>
      <c r="I53" t="s">
        <v>103</v>
      </c>
      <c r="U53" s="17">
        <v>105</v>
      </c>
      <c r="CB53">
        <v>20</v>
      </c>
      <c r="CC53" t="s">
        <v>1317</v>
      </c>
      <c r="CJ53" t="s">
        <v>16</v>
      </c>
    </row>
    <row r="54" spans="1:88" ht="37.5" outlineLevel="1" x14ac:dyDescent="0.4">
      <c r="A54" s="48" t="s">
        <v>1289</v>
      </c>
      <c r="B54" t="str">
        <f>IFERROR(_xlfn.LET(_xlpm.v,
VLOOKUP($A54,CS!$B:$H,COLUMN(CS!B$1),FALSE),
IF(_xlpm.v=0,"",_xlpm.v)
),"")</f>
        <v>インフェルノ</v>
      </c>
      <c r="C54" t="str">
        <f>IFERROR(_xlfn.LET(_xlpm.v,
VLOOKUP($A54,CS!$B:$H,COLUMN(CS!C$1),FALSE),
IF(_xlpm.v=0,"",_xlpm.v)
),"")</f>
        <v>炎</v>
      </c>
      <c r="D54" t="str">
        <f>IFERROR(_xlfn.LET(_xlpm.v,
VLOOKUP($A54,CS!$B:$H,COLUMN(CS!D$1),FALSE),
IF(_xlpm.v=0,"",_xlpm.v)
),"")</f>
        <v>A</v>
      </c>
      <c r="E54" t="str">
        <f>IFERROR(_xlfn.LET(_xlpm.v,
VLOOKUP($A54,CS!$B:$H,COLUMN(CS!E$1),FALSE),
IF(_xlpm.v=0,"",_xlpm.v)
),"")</f>
        <v/>
      </c>
      <c r="F54">
        <f>IFERROR(_xlfn.LET(_xlpm.v,
VLOOKUP($A54,CS!$B:$H,COLUMN(CS!F$1),FALSE),
IF(_xlpm.v=0,"",_xlpm.v)
),"")</f>
        <v>24</v>
      </c>
      <c r="G54" s="51" t="str">
        <f>IFERROR(_xlfn.LET(_xlpm.v,
VLOOKUP($A54,CS!$B:$N,COLUMN(CS!M$1),FALSE),
IF(_xlpm.v=0,"",_xlpm.v)
),"")</f>
        <v/>
      </c>
      <c r="H54" s="17" t="str">
        <f>IFERROR(_xlfn.LET(_xlpm.v,
VLOOKUP($A54,CS!$B:$H,COLUMN(CS!G$1),FALSE),
IF(_xlpm.v=0,"",_xlpm.v)
),"")</f>
        <v>攻撃手段:魔法 特殊:攻撃 炎+135 射程:20 範囲:爆発 判定:魔力</v>
      </c>
      <c r="I54" t="s">
        <v>103</v>
      </c>
      <c r="U54" s="17">
        <v>135</v>
      </c>
      <c r="CB54">
        <v>20</v>
      </c>
      <c r="CC54" t="s">
        <v>1317</v>
      </c>
      <c r="CJ54" t="s">
        <v>16</v>
      </c>
    </row>
    <row r="55" spans="1:88" ht="37.5" outlineLevel="1" x14ac:dyDescent="0.4">
      <c r="A55" s="48" t="s">
        <v>1291</v>
      </c>
      <c r="B55" t="str">
        <f>IFERROR(_xlfn.LET(_xlpm.v,
VLOOKUP($A55,CS!$B:$H,COLUMN(CS!B$1),FALSE),
IF(_xlpm.v=0,"",_xlpm.v)
),"")</f>
        <v>スモーク</v>
      </c>
      <c r="C55" t="str">
        <f>IFERROR(_xlfn.LET(_xlpm.v,
VLOOKUP($A55,CS!$B:$H,COLUMN(CS!C$1),FALSE),
IF(_xlpm.v=0,"",_xlpm.v)
),"")</f>
        <v>炎</v>
      </c>
      <c r="D55" t="str">
        <f>IFERROR(_xlfn.LET(_xlpm.v,
VLOOKUP($A55,CS!$B:$H,COLUMN(CS!D$1),FALSE),
IF(_xlpm.v=0,"",_xlpm.v)
),"")</f>
        <v>A</v>
      </c>
      <c r="E55" t="str">
        <f>IFERROR(_xlfn.LET(_xlpm.v,
VLOOKUP($A55,CS!$B:$H,COLUMN(CS!E$1),FALSE),
IF(_xlpm.v=0,"",_xlpm.v)
),"")</f>
        <v/>
      </c>
      <c r="F55">
        <f>IFERROR(_xlfn.LET(_xlpm.v,
VLOOKUP($A55,CS!$B:$H,COLUMN(CS!F$1),FALSE),
IF(_xlpm.v=0,"",_xlpm.v)
),"")</f>
        <v>8</v>
      </c>
      <c r="G55" s="51" t="str">
        <f>IFERROR(_xlfn.LET(_xlpm.v,
VLOOKUP($A55,CS!$B:$N,COLUMN(CS!M$1),FALSE),
IF(_xlpm.v=0,"",_xlpm.v)
),"")</f>
        <v/>
      </c>
      <c r="H55" s="17" t="str">
        <f>IFERROR(_xlfn.LET(_xlpm.v,
VLOOKUP($A55,CS!$B:$H,COLUMN(CS!G$1),FALSE),
IF(_xlpm.v=0,"",_xlpm.v)
),"")</f>
        <v>攻撃手段:魔法 盲目+45 疲労+15 射程:10 範囲:炸裂 効果:設置</v>
      </c>
      <c r="I55" t="s">
        <v>103</v>
      </c>
      <c r="AB55">
        <v>45</v>
      </c>
      <c r="CB55">
        <v>10</v>
      </c>
      <c r="CC55" t="s">
        <v>1319</v>
      </c>
      <c r="CF55" t="s">
        <v>1320</v>
      </c>
    </row>
    <row r="56" spans="1:88" ht="37.5" outlineLevel="1" x14ac:dyDescent="0.4">
      <c r="A56" s="48" t="s">
        <v>1293</v>
      </c>
      <c r="B56" t="str">
        <f>IFERROR(_xlfn.LET(_xlpm.v,
VLOOKUP($A56,CS!$B:$H,COLUMN(CS!B$1),FALSE),
IF(_xlpm.v=0,"",_xlpm.v)
),"")</f>
        <v>ファイアーストーム</v>
      </c>
      <c r="C56" t="str">
        <f>IFERROR(_xlfn.LET(_xlpm.v,
VLOOKUP($A56,CS!$B:$H,COLUMN(CS!C$1),FALSE),
IF(_xlpm.v=0,"",_xlpm.v)
),"")</f>
        <v>炎</v>
      </c>
      <c r="D56" t="str">
        <f>IFERROR(_xlfn.LET(_xlpm.v,
VLOOKUP($A56,CS!$B:$H,COLUMN(CS!D$1),FALSE),
IF(_xlpm.v=0,"",_xlpm.v)
),"")</f>
        <v>A</v>
      </c>
      <c r="E56" t="str">
        <f>IFERROR(_xlfn.LET(_xlpm.v,
VLOOKUP($A56,CS!$B:$H,COLUMN(CS!E$1),FALSE),
IF(_xlpm.v=0,"",_xlpm.v)
),"")</f>
        <v/>
      </c>
      <c r="F56">
        <f>IFERROR(_xlfn.LET(_xlpm.v,
VLOOKUP($A56,CS!$B:$H,COLUMN(CS!F$1),FALSE),
IF(_xlpm.v=0,"",_xlpm.v)
),"")</f>
        <v>20</v>
      </c>
      <c r="G56" s="51" t="str">
        <f>IFERROR(_xlfn.LET(_xlpm.v,
VLOOKUP($A56,CS!$B:$N,COLUMN(CS!M$1),FALSE),
IF(_xlpm.v=0,"",_xlpm.v)
),"")</f>
        <v/>
      </c>
      <c r="H56" s="17" t="str">
        <f>IFERROR(_xlfn.LET(_xlpm.v,
VLOOKUP($A56,CS!$B:$H,COLUMN(CS!G$1),FALSE),
IF(_xlpm.v=0,"",_xlpm.v)
),"")</f>
        <v>攻撃手段:魔法 特殊:攻撃 炎+115 射程:40 範囲:全体 判定:魔力</v>
      </c>
      <c r="I56" t="s">
        <v>103</v>
      </c>
      <c r="U56" s="17">
        <v>115</v>
      </c>
      <c r="CB56">
        <v>40</v>
      </c>
      <c r="CC56" t="s">
        <v>1315</v>
      </c>
      <c r="CJ56" t="s">
        <v>16</v>
      </c>
    </row>
    <row r="57" spans="1:88" ht="37.5" outlineLevel="1" x14ac:dyDescent="0.4">
      <c r="A57" s="48" t="s">
        <v>1534</v>
      </c>
      <c r="B57" t="str">
        <f>IFERROR(_xlfn.LET(_xlpm.v,
VLOOKUP($A57,CS!$B:$H,COLUMN(CS!B$1),FALSE),
IF(_xlpm.v=0,"",_xlpm.v)
),"")</f>
        <v>レイズデッド</v>
      </c>
      <c r="C57" t="str">
        <f>IFERROR(_xlfn.LET(_xlpm.v,
VLOOKUP($A57,CS!$B:$H,COLUMN(CS!C$1),FALSE),
IF(_xlpm.v=0,"",_xlpm.v)
),"")</f>
        <v/>
      </c>
      <c r="D57" t="str">
        <f>IFERROR(_xlfn.LET(_xlpm.v,
VLOOKUP($A57,CS!$B:$H,COLUMN(CS!D$1),FALSE),
IF(_xlpm.v=0,"",_xlpm.v)
),"")</f>
        <v>A</v>
      </c>
      <c r="E57" t="str">
        <f>IFERROR(_xlfn.LET(_xlpm.v,
VLOOKUP($A57,CS!$B:$H,COLUMN(CS!E$1),FALSE),
IF(_xlpm.v=0,"",_xlpm.v)
),"")</f>
        <v/>
      </c>
      <c r="F57">
        <f>IFERROR(_xlfn.LET(_xlpm.v,
VLOOKUP($A57,CS!$B:$H,COLUMN(CS!F$1),FALSE),
IF(_xlpm.v=0,"",_xlpm.v)
),"")</f>
        <v>100</v>
      </c>
      <c r="G57" s="51" t="str">
        <f>IFERROR(_xlfn.LET(_xlpm.v,
VLOOKUP($A57,CS!$B:$N,COLUMN(CS!M$1),FALSE),
IF(_xlpm.v=0,"",_xlpm.v)
),"")</f>
        <v/>
      </c>
      <c r="H57" s="17" t="str">
        <f>IFERROR(_xlfn.LET(_xlpm.v,
VLOOKUP($A57,CS!$B:$H,COLUMN(CS!G$1),FALSE),
IF(_xlpm.v=0,"",_xlpm.v)
),"")</f>
        <v xml:space="preserve">攻撃手段:魔法 回復+35 効果:蘇生_Lv-8 射程:10 </v>
      </c>
      <c r="I57" t="s">
        <v>103</v>
      </c>
      <c r="L57" s="17">
        <v>35</v>
      </c>
      <c r="CB57">
        <v>10</v>
      </c>
      <c r="CF57" t="s">
        <v>1811</v>
      </c>
    </row>
    <row r="58" spans="1:88" ht="37.5" outlineLevel="1" x14ac:dyDescent="0.4">
      <c r="A58" s="48" t="s">
        <v>1533</v>
      </c>
      <c r="B58" t="str">
        <f>IFERROR(_xlfn.LET(_xlpm.v,
VLOOKUP($A58,CS!$B:$H,COLUMN(CS!B$1),FALSE),
IF(_xlpm.v=0,"",_xlpm.v)
),"")</f>
        <v>リザレクション</v>
      </c>
      <c r="C58" t="str">
        <f>IFERROR(_xlfn.LET(_xlpm.v,
VLOOKUP($A58,CS!$B:$H,COLUMN(CS!C$1),FALSE),
IF(_xlpm.v=0,"",_xlpm.v)
),"")</f>
        <v/>
      </c>
      <c r="D58" t="str">
        <f>IFERROR(_xlfn.LET(_xlpm.v,
VLOOKUP($A58,CS!$B:$H,COLUMN(CS!D$1),FALSE),
IF(_xlpm.v=0,"",_xlpm.v)
),"")</f>
        <v>A</v>
      </c>
      <c r="E58" t="str">
        <f>IFERROR(_xlfn.LET(_xlpm.v,
VLOOKUP($A58,CS!$B:$H,COLUMN(CS!E$1),FALSE),
IF(_xlpm.v=0,"",_xlpm.v)
),"")</f>
        <v/>
      </c>
      <c r="F58">
        <f>IFERROR(_xlfn.LET(_xlpm.v,
VLOOKUP($A58,CS!$B:$H,COLUMN(CS!F$1),FALSE),
IF(_xlpm.v=0,"",_xlpm.v)
),"")</f>
        <v>100</v>
      </c>
      <c r="G58" s="51" t="str">
        <f>IFERROR(_xlfn.LET(_xlpm.v,
VLOOKUP($A58,CS!$B:$N,COLUMN(CS!M$1),FALSE),
IF(_xlpm.v=0,"",_xlpm.v)
),"")</f>
        <v/>
      </c>
      <c r="H58" s="17" t="str">
        <f>IFERROR(_xlfn.LET(_xlpm.v,
VLOOKUP($A58,CS!$B:$H,COLUMN(CS!G$1),FALSE),
IF(_xlpm.v=0,"",_xlpm.v)
),"")</f>
        <v>攻撃手段:魔法 回復+75 効果:蘇生_Lv-5 射程:10</v>
      </c>
      <c r="I58" t="s">
        <v>103</v>
      </c>
      <c r="L58" s="17">
        <v>75</v>
      </c>
      <c r="CB58">
        <v>10</v>
      </c>
      <c r="CF58" t="s">
        <v>1812</v>
      </c>
    </row>
    <row r="59" spans="1:88" ht="37.5" outlineLevel="1" x14ac:dyDescent="0.4">
      <c r="A59" s="48" t="s">
        <v>1535</v>
      </c>
      <c r="B59" t="str">
        <f>IFERROR(_xlfn.LET(_xlpm.v,
VLOOKUP($A59,CS!$B:$H,COLUMN(CS!B$1),FALSE),
IF(_xlpm.v=0,"",_xlpm.v)
),"")</f>
        <v>トゥルーリザレクション</v>
      </c>
      <c r="C59" t="str">
        <f>IFERROR(_xlfn.LET(_xlpm.v,
VLOOKUP($A59,CS!$B:$H,COLUMN(CS!C$1),FALSE),
IF(_xlpm.v=0,"",_xlpm.v)
),"")</f>
        <v/>
      </c>
      <c r="D59" t="str">
        <f>IFERROR(_xlfn.LET(_xlpm.v,
VLOOKUP($A59,CS!$B:$H,COLUMN(CS!D$1),FALSE),
IF(_xlpm.v=0,"",_xlpm.v)
),"")</f>
        <v>A</v>
      </c>
      <c r="E59" t="str">
        <f>IFERROR(_xlfn.LET(_xlpm.v,
VLOOKUP($A59,CS!$B:$H,COLUMN(CS!E$1),FALSE),
IF(_xlpm.v=0,"",_xlpm.v)
),"")</f>
        <v/>
      </c>
      <c r="F59">
        <f>IFERROR(_xlfn.LET(_xlpm.v,
VLOOKUP($A59,CS!$B:$H,COLUMN(CS!F$1),FALSE),
IF(_xlpm.v=0,"",_xlpm.v)
),"")</f>
        <v>100</v>
      </c>
      <c r="G59" s="51" t="str">
        <f>IFERROR(_xlfn.LET(_xlpm.v,
VLOOKUP($A59,CS!$B:$N,COLUMN(CS!M$1),FALSE),
IF(_xlpm.v=0,"",_xlpm.v)
),"")</f>
        <v/>
      </c>
      <c r="H59" s="17" t="str">
        <f>IFERROR(_xlfn.LET(_xlpm.v,
VLOOKUP($A59,CS!$B:$H,COLUMN(CS!G$1),FALSE),
IF(_xlpm.v=0,"",_xlpm.v)
),"")</f>
        <v>攻撃手段:魔法 回復+100 効果:蘇生_Lv-2 射程:20 待機時間1t</v>
      </c>
      <c r="I59" t="s">
        <v>103</v>
      </c>
      <c r="L59" s="17">
        <v>100</v>
      </c>
      <c r="CB59">
        <v>20</v>
      </c>
      <c r="CF59" t="s">
        <v>1813</v>
      </c>
    </row>
    <row r="60" spans="1:88" ht="37.5" outlineLevel="1" x14ac:dyDescent="0.4">
      <c r="A60" s="54" t="s">
        <v>1847</v>
      </c>
      <c r="B60" t="str">
        <f>IFERROR(_xlfn.LET(_xlpm.v,
VLOOKUP($A60,CS!$B:$H,COLUMN(CS!B$1),FALSE),
IF(_xlpm.v=0,"",_xlpm.v)
),"")</f>
        <v>平地</v>
      </c>
      <c r="C60" t="str">
        <f>IFERROR(_xlfn.LET(_xlpm.v,
VLOOKUP($A60,CS!$B:$H,COLUMN(CS!C$1),FALSE),
IF(_xlpm.v=0,"",_xlpm.v)
),"")</f>
        <v/>
      </c>
      <c r="D60" t="str">
        <f>IFERROR(_xlfn.LET(_xlpm.v,
VLOOKUP($A60,CS!$B:$H,COLUMN(CS!D$1),FALSE),
IF(_xlpm.v=0,"",_xlpm.v)
),"")</f>
        <v>A</v>
      </c>
      <c r="E60" t="str">
        <f>IFERROR(_xlfn.LET(_xlpm.v,
VLOOKUP($A60,CS!$B:$H,COLUMN(CS!E$1),FALSE),
IF(_xlpm.v=0,"",_xlpm.v)
),"")</f>
        <v/>
      </c>
      <c r="F60">
        <f>IFERROR(_xlfn.LET(_xlpm.v,
VLOOKUP($A60,CS!$B:$H,COLUMN(CS!F$1),FALSE),
IF(_xlpm.v=0,"",_xlpm.v)
),"")</f>
        <v>50</v>
      </c>
      <c r="G60" s="51" t="str">
        <f>IFERROR(_xlfn.LET(_xlpm.v,
VLOOKUP($A60,CS!$B:$N,COLUMN(CS!M$1),FALSE),
IF(_xlpm.v=0,"",_xlpm.v)
),"")</f>
        <v/>
      </c>
      <c r="H60" s="17" t="str">
        <f>IFERROR(_xlfn.LET(_xlpm.v,
VLOOKUP($A60,CS!$B:$H,COLUMN(CS!G$1),FALSE),
IF(_xlpm.v=0,"",_xlpm.v)
),"")</f>
        <v>攻撃手段:魔法 効果:平地_変換 射程:20</v>
      </c>
      <c r="I60" t="s">
        <v>103</v>
      </c>
      <c r="CB60">
        <v>20</v>
      </c>
      <c r="CF60" t="s">
        <v>1863</v>
      </c>
    </row>
    <row r="61" spans="1:88" outlineLevel="1" x14ac:dyDescent="0.4">
      <c r="A61" s="54" t="s">
        <v>1848</v>
      </c>
      <c r="B61" t="str">
        <f>IFERROR(_xlfn.LET(_xlpm.v,
VLOOKUP($A61,CS!$B:$H,COLUMN(CS!B$1),FALSE),
IF(_xlpm.v=0,"",_xlpm.v)
),"")</f>
        <v>森</v>
      </c>
      <c r="C61" t="str">
        <f>IFERROR(_xlfn.LET(_xlpm.v,
VLOOKUP($A61,CS!$B:$H,COLUMN(CS!C$1),FALSE),
IF(_xlpm.v=0,"",_xlpm.v)
),"")</f>
        <v/>
      </c>
      <c r="D61" t="str">
        <f>IFERROR(_xlfn.LET(_xlpm.v,
VLOOKUP($A61,CS!$B:$H,COLUMN(CS!D$1),FALSE),
IF(_xlpm.v=0,"",_xlpm.v)
),"")</f>
        <v>A</v>
      </c>
      <c r="E61" t="str">
        <f>IFERROR(_xlfn.LET(_xlpm.v,
VLOOKUP($A61,CS!$B:$H,COLUMN(CS!E$1),FALSE),
IF(_xlpm.v=0,"",_xlpm.v)
),"")</f>
        <v/>
      </c>
      <c r="F61">
        <f>IFERROR(_xlfn.LET(_xlpm.v,
VLOOKUP($A61,CS!$B:$H,COLUMN(CS!F$1),FALSE),
IF(_xlpm.v=0,"",_xlpm.v)
),"")</f>
        <v>50</v>
      </c>
      <c r="G61" s="51" t="str">
        <f>IFERROR(_xlfn.LET(_xlpm.v,
VLOOKUP($A61,CS!$B:$N,COLUMN(CS!M$1),FALSE),
IF(_xlpm.v=0,"",_xlpm.v)
),"")</f>
        <v/>
      </c>
      <c r="H61" s="17" t="str">
        <f>IFERROR(_xlfn.LET(_xlpm.v,
VLOOKUP($A61,CS!$B:$H,COLUMN(CS!G$1),FALSE),
IF(_xlpm.v=0,"",_xlpm.v)
),"")</f>
        <v>攻撃手段:魔法 効果:森_変換 射程:20</v>
      </c>
      <c r="I61" t="s">
        <v>103</v>
      </c>
      <c r="CB61">
        <v>20</v>
      </c>
      <c r="CF61" t="s">
        <v>1864</v>
      </c>
    </row>
    <row r="62" spans="1:88" ht="37.5" outlineLevel="1" x14ac:dyDescent="0.4">
      <c r="A62" s="54" t="s">
        <v>1849</v>
      </c>
      <c r="B62" t="str">
        <f>IFERROR(_xlfn.LET(_xlpm.v,
VLOOKUP($A62,CS!$B:$H,COLUMN(CS!B$1),FALSE),
IF(_xlpm.v=0,"",_xlpm.v)
),"")</f>
        <v>山岳</v>
      </c>
      <c r="C62" t="str">
        <f>IFERROR(_xlfn.LET(_xlpm.v,
VLOOKUP($A62,CS!$B:$H,COLUMN(CS!C$1),FALSE),
IF(_xlpm.v=0,"",_xlpm.v)
),"")</f>
        <v/>
      </c>
      <c r="D62" t="str">
        <f>IFERROR(_xlfn.LET(_xlpm.v,
VLOOKUP($A62,CS!$B:$H,COLUMN(CS!D$1),FALSE),
IF(_xlpm.v=0,"",_xlpm.v)
),"")</f>
        <v>A</v>
      </c>
      <c r="E62" t="str">
        <f>IFERROR(_xlfn.LET(_xlpm.v,
VLOOKUP($A62,CS!$B:$H,COLUMN(CS!E$1),FALSE),
IF(_xlpm.v=0,"",_xlpm.v)
),"")</f>
        <v/>
      </c>
      <c r="F62">
        <f>IFERROR(_xlfn.LET(_xlpm.v,
VLOOKUP($A62,CS!$B:$H,COLUMN(CS!F$1),FALSE),
IF(_xlpm.v=0,"",_xlpm.v)
),"")</f>
        <v>50</v>
      </c>
      <c r="G62" s="51" t="str">
        <f>IFERROR(_xlfn.LET(_xlpm.v,
VLOOKUP($A62,CS!$B:$N,COLUMN(CS!M$1),FALSE),
IF(_xlpm.v=0,"",_xlpm.v)
),"")</f>
        <v/>
      </c>
      <c r="H62" s="17" t="str">
        <f>IFERROR(_xlfn.LET(_xlpm.v,
VLOOKUP($A62,CS!$B:$H,COLUMN(CS!G$1),FALSE),
IF(_xlpm.v=0,"",_xlpm.v)
),"")</f>
        <v>攻撃手段:魔法 効果:山岳_変換 射程:20</v>
      </c>
      <c r="I62" t="s">
        <v>103</v>
      </c>
      <c r="CB62">
        <v>20</v>
      </c>
      <c r="CF62" t="s">
        <v>1865</v>
      </c>
    </row>
    <row r="63" spans="1:88" ht="37.5" outlineLevel="1" x14ac:dyDescent="0.4">
      <c r="A63" s="54" t="s">
        <v>1850</v>
      </c>
      <c r="B63" t="str">
        <f>IFERROR(_xlfn.LET(_xlpm.v,
VLOOKUP($A63,CS!$B:$H,COLUMN(CS!B$1),FALSE),
IF(_xlpm.v=0,"",_xlpm.v)
),"")</f>
        <v>丘陵</v>
      </c>
      <c r="C63" t="str">
        <f>IFERROR(_xlfn.LET(_xlpm.v,
VLOOKUP($A63,CS!$B:$H,COLUMN(CS!C$1),FALSE),
IF(_xlpm.v=0,"",_xlpm.v)
),"")</f>
        <v/>
      </c>
      <c r="D63" t="str">
        <f>IFERROR(_xlfn.LET(_xlpm.v,
VLOOKUP($A63,CS!$B:$H,COLUMN(CS!D$1),FALSE),
IF(_xlpm.v=0,"",_xlpm.v)
),"")</f>
        <v>A</v>
      </c>
      <c r="E63" t="str">
        <f>IFERROR(_xlfn.LET(_xlpm.v,
VLOOKUP($A63,CS!$B:$H,COLUMN(CS!E$1),FALSE),
IF(_xlpm.v=0,"",_xlpm.v)
),"")</f>
        <v/>
      </c>
      <c r="F63">
        <f>IFERROR(_xlfn.LET(_xlpm.v,
VLOOKUP($A63,CS!$B:$H,COLUMN(CS!F$1),FALSE),
IF(_xlpm.v=0,"",_xlpm.v)
),"")</f>
        <v>50</v>
      </c>
      <c r="G63" s="51" t="str">
        <f>IFERROR(_xlfn.LET(_xlpm.v,
VLOOKUP($A63,CS!$B:$N,COLUMN(CS!M$1),FALSE),
IF(_xlpm.v=0,"",_xlpm.v)
),"")</f>
        <v/>
      </c>
      <c r="H63" s="17" t="str">
        <f>IFERROR(_xlfn.LET(_xlpm.v,
VLOOKUP($A63,CS!$B:$H,COLUMN(CS!G$1),FALSE),
IF(_xlpm.v=0,"",_xlpm.v)
),"")</f>
        <v>攻撃手段:魔法 効果:丘陵_変換 射程:20</v>
      </c>
      <c r="I63" t="s">
        <v>103</v>
      </c>
      <c r="CB63">
        <v>20</v>
      </c>
      <c r="CF63" t="s">
        <v>1866</v>
      </c>
    </row>
    <row r="64" spans="1:88" ht="37.5" outlineLevel="1" x14ac:dyDescent="0.4">
      <c r="A64" s="54" t="s">
        <v>1851</v>
      </c>
      <c r="B64" t="str">
        <f>IFERROR(_xlfn.LET(_xlpm.v,
VLOOKUP($A64,CS!$B:$H,COLUMN(CS!B$1),FALSE),
IF(_xlpm.v=0,"",_xlpm.v)
),"")</f>
        <v>河川</v>
      </c>
      <c r="C64" t="str">
        <f>IFERROR(_xlfn.LET(_xlpm.v,
VLOOKUP($A64,CS!$B:$H,COLUMN(CS!C$1),FALSE),
IF(_xlpm.v=0,"",_xlpm.v)
),"")</f>
        <v/>
      </c>
      <c r="D64" t="str">
        <f>IFERROR(_xlfn.LET(_xlpm.v,
VLOOKUP($A64,CS!$B:$H,COLUMN(CS!D$1),FALSE),
IF(_xlpm.v=0,"",_xlpm.v)
),"")</f>
        <v>A</v>
      </c>
      <c r="E64" t="str">
        <f>IFERROR(_xlfn.LET(_xlpm.v,
VLOOKUP($A64,CS!$B:$H,COLUMN(CS!E$1),FALSE),
IF(_xlpm.v=0,"",_xlpm.v)
),"")</f>
        <v/>
      </c>
      <c r="F64">
        <f>IFERROR(_xlfn.LET(_xlpm.v,
VLOOKUP($A64,CS!$B:$H,COLUMN(CS!F$1),FALSE),
IF(_xlpm.v=0,"",_xlpm.v)
),"")</f>
        <v>50</v>
      </c>
      <c r="G64" s="51" t="str">
        <f>IFERROR(_xlfn.LET(_xlpm.v,
VLOOKUP($A64,CS!$B:$N,COLUMN(CS!M$1),FALSE),
IF(_xlpm.v=0,"",_xlpm.v)
),"")</f>
        <v/>
      </c>
      <c r="H64" s="17" t="str">
        <f>IFERROR(_xlfn.LET(_xlpm.v,
VLOOKUP($A64,CS!$B:$H,COLUMN(CS!G$1),FALSE),
IF(_xlpm.v=0,"",_xlpm.v)
),"")</f>
        <v>攻撃手段:魔法 効果:河川_変換 射程:20</v>
      </c>
      <c r="I64" t="s">
        <v>103</v>
      </c>
      <c r="CB64">
        <v>20</v>
      </c>
      <c r="CF64" t="s">
        <v>1867</v>
      </c>
    </row>
    <row r="65" spans="1:84" ht="37.5" outlineLevel="1" x14ac:dyDescent="0.4">
      <c r="A65" s="54" t="s">
        <v>1852</v>
      </c>
      <c r="B65" t="str">
        <f>IFERROR(_xlfn.LET(_xlpm.v,
VLOOKUP($A65,CS!$B:$H,COLUMN(CS!B$1),FALSE),
IF(_xlpm.v=0,"",_xlpm.v)
),"")</f>
        <v>湖</v>
      </c>
      <c r="C65" t="str">
        <f>IFERROR(_xlfn.LET(_xlpm.v,
VLOOKUP($A65,CS!$B:$H,COLUMN(CS!C$1),FALSE),
IF(_xlpm.v=0,"",_xlpm.v)
),"")</f>
        <v/>
      </c>
      <c r="D65" t="str">
        <f>IFERROR(_xlfn.LET(_xlpm.v,
VLOOKUP($A65,CS!$B:$H,COLUMN(CS!D$1),FALSE),
IF(_xlpm.v=0,"",_xlpm.v)
),"")</f>
        <v>A</v>
      </c>
      <c r="E65" t="str">
        <f>IFERROR(_xlfn.LET(_xlpm.v,
VLOOKUP($A65,CS!$B:$H,COLUMN(CS!E$1),FALSE),
IF(_xlpm.v=0,"",_xlpm.v)
),"")</f>
        <v/>
      </c>
      <c r="F65">
        <f>IFERROR(_xlfn.LET(_xlpm.v,
VLOOKUP($A65,CS!$B:$H,COLUMN(CS!F$1),FALSE),
IF(_xlpm.v=0,"",_xlpm.v)
),"")</f>
        <v>50</v>
      </c>
      <c r="G65" s="51" t="str">
        <f>IFERROR(_xlfn.LET(_xlpm.v,
VLOOKUP($A65,CS!$B:$N,COLUMN(CS!M$1),FALSE),
IF(_xlpm.v=0,"",_xlpm.v)
),"")</f>
        <v/>
      </c>
      <c r="H65" s="17" t="str">
        <f>IFERROR(_xlfn.LET(_xlpm.v,
VLOOKUP($A65,CS!$B:$H,COLUMN(CS!G$1),FALSE),
IF(_xlpm.v=0,"",_xlpm.v)
),"")</f>
        <v>攻撃手段:魔法 効果:湖_変換 射程:20 炸裂:10</v>
      </c>
      <c r="I65" t="s">
        <v>103</v>
      </c>
      <c r="CB65">
        <v>20</v>
      </c>
      <c r="CD65">
        <v>10</v>
      </c>
      <c r="CF65" t="s">
        <v>1868</v>
      </c>
    </row>
    <row r="66" spans="1:84" outlineLevel="1" x14ac:dyDescent="0.4">
      <c r="A66" s="54" t="s">
        <v>1853</v>
      </c>
      <c r="B66" t="str">
        <f>IFERROR(_xlfn.LET(_xlpm.v,
VLOOKUP($A66,CS!$B:$H,COLUMN(CS!B$1),FALSE),
IF(_xlpm.v=0,"",_xlpm.v)
),"")</f>
        <v>海</v>
      </c>
      <c r="C66" t="str">
        <f>IFERROR(_xlfn.LET(_xlpm.v,
VLOOKUP($A66,CS!$B:$H,COLUMN(CS!C$1),FALSE),
IF(_xlpm.v=0,"",_xlpm.v)
),"")</f>
        <v/>
      </c>
      <c r="D66" t="str">
        <f>IFERROR(_xlfn.LET(_xlpm.v,
VLOOKUP($A66,CS!$B:$H,COLUMN(CS!D$1),FALSE),
IF(_xlpm.v=0,"",_xlpm.v)
),"")</f>
        <v>A</v>
      </c>
      <c r="E66" t="str">
        <f>IFERROR(_xlfn.LET(_xlpm.v,
VLOOKUP($A66,CS!$B:$H,COLUMN(CS!E$1),FALSE),
IF(_xlpm.v=0,"",_xlpm.v)
),"")</f>
        <v/>
      </c>
      <c r="F66">
        <f>IFERROR(_xlfn.LET(_xlpm.v,
VLOOKUP($A66,CS!$B:$H,COLUMN(CS!F$1),FALSE),
IF(_xlpm.v=0,"",_xlpm.v)
),"")</f>
        <v>50</v>
      </c>
      <c r="G66" s="51" t="str">
        <f>IFERROR(_xlfn.LET(_xlpm.v,
VLOOKUP($A66,CS!$B:$N,COLUMN(CS!M$1),FALSE),
IF(_xlpm.v=0,"",_xlpm.v)
),"")</f>
        <v/>
      </c>
      <c r="H66" s="17" t="str">
        <f>IFERROR(_xlfn.LET(_xlpm.v,
VLOOKUP($A66,CS!$B:$H,COLUMN(CS!G$1),FALSE),
IF(_xlpm.v=0,"",_xlpm.v)
),"")</f>
        <v>攻撃手段:魔法 効果:海_変換 射程:20</v>
      </c>
      <c r="I66" t="s">
        <v>103</v>
      </c>
      <c r="CB66">
        <v>20</v>
      </c>
      <c r="CF66" t="s">
        <v>1869</v>
      </c>
    </row>
    <row r="67" spans="1:84" ht="37.5" outlineLevel="1" x14ac:dyDescent="0.4">
      <c r="A67" s="54" t="s">
        <v>1854</v>
      </c>
      <c r="B67" t="str">
        <f>IFERROR(_xlfn.LET(_xlpm.v,
VLOOKUP($A67,CS!$B:$H,COLUMN(CS!B$1),FALSE),
IF(_xlpm.v=0,"",_xlpm.v)
),"")</f>
        <v>砂漠</v>
      </c>
      <c r="C67" t="str">
        <f>IFERROR(_xlfn.LET(_xlpm.v,
VLOOKUP($A67,CS!$B:$H,COLUMN(CS!C$1),FALSE),
IF(_xlpm.v=0,"",_xlpm.v)
),"")</f>
        <v/>
      </c>
      <c r="D67" t="str">
        <f>IFERROR(_xlfn.LET(_xlpm.v,
VLOOKUP($A67,CS!$B:$H,COLUMN(CS!D$1),FALSE),
IF(_xlpm.v=0,"",_xlpm.v)
),"")</f>
        <v>A</v>
      </c>
      <c r="E67" t="str">
        <f>IFERROR(_xlfn.LET(_xlpm.v,
VLOOKUP($A67,CS!$B:$H,COLUMN(CS!E$1),FALSE),
IF(_xlpm.v=0,"",_xlpm.v)
),"")</f>
        <v/>
      </c>
      <c r="F67">
        <f>IFERROR(_xlfn.LET(_xlpm.v,
VLOOKUP($A67,CS!$B:$H,COLUMN(CS!F$1),FALSE),
IF(_xlpm.v=0,"",_xlpm.v)
),"")</f>
        <v>50</v>
      </c>
      <c r="G67" s="51" t="str">
        <f>IFERROR(_xlfn.LET(_xlpm.v,
VLOOKUP($A67,CS!$B:$N,COLUMN(CS!M$1),FALSE),
IF(_xlpm.v=0,"",_xlpm.v)
),"")</f>
        <v/>
      </c>
      <c r="H67" s="17" t="str">
        <f>IFERROR(_xlfn.LET(_xlpm.v,
VLOOKUP($A67,CS!$B:$H,COLUMN(CS!G$1),FALSE),
IF(_xlpm.v=0,"",_xlpm.v)
),"")</f>
        <v>攻撃手段:魔法 効果:砂漠_変換 射程:20</v>
      </c>
      <c r="I67" t="s">
        <v>103</v>
      </c>
      <c r="CB67">
        <v>20</v>
      </c>
      <c r="CF67" t="s">
        <v>1870</v>
      </c>
    </row>
    <row r="68" spans="1:84" ht="37.5" outlineLevel="1" x14ac:dyDescent="0.4">
      <c r="A68" s="54" t="s">
        <v>1855</v>
      </c>
      <c r="B68" t="str">
        <f>IFERROR(_xlfn.LET(_xlpm.v,
VLOOKUP($A68,CS!$B:$H,COLUMN(CS!B$1),FALSE),
IF(_xlpm.v=0,"",_xlpm.v)
),"")</f>
        <v>沼地</v>
      </c>
      <c r="C68" t="str">
        <f>IFERROR(_xlfn.LET(_xlpm.v,
VLOOKUP($A68,CS!$B:$H,COLUMN(CS!C$1),FALSE),
IF(_xlpm.v=0,"",_xlpm.v)
),"")</f>
        <v/>
      </c>
      <c r="D68" t="str">
        <f>IFERROR(_xlfn.LET(_xlpm.v,
VLOOKUP($A68,CS!$B:$H,COLUMN(CS!D$1),FALSE),
IF(_xlpm.v=0,"",_xlpm.v)
),"")</f>
        <v>A</v>
      </c>
      <c r="E68" t="str">
        <f>IFERROR(_xlfn.LET(_xlpm.v,
VLOOKUP($A68,CS!$B:$H,COLUMN(CS!E$1),FALSE),
IF(_xlpm.v=0,"",_xlpm.v)
),"")</f>
        <v/>
      </c>
      <c r="F68">
        <f>IFERROR(_xlfn.LET(_xlpm.v,
VLOOKUP($A68,CS!$B:$H,COLUMN(CS!F$1),FALSE),
IF(_xlpm.v=0,"",_xlpm.v)
),"")</f>
        <v>50</v>
      </c>
      <c r="G68" s="51" t="str">
        <f>IFERROR(_xlfn.LET(_xlpm.v,
VLOOKUP($A68,CS!$B:$N,COLUMN(CS!M$1),FALSE),
IF(_xlpm.v=0,"",_xlpm.v)
),"")</f>
        <v/>
      </c>
      <c r="H68" s="17" t="str">
        <f>IFERROR(_xlfn.LET(_xlpm.v,
VLOOKUP($A68,CS!$B:$H,COLUMN(CS!G$1),FALSE),
IF(_xlpm.v=0,"",_xlpm.v)
),"")</f>
        <v>攻撃手段:魔法 効果:沼地_変換 射程:20</v>
      </c>
      <c r="I68" t="s">
        <v>103</v>
      </c>
      <c r="CB68">
        <v>20</v>
      </c>
      <c r="CF68" t="s">
        <v>1871</v>
      </c>
    </row>
    <row r="69" spans="1:84" ht="37.5" outlineLevel="1" x14ac:dyDescent="0.4">
      <c r="A69" s="54" t="s">
        <v>1856</v>
      </c>
      <c r="B69" t="str">
        <f>IFERROR(_xlfn.LET(_xlpm.v,
VLOOKUP($A69,CS!$B:$H,COLUMN(CS!B$1),FALSE),
IF(_xlpm.v=0,"",_xlpm.v)
),"")</f>
        <v>薬草繁茂</v>
      </c>
      <c r="C69" t="str">
        <f>IFERROR(_xlfn.LET(_xlpm.v,
VLOOKUP($A69,CS!$B:$H,COLUMN(CS!C$1),FALSE),
IF(_xlpm.v=0,"",_xlpm.v)
),"")</f>
        <v/>
      </c>
      <c r="D69" t="str">
        <f>IFERROR(_xlfn.LET(_xlpm.v,
VLOOKUP($A69,CS!$B:$H,COLUMN(CS!D$1),FALSE),
IF(_xlpm.v=0,"",_xlpm.v)
),"")</f>
        <v>A</v>
      </c>
      <c r="E69" t="str">
        <f>IFERROR(_xlfn.LET(_xlpm.v,
VLOOKUP($A69,CS!$B:$H,COLUMN(CS!E$1),FALSE),
IF(_xlpm.v=0,"",_xlpm.v)
),"")</f>
        <v/>
      </c>
      <c r="F69">
        <f>IFERROR(_xlfn.LET(_xlpm.v,
VLOOKUP($A69,CS!$B:$H,COLUMN(CS!F$1),FALSE),
IF(_xlpm.v=0,"",_xlpm.v)
),"")</f>
        <v>50</v>
      </c>
      <c r="G69" s="51" t="str">
        <f>IFERROR(_xlfn.LET(_xlpm.v,
VLOOKUP($A69,CS!$B:$N,COLUMN(CS!M$1),FALSE),
IF(_xlpm.v=0,"",_xlpm.v)
),"")</f>
        <v/>
      </c>
      <c r="H69" s="17" t="str">
        <f>IFERROR(_xlfn.LET(_xlpm.v,
VLOOKUP($A69,CS!$B:$H,COLUMN(CS!G$1),FALSE),
IF(_xlpm.v=0,"",_xlpm.v)
),"")</f>
        <v>攻撃手段:魔法 効果:薬草繁茂_変換 射程:20</v>
      </c>
      <c r="I69" t="s">
        <v>103</v>
      </c>
      <c r="CB69">
        <v>20</v>
      </c>
      <c r="CF69" t="s">
        <v>1872</v>
      </c>
    </row>
    <row r="70" spans="1:84" ht="37.5" outlineLevel="1" x14ac:dyDescent="0.4">
      <c r="A70" s="54" t="s">
        <v>1857</v>
      </c>
      <c r="B70" t="str">
        <f>IFERROR(_xlfn.LET(_xlpm.v,
VLOOKUP($A70,CS!$B:$H,COLUMN(CS!B$1),FALSE),
IF(_xlpm.v=0,"",_xlpm.v)
),"")</f>
        <v>峡谷</v>
      </c>
      <c r="C70" t="str">
        <f>IFERROR(_xlfn.LET(_xlpm.v,
VLOOKUP($A70,CS!$B:$H,COLUMN(CS!C$1),FALSE),
IF(_xlpm.v=0,"",_xlpm.v)
),"")</f>
        <v/>
      </c>
      <c r="D70" t="str">
        <f>IFERROR(_xlfn.LET(_xlpm.v,
VLOOKUP($A70,CS!$B:$H,COLUMN(CS!D$1),FALSE),
IF(_xlpm.v=0,"",_xlpm.v)
),"")</f>
        <v>A</v>
      </c>
      <c r="E70" t="str">
        <f>IFERROR(_xlfn.LET(_xlpm.v,
VLOOKUP($A70,CS!$B:$H,COLUMN(CS!E$1),FALSE),
IF(_xlpm.v=0,"",_xlpm.v)
),"")</f>
        <v/>
      </c>
      <c r="F70">
        <f>IFERROR(_xlfn.LET(_xlpm.v,
VLOOKUP($A70,CS!$B:$H,COLUMN(CS!F$1),FALSE),
IF(_xlpm.v=0,"",_xlpm.v)
),"")</f>
        <v>50</v>
      </c>
      <c r="G70" s="51" t="str">
        <f>IFERROR(_xlfn.LET(_xlpm.v,
VLOOKUP($A70,CS!$B:$N,COLUMN(CS!M$1),FALSE),
IF(_xlpm.v=0,"",_xlpm.v)
),"")</f>
        <v/>
      </c>
      <c r="H70" s="17" t="str">
        <f>IFERROR(_xlfn.LET(_xlpm.v,
VLOOKUP($A70,CS!$B:$H,COLUMN(CS!G$1),FALSE),
IF(_xlpm.v=0,"",_xlpm.v)
),"")</f>
        <v>攻撃手段:魔法 効果:峡谷_変換 射程:20</v>
      </c>
      <c r="I70" t="s">
        <v>103</v>
      </c>
      <c r="CB70">
        <v>20</v>
      </c>
      <c r="CF70" t="s">
        <v>1873</v>
      </c>
    </row>
    <row r="71" spans="1:84" ht="37.5" outlineLevel="1" x14ac:dyDescent="0.4">
      <c r="A71" s="54" t="s">
        <v>1858</v>
      </c>
      <c r="B71" t="str">
        <f>IFERROR(_xlfn.LET(_xlpm.v,
VLOOKUP($A71,CS!$B:$H,COLUMN(CS!B$1),FALSE),
IF(_xlpm.v=0,"",_xlpm.v)
),"")</f>
        <v>洞窟</v>
      </c>
      <c r="C71" t="str">
        <f>IFERROR(_xlfn.LET(_xlpm.v,
VLOOKUP($A71,CS!$B:$H,COLUMN(CS!C$1),FALSE),
IF(_xlpm.v=0,"",_xlpm.v)
),"")</f>
        <v/>
      </c>
      <c r="D71" t="str">
        <f>IFERROR(_xlfn.LET(_xlpm.v,
VLOOKUP($A71,CS!$B:$H,COLUMN(CS!D$1),FALSE),
IF(_xlpm.v=0,"",_xlpm.v)
),"")</f>
        <v>A</v>
      </c>
      <c r="E71" t="str">
        <f>IFERROR(_xlfn.LET(_xlpm.v,
VLOOKUP($A71,CS!$B:$H,COLUMN(CS!E$1),FALSE),
IF(_xlpm.v=0,"",_xlpm.v)
),"")</f>
        <v/>
      </c>
      <c r="F71">
        <f>IFERROR(_xlfn.LET(_xlpm.v,
VLOOKUP($A71,CS!$B:$H,COLUMN(CS!F$1),FALSE),
IF(_xlpm.v=0,"",_xlpm.v)
),"")</f>
        <v>50</v>
      </c>
      <c r="G71" s="51" t="str">
        <f>IFERROR(_xlfn.LET(_xlpm.v,
VLOOKUP($A71,CS!$B:$N,COLUMN(CS!M$1),FALSE),
IF(_xlpm.v=0,"",_xlpm.v)
),"")</f>
        <v/>
      </c>
      <c r="H71" s="17" t="str">
        <f>IFERROR(_xlfn.LET(_xlpm.v,
VLOOKUP($A71,CS!$B:$H,COLUMN(CS!G$1),FALSE),
IF(_xlpm.v=0,"",_xlpm.v)
),"")</f>
        <v>攻撃手段:魔法 効果:洞窟_変換 射程:20</v>
      </c>
      <c r="I71" t="s">
        <v>103</v>
      </c>
      <c r="CB71">
        <v>20</v>
      </c>
      <c r="CF71" t="s">
        <v>1874</v>
      </c>
    </row>
    <row r="72" spans="1:84" ht="37.5" outlineLevel="1" x14ac:dyDescent="0.4">
      <c r="A72" s="54" t="s">
        <v>1859</v>
      </c>
      <c r="B72" t="str">
        <f>IFERROR(_xlfn.LET(_xlpm.v,
VLOOKUP($A72,CS!$B:$H,COLUMN(CS!B$1),FALSE),
IF(_xlpm.v=0,"",_xlpm.v)
),"")</f>
        <v>雪原</v>
      </c>
      <c r="C72" t="str">
        <f>IFERROR(_xlfn.LET(_xlpm.v,
VLOOKUP($A72,CS!$B:$H,COLUMN(CS!C$1),FALSE),
IF(_xlpm.v=0,"",_xlpm.v)
),"")</f>
        <v/>
      </c>
      <c r="D72" t="str">
        <f>IFERROR(_xlfn.LET(_xlpm.v,
VLOOKUP($A72,CS!$B:$H,COLUMN(CS!D$1),FALSE),
IF(_xlpm.v=0,"",_xlpm.v)
),"")</f>
        <v>A</v>
      </c>
      <c r="E72" t="str">
        <f>IFERROR(_xlfn.LET(_xlpm.v,
VLOOKUP($A72,CS!$B:$H,COLUMN(CS!E$1),FALSE),
IF(_xlpm.v=0,"",_xlpm.v)
),"")</f>
        <v/>
      </c>
      <c r="F72">
        <f>IFERROR(_xlfn.LET(_xlpm.v,
VLOOKUP($A72,CS!$B:$H,COLUMN(CS!F$1),FALSE),
IF(_xlpm.v=0,"",_xlpm.v)
),"")</f>
        <v>50</v>
      </c>
      <c r="G72" s="51" t="str">
        <f>IFERROR(_xlfn.LET(_xlpm.v,
VLOOKUP($A72,CS!$B:$N,COLUMN(CS!M$1),FALSE),
IF(_xlpm.v=0,"",_xlpm.v)
),"")</f>
        <v/>
      </c>
      <c r="H72" s="17" t="str">
        <f>IFERROR(_xlfn.LET(_xlpm.v,
VLOOKUP($A72,CS!$B:$H,COLUMN(CS!G$1),FALSE),
IF(_xlpm.v=0,"",_xlpm.v)
),"")</f>
        <v>攻撃手段:魔法 効果:雪原_変換 射程:20</v>
      </c>
      <c r="I72" t="s">
        <v>103</v>
      </c>
      <c r="CB72">
        <v>20</v>
      </c>
      <c r="CF72" t="s">
        <v>1875</v>
      </c>
    </row>
    <row r="73" spans="1:84" ht="37.5" outlineLevel="1" x14ac:dyDescent="0.4">
      <c r="A73" s="54" t="s">
        <v>1860</v>
      </c>
      <c r="B73" t="str">
        <f>IFERROR(_xlfn.LET(_xlpm.v,
VLOOKUP($A73,CS!$B:$H,COLUMN(CS!B$1),FALSE),
IF(_xlpm.v=0,"",_xlpm.v)
),"")</f>
        <v>火山</v>
      </c>
      <c r="C73" t="str">
        <f>IFERROR(_xlfn.LET(_xlpm.v,
VLOOKUP($A73,CS!$B:$H,COLUMN(CS!C$1),FALSE),
IF(_xlpm.v=0,"",_xlpm.v)
),"")</f>
        <v/>
      </c>
      <c r="D73" t="str">
        <f>IFERROR(_xlfn.LET(_xlpm.v,
VLOOKUP($A73,CS!$B:$H,COLUMN(CS!D$1),FALSE),
IF(_xlpm.v=0,"",_xlpm.v)
),"")</f>
        <v>A</v>
      </c>
      <c r="E73" t="str">
        <f>IFERROR(_xlfn.LET(_xlpm.v,
VLOOKUP($A73,CS!$B:$H,COLUMN(CS!E$1),FALSE),
IF(_xlpm.v=0,"",_xlpm.v)
),"")</f>
        <v/>
      </c>
      <c r="F73">
        <f>IFERROR(_xlfn.LET(_xlpm.v,
VLOOKUP($A73,CS!$B:$H,COLUMN(CS!F$1),FALSE),
IF(_xlpm.v=0,"",_xlpm.v)
),"")</f>
        <v>50</v>
      </c>
      <c r="G73" s="51" t="str">
        <f>IFERROR(_xlfn.LET(_xlpm.v,
VLOOKUP($A73,CS!$B:$N,COLUMN(CS!M$1),FALSE),
IF(_xlpm.v=0,"",_xlpm.v)
),"")</f>
        <v/>
      </c>
      <c r="H73" s="17" t="str">
        <f>IFERROR(_xlfn.LET(_xlpm.v,
VLOOKUP($A73,CS!$B:$H,COLUMN(CS!G$1),FALSE),
IF(_xlpm.v=0,"",_xlpm.v)
),"")</f>
        <v>攻撃手段:魔法 効果:火山_変換 射程:20</v>
      </c>
      <c r="I73" t="s">
        <v>103</v>
      </c>
      <c r="CB73">
        <v>20</v>
      </c>
      <c r="CF73" t="s">
        <v>1876</v>
      </c>
    </row>
    <row r="74" spans="1:84" ht="37.5" outlineLevel="1" x14ac:dyDescent="0.4">
      <c r="A74" s="54" t="s">
        <v>1861</v>
      </c>
      <c r="B74" t="str">
        <f>IFERROR(_xlfn.LET(_xlpm.v,
VLOOKUP($A74,CS!$B:$H,COLUMN(CS!B$1),FALSE),
IF(_xlpm.v=0,"",_xlpm.v)
),"")</f>
        <v>溶岩</v>
      </c>
      <c r="C74" t="str">
        <f>IFERROR(_xlfn.LET(_xlpm.v,
VLOOKUP($A74,CS!$B:$H,COLUMN(CS!C$1),FALSE),
IF(_xlpm.v=0,"",_xlpm.v)
),"")</f>
        <v/>
      </c>
      <c r="D74" t="str">
        <f>IFERROR(_xlfn.LET(_xlpm.v,
VLOOKUP($A74,CS!$B:$H,COLUMN(CS!D$1),FALSE),
IF(_xlpm.v=0,"",_xlpm.v)
),"")</f>
        <v>A</v>
      </c>
      <c r="E74" t="str">
        <f>IFERROR(_xlfn.LET(_xlpm.v,
VLOOKUP($A74,CS!$B:$H,COLUMN(CS!E$1),FALSE),
IF(_xlpm.v=0,"",_xlpm.v)
),"")</f>
        <v/>
      </c>
      <c r="F74">
        <f>IFERROR(_xlfn.LET(_xlpm.v,
VLOOKUP($A74,CS!$B:$H,COLUMN(CS!F$1),FALSE),
IF(_xlpm.v=0,"",_xlpm.v)
),"")</f>
        <v>50</v>
      </c>
      <c r="G74" s="51" t="str">
        <f>IFERROR(_xlfn.LET(_xlpm.v,
VLOOKUP($A74,CS!$B:$N,COLUMN(CS!M$1),FALSE),
IF(_xlpm.v=0,"",_xlpm.v)
),"")</f>
        <v/>
      </c>
      <c r="H74" s="17" t="str">
        <f>IFERROR(_xlfn.LET(_xlpm.v,
VLOOKUP($A74,CS!$B:$H,COLUMN(CS!G$1),FALSE),
IF(_xlpm.v=0,"",_xlpm.v)
),"")</f>
        <v>攻撃手段:魔法 効果:溶岩_変換 射程:20</v>
      </c>
      <c r="I74" t="s">
        <v>103</v>
      </c>
      <c r="CB74">
        <v>20</v>
      </c>
      <c r="CF74" t="s">
        <v>1877</v>
      </c>
    </row>
    <row r="75" spans="1:84" ht="37.5" outlineLevel="1" x14ac:dyDescent="0.4">
      <c r="A75" s="54" t="s">
        <v>1862</v>
      </c>
      <c r="B75" t="str">
        <f>IFERROR(_xlfn.LET(_xlpm.v,
VLOOKUP($A75,CS!$B:$H,COLUMN(CS!B$1),FALSE),
IF(_xlpm.v=0,"",_xlpm.v)
),"")</f>
        <v>死の霧</v>
      </c>
      <c r="C75" t="str">
        <f>IFERROR(_xlfn.LET(_xlpm.v,
VLOOKUP($A75,CS!$B:$H,COLUMN(CS!C$1),FALSE),
IF(_xlpm.v=0,"",_xlpm.v)
),"")</f>
        <v/>
      </c>
      <c r="D75" t="str">
        <f>IFERROR(_xlfn.LET(_xlpm.v,
VLOOKUP($A75,CS!$B:$H,COLUMN(CS!D$1),FALSE),
IF(_xlpm.v=0,"",_xlpm.v)
),"")</f>
        <v>A</v>
      </c>
      <c r="E75" t="str">
        <f>IFERROR(_xlfn.LET(_xlpm.v,
VLOOKUP($A75,CS!$B:$H,COLUMN(CS!E$1),FALSE),
IF(_xlpm.v=0,"",_xlpm.v)
),"")</f>
        <v/>
      </c>
      <c r="F75">
        <f>IFERROR(_xlfn.LET(_xlpm.v,
VLOOKUP($A75,CS!$B:$H,COLUMN(CS!F$1),FALSE),
IF(_xlpm.v=0,"",_xlpm.v)
),"")</f>
        <v>50</v>
      </c>
      <c r="G75" s="51" t="str">
        <f>IFERROR(_xlfn.LET(_xlpm.v,
VLOOKUP($A75,CS!$B:$N,COLUMN(CS!M$1),FALSE),
IF(_xlpm.v=0,"",_xlpm.v)
),"")</f>
        <v/>
      </c>
      <c r="H75" s="17" t="str">
        <f>IFERROR(_xlfn.LET(_xlpm.v,
VLOOKUP($A75,CS!$B:$H,COLUMN(CS!G$1),FALSE),
IF(_xlpm.v=0,"",_xlpm.v)
),"")</f>
        <v>攻撃手段:魔法 効果:死の霧_変換 射程:20</v>
      </c>
      <c r="I75" t="s">
        <v>103</v>
      </c>
      <c r="CB75">
        <v>20</v>
      </c>
      <c r="CF75" t="s">
        <v>1878</v>
      </c>
    </row>
    <row r="76" spans="1:84" outlineLevel="1" x14ac:dyDescent="0.4">
      <c r="B76" t="str">
        <f>IFERROR(_xlfn.LET(_xlpm.v,
VLOOKUP($A76,CS!$B:$H,COLUMN(CS!B$1),FALSE),
IF(_xlpm.v=0,"",_xlpm.v)
),"")</f>
        <v/>
      </c>
      <c r="C76" t="str">
        <f>IFERROR(_xlfn.LET(_xlpm.v,
VLOOKUP($A76,CS!$B:$H,COLUMN(CS!C$1),FALSE),
IF(_xlpm.v=0,"",_xlpm.v)
),"")</f>
        <v/>
      </c>
      <c r="D76" t="str">
        <f>IFERROR(_xlfn.LET(_xlpm.v,
VLOOKUP($A76,CS!$B:$H,COLUMN(CS!D$1),FALSE),
IF(_xlpm.v=0,"",_xlpm.v)
),"")</f>
        <v/>
      </c>
      <c r="E76" t="str">
        <f>IFERROR(_xlfn.LET(_xlpm.v,
VLOOKUP($A76,CS!$B:$H,COLUMN(CS!E$1),FALSE),
IF(_xlpm.v=0,"",_xlpm.v)
),"")</f>
        <v/>
      </c>
      <c r="F76" t="str">
        <f>IFERROR(_xlfn.LET(_xlpm.v,
VLOOKUP($A76,CS!$B:$H,COLUMN(CS!F$1),FALSE),
IF(_xlpm.v=0,"",_xlpm.v)
),"")</f>
        <v/>
      </c>
      <c r="G76" s="51" t="str">
        <f>IFERROR(_xlfn.LET(_xlpm.v,
VLOOKUP($A76,CS!$B:$N,COLUMN(CS!M$1),FALSE),
IF(_xlpm.v=0,"",_xlpm.v)
),"")</f>
        <v/>
      </c>
      <c r="H76" s="17" t="str">
        <f>IFERROR(_xlfn.LET(_xlpm.v,
VLOOKUP($A76,CS!$B:$H,COLUMN(CS!G$1),FALSE),
IF(_xlpm.v=0,"",_xlpm.v)
),"")</f>
        <v/>
      </c>
    </row>
    <row r="77" spans="1:84" outlineLevel="1" x14ac:dyDescent="0.4">
      <c r="B77" t="str">
        <f>IFERROR(_xlfn.LET(_xlpm.v,
VLOOKUP($A77,CS!$B:$H,COLUMN(CS!B$1),FALSE),
IF(_xlpm.v=0,"",_xlpm.v)
),"")</f>
        <v/>
      </c>
      <c r="C77" t="str">
        <f>IFERROR(_xlfn.LET(_xlpm.v,
VLOOKUP($A77,CS!$B:$H,COLUMN(CS!C$1),FALSE),
IF(_xlpm.v=0,"",_xlpm.v)
),"")</f>
        <v/>
      </c>
      <c r="D77" t="str">
        <f>IFERROR(_xlfn.LET(_xlpm.v,
VLOOKUP($A77,CS!$B:$H,COLUMN(CS!D$1),FALSE),
IF(_xlpm.v=0,"",_xlpm.v)
),"")</f>
        <v/>
      </c>
      <c r="E77" t="str">
        <f>IFERROR(_xlfn.LET(_xlpm.v,
VLOOKUP($A77,CS!$B:$H,COLUMN(CS!E$1),FALSE),
IF(_xlpm.v=0,"",_xlpm.v)
),"")</f>
        <v/>
      </c>
      <c r="F77" t="str">
        <f>IFERROR(_xlfn.LET(_xlpm.v,
VLOOKUP($A77,CS!$B:$H,COLUMN(CS!F$1),FALSE),
IF(_xlpm.v=0,"",_xlpm.v)
),"")</f>
        <v/>
      </c>
      <c r="G77" s="51" t="str">
        <f>IFERROR(_xlfn.LET(_xlpm.v,
VLOOKUP($A77,CS!$B:$N,COLUMN(CS!M$1),FALSE),
IF(_xlpm.v=0,"",_xlpm.v)
),"")</f>
        <v/>
      </c>
      <c r="H77" s="17" t="str">
        <f>IFERROR(_xlfn.LET(_xlpm.v,
VLOOKUP($A77,CS!$B:$H,COLUMN(CS!G$1),FALSE),
IF(_xlpm.v=0,"",_xlpm.v)
),"")</f>
        <v/>
      </c>
    </row>
    <row r="78" spans="1:84" outlineLevel="1" x14ac:dyDescent="0.4">
      <c r="B78" t="str">
        <f>IFERROR(_xlfn.LET(_xlpm.v,
VLOOKUP($A78,CS!$B:$H,COLUMN(CS!B$1),FALSE),
IF(_xlpm.v=0,"",_xlpm.v)
),"")</f>
        <v/>
      </c>
      <c r="C78" t="str">
        <f>IFERROR(_xlfn.LET(_xlpm.v,
VLOOKUP($A78,CS!$B:$H,COLUMN(CS!C$1),FALSE),
IF(_xlpm.v=0,"",_xlpm.v)
),"")</f>
        <v/>
      </c>
      <c r="D78" t="str">
        <f>IFERROR(_xlfn.LET(_xlpm.v,
VLOOKUP($A78,CS!$B:$H,COLUMN(CS!D$1),FALSE),
IF(_xlpm.v=0,"",_xlpm.v)
),"")</f>
        <v/>
      </c>
      <c r="E78" t="str">
        <f>IFERROR(_xlfn.LET(_xlpm.v,
VLOOKUP($A78,CS!$B:$H,COLUMN(CS!E$1),FALSE),
IF(_xlpm.v=0,"",_xlpm.v)
),"")</f>
        <v/>
      </c>
      <c r="F78" t="str">
        <f>IFERROR(_xlfn.LET(_xlpm.v,
VLOOKUP($A78,CS!$B:$H,COLUMN(CS!F$1),FALSE),
IF(_xlpm.v=0,"",_xlpm.v)
),"")</f>
        <v/>
      </c>
      <c r="G78" s="51" t="str">
        <f>IFERROR(_xlfn.LET(_xlpm.v,
VLOOKUP($A78,CS!$B:$N,COLUMN(CS!M$1),FALSE),
IF(_xlpm.v=0,"",_xlpm.v)
),"")</f>
        <v/>
      </c>
      <c r="H78" s="17" t="str">
        <f>IFERROR(_xlfn.LET(_xlpm.v,
VLOOKUP($A78,CS!$B:$H,COLUMN(CS!G$1),FALSE),
IF(_xlpm.v=0,"",_xlpm.v)
),"")</f>
        <v/>
      </c>
    </row>
    <row r="79" spans="1:84" outlineLevel="1" x14ac:dyDescent="0.4">
      <c r="B79" t="str">
        <f>IFERROR(_xlfn.LET(_xlpm.v,
VLOOKUP($A79,CS!$B:$H,COLUMN(CS!B$1),FALSE),
IF(_xlpm.v=0,"",_xlpm.v)
),"")</f>
        <v/>
      </c>
      <c r="C79" t="str">
        <f>IFERROR(_xlfn.LET(_xlpm.v,
VLOOKUP($A79,CS!$B:$H,COLUMN(CS!C$1),FALSE),
IF(_xlpm.v=0,"",_xlpm.v)
),"")</f>
        <v/>
      </c>
      <c r="D79" t="str">
        <f>IFERROR(_xlfn.LET(_xlpm.v,
VLOOKUP($A79,CS!$B:$H,COLUMN(CS!D$1),FALSE),
IF(_xlpm.v=0,"",_xlpm.v)
),"")</f>
        <v/>
      </c>
      <c r="E79" t="str">
        <f>IFERROR(_xlfn.LET(_xlpm.v,
VLOOKUP($A79,CS!$B:$H,COLUMN(CS!E$1),FALSE),
IF(_xlpm.v=0,"",_xlpm.v)
),"")</f>
        <v/>
      </c>
      <c r="F79" t="str">
        <f>IFERROR(_xlfn.LET(_xlpm.v,
VLOOKUP($A79,CS!$B:$H,COLUMN(CS!F$1),FALSE),
IF(_xlpm.v=0,"",_xlpm.v)
),"")</f>
        <v/>
      </c>
      <c r="G79" s="51" t="str">
        <f>IFERROR(_xlfn.LET(_xlpm.v,
VLOOKUP($A79,CS!$B:$N,COLUMN(CS!M$1),FALSE),
IF(_xlpm.v=0,"",_xlpm.v)
),"")</f>
        <v/>
      </c>
      <c r="H79" s="17" t="str">
        <f>IFERROR(_xlfn.LET(_xlpm.v,
VLOOKUP($A79,CS!$B:$H,COLUMN(CS!G$1),FALSE),
IF(_xlpm.v=0,"",_xlpm.v)
),"")</f>
        <v/>
      </c>
    </row>
    <row r="80" spans="1:84" outlineLevel="1" x14ac:dyDescent="0.4">
      <c r="B80" t="str">
        <f>IFERROR(_xlfn.LET(_xlpm.v,
VLOOKUP($A80,CS!$B:$H,COLUMN(CS!B$1),FALSE),
IF(_xlpm.v=0,"",_xlpm.v)
),"")</f>
        <v/>
      </c>
      <c r="C80" t="str">
        <f>IFERROR(_xlfn.LET(_xlpm.v,
VLOOKUP($A80,CS!$B:$H,COLUMN(CS!C$1),FALSE),
IF(_xlpm.v=0,"",_xlpm.v)
),"")</f>
        <v/>
      </c>
      <c r="D80" t="str">
        <f>IFERROR(_xlfn.LET(_xlpm.v,
VLOOKUP($A80,CS!$B:$H,COLUMN(CS!D$1),FALSE),
IF(_xlpm.v=0,"",_xlpm.v)
),"")</f>
        <v/>
      </c>
      <c r="E80" t="str">
        <f>IFERROR(_xlfn.LET(_xlpm.v,
VLOOKUP($A80,CS!$B:$H,COLUMN(CS!E$1),FALSE),
IF(_xlpm.v=0,"",_xlpm.v)
),"")</f>
        <v/>
      </c>
      <c r="F80" t="str">
        <f>IFERROR(_xlfn.LET(_xlpm.v,
VLOOKUP($A80,CS!$B:$H,COLUMN(CS!F$1),FALSE),
IF(_xlpm.v=0,"",_xlpm.v)
),"")</f>
        <v/>
      </c>
      <c r="G80" s="51" t="str">
        <f>IFERROR(_xlfn.LET(_xlpm.v,
VLOOKUP($A80,CS!$B:$N,COLUMN(CS!M$1),FALSE),
IF(_xlpm.v=0,"",_xlpm.v)
),"")</f>
        <v/>
      </c>
      <c r="H80" s="17" t="str">
        <f>IFERROR(_xlfn.LET(_xlpm.v,
VLOOKUP($A80,CS!$B:$H,COLUMN(CS!G$1),FALSE),
IF(_xlpm.v=0,"",_xlpm.v)
),"")</f>
        <v/>
      </c>
    </row>
    <row r="81" spans="2:8" outlineLevel="1" x14ac:dyDescent="0.4">
      <c r="B81" t="str">
        <f>IFERROR(_xlfn.LET(_xlpm.v,
VLOOKUP($A81,CS!$B:$H,COLUMN(CS!B$1),FALSE),
IF(_xlpm.v=0,"",_xlpm.v)
),"")</f>
        <v/>
      </c>
      <c r="C81" t="str">
        <f>IFERROR(_xlfn.LET(_xlpm.v,
VLOOKUP($A81,CS!$B:$H,COLUMN(CS!C$1),FALSE),
IF(_xlpm.v=0,"",_xlpm.v)
),"")</f>
        <v/>
      </c>
      <c r="D81" t="str">
        <f>IFERROR(_xlfn.LET(_xlpm.v,
VLOOKUP($A81,CS!$B:$H,COLUMN(CS!D$1),FALSE),
IF(_xlpm.v=0,"",_xlpm.v)
),"")</f>
        <v/>
      </c>
      <c r="E81" t="str">
        <f>IFERROR(_xlfn.LET(_xlpm.v,
VLOOKUP($A81,CS!$B:$H,COLUMN(CS!E$1),FALSE),
IF(_xlpm.v=0,"",_xlpm.v)
),"")</f>
        <v/>
      </c>
      <c r="F81" t="str">
        <f>IFERROR(_xlfn.LET(_xlpm.v,
VLOOKUP($A81,CS!$B:$H,COLUMN(CS!F$1),FALSE),
IF(_xlpm.v=0,"",_xlpm.v)
),"")</f>
        <v/>
      </c>
      <c r="G81" s="51" t="str">
        <f>IFERROR(_xlfn.LET(_xlpm.v,
VLOOKUP($A81,CS!$B:$N,COLUMN(CS!M$1),FALSE),
IF(_xlpm.v=0,"",_xlpm.v)
),"")</f>
        <v/>
      </c>
      <c r="H81" s="17" t="str">
        <f>IFERROR(_xlfn.LET(_xlpm.v,
VLOOKUP($A81,CS!$B:$H,COLUMN(CS!G$1),FALSE),
IF(_xlpm.v=0,"",_xlpm.v)
),"")</f>
        <v/>
      </c>
    </row>
    <row r="82" spans="2:8" outlineLevel="1" x14ac:dyDescent="0.4">
      <c r="B82" t="str">
        <f>IFERROR(_xlfn.LET(_xlpm.v,
VLOOKUP($A82,CS!$B:$H,COLUMN(CS!B$1),FALSE),
IF(_xlpm.v=0,"",_xlpm.v)
),"")</f>
        <v/>
      </c>
      <c r="C82" t="str">
        <f>IFERROR(_xlfn.LET(_xlpm.v,
VLOOKUP($A82,CS!$B:$H,COLUMN(CS!C$1),FALSE),
IF(_xlpm.v=0,"",_xlpm.v)
),"")</f>
        <v/>
      </c>
      <c r="D82" t="str">
        <f>IFERROR(_xlfn.LET(_xlpm.v,
VLOOKUP($A82,CS!$B:$H,COLUMN(CS!D$1),FALSE),
IF(_xlpm.v=0,"",_xlpm.v)
),"")</f>
        <v/>
      </c>
      <c r="E82" t="str">
        <f>IFERROR(_xlfn.LET(_xlpm.v,
VLOOKUP($A82,CS!$B:$H,COLUMN(CS!E$1),FALSE),
IF(_xlpm.v=0,"",_xlpm.v)
),"")</f>
        <v/>
      </c>
      <c r="F82" t="str">
        <f>IFERROR(_xlfn.LET(_xlpm.v,
VLOOKUP($A82,CS!$B:$H,COLUMN(CS!F$1),FALSE),
IF(_xlpm.v=0,"",_xlpm.v)
),"")</f>
        <v/>
      </c>
      <c r="G82" s="51" t="str">
        <f>IFERROR(_xlfn.LET(_xlpm.v,
VLOOKUP($A82,CS!$B:$N,COLUMN(CS!M$1),FALSE),
IF(_xlpm.v=0,"",_xlpm.v)
),"")</f>
        <v/>
      </c>
      <c r="H82" s="17" t="str">
        <f>IFERROR(_xlfn.LET(_xlpm.v,
VLOOKUP($A82,CS!$B:$H,COLUMN(CS!G$1),FALSE),
IF(_xlpm.v=0,"",_xlpm.v)
),"")</f>
        <v/>
      </c>
    </row>
    <row r="83" spans="2:8" outlineLevel="1" x14ac:dyDescent="0.4">
      <c r="B83" t="str">
        <f>IFERROR(_xlfn.LET(_xlpm.v,
VLOOKUP($A83,CS!$B:$H,COLUMN(CS!B$1),FALSE),
IF(_xlpm.v=0,"",_xlpm.v)
),"")</f>
        <v/>
      </c>
      <c r="C83" t="str">
        <f>IFERROR(_xlfn.LET(_xlpm.v,
VLOOKUP($A83,CS!$B:$H,COLUMN(CS!C$1),FALSE),
IF(_xlpm.v=0,"",_xlpm.v)
),"")</f>
        <v/>
      </c>
      <c r="D83" t="str">
        <f>IFERROR(_xlfn.LET(_xlpm.v,
VLOOKUP($A83,CS!$B:$H,COLUMN(CS!D$1),FALSE),
IF(_xlpm.v=0,"",_xlpm.v)
),"")</f>
        <v/>
      </c>
      <c r="E83" t="str">
        <f>IFERROR(_xlfn.LET(_xlpm.v,
VLOOKUP($A83,CS!$B:$H,COLUMN(CS!E$1),FALSE),
IF(_xlpm.v=0,"",_xlpm.v)
),"")</f>
        <v/>
      </c>
      <c r="F83" t="str">
        <f>IFERROR(_xlfn.LET(_xlpm.v,
VLOOKUP($A83,CS!$B:$H,COLUMN(CS!F$1),FALSE),
IF(_xlpm.v=0,"",_xlpm.v)
),"")</f>
        <v/>
      </c>
      <c r="G83" s="51" t="str">
        <f>IFERROR(_xlfn.LET(_xlpm.v,
VLOOKUP($A83,CS!$B:$N,COLUMN(CS!M$1),FALSE),
IF(_xlpm.v=0,"",_xlpm.v)
),"")</f>
        <v/>
      </c>
      <c r="H83" s="17" t="str">
        <f>IFERROR(_xlfn.LET(_xlpm.v,
VLOOKUP($A83,CS!$B:$H,COLUMN(CS!G$1),FALSE),
IF(_xlpm.v=0,"",_xlpm.v)
),"")</f>
        <v/>
      </c>
    </row>
    <row r="84" spans="2:8" outlineLevel="1" x14ac:dyDescent="0.4">
      <c r="B84" t="str">
        <f>IFERROR(_xlfn.LET(_xlpm.v,
VLOOKUP($A84,CS!$B:$H,COLUMN(CS!B$1),FALSE),
IF(_xlpm.v=0,"",_xlpm.v)
),"")</f>
        <v/>
      </c>
      <c r="C84" t="str">
        <f>IFERROR(_xlfn.LET(_xlpm.v,
VLOOKUP($A84,CS!$B:$H,COLUMN(CS!C$1),FALSE),
IF(_xlpm.v=0,"",_xlpm.v)
),"")</f>
        <v/>
      </c>
      <c r="D84" t="str">
        <f>IFERROR(_xlfn.LET(_xlpm.v,
VLOOKUP($A84,CS!$B:$H,COLUMN(CS!D$1),FALSE),
IF(_xlpm.v=0,"",_xlpm.v)
),"")</f>
        <v/>
      </c>
      <c r="E84" t="str">
        <f>IFERROR(_xlfn.LET(_xlpm.v,
VLOOKUP($A84,CS!$B:$H,COLUMN(CS!E$1),FALSE),
IF(_xlpm.v=0,"",_xlpm.v)
),"")</f>
        <v/>
      </c>
      <c r="F84" t="str">
        <f>IFERROR(_xlfn.LET(_xlpm.v,
VLOOKUP($A84,CS!$B:$H,COLUMN(CS!F$1),FALSE),
IF(_xlpm.v=0,"",_xlpm.v)
),"")</f>
        <v/>
      </c>
      <c r="G84" s="51" t="str">
        <f>IFERROR(_xlfn.LET(_xlpm.v,
VLOOKUP($A84,CS!$B:$N,COLUMN(CS!M$1),FALSE),
IF(_xlpm.v=0,"",_xlpm.v)
),"")</f>
        <v/>
      </c>
      <c r="H84" s="17" t="str">
        <f>IFERROR(_xlfn.LET(_xlpm.v,
VLOOKUP($A84,CS!$B:$H,COLUMN(CS!G$1),FALSE),
IF(_xlpm.v=0,"",_xlpm.v)
),"")</f>
        <v/>
      </c>
    </row>
    <row r="85" spans="2:8" outlineLevel="1" x14ac:dyDescent="0.4">
      <c r="B85" t="str">
        <f>IFERROR(_xlfn.LET(_xlpm.v,
VLOOKUP($A85,CS!$B:$H,COLUMN(CS!B$1),FALSE),
IF(_xlpm.v=0,"",_xlpm.v)
),"")</f>
        <v/>
      </c>
      <c r="C85" t="str">
        <f>IFERROR(_xlfn.LET(_xlpm.v,
VLOOKUP($A85,CS!$B:$H,COLUMN(CS!C$1),FALSE),
IF(_xlpm.v=0,"",_xlpm.v)
),"")</f>
        <v/>
      </c>
      <c r="D85" t="str">
        <f>IFERROR(_xlfn.LET(_xlpm.v,
VLOOKUP($A85,CS!$B:$H,COLUMN(CS!D$1),FALSE),
IF(_xlpm.v=0,"",_xlpm.v)
),"")</f>
        <v/>
      </c>
      <c r="E85" t="str">
        <f>IFERROR(_xlfn.LET(_xlpm.v,
VLOOKUP($A85,CS!$B:$H,COLUMN(CS!E$1),FALSE),
IF(_xlpm.v=0,"",_xlpm.v)
),"")</f>
        <v/>
      </c>
      <c r="F85" t="str">
        <f>IFERROR(_xlfn.LET(_xlpm.v,
VLOOKUP($A85,CS!$B:$H,COLUMN(CS!F$1),FALSE),
IF(_xlpm.v=0,"",_xlpm.v)
),"")</f>
        <v/>
      </c>
      <c r="G85" s="51" t="str">
        <f>IFERROR(_xlfn.LET(_xlpm.v,
VLOOKUP($A85,CS!$B:$N,COLUMN(CS!M$1),FALSE),
IF(_xlpm.v=0,"",_xlpm.v)
),"")</f>
        <v/>
      </c>
      <c r="H85" s="17" t="str">
        <f>IFERROR(_xlfn.LET(_xlpm.v,
VLOOKUP($A85,CS!$B:$H,COLUMN(CS!G$1),FALSE),
IF(_xlpm.v=0,"",_xlpm.v)
),"")</f>
        <v/>
      </c>
    </row>
    <row r="86" spans="2:8" outlineLevel="1" x14ac:dyDescent="0.4">
      <c r="B86" t="str">
        <f>IFERROR(_xlfn.LET(_xlpm.v,
VLOOKUP($A86,CS!$B:$H,COLUMN(CS!B$1),FALSE),
IF(_xlpm.v=0,"",_xlpm.v)
),"")</f>
        <v/>
      </c>
      <c r="C86" t="str">
        <f>IFERROR(_xlfn.LET(_xlpm.v,
VLOOKUP($A86,CS!$B:$H,COLUMN(CS!C$1),FALSE),
IF(_xlpm.v=0,"",_xlpm.v)
),"")</f>
        <v/>
      </c>
      <c r="D86" t="str">
        <f>IFERROR(_xlfn.LET(_xlpm.v,
VLOOKUP($A86,CS!$B:$H,COLUMN(CS!D$1),FALSE),
IF(_xlpm.v=0,"",_xlpm.v)
),"")</f>
        <v/>
      </c>
      <c r="E86" t="str">
        <f>IFERROR(_xlfn.LET(_xlpm.v,
VLOOKUP($A86,CS!$B:$H,COLUMN(CS!E$1),FALSE),
IF(_xlpm.v=0,"",_xlpm.v)
),"")</f>
        <v/>
      </c>
      <c r="F86" t="str">
        <f>IFERROR(_xlfn.LET(_xlpm.v,
VLOOKUP($A86,CS!$B:$H,COLUMN(CS!F$1),FALSE),
IF(_xlpm.v=0,"",_xlpm.v)
),"")</f>
        <v/>
      </c>
      <c r="G86" s="51" t="str">
        <f>IFERROR(_xlfn.LET(_xlpm.v,
VLOOKUP($A86,CS!$B:$N,COLUMN(CS!M$1),FALSE),
IF(_xlpm.v=0,"",_xlpm.v)
),"")</f>
        <v/>
      </c>
      <c r="H86" s="17" t="str">
        <f>IFERROR(_xlfn.LET(_xlpm.v,
VLOOKUP($A86,CS!$B:$H,COLUMN(CS!G$1),FALSE),
IF(_xlpm.v=0,"",_xlpm.v)
),"")</f>
        <v/>
      </c>
    </row>
    <row r="87" spans="2:8" outlineLevel="1" x14ac:dyDescent="0.4">
      <c r="B87" t="str">
        <f>IFERROR(_xlfn.LET(_xlpm.v,
VLOOKUP($A87,CS!$B:$H,COLUMN(CS!B$1),FALSE),
IF(_xlpm.v=0,"",_xlpm.v)
),"")</f>
        <v/>
      </c>
      <c r="C87" t="str">
        <f>IFERROR(_xlfn.LET(_xlpm.v,
VLOOKUP($A87,CS!$B:$H,COLUMN(CS!C$1),FALSE),
IF(_xlpm.v=0,"",_xlpm.v)
),"")</f>
        <v/>
      </c>
      <c r="D87" t="str">
        <f>IFERROR(_xlfn.LET(_xlpm.v,
VLOOKUP($A87,CS!$B:$H,COLUMN(CS!D$1),FALSE),
IF(_xlpm.v=0,"",_xlpm.v)
),"")</f>
        <v/>
      </c>
      <c r="E87" t="str">
        <f>IFERROR(_xlfn.LET(_xlpm.v,
VLOOKUP($A87,CS!$B:$H,COLUMN(CS!E$1),FALSE),
IF(_xlpm.v=0,"",_xlpm.v)
),"")</f>
        <v/>
      </c>
      <c r="F87" t="str">
        <f>IFERROR(_xlfn.LET(_xlpm.v,
VLOOKUP($A87,CS!$B:$H,COLUMN(CS!F$1),FALSE),
IF(_xlpm.v=0,"",_xlpm.v)
),"")</f>
        <v/>
      </c>
      <c r="G87" s="51" t="str">
        <f>IFERROR(_xlfn.LET(_xlpm.v,
VLOOKUP($A87,CS!$B:$N,COLUMN(CS!M$1),FALSE),
IF(_xlpm.v=0,"",_xlpm.v)
),"")</f>
        <v/>
      </c>
      <c r="H87" s="17" t="str">
        <f>IFERROR(_xlfn.LET(_xlpm.v,
VLOOKUP($A87,CS!$B:$H,COLUMN(CS!G$1),FALSE),
IF(_xlpm.v=0,"",_xlpm.v)
),"")</f>
        <v/>
      </c>
    </row>
    <row r="88" spans="2:8" outlineLevel="1" x14ac:dyDescent="0.4">
      <c r="B88" t="str">
        <f>IFERROR(_xlfn.LET(_xlpm.v,
VLOOKUP($A88,CS!$B:$H,COLUMN(CS!B$1),FALSE),
IF(_xlpm.v=0,"",_xlpm.v)
),"")</f>
        <v/>
      </c>
      <c r="C88" t="str">
        <f>IFERROR(_xlfn.LET(_xlpm.v,
VLOOKUP($A88,CS!$B:$H,COLUMN(CS!C$1),FALSE),
IF(_xlpm.v=0,"",_xlpm.v)
),"")</f>
        <v/>
      </c>
      <c r="D88" t="str">
        <f>IFERROR(_xlfn.LET(_xlpm.v,
VLOOKUP($A88,CS!$B:$H,COLUMN(CS!D$1),FALSE),
IF(_xlpm.v=0,"",_xlpm.v)
),"")</f>
        <v/>
      </c>
      <c r="E88" t="str">
        <f>IFERROR(_xlfn.LET(_xlpm.v,
VLOOKUP($A88,CS!$B:$H,COLUMN(CS!E$1),FALSE),
IF(_xlpm.v=0,"",_xlpm.v)
),"")</f>
        <v/>
      </c>
      <c r="F88" t="str">
        <f>IFERROR(_xlfn.LET(_xlpm.v,
VLOOKUP($A88,CS!$B:$H,COLUMN(CS!F$1),FALSE),
IF(_xlpm.v=0,"",_xlpm.v)
),"")</f>
        <v/>
      </c>
      <c r="G88" s="51" t="str">
        <f>IFERROR(_xlfn.LET(_xlpm.v,
VLOOKUP($A88,CS!$B:$N,COLUMN(CS!M$1),FALSE),
IF(_xlpm.v=0,"",_xlpm.v)
),"")</f>
        <v/>
      </c>
      <c r="H88" s="17" t="str">
        <f>IFERROR(_xlfn.LET(_xlpm.v,
VLOOKUP($A88,CS!$B:$H,COLUMN(CS!G$1),FALSE),
IF(_xlpm.v=0,"",_xlpm.v)
),"")</f>
        <v/>
      </c>
    </row>
    <row r="89" spans="2:8" outlineLevel="1" x14ac:dyDescent="0.4">
      <c r="B89" t="str">
        <f>IFERROR(_xlfn.LET(_xlpm.v,
VLOOKUP($A89,CS!$B:$H,COLUMN(CS!B$1),FALSE),
IF(_xlpm.v=0,"",_xlpm.v)
),"")</f>
        <v/>
      </c>
      <c r="C89" t="str">
        <f>IFERROR(_xlfn.LET(_xlpm.v,
VLOOKUP($A89,CS!$B:$H,COLUMN(CS!C$1),FALSE),
IF(_xlpm.v=0,"",_xlpm.v)
),"")</f>
        <v/>
      </c>
      <c r="D89" t="str">
        <f>IFERROR(_xlfn.LET(_xlpm.v,
VLOOKUP($A89,CS!$B:$H,COLUMN(CS!D$1),FALSE),
IF(_xlpm.v=0,"",_xlpm.v)
),"")</f>
        <v/>
      </c>
      <c r="E89" t="str">
        <f>IFERROR(_xlfn.LET(_xlpm.v,
VLOOKUP($A89,CS!$B:$H,COLUMN(CS!E$1),FALSE),
IF(_xlpm.v=0,"",_xlpm.v)
),"")</f>
        <v/>
      </c>
      <c r="F89" t="str">
        <f>IFERROR(_xlfn.LET(_xlpm.v,
VLOOKUP($A89,CS!$B:$H,COLUMN(CS!F$1),FALSE),
IF(_xlpm.v=0,"",_xlpm.v)
),"")</f>
        <v/>
      </c>
      <c r="G89" s="51" t="str">
        <f>IFERROR(_xlfn.LET(_xlpm.v,
VLOOKUP($A89,CS!$B:$N,COLUMN(CS!M$1),FALSE),
IF(_xlpm.v=0,"",_xlpm.v)
),"")</f>
        <v/>
      </c>
      <c r="H89" s="17" t="str">
        <f>IFERROR(_xlfn.LET(_xlpm.v,
VLOOKUP($A89,CS!$B:$H,COLUMN(CS!G$1),FALSE),
IF(_xlpm.v=0,"",_xlpm.v)
),"")</f>
        <v/>
      </c>
    </row>
    <row r="90" spans="2:8" outlineLevel="1" x14ac:dyDescent="0.4">
      <c r="B90" t="str">
        <f>IFERROR(_xlfn.LET(_xlpm.v,
VLOOKUP($A90,CS!$B:$H,COLUMN(CS!B$1),FALSE),
IF(_xlpm.v=0,"",_xlpm.v)
),"")</f>
        <v/>
      </c>
      <c r="C90" t="str">
        <f>IFERROR(_xlfn.LET(_xlpm.v,
VLOOKUP($A90,CS!$B:$H,COLUMN(CS!C$1),FALSE),
IF(_xlpm.v=0,"",_xlpm.v)
),"")</f>
        <v/>
      </c>
      <c r="D90" t="str">
        <f>IFERROR(_xlfn.LET(_xlpm.v,
VLOOKUP($A90,CS!$B:$H,COLUMN(CS!D$1),FALSE),
IF(_xlpm.v=0,"",_xlpm.v)
),"")</f>
        <v/>
      </c>
      <c r="E90" t="str">
        <f>IFERROR(_xlfn.LET(_xlpm.v,
VLOOKUP($A90,CS!$B:$H,COLUMN(CS!E$1),FALSE),
IF(_xlpm.v=0,"",_xlpm.v)
),"")</f>
        <v/>
      </c>
      <c r="F90" t="str">
        <f>IFERROR(_xlfn.LET(_xlpm.v,
VLOOKUP($A90,CS!$B:$H,COLUMN(CS!F$1),FALSE),
IF(_xlpm.v=0,"",_xlpm.v)
),"")</f>
        <v/>
      </c>
      <c r="G90" s="51" t="str">
        <f>IFERROR(_xlfn.LET(_xlpm.v,
VLOOKUP($A90,CS!$B:$N,COLUMN(CS!M$1),FALSE),
IF(_xlpm.v=0,"",_xlpm.v)
),"")</f>
        <v/>
      </c>
      <c r="H90" s="17" t="str">
        <f>IFERROR(_xlfn.LET(_xlpm.v,
VLOOKUP($A90,CS!$B:$H,COLUMN(CS!G$1),FALSE),
IF(_xlpm.v=0,"",_xlpm.v)
),"")</f>
        <v/>
      </c>
    </row>
    <row r="91" spans="2:8" outlineLevel="1" x14ac:dyDescent="0.4">
      <c r="B91" t="str">
        <f>IFERROR(_xlfn.LET(_xlpm.v,
VLOOKUP($A91,CS!$B:$H,COLUMN(CS!B$1),FALSE),
IF(_xlpm.v=0,"",_xlpm.v)
),"")</f>
        <v/>
      </c>
      <c r="C91" t="str">
        <f>IFERROR(_xlfn.LET(_xlpm.v,
VLOOKUP($A91,CS!$B:$H,COLUMN(CS!C$1),FALSE),
IF(_xlpm.v=0,"",_xlpm.v)
),"")</f>
        <v/>
      </c>
      <c r="D91" t="str">
        <f>IFERROR(_xlfn.LET(_xlpm.v,
VLOOKUP($A91,CS!$B:$H,COLUMN(CS!D$1),FALSE),
IF(_xlpm.v=0,"",_xlpm.v)
),"")</f>
        <v/>
      </c>
      <c r="E91" t="str">
        <f>IFERROR(_xlfn.LET(_xlpm.v,
VLOOKUP($A91,CS!$B:$H,COLUMN(CS!E$1),FALSE),
IF(_xlpm.v=0,"",_xlpm.v)
),"")</f>
        <v/>
      </c>
      <c r="F91" t="str">
        <f>IFERROR(_xlfn.LET(_xlpm.v,
VLOOKUP($A91,CS!$B:$H,COLUMN(CS!F$1),FALSE),
IF(_xlpm.v=0,"",_xlpm.v)
),"")</f>
        <v/>
      </c>
      <c r="G91" s="51" t="str">
        <f>IFERROR(_xlfn.LET(_xlpm.v,
VLOOKUP($A91,CS!$B:$N,COLUMN(CS!M$1),FALSE),
IF(_xlpm.v=0,"",_xlpm.v)
),"")</f>
        <v/>
      </c>
      <c r="H91" s="17" t="str">
        <f>IFERROR(_xlfn.LET(_xlpm.v,
VLOOKUP($A91,CS!$B:$H,COLUMN(CS!G$1),FALSE),
IF(_xlpm.v=0,"",_xlpm.v)
),"")</f>
        <v/>
      </c>
    </row>
    <row r="92" spans="2:8" outlineLevel="1" x14ac:dyDescent="0.4">
      <c r="B92" t="str">
        <f>IFERROR(_xlfn.LET(_xlpm.v,
VLOOKUP($A92,CS!$B:$H,COLUMN(CS!B$1),FALSE),
IF(_xlpm.v=0,"",_xlpm.v)
),"")</f>
        <v/>
      </c>
      <c r="C92" t="str">
        <f>IFERROR(_xlfn.LET(_xlpm.v,
VLOOKUP($A92,CS!$B:$H,COLUMN(CS!C$1),FALSE),
IF(_xlpm.v=0,"",_xlpm.v)
),"")</f>
        <v/>
      </c>
      <c r="D92" t="str">
        <f>IFERROR(_xlfn.LET(_xlpm.v,
VLOOKUP($A92,CS!$B:$H,COLUMN(CS!D$1),FALSE),
IF(_xlpm.v=0,"",_xlpm.v)
),"")</f>
        <v/>
      </c>
      <c r="E92" t="str">
        <f>IFERROR(_xlfn.LET(_xlpm.v,
VLOOKUP($A92,CS!$B:$H,COLUMN(CS!E$1),FALSE),
IF(_xlpm.v=0,"",_xlpm.v)
),"")</f>
        <v/>
      </c>
      <c r="F92" t="str">
        <f>IFERROR(_xlfn.LET(_xlpm.v,
VLOOKUP($A92,CS!$B:$H,COLUMN(CS!F$1),FALSE),
IF(_xlpm.v=0,"",_xlpm.v)
),"")</f>
        <v/>
      </c>
      <c r="G92" s="51" t="str">
        <f>IFERROR(_xlfn.LET(_xlpm.v,
VLOOKUP($A92,CS!$B:$N,COLUMN(CS!M$1),FALSE),
IF(_xlpm.v=0,"",_xlpm.v)
),"")</f>
        <v/>
      </c>
      <c r="H92" s="17" t="str">
        <f>IFERROR(_xlfn.LET(_xlpm.v,
VLOOKUP($A92,CS!$B:$H,COLUMN(CS!G$1),FALSE),
IF(_xlpm.v=0,"",_xlpm.v)
),"")</f>
        <v/>
      </c>
    </row>
    <row r="93" spans="2:8" outlineLevel="1" x14ac:dyDescent="0.4">
      <c r="B93" t="str">
        <f>IFERROR(_xlfn.LET(_xlpm.v,
VLOOKUP($A93,CS!$B:$H,COLUMN(CS!B$1),FALSE),
IF(_xlpm.v=0,"",_xlpm.v)
),"")</f>
        <v/>
      </c>
      <c r="C93" t="str">
        <f>IFERROR(_xlfn.LET(_xlpm.v,
VLOOKUP($A93,CS!$B:$H,COLUMN(CS!C$1),FALSE),
IF(_xlpm.v=0,"",_xlpm.v)
),"")</f>
        <v/>
      </c>
      <c r="D93" t="str">
        <f>IFERROR(_xlfn.LET(_xlpm.v,
VLOOKUP($A93,CS!$B:$H,COLUMN(CS!D$1),FALSE),
IF(_xlpm.v=0,"",_xlpm.v)
),"")</f>
        <v/>
      </c>
      <c r="E93" t="str">
        <f>IFERROR(_xlfn.LET(_xlpm.v,
VLOOKUP($A93,CS!$B:$H,COLUMN(CS!E$1),FALSE),
IF(_xlpm.v=0,"",_xlpm.v)
),"")</f>
        <v/>
      </c>
      <c r="F93" t="str">
        <f>IFERROR(_xlfn.LET(_xlpm.v,
VLOOKUP($A93,CS!$B:$H,COLUMN(CS!F$1),FALSE),
IF(_xlpm.v=0,"",_xlpm.v)
),"")</f>
        <v/>
      </c>
      <c r="G93" s="51" t="str">
        <f>IFERROR(_xlfn.LET(_xlpm.v,
VLOOKUP($A93,CS!$B:$N,COLUMN(CS!M$1),FALSE),
IF(_xlpm.v=0,"",_xlpm.v)
),"")</f>
        <v/>
      </c>
      <c r="H93" s="17" t="str">
        <f>IFERROR(_xlfn.LET(_xlpm.v,
VLOOKUP($A93,CS!$B:$H,COLUMN(CS!G$1),FALSE),
IF(_xlpm.v=0,"",_xlpm.v)
),"")</f>
        <v/>
      </c>
    </row>
    <row r="94" spans="2:8" outlineLevel="1" x14ac:dyDescent="0.4">
      <c r="B94" t="str">
        <f>IFERROR(_xlfn.LET(_xlpm.v,
VLOOKUP($A94,CS!$B:$H,COLUMN(CS!B$1),FALSE),
IF(_xlpm.v=0,"",_xlpm.v)
),"")</f>
        <v/>
      </c>
      <c r="C94" t="str">
        <f>IFERROR(_xlfn.LET(_xlpm.v,
VLOOKUP($A94,CS!$B:$H,COLUMN(CS!C$1),FALSE),
IF(_xlpm.v=0,"",_xlpm.v)
),"")</f>
        <v/>
      </c>
      <c r="D94" t="str">
        <f>IFERROR(_xlfn.LET(_xlpm.v,
VLOOKUP($A94,CS!$B:$H,COLUMN(CS!D$1),FALSE),
IF(_xlpm.v=0,"",_xlpm.v)
),"")</f>
        <v/>
      </c>
      <c r="E94" t="str">
        <f>IFERROR(_xlfn.LET(_xlpm.v,
VLOOKUP($A94,CS!$B:$H,COLUMN(CS!E$1),FALSE),
IF(_xlpm.v=0,"",_xlpm.v)
),"")</f>
        <v/>
      </c>
      <c r="F94" t="str">
        <f>IFERROR(_xlfn.LET(_xlpm.v,
VLOOKUP($A94,CS!$B:$H,COLUMN(CS!F$1),FALSE),
IF(_xlpm.v=0,"",_xlpm.v)
),"")</f>
        <v/>
      </c>
      <c r="G94" s="51" t="str">
        <f>IFERROR(_xlfn.LET(_xlpm.v,
VLOOKUP($A94,CS!$B:$N,COLUMN(CS!M$1),FALSE),
IF(_xlpm.v=0,"",_xlpm.v)
),"")</f>
        <v/>
      </c>
      <c r="H94" s="17" t="str">
        <f>IFERROR(_xlfn.LET(_xlpm.v,
VLOOKUP($A94,CS!$B:$H,COLUMN(CS!G$1),FALSE),
IF(_xlpm.v=0,"",_xlpm.v)
),"")</f>
        <v/>
      </c>
    </row>
    <row r="95" spans="2:8" outlineLevel="1" x14ac:dyDescent="0.4">
      <c r="B95" t="str">
        <f>IFERROR(_xlfn.LET(_xlpm.v,
VLOOKUP($A95,CS!$B:$H,COLUMN(CS!B$1),FALSE),
IF(_xlpm.v=0,"",_xlpm.v)
),"")</f>
        <v/>
      </c>
      <c r="C95" t="str">
        <f>IFERROR(_xlfn.LET(_xlpm.v,
VLOOKUP($A95,CS!$B:$H,COLUMN(CS!C$1),FALSE),
IF(_xlpm.v=0,"",_xlpm.v)
),"")</f>
        <v/>
      </c>
      <c r="D95" t="str">
        <f>IFERROR(_xlfn.LET(_xlpm.v,
VLOOKUP($A95,CS!$B:$H,COLUMN(CS!D$1),FALSE),
IF(_xlpm.v=0,"",_xlpm.v)
),"")</f>
        <v/>
      </c>
      <c r="E95" t="str">
        <f>IFERROR(_xlfn.LET(_xlpm.v,
VLOOKUP($A95,CS!$B:$H,COLUMN(CS!E$1),FALSE),
IF(_xlpm.v=0,"",_xlpm.v)
),"")</f>
        <v/>
      </c>
      <c r="F95" t="str">
        <f>IFERROR(_xlfn.LET(_xlpm.v,
VLOOKUP($A95,CS!$B:$H,COLUMN(CS!F$1),FALSE),
IF(_xlpm.v=0,"",_xlpm.v)
),"")</f>
        <v/>
      </c>
      <c r="G95" s="51" t="str">
        <f>IFERROR(_xlfn.LET(_xlpm.v,
VLOOKUP($A95,CS!$B:$N,COLUMN(CS!M$1),FALSE),
IF(_xlpm.v=0,"",_xlpm.v)
),"")</f>
        <v/>
      </c>
      <c r="H95" s="17" t="str">
        <f>IFERROR(_xlfn.LET(_xlpm.v,
VLOOKUP($A95,CS!$B:$H,COLUMN(CS!G$1),FALSE),
IF(_xlpm.v=0,"",_xlpm.v)
),"")</f>
        <v/>
      </c>
    </row>
    <row r="96" spans="2:8" outlineLevel="1" x14ac:dyDescent="0.4">
      <c r="B96" t="str">
        <f>IFERROR(_xlfn.LET(_xlpm.v,
VLOOKUP($A96,CS!$B:$H,COLUMN(CS!B$1),FALSE),
IF(_xlpm.v=0,"",_xlpm.v)
),"")</f>
        <v/>
      </c>
      <c r="C96" t="str">
        <f>IFERROR(_xlfn.LET(_xlpm.v,
VLOOKUP($A96,CS!$B:$H,COLUMN(CS!C$1),FALSE),
IF(_xlpm.v=0,"",_xlpm.v)
),"")</f>
        <v/>
      </c>
      <c r="D96" t="str">
        <f>IFERROR(_xlfn.LET(_xlpm.v,
VLOOKUP($A96,CS!$B:$H,COLUMN(CS!D$1),FALSE),
IF(_xlpm.v=0,"",_xlpm.v)
),"")</f>
        <v/>
      </c>
      <c r="E96" t="str">
        <f>IFERROR(_xlfn.LET(_xlpm.v,
VLOOKUP($A96,CS!$B:$H,COLUMN(CS!E$1),FALSE),
IF(_xlpm.v=0,"",_xlpm.v)
),"")</f>
        <v/>
      </c>
      <c r="F96" t="str">
        <f>IFERROR(_xlfn.LET(_xlpm.v,
VLOOKUP($A96,CS!$B:$H,COLUMN(CS!F$1),FALSE),
IF(_xlpm.v=0,"",_xlpm.v)
),"")</f>
        <v/>
      </c>
      <c r="G96" s="51" t="str">
        <f>IFERROR(_xlfn.LET(_xlpm.v,
VLOOKUP($A96,CS!$B:$N,COLUMN(CS!M$1),FALSE),
IF(_xlpm.v=0,"",_xlpm.v)
),"")</f>
        <v/>
      </c>
      <c r="H96" s="17" t="str">
        <f>IFERROR(_xlfn.LET(_xlpm.v,
VLOOKUP($A96,CS!$B:$H,COLUMN(CS!G$1),FALSE),
IF(_xlpm.v=0,"",_xlpm.v)
),"")</f>
        <v/>
      </c>
    </row>
    <row r="97" spans="2:8" outlineLevel="1" x14ac:dyDescent="0.4">
      <c r="B97" t="str">
        <f>IFERROR(_xlfn.LET(_xlpm.v,
VLOOKUP($A97,CS!$B:$H,COLUMN(CS!B$1),FALSE),
IF(_xlpm.v=0,"",_xlpm.v)
),"")</f>
        <v/>
      </c>
      <c r="C97" t="str">
        <f>IFERROR(_xlfn.LET(_xlpm.v,
VLOOKUP($A97,CS!$B:$H,COLUMN(CS!C$1),FALSE),
IF(_xlpm.v=0,"",_xlpm.v)
),"")</f>
        <v/>
      </c>
      <c r="D97" t="str">
        <f>IFERROR(_xlfn.LET(_xlpm.v,
VLOOKUP($A97,CS!$B:$H,COLUMN(CS!D$1),FALSE),
IF(_xlpm.v=0,"",_xlpm.v)
),"")</f>
        <v/>
      </c>
      <c r="E97" t="str">
        <f>IFERROR(_xlfn.LET(_xlpm.v,
VLOOKUP($A97,CS!$B:$H,COLUMN(CS!E$1),FALSE),
IF(_xlpm.v=0,"",_xlpm.v)
),"")</f>
        <v/>
      </c>
      <c r="F97" t="str">
        <f>IFERROR(_xlfn.LET(_xlpm.v,
VLOOKUP($A97,CS!$B:$H,COLUMN(CS!F$1),FALSE),
IF(_xlpm.v=0,"",_xlpm.v)
),"")</f>
        <v/>
      </c>
      <c r="G97" s="51" t="str">
        <f>IFERROR(_xlfn.LET(_xlpm.v,
VLOOKUP($A97,CS!$B:$N,COLUMN(CS!M$1),FALSE),
IF(_xlpm.v=0,"",_xlpm.v)
),"")</f>
        <v/>
      </c>
      <c r="H97" s="17" t="str">
        <f>IFERROR(_xlfn.LET(_xlpm.v,
VLOOKUP($A97,CS!$B:$H,COLUMN(CS!G$1),FALSE),
IF(_xlpm.v=0,"",_xlpm.v)
),"")</f>
        <v/>
      </c>
    </row>
    <row r="98" spans="2:8" outlineLevel="1" x14ac:dyDescent="0.4">
      <c r="B98" t="str">
        <f>IFERROR(_xlfn.LET(_xlpm.v,
VLOOKUP($A98,CS!$B:$H,COLUMN(CS!B$1),FALSE),
IF(_xlpm.v=0,"",_xlpm.v)
),"")</f>
        <v/>
      </c>
      <c r="C98" t="str">
        <f>IFERROR(_xlfn.LET(_xlpm.v,
VLOOKUP($A98,CS!$B:$H,COLUMN(CS!C$1),FALSE),
IF(_xlpm.v=0,"",_xlpm.v)
),"")</f>
        <v/>
      </c>
      <c r="D98" t="str">
        <f>IFERROR(_xlfn.LET(_xlpm.v,
VLOOKUP($A98,CS!$B:$H,COLUMN(CS!D$1),FALSE),
IF(_xlpm.v=0,"",_xlpm.v)
),"")</f>
        <v/>
      </c>
      <c r="E98" t="str">
        <f>IFERROR(_xlfn.LET(_xlpm.v,
VLOOKUP($A98,CS!$B:$H,COLUMN(CS!E$1),FALSE),
IF(_xlpm.v=0,"",_xlpm.v)
),"")</f>
        <v/>
      </c>
      <c r="F98" t="str">
        <f>IFERROR(_xlfn.LET(_xlpm.v,
VLOOKUP($A98,CS!$B:$H,COLUMN(CS!F$1),FALSE),
IF(_xlpm.v=0,"",_xlpm.v)
),"")</f>
        <v/>
      </c>
      <c r="G98" s="51" t="str">
        <f>IFERROR(_xlfn.LET(_xlpm.v,
VLOOKUP($A98,CS!$B:$N,COLUMN(CS!M$1),FALSE),
IF(_xlpm.v=0,"",_xlpm.v)
),"")</f>
        <v/>
      </c>
      <c r="H98" s="17" t="str">
        <f>IFERROR(_xlfn.LET(_xlpm.v,
VLOOKUP($A98,CS!$B:$H,COLUMN(CS!G$1),FALSE),
IF(_xlpm.v=0,"",_xlpm.v)
),"")</f>
        <v/>
      </c>
    </row>
    <row r="99" spans="2:8" outlineLevel="1" x14ac:dyDescent="0.4">
      <c r="B99" t="str">
        <f>IFERROR(_xlfn.LET(_xlpm.v,
VLOOKUP($A99,CS!$B:$H,COLUMN(CS!B$1),FALSE),
IF(_xlpm.v=0,"",_xlpm.v)
),"")</f>
        <v/>
      </c>
      <c r="C99" t="str">
        <f>IFERROR(_xlfn.LET(_xlpm.v,
VLOOKUP($A99,CS!$B:$H,COLUMN(CS!C$1),FALSE),
IF(_xlpm.v=0,"",_xlpm.v)
),"")</f>
        <v/>
      </c>
      <c r="D99" t="str">
        <f>IFERROR(_xlfn.LET(_xlpm.v,
VLOOKUP($A99,CS!$B:$H,COLUMN(CS!D$1),FALSE),
IF(_xlpm.v=0,"",_xlpm.v)
),"")</f>
        <v/>
      </c>
      <c r="E99" t="str">
        <f>IFERROR(_xlfn.LET(_xlpm.v,
VLOOKUP($A99,CS!$B:$H,COLUMN(CS!E$1),FALSE),
IF(_xlpm.v=0,"",_xlpm.v)
),"")</f>
        <v/>
      </c>
      <c r="F99" t="str">
        <f>IFERROR(_xlfn.LET(_xlpm.v,
VLOOKUP($A99,CS!$B:$H,COLUMN(CS!F$1),FALSE),
IF(_xlpm.v=0,"",_xlpm.v)
),"")</f>
        <v/>
      </c>
      <c r="G99" s="51" t="str">
        <f>IFERROR(_xlfn.LET(_xlpm.v,
VLOOKUP($A99,CS!$B:$N,COLUMN(CS!M$1),FALSE),
IF(_xlpm.v=0,"",_xlpm.v)
),"")</f>
        <v/>
      </c>
      <c r="H99" s="17" t="str">
        <f>IFERROR(_xlfn.LET(_xlpm.v,
VLOOKUP($A99,CS!$B:$H,COLUMN(CS!G$1),FALSE),
IF(_xlpm.v=0,"",_xlpm.v)
),"")</f>
        <v/>
      </c>
    </row>
    <row r="100" spans="2:8" outlineLevel="1" x14ac:dyDescent="0.4">
      <c r="B100" t="str">
        <f>IFERROR(_xlfn.LET(_xlpm.v,
VLOOKUP($A100,CS!$B:$H,COLUMN(CS!B$1),FALSE),
IF(_xlpm.v=0,"",_xlpm.v)
),"")</f>
        <v/>
      </c>
      <c r="C100" t="str">
        <f>IFERROR(_xlfn.LET(_xlpm.v,
VLOOKUP($A100,CS!$B:$H,COLUMN(CS!C$1),FALSE),
IF(_xlpm.v=0,"",_xlpm.v)
),"")</f>
        <v/>
      </c>
      <c r="D100" t="str">
        <f>IFERROR(_xlfn.LET(_xlpm.v,
VLOOKUP($A100,CS!$B:$H,COLUMN(CS!D$1),FALSE),
IF(_xlpm.v=0,"",_xlpm.v)
),"")</f>
        <v/>
      </c>
      <c r="E100" t="str">
        <f>IFERROR(_xlfn.LET(_xlpm.v,
VLOOKUP($A100,CS!$B:$H,COLUMN(CS!E$1),FALSE),
IF(_xlpm.v=0,"",_xlpm.v)
),"")</f>
        <v/>
      </c>
      <c r="F100" t="str">
        <f>IFERROR(_xlfn.LET(_xlpm.v,
VLOOKUP($A100,CS!$B:$H,COLUMN(CS!F$1),FALSE),
IF(_xlpm.v=0,"",_xlpm.v)
),"")</f>
        <v/>
      </c>
      <c r="G100" s="51" t="str">
        <f>IFERROR(_xlfn.LET(_xlpm.v,
VLOOKUP($A100,CS!$B:$N,COLUMN(CS!M$1),FALSE),
IF(_xlpm.v=0,"",_xlpm.v)
),"")</f>
        <v/>
      </c>
      <c r="H100" s="17" t="str">
        <f>IFERROR(_xlfn.LET(_xlpm.v,
VLOOKUP($A100,CS!$B:$H,COLUMN(CS!G$1),FALSE),
IF(_xlpm.v=0,"",_xlpm.v)
),"")</f>
        <v/>
      </c>
    </row>
  </sheetData>
  <autoFilter ref="A3:CM100" xr:uid="{5691C196-6ACB-43D4-A2AD-35AA78DAEC1F}"/>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1DC3-EB40-4465-95A0-E8BC1B5A424B}">
  <sheetPr codeName="Sheet6">
    <tabColor theme="5" tint="0.79998168889431442"/>
  </sheetPr>
  <dimension ref="A1:C19"/>
  <sheetViews>
    <sheetView workbookViewId="0">
      <selection activeCell="A19" sqref="A19:C19"/>
    </sheetView>
  </sheetViews>
  <sheetFormatPr defaultRowHeight="18.75" x14ac:dyDescent="0.4"/>
  <cols>
    <col min="2" max="2" width="41.375" style="17" customWidth="1"/>
    <col min="3" max="3" width="10.625" customWidth="1"/>
  </cols>
  <sheetData>
    <row r="1" spans="1:3" x14ac:dyDescent="0.4">
      <c r="A1" t="s">
        <v>337</v>
      </c>
      <c r="B1" s="17" t="s">
        <v>81</v>
      </c>
      <c r="C1" t="s">
        <v>1795</v>
      </c>
    </row>
    <row r="2" spans="1:3" x14ac:dyDescent="0.4">
      <c r="A2" t="s">
        <v>326</v>
      </c>
      <c r="B2" s="17" t="s">
        <v>338</v>
      </c>
      <c r="C2" t="s">
        <v>1796</v>
      </c>
    </row>
    <row r="3" spans="1:3" x14ac:dyDescent="0.4">
      <c r="A3" t="s">
        <v>327</v>
      </c>
      <c r="B3" s="17" t="s">
        <v>339</v>
      </c>
      <c r="C3" t="s">
        <v>1797</v>
      </c>
    </row>
    <row r="4" spans="1:3" x14ac:dyDescent="0.4">
      <c r="A4" t="s">
        <v>328</v>
      </c>
      <c r="B4" s="17" t="s">
        <v>340</v>
      </c>
      <c r="C4" t="s">
        <v>1798</v>
      </c>
    </row>
    <row r="5" spans="1:3" x14ac:dyDescent="0.4">
      <c r="A5" t="s">
        <v>329</v>
      </c>
      <c r="B5" s="17" t="s">
        <v>343</v>
      </c>
      <c r="C5" t="s">
        <v>1799</v>
      </c>
    </row>
    <row r="6" spans="1:3" ht="37.5" x14ac:dyDescent="0.4">
      <c r="A6" t="s">
        <v>330</v>
      </c>
      <c r="B6" s="17" t="s">
        <v>344</v>
      </c>
      <c r="C6" t="s">
        <v>1800</v>
      </c>
    </row>
    <row r="7" spans="1:3" x14ac:dyDescent="0.4">
      <c r="A7" t="s">
        <v>331</v>
      </c>
      <c r="B7" s="17" t="s">
        <v>345</v>
      </c>
      <c r="C7" t="s">
        <v>1801</v>
      </c>
    </row>
    <row r="8" spans="1:3" x14ac:dyDescent="0.4">
      <c r="A8" t="s">
        <v>346</v>
      </c>
      <c r="B8" s="17" t="s">
        <v>347</v>
      </c>
      <c r="C8" t="s">
        <v>1797</v>
      </c>
    </row>
    <row r="9" spans="1:3" x14ac:dyDescent="0.4">
      <c r="A9" t="s">
        <v>1229</v>
      </c>
      <c r="B9" s="17" t="s">
        <v>342</v>
      </c>
      <c r="C9" t="s">
        <v>1802</v>
      </c>
    </row>
    <row r="11" spans="1:3" x14ac:dyDescent="0.4">
      <c r="A11" t="s">
        <v>333</v>
      </c>
      <c r="C11" t="s">
        <v>1802</v>
      </c>
    </row>
    <row r="12" spans="1:3" x14ac:dyDescent="0.4">
      <c r="A12" t="s">
        <v>334</v>
      </c>
      <c r="C12" t="s">
        <v>1802</v>
      </c>
    </row>
    <row r="13" spans="1:3" x14ac:dyDescent="0.4">
      <c r="A13" t="s">
        <v>335</v>
      </c>
      <c r="C13" t="s">
        <v>1802</v>
      </c>
    </row>
    <row r="14" spans="1:3" x14ac:dyDescent="0.4">
      <c r="A14" t="s">
        <v>336</v>
      </c>
      <c r="C14" t="s">
        <v>1802</v>
      </c>
    </row>
    <row r="15" spans="1:3" x14ac:dyDescent="0.4">
      <c r="A15" t="s">
        <v>317</v>
      </c>
      <c r="B15" s="17" t="s">
        <v>1803</v>
      </c>
      <c r="C15" t="s">
        <v>1798</v>
      </c>
    </row>
    <row r="16" spans="1:3" x14ac:dyDescent="0.4">
      <c r="A16" t="s">
        <v>1314</v>
      </c>
      <c r="B16" s="17" t="s">
        <v>1804</v>
      </c>
      <c r="C16" t="s">
        <v>1798</v>
      </c>
    </row>
    <row r="17" spans="1:3" x14ac:dyDescent="0.4">
      <c r="A17" t="s">
        <v>1318</v>
      </c>
      <c r="B17" s="17" t="s">
        <v>1805</v>
      </c>
      <c r="C17" t="s">
        <v>1797</v>
      </c>
    </row>
    <row r="18" spans="1:3" x14ac:dyDescent="0.4">
      <c r="A18" t="s">
        <v>1317</v>
      </c>
      <c r="B18" s="17" t="s">
        <v>1806</v>
      </c>
      <c r="C18" t="s">
        <v>1799</v>
      </c>
    </row>
    <row r="19" spans="1:3" x14ac:dyDescent="0.4">
      <c r="A19" t="s">
        <v>1319</v>
      </c>
      <c r="B19" s="17" t="s">
        <v>1807</v>
      </c>
      <c r="C19" t="s">
        <v>1799</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1F59-B7C8-449A-B606-185F3D4507C4}">
  <sheetPr codeName="Sheet7">
    <tabColor theme="5" tint="0.79998168889431442"/>
  </sheetPr>
  <dimension ref="A1:B70"/>
  <sheetViews>
    <sheetView workbookViewId="0"/>
  </sheetViews>
  <sheetFormatPr defaultRowHeight="18.75" x14ac:dyDescent="0.4"/>
  <cols>
    <col min="1" max="1" width="12.75" bestFit="1" customWidth="1"/>
    <col min="2" max="2" width="40.25" style="17" customWidth="1"/>
  </cols>
  <sheetData>
    <row r="1" spans="1:2" x14ac:dyDescent="0.4">
      <c r="A1" t="s">
        <v>372</v>
      </c>
      <c r="B1" s="17" t="s">
        <v>81</v>
      </c>
    </row>
    <row r="2" spans="1:2" ht="37.5" x14ac:dyDescent="0.4">
      <c r="A2" t="s">
        <v>332</v>
      </c>
      <c r="B2" s="17" t="s">
        <v>341</v>
      </c>
    </row>
    <row r="3" spans="1:2" ht="37.5" x14ac:dyDescent="0.4">
      <c r="A3" t="s">
        <v>369</v>
      </c>
      <c r="B3" s="17" t="s">
        <v>373</v>
      </c>
    </row>
    <row r="4" spans="1:2" x14ac:dyDescent="0.4">
      <c r="A4" t="s">
        <v>348</v>
      </c>
      <c r="B4" s="17" t="s">
        <v>374</v>
      </c>
    </row>
    <row r="5" spans="1:2" ht="37.5" x14ac:dyDescent="0.4">
      <c r="A5" t="s">
        <v>371</v>
      </c>
      <c r="B5" s="17" t="s">
        <v>375</v>
      </c>
    </row>
    <row r="6" spans="1:2" x14ac:dyDescent="0.4">
      <c r="A6" t="s">
        <v>368</v>
      </c>
      <c r="B6" s="17" t="s">
        <v>376</v>
      </c>
    </row>
    <row r="7" spans="1:2" x14ac:dyDescent="0.4">
      <c r="A7" t="s">
        <v>349</v>
      </c>
      <c r="B7" s="17" t="s">
        <v>377</v>
      </c>
    </row>
    <row r="8" spans="1:2" x14ac:dyDescent="0.4">
      <c r="A8" t="s">
        <v>350</v>
      </c>
      <c r="B8" s="17" t="s">
        <v>378</v>
      </c>
    </row>
    <row r="9" spans="1:2" x14ac:dyDescent="0.4">
      <c r="A9" t="s">
        <v>351</v>
      </c>
      <c r="B9" s="17" t="s">
        <v>379</v>
      </c>
    </row>
    <row r="10" spans="1:2" x14ac:dyDescent="0.4">
      <c r="A10" t="s">
        <v>352</v>
      </c>
      <c r="B10" s="17" t="s">
        <v>380</v>
      </c>
    </row>
    <row r="11" spans="1:2" x14ac:dyDescent="0.4">
      <c r="A11" t="s">
        <v>353</v>
      </c>
      <c r="B11" s="17" t="s">
        <v>381</v>
      </c>
    </row>
    <row r="12" spans="1:2" x14ac:dyDescent="0.4">
      <c r="A12" t="s">
        <v>354</v>
      </c>
      <c r="B12" s="17" t="s">
        <v>382</v>
      </c>
    </row>
    <row r="13" spans="1:2" x14ac:dyDescent="0.4">
      <c r="A13" t="s">
        <v>355</v>
      </c>
      <c r="B13" s="17" t="s">
        <v>383</v>
      </c>
    </row>
    <row r="14" spans="1:2" x14ac:dyDescent="0.4">
      <c r="A14" t="s">
        <v>356</v>
      </c>
      <c r="B14" s="17" t="s">
        <v>384</v>
      </c>
    </row>
    <row r="15" spans="1:2" x14ac:dyDescent="0.4">
      <c r="A15" t="s">
        <v>357</v>
      </c>
      <c r="B15" s="17" t="s">
        <v>392</v>
      </c>
    </row>
    <row r="16" spans="1:2" x14ac:dyDescent="0.4">
      <c r="A16" t="s">
        <v>100</v>
      </c>
      <c r="B16" s="17" t="s">
        <v>389</v>
      </c>
    </row>
    <row r="17" spans="1:2" x14ac:dyDescent="0.4">
      <c r="A17" t="s">
        <v>358</v>
      </c>
      <c r="B17" s="17" t="s">
        <v>390</v>
      </c>
    </row>
    <row r="18" spans="1:2" x14ac:dyDescent="0.4">
      <c r="A18" t="s">
        <v>360</v>
      </c>
      <c r="B18" s="17" t="s">
        <v>391</v>
      </c>
    </row>
    <row r="19" spans="1:2" x14ac:dyDescent="0.4">
      <c r="A19" t="s">
        <v>359</v>
      </c>
      <c r="B19" s="17" t="s">
        <v>385</v>
      </c>
    </row>
    <row r="20" spans="1:2" x14ac:dyDescent="0.4">
      <c r="A20" t="s">
        <v>361</v>
      </c>
      <c r="B20" s="17" t="s">
        <v>393</v>
      </c>
    </row>
    <row r="21" spans="1:2" x14ac:dyDescent="0.4">
      <c r="A21" t="s">
        <v>362</v>
      </c>
      <c r="B21" s="17" t="s">
        <v>394</v>
      </c>
    </row>
    <row r="22" spans="1:2" ht="56.25" x14ac:dyDescent="0.4">
      <c r="A22" t="s">
        <v>363</v>
      </c>
      <c r="B22" s="17" t="s">
        <v>395</v>
      </c>
    </row>
    <row r="23" spans="1:2" ht="37.5" x14ac:dyDescent="0.4">
      <c r="A23" t="s">
        <v>364</v>
      </c>
      <c r="B23" s="17" t="s">
        <v>386</v>
      </c>
    </row>
    <row r="24" spans="1:2" x14ac:dyDescent="0.4">
      <c r="A24" t="s">
        <v>123</v>
      </c>
      <c r="B24" s="17" t="s">
        <v>396</v>
      </c>
    </row>
    <row r="25" spans="1:2" ht="37.5" x14ac:dyDescent="0.4">
      <c r="A25" t="s">
        <v>365</v>
      </c>
      <c r="B25" s="17" t="s">
        <v>397</v>
      </c>
    </row>
    <row r="26" spans="1:2" x14ac:dyDescent="0.4">
      <c r="A26" t="s">
        <v>366</v>
      </c>
      <c r="B26" s="17" t="s">
        <v>387</v>
      </c>
    </row>
    <row r="27" spans="1:2" ht="37.5" x14ac:dyDescent="0.4">
      <c r="A27" t="s">
        <v>367</v>
      </c>
      <c r="B27" s="17" t="s">
        <v>398</v>
      </c>
    </row>
    <row r="28" spans="1:2" x14ac:dyDescent="0.4">
      <c r="A28" t="s">
        <v>370</v>
      </c>
      <c r="B28" s="17" t="s">
        <v>388</v>
      </c>
    </row>
    <row r="30" spans="1:2" x14ac:dyDescent="0.4">
      <c r="A30" t="s">
        <v>419</v>
      </c>
      <c r="B30" s="17" t="s">
        <v>399</v>
      </c>
    </row>
    <row r="31" spans="1:2" x14ac:dyDescent="0.4">
      <c r="A31" t="s">
        <v>400</v>
      </c>
      <c r="B31" s="17" t="s">
        <v>401</v>
      </c>
    </row>
    <row r="32" spans="1:2" x14ac:dyDescent="0.4">
      <c r="A32" t="s">
        <v>402</v>
      </c>
      <c r="B32" s="17" t="s">
        <v>403</v>
      </c>
    </row>
    <row r="33" spans="1:2" x14ac:dyDescent="0.4">
      <c r="A33" t="s">
        <v>404</v>
      </c>
      <c r="B33" s="17" t="s">
        <v>405</v>
      </c>
    </row>
    <row r="34" spans="1:2" x14ac:dyDescent="0.4">
      <c r="A34" t="s">
        <v>277</v>
      </c>
      <c r="B34" s="17" t="s">
        <v>406</v>
      </c>
    </row>
    <row r="35" spans="1:2" x14ac:dyDescent="0.4">
      <c r="A35" t="s">
        <v>407</v>
      </c>
      <c r="B35" s="17" t="s">
        <v>408</v>
      </c>
    </row>
    <row r="37" spans="1:2" x14ac:dyDescent="0.4">
      <c r="A37" t="s">
        <v>411</v>
      </c>
      <c r="B37" s="17" t="s">
        <v>412</v>
      </c>
    </row>
    <row r="38" spans="1:2" x14ac:dyDescent="0.4">
      <c r="A38" t="s">
        <v>409</v>
      </c>
      <c r="B38" s="17" t="s">
        <v>410</v>
      </c>
    </row>
    <row r="39" spans="1:2" x14ac:dyDescent="0.4">
      <c r="A39" t="s">
        <v>413</v>
      </c>
      <c r="B39" s="17" t="s">
        <v>414</v>
      </c>
    </row>
    <row r="41" spans="1:2" ht="37.5" x14ac:dyDescent="0.4">
      <c r="A41" t="s">
        <v>415</v>
      </c>
      <c r="B41" s="17" t="s">
        <v>416</v>
      </c>
    </row>
    <row r="42" spans="1:2" x14ac:dyDescent="0.4">
      <c r="A42" t="s">
        <v>417</v>
      </c>
      <c r="B42" s="17" t="s">
        <v>418</v>
      </c>
    </row>
    <row r="46" spans="1:2" x14ac:dyDescent="0.4">
      <c r="A46" t="s">
        <v>421</v>
      </c>
      <c r="B46" s="17" t="s">
        <v>422</v>
      </c>
    </row>
    <row r="47" spans="1:2" x14ac:dyDescent="0.4">
      <c r="A47" t="s">
        <v>420</v>
      </c>
      <c r="B47" s="17" t="s">
        <v>423</v>
      </c>
    </row>
    <row r="48" spans="1:2" ht="37.5" x14ac:dyDescent="0.4">
      <c r="A48" t="s">
        <v>424</v>
      </c>
      <c r="B48" s="17" t="s">
        <v>425</v>
      </c>
    </row>
    <row r="49" spans="1:2" x14ac:dyDescent="0.4">
      <c r="A49" t="s">
        <v>426</v>
      </c>
      <c r="B49" s="17" t="s">
        <v>427</v>
      </c>
    </row>
    <row r="50" spans="1:2" x14ac:dyDescent="0.4">
      <c r="A50" t="s">
        <v>428</v>
      </c>
      <c r="B50" s="17" t="s">
        <v>429</v>
      </c>
    </row>
    <row r="51" spans="1:2" x14ac:dyDescent="0.4">
      <c r="A51" t="s">
        <v>430</v>
      </c>
      <c r="B51" s="17" t="s">
        <v>431</v>
      </c>
    </row>
    <row r="52" spans="1:2" x14ac:dyDescent="0.4">
      <c r="A52" t="s">
        <v>432</v>
      </c>
      <c r="B52" s="17" t="s">
        <v>433</v>
      </c>
    </row>
    <row r="53" spans="1:2" ht="37.5" x14ac:dyDescent="0.4">
      <c r="A53" t="s">
        <v>434</v>
      </c>
      <c r="B53" s="17" t="s">
        <v>435</v>
      </c>
    </row>
    <row r="54" spans="1:2" ht="37.5" x14ac:dyDescent="0.4">
      <c r="A54" t="s">
        <v>436</v>
      </c>
      <c r="B54" s="17" t="s">
        <v>437</v>
      </c>
    </row>
    <row r="55" spans="1:2" x14ac:dyDescent="0.4">
      <c r="A55" t="s">
        <v>438</v>
      </c>
      <c r="B55" s="17" t="s">
        <v>439</v>
      </c>
    </row>
    <row r="56" spans="1:2" x14ac:dyDescent="0.4">
      <c r="A56" t="s">
        <v>440</v>
      </c>
      <c r="B56" s="17" t="s">
        <v>441</v>
      </c>
    </row>
    <row r="57" spans="1:2" x14ac:dyDescent="0.4">
      <c r="A57" t="s">
        <v>442</v>
      </c>
      <c r="B57" s="17" t="s">
        <v>443</v>
      </c>
    </row>
    <row r="58" spans="1:2" x14ac:dyDescent="0.4">
      <c r="A58" t="s">
        <v>444</v>
      </c>
      <c r="B58" s="17" t="s">
        <v>445</v>
      </c>
    </row>
    <row r="59" spans="1:2" x14ac:dyDescent="0.4">
      <c r="A59" t="s">
        <v>446</v>
      </c>
      <c r="B59" s="17" t="s">
        <v>447</v>
      </c>
    </row>
    <row r="60" spans="1:2" x14ac:dyDescent="0.4">
      <c r="A60" t="s">
        <v>448</v>
      </c>
      <c r="B60" s="17" t="s">
        <v>449</v>
      </c>
    </row>
    <row r="61" spans="1:2" x14ac:dyDescent="0.4">
      <c r="A61" t="s">
        <v>450</v>
      </c>
      <c r="B61" s="17" t="s">
        <v>451</v>
      </c>
    </row>
    <row r="62" spans="1:2" x14ac:dyDescent="0.4">
      <c r="A62" t="s">
        <v>452</v>
      </c>
      <c r="B62" s="17" t="s">
        <v>453</v>
      </c>
    </row>
    <row r="63" spans="1:2" x14ac:dyDescent="0.4">
      <c r="A63" t="s">
        <v>454</v>
      </c>
      <c r="B63" s="17" t="s">
        <v>455</v>
      </c>
    </row>
    <row r="64" spans="1:2" x14ac:dyDescent="0.4">
      <c r="A64" t="s">
        <v>465</v>
      </c>
      <c r="B64" s="17" t="s">
        <v>456</v>
      </c>
    </row>
    <row r="65" spans="1:2" x14ac:dyDescent="0.4">
      <c r="A65" t="s">
        <v>457</v>
      </c>
      <c r="B65" s="17" t="s">
        <v>458</v>
      </c>
    </row>
    <row r="66" spans="1:2" x14ac:dyDescent="0.4">
      <c r="A66" t="s">
        <v>459</v>
      </c>
      <c r="B66" s="17" t="s">
        <v>460</v>
      </c>
    </row>
    <row r="67" spans="1:2" x14ac:dyDescent="0.4">
      <c r="A67" t="s">
        <v>461</v>
      </c>
      <c r="B67" s="17" t="s">
        <v>462</v>
      </c>
    </row>
    <row r="68" spans="1:2" x14ac:dyDescent="0.4">
      <c r="A68" t="s">
        <v>463</v>
      </c>
      <c r="B68" s="17" t="s">
        <v>464</v>
      </c>
    </row>
    <row r="70" spans="1:2" x14ac:dyDescent="0.4">
      <c r="A70" t="s">
        <v>466</v>
      </c>
      <c r="B70" s="17" t="s">
        <v>467</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BC4B-2500-446F-83DA-00F440F7FB86}">
  <sheetPr codeName="Sheet10">
    <tabColor theme="6" tint="0.79998168889431442"/>
  </sheetPr>
  <dimension ref="A1:BT31"/>
  <sheetViews>
    <sheetView workbookViewId="0">
      <pane xSplit="2" ySplit="1" topLeftCell="C2" activePane="bottomRight" state="frozen"/>
      <selection pane="topRight" activeCell="C1" sqref="C1"/>
      <selection pane="bottomLeft" activeCell="A2" sqref="A2"/>
      <selection pane="bottomRight" activeCell="BH3" sqref="BH3"/>
    </sheetView>
  </sheetViews>
  <sheetFormatPr defaultRowHeight="18.75" outlineLevelCol="2" x14ac:dyDescent="0.4"/>
  <cols>
    <col min="1" max="1" width="5.5" style="49" bestFit="1" customWidth="1"/>
    <col min="2" max="2" width="32.5" style="50" customWidth="1"/>
    <col min="3" max="3" width="10.875" customWidth="1"/>
    <col min="4" max="6" width="7.375" customWidth="1" outlineLevel="1"/>
    <col min="7" max="7" width="5.25" bestFit="1" customWidth="1"/>
    <col min="8" max="8" width="5.25" hidden="1" customWidth="1" outlineLevel="1"/>
    <col min="9" max="9" width="4.375" hidden="1" customWidth="1" outlineLevel="1"/>
    <col min="10" max="10" width="4.5" hidden="1" customWidth="1" outlineLevel="1"/>
    <col min="11" max="14" width="5.25" hidden="1" customWidth="1" outlineLevel="1"/>
    <col min="15" max="15" width="4.5" hidden="1" customWidth="1" outlineLevel="1"/>
    <col min="16" max="16" width="5.25" hidden="1" customWidth="1" outlineLevel="1"/>
    <col min="17" max="18" width="7.125" hidden="1" customWidth="1" outlineLevel="1"/>
    <col min="19" max="19" width="3.5" hidden="1" customWidth="1" outlineLevel="1"/>
    <col min="20" max="20" width="4.5" hidden="1" customWidth="1" outlineLevel="1"/>
    <col min="21" max="21" width="5.25" hidden="1" customWidth="1" outlineLevel="1"/>
    <col min="22" max="22" width="5.875" customWidth="1" collapsed="1"/>
    <col min="23" max="24" width="5.875" hidden="1" customWidth="1" outlineLevel="1"/>
    <col min="25" max="26" width="5.25" hidden="1" customWidth="1" outlineLevel="1"/>
    <col min="27" max="28" width="5.875" hidden="1" customWidth="1" outlineLevel="1"/>
    <col min="29" max="29" width="5.25" hidden="1" customWidth="1" outlineLevel="1"/>
    <col min="30" max="30" width="4.75" customWidth="1" collapsed="1"/>
    <col min="31" max="31" width="4.875" hidden="1" customWidth="1" outlineLevel="2"/>
    <col min="32" max="39" width="4.75" hidden="1" customWidth="1" outlineLevel="2"/>
    <col min="40" max="40" width="4.75" hidden="1" customWidth="1" outlineLevel="1"/>
    <col min="41" max="44" width="4.75" hidden="1" customWidth="1" outlineLevel="2"/>
    <col min="45" max="45" width="4.75" hidden="1" customWidth="1" outlineLevel="1" collapsed="1"/>
    <col min="46" max="46" width="4.75" hidden="1" customWidth="1" outlineLevel="2"/>
    <col min="47" max="47" width="4.75" hidden="1" customWidth="1" outlineLevel="1"/>
    <col min="48" max="50" width="4.75" hidden="1" customWidth="1" outlineLevel="2"/>
    <col min="51" max="51" width="4.75" hidden="1" customWidth="1" outlineLevel="1" collapsed="1"/>
    <col min="52" max="54" width="4.75" hidden="1" customWidth="1" outlineLevel="2"/>
    <col min="55" max="55" width="4.75" customWidth="1" collapsed="1"/>
    <col min="56" max="56" width="6.625" hidden="1" customWidth="1" outlineLevel="1"/>
    <col min="57" max="57" width="4.75" hidden="1" customWidth="1" outlineLevel="1"/>
    <col min="58" max="58" width="5.125" customWidth="1" collapsed="1"/>
    <col min="59" max="59" width="3.75" customWidth="1"/>
    <col min="62" max="69" width="10.625" customWidth="1"/>
    <col min="70" max="70" width="14.625" customWidth="1"/>
    <col min="71" max="71" width="11.625" customWidth="1"/>
  </cols>
  <sheetData>
    <row r="1" spans="1:72" s="47" customFormat="1" ht="34.5" customHeight="1" x14ac:dyDescent="0.4">
      <c r="A1" s="46" t="s">
        <v>473</v>
      </c>
      <c r="B1" s="46" t="s">
        <v>655</v>
      </c>
      <c r="C1" s="47" t="s">
        <v>948</v>
      </c>
      <c r="D1" s="47" t="s">
        <v>497</v>
      </c>
      <c r="E1" s="47" t="s">
        <v>1236</v>
      </c>
      <c r="F1" s="47" t="s">
        <v>1237</v>
      </c>
      <c r="G1" s="47" t="s">
        <v>969</v>
      </c>
      <c r="H1" s="47" t="s">
        <v>475</v>
      </c>
      <c r="I1" s="47" t="s">
        <v>476</v>
      </c>
      <c r="J1" s="47" t="s">
        <v>477</v>
      </c>
      <c r="K1" s="47" t="s">
        <v>478</v>
      </c>
      <c r="L1" s="47" t="s">
        <v>479</v>
      </c>
      <c r="M1" s="47" t="s">
        <v>480</v>
      </c>
      <c r="N1" s="47" t="s">
        <v>481</v>
      </c>
      <c r="O1" s="47" t="s">
        <v>482</v>
      </c>
      <c r="P1" s="47" t="s">
        <v>483</v>
      </c>
      <c r="Q1" s="47" t="s">
        <v>484</v>
      </c>
      <c r="R1" s="47" t="s">
        <v>485</v>
      </c>
      <c r="S1" s="47" t="s">
        <v>486</v>
      </c>
      <c r="T1" s="47" t="s">
        <v>487</v>
      </c>
      <c r="U1" s="47" t="s">
        <v>488</v>
      </c>
      <c r="V1" s="47" t="s">
        <v>489</v>
      </c>
      <c r="W1" s="47" t="s">
        <v>490</v>
      </c>
      <c r="X1" s="47" t="s">
        <v>491</v>
      </c>
      <c r="Y1" s="47" t="s">
        <v>492</v>
      </c>
      <c r="Z1" s="47" t="s">
        <v>493</v>
      </c>
      <c r="AA1" s="47" t="s">
        <v>494</v>
      </c>
      <c r="AB1" s="47" t="s">
        <v>495</v>
      </c>
      <c r="AC1" s="47" t="s">
        <v>496</v>
      </c>
      <c r="AD1" s="22" t="s">
        <v>11</v>
      </c>
      <c r="AE1" s="22" t="s">
        <v>1227</v>
      </c>
      <c r="AF1" s="22" t="s">
        <v>1228</v>
      </c>
      <c r="AG1" s="22" t="s">
        <v>13</v>
      </c>
      <c r="AH1" s="22" t="s">
        <v>15</v>
      </c>
      <c r="AI1" s="22" t="s">
        <v>17</v>
      </c>
      <c r="AJ1" s="22" t="s">
        <v>18</v>
      </c>
      <c r="AK1" s="22" t="s">
        <v>20</v>
      </c>
      <c r="AL1" s="22" t="s">
        <v>22</v>
      </c>
      <c r="AM1" s="22" t="s">
        <v>29</v>
      </c>
      <c r="AN1" s="26" t="s">
        <v>247</v>
      </c>
      <c r="AO1" s="26" t="s">
        <v>1</v>
      </c>
      <c r="AP1" s="26" t="s">
        <v>2</v>
      </c>
      <c r="AQ1" s="26" t="s">
        <v>105</v>
      </c>
      <c r="AR1" s="26" t="s">
        <v>104</v>
      </c>
      <c r="AS1" s="27" t="s">
        <v>4</v>
      </c>
      <c r="AT1" s="27" t="s">
        <v>3</v>
      </c>
      <c r="AU1" s="28" t="s">
        <v>226</v>
      </c>
      <c r="AV1" s="28" t="s">
        <v>227</v>
      </c>
      <c r="AW1" s="28" t="s">
        <v>228</v>
      </c>
      <c r="AX1" s="28" t="s">
        <v>229</v>
      </c>
      <c r="AY1" s="29" t="s">
        <v>230</v>
      </c>
      <c r="AZ1" s="29" t="s">
        <v>5</v>
      </c>
      <c r="BA1" s="29" t="s">
        <v>991</v>
      </c>
      <c r="BB1" s="29" t="s">
        <v>6</v>
      </c>
      <c r="BD1" s="17" t="s">
        <v>1193</v>
      </c>
      <c r="BE1" s="17" t="s">
        <v>1194</v>
      </c>
      <c r="BF1" s="17" t="s">
        <v>1195</v>
      </c>
      <c r="BG1" s="17" t="s">
        <v>215</v>
      </c>
      <c r="BH1" t="s">
        <v>1168</v>
      </c>
      <c r="BI1" t="s">
        <v>1015</v>
      </c>
      <c r="BJ1" s="46" t="s">
        <v>1541</v>
      </c>
      <c r="BK1" s="46" t="s">
        <v>1542</v>
      </c>
      <c r="BL1" s="46" t="s">
        <v>1543</v>
      </c>
      <c r="BM1" s="46" t="s">
        <v>1544</v>
      </c>
      <c r="BN1" s="46" t="s">
        <v>1545</v>
      </c>
      <c r="BO1" s="46" t="s">
        <v>1843</v>
      </c>
      <c r="BP1" s="46" t="s">
        <v>1546</v>
      </c>
      <c r="BQ1" s="46" t="s">
        <v>1547</v>
      </c>
      <c r="BR1" s="46" t="s">
        <v>1548</v>
      </c>
      <c r="BS1" s="46" t="s">
        <v>1549</v>
      </c>
      <c r="BT1" s="47" t="s">
        <v>1842</v>
      </c>
    </row>
    <row r="2" spans="1:72" ht="27" x14ac:dyDescent="0.4">
      <c r="A2" s="48" t="s">
        <v>498</v>
      </c>
      <c r="B2" s="46" t="s">
        <v>751</v>
      </c>
      <c r="C2" s="39">
        <v>0.2</v>
      </c>
      <c r="D2">
        <v>1</v>
      </c>
      <c r="E2">
        <v>1</v>
      </c>
      <c r="F2" t="s">
        <v>1238</v>
      </c>
      <c r="G2">
        <v>60</v>
      </c>
      <c r="H2">
        <v>40</v>
      </c>
      <c r="I2">
        <v>20</v>
      </c>
      <c r="J2">
        <v>0</v>
      </c>
      <c r="K2">
        <v>25</v>
      </c>
      <c r="L2">
        <v>0</v>
      </c>
      <c r="M2">
        <v>0</v>
      </c>
      <c r="N2">
        <v>25</v>
      </c>
      <c r="O2">
        <v>10</v>
      </c>
      <c r="P2">
        <v>0</v>
      </c>
      <c r="Q2">
        <v>0</v>
      </c>
      <c r="R2">
        <v>0</v>
      </c>
      <c r="S2">
        <v>0</v>
      </c>
      <c r="T2">
        <v>0</v>
      </c>
      <c r="U2">
        <v>0</v>
      </c>
      <c r="V2" s="39">
        <v>0</v>
      </c>
      <c r="W2" s="39">
        <v>0.1</v>
      </c>
      <c r="X2" s="39">
        <v>0</v>
      </c>
      <c r="Y2" s="39">
        <v>0</v>
      </c>
      <c r="Z2" s="39">
        <v>0</v>
      </c>
      <c r="AA2" s="39">
        <v>0.05</v>
      </c>
      <c r="AB2" s="39">
        <v>-0.05</v>
      </c>
      <c r="AC2" s="39">
        <v>0.05</v>
      </c>
      <c r="AK2" s="17"/>
      <c r="AL2" s="17"/>
      <c r="BJ2" t="b">
        <f>TRUE()</f>
        <v>1</v>
      </c>
      <c r="BK2">
        <v>1</v>
      </c>
      <c r="BL2" t="s">
        <v>1657</v>
      </c>
      <c r="BM2">
        <v>26</v>
      </c>
      <c r="BN2" t="s">
        <v>1658</v>
      </c>
      <c r="BO2" t="s">
        <v>1659</v>
      </c>
    </row>
    <row r="3" spans="1:72" ht="27" x14ac:dyDescent="0.4">
      <c r="A3" s="48" t="s">
        <v>499</v>
      </c>
      <c r="B3" s="46" t="s">
        <v>943</v>
      </c>
      <c r="C3" s="39">
        <v>0.6</v>
      </c>
      <c r="D3">
        <v>3</v>
      </c>
      <c r="E3">
        <v>2</v>
      </c>
      <c r="F3" t="s">
        <v>1238</v>
      </c>
      <c r="G3">
        <v>25</v>
      </c>
      <c r="H3">
        <v>60</v>
      </c>
      <c r="I3">
        <v>35</v>
      </c>
      <c r="J3">
        <v>0</v>
      </c>
      <c r="K3">
        <v>100</v>
      </c>
      <c r="L3">
        <v>70</v>
      </c>
      <c r="M3">
        <v>30</v>
      </c>
      <c r="N3">
        <v>25</v>
      </c>
      <c r="O3">
        <v>0</v>
      </c>
      <c r="P3">
        <v>0</v>
      </c>
      <c r="Q3">
        <v>0</v>
      </c>
      <c r="R3">
        <v>0</v>
      </c>
      <c r="S3">
        <v>0</v>
      </c>
      <c r="T3">
        <v>10</v>
      </c>
      <c r="U3">
        <v>10</v>
      </c>
      <c r="V3" s="39">
        <v>-0.05</v>
      </c>
      <c r="W3" s="39">
        <v>-0.05</v>
      </c>
      <c r="X3" s="39">
        <v>0.05</v>
      </c>
      <c r="Y3" s="39">
        <v>0</v>
      </c>
      <c r="Z3" s="39">
        <v>0</v>
      </c>
      <c r="AA3" s="39">
        <v>0.05</v>
      </c>
      <c r="AB3" s="39">
        <v>0.05</v>
      </c>
      <c r="AC3" s="39">
        <v>0.1</v>
      </c>
      <c r="AK3" s="17">
        <v>-10</v>
      </c>
      <c r="AL3" s="17">
        <v>-5</v>
      </c>
      <c r="AS3">
        <v>35</v>
      </c>
      <c r="BB3">
        <v>15</v>
      </c>
      <c r="BJ3" t="b">
        <f>TRUE()</f>
        <v>1</v>
      </c>
      <c r="BK3">
        <v>3</v>
      </c>
      <c r="BL3" t="s">
        <v>1660</v>
      </c>
      <c r="BM3">
        <v>18</v>
      </c>
      <c r="BN3" t="s">
        <v>1661</v>
      </c>
      <c r="BO3" t="s">
        <v>1659</v>
      </c>
    </row>
    <row r="4" spans="1:72" ht="27" x14ac:dyDescent="0.4">
      <c r="A4" s="48" t="s">
        <v>501</v>
      </c>
      <c r="B4" s="46" t="s">
        <v>766</v>
      </c>
      <c r="C4" s="39">
        <v>0.5</v>
      </c>
      <c r="D4">
        <v>3</v>
      </c>
      <c r="E4">
        <v>2</v>
      </c>
      <c r="F4" t="s">
        <v>1238</v>
      </c>
      <c r="G4">
        <v>20</v>
      </c>
      <c r="H4">
        <v>20</v>
      </c>
      <c r="I4">
        <v>60</v>
      </c>
      <c r="J4">
        <v>10</v>
      </c>
      <c r="K4">
        <v>40</v>
      </c>
      <c r="L4">
        <v>25</v>
      </c>
      <c r="M4">
        <v>5</v>
      </c>
      <c r="N4">
        <v>100</v>
      </c>
      <c r="O4">
        <v>80</v>
      </c>
      <c r="P4">
        <v>40</v>
      </c>
      <c r="Q4">
        <v>20</v>
      </c>
      <c r="R4">
        <v>10</v>
      </c>
      <c r="S4">
        <v>10</v>
      </c>
      <c r="T4">
        <v>25</v>
      </c>
      <c r="U4">
        <v>10</v>
      </c>
      <c r="V4" s="39">
        <v>-0.05</v>
      </c>
      <c r="W4" s="39">
        <v>-0.05</v>
      </c>
      <c r="X4" s="39">
        <v>0.1</v>
      </c>
      <c r="Y4" s="39">
        <v>0.1</v>
      </c>
      <c r="Z4" s="39">
        <v>0</v>
      </c>
      <c r="AA4" s="39">
        <v>-0.05</v>
      </c>
      <c r="AB4" s="39">
        <v>0.15</v>
      </c>
      <c r="AC4" s="39">
        <v>0.1</v>
      </c>
      <c r="AK4" s="17"/>
      <c r="AL4" s="17"/>
      <c r="AS4">
        <v>-10</v>
      </c>
      <c r="BJ4" t="b">
        <f>TRUE()</f>
        <v>1</v>
      </c>
      <c r="BK4">
        <v>4</v>
      </c>
      <c r="BL4" t="s">
        <v>1662</v>
      </c>
      <c r="BM4">
        <v>12</v>
      </c>
      <c r="BN4" t="s">
        <v>1663</v>
      </c>
      <c r="BO4" t="s">
        <v>1659</v>
      </c>
      <c r="BQ4" t="s">
        <v>1663</v>
      </c>
    </row>
    <row r="5" spans="1:72" ht="27" x14ac:dyDescent="0.4">
      <c r="A5" s="48" t="s">
        <v>500</v>
      </c>
      <c r="B5" s="46" t="s">
        <v>765</v>
      </c>
      <c r="C5" s="39">
        <v>0.8</v>
      </c>
      <c r="D5">
        <v>5</v>
      </c>
      <c r="E5">
        <v>2</v>
      </c>
      <c r="F5" t="s">
        <v>1238</v>
      </c>
      <c r="G5">
        <v>10</v>
      </c>
      <c r="H5">
        <v>10</v>
      </c>
      <c r="I5">
        <v>20</v>
      </c>
      <c r="J5">
        <v>10</v>
      </c>
      <c r="K5">
        <v>30</v>
      </c>
      <c r="L5">
        <v>10</v>
      </c>
      <c r="M5">
        <v>0</v>
      </c>
      <c r="N5">
        <v>150</v>
      </c>
      <c r="O5">
        <v>200</v>
      </c>
      <c r="P5">
        <v>80</v>
      </c>
      <c r="Q5">
        <v>50</v>
      </c>
      <c r="R5">
        <v>30</v>
      </c>
      <c r="S5">
        <v>30</v>
      </c>
      <c r="T5">
        <v>100</v>
      </c>
      <c r="U5">
        <v>50</v>
      </c>
      <c r="V5" s="39">
        <v>-0.1</v>
      </c>
      <c r="W5" s="39">
        <v>-0.05</v>
      </c>
      <c r="X5" s="39">
        <v>0.15</v>
      </c>
      <c r="Y5" s="39">
        <v>0.2</v>
      </c>
      <c r="Z5" s="39">
        <v>0</v>
      </c>
      <c r="AA5" s="39">
        <v>-0.05</v>
      </c>
      <c r="AB5" s="39">
        <v>0.2</v>
      </c>
      <c r="AC5" s="39">
        <v>0.1</v>
      </c>
      <c r="AK5" s="17">
        <v>-15</v>
      </c>
      <c r="AL5" s="17">
        <v>-10</v>
      </c>
      <c r="BB5">
        <v>25</v>
      </c>
      <c r="BJ5" t="b">
        <f>TRUE()</f>
        <v>1</v>
      </c>
      <c r="BK5">
        <v>5</v>
      </c>
      <c r="BL5" t="s">
        <v>1664</v>
      </c>
      <c r="BM5">
        <v>10</v>
      </c>
      <c r="BN5" t="s">
        <v>1665</v>
      </c>
      <c r="BO5" t="s">
        <v>1659</v>
      </c>
      <c r="BP5">
        <v>0.2</v>
      </c>
      <c r="BQ5" t="s">
        <v>1665</v>
      </c>
    </row>
    <row r="6" spans="1:72" ht="27" x14ac:dyDescent="0.4">
      <c r="A6" s="48" t="s">
        <v>503</v>
      </c>
      <c r="B6" s="46" t="s">
        <v>753</v>
      </c>
      <c r="C6" s="39">
        <v>0.5</v>
      </c>
      <c r="D6">
        <v>2</v>
      </c>
      <c r="E6">
        <v>1</v>
      </c>
      <c r="F6" t="s">
        <v>1808</v>
      </c>
      <c r="G6">
        <v>10</v>
      </c>
      <c r="H6">
        <v>10</v>
      </c>
      <c r="I6">
        <v>0</v>
      </c>
      <c r="J6">
        <v>90</v>
      </c>
      <c r="K6">
        <v>0</v>
      </c>
      <c r="L6">
        <v>0</v>
      </c>
      <c r="M6">
        <v>0</v>
      </c>
      <c r="N6">
        <v>0</v>
      </c>
      <c r="O6">
        <v>35</v>
      </c>
      <c r="P6">
        <v>25</v>
      </c>
      <c r="Q6">
        <v>0</v>
      </c>
      <c r="R6">
        <v>0</v>
      </c>
      <c r="S6">
        <v>8</v>
      </c>
      <c r="T6">
        <v>15</v>
      </c>
      <c r="U6">
        <v>10</v>
      </c>
      <c r="V6" s="39">
        <v>0.1</v>
      </c>
      <c r="W6" s="39">
        <v>-0.1</v>
      </c>
      <c r="X6" s="39">
        <v>-0.05</v>
      </c>
      <c r="Y6" s="39">
        <v>0</v>
      </c>
      <c r="Z6" s="39">
        <v>0</v>
      </c>
      <c r="AA6" s="39">
        <v>0.2</v>
      </c>
      <c r="AB6" s="39">
        <v>-0.1</v>
      </c>
      <c r="AC6" s="39">
        <v>0.05</v>
      </c>
      <c r="AK6" s="17"/>
      <c r="AL6" s="17"/>
      <c r="BB6">
        <v>35</v>
      </c>
      <c r="BJ6" t="b">
        <f>TRUE()</f>
        <v>1</v>
      </c>
      <c r="BK6">
        <v>9</v>
      </c>
      <c r="BL6" t="s">
        <v>1666</v>
      </c>
      <c r="BM6">
        <v>8</v>
      </c>
      <c r="BN6" t="s">
        <v>1667</v>
      </c>
      <c r="BO6" t="s">
        <v>1659</v>
      </c>
    </row>
    <row r="7" spans="1:72" ht="27" x14ac:dyDescent="0.4">
      <c r="A7" s="48" t="s">
        <v>1241</v>
      </c>
      <c r="B7" s="46" t="s">
        <v>752</v>
      </c>
      <c r="C7" s="39">
        <v>0.4</v>
      </c>
      <c r="D7">
        <v>2</v>
      </c>
      <c r="E7">
        <v>1</v>
      </c>
      <c r="F7" t="s">
        <v>1238</v>
      </c>
      <c r="G7">
        <v>20</v>
      </c>
      <c r="H7">
        <v>15</v>
      </c>
      <c r="I7">
        <v>5</v>
      </c>
      <c r="J7">
        <v>35</v>
      </c>
      <c r="K7">
        <v>0</v>
      </c>
      <c r="L7">
        <v>0</v>
      </c>
      <c r="M7">
        <v>0</v>
      </c>
      <c r="N7">
        <v>0</v>
      </c>
      <c r="O7">
        <v>0</v>
      </c>
      <c r="P7">
        <v>0</v>
      </c>
      <c r="Q7">
        <v>0</v>
      </c>
      <c r="R7">
        <v>0</v>
      </c>
      <c r="S7">
        <v>5</v>
      </c>
      <c r="T7">
        <v>15</v>
      </c>
      <c r="U7">
        <v>5</v>
      </c>
      <c r="V7" s="39">
        <v>0.2</v>
      </c>
      <c r="W7" s="39">
        <v>-0.05</v>
      </c>
      <c r="X7" s="39">
        <v>-0.05</v>
      </c>
      <c r="Y7" s="39">
        <v>0</v>
      </c>
      <c r="Z7" s="39">
        <v>0</v>
      </c>
      <c r="AA7" s="39">
        <v>0.2</v>
      </c>
      <c r="AB7" s="39">
        <v>-0.05</v>
      </c>
      <c r="AC7" s="39">
        <v>0.05</v>
      </c>
      <c r="AK7" s="17"/>
      <c r="AL7" s="17"/>
      <c r="BJ7" t="b">
        <f>TRUE()</f>
        <v>1</v>
      </c>
      <c r="BK7">
        <v>8</v>
      </c>
      <c r="BL7" t="s">
        <v>1668</v>
      </c>
      <c r="BM7">
        <v>10</v>
      </c>
      <c r="BN7" t="s">
        <v>1669</v>
      </c>
      <c r="BO7" t="s">
        <v>1659</v>
      </c>
      <c r="BQ7" t="s">
        <v>1670</v>
      </c>
    </row>
    <row r="8" spans="1:72" ht="27" x14ac:dyDescent="0.4">
      <c r="A8" s="48" t="s">
        <v>1233</v>
      </c>
      <c r="B8" s="46" t="s">
        <v>1234</v>
      </c>
      <c r="C8" s="39">
        <v>0.4</v>
      </c>
      <c r="D8">
        <v>2</v>
      </c>
      <c r="E8">
        <v>4</v>
      </c>
      <c r="F8" t="s">
        <v>1238</v>
      </c>
      <c r="G8">
        <v>25</v>
      </c>
      <c r="H8">
        <v>35</v>
      </c>
      <c r="I8">
        <v>10</v>
      </c>
      <c r="J8">
        <v>60</v>
      </c>
      <c r="K8">
        <v>0</v>
      </c>
      <c r="L8">
        <v>0</v>
      </c>
      <c r="M8">
        <v>0</v>
      </c>
      <c r="N8">
        <v>0</v>
      </c>
      <c r="O8">
        <v>0</v>
      </c>
      <c r="P8">
        <v>0</v>
      </c>
      <c r="Q8">
        <v>0</v>
      </c>
      <c r="R8">
        <v>0</v>
      </c>
      <c r="S8">
        <v>5</v>
      </c>
      <c r="T8">
        <v>15</v>
      </c>
      <c r="U8">
        <v>5</v>
      </c>
      <c r="V8" s="39">
        <v>0.2</v>
      </c>
      <c r="W8" s="39">
        <v>-0.05</v>
      </c>
      <c r="X8" s="39">
        <v>-0.05</v>
      </c>
      <c r="Y8" s="39">
        <v>0</v>
      </c>
      <c r="Z8" s="39">
        <v>0</v>
      </c>
      <c r="AA8" s="39">
        <v>0.2</v>
      </c>
      <c r="AB8" s="39">
        <v>-0.05</v>
      </c>
      <c r="AC8" s="39">
        <v>0.05</v>
      </c>
      <c r="AK8" s="17"/>
      <c r="AL8" s="17"/>
    </row>
    <row r="9" spans="1:72" ht="27" x14ac:dyDescent="0.4">
      <c r="A9" s="48" t="s">
        <v>504</v>
      </c>
      <c r="B9" s="46" t="s">
        <v>754</v>
      </c>
      <c r="C9" s="39">
        <v>0.75</v>
      </c>
      <c r="D9">
        <v>4</v>
      </c>
      <c r="E9">
        <v>2</v>
      </c>
      <c r="F9" t="s">
        <v>1239</v>
      </c>
      <c r="G9">
        <v>10</v>
      </c>
      <c r="H9">
        <v>10</v>
      </c>
      <c r="I9">
        <v>0</v>
      </c>
      <c r="J9">
        <v>110</v>
      </c>
      <c r="K9">
        <v>0</v>
      </c>
      <c r="L9">
        <v>0</v>
      </c>
      <c r="M9">
        <v>0</v>
      </c>
      <c r="N9">
        <v>0</v>
      </c>
      <c r="O9">
        <v>35</v>
      </c>
      <c r="P9">
        <v>25</v>
      </c>
      <c r="Q9">
        <v>0</v>
      </c>
      <c r="R9">
        <v>0</v>
      </c>
      <c r="S9">
        <v>20</v>
      </c>
      <c r="T9">
        <v>40</v>
      </c>
      <c r="U9">
        <v>35</v>
      </c>
      <c r="V9" s="39">
        <v>0.35</v>
      </c>
      <c r="W9" s="39">
        <v>-0.1</v>
      </c>
      <c r="X9" s="39">
        <v>-0.05</v>
      </c>
      <c r="Y9" s="39">
        <v>0</v>
      </c>
      <c r="Z9" s="39">
        <v>0</v>
      </c>
      <c r="AA9" s="39">
        <v>0.35</v>
      </c>
      <c r="AB9" s="39">
        <v>-0.1</v>
      </c>
      <c r="AC9" s="39">
        <v>0.05</v>
      </c>
      <c r="AK9" s="17"/>
      <c r="AL9" s="17"/>
      <c r="BJ9" t="b">
        <f>TRUE()</f>
        <v>1</v>
      </c>
      <c r="BK9">
        <v>10</v>
      </c>
      <c r="BL9" t="s">
        <v>1671</v>
      </c>
      <c r="BM9">
        <v>7</v>
      </c>
      <c r="BN9" t="s">
        <v>1672</v>
      </c>
    </row>
    <row r="10" spans="1:72" ht="27" x14ac:dyDescent="0.4">
      <c r="A10" s="48" t="s">
        <v>1230</v>
      </c>
      <c r="B10" s="46" t="s">
        <v>1231</v>
      </c>
      <c r="C10" s="39">
        <v>0.3</v>
      </c>
      <c r="D10">
        <v>1</v>
      </c>
      <c r="E10">
        <v>1</v>
      </c>
      <c r="F10" t="s">
        <v>1238</v>
      </c>
      <c r="G10">
        <v>15</v>
      </c>
      <c r="H10">
        <v>15</v>
      </c>
      <c r="I10">
        <v>20</v>
      </c>
      <c r="J10">
        <v>0</v>
      </c>
      <c r="K10">
        <v>0</v>
      </c>
      <c r="L10">
        <v>0</v>
      </c>
      <c r="M10">
        <v>0</v>
      </c>
      <c r="N10">
        <v>100</v>
      </c>
      <c r="O10">
        <v>45</v>
      </c>
      <c r="P10">
        <v>15</v>
      </c>
      <c r="Q10">
        <v>0</v>
      </c>
      <c r="R10">
        <v>0</v>
      </c>
      <c r="S10">
        <v>5</v>
      </c>
      <c r="T10">
        <v>25</v>
      </c>
      <c r="U10">
        <v>15</v>
      </c>
      <c r="V10" s="39">
        <v>0</v>
      </c>
      <c r="W10" s="39">
        <v>0.1</v>
      </c>
      <c r="X10" s="39">
        <v>0</v>
      </c>
      <c r="Y10" s="39">
        <v>0</v>
      </c>
      <c r="Z10" s="39">
        <v>0.1</v>
      </c>
      <c r="AA10" s="39">
        <v>0</v>
      </c>
      <c r="AB10" s="39">
        <v>0.1</v>
      </c>
      <c r="AC10" s="39">
        <v>0</v>
      </c>
      <c r="AK10" s="17"/>
      <c r="AL10" s="17"/>
      <c r="BJ10" t="b">
        <f>TRUE()</f>
        <v>1</v>
      </c>
      <c r="BK10">
        <v>2</v>
      </c>
      <c r="BL10" t="s">
        <v>1673</v>
      </c>
      <c r="BM10">
        <v>12</v>
      </c>
      <c r="BN10" t="s">
        <v>1674</v>
      </c>
      <c r="BO10" t="s">
        <v>1659</v>
      </c>
      <c r="BQ10" t="s">
        <v>1674</v>
      </c>
    </row>
    <row r="11" spans="1:72" ht="27" x14ac:dyDescent="0.4">
      <c r="A11" s="48" t="s">
        <v>505</v>
      </c>
      <c r="B11" s="46" t="s">
        <v>755</v>
      </c>
      <c r="C11" s="39">
        <v>0.5</v>
      </c>
      <c r="D11">
        <v>4</v>
      </c>
      <c r="E11">
        <v>2</v>
      </c>
      <c r="F11" t="s">
        <v>1238</v>
      </c>
      <c r="G11">
        <v>10</v>
      </c>
      <c r="H11">
        <v>10</v>
      </c>
      <c r="I11">
        <v>10</v>
      </c>
      <c r="J11">
        <v>0</v>
      </c>
      <c r="K11">
        <v>0</v>
      </c>
      <c r="L11">
        <v>0</v>
      </c>
      <c r="M11">
        <v>0</v>
      </c>
      <c r="N11">
        <v>50</v>
      </c>
      <c r="O11">
        <v>0</v>
      </c>
      <c r="P11">
        <v>30</v>
      </c>
      <c r="Q11">
        <v>20</v>
      </c>
      <c r="R11">
        <v>15</v>
      </c>
      <c r="S11">
        <v>30</v>
      </c>
      <c r="T11">
        <v>50</v>
      </c>
      <c r="U11">
        <v>50</v>
      </c>
      <c r="V11" s="39">
        <v>-0.05</v>
      </c>
      <c r="W11" s="39">
        <v>0.05</v>
      </c>
      <c r="X11" s="39">
        <v>-0.1</v>
      </c>
      <c r="Y11" s="39">
        <v>0</v>
      </c>
      <c r="Z11" s="39">
        <v>0.3</v>
      </c>
      <c r="AA11" s="39">
        <v>-0.05</v>
      </c>
      <c r="AB11" s="39">
        <v>0.05</v>
      </c>
      <c r="AC11" s="39">
        <v>0.05</v>
      </c>
      <c r="AK11" s="17">
        <v>-10</v>
      </c>
      <c r="AL11" s="17">
        <v>-10</v>
      </c>
      <c r="AS11">
        <v>-10</v>
      </c>
      <c r="BJ11" t="b">
        <f>TRUE()</f>
        <v>1</v>
      </c>
      <c r="BK11">
        <v>11</v>
      </c>
      <c r="BL11" t="s">
        <v>1675</v>
      </c>
      <c r="BM11">
        <v>7</v>
      </c>
      <c r="BN11" t="s">
        <v>1676</v>
      </c>
      <c r="BO11" t="s">
        <v>1659</v>
      </c>
    </row>
    <row r="12" spans="1:72" ht="27" x14ac:dyDescent="0.4">
      <c r="A12" s="48" t="s">
        <v>506</v>
      </c>
      <c r="B12" s="46" t="s">
        <v>756</v>
      </c>
      <c r="C12" s="39">
        <v>0.65</v>
      </c>
      <c r="D12">
        <v>4</v>
      </c>
      <c r="E12">
        <v>3</v>
      </c>
      <c r="F12" t="s">
        <v>1238</v>
      </c>
      <c r="G12">
        <v>20</v>
      </c>
      <c r="H12">
        <v>45</v>
      </c>
      <c r="I12">
        <v>20</v>
      </c>
      <c r="J12">
        <v>50</v>
      </c>
      <c r="K12">
        <v>20</v>
      </c>
      <c r="L12">
        <v>5</v>
      </c>
      <c r="M12">
        <v>0</v>
      </c>
      <c r="N12">
        <v>5</v>
      </c>
      <c r="O12">
        <v>0</v>
      </c>
      <c r="P12">
        <v>0</v>
      </c>
      <c r="Q12">
        <v>0</v>
      </c>
      <c r="R12">
        <v>0</v>
      </c>
      <c r="S12">
        <v>0</v>
      </c>
      <c r="T12">
        <v>5</v>
      </c>
      <c r="U12">
        <v>5</v>
      </c>
      <c r="V12" s="39">
        <v>0.1</v>
      </c>
      <c r="W12" s="39">
        <v>0</v>
      </c>
      <c r="X12" s="39">
        <v>0</v>
      </c>
      <c r="Y12" s="39">
        <v>0</v>
      </c>
      <c r="Z12" s="39">
        <v>0</v>
      </c>
      <c r="AA12" s="39">
        <v>0.3</v>
      </c>
      <c r="AB12" s="39">
        <v>0</v>
      </c>
      <c r="AC12" s="39">
        <v>0.1</v>
      </c>
      <c r="AK12" s="17">
        <v>-25</v>
      </c>
      <c r="AL12" s="17">
        <v>-15</v>
      </c>
      <c r="AS12">
        <v>10</v>
      </c>
      <c r="BO12" t="s">
        <v>1677</v>
      </c>
      <c r="BQ12" t="s">
        <v>1678</v>
      </c>
    </row>
    <row r="13" spans="1:72" ht="27" x14ac:dyDescent="0.4">
      <c r="A13" s="48" t="s">
        <v>1235</v>
      </c>
      <c r="B13" s="46" t="s">
        <v>756</v>
      </c>
      <c r="C13" s="39">
        <v>0.65</v>
      </c>
      <c r="D13">
        <v>4</v>
      </c>
      <c r="E13">
        <v>3</v>
      </c>
      <c r="F13" t="s">
        <v>1238</v>
      </c>
      <c r="G13">
        <v>20</v>
      </c>
      <c r="H13">
        <v>45</v>
      </c>
      <c r="I13">
        <v>20</v>
      </c>
      <c r="J13">
        <v>50</v>
      </c>
      <c r="K13">
        <v>20</v>
      </c>
      <c r="L13">
        <v>5</v>
      </c>
      <c r="M13">
        <v>0</v>
      </c>
      <c r="N13">
        <v>5</v>
      </c>
      <c r="O13">
        <v>0</v>
      </c>
      <c r="P13">
        <v>0</v>
      </c>
      <c r="Q13">
        <v>0</v>
      </c>
      <c r="R13">
        <v>0</v>
      </c>
      <c r="S13">
        <v>0</v>
      </c>
      <c r="T13">
        <v>5</v>
      </c>
      <c r="U13">
        <v>5</v>
      </c>
      <c r="V13" s="39">
        <v>0.1</v>
      </c>
      <c r="W13" s="39">
        <v>0</v>
      </c>
      <c r="X13" s="39">
        <v>0</v>
      </c>
      <c r="Y13" s="39">
        <v>0</v>
      </c>
      <c r="Z13" s="39">
        <v>0</v>
      </c>
      <c r="AA13" s="39">
        <v>0.3</v>
      </c>
      <c r="AB13" s="39">
        <v>0</v>
      </c>
      <c r="AC13" s="39">
        <v>0.1</v>
      </c>
      <c r="AK13" s="17">
        <v>-25</v>
      </c>
      <c r="AL13" s="17">
        <v>-15</v>
      </c>
      <c r="AS13">
        <v>10</v>
      </c>
    </row>
    <row r="14" spans="1:72" ht="27" x14ac:dyDescent="0.4">
      <c r="A14" s="48" t="s">
        <v>990</v>
      </c>
      <c r="B14" s="46" t="s">
        <v>757</v>
      </c>
      <c r="C14" s="39">
        <v>0.7</v>
      </c>
      <c r="D14">
        <v>5</v>
      </c>
      <c r="E14">
        <v>2</v>
      </c>
      <c r="F14" t="s">
        <v>1240</v>
      </c>
      <c r="G14">
        <v>5</v>
      </c>
      <c r="H14">
        <v>5</v>
      </c>
      <c r="I14">
        <v>15</v>
      </c>
      <c r="J14">
        <v>0</v>
      </c>
      <c r="K14">
        <v>5</v>
      </c>
      <c r="L14">
        <v>0</v>
      </c>
      <c r="M14">
        <v>0</v>
      </c>
      <c r="N14">
        <v>160</v>
      </c>
      <c r="O14">
        <v>120</v>
      </c>
      <c r="P14">
        <v>60</v>
      </c>
      <c r="Q14">
        <v>40</v>
      </c>
      <c r="R14">
        <v>25</v>
      </c>
      <c r="S14">
        <v>20</v>
      </c>
      <c r="T14">
        <v>35</v>
      </c>
      <c r="U14">
        <v>25</v>
      </c>
      <c r="V14" s="39">
        <v>-0.1</v>
      </c>
      <c r="W14" s="39">
        <v>-0.05</v>
      </c>
      <c r="X14" s="39">
        <v>0.05</v>
      </c>
      <c r="Y14" s="39">
        <v>0.1</v>
      </c>
      <c r="Z14" s="39">
        <v>0.05</v>
      </c>
      <c r="AA14" s="39">
        <v>-0.2</v>
      </c>
      <c r="AB14" s="39">
        <v>0.3</v>
      </c>
      <c r="AC14" s="39">
        <v>0.05</v>
      </c>
      <c r="AK14" s="17"/>
      <c r="AL14" s="17"/>
      <c r="AS14">
        <v>15</v>
      </c>
      <c r="BO14" t="s">
        <v>1677</v>
      </c>
      <c r="BQ14" t="s">
        <v>1679</v>
      </c>
    </row>
    <row r="15" spans="1:72" ht="27" x14ac:dyDescent="0.4">
      <c r="A15" s="48" t="s">
        <v>508</v>
      </c>
      <c r="B15" s="46" t="s">
        <v>758</v>
      </c>
      <c r="C15" s="39">
        <v>0.9</v>
      </c>
      <c r="D15">
        <v>6</v>
      </c>
      <c r="E15">
        <v>1</v>
      </c>
      <c r="F15" t="s">
        <v>1238</v>
      </c>
      <c r="G15">
        <v>0</v>
      </c>
      <c r="H15">
        <v>0</v>
      </c>
      <c r="I15">
        <v>10</v>
      </c>
      <c r="J15">
        <v>0</v>
      </c>
      <c r="K15">
        <v>0</v>
      </c>
      <c r="L15">
        <v>0</v>
      </c>
      <c r="M15">
        <v>0</v>
      </c>
      <c r="N15">
        <v>80</v>
      </c>
      <c r="O15">
        <v>150</v>
      </c>
      <c r="P15">
        <v>120</v>
      </c>
      <c r="Q15">
        <v>80</v>
      </c>
      <c r="R15">
        <v>60</v>
      </c>
      <c r="S15">
        <v>40</v>
      </c>
      <c r="T15">
        <v>80</v>
      </c>
      <c r="U15">
        <v>120</v>
      </c>
      <c r="V15" s="39">
        <v>0</v>
      </c>
      <c r="W15" s="39">
        <v>0</v>
      </c>
      <c r="X15" s="39">
        <v>0</v>
      </c>
      <c r="Y15" s="39">
        <v>0</v>
      </c>
      <c r="Z15" s="39">
        <v>0</v>
      </c>
      <c r="AA15" s="39">
        <v>-0.3</v>
      </c>
      <c r="AB15" s="39">
        <v>0.25</v>
      </c>
      <c r="AC15" s="39">
        <v>0</v>
      </c>
      <c r="AK15" s="17"/>
      <c r="AL15" s="17"/>
      <c r="AS15" s="17">
        <v>45</v>
      </c>
      <c r="BO15" t="s">
        <v>1677</v>
      </c>
      <c r="BQ15" t="s">
        <v>1680</v>
      </c>
    </row>
    <row r="16" spans="1:72" ht="27" x14ac:dyDescent="0.4">
      <c r="A16" s="48" t="s">
        <v>509</v>
      </c>
      <c r="B16" s="46" t="s">
        <v>759</v>
      </c>
      <c r="C16" s="39">
        <v>0.65</v>
      </c>
      <c r="D16">
        <v>3</v>
      </c>
      <c r="E16">
        <v>1</v>
      </c>
      <c r="F16" t="s">
        <v>1238</v>
      </c>
      <c r="G16">
        <v>12</v>
      </c>
      <c r="H16">
        <v>10</v>
      </c>
      <c r="I16">
        <v>35</v>
      </c>
      <c r="J16">
        <v>5</v>
      </c>
      <c r="K16">
        <v>8</v>
      </c>
      <c r="L16">
        <v>0</v>
      </c>
      <c r="M16">
        <v>0</v>
      </c>
      <c r="N16">
        <v>70</v>
      </c>
      <c r="O16">
        <v>50</v>
      </c>
      <c r="P16">
        <v>20</v>
      </c>
      <c r="Q16">
        <v>5</v>
      </c>
      <c r="R16">
        <v>0</v>
      </c>
      <c r="S16">
        <v>8</v>
      </c>
      <c r="T16">
        <v>10</v>
      </c>
      <c r="U16">
        <v>8</v>
      </c>
      <c r="V16" s="39">
        <v>-0.05</v>
      </c>
      <c r="W16" s="39">
        <v>0.05</v>
      </c>
      <c r="X16" s="39">
        <v>0.25</v>
      </c>
      <c r="Y16" s="39">
        <v>0</v>
      </c>
      <c r="Z16" s="39">
        <v>0</v>
      </c>
      <c r="AA16" s="39">
        <v>-0.05</v>
      </c>
      <c r="AB16" s="39">
        <v>0.1</v>
      </c>
      <c r="AC16" s="39">
        <v>0.1</v>
      </c>
      <c r="AK16" s="17">
        <v>-15</v>
      </c>
      <c r="AL16" s="17">
        <v>-10</v>
      </c>
      <c r="BJ16" t="b">
        <f>TRUE()</f>
        <v>1</v>
      </c>
      <c r="BK16">
        <v>6</v>
      </c>
      <c r="BL16" t="s">
        <v>1681</v>
      </c>
      <c r="BM16">
        <v>6</v>
      </c>
      <c r="BN16" t="s">
        <v>1682</v>
      </c>
      <c r="BO16" t="s">
        <v>1659</v>
      </c>
      <c r="BQ16" t="s">
        <v>1682</v>
      </c>
    </row>
    <row r="17" spans="1:71" ht="27" x14ac:dyDescent="0.4">
      <c r="A17" s="48" t="s">
        <v>510</v>
      </c>
      <c r="B17" s="46" t="s">
        <v>1810</v>
      </c>
      <c r="C17" s="39">
        <v>0.95</v>
      </c>
      <c r="D17">
        <v>6</v>
      </c>
      <c r="E17">
        <v>2</v>
      </c>
      <c r="F17" t="s">
        <v>1238</v>
      </c>
      <c r="G17">
        <v>2</v>
      </c>
      <c r="H17">
        <v>3</v>
      </c>
      <c r="I17">
        <v>10</v>
      </c>
      <c r="J17">
        <v>0</v>
      </c>
      <c r="K17">
        <v>0</v>
      </c>
      <c r="L17">
        <v>0</v>
      </c>
      <c r="M17">
        <v>0</v>
      </c>
      <c r="N17">
        <v>180</v>
      </c>
      <c r="O17">
        <v>80</v>
      </c>
      <c r="P17">
        <v>140</v>
      </c>
      <c r="Q17">
        <v>130</v>
      </c>
      <c r="R17">
        <v>170</v>
      </c>
      <c r="S17">
        <v>80</v>
      </c>
      <c r="T17">
        <v>45</v>
      </c>
      <c r="U17">
        <v>30</v>
      </c>
      <c r="V17" s="39">
        <v>0</v>
      </c>
      <c r="W17" s="39">
        <v>0</v>
      </c>
      <c r="X17" s="39">
        <v>0</v>
      </c>
      <c r="Y17" s="39">
        <v>0.4</v>
      </c>
      <c r="Z17" s="39">
        <v>0.1</v>
      </c>
      <c r="AA17" s="39">
        <v>-0.3</v>
      </c>
      <c r="AB17" s="39">
        <v>0.3</v>
      </c>
      <c r="AC17" s="39">
        <v>0.15</v>
      </c>
      <c r="AK17" s="17"/>
      <c r="AL17" s="17"/>
      <c r="BB17">
        <v>50</v>
      </c>
      <c r="BJ17" t="b">
        <f>TRUE()</f>
        <v>1</v>
      </c>
      <c r="BK17">
        <v>7</v>
      </c>
      <c r="BL17" t="s">
        <v>1683</v>
      </c>
      <c r="BM17">
        <v>4</v>
      </c>
      <c r="BN17" t="s">
        <v>1684</v>
      </c>
      <c r="BO17" t="s">
        <v>1659</v>
      </c>
    </row>
    <row r="18" spans="1:71" ht="27" x14ac:dyDescent="0.4">
      <c r="A18" s="48" t="s">
        <v>739</v>
      </c>
      <c r="B18" s="46" t="s">
        <v>970</v>
      </c>
      <c r="C18" s="39">
        <v>0.9</v>
      </c>
      <c r="D18">
        <v>3</v>
      </c>
      <c r="E18">
        <v>2</v>
      </c>
      <c r="F18" t="s">
        <v>1809</v>
      </c>
      <c r="G18">
        <v>-50</v>
      </c>
      <c r="H18">
        <v>-50</v>
      </c>
      <c r="I18">
        <v>-50</v>
      </c>
      <c r="J18">
        <v>-50</v>
      </c>
      <c r="K18">
        <v>-75</v>
      </c>
      <c r="L18">
        <v>-50</v>
      </c>
      <c r="M18">
        <v>-20</v>
      </c>
      <c r="N18">
        <v>25</v>
      </c>
      <c r="O18">
        <v>25</v>
      </c>
      <c r="P18">
        <v>25</v>
      </c>
      <c r="Q18">
        <v>10</v>
      </c>
      <c r="R18">
        <v>15</v>
      </c>
      <c r="S18">
        <v>10</v>
      </c>
      <c r="T18">
        <v>15</v>
      </c>
      <c r="U18">
        <v>10</v>
      </c>
      <c r="V18" s="39">
        <v>0</v>
      </c>
      <c r="W18" s="39">
        <v>0</v>
      </c>
      <c r="X18" s="39">
        <v>0</v>
      </c>
      <c r="Y18" s="39">
        <v>0</v>
      </c>
      <c r="Z18" s="39">
        <v>0</v>
      </c>
      <c r="AA18" s="39">
        <v>0</v>
      </c>
      <c r="AB18" s="39">
        <v>0</v>
      </c>
      <c r="AC18" s="39">
        <v>0</v>
      </c>
      <c r="AK18" s="17">
        <v>-30</v>
      </c>
      <c r="AL18" s="17">
        <v>-30</v>
      </c>
      <c r="BR18">
        <v>0.1</v>
      </c>
      <c r="BS18" t="s">
        <v>1685</v>
      </c>
    </row>
    <row r="19" spans="1:71" ht="54" x14ac:dyDescent="0.4">
      <c r="A19" s="48" t="s">
        <v>873</v>
      </c>
      <c r="B19" s="46" t="s">
        <v>874</v>
      </c>
      <c r="C19" s="39">
        <v>0.9</v>
      </c>
      <c r="D19">
        <v>4</v>
      </c>
      <c r="E19">
        <v>0</v>
      </c>
      <c r="F19" t="s">
        <v>1238</v>
      </c>
      <c r="G19">
        <v>-50</v>
      </c>
      <c r="H19">
        <v>-50</v>
      </c>
      <c r="I19">
        <v>-50</v>
      </c>
      <c r="J19">
        <v>-50</v>
      </c>
      <c r="K19">
        <v>-75</v>
      </c>
      <c r="L19">
        <v>-50</v>
      </c>
      <c r="M19">
        <v>-20</v>
      </c>
      <c r="N19">
        <v>0</v>
      </c>
      <c r="O19">
        <v>0</v>
      </c>
      <c r="P19">
        <v>0</v>
      </c>
      <c r="Q19">
        <v>0</v>
      </c>
      <c r="R19">
        <v>0</v>
      </c>
      <c r="S19">
        <v>0</v>
      </c>
      <c r="T19">
        <v>0</v>
      </c>
      <c r="U19">
        <v>0</v>
      </c>
      <c r="V19" s="39">
        <v>0</v>
      </c>
      <c r="W19" s="39">
        <v>0</v>
      </c>
      <c r="X19" s="39">
        <v>0</v>
      </c>
      <c r="Y19" s="39">
        <v>0</v>
      </c>
      <c r="Z19" s="39">
        <v>0</v>
      </c>
      <c r="AA19" s="39">
        <v>0</v>
      </c>
      <c r="AB19" s="39">
        <v>0</v>
      </c>
      <c r="AC19" s="39">
        <v>0</v>
      </c>
      <c r="AK19" s="17"/>
      <c r="AL19" s="17">
        <v>-15</v>
      </c>
      <c r="AS19" s="17">
        <v>20</v>
      </c>
      <c r="BF19">
        <v>50</v>
      </c>
    </row>
    <row r="20" spans="1:71" x14ac:dyDescent="0.4">
      <c r="A20" s="48"/>
      <c r="B20" s="46"/>
      <c r="C20" s="39"/>
      <c r="V20" s="39"/>
      <c r="W20" s="39"/>
      <c r="X20" s="39"/>
      <c r="Y20" s="39"/>
      <c r="Z20" s="39"/>
      <c r="AA20" s="39"/>
      <c r="AB20" s="39"/>
      <c r="AC20" s="39"/>
      <c r="AK20" s="17"/>
      <c r="AL20" s="17"/>
      <c r="AS20" s="17"/>
    </row>
    <row r="21" spans="1:71" x14ac:dyDescent="0.4">
      <c r="A21" s="48" t="s">
        <v>1205</v>
      </c>
      <c r="B21" s="46"/>
      <c r="C21" s="39"/>
      <c r="G21">
        <v>15</v>
      </c>
      <c r="H21">
        <v>15</v>
      </c>
      <c r="V21" s="39"/>
      <c r="W21" s="39"/>
      <c r="X21" s="39"/>
      <c r="Y21" s="39"/>
      <c r="Z21" s="39"/>
      <c r="AA21" s="39"/>
      <c r="AB21" s="39"/>
      <c r="AC21" s="39"/>
      <c r="AK21" s="17"/>
      <c r="AL21" s="17"/>
      <c r="AS21" s="17"/>
      <c r="BE21">
        <v>5</v>
      </c>
      <c r="BG21">
        <v>10</v>
      </c>
    </row>
    <row r="22" spans="1:71" x14ac:dyDescent="0.4">
      <c r="A22" s="48" t="s">
        <v>1206</v>
      </c>
      <c r="B22" s="46"/>
      <c r="C22" s="39">
        <v>0.3</v>
      </c>
      <c r="S22">
        <v>40</v>
      </c>
      <c r="V22" s="39"/>
      <c r="W22" s="39"/>
      <c r="X22" s="39"/>
      <c r="Y22" s="39"/>
      <c r="Z22" s="39"/>
      <c r="AA22" s="39"/>
      <c r="AB22" s="39"/>
      <c r="AC22" s="39"/>
      <c r="AK22" s="17"/>
      <c r="AL22" s="17"/>
      <c r="AS22" s="17"/>
    </row>
    <row r="23" spans="1:71" x14ac:dyDescent="0.4">
      <c r="A23" s="48" t="s">
        <v>1207</v>
      </c>
      <c r="B23" s="46"/>
      <c r="C23" s="39">
        <v>0.15</v>
      </c>
      <c r="T23">
        <v>40</v>
      </c>
      <c r="V23" s="39"/>
      <c r="W23" s="39"/>
      <c r="X23" s="39"/>
      <c r="Y23" s="39"/>
      <c r="Z23" s="39"/>
      <c r="AA23" s="39"/>
      <c r="AB23" s="39"/>
      <c r="AC23" s="39"/>
      <c r="AK23" s="17"/>
      <c r="AL23" s="17"/>
      <c r="AS23" s="17"/>
    </row>
    <row r="24" spans="1:71" x14ac:dyDescent="0.4">
      <c r="A24" s="48" t="s">
        <v>1208</v>
      </c>
      <c r="B24" s="46"/>
      <c r="C24" s="39">
        <v>0.15</v>
      </c>
      <c r="U24">
        <v>40</v>
      </c>
      <c r="V24" s="39"/>
      <c r="W24" s="39"/>
      <c r="X24" s="39"/>
      <c r="Y24" s="39"/>
      <c r="Z24" s="39"/>
      <c r="AA24" s="39"/>
      <c r="AB24" s="39"/>
      <c r="AC24" s="39"/>
      <c r="AK24" s="17"/>
      <c r="AL24" s="17"/>
      <c r="AS24" s="17"/>
    </row>
    <row r="25" spans="1:71" x14ac:dyDescent="0.4">
      <c r="A25" s="48" t="s">
        <v>1209</v>
      </c>
      <c r="B25" s="46"/>
      <c r="C25" s="39">
        <v>0.1</v>
      </c>
      <c r="G25">
        <v>20</v>
      </c>
      <c r="J25">
        <v>10</v>
      </c>
      <c r="V25" s="39"/>
      <c r="W25" s="39"/>
      <c r="X25" s="39"/>
      <c r="Y25" s="39"/>
      <c r="Z25" s="39"/>
      <c r="AA25" s="39">
        <v>0.25</v>
      </c>
      <c r="AB25" s="39">
        <v>0.25</v>
      </c>
      <c r="AC25" s="39"/>
      <c r="AK25" s="17"/>
      <c r="AL25" s="17"/>
      <c r="AS25" s="17"/>
      <c r="BG25">
        <v>5</v>
      </c>
    </row>
    <row r="26" spans="1:71" x14ac:dyDescent="0.4">
      <c r="A26" s="48" t="s">
        <v>1210</v>
      </c>
      <c r="B26" s="46"/>
      <c r="C26" s="39"/>
      <c r="G26">
        <v>-15</v>
      </c>
      <c r="H26">
        <v>-15</v>
      </c>
      <c r="I26">
        <v>-15</v>
      </c>
      <c r="J26">
        <v>-15</v>
      </c>
      <c r="K26">
        <v>-15</v>
      </c>
      <c r="L26">
        <v>-15</v>
      </c>
      <c r="M26">
        <v>-15</v>
      </c>
      <c r="N26">
        <v>-15</v>
      </c>
      <c r="O26">
        <v>-15</v>
      </c>
      <c r="P26">
        <v>-15</v>
      </c>
      <c r="Q26">
        <v>-15</v>
      </c>
      <c r="R26">
        <v>-15</v>
      </c>
      <c r="S26">
        <v>-15</v>
      </c>
      <c r="T26">
        <v>-15</v>
      </c>
      <c r="V26" s="39"/>
      <c r="W26" s="39"/>
      <c r="X26" s="39"/>
      <c r="Y26" s="39"/>
      <c r="Z26" s="39"/>
      <c r="AA26" s="39"/>
      <c r="AB26" s="39"/>
      <c r="AC26" s="39"/>
      <c r="AK26" s="17"/>
      <c r="AL26" s="17"/>
      <c r="AS26" s="17"/>
      <c r="BF26">
        <v>20</v>
      </c>
    </row>
    <row r="27" spans="1:71" x14ac:dyDescent="0.4">
      <c r="A27" s="48"/>
      <c r="B27" s="46"/>
      <c r="C27" s="39"/>
      <c r="V27" s="39"/>
      <c r="W27" s="39"/>
      <c r="X27" s="39"/>
      <c r="Y27" s="39"/>
      <c r="Z27" s="39"/>
      <c r="AA27" s="39"/>
      <c r="AB27" s="39"/>
      <c r="AC27" s="39"/>
      <c r="AK27" s="17"/>
      <c r="AL27" s="17"/>
      <c r="AS27" s="17"/>
    </row>
    <row r="29" spans="1:71" ht="27" x14ac:dyDescent="0.4">
      <c r="A29" s="49" t="s">
        <v>593</v>
      </c>
      <c r="B29" s="50" t="s">
        <v>760</v>
      </c>
      <c r="C29">
        <v>0</v>
      </c>
      <c r="D29">
        <v>2</v>
      </c>
      <c r="G29">
        <v>-10</v>
      </c>
      <c r="H29">
        <v>-10</v>
      </c>
      <c r="I29">
        <v>-10</v>
      </c>
      <c r="J29">
        <v>-10</v>
      </c>
      <c r="K29">
        <v>-10</v>
      </c>
      <c r="L29">
        <v>-10</v>
      </c>
      <c r="M29">
        <v>-10</v>
      </c>
      <c r="N29">
        <v>-10</v>
      </c>
      <c r="O29">
        <v>-10</v>
      </c>
      <c r="P29">
        <v>-10</v>
      </c>
      <c r="Q29">
        <v>-10</v>
      </c>
      <c r="R29">
        <v>-10</v>
      </c>
      <c r="S29">
        <v>-10</v>
      </c>
      <c r="T29">
        <v>-10</v>
      </c>
      <c r="U29">
        <v>-10</v>
      </c>
      <c r="V29">
        <v>0</v>
      </c>
      <c r="W29">
        <v>0</v>
      </c>
      <c r="X29">
        <v>0</v>
      </c>
      <c r="Y29">
        <v>0</v>
      </c>
      <c r="Z29">
        <v>0</v>
      </c>
      <c r="AA29">
        <v>0</v>
      </c>
      <c r="AB29">
        <v>0</v>
      </c>
      <c r="AC29">
        <v>0</v>
      </c>
      <c r="AS29">
        <v>-30</v>
      </c>
    </row>
    <row r="30" spans="1:71" ht="27" x14ac:dyDescent="0.4">
      <c r="A30" s="48" t="s">
        <v>761</v>
      </c>
      <c r="B30" s="46" t="s">
        <v>762</v>
      </c>
      <c r="C30">
        <v>0</v>
      </c>
      <c r="D30">
        <v>3</v>
      </c>
      <c r="G30">
        <v>-10</v>
      </c>
      <c r="H30">
        <v>-10</v>
      </c>
      <c r="I30">
        <v>-10</v>
      </c>
      <c r="J30">
        <v>-10</v>
      </c>
      <c r="K30">
        <v>-10</v>
      </c>
      <c r="L30">
        <v>-10</v>
      </c>
      <c r="M30">
        <v>-10</v>
      </c>
      <c r="N30">
        <v>-10</v>
      </c>
      <c r="O30">
        <v>-10</v>
      </c>
      <c r="P30">
        <v>-10</v>
      </c>
      <c r="Q30">
        <v>-10</v>
      </c>
      <c r="R30">
        <v>-10</v>
      </c>
      <c r="S30">
        <v>-10</v>
      </c>
      <c r="T30">
        <v>-10</v>
      </c>
      <c r="U30">
        <v>-10</v>
      </c>
      <c r="V30">
        <v>0</v>
      </c>
      <c r="W30">
        <v>0</v>
      </c>
      <c r="X30">
        <v>0</v>
      </c>
      <c r="Y30">
        <v>0</v>
      </c>
      <c r="Z30">
        <v>0</v>
      </c>
      <c r="AA30">
        <v>0</v>
      </c>
      <c r="AB30">
        <v>0</v>
      </c>
      <c r="AC30">
        <v>0</v>
      </c>
      <c r="AS30">
        <v>-30</v>
      </c>
    </row>
    <row r="31" spans="1:71" ht="27" x14ac:dyDescent="0.4">
      <c r="A31" s="48" t="s">
        <v>763</v>
      </c>
      <c r="B31" s="46" t="s">
        <v>764</v>
      </c>
      <c r="C31">
        <v>0</v>
      </c>
      <c r="D31">
        <v>4</v>
      </c>
      <c r="G31">
        <v>-10</v>
      </c>
      <c r="H31">
        <v>-10</v>
      </c>
      <c r="I31">
        <v>-10</v>
      </c>
      <c r="J31">
        <v>-10</v>
      </c>
      <c r="K31">
        <v>-10</v>
      </c>
      <c r="L31">
        <v>-10</v>
      </c>
      <c r="M31">
        <v>-10</v>
      </c>
      <c r="N31">
        <v>-10</v>
      </c>
      <c r="O31">
        <v>-10</v>
      </c>
      <c r="P31">
        <v>-10</v>
      </c>
      <c r="Q31">
        <v>-10</v>
      </c>
      <c r="R31">
        <v>-10</v>
      </c>
      <c r="S31">
        <v>-10</v>
      </c>
      <c r="T31">
        <v>-10</v>
      </c>
      <c r="U31">
        <v>-10</v>
      </c>
      <c r="V31">
        <v>0</v>
      </c>
      <c r="W31">
        <v>0</v>
      </c>
      <c r="X31">
        <v>0</v>
      </c>
      <c r="Y31">
        <v>0</v>
      </c>
      <c r="Z31">
        <v>0</v>
      </c>
      <c r="AA31">
        <v>0</v>
      </c>
      <c r="AB31">
        <v>0</v>
      </c>
      <c r="AC31">
        <v>0</v>
      </c>
      <c r="AS31">
        <v>-30</v>
      </c>
    </row>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12D21-B0FE-4607-B5F3-066E52C75540}">
  <sheetPr codeName="Sheet17"/>
  <dimension ref="A1:W176"/>
  <sheetViews>
    <sheetView workbookViewId="0">
      <pane xSplit="5" ySplit="2" topLeftCell="F3" activePane="bottomRight" state="frozen"/>
      <selection pane="topRight" activeCell="E1" sqref="E1"/>
      <selection pane="bottomLeft" activeCell="A3" sqref="A3"/>
      <selection pane="bottomRight" activeCell="W1" sqref="W1"/>
    </sheetView>
  </sheetViews>
  <sheetFormatPr defaultRowHeight="18.75" outlineLevelRow="1" x14ac:dyDescent="0.4"/>
  <cols>
    <col min="1" max="1" width="5.625" style="2" customWidth="1"/>
    <col min="2" max="2" width="15.75" style="10" customWidth="1"/>
    <col min="3" max="3" width="5.5" bestFit="1" customWidth="1"/>
    <col min="4" max="6" width="6.75" customWidth="1"/>
    <col min="7" max="7" width="3.125" customWidth="1"/>
    <col min="8" max="8" width="3.875" customWidth="1"/>
    <col min="9" max="9" width="4.5" customWidth="1"/>
    <col min="10" max="11" width="5.25" bestFit="1" customWidth="1"/>
    <col min="12" max="12" width="7.125" bestFit="1" customWidth="1"/>
    <col min="13" max="14" width="3.375" bestFit="1" customWidth="1"/>
    <col min="15" max="15" width="3.375" customWidth="1"/>
    <col min="16" max="17" width="6.25" bestFit="1" customWidth="1"/>
    <col min="23" max="23" width="38.625" customWidth="1"/>
  </cols>
  <sheetData>
    <row r="1" spans="1:23" s="10" customFormat="1" ht="36" x14ac:dyDescent="0.4">
      <c r="A1" s="10" t="s">
        <v>740</v>
      </c>
      <c r="B1" s="10" t="s">
        <v>741</v>
      </c>
      <c r="C1" s="2" t="s">
        <v>868</v>
      </c>
      <c r="D1" s="2" t="s">
        <v>1232</v>
      </c>
      <c r="E1" s="2" t="s">
        <v>854</v>
      </c>
      <c r="F1" s="2" t="s">
        <v>810</v>
      </c>
      <c r="G1" s="51" t="s">
        <v>743</v>
      </c>
      <c r="H1" s="51" t="s">
        <v>742</v>
      </c>
      <c r="I1" s="51" t="s">
        <v>869</v>
      </c>
      <c r="J1" s="10" t="s">
        <v>744</v>
      </c>
      <c r="K1" s="10" t="s">
        <v>313</v>
      </c>
      <c r="L1" s="10" t="s">
        <v>750</v>
      </c>
      <c r="M1" s="10" t="s">
        <v>747</v>
      </c>
      <c r="N1" s="10" t="s">
        <v>748</v>
      </c>
      <c r="O1" s="10" t="s">
        <v>749</v>
      </c>
      <c r="P1" s="10" t="s">
        <v>745</v>
      </c>
      <c r="Q1" s="10" t="s">
        <v>746</v>
      </c>
      <c r="R1" s="10" t="s">
        <v>1118</v>
      </c>
      <c r="S1" s="10" t="s">
        <v>1265</v>
      </c>
      <c r="W1" s="10" t="s">
        <v>1540</v>
      </c>
    </row>
    <row r="2" spans="1:23" x14ac:dyDescent="0.4">
      <c r="A2" s="2">
        <v>1</v>
      </c>
      <c r="B2" s="10">
        <v>2</v>
      </c>
      <c r="C2" s="2">
        <v>3</v>
      </c>
      <c r="D2" s="10">
        <v>4</v>
      </c>
      <c r="E2" s="2">
        <v>5</v>
      </c>
      <c r="F2" s="10">
        <v>6</v>
      </c>
      <c r="G2" s="2">
        <v>7</v>
      </c>
      <c r="H2" s="10">
        <v>8</v>
      </c>
      <c r="I2" s="2">
        <v>9</v>
      </c>
      <c r="J2" s="10">
        <v>10</v>
      </c>
      <c r="K2" s="2">
        <v>11</v>
      </c>
      <c r="L2" s="10">
        <v>12</v>
      </c>
      <c r="M2" s="2">
        <v>13</v>
      </c>
      <c r="N2" s="10">
        <v>14</v>
      </c>
      <c r="O2" s="2">
        <v>15</v>
      </c>
      <c r="P2" s="10">
        <v>16</v>
      </c>
      <c r="Q2" s="2">
        <v>17</v>
      </c>
      <c r="R2" s="10">
        <v>18</v>
      </c>
    </row>
    <row r="3" spans="1:23" x14ac:dyDescent="0.4">
      <c r="A3" s="2" t="s">
        <v>498</v>
      </c>
      <c r="B3" s="10" t="s">
        <v>198</v>
      </c>
      <c r="C3" t="str">
        <f>_xlfn.LET(
 _xlpm.dOK,COUNTIF(クラス!A:A,E3)&gt;0,
 _xlpm.eOK,COUNTIF(クラス!A:A,F3)&gt;0,
 IF(_xlpm.dOK,"○","×") &amp; IF(_xlpm.eOK,"○","×")
)</f>
        <v>○×</v>
      </c>
      <c r="D3" t="b">
        <v>1</v>
      </c>
      <c r="E3" t="s">
        <v>199</v>
      </c>
      <c r="G3">
        <v>5</v>
      </c>
      <c r="H3">
        <v>8</v>
      </c>
      <c r="R3" t="s">
        <v>1119</v>
      </c>
      <c r="S3" t="str">
        <f>IFERROR(VLOOKUP(B3,$U:$V,2,FALSE),"")</f>
        <v>鳥系生物の巣</v>
      </c>
      <c r="U3" t="s">
        <v>198</v>
      </c>
      <c r="V3" t="s">
        <v>1243</v>
      </c>
      <c r="W3" t="s">
        <v>1550</v>
      </c>
    </row>
    <row r="4" spans="1:23" outlineLevel="1" x14ac:dyDescent="0.4">
      <c r="A4" s="2" t="s">
        <v>498</v>
      </c>
      <c r="B4" s="10" t="s">
        <v>195</v>
      </c>
      <c r="C4" t="str">
        <f>_xlfn.LET(
 _xlpm.dOK,COUNTIF(クラス!A:A,E4)&gt;0,
 _xlpm.eOK,COUNTIF(クラス!A:A,F4)&gt;0,
 IF(_xlpm.dOK,"○","×") &amp; IF(_xlpm.eOK,"○","×")
)</f>
        <v>○×</v>
      </c>
      <c r="E4" t="s">
        <v>195</v>
      </c>
      <c r="G4">
        <v>4</v>
      </c>
      <c r="H4">
        <v>7</v>
      </c>
      <c r="R4" t="s">
        <v>195</v>
      </c>
      <c r="S4" t="str">
        <f t="shared" ref="S4:S67" si="0">IFERROR(VLOOKUP(B4,$U:$V,2,FALSE),"")</f>
        <v>肉食生物の巣</v>
      </c>
      <c r="U4" t="s">
        <v>125</v>
      </c>
      <c r="V4" t="s">
        <v>1244</v>
      </c>
      <c r="W4" t="s">
        <v>1551</v>
      </c>
    </row>
    <row r="5" spans="1:23" outlineLevel="1" x14ac:dyDescent="0.4">
      <c r="A5" s="2" t="s">
        <v>498</v>
      </c>
      <c r="B5" s="10" t="s">
        <v>1242</v>
      </c>
      <c r="C5" t="str">
        <f>_xlfn.LET(
 _xlpm.dOK,COUNTIF(クラス!A:A,E5)&gt;0,
 _xlpm.eOK,COUNTIF(クラス!A:A,F5)&gt;0,
 IF(_xlpm.dOK,"○","×") &amp; IF(_xlpm.eOK,"○","×")
)</f>
        <v>××</v>
      </c>
      <c r="S5" t="str">
        <f t="shared" si="0"/>
        <v>虫系の巣</v>
      </c>
      <c r="U5" t="s">
        <v>767</v>
      </c>
      <c r="V5" t="s">
        <v>1245</v>
      </c>
      <c r="W5" t="s">
        <v>1552</v>
      </c>
    </row>
    <row r="6" spans="1:23" outlineLevel="1" x14ac:dyDescent="0.4">
      <c r="A6" s="2" t="s">
        <v>498</v>
      </c>
      <c r="B6" s="10" t="s">
        <v>768</v>
      </c>
      <c r="C6" t="str">
        <f>_xlfn.LET(
 _xlpm.dOK,COUNTIF(クラス!A:A,E6)&gt;0,
 _xlpm.eOK,COUNTIF(クラス!A:A,F6)&gt;0,
 IF(_xlpm.dOK,"○","×") &amp; IF(_xlpm.eOK,"○","×")
)</f>
        <v>××</v>
      </c>
      <c r="S6" t="str">
        <f t="shared" si="0"/>
        <v>地中生物の巣</v>
      </c>
      <c r="U6" t="s">
        <v>768</v>
      </c>
      <c r="V6" t="s">
        <v>1246</v>
      </c>
      <c r="W6" t="s">
        <v>1553</v>
      </c>
    </row>
    <row r="7" spans="1:23" outlineLevel="1" x14ac:dyDescent="0.4">
      <c r="A7" s="2" t="s">
        <v>498</v>
      </c>
      <c r="B7" s="10" t="s">
        <v>769</v>
      </c>
      <c r="C7" t="str">
        <f>_xlfn.LET(
 _xlpm.dOK,COUNTIF(クラス!A:A,E7)&gt;0,
 _xlpm.eOK,COUNTIF(クラス!A:A,F7)&gt;0,
 IF(_xlpm.dOK,"○","×") &amp; IF(_xlpm.eOK,"○","×")
)</f>
        <v>○○</v>
      </c>
      <c r="D7" t="b">
        <v>1</v>
      </c>
      <c r="E7" t="s">
        <v>196</v>
      </c>
      <c r="F7" t="s">
        <v>199</v>
      </c>
      <c r="G7">
        <v>12</v>
      </c>
      <c r="H7">
        <v>15</v>
      </c>
      <c r="R7" t="s">
        <v>769</v>
      </c>
      <c r="S7" t="str">
        <f t="shared" si="0"/>
        <v>肉食生物の巣</v>
      </c>
      <c r="U7" t="s">
        <v>769</v>
      </c>
      <c r="V7" t="s">
        <v>1244</v>
      </c>
      <c r="W7" t="s">
        <v>1554</v>
      </c>
    </row>
    <row r="8" spans="1:23" ht="36" outlineLevel="1" x14ac:dyDescent="0.4">
      <c r="A8" s="2" t="s">
        <v>498</v>
      </c>
      <c r="B8" s="10" t="s">
        <v>1198</v>
      </c>
      <c r="C8" t="str">
        <f>_xlfn.LET(
 _xlpm.dOK,COUNTIF(クラス!A:A,E8)&gt;0,
 _xlpm.eOK,COUNTIF(クラス!A:A,F8)&gt;0,
 IF(_xlpm.dOK,"○","×") &amp; IF(_xlpm.eOK,"○","×")
)</f>
        <v>○○</v>
      </c>
      <c r="E8" t="s">
        <v>194</v>
      </c>
      <c r="F8" t="s">
        <v>206</v>
      </c>
      <c r="G8">
        <v>12</v>
      </c>
      <c r="H8">
        <v>15</v>
      </c>
      <c r="R8" t="s">
        <v>1198</v>
      </c>
      <c r="S8" t="str">
        <f t="shared" si="0"/>
        <v>肉食生物の巣</v>
      </c>
      <c r="U8" t="s">
        <v>1219</v>
      </c>
      <c r="V8" t="s">
        <v>1244</v>
      </c>
      <c r="W8" t="s">
        <v>1555</v>
      </c>
    </row>
    <row r="9" spans="1:23" outlineLevel="1" x14ac:dyDescent="0.4">
      <c r="A9" s="2" t="s">
        <v>498</v>
      </c>
      <c r="B9" s="10" t="s">
        <v>773</v>
      </c>
      <c r="C9" t="str">
        <f>_xlfn.LET(
 _xlpm.dOK,COUNTIF(クラス!A:A,E9)&gt;0,
 _xlpm.eOK,COUNTIF(クラス!A:A,F9)&gt;0,
 IF(_xlpm.dOK,"○","×") &amp; IF(_xlpm.eOK,"○","×")
)</f>
        <v>○×</v>
      </c>
      <c r="D9" t="b">
        <v>1</v>
      </c>
      <c r="E9" t="s">
        <v>853</v>
      </c>
      <c r="G9">
        <v>15</v>
      </c>
      <c r="H9">
        <v>20</v>
      </c>
      <c r="R9" t="s">
        <v>853</v>
      </c>
      <c r="S9" t="str">
        <f t="shared" si="0"/>
        <v>飛竜の巣</v>
      </c>
      <c r="U9" t="s">
        <v>773</v>
      </c>
      <c r="V9" t="s">
        <v>1247</v>
      </c>
      <c r="W9" t="s">
        <v>1556</v>
      </c>
    </row>
    <row r="10" spans="1:23" outlineLevel="1" x14ac:dyDescent="0.4">
      <c r="C10" t="str">
        <f>_xlfn.LET(
 _xlpm.dOK,COUNTIF(クラス!A:A,E10)&gt;0,
 _xlpm.eOK,COUNTIF(クラス!A:A,F10)&gt;0,
 IF(_xlpm.dOK,"○","×") &amp; IF(_xlpm.eOK,"○","×")
)</f>
        <v>××</v>
      </c>
      <c r="S10" t="str">
        <f t="shared" si="0"/>
        <v/>
      </c>
    </row>
    <row r="11" spans="1:23" outlineLevel="1" x14ac:dyDescent="0.4">
      <c r="A11" s="2" t="s">
        <v>1230</v>
      </c>
      <c r="B11" s="10" t="s">
        <v>194</v>
      </c>
      <c r="C11" t="str">
        <f>_xlfn.LET(
 _xlpm.dOK,COUNTIF(クラス!A:A,E11)&gt;0,
 _xlpm.eOK,COUNTIF(クラス!A:A,F11)&gt;0,
 IF(_xlpm.dOK,"○","×") &amp; IF(_xlpm.eOK,"○","×")
)</f>
        <v>○×</v>
      </c>
      <c r="D11" t="b">
        <v>1</v>
      </c>
      <c r="E11" t="s">
        <v>194</v>
      </c>
      <c r="G11">
        <v>5</v>
      </c>
      <c r="H11">
        <v>8</v>
      </c>
      <c r="R11" t="s">
        <v>1120</v>
      </c>
      <c r="S11" t="str">
        <f t="shared" si="0"/>
        <v>肉食生物の巣</v>
      </c>
      <c r="U11" t="s">
        <v>124</v>
      </c>
      <c r="V11" t="s">
        <v>1244</v>
      </c>
      <c r="W11" t="s">
        <v>1557</v>
      </c>
    </row>
    <row r="12" spans="1:23" outlineLevel="1" x14ac:dyDescent="0.4">
      <c r="A12" s="2" t="s">
        <v>1230</v>
      </c>
      <c r="B12" s="10" t="s">
        <v>195</v>
      </c>
      <c r="C12" t="str">
        <f>_xlfn.LET(
 _xlpm.dOK,COUNTIF(クラス!A:A,E12)&gt;0,
 _xlpm.eOK,COUNTIF(クラス!A:A,F12)&gt;0,
 IF(_xlpm.dOK,"○","×") &amp; IF(_xlpm.eOK,"○","×")
)</f>
        <v>○×</v>
      </c>
      <c r="E12" t="s">
        <v>195</v>
      </c>
      <c r="G12">
        <v>4</v>
      </c>
      <c r="H12">
        <v>7</v>
      </c>
      <c r="R12" t="s">
        <v>195</v>
      </c>
      <c r="S12" t="str">
        <f t="shared" si="0"/>
        <v>肉食生物の巣</v>
      </c>
      <c r="U12" t="s">
        <v>125</v>
      </c>
      <c r="V12" t="s">
        <v>1244</v>
      </c>
      <c r="W12" t="s">
        <v>1558</v>
      </c>
    </row>
    <row r="13" spans="1:23" outlineLevel="1" x14ac:dyDescent="0.4">
      <c r="A13" s="2" t="s">
        <v>1230</v>
      </c>
      <c r="B13" s="10" t="s">
        <v>203</v>
      </c>
      <c r="C13" t="str">
        <f>_xlfn.LET(
 _xlpm.dOK,COUNTIF(クラス!A:A,E13)&gt;0,
 _xlpm.eOK,COUNTIF(クラス!A:A,F13)&gt;0,
 IF(_xlpm.dOK,"○","×") &amp; IF(_xlpm.eOK,"○","×")
)</f>
        <v>○×</v>
      </c>
      <c r="D13" t="b">
        <v>1</v>
      </c>
      <c r="E13" t="s">
        <v>202</v>
      </c>
      <c r="G13">
        <v>7</v>
      </c>
      <c r="H13">
        <v>9</v>
      </c>
      <c r="S13" t="str">
        <f t="shared" si="0"/>
        <v>肉食生物の巣</v>
      </c>
      <c r="U13" t="s">
        <v>202</v>
      </c>
      <c r="V13" t="s">
        <v>1244</v>
      </c>
      <c r="W13" t="s">
        <v>1559</v>
      </c>
    </row>
    <row r="14" spans="1:23" outlineLevel="1" x14ac:dyDescent="0.4">
      <c r="A14" s="2" t="s">
        <v>1230</v>
      </c>
      <c r="B14" s="10" t="s">
        <v>797</v>
      </c>
      <c r="C14" t="str">
        <f>_xlfn.LET(
 _xlpm.dOK,COUNTIF(クラス!A:A,E14)&gt;0,
 _xlpm.eOK,COUNTIF(クラス!A:A,F14)&gt;0,
 IF(_xlpm.dOK,"○","×") &amp; IF(_xlpm.eOK,"○","×")
)</f>
        <v>○×</v>
      </c>
      <c r="E14" t="s">
        <v>195</v>
      </c>
      <c r="G14">
        <v>8</v>
      </c>
      <c r="H14">
        <v>12</v>
      </c>
      <c r="S14" t="str">
        <f t="shared" si="0"/>
        <v>地中生物の巣</v>
      </c>
      <c r="U14" t="s">
        <v>797</v>
      </c>
      <c r="V14" t="s">
        <v>1246</v>
      </c>
      <c r="W14" t="s">
        <v>1560</v>
      </c>
    </row>
    <row r="15" spans="1:23" outlineLevel="1" x14ac:dyDescent="0.4">
      <c r="A15" s="2" t="s">
        <v>1230</v>
      </c>
      <c r="B15" s="10" t="s">
        <v>769</v>
      </c>
      <c r="C15" t="str">
        <f>_xlfn.LET(
 _xlpm.dOK,COUNTIF(クラス!A:A,E15)&gt;0,
 _xlpm.eOK,COUNTIF(クラス!A:A,F15)&gt;0,
 IF(_xlpm.dOK,"○","×") &amp; IF(_xlpm.eOK,"○","×")
)</f>
        <v>○○</v>
      </c>
      <c r="D15" t="b">
        <v>1</v>
      </c>
      <c r="E15" t="s">
        <v>196</v>
      </c>
      <c r="F15" t="s">
        <v>199</v>
      </c>
      <c r="G15">
        <v>12</v>
      </c>
      <c r="H15">
        <v>15</v>
      </c>
      <c r="R15" t="s">
        <v>769</v>
      </c>
      <c r="S15" t="str">
        <f t="shared" si="0"/>
        <v>肉食生物の巣</v>
      </c>
      <c r="U15" t="s">
        <v>769</v>
      </c>
      <c r="V15" t="s">
        <v>1244</v>
      </c>
      <c r="W15" t="s">
        <v>1561</v>
      </c>
    </row>
    <row r="16" spans="1:23" ht="36" outlineLevel="1" x14ac:dyDescent="0.4">
      <c r="A16" s="2" t="s">
        <v>1230</v>
      </c>
      <c r="B16" s="10" t="s">
        <v>1198</v>
      </c>
      <c r="C16" t="str">
        <f>_xlfn.LET(
 _xlpm.dOK,COUNTIF(クラス!A:A,E16)&gt;0,
 _xlpm.eOK,COUNTIF(クラス!A:A,F16)&gt;0,
 IF(_xlpm.dOK,"○","×") &amp; IF(_xlpm.eOK,"○","×")
)</f>
        <v>○○</v>
      </c>
      <c r="E16" t="s">
        <v>194</v>
      </c>
      <c r="F16" t="s">
        <v>206</v>
      </c>
      <c r="G16">
        <v>12</v>
      </c>
      <c r="H16">
        <v>15</v>
      </c>
      <c r="R16" t="s">
        <v>1219</v>
      </c>
      <c r="S16" t="str">
        <f t="shared" si="0"/>
        <v>肉食生物の巣</v>
      </c>
      <c r="U16" t="s">
        <v>1219</v>
      </c>
      <c r="V16" t="s">
        <v>1244</v>
      </c>
      <c r="W16" t="s">
        <v>1562</v>
      </c>
    </row>
    <row r="17" spans="1:23" outlineLevel="1" x14ac:dyDescent="0.4">
      <c r="A17" s="2" t="s">
        <v>1230</v>
      </c>
      <c r="B17" s="10" t="s">
        <v>853</v>
      </c>
      <c r="C17" t="str">
        <f>_xlfn.LET(
 _xlpm.dOK,COUNTIF(クラス!A:A,E17)&gt;0,
 _xlpm.eOK,COUNTIF(クラス!A:A,F17)&gt;0,
 IF(_xlpm.dOK,"○","×") &amp; IF(_xlpm.eOK,"○","×")
)</f>
        <v>○×</v>
      </c>
      <c r="D17" t="b">
        <v>1</v>
      </c>
      <c r="E17" t="s">
        <v>853</v>
      </c>
      <c r="G17">
        <v>15</v>
      </c>
      <c r="H17">
        <v>20</v>
      </c>
      <c r="R17" t="s">
        <v>853</v>
      </c>
      <c r="S17" t="str">
        <f t="shared" si="0"/>
        <v>飛竜の巣</v>
      </c>
      <c r="U17" t="s">
        <v>773</v>
      </c>
      <c r="V17" t="s">
        <v>1247</v>
      </c>
      <c r="W17" t="s">
        <v>1563</v>
      </c>
    </row>
    <row r="18" spans="1:23" outlineLevel="1" x14ac:dyDescent="0.4">
      <c r="C18" t="str">
        <f>_xlfn.LET(
 _xlpm.dOK,COUNTIF(クラス!A:A,E18)&gt;0,
 _xlpm.eOK,COUNTIF(クラス!A:A,F18)&gt;0,
 IF(_xlpm.dOK,"○","×") &amp; IF(_xlpm.eOK,"○","×")
)</f>
        <v>××</v>
      </c>
      <c r="S18" t="str">
        <f t="shared" si="0"/>
        <v/>
      </c>
    </row>
    <row r="19" spans="1:23" outlineLevel="1" x14ac:dyDescent="0.4">
      <c r="A19" s="2" t="s">
        <v>505</v>
      </c>
      <c r="B19" s="10" t="s">
        <v>790</v>
      </c>
      <c r="C19" t="str">
        <f>_xlfn.LET(
 _xlpm.dOK,COUNTIF(クラス!A:A,E19)&gt;0,
 _xlpm.eOK,COUNTIF(クラス!A:A,F19)&gt;0,
 IF(_xlpm.dOK,"○","×") &amp; IF(_xlpm.eOK,"○","×")
)</f>
        <v>××</v>
      </c>
      <c r="S19" t="str">
        <f t="shared" si="0"/>
        <v>死霊の巣</v>
      </c>
      <c r="U19" t="s">
        <v>790</v>
      </c>
      <c r="V19" t="s">
        <v>1248</v>
      </c>
      <c r="W19" t="s">
        <v>1564</v>
      </c>
    </row>
    <row r="20" spans="1:23" outlineLevel="1" x14ac:dyDescent="0.4">
      <c r="A20" s="2" t="s">
        <v>505</v>
      </c>
      <c r="B20" s="10" t="s">
        <v>791</v>
      </c>
      <c r="C20" t="str">
        <f>_xlfn.LET(
 _xlpm.dOK,COUNTIF(クラス!A:A,E20)&gt;0,
 _xlpm.eOK,COUNTIF(クラス!A:A,F20)&gt;0,
 IF(_xlpm.dOK,"○","×") &amp; IF(_xlpm.eOK,"○","×")
)</f>
        <v>××</v>
      </c>
      <c r="S20" t="str">
        <f t="shared" si="0"/>
        <v>毒生成物の巣</v>
      </c>
      <c r="U20" t="s">
        <v>791</v>
      </c>
      <c r="V20" t="s">
        <v>1249</v>
      </c>
      <c r="W20" t="s">
        <v>1565</v>
      </c>
    </row>
    <row r="21" spans="1:23" outlineLevel="1" x14ac:dyDescent="0.4">
      <c r="A21" s="2" t="s">
        <v>505</v>
      </c>
      <c r="B21" s="10" t="s">
        <v>792</v>
      </c>
      <c r="C21" t="str">
        <f>_xlfn.LET(
 _xlpm.dOK,COUNTIF(クラス!A:A,E21)&gt;0,
 _xlpm.eOK,COUNTIF(クラス!A:A,F21)&gt;0,
 IF(_xlpm.dOK,"○","×") &amp; IF(_xlpm.eOK,"○","×")
)</f>
        <v>××</v>
      </c>
      <c r="S21" t="str">
        <f t="shared" si="0"/>
        <v>飛竜の巣</v>
      </c>
      <c r="U21" t="s">
        <v>792</v>
      </c>
      <c r="V21" t="s">
        <v>1247</v>
      </c>
      <c r="W21" t="s">
        <v>1566</v>
      </c>
    </row>
    <row r="22" spans="1:23" outlineLevel="1" x14ac:dyDescent="0.4">
      <c r="A22" s="2" t="s">
        <v>505</v>
      </c>
      <c r="B22" s="10" t="s">
        <v>793</v>
      </c>
      <c r="C22" t="str">
        <f>_xlfn.LET(
 _xlpm.dOK,COUNTIF(クラス!A:A,E22)&gt;0,
 _xlpm.eOK,COUNTIF(クラス!A:A,F22)&gt;0,
 IF(_xlpm.dOK,"○","×") &amp; IF(_xlpm.eOK,"○","×")
)</f>
        <v>××</v>
      </c>
      <c r="R22" t="s">
        <v>793</v>
      </c>
      <c r="S22" t="str">
        <f t="shared" si="0"/>
        <v>地中生物の巣</v>
      </c>
      <c r="U22" t="s">
        <v>793</v>
      </c>
      <c r="V22" t="s">
        <v>1246</v>
      </c>
      <c r="W22" t="s">
        <v>1567</v>
      </c>
    </row>
    <row r="23" spans="1:23" ht="36" outlineLevel="1" x14ac:dyDescent="0.4">
      <c r="A23" s="2" t="s">
        <v>505</v>
      </c>
      <c r="B23" s="10" t="s">
        <v>794</v>
      </c>
      <c r="C23" t="str">
        <f>_xlfn.LET(
 _xlpm.dOK,COUNTIF(クラス!A:A,E23)&gt;0,
 _xlpm.eOK,COUNTIF(クラス!A:A,F23)&gt;0,
 IF(_xlpm.dOK,"○","×") &amp; IF(_xlpm.eOK,"○","×")
)</f>
        <v>××</v>
      </c>
      <c r="R23" t="s">
        <v>1220</v>
      </c>
      <c r="S23" t="str">
        <f t="shared" si="0"/>
        <v>虫系の巣</v>
      </c>
      <c r="U23" t="s">
        <v>794</v>
      </c>
      <c r="V23" t="s">
        <v>1245</v>
      </c>
      <c r="W23" t="s">
        <v>1568</v>
      </c>
    </row>
    <row r="24" spans="1:23" outlineLevel="1" x14ac:dyDescent="0.4">
      <c r="A24" s="2" t="s">
        <v>505</v>
      </c>
      <c r="B24" s="10" t="s">
        <v>795</v>
      </c>
      <c r="C24" t="str">
        <f>_xlfn.LET(
 _xlpm.dOK,COUNTIF(クラス!A:A,E24)&gt;0,
 _xlpm.eOK,COUNTIF(クラス!A:A,F24)&gt;0,
 IF(_xlpm.dOK,"○","×") &amp; IF(_xlpm.eOK,"○","×")
)</f>
        <v>××</v>
      </c>
      <c r="S24" t="str">
        <f t="shared" si="0"/>
        <v>肉食生物の巣</v>
      </c>
      <c r="U24" t="s">
        <v>795</v>
      </c>
      <c r="V24" t="s">
        <v>1244</v>
      </c>
      <c r="W24" t="s">
        <v>1569</v>
      </c>
    </row>
    <row r="25" spans="1:23" ht="36" outlineLevel="1" x14ac:dyDescent="0.4">
      <c r="A25" s="2" t="s">
        <v>505</v>
      </c>
      <c r="B25" s="10" t="s">
        <v>796</v>
      </c>
      <c r="C25" t="str">
        <f>_xlfn.LET(
 _xlpm.dOK,COUNTIF(クラス!A:A,E25)&gt;0,
 _xlpm.eOK,COUNTIF(クラス!A:A,F25)&gt;0,
 IF(_xlpm.dOK,"○","×") &amp; IF(_xlpm.eOK,"○","×")
)</f>
        <v>××</v>
      </c>
      <c r="S25" t="str">
        <f t="shared" si="0"/>
        <v>土の輪</v>
      </c>
      <c r="U25" t="s">
        <v>796</v>
      </c>
      <c r="V25" t="s">
        <v>1250</v>
      </c>
      <c r="W25" t="s">
        <v>1570</v>
      </c>
    </row>
    <row r="26" spans="1:23" outlineLevel="1" x14ac:dyDescent="0.4">
      <c r="A26" s="2" t="s">
        <v>505</v>
      </c>
      <c r="B26" s="10" t="s">
        <v>797</v>
      </c>
      <c r="C26" t="str">
        <f>_xlfn.LET(
 _xlpm.dOK,COUNTIF(クラス!A:A,E26)&gt;0,
 _xlpm.eOK,COUNTIF(クラス!A:A,F26)&gt;0,
 IF(_xlpm.dOK,"○","×") &amp; IF(_xlpm.eOK,"○","×")
)</f>
        <v>××</v>
      </c>
      <c r="R26" t="s">
        <v>797</v>
      </c>
      <c r="S26" t="str">
        <f t="shared" si="0"/>
        <v>地中生物の巣</v>
      </c>
      <c r="U26" t="s">
        <v>797</v>
      </c>
      <c r="V26" t="s">
        <v>1246</v>
      </c>
      <c r="W26" t="s">
        <v>1571</v>
      </c>
    </row>
    <row r="27" spans="1:23" outlineLevel="1" x14ac:dyDescent="0.4">
      <c r="A27" s="2" t="s">
        <v>505</v>
      </c>
      <c r="B27" s="10" t="s">
        <v>798</v>
      </c>
      <c r="C27" t="str">
        <f>_xlfn.LET(
 _xlpm.dOK,COUNTIF(クラス!A:A,E27)&gt;0,
 _xlpm.eOK,COUNTIF(クラス!A:A,F27)&gt;0,
 IF(_xlpm.dOK,"○","×") &amp; IF(_xlpm.eOK,"○","×")
)</f>
        <v>××</v>
      </c>
      <c r="S27" t="str">
        <f t="shared" si="0"/>
        <v>死霊の巣</v>
      </c>
      <c r="U27" t="s">
        <v>798</v>
      </c>
      <c r="V27" t="s">
        <v>1248</v>
      </c>
      <c r="W27" t="s">
        <v>1572</v>
      </c>
    </row>
    <row r="28" spans="1:23" outlineLevel="1" x14ac:dyDescent="0.4">
      <c r="C28" t="str">
        <f>_xlfn.LET(
 _xlpm.dOK,COUNTIF(クラス!A:A,E28)&gt;0,
 _xlpm.eOK,COUNTIF(クラス!A:A,F28)&gt;0,
 IF(_xlpm.dOK,"○","×") &amp; IF(_xlpm.eOK,"○","×")
)</f>
        <v>××</v>
      </c>
      <c r="S28" t="str">
        <f t="shared" si="0"/>
        <v/>
      </c>
    </row>
    <row r="29" spans="1:23" x14ac:dyDescent="0.4">
      <c r="C29" t="str">
        <f>_xlfn.LET(
 _xlpm.dOK,COUNTIF(クラス!A:A,E29)&gt;0,
 _xlpm.eOK,COUNTIF(クラス!A:A,F29)&gt;0,
 IF(_xlpm.dOK,"○","×") &amp; IF(_xlpm.eOK,"○","×")
)</f>
        <v>××</v>
      </c>
      <c r="S29" t="str">
        <f t="shared" si="0"/>
        <v/>
      </c>
      <c r="U29" t="s">
        <v>774</v>
      </c>
      <c r="V29" t="s">
        <v>1251</v>
      </c>
    </row>
    <row r="30" spans="1:23" x14ac:dyDescent="0.4">
      <c r="A30" s="2" t="s">
        <v>499</v>
      </c>
      <c r="B30" s="10" t="s">
        <v>774</v>
      </c>
      <c r="C30" t="str">
        <f>_xlfn.LET(
 _xlpm.dOK,COUNTIF(クラス!A:A,E30)&gt;0,
 _xlpm.eOK,COUNTIF(クラス!A:A,F30)&gt;0,
 IF(_xlpm.dOK,"○","×") &amp; IF(_xlpm.eOK,"○","×")
)</f>
        <v>××</v>
      </c>
      <c r="S30" t="str">
        <f t="shared" si="0"/>
        <v>植物生物の巣</v>
      </c>
      <c r="U30" t="s">
        <v>775</v>
      </c>
      <c r="V30" t="s">
        <v>1251</v>
      </c>
      <c r="W30" t="s">
        <v>1573</v>
      </c>
    </row>
    <row r="31" spans="1:23" outlineLevel="1" x14ac:dyDescent="0.4">
      <c r="A31" s="2" t="s">
        <v>499</v>
      </c>
      <c r="B31" s="10" t="s">
        <v>775</v>
      </c>
      <c r="C31" t="str">
        <f>_xlfn.LET(
 _xlpm.dOK,COUNTIF(クラス!A:A,E31)&gt;0,
 _xlpm.eOK,COUNTIF(クラス!A:A,F31)&gt;0,
 IF(_xlpm.dOK,"○","×") &amp; IF(_xlpm.eOK,"○","×")
)</f>
        <v>××</v>
      </c>
      <c r="R31" t="s">
        <v>1124</v>
      </c>
      <c r="S31" t="str">
        <f t="shared" si="0"/>
        <v>植物生物の巣</v>
      </c>
      <c r="U31" t="s">
        <v>776</v>
      </c>
      <c r="V31" t="s">
        <v>1244</v>
      </c>
      <c r="W31" t="s">
        <v>1574</v>
      </c>
    </row>
    <row r="32" spans="1:23" outlineLevel="1" x14ac:dyDescent="0.4">
      <c r="A32" s="2" t="s">
        <v>499</v>
      </c>
      <c r="B32" s="10" t="s">
        <v>1218</v>
      </c>
      <c r="C32" t="str">
        <f>_xlfn.LET(
 _xlpm.dOK,COUNTIF(クラス!A:A,E32)&gt;0,
 _xlpm.eOK,COUNTIF(クラス!A:A,F32)&gt;0,
 IF(_xlpm.dOK,"○","×") &amp; IF(_xlpm.eOK,"○","×")
)</f>
        <v>○○</v>
      </c>
      <c r="D32" t="b">
        <v>1</v>
      </c>
      <c r="E32" t="s">
        <v>201</v>
      </c>
      <c r="F32" t="s">
        <v>813</v>
      </c>
      <c r="G32">
        <v>15</v>
      </c>
      <c r="H32">
        <v>25</v>
      </c>
      <c r="R32" t="s">
        <v>776</v>
      </c>
      <c r="S32" t="str">
        <f t="shared" si="0"/>
        <v>肉食生物の巣</v>
      </c>
      <c r="U32" t="s">
        <v>777</v>
      </c>
      <c r="V32" t="s">
        <v>1249</v>
      </c>
      <c r="W32" t="s">
        <v>1575</v>
      </c>
    </row>
    <row r="33" spans="1:23" outlineLevel="1" x14ac:dyDescent="0.4">
      <c r="A33" s="2" t="s">
        <v>499</v>
      </c>
      <c r="B33" s="10" t="s">
        <v>777</v>
      </c>
      <c r="C33" t="str">
        <f>_xlfn.LET(
 _xlpm.dOK,COUNTIF(クラス!A:A,E33)&gt;0,
 _xlpm.eOK,COUNTIF(クラス!A:A,F33)&gt;0,
 IF(_xlpm.dOK,"○","×") &amp; IF(_xlpm.eOK,"○","×")
)</f>
        <v>××</v>
      </c>
      <c r="S33" t="str">
        <f t="shared" si="0"/>
        <v>毒生成物の巣</v>
      </c>
      <c r="U33" t="s">
        <v>778</v>
      </c>
      <c r="V33" t="s">
        <v>1251</v>
      </c>
      <c r="W33" t="s">
        <v>1576</v>
      </c>
    </row>
    <row r="34" spans="1:23" ht="36" outlineLevel="1" x14ac:dyDescent="0.4">
      <c r="A34" s="2" t="s">
        <v>499</v>
      </c>
      <c r="B34" s="10" t="s">
        <v>778</v>
      </c>
      <c r="C34" t="str">
        <f>_xlfn.LET(
 _xlpm.dOK,COUNTIF(クラス!A:A,E34)&gt;0,
 _xlpm.eOK,COUNTIF(クラス!A:A,F34)&gt;0,
 IF(_xlpm.dOK,"○","×") &amp; IF(_xlpm.eOK,"○","×")
)</f>
        <v>××</v>
      </c>
      <c r="S34" t="str">
        <f t="shared" si="0"/>
        <v>植物生物の巣</v>
      </c>
      <c r="U34" t="s">
        <v>779</v>
      </c>
      <c r="V34" t="s">
        <v>1251</v>
      </c>
      <c r="W34" t="s">
        <v>1577</v>
      </c>
    </row>
    <row r="35" spans="1:23" outlineLevel="1" x14ac:dyDescent="0.4">
      <c r="A35" s="2" t="s">
        <v>499</v>
      </c>
      <c r="B35" s="10" t="s">
        <v>779</v>
      </c>
      <c r="C35" t="str">
        <f>_xlfn.LET(
 _xlpm.dOK,COUNTIF(クラス!A:A,E35)&gt;0,
 _xlpm.eOK,COUNTIF(クラス!A:A,F35)&gt;0,
 IF(_xlpm.dOK,"○","×") &amp; IF(_xlpm.eOK,"○","×")
)</f>
        <v>××</v>
      </c>
      <c r="S35" t="str">
        <f t="shared" si="0"/>
        <v>植物生物の巣</v>
      </c>
      <c r="U35" t="s">
        <v>780</v>
      </c>
      <c r="V35" t="s">
        <v>1251</v>
      </c>
      <c r="W35" t="s">
        <v>1578</v>
      </c>
    </row>
    <row r="36" spans="1:23" outlineLevel="1" x14ac:dyDescent="0.4">
      <c r="A36" s="2" t="s">
        <v>499</v>
      </c>
      <c r="B36" s="10" t="s">
        <v>780</v>
      </c>
      <c r="C36" t="str">
        <f>_xlfn.LET(
 _xlpm.dOK,COUNTIF(クラス!A:A,E36)&gt;0,
 _xlpm.eOK,COUNTIF(クラス!A:A,F36)&gt;0,
 IF(_xlpm.dOK,"○","×") &amp; IF(_xlpm.eOK,"○","×")
)</f>
        <v>××</v>
      </c>
      <c r="S36" t="str">
        <f t="shared" si="0"/>
        <v>植物生物の巣</v>
      </c>
      <c r="U36" t="s">
        <v>781</v>
      </c>
      <c r="V36" t="s">
        <v>1252</v>
      </c>
      <c r="W36" t="s">
        <v>1579</v>
      </c>
    </row>
    <row r="37" spans="1:23" ht="36" outlineLevel="1" x14ac:dyDescent="0.4">
      <c r="A37" s="2" t="s">
        <v>499</v>
      </c>
      <c r="B37" s="10" t="s">
        <v>781</v>
      </c>
      <c r="C37" t="str">
        <f>_xlfn.LET(
 _xlpm.dOK,COUNTIF(クラス!A:A,E37)&gt;0,
 _xlpm.eOK,COUNTIF(クラス!A:A,F37)&gt;0,
 IF(_xlpm.dOK,"○","×") &amp; IF(_xlpm.eOK,"○","×")
)</f>
        <v>××</v>
      </c>
      <c r="S37" t="str">
        <f t="shared" si="0"/>
        <v>風の輪</v>
      </c>
      <c r="U37" t="s">
        <v>196</v>
      </c>
      <c r="V37" t="s">
        <v>1244</v>
      </c>
      <c r="W37" t="s">
        <v>1580</v>
      </c>
    </row>
    <row r="38" spans="1:23" outlineLevel="1" x14ac:dyDescent="0.4">
      <c r="A38" s="2" t="s">
        <v>499</v>
      </c>
      <c r="B38" s="10" t="s">
        <v>197</v>
      </c>
      <c r="C38" t="str">
        <f>_xlfn.LET(
 _xlpm.dOK,COUNTIF(クラス!A:A,E38)&gt;0,
 _xlpm.eOK,COUNTIF(クラス!A:A,F38)&gt;0,
 IF(_xlpm.dOK,"○","×") &amp; IF(_xlpm.eOK,"○","×")
)</f>
        <v>○×</v>
      </c>
      <c r="D38" t="b">
        <v>1</v>
      </c>
      <c r="E38" t="s">
        <v>197</v>
      </c>
      <c r="G38">
        <v>9</v>
      </c>
      <c r="H38">
        <v>15</v>
      </c>
      <c r="R38" t="s">
        <v>197</v>
      </c>
      <c r="S38" t="str">
        <f t="shared" si="0"/>
        <v>肉食生物の巣</v>
      </c>
      <c r="U38" t="s">
        <v>124</v>
      </c>
      <c r="V38" t="s">
        <v>1244</v>
      </c>
      <c r="W38" t="s">
        <v>1581</v>
      </c>
    </row>
    <row r="39" spans="1:23" outlineLevel="1" x14ac:dyDescent="0.4">
      <c r="A39" s="2" t="s">
        <v>499</v>
      </c>
      <c r="B39" s="10" t="s">
        <v>194</v>
      </c>
      <c r="C39" t="str">
        <f>_xlfn.LET(
 _xlpm.dOK,COUNTIF(クラス!A:A,E39)&gt;0,
 _xlpm.eOK,COUNTIF(クラス!A:A,F39)&gt;0,
 IF(_xlpm.dOK,"○","×") &amp; IF(_xlpm.eOK,"○","×")
)</f>
        <v>○×</v>
      </c>
      <c r="E39" t="s">
        <v>194</v>
      </c>
      <c r="G39">
        <v>9</v>
      </c>
      <c r="H39">
        <v>15</v>
      </c>
      <c r="R39" t="s">
        <v>1120</v>
      </c>
      <c r="S39" t="str">
        <f t="shared" si="0"/>
        <v>肉食生物の巣</v>
      </c>
      <c r="W39" t="s">
        <v>1582</v>
      </c>
    </row>
    <row r="40" spans="1:23" outlineLevel="1" x14ac:dyDescent="0.4">
      <c r="C40" t="str">
        <f>_xlfn.LET(
 _xlpm.dOK,COUNTIF(クラス!A:A,E40)&gt;0,
 _xlpm.eOK,COUNTIF(クラス!A:A,F40)&gt;0,
 IF(_xlpm.dOK,"○","×") &amp; IF(_xlpm.eOK,"○","×")
)</f>
        <v>××</v>
      </c>
      <c r="S40" t="str">
        <f t="shared" si="0"/>
        <v/>
      </c>
      <c r="U40" t="s">
        <v>799</v>
      </c>
      <c r="V40" t="s">
        <v>1247</v>
      </c>
    </row>
    <row r="41" spans="1:23" ht="36" outlineLevel="1" x14ac:dyDescent="0.4">
      <c r="A41" s="2" t="s">
        <v>506</v>
      </c>
      <c r="B41" s="10" t="s">
        <v>799</v>
      </c>
      <c r="C41" t="str">
        <f>_xlfn.LET(
 _xlpm.dOK,COUNTIF(クラス!A:A,E41)&gt;0,
 _xlpm.eOK,COUNTIF(クラス!A:A,F41)&gt;0,
 IF(_xlpm.dOK,"○","×") &amp; IF(_xlpm.eOK,"○","×")
)</f>
        <v>××</v>
      </c>
      <c r="S41" t="str">
        <f t="shared" si="0"/>
        <v>飛竜の巣</v>
      </c>
      <c r="U41" t="s">
        <v>778</v>
      </c>
      <c r="V41" t="s">
        <v>1251</v>
      </c>
      <c r="W41" t="s">
        <v>1583</v>
      </c>
    </row>
    <row r="42" spans="1:23" ht="36" outlineLevel="1" x14ac:dyDescent="0.4">
      <c r="A42" s="2" t="s">
        <v>506</v>
      </c>
      <c r="B42" s="10" t="s">
        <v>1200</v>
      </c>
      <c r="C42" t="str">
        <f>_xlfn.LET(
 _xlpm.dOK,COUNTIF(クラス!A:A,E42)&gt;0,
 _xlpm.eOK,COUNTIF(クラス!A:A,F42)&gt;0,
 IF(_xlpm.dOK,"○","×") &amp; IF(_xlpm.eOK,"○","×")
)</f>
        <v>××</v>
      </c>
      <c r="S42" t="str">
        <f t="shared" si="0"/>
        <v>植物生物の巣</v>
      </c>
      <c r="U42" t="s">
        <v>1253</v>
      </c>
      <c r="V42" t="s">
        <v>1254</v>
      </c>
      <c r="W42" t="s">
        <v>1584</v>
      </c>
    </row>
    <row r="43" spans="1:23" ht="36" outlineLevel="1" x14ac:dyDescent="0.4">
      <c r="A43" s="2" t="s">
        <v>506</v>
      </c>
      <c r="B43" s="10" t="s">
        <v>1201</v>
      </c>
      <c r="C43" t="str">
        <f>_xlfn.LET(
 _xlpm.dOK,COUNTIF(クラス!A:A,E43)&gt;0,
 _xlpm.eOK,COUNTIF(クラス!A:A,F43)&gt;0,
 IF(_xlpm.dOK,"○","×") &amp; IF(_xlpm.eOK,"○","×")
)</f>
        <v>××</v>
      </c>
      <c r="S43" t="str">
        <f t="shared" si="0"/>
        <v>闇の輪</v>
      </c>
      <c r="U43" t="s">
        <v>1255</v>
      </c>
      <c r="V43" t="s">
        <v>1244</v>
      </c>
      <c r="W43" t="s">
        <v>1585</v>
      </c>
    </row>
    <row r="44" spans="1:23" outlineLevel="1" x14ac:dyDescent="0.4">
      <c r="A44" s="2" t="s">
        <v>506</v>
      </c>
      <c r="B44" s="10" t="s">
        <v>1202</v>
      </c>
      <c r="C44" t="str">
        <f>_xlfn.LET(
 _xlpm.dOK,COUNTIF(クラス!A:A,E44)&gt;0,
 _xlpm.eOK,COUNTIF(クラス!A:A,F44)&gt;0,
 IF(_xlpm.dOK,"○","×") &amp; IF(_xlpm.eOK,"○","×")
)</f>
        <v>××</v>
      </c>
      <c r="S44" t="str">
        <f t="shared" si="0"/>
        <v>肉食生物の巣</v>
      </c>
      <c r="U44" t="s">
        <v>1256</v>
      </c>
      <c r="V44" t="s">
        <v>1244</v>
      </c>
      <c r="W44" t="s">
        <v>1586</v>
      </c>
    </row>
    <row r="45" spans="1:23" outlineLevel="1" x14ac:dyDescent="0.4">
      <c r="A45" s="2" t="s">
        <v>506</v>
      </c>
      <c r="B45" s="10" t="s">
        <v>1199</v>
      </c>
      <c r="C45" t="str">
        <f>_xlfn.LET(
 _xlpm.dOK,COUNTIF(クラス!A:A,E45)&gt;0,
 _xlpm.eOK,COUNTIF(クラス!A:A,F45)&gt;0,
 IF(_xlpm.dOK,"○","×") &amp; IF(_xlpm.eOK,"○","×")
)</f>
        <v>××</v>
      </c>
      <c r="S45" t="str">
        <f t="shared" si="0"/>
        <v>肉食生物の巣</v>
      </c>
      <c r="U45" t="s">
        <v>800</v>
      </c>
      <c r="V45" t="s">
        <v>1246</v>
      </c>
      <c r="W45" t="s">
        <v>1587</v>
      </c>
    </row>
    <row r="46" spans="1:23" outlineLevel="1" x14ac:dyDescent="0.4">
      <c r="A46" s="2" t="s">
        <v>506</v>
      </c>
      <c r="B46" s="10" t="s">
        <v>800</v>
      </c>
      <c r="C46" t="str">
        <f>_xlfn.LET(
 _xlpm.dOK,COUNTIF(クラス!A:A,E46)&gt;0,
 _xlpm.eOK,COUNTIF(クラス!A:A,F46)&gt;0,
 IF(_xlpm.dOK,"○","×") &amp; IF(_xlpm.eOK,"○","×")
)</f>
        <v>××</v>
      </c>
      <c r="S46" t="str">
        <f t="shared" si="0"/>
        <v>地中生物の巣</v>
      </c>
      <c r="U46" t="s">
        <v>801</v>
      </c>
      <c r="V46" t="s">
        <v>1247</v>
      </c>
      <c r="W46" t="s">
        <v>1588</v>
      </c>
    </row>
    <row r="47" spans="1:23" ht="36" outlineLevel="1" x14ac:dyDescent="0.4">
      <c r="A47" s="2" t="s">
        <v>506</v>
      </c>
      <c r="B47" s="10" t="s">
        <v>801</v>
      </c>
      <c r="C47" t="str">
        <f>_xlfn.LET(
 _xlpm.dOK,COUNTIF(クラス!A:A,E47)&gt;0,
 _xlpm.eOK,COUNTIF(クラス!A:A,F47)&gt;0,
 IF(_xlpm.dOK,"○","×") &amp; IF(_xlpm.eOK,"○","×")
)</f>
        <v>××</v>
      </c>
      <c r="S47" t="str">
        <f t="shared" si="0"/>
        <v>飛竜の巣</v>
      </c>
      <c r="W47" t="s">
        <v>1589</v>
      </c>
    </row>
    <row r="48" spans="1:23" outlineLevel="1" x14ac:dyDescent="0.4">
      <c r="C48" t="str">
        <f>_xlfn.LET(
 _xlpm.dOK,COUNTIF(クラス!A:A,E48)&gt;0,
 _xlpm.eOK,COUNTIF(クラス!A:A,F48)&gt;0,
 IF(_xlpm.dOK,"○","×") &amp; IF(_xlpm.eOK,"○","×")
)</f>
        <v>××</v>
      </c>
      <c r="S48" t="str">
        <f t="shared" si="0"/>
        <v/>
      </c>
      <c r="U48" t="s">
        <v>771</v>
      </c>
      <c r="V48" t="s">
        <v>1243</v>
      </c>
    </row>
    <row r="49" spans="1:23" x14ac:dyDescent="0.4">
      <c r="C49" t="str">
        <f>_xlfn.LET(
 _xlpm.dOK,COUNTIF(クラス!A:A,E49)&gt;0,
 _xlpm.eOK,COUNTIF(クラス!A:A,F49)&gt;0,
 IF(_xlpm.dOK,"○","×") &amp; IF(_xlpm.eOK,"○","×")
)</f>
        <v>××</v>
      </c>
      <c r="S49" t="str">
        <f t="shared" si="0"/>
        <v/>
      </c>
      <c r="U49" t="s">
        <v>198</v>
      </c>
      <c r="V49" t="s">
        <v>1243</v>
      </c>
    </row>
    <row r="50" spans="1:23" x14ac:dyDescent="0.4">
      <c r="A50" s="2" t="s">
        <v>501</v>
      </c>
      <c r="B50" s="10" t="s">
        <v>771</v>
      </c>
      <c r="C50" t="str">
        <f>_xlfn.LET(
 _xlpm.dOK,COUNTIF(クラス!A:A,E50)&gt;0,
 _xlpm.eOK,COUNTIF(クラス!A:A,F50)&gt;0,
 IF(_xlpm.dOK,"○","×") &amp; IF(_xlpm.eOK,"○","×")
)</f>
        <v>○○</v>
      </c>
      <c r="D50" t="b">
        <v>1</v>
      </c>
      <c r="E50" t="s">
        <v>196</v>
      </c>
      <c r="F50" t="s">
        <v>199</v>
      </c>
      <c r="G50">
        <v>8</v>
      </c>
      <c r="H50">
        <v>12</v>
      </c>
      <c r="R50" t="s">
        <v>771</v>
      </c>
      <c r="S50" t="str">
        <f t="shared" si="0"/>
        <v>鳥系生物の巣</v>
      </c>
      <c r="U50" t="s">
        <v>74</v>
      </c>
      <c r="V50" t="s">
        <v>1250</v>
      </c>
      <c r="W50" t="s">
        <v>1590</v>
      </c>
    </row>
    <row r="51" spans="1:23" outlineLevel="1" x14ac:dyDescent="0.4">
      <c r="A51" s="2" t="s">
        <v>501</v>
      </c>
      <c r="B51" s="10" t="s">
        <v>199</v>
      </c>
      <c r="C51" t="str">
        <f>_xlfn.LET(
 _xlpm.dOK,COUNTIF(クラス!A:A,E51)&gt;0,
 _xlpm.eOK,COUNTIF(クラス!A:A,F51)&gt;0,
 IF(_xlpm.dOK,"○","×") &amp; IF(_xlpm.eOK,"○","×")
)</f>
        <v>○×</v>
      </c>
      <c r="E51" t="s">
        <v>199</v>
      </c>
      <c r="G51">
        <v>10</v>
      </c>
      <c r="H51">
        <v>15</v>
      </c>
      <c r="I51" t="s">
        <v>871</v>
      </c>
      <c r="R51" t="s">
        <v>199</v>
      </c>
      <c r="S51" t="str">
        <f t="shared" si="0"/>
        <v>鳥系生物の巣</v>
      </c>
      <c r="U51" t="s">
        <v>772</v>
      </c>
      <c r="V51" t="s">
        <v>1244</v>
      </c>
      <c r="W51" t="s">
        <v>1591</v>
      </c>
    </row>
    <row r="52" spans="1:23" ht="54" outlineLevel="1" x14ac:dyDescent="0.4">
      <c r="A52" s="2" t="s">
        <v>501</v>
      </c>
      <c r="B52" s="10" t="s">
        <v>75</v>
      </c>
      <c r="C52" t="str">
        <f>_xlfn.LET(
 _xlpm.dOK,COUNTIF(クラス!A:A,E52)&gt;0,
 _xlpm.eOK,COUNTIF(クラス!A:A,F52)&gt;0,
 IF(_xlpm.dOK,"○","×") &amp; IF(_xlpm.eOK,"○","×")
)</f>
        <v>○×</v>
      </c>
      <c r="D52" s="10"/>
      <c r="E52" s="10" t="s">
        <v>75</v>
      </c>
      <c r="G52">
        <v>7</v>
      </c>
      <c r="H52">
        <v>12</v>
      </c>
      <c r="R52" t="s">
        <v>1122</v>
      </c>
      <c r="S52" t="str">
        <f t="shared" si="0"/>
        <v>土の輪</v>
      </c>
      <c r="U52" t="s">
        <v>768</v>
      </c>
      <c r="V52" t="s">
        <v>1246</v>
      </c>
      <c r="W52" t="s">
        <v>1592</v>
      </c>
    </row>
    <row r="53" spans="1:23" outlineLevel="1" x14ac:dyDescent="0.4">
      <c r="A53" s="2" t="s">
        <v>501</v>
      </c>
      <c r="B53" s="10" t="s">
        <v>772</v>
      </c>
      <c r="C53" t="str">
        <f>_xlfn.LET(
 _xlpm.dOK,COUNTIF(クラス!A:A,E53)&gt;0,
 _xlpm.eOK,COUNTIF(クラス!A:A,F53)&gt;0,
 IF(_xlpm.dOK,"○","×") &amp; IF(_xlpm.eOK,"○","×")
)</f>
        <v>○○</v>
      </c>
      <c r="E53" t="s">
        <v>196</v>
      </c>
      <c r="F53" t="s">
        <v>195</v>
      </c>
      <c r="G53">
        <v>14</v>
      </c>
      <c r="H53">
        <v>18</v>
      </c>
      <c r="R53" t="s">
        <v>772</v>
      </c>
      <c r="S53" t="str">
        <f t="shared" si="0"/>
        <v>肉食生物の巣</v>
      </c>
      <c r="U53" t="s">
        <v>770</v>
      </c>
      <c r="V53" t="s">
        <v>1246</v>
      </c>
      <c r="W53" t="s">
        <v>1593</v>
      </c>
    </row>
    <row r="54" spans="1:23" outlineLevel="1" x14ac:dyDescent="0.4">
      <c r="A54" s="2" t="s">
        <v>501</v>
      </c>
      <c r="B54" s="10" t="s">
        <v>1203</v>
      </c>
      <c r="C54" t="str">
        <f>_xlfn.LET(
 _xlpm.dOK,COUNTIF(クラス!A:A,E54)&gt;0,
 _xlpm.eOK,COUNTIF(クラス!A:A,F54)&gt;0,
 IF(_xlpm.dOK,"○","×") &amp; IF(_xlpm.eOK,"○","×")
)</f>
        <v>××</v>
      </c>
      <c r="S54" t="str">
        <f t="shared" si="0"/>
        <v>地中生物の巣</v>
      </c>
      <c r="U54" t="s">
        <v>769</v>
      </c>
      <c r="V54" t="s">
        <v>1244</v>
      </c>
      <c r="W54" t="s">
        <v>1594</v>
      </c>
    </row>
    <row r="55" spans="1:23" ht="36" outlineLevel="1" x14ac:dyDescent="0.4">
      <c r="A55" s="2" t="s">
        <v>501</v>
      </c>
      <c r="B55" s="10" t="s">
        <v>770</v>
      </c>
      <c r="C55" t="str">
        <f>_xlfn.LET(
 _xlpm.dOK,COUNTIF(クラス!A:A,E55)&gt;0,
 _xlpm.eOK,COUNTIF(クラス!A:A,F55)&gt;0,
 IF(_xlpm.dOK,"○","×") &amp; IF(_xlpm.eOK,"○","×")
)</f>
        <v>××</v>
      </c>
      <c r="S55" t="str">
        <f t="shared" si="0"/>
        <v>地中生物の巣</v>
      </c>
      <c r="U55" t="s">
        <v>773</v>
      </c>
      <c r="V55" t="s">
        <v>1247</v>
      </c>
      <c r="W55" t="s">
        <v>1595</v>
      </c>
    </row>
    <row r="56" spans="1:23" outlineLevel="1" x14ac:dyDescent="0.4">
      <c r="A56" s="2" t="s">
        <v>501</v>
      </c>
      <c r="B56" s="10" t="s">
        <v>769</v>
      </c>
      <c r="C56" t="str">
        <f>_xlfn.LET(
 _xlpm.dOK,COUNTIF(クラス!A:A,E56)&gt;0,
 _xlpm.eOK,COUNTIF(クラス!A:A,F56)&gt;0,
 IF(_xlpm.dOK,"○","×") &amp; IF(_xlpm.eOK,"○","×")
)</f>
        <v>××</v>
      </c>
      <c r="S56" t="str">
        <f t="shared" si="0"/>
        <v>肉食生物の巣</v>
      </c>
      <c r="W56" t="s">
        <v>1596</v>
      </c>
    </row>
    <row r="57" spans="1:23" outlineLevel="1" x14ac:dyDescent="0.4">
      <c r="A57" s="2" t="s">
        <v>501</v>
      </c>
      <c r="B57" s="10" t="s">
        <v>773</v>
      </c>
      <c r="C57" t="str">
        <f>_xlfn.LET(
 _xlpm.dOK,COUNTIF(クラス!A:A,E57)&gt;0,
 _xlpm.eOK,COUNTIF(クラス!A:A,F57)&gt;0,
 IF(_xlpm.dOK,"○","×") &amp; IF(_xlpm.eOK,"○","×")
)</f>
        <v>○×</v>
      </c>
      <c r="D57" t="b">
        <v>1</v>
      </c>
      <c r="E57" t="s">
        <v>853</v>
      </c>
      <c r="G57">
        <v>15</v>
      </c>
      <c r="H57">
        <v>20</v>
      </c>
      <c r="I57" t="s">
        <v>870</v>
      </c>
      <c r="R57" t="s">
        <v>853</v>
      </c>
      <c r="S57" t="str">
        <f t="shared" si="0"/>
        <v>飛竜の巣</v>
      </c>
      <c r="U57" t="s">
        <v>1257</v>
      </c>
      <c r="V57" t="s">
        <v>1252</v>
      </c>
      <c r="W57" t="s">
        <v>1597</v>
      </c>
    </row>
    <row r="58" spans="1:23" outlineLevel="1" x14ac:dyDescent="0.4">
      <c r="C58" t="str">
        <f>_xlfn.LET(
 _xlpm.dOK,COUNTIF(クラス!A:A,E58)&gt;0,
 _xlpm.eOK,COUNTIF(クラス!A:A,F58)&gt;0,
 IF(_xlpm.dOK,"○","×") &amp; IF(_xlpm.eOK,"○","×")
)</f>
        <v>××</v>
      </c>
      <c r="S58" t="str">
        <f t="shared" si="0"/>
        <v/>
      </c>
      <c r="U58" t="s">
        <v>74</v>
      </c>
      <c r="V58" t="s">
        <v>1250</v>
      </c>
    </row>
    <row r="59" spans="1:23" outlineLevel="1" x14ac:dyDescent="0.4">
      <c r="A59" s="2" t="s">
        <v>500</v>
      </c>
      <c r="B59" s="10" t="s">
        <v>866</v>
      </c>
      <c r="C59" t="str">
        <f>_xlfn.LET(
 _xlpm.dOK,COUNTIF(クラス!A:A,E59)&gt;0,
 _xlpm.eOK,COUNTIF(クラス!A:A,F59)&gt;0,
 IF(_xlpm.dOK,"○","×") &amp; IF(_xlpm.eOK,"○","×")
)</f>
        <v>○○</v>
      </c>
      <c r="E59" t="s">
        <v>199</v>
      </c>
      <c r="F59" t="s">
        <v>814</v>
      </c>
      <c r="G59">
        <v>15</v>
      </c>
      <c r="H59">
        <v>25</v>
      </c>
      <c r="R59" t="s">
        <v>199</v>
      </c>
      <c r="S59" t="str">
        <f t="shared" si="0"/>
        <v>風の輪</v>
      </c>
      <c r="U59" t="s">
        <v>1258</v>
      </c>
      <c r="V59" t="s">
        <v>1244</v>
      </c>
      <c r="W59" t="s">
        <v>1598</v>
      </c>
    </row>
    <row r="60" spans="1:23" ht="54" outlineLevel="1" x14ac:dyDescent="0.4">
      <c r="A60" s="2" t="s">
        <v>500</v>
      </c>
      <c r="B60" s="10" t="s">
        <v>75</v>
      </c>
      <c r="C60" t="str">
        <f>_xlfn.LET(
 _xlpm.dOK,COUNTIF(クラス!A:A,E60)&gt;0,
 _xlpm.eOK,COUNTIF(クラス!A:A,F60)&gt;0,
 IF(_xlpm.dOK,"○","×") &amp; IF(_xlpm.eOK,"○","×")
)</f>
        <v>○×</v>
      </c>
      <c r="D60" s="10"/>
      <c r="E60" s="10" t="s">
        <v>75</v>
      </c>
      <c r="G60">
        <v>15</v>
      </c>
      <c r="H60">
        <v>20</v>
      </c>
      <c r="I60" t="s">
        <v>872</v>
      </c>
      <c r="R60" t="s">
        <v>1122</v>
      </c>
      <c r="S60" t="str">
        <f t="shared" si="0"/>
        <v>土の輪</v>
      </c>
      <c r="U60" t="s">
        <v>782</v>
      </c>
      <c r="V60" t="s">
        <v>1246</v>
      </c>
      <c r="W60" t="s">
        <v>1599</v>
      </c>
    </row>
    <row r="61" spans="1:23" outlineLevel="1" x14ac:dyDescent="0.4">
      <c r="A61" s="2" t="s">
        <v>500</v>
      </c>
      <c r="B61" s="10" t="s">
        <v>867</v>
      </c>
      <c r="C61" t="str">
        <f>_xlfn.LET(
 _xlpm.dOK,COUNTIF(クラス!A:A,E61)&gt;0,
 _xlpm.eOK,COUNTIF(クラス!A:A,F61)&gt;0,
 IF(_xlpm.dOK,"○","×") &amp; IF(_xlpm.eOK,"○","×")
)</f>
        <v>○○</v>
      </c>
      <c r="D61" t="b">
        <v>1</v>
      </c>
      <c r="E61" t="s">
        <v>201</v>
      </c>
      <c r="F61" t="s">
        <v>75</v>
      </c>
      <c r="G61">
        <v>25</v>
      </c>
      <c r="H61">
        <v>30</v>
      </c>
      <c r="R61" t="s">
        <v>1123</v>
      </c>
      <c r="S61" t="str">
        <f t="shared" si="0"/>
        <v>肉食生物の巣</v>
      </c>
      <c r="U61" t="s">
        <v>783</v>
      </c>
      <c r="V61" t="s">
        <v>1259</v>
      </c>
      <c r="W61" t="s">
        <v>1600</v>
      </c>
    </row>
    <row r="62" spans="1:23" ht="36" outlineLevel="1" x14ac:dyDescent="0.4">
      <c r="A62" s="2" t="s">
        <v>500</v>
      </c>
      <c r="B62" s="10" t="s">
        <v>782</v>
      </c>
      <c r="C62" t="str">
        <f>_xlfn.LET(
 _xlpm.dOK,COUNTIF(クラス!A:A,E62)&gt;0,
 _xlpm.eOK,COUNTIF(クラス!A:A,F62)&gt;0,
 IF(_xlpm.dOK,"○","×") &amp; IF(_xlpm.eOK,"○","×")
)</f>
        <v>××</v>
      </c>
      <c r="S62" t="str">
        <f t="shared" si="0"/>
        <v>地中生物の巣</v>
      </c>
      <c r="U62" t="s">
        <v>784</v>
      </c>
      <c r="V62" t="s">
        <v>1246</v>
      </c>
      <c r="W62" t="s">
        <v>1601</v>
      </c>
    </row>
    <row r="63" spans="1:23" ht="36" outlineLevel="1" x14ac:dyDescent="0.4">
      <c r="A63" s="2" t="s">
        <v>500</v>
      </c>
      <c r="B63" s="10" t="s">
        <v>783</v>
      </c>
      <c r="C63" t="str">
        <f>_xlfn.LET(
 _xlpm.dOK,COUNTIF(クラス!A:A,E63)&gt;0,
 _xlpm.eOK,COUNTIF(クラス!A:A,F63)&gt;0,
 IF(_xlpm.dOK,"○","×") &amp; IF(_xlpm.eOK,"○","×")
)</f>
        <v>××</v>
      </c>
      <c r="S63" t="str">
        <f t="shared" si="0"/>
        <v>水の輪</v>
      </c>
      <c r="U63" t="s">
        <v>785</v>
      </c>
      <c r="V63" t="s">
        <v>1247</v>
      </c>
      <c r="W63" t="s">
        <v>1602</v>
      </c>
    </row>
    <row r="64" spans="1:23" outlineLevel="1" x14ac:dyDescent="0.4">
      <c r="A64" s="2" t="s">
        <v>500</v>
      </c>
      <c r="B64" s="10" t="s">
        <v>784</v>
      </c>
      <c r="C64" t="str">
        <f>_xlfn.LET(
 _xlpm.dOK,COUNTIF(クラス!A:A,E64)&gt;0,
 _xlpm.eOK,COUNTIF(クラス!A:A,F64)&gt;0,
 IF(_xlpm.dOK,"○","×") &amp; IF(_xlpm.eOK,"○","×")
)</f>
        <v>××</v>
      </c>
      <c r="S64" t="str">
        <f t="shared" si="0"/>
        <v>地中生物の巣</v>
      </c>
      <c r="U64" t="s">
        <v>786</v>
      </c>
      <c r="V64" t="s">
        <v>1243</v>
      </c>
      <c r="W64" t="s">
        <v>1603</v>
      </c>
    </row>
    <row r="65" spans="1:23" outlineLevel="1" x14ac:dyDescent="0.4">
      <c r="A65" s="2" t="s">
        <v>500</v>
      </c>
      <c r="B65" s="10" t="s">
        <v>785</v>
      </c>
      <c r="C65" t="str">
        <f>_xlfn.LET(
 _xlpm.dOK,COUNTIF(クラス!A:A,E65)&gt;0,
 _xlpm.eOK,COUNTIF(クラス!A:A,F65)&gt;0,
 IF(_xlpm.dOK,"○","×") &amp; IF(_xlpm.eOK,"○","×")
)</f>
        <v>××</v>
      </c>
      <c r="S65" t="str">
        <f t="shared" si="0"/>
        <v>飛竜の巣</v>
      </c>
      <c r="U65" t="s">
        <v>787</v>
      </c>
      <c r="V65" t="s">
        <v>1244</v>
      </c>
      <c r="W65" t="s">
        <v>1604</v>
      </c>
    </row>
    <row r="66" spans="1:23" outlineLevel="1" x14ac:dyDescent="0.4">
      <c r="A66" s="2" t="s">
        <v>500</v>
      </c>
      <c r="B66" s="10" t="s">
        <v>786</v>
      </c>
      <c r="C66" t="str">
        <f>_xlfn.LET(
 _xlpm.dOK,COUNTIF(クラス!A:A,E66)&gt;0,
 _xlpm.eOK,COUNTIF(クラス!A:A,F66)&gt;0,
 IF(_xlpm.dOK,"○","×") &amp; IF(_xlpm.eOK,"○","×")
)</f>
        <v>××</v>
      </c>
      <c r="S66" t="str">
        <f t="shared" si="0"/>
        <v>鳥系生物の巣</v>
      </c>
      <c r="W66" t="s">
        <v>1605</v>
      </c>
    </row>
    <row r="67" spans="1:23" outlineLevel="1" x14ac:dyDescent="0.4">
      <c r="A67" s="2" t="s">
        <v>500</v>
      </c>
      <c r="B67" s="10" t="s">
        <v>787</v>
      </c>
      <c r="C67" t="str">
        <f>_xlfn.LET(
 _xlpm.dOK,COUNTIF(クラス!A:A,E67)&gt;0,
 _xlpm.eOK,COUNTIF(クラス!A:A,F67)&gt;0,
 IF(_xlpm.dOK,"○","×") &amp; IF(_xlpm.eOK,"○","×")
)</f>
        <v>××</v>
      </c>
      <c r="S67" t="str">
        <f t="shared" si="0"/>
        <v>肉食生物の巣</v>
      </c>
      <c r="U67" t="s">
        <v>784</v>
      </c>
      <c r="V67" t="s">
        <v>1246</v>
      </c>
      <c r="W67" t="s">
        <v>1606</v>
      </c>
    </row>
    <row r="68" spans="1:23" outlineLevel="1" x14ac:dyDescent="0.4">
      <c r="C68" t="str">
        <f>_xlfn.LET(
 _xlpm.dOK,COUNTIF(クラス!A:A,E68)&gt;0,
 _xlpm.eOK,COUNTIF(クラス!A:A,F68)&gt;0,
 IF(_xlpm.dOK,"○","×") &amp; IF(_xlpm.eOK,"○","×")
)</f>
        <v>××</v>
      </c>
      <c r="S68" t="str">
        <f t="shared" ref="S68:S119" si="1">IFERROR(VLOOKUP(B68,$U:$V,2,FALSE),"")</f>
        <v/>
      </c>
      <c r="U68" t="s">
        <v>773</v>
      </c>
      <c r="V68" t="s">
        <v>1247</v>
      </c>
    </row>
    <row r="69" spans="1:23" x14ac:dyDescent="0.4">
      <c r="C69" t="str">
        <f>_xlfn.LET(
 _xlpm.dOK,COUNTIF(クラス!A:A,E69)&gt;0,
 _xlpm.eOK,COUNTIF(クラス!A:A,F69)&gt;0,
 IF(_xlpm.dOK,"○","×") &amp; IF(_xlpm.eOK,"○","×")
)</f>
        <v>××</v>
      </c>
      <c r="S69" t="str">
        <f t="shared" si="1"/>
        <v/>
      </c>
      <c r="U69" t="s">
        <v>769</v>
      </c>
      <c r="V69" t="s">
        <v>1244</v>
      </c>
    </row>
    <row r="70" spans="1:23" x14ac:dyDescent="0.4">
      <c r="A70" s="2" t="s">
        <v>507</v>
      </c>
      <c r="B70" s="10" t="s">
        <v>784</v>
      </c>
      <c r="C70" t="str">
        <f>_xlfn.LET(
 _xlpm.dOK,COUNTIF(クラス!A:A,E70)&gt;0,
 _xlpm.eOK,COUNTIF(クラス!A:A,F70)&gt;0,
 IF(_xlpm.dOK,"○","×") &amp; IF(_xlpm.eOK,"○","×")
)</f>
        <v>××</v>
      </c>
      <c r="S70" t="str">
        <f t="shared" si="1"/>
        <v>地中生物の巣</v>
      </c>
      <c r="U70" t="s">
        <v>782</v>
      </c>
      <c r="V70" t="s">
        <v>1246</v>
      </c>
      <c r="W70" t="s">
        <v>1607</v>
      </c>
    </row>
    <row r="71" spans="1:23" outlineLevel="1" x14ac:dyDescent="0.4">
      <c r="A71" s="2" t="s">
        <v>507</v>
      </c>
      <c r="B71" s="10" t="s">
        <v>773</v>
      </c>
      <c r="C71" t="str">
        <f>_xlfn.LET(
 _xlpm.dOK,COUNTIF(クラス!A:A,E71)&gt;0,
 _xlpm.eOK,COUNTIF(クラス!A:A,F71)&gt;0,
 IF(_xlpm.dOK,"○","×") &amp; IF(_xlpm.eOK,"○","×")
)</f>
        <v>××</v>
      </c>
      <c r="S71" t="str">
        <f t="shared" si="1"/>
        <v>飛竜の巣</v>
      </c>
      <c r="U71" t="s">
        <v>802</v>
      </c>
      <c r="V71" t="s">
        <v>1243</v>
      </c>
      <c r="W71" t="s">
        <v>1608</v>
      </c>
    </row>
    <row r="72" spans="1:23" outlineLevel="1" x14ac:dyDescent="0.4">
      <c r="A72" s="2" t="s">
        <v>507</v>
      </c>
      <c r="B72" s="10" t="s">
        <v>769</v>
      </c>
      <c r="C72" t="str">
        <f>_xlfn.LET(
 _xlpm.dOK,COUNTIF(クラス!A:A,E72)&gt;0,
 _xlpm.eOK,COUNTIF(クラス!A:A,F72)&gt;0,
 IF(_xlpm.dOK,"○","×") &amp; IF(_xlpm.eOK,"○","×")
)</f>
        <v>××</v>
      </c>
      <c r="S72" t="str">
        <f t="shared" si="1"/>
        <v>肉食生物の巣</v>
      </c>
      <c r="W72" t="s">
        <v>1609</v>
      </c>
    </row>
    <row r="73" spans="1:23" ht="36" outlineLevel="1" x14ac:dyDescent="0.4">
      <c r="A73" s="2" t="s">
        <v>507</v>
      </c>
      <c r="B73" s="10" t="s">
        <v>782</v>
      </c>
      <c r="C73" t="str">
        <f>_xlfn.LET(
 _xlpm.dOK,COUNTIF(クラス!A:A,E73)&gt;0,
 _xlpm.eOK,COUNTIF(クラス!A:A,F73)&gt;0,
 IF(_xlpm.dOK,"○","×") &amp; IF(_xlpm.eOK,"○","×")
)</f>
        <v>××</v>
      </c>
      <c r="S73" t="str">
        <f t="shared" si="1"/>
        <v>地中生物の巣</v>
      </c>
      <c r="U73" t="s">
        <v>1260</v>
      </c>
      <c r="V73" t="s">
        <v>1254</v>
      </c>
      <c r="W73" t="s">
        <v>1610</v>
      </c>
    </row>
    <row r="74" spans="1:23" outlineLevel="1" x14ac:dyDescent="0.4">
      <c r="A74" s="2" t="s">
        <v>507</v>
      </c>
      <c r="B74" s="10" t="s">
        <v>802</v>
      </c>
      <c r="C74" t="str">
        <f>_xlfn.LET(
 _xlpm.dOK,COUNTIF(クラス!A:A,E74)&gt;0,
 _xlpm.eOK,COUNTIF(クラス!A:A,F74)&gt;0,
 IF(_xlpm.dOK,"○","×") &amp; IF(_xlpm.eOK,"○","×")
)</f>
        <v>××</v>
      </c>
      <c r="S74" t="str">
        <f t="shared" si="1"/>
        <v>鳥系生物の巣</v>
      </c>
      <c r="U74" t="s">
        <v>803</v>
      </c>
      <c r="V74" t="s">
        <v>1254</v>
      </c>
      <c r="W74" t="s">
        <v>1611</v>
      </c>
    </row>
    <row r="75" spans="1:23" outlineLevel="1" x14ac:dyDescent="0.4">
      <c r="C75" t="str">
        <f>_xlfn.LET(
 _xlpm.dOK,COUNTIF(クラス!A:A,E75)&gt;0,
 _xlpm.eOK,COUNTIF(クラス!A:A,F75)&gt;0,
 IF(_xlpm.dOK,"○","×") &amp; IF(_xlpm.eOK,"○","×")
)</f>
        <v>××</v>
      </c>
      <c r="S75" t="str">
        <f t="shared" si="1"/>
        <v/>
      </c>
      <c r="U75" t="s">
        <v>767</v>
      </c>
      <c r="V75" t="s">
        <v>1245</v>
      </c>
    </row>
    <row r="76" spans="1:23" outlineLevel="1" x14ac:dyDescent="0.4">
      <c r="A76" s="2" t="s">
        <v>508</v>
      </c>
      <c r="B76" s="10" t="s">
        <v>1204</v>
      </c>
      <c r="C76" t="str">
        <f>_xlfn.LET(
 _xlpm.dOK,COUNTIF(クラス!A:A,E76)&gt;0,
 _xlpm.eOK,COUNTIF(クラス!A:A,F76)&gt;0,
 IF(_xlpm.dOK,"○","×") &amp; IF(_xlpm.eOK,"○","×")
)</f>
        <v>××</v>
      </c>
      <c r="S76" t="str">
        <f t="shared" si="1"/>
        <v>闇の輪</v>
      </c>
      <c r="U76" t="s">
        <v>784</v>
      </c>
      <c r="V76" t="s">
        <v>1246</v>
      </c>
      <c r="W76" t="s">
        <v>1612</v>
      </c>
    </row>
    <row r="77" spans="1:23" ht="36" outlineLevel="1" x14ac:dyDescent="0.4">
      <c r="A77" s="2" t="s">
        <v>508</v>
      </c>
      <c r="B77" s="10" t="s">
        <v>803</v>
      </c>
      <c r="C77" t="str">
        <f>_xlfn.LET(
 _xlpm.dOK,COUNTIF(クラス!A:A,E77)&gt;0,
 _xlpm.eOK,COUNTIF(クラス!A:A,F77)&gt;0,
 IF(_xlpm.dOK,"○","×") &amp; IF(_xlpm.eOK,"○","×")
)</f>
        <v>××</v>
      </c>
      <c r="S77" t="str">
        <f t="shared" si="1"/>
        <v>闇の輪</v>
      </c>
      <c r="U77" t="s">
        <v>787</v>
      </c>
      <c r="V77" t="s">
        <v>1244</v>
      </c>
      <c r="W77" t="s">
        <v>1613</v>
      </c>
    </row>
    <row r="78" spans="1:23" outlineLevel="1" x14ac:dyDescent="0.4">
      <c r="A78" s="2" t="s">
        <v>508</v>
      </c>
      <c r="B78" s="10" t="s">
        <v>767</v>
      </c>
      <c r="C78" t="str">
        <f>_xlfn.LET(
 _xlpm.dOK,COUNTIF(クラス!A:A,E78)&gt;0,
 _xlpm.eOK,COUNTIF(クラス!A:A,F78)&gt;0,
 IF(_xlpm.dOK,"○","×") &amp; IF(_xlpm.eOK,"○","×")
)</f>
        <v>××</v>
      </c>
      <c r="S78" t="str">
        <f t="shared" si="1"/>
        <v>虫系の巣</v>
      </c>
      <c r="U78" t="s">
        <v>793</v>
      </c>
      <c r="V78" t="s">
        <v>1246</v>
      </c>
      <c r="W78" t="s">
        <v>1614</v>
      </c>
    </row>
    <row r="79" spans="1:23" outlineLevel="1" x14ac:dyDescent="0.4">
      <c r="A79" s="2" t="s">
        <v>508</v>
      </c>
      <c r="B79" s="10" t="s">
        <v>784</v>
      </c>
      <c r="C79" t="str">
        <f>_xlfn.LET(
 _xlpm.dOK,COUNTIF(クラス!A:A,E79)&gt;0,
 _xlpm.eOK,COUNTIF(クラス!A:A,F79)&gt;0,
 IF(_xlpm.dOK,"○","×") &amp; IF(_xlpm.eOK,"○","×")
)</f>
        <v>××</v>
      </c>
      <c r="S79" t="str">
        <f t="shared" si="1"/>
        <v>地中生物の巣</v>
      </c>
      <c r="W79" t="s">
        <v>1615</v>
      </c>
    </row>
    <row r="80" spans="1:23" outlineLevel="1" x14ac:dyDescent="0.4">
      <c r="A80" s="2" t="s">
        <v>508</v>
      </c>
      <c r="B80" s="10" t="s">
        <v>787</v>
      </c>
      <c r="C80" t="str">
        <f>_xlfn.LET(
 _xlpm.dOK,COUNTIF(クラス!A:A,E80)&gt;0,
 _xlpm.eOK,COUNTIF(クラス!A:A,F80)&gt;0,
 IF(_xlpm.dOK,"○","×") &amp; IF(_xlpm.eOK,"○","×")
)</f>
        <v>××</v>
      </c>
      <c r="R80" t="s">
        <v>787</v>
      </c>
      <c r="S80" t="str">
        <f t="shared" si="1"/>
        <v>肉食生物の巣</v>
      </c>
      <c r="U80" t="s">
        <v>788</v>
      </c>
      <c r="V80" t="s">
        <v>1259</v>
      </c>
      <c r="W80" t="s">
        <v>1616</v>
      </c>
    </row>
    <row r="81" spans="1:23" outlineLevel="1" x14ac:dyDescent="0.4">
      <c r="A81" s="2" t="s">
        <v>508</v>
      </c>
      <c r="B81" s="10" t="s">
        <v>793</v>
      </c>
      <c r="C81" t="str">
        <f>_xlfn.LET(
 _xlpm.dOK,COUNTIF(クラス!A:A,E81)&gt;0,
 _xlpm.eOK,COUNTIF(クラス!A:A,F81)&gt;0,
 IF(_xlpm.dOK,"○","×") &amp; IF(_xlpm.eOK,"○","×")
)</f>
        <v>××</v>
      </c>
      <c r="R81" t="s">
        <v>793</v>
      </c>
      <c r="S81" t="str">
        <f t="shared" si="1"/>
        <v>地中生物の巣</v>
      </c>
      <c r="U81" t="s">
        <v>1261</v>
      </c>
      <c r="V81" t="s">
        <v>1249</v>
      </c>
      <c r="W81" t="s">
        <v>1617</v>
      </c>
    </row>
    <row r="82" spans="1:23" outlineLevel="1" x14ac:dyDescent="0.4">
      <c r="C82" t="str">
        <f>_xlfn.LET(
 _xlpm.dOK,COUNTIF(クラス!A:A,E82)&gt;0,
 _xlpm.eOK,COUNTIF(クラス!A:A,F82)&gt;0,
 IF(_xlpm.dOK,"○","×") &amp; IF(_xlpm.eOK,"○","×")
)</f>
        <v>××</v>
      </c>
      <c r="S82" t="str">
        <f t="shared" si="1"/>
        <v/>
      </c>
    </row>
    <row r="83" spans="1:23" x14ac:dyDescent="0.4">
      <c r="C83" t="str">
        <f>_xlfn.LET(
 _xlpm.dOK,COUNTIF(クラス!A:A,E83)&gt;0,
 _xlpm.eOK,COUNTIF(クラス!A:A,F83)&gt;0,
 IF(_xlpm.dOK,"○","×") &amp; IF(_xlpm.eOK,"○","×")
)</f>
        <v>××</v>
      </c>
      <c r="S83" t="str">
        <f t="shared" si="1"/>
        <v/>
      </c>
      <c r="U83" t="s">
        <v>788</v>
      </c>
      <c r="V83" t="s">
        <v>1259</v>
      </c>
    </row>
    <row r="84" spans="1:23" ht="36" x14ac:dyDescent="0.4">
      <c r="A84" s="2" t="s">
        <v>502</v>
      </c>
      <c r="B84" s="10" t="s">
        <v>788</v>
      </c>
      <c r="C84" t="str">
        <f>_xlfn.LET(
 _xlpm.dOK,COUNTIF(クラス!A:A,E84)&gt;0,
 _xlpm.eOK,COUNTIF(クラス!A:A,F84)&gt;0,
 IF(_xlpm.dOK,"○","×") &amp; IF(_xlpm.eOK,"○","×")
)</f>
        <v>○×</v>
      </c>
      <c r="E84" t="s">
        <v>855</v>
      </c>
      <c r="G84">
        <v>5</v>
      </c>
      <c r="H84">
        <v>10</v>
      </c>
      <c r="R84" t="s">
        <v>863</v>
      </c>
      <c r="S84" t="str">
        <f t="shared" si="1"/>
        <v>水の輪</v>
      </c>
      <c r="U84" t="s">
        <v>789</v>
      </c>
      <c r="V84" t="s">
        <v>1244</v>
      </c>
      <c r="W84" t="s">
        <v>1618</v>
      </c>
    </row>
    <row r="85" spans="1:23" ht="36" outlineLevel="1" x14ac:dyDescent="0.4">
      <c r="A85" s="2" t="s">
        <v>502</v>
      </c>
      <c r="B85" s="10" t="s">
        <v>865</v>
      </c>
      <c r="C85" t="str">
        <f>_xlfn.LET(
 _xlpm.dOK,COUNTIF(クラス!A:A,E85)&gt;0,
 _xlpm.eOK,COUNTIF(クラス!A:A,F85)&gt;0,
 IF(_xlpm.dOK,"○","×") &amp; IF(_xlpm.eOK,"○","×")
)</f>
        <v>○○</v>
      </c>
      <c r="D85" t="b">
        <v>1</v>
      </c>
      <c r="E85" t="s">
        <v>195</v>
      </c>
      <c r="F85" t="s">
        <v>815</v>
      </c>
      <c r="G85">
        <v>7</v>
      </c>
      <c r="H85">
        <v>10</v>
      </c>
      <c r="R85" t="s">
        <v>195</v>
      </c>
      <c r="S85" t="str">
        <f t="shared" si="1"/>
        <v>毒生成物の巣</v>
      </c>
      <c r="W85" t="s">
        <v>1619</v>
      </c>
    </row>
    <row r="86" spans="1:23" outlineLevel="1" x14ac:dyDescent="0.4">
      <c r="C86" t="str">
        <f>_xlfn.LET(
 _xlpm.dOK,COUNTIF(クラス!A:A,E86)&gt;0,
 _xlpm.eOK,COUNTIF(クラス!A:A,F86)&gt;0,
 IF(_xlpm.dOK,"○","×") &amp; IF(_xlpm.eOK,"○","×")
)</f>
        <v>××</v>
      </c>
      <c r="S86" t="str">
        <f t="shared" si="1"/>
        <v/>
      </c>
      <c r="U86" t="s">
        <v>789</v>
      </c>
      <c r="V86" t="s">
        <v>1244</v>
      </c>
    </row>
    <row r="87" spans="1:23" ht="36" outlineLevel="1" x14ac:dyDescent="0.4">
      <c r="A87" s="2" t="s">
        <v>503</v>
      </c>
      <c r="B87" s="10" t="s">
        <v>788</v>
      </c>
      <c r="C87" t="str">
        <f>_xlfn.LET(
 _xlpm.dOK,COUNTIF(クラス!A:A,E87)&gt;0,
 _xlpm.eOK,COUNTIF(クラス!A:A,F87)&gt;0,
 IF(_xlpm.dOK,"○","×") &amp; IF(_xlpm.eOK,"○","×")
)</f>
        <v>○×</v>
      </c>
      <c r="E87" t="s">
        <v>855</v>
      </c>
      <c r="G87">
        <v>15</v>
      </c>
      <c r="H87">
        <v>30</v>
      </c>
      <c r="R87" t="s">
        <v>863</v>
      </c>
      <c r="S87" t="str">
        <f t="shared" si="1"/>
        <v>水の輪</v>
      </c>
      <c r="U87" t="s">
        <v>788</v>
      </c>
      <c r="V87" t="s">
        <v>1259</v>
      </c>
      <c r="W87" t="s">
        <v>1620</v>
      </c>
    </row>
    <row r="88" spans="1:23" outlineLevel="1" x14ac:dyDescent="0.4">
      <c r="A88" s="2" t="s">
        <v>503</v>
      </c>
      <c r="B88" s="10" t="s">
        <v>789</v>
      </c>
      <c r="C88" t="str">
        <f>_xlfn.LET(
 _xlpm.dOK,COUNTIF(クラス!A:A,E88)&gt;0,
 _xlpm.eOK,COUNTIF(クラス!A:A,F88)&gt;0,
 IF(_xlpm.dOK,"○","×") &amp; IF(_xlpm.eOK,"○","×")
)</f>
        <v>○○</v>
      </c>
      <c r="D88" t="b">
        <v>1</v>
      </c>
      <c r="E88" t="s">
        <v>195</v>
      </c>
      <c r="F88" t="s">
        <v>816</v>
      </c>
      <c r="G88">
        <v>15</v>
      </c>
      <c r="H88">
        <v>20</v>
      </c>
      <c r="S88" t="str">
        <f t="shared" si="1"/>
        <v>肉食生物の巣</v>
      </c>
      <c r="W88" t="s">
        <v>1621</v>
      </c>
    </row>
    <row r="89" spans="1:23" outlineLevel="1" x14ac:dyDescent="0.4">
      <c r="C89" t="str">
        <f>_xlfn.LET(
 _xlpm.dOK,COUNTIF(クラス!A:A,E89)&gt;0,
 _xlpm.eOK,COUNTIF(クラス!A:A,F89)&gt;0,
 IF(_xlpm.dOK,"○","×") &amp; IF(_xlpm.eOK,"○","×")
)</f>
        <v>××</v>
      </c>
      <c r="S89" t="str">
        <f t="shared" si="1"/>
        <v/>
      </c>
      <c r="U89" t="s">
        <v>785</v>
      </c>
      <c r="V89" t="s">
        <v>1247</v>
      </c>
    </row>
    <row r="90" spans="1:23" outlineLevel="1" x14ac:dyDescent="0.4">
      <c r="A90" s="2" t="s">
        <v>504</v>
      </c>
      <c r="B90" s="10" t="s">
        <v>789</v>
      </c>
      <c r="C90" t="str">
        <f>_xlfn.LET(
 _xlpm.dOK,COUNTIF(クラス!A:A,E90)&gt;0,
 _xlpm.eOK,COUNTIF(クラス!A:A,F90)&gt;0,
 IF(_xlpm.dOK,"○","×") &amp; IF(_xlpm.eOK,"○","×")
)</f>
        <v>○○</v>
      </c>
      <c r="E90" t="s">
        <v>195</v>
      </c>
      <c r="F90" t="s">
        <v>816</v>
      </c>
      <c r="G90">
        <v>5</v>
      </c>
      <c r="H90">
        <v>20</v>
      </c>
      <c r="S90" t="str">
        <f t="shared" si="1"/>
        <v>肉食生物の巣</v>
      </c>
      <c r="U90" t="s">
        <v>805</v>
      </c>
      <c r="V90" t="s">
        <v>1262</v>
      </c>
      <c r="W90" t="s">
        <v>1622</v>
      </c>
    </row>
    <row r="91" spans="1:23" ht="36" outlineLevel="1" x14ac:dyDescent="0.4">
      <c r="A91" s="2" t="s">
        <v>504</v>
      </c>
      <c r="B91" s="10" t="s">
        <v>788</v>
      </c>
      <c r="C91" t="str">
        <f>_xlfn.LET(
 _xlpm.dOK,COUNTIF(クラス!A:A,E91)&gt;0,
 _xlpm.eOK,COUNTIF(クラス!A:A,F91)&gt;0,
 IF(_xlpm.dOK,"○","×") &amp; IF(_xlpm.eOK,"○","×")
)</f>
        <v>○×</v>
      </c>
      <c r="E91" t="s">
        <v>855</v>
      </c>
      <c r="G91">
        <v>15</v>
      </c>
      <c r="H91">
        <v>30</v>
      </c>
      <c r="R91" t="s">
        <v>863</v>
      </c>
      <c r="S91" t="str">
        <f t="shared" si="1"/>
        <v>水の輪</v>
      </c>
      <c r="U91" t="s">
        <v>806</v>
      </c>
      <c r="V91" t="s">
        <v>1262</v>
      </c>
      <c r="W91" t="s">
        <v>1623</v>
      </c>
    </row>
    <row r="92" spans="1:23" outlineLevel="1" x14ac:dyDescent="0.4">
      <c r="C92" t="str">
        <f>_xlfn.LET(
 _xlpm.dOK,COUNTIF(クラス!A:A,E92)&gt;0,
 _xlpm.eOK,COUNTIF(クラス!A:A,F92)&gt;0,
 IF(_xlpm.dOK,"○","×") &amp; IF(_xlpm.eOK,"○","×")
)</f>
        <v>××</v>
      </c>
      <c r="S92" t="str">
        <f t="shared" si="1"/>
        <v/>
      </c>
    </row>
    <row r="93" spans="1:23" x14ac:dyDescent="0.4">
      <c r="C93" t="str">
        <f>_xlfn.LET(
 _xlpm.dOK,COUNTIF(クラス!A:A,E93)&gt;0,
 _xlpm.eOK,COUNTIF(クラス!A:A,F93)&gt;0,
 IF(_xlpm.dOK,"○","×") &amp; IF(_xlpm.eOK,"○","×")
)</f>
        <v>××</v>
      </c>
      <c r="S93" t="str">
        <f t="shared" si="1"/>
        <v/>
      </c>
      <c r="U93" t="s">
        <v>805</v>
      </c>
      <c r="V93" t="s">
        <v>1262</v>
      </c>
    </row>
    <row r="94" spans="1:23" x14ac:dyDescent="0.4">
      <c r="A94" s="2" t="s">
        <v>510</v>
      </c>
      <c r="B94" s="10" t="s">
        <v>785</v>
      </c>
      <c r="C94" t="str">
        <f>_xlfn.LET(
 _xlpm.dOK,COUNTIF(クラス!A:A,E94)&gt;0,
 _xlpm.eOK,COUNTIF(クラス!A:A,F94)&gt;0,
 IF(_xlpm.dOK,"○","×") &amp; IF(_xlpm.eOK,"○","×")
)</f>
        <v>××</v>
      </c>
      <c r="S94" t="str">
        <f t="shared" si="1"/>
        <v>飛竜の巣</v>
      </c>
      <c r="U94" t="s">
        <v>807</v>
      </c>
      <c r="V94" t="s">
        <v>1262</v>
      </c>
      <c r="W94" t="s">
        <v>1624</v>
      </c>
    </row>
    <row r="95" spans="1:23" ht="72" outlineLevel="1" x14ac:dyDescent="0.4">
      <c r="A95" s="2" t="s">
        <v>510</v>
      </c>
      <c r="B95" s="10" t="s">
        <v>805</v>
      </c>
      <c r="C95" t="str">
        <f>_xlfn.LET(
 _xlpm.dOK,COUNTIF(クラス!A:A,E95)&gt;0,
 _xlpm.eOK,COUNTIF(クラス!A:A,F95)&gt;0,
 IF(_xlpm.dOK,"○","×") &amp; IF(_xlpm.eOK,"○","×")
)</f>
        <v>○×</v>
      </c>
      <c r="D95" s="10"/>
      <c r="E95" s="10" t="s">
        <v>69</v>
      </c>
      <c r="G95">
        <v>15</v>
      </c>
      <c r="H95">
        <v>30</v>
      </c>
      <c r="R95" t="s">
        <v>1121</v>
      </c>
      <c r="S95" t="str">
        <f t="shared" si="1"/>
        <v>炎の輪</v>
      </c>
      <c r="U95" t="s">
        <v>1263</v>
      </c>
      <c r="V95" t="s">
        <v>1249</v>
      </c>
      <c r="W95" t="s">
        <v>1625</v>
      </c>
    </row>
    <row r="96" spans="1:23" outlineLevel="1" x14ac:dyDescent="0.4">
      <c r="A96" s="2" t="s">
        <v>510</v>
      </c>
      <c r="B96" s="10" t="s">
        <v>806</v>
      </c>
      <c r="C96" t="str">
        <f>_xlfn.LET(
 _xlpm.dOK,COUNTIF(クラス!A:A,E96)&gt;0,
 _xlpm.eOK,COUNTIF(クラス!A:A,F96)&gt;0,
 IF(_xlpm.dOK,"○","×") &amp; IF(_xlpm.eOK,"○","×")
)</f>
        <v>××</v>
      </c>
      <c r="S96" t="str">
        <f t="shared" si="1"/>
        <v>炎の輪</v>
      </c>
      <c r="W96" t="s">
        <v>1626</v>
      </c>
    </row>
    <row r="97" spans="1:23" outlineLevel="1" x14ac:dyDescent="0.4">
      <c r="C97" t="str">
        <f>_xlfn.LET(
 _xlpm.dOK,COUNTIF(クラス!A:A,E97)&gt;0,
 _xlpm.eOK,COUNTIF(クラス!A:A,F97)&gt;0,
 IF(_xlpm.dOK,"○","×") &amp; IF(_xlpm.eOK,"○","×")
)</f>
        <v>××</v>
      </c>
      <c r="S97" t="str">
        <f t="shared" si="1"/>
        <v/>
      </c>
      <c r="U97" t="s">
        <v>783</v>
      </c>
      <c r="V97" t="s">
        <v>1259</v>
      </c>
    </row>
    <row r="98" spans="1:23" outlineLevel="1" x14ac:dyDescent="0.4">
      <c r="C98" t="str">
        <f>_xlfn.LET(
 _xlpm.dOK,COUNTIF(クラス!A:A,E98)&gt;0,
 _xlpm.eOK,COUNTIF(クラス!A:A,F98)&gt;0,
 IF(_xlpm.dOK,"○","×") &amp; IF(_xlpm.eOK,"○","×")
)</f>
        <v>××</v>
      </c>
      <c r="S98" t="str">
        <f t="shared" si="1"/>
        <v/>
      </c>
      <c r="U98" t="s">
        <v>804</v>
      </c>
      <c r="V98" t="s">
        <v>1244</v>
      </c>
    </row>
    <row r="99" spans="1:23" ht="72" outlineLevel="1" x14ac:dyDescent="0.4">
      <c r="A99" s="2" t="s">
        <v>739</v>
      </c>
      <c r="B99" s="10" t="s">
        <v>805</v>
      </c>
      <c r="C99" t="str">
        <f>_xlfn.LET(
 _xlpm.dOK,COUNTIF(クラス!A:A,E99)&gt;0,
 _xlpm.eOK,COUNTIF(クラス!A:A,F99)&gt;0,
 IF(_xlpm.dOK,"○","×") &amp; IF(_xlpm.eOK,"○","×")
)</f>
        <v>○×</v>
      </c>
      <c r="D99" s="10"/>
      <c r="E99" s="10" t="s">
        <v>69</v>
      </c>
      <c r="G99">
        <v>10</v>
      </c>
      <c r="H99">
        <v>15</v>
      </c>
      <c r="R99" t="s">
        <v>1121</v>
      </c>
      <c r="S99" t="str">
        <f t="shared" si="1"/>
        <v>炎の輪</v>
      </c>
      <c r="U99" t="s">
        <v>1264</v>
      </c>
      <c r="V99" t="s">
        <v>1244</v>
      </c>
      <c r="W99" t="s">
        <v>1627</v>
      </c>
    </row>
    <row r="100" spans="1:23" ht="36" outlineLevel="1" x14ac:dyDescent="0.4">
      <c r="A100" s="2" t="s">
        <v>739</v>
      </c>
      <c r="B100" s="10" t="s">
        <v>807</v>
      </c>
      <c r="C100" t="str">
        <f>_xlfn.LET(
 _xlpm.dOK,COUNTIF(クラス!A:A,E100)&gt;0,
 _xlpm.eOK,COUNTIF(クラス!A:A,F100)&gt;0,
 IF(_xlpm.dOK,"○","×") &amp; IF(_xlpm.eOK,"○","×")
)</f>
        <v>××</v>
      </c>
      <c r="S100" t="str">
        <f t="shared" si="1"/>
        <v>炎の輪</v>
      </c>
      <c r="U100" t="s">
        <v>70</v>
      </c>
      <c r="V100" t="s">
        <v>1259</v>
      </c>
      <c r="W100" t="s">
        <v>1628</v>
      </c>
    </row>
    <row r="101" spans="1:23" outlineLevel="1" x14ac:dyDescent="0.4">
      <c r="A101" s="2" t="s">
        <v>739</v>
      </c>
      <c r="B101" s="10" t="s">
        <v>808</v>
      </c>
      <c r="C101" t="str">
        <f>_xlfn.LET(
 _xlpm.dOK,COUNTIF(クラス!A:A,E101)&gt;0,
 _xlpm.eOK,COUNTIF(クラス!A:A,F101)&gt;0,
 IF(_xlpm.dOK,"○","×") &amp; IF(_xlpm.eOK,"○","×")
)</f>
        <v>××</v>
      </c>
      <c r="S101" t="str">
        <f t="shared" si="1"/>
        <v>毒生成物の巣</v>
      </c>
      <c r="W101" t="s">
        <v>1629</v>
      </c>
    </row>
    <row r="102" spans="1:23" outlineLevel="1" x14ac:dyDescent="0.4">
      <c r="C102" t="str">
        <f>_xlfn.LET(
 _xlpm.dOK,COUNTIF(クラス!A:A,E102)&gt;0,
 _xlpm.eOK,COUNTIF(クラス!A:A,F102)&gt;0,
 IF(_xlpm.dOK,"○","×") &amp; IF(_xlpm.eOK,"○","×")
)</f>
        <v>××</v>
      </c>
      <c r="S102" t="str">
        <f t="shared" si="1"/>
        <v/>
      </c>
    </row>
    <row r="103" spans="1:23" x14ac:dyDescent="0.4">
      <c r="C103" t="str">
        <f>_xlfn.LET(
 _xlpm.dOK,COUNTIF(クラス!A:A,E103)&gt;0,
 _xlpm.eOK,COUNTIF(クラス!A:A,F103)&gt;0,
 IF(_xlpm.dOK,"○","×") &amp; IF(_xlpm.eOK,"○","×")
)</f>
        <v>××</v>
      </c>
      <c r="S103" t="str">
        <f t="shared" si="1"/>
        <v/>
      </c>
    </row>
    <row r="104" spans="1:23" ht="36" x14ac:dyDescent="0.4">
      <c r="A104" s="2" t="s">
        <v>509</v>
      </c>
      <c r="B104" s="10" t="s">
        <v>783</v>
      </c>
      <c r="C104" t="str">
        <f>_xlfn.LET(
 _xlpm.dOK,COUNTIF(クラス!A:A,E104)&gt;0,
 _xlpm.eOK,COUNTIF(クラス!A:A,F104)&gt;0,
 IF(_xlpm.dOK,"○","×") &amp; IF(_xlpm.eOK,"○","×")
)</f>
        <v>××</v>
      </c>
      <c r="S104" t="str">
        <f t="shared" si="1"/>
        <v>水の輪</v>
      </c>
      <c r="W104" t="s">
        <v>1630</v>
      </c>
    </row>
    <row r="105" spans="1:23" outlineLevel="1" x14ac:dyDescent="0.4">
      <c r="A105" s="2" t="s">
        <v>509</v>
      </c>
      <c r="B105" s="10" t="s">
        <v>804</v>
      </c>
      <c r="C105" t="str">
        <f>_xlfn.LET(
 _xlpm.dOK,COUNTIF(クラス!A:A,E105)&gt;0,
 _xlpm.eOK,COUNTIF(クラス!A:A,F105)&gt;0,
 IF(_xlpm.dOK,"○","×") &amp; IF(_xlpm.eOK,"○","×")
)</f>
        <v>××</v>
      </c>
      <c r="S105" t="str">
        <f t="shared" si="1"/>
        <v>肉食生物の巣</v>
      </c>
      <c r="W105" t="s">
        <v>1631</v>
      </c>
    </row>
    <row r="106" spans="1:23" ht="36" outlineLevel="1" x14ac:dyDescent="0.4">
      <c r="A106" s="2" t="s">
        <v>509</v>
      </c>
      <c r="B106" s="10" t="s">
        <v>809</v>
      </c>
      <c r="C106" t="str">
        <f>_xlfn.LET(
 _xlpm.dOK,COUNTIF(クラス!A:A,E106)&gt;0,
 _xlpm.eOK,COUNTIF(クラス!A:A,F106)&gt;0,
 IF(_xlpm.dOK,"○","×") &amp; IF(_xlpm.eOK,"○","×")
)</f>
        <v>××</v>
      </c>
      <c r="S106" t="str">
        <f t="shared" si="1"/>
        <v>肉食生物の巣</v>
      </c>
      <c r="W106" t="s">
        <v>1632</v>
      </c>
    </row>
    <row r="107" spans="1:23" ht="72" outlineLevel="1" x14ac:dyDescent="0.4">
      <c r="A107" s="2" t="s">
        <v>509</v>
      </c>
      <c r="B107" s="10" t="s">
        <v>71</v>
      </c>
      <c r="C107" t="str">
        <f>_xlfn.LET(
 _xlpm.dOK,COUNTIF(クラス!A:A,E107)&gt;0,
 _xlpm.eOK,COUNTIF(クラス!A:A,F107)&gt;0,
 IF(_xlpm.dOK,"○","×") &amp; IF(_xlpm.eOK,"○","×")
)</f>
        <v>○×</v>
      </c>
      <c r="D107" s="10"/>
      <c r="E107" s="10" t="s">
        <v>71</v>
      </c>
      <c r="G107">
        <v>15</v>
      </c>
      <c r="H107">
        <v>25</v>
      </c>
      <c r="S107" t="str">
        <f t="shared" si="1"/>
        <v>水の輪</v>
      </c>
      <c r="W107" t="s">
        <v>1633</v>
      </c>
    </row>
    <row r="108" spans="1:23" outlineLevel="1" x14ac:dyDescent="0.4">
      <c r="C108" t="str">
        <f>_xlfn.LET(
 _xlpm.dOK,COUNTIF(クラス!A:A,E108)&gt;0,
 _xlpm.eOK,COUNTIF(クラス!A:A,F108)&gt;0,
 IF(_xlpm.dOK,"○","×") &amp; IF(_xlpm.eOK,"○","×")
)</f>
        <v>××</v>
      </c>
      <c r="S108" t="str">
        <f t="shared" si="1"/>
        <v/>
      </c>
    </row>
    <row r="109" spans="1:23" outlineLevel="1" x14ac:dyDescent="0.4">
      <c r="C109" t="str">
        <f>_xlfn.LET(
 _xlpm.dOK,COUNTIF(クラス!A:A,E109)&gt;0,
 _xlpm.eOK,COUNTIF(クラス!A:A,F109)&gt;0,
 IF(_xlpm.dOK,"○","×") &amp; IF(_xlpm.eOK,"○","×")
)</f>
        <v>××</v>
      </c>
      <c r="S109" t="str">
        <f t="shared" si="1"/>
        <v/>
      </c>
    </row>
    <row r="110" spans="1:23" outlineLevel="1" x14ac:dyDescent="0.4">
      <c r="C110" t="str">
        <f>_xlfn.LET(
 _xlpm.dOK,COUNTIF(クラス!A:A,E110)&gt;0,
 _xlpm.eOK,COUNTIF(クラス!A:A,F110)&gt;0,
 IF(_xlpm.dOK,"○","×") &amp; IF(_xlpm.eOK,"○","×")
)</f>
        <v>××</v>
      </c>
      <c r="S110" t="str">
        <f t="shared" si="1"/>
        <v/>
      </c>
    </row>
    <row r="111" spans="1:23" outlineLevel="1" x14ac:dyDescent="0.4">
      <c r="C111" t="str">
        <f>_xlfn.LET(
 _xlpm.dOK,COUNTIF(クラス!A:A,E111)&gt;0,
 _xlpm.eOK,COUNTIF(クラス!A:A,F111)&gt;0,
 IF(_xlpm.dOK,"○","×") &amp; IF(_xlpm.eOK,"○","×")
)</f>
        <v>××</v>
      </c>
      <c r="S111" t="str">
        <f t="shared" si="1"/>
        <v/>
      </c>
    </row>
    <row r="112" spans="1:23" outlineLevel="1" x14ac:dyDescent="0.4">
      <c r="C112" t="str">
        <f>_xlfn.LET(
 _xlpm.dOK,COUNTIF(クラス!A:A,E112)&gt;0,
 _xlpm.eOK,COUNTIF(クラス!A:A,F112)&gt;0,
 IF(_xlpm.dOK,"○","×") &amp; IF(_xlpm.eOK,"○","×")
)</f>
        <v>××</v>
      </c>
      <c r="S112" t="str">
        <f t="shared" si="1"/>
        <v/>
      </c>
    </row>
    <row r="113" spans="3:19" outlineLevel="1" x14ac:dyDescent="0.4">
      <c r="C113" t="str">
        <f>_xlfn.LET(
 _xlpm.dOK,COUNTIF(クラス!A:A,E113)&gt;0,
 _xlpm.eOK,COUNTIF(クラス!A:A,F113)&gt;0,
 IF(_xlpm.dOK,"○","×") &amp; IF(_xlpm.eOK,"○","×")
)</f>
        <v>××</v>
      </c>
      <c r="S113" t="str">
        <f t="shared" si="1"/>
        <v/>
      </c>
    </row>
    <row r="114" spans="3:19" outlineLevel="1" x14ac:dyDescent="0.4">
      <c r="C114" t="str">
        <f>_xlfn.LET(
 _xlpm.dOK,COUNTIF(クラス!A:A,E114)&gt;0,
 _xlpm.eOK,COUNTIF(クラス!A:A,F114)&gt;0,
 IF(_xlpm.dOK,"○","×") &amp; IF(_xlpm.eOK,"○","×")
)</f>
        <v>××</v>
      </c>
      <c r="S114" t="str">
        <f t="shared" si="1"/>
        <v/>
      </c>
    </row>
    <row r="115" spans="3:19" x14ac:dyDescent="0.4">
      <c r="C115" t="str">
        <f>_xlfn.LET(
 _xlpm.dOK,COUNTIF(クラス!A:A,E115)&gt;0,
 _xlpm.eOK,COUNTIF(クラス!A:A,F115)&gt;0,
 IF(_xlpm.dOK,"○","×") &amp; IF(_xlpm.eOK,"○","×")
)</f>
        <v>××</v>
      </c>
      <c r="S115" t="str">
        <f t="shared" si="1"/>
        <v/>
      </c>
    </row>
    <row r="116" spans="3:19" x14ac:dyDescent="0.4">
      <c r="C116" t="str">
        <f>_xlfn.LET(
 _xlpm.dOK,COUNTIF(クラス!A:A,E116)&gt;0,
 _xlpm.eOK,COUNTIF(クラス!A:A,F116)&gt;0,
 IF(_xlpm.dOK,"○","×") &amp; IF(_xlpm.eOK,"○","×")
)</f>
        <v>××</v>
      </c>
      <c r="S116" t="str">
        <f t="shared" si="1"/>
        <v/>
      </c>
    </row>
    <row r="117" spans="3:19" x14ac:dyDescent="0.4">
      <c r="C117" t="str">
        <f>_xlfn.LET(
 _xlpm.dOK,COUNTIF(クラス!A:A,E117)&gt;0,
 _xlpm.eOK,COUNTIF(クラス!A:A,F117)&gt;0,
 IF(_xlpm.dOK,"○","×") &amp; IF(_xlpm.eOK,"○","×")
)</f>
        <v>××</v>
      </c>
      <c r="S117" t="str">
        <f t="shared" si="1"/>
        <v/>
      </c>
    </row>
    <row r="118" spans="3:19" x14ac:dyDescent="0.4">
      <c r="C118" t="str">
        <f>_xlfn.LET(
 _xlpm.dOK,COUNTIF(クラス!A:A,E118)&gt;0,
 _xlpm.eOK,COUNTIF(クラス!A:A,F118)&gt;0,
 IF(_xlpm.dOK,"○","×") &amp; IF(_xlpm.eOK,"○","×")
)</f>
        <v>××</v>
      </c>
      <c r="S118" t="str">
        <f t="shared" si="1"/>
        <v/>
      </c>
    </row>
    <row r="119" spans="3:19" x14ac:dyDescent="0.4">
      <c r="C119" t="str">
        <f>IFERROR(_xlfn.LET(_xlpm.v,
VLOOKUP($B119,クラス!$A:$B,1,FALSE),
IF(_xlpm.v=0,"",_xlpm.v)
),"")</f>
        <v/>
      </c>
      <c r="S119" t="str">
        <f t="shared" si="1"/>
        <v/>
      </c>
    </row>
    <row r="120" spans="3:19" x14ac:dyDescent="0.4">
      <c r="C120" t="str">
        <f>IFERROR(_xlfn.LET(_xlpm.v,
VLOOKUP($B120,クラス!$A:$B,1,FALSE),
IF(_xlpm.v=0,"",_xlpm.v)
),"")</f>
        <v/>
      </c>
    </row>
    <row r="121" spans="3:19" x14ac:dyDescent="0.4">
      <c r="C121" t="str">
        <f>IFERROR(_xlfn.LET(_xlpm.v,
VLOOKUP($B121,クラス!$A:$B,1,FALSE),
IF(_xlpm.v=0,"",_xlpm.v)
),"")</f>
        <v/>
      </c>
    </row>
    <row r="122" spans="3:19" x14ac:dyDescent="0.4">
      <c r="C122" t="str">
        <f>IFERROR(_xlfn.LET(_xlpm.v,
VLOOKUP($B122,クラス!$A:$B,1,FALSE),
IF(_xlpm.v=0,"",_xlpm.v)
),"")</f>
        <v/>
      </c>
    </row>
    <row r="123" spans="3:19" x14ac:dyDescent="0.4">
      <c r="C123" t="str">
        <f>IFERROR(_xlfn.LET(_xlpm.v,
VLOOKUP($B123,クラス!$A:$B,1,FALSE),
IF(_xlpm.v=0,"",_xlpm.v)
),"")</f>
        <v/>
      </c>
    </row>
    <row r="124" spans="3:19" x14ac:dyDescent="0.4">
      <c r="C124" t="str">
        <f>IFERROR(_xlfn.LET(_xlpm.v,
VLOOKUP($B124,クラス!$A:$B,1,FALSE),
IF(_xlpm.v=0,"",_xlpm.v)
),"")</f>
        <v/>
      </c>
    </row>
    <row r="125" spans="3:19" x14ac:dyDescent="0.4">
      <c r="C125" t="str">
        <f>IFERROR(_xlfn.LET(_xlpm.v,
VLOOKUP($B125,クラス!$A:$B,1,FALSE),
IF(_xlpm.v=0,"",_xlpm.v)
),"")</f>
        <v/>
      </c>
    </row>
    <row r="126" spans="3:19" x14ac:dyDescent="0.4">
      <c r="C126" t="str">
        <f>IFERROR(_xlfn.LET(_xlpm.v,
VLOOKUP($B126,クラス!$A:$B,1,FALSE),
IF(_xlpm.v=0,"",_xlpm.v)
),"")</f>
        <v/>
      </c>
    </row>
    <row r="127" spans="3:19" x14ac:dyDescent="0.4">
      <c r="C127" t="str">
        <f>IFERROR(_xlfn.LET(_xlpm.v,
VLOOKUP($B127,クラス!$A:$B,1,FALSE),
IF(_xlpm.v=0,"",_xlpm.v)
),"")</f>
        <v/>
      </c>
    </row>
    <row r="128" spans="3:19" x14ac:dyDescent="0.4">
      <c r="C128" t="str">
        <f>IFERROR(_xlfn.LET(_xlpm.v,
VLOOKUP($B128,クラス!$A:$B,1,FALSE),
IF(_xlpm.v=0,"",_xlpm.v)
),"")</f>
        <v/>
      </c>
    </row>
    <row r="129" spans="3:3" x14ac:dyDescent="0.4">
      <c r="C129" t="str">
        <f>IFERROR(_xlfn.LET(_xlpm.v,
VLOOKUP($B129,クラス!$A:$B,1,FALSE),
IF(_xlpm.v=0,"",_xlpm.v)
),"")</f>
        <v/>
      </c>
    </row>
    <row r="130" spans="3:3" x14ac:dyDescent="0.4">
      <c r="C130" t="str">
        <f>IFERROR(_xlfn.LET(_xlpm.v,
VLOOKUP($B130,クラス!$A:$B,1,FALSE),
IF(_xlpm.v=0,"",_xlpm.v)
),"")</f>
        <v/>
      </c>
    </row>
    <row r="131" spans="3:3" x14ac:dyDescent="0.4">
      <c r="C131" t="str">
        <f>IFERROR(_xlfn.LET(_xlpm.v,
VLOOKUP($B131,クラス!$A:$B,1,FALSE),
IF(_xlpm.v=0,"",_xlpm.v)
),"")</f>
        <v/>
      </c>
    </row>
    <row r="132" spans="3:3" x14ac:dyDescent="0.4">
      <c r="C132" t="str">
        <f>IFERROR(_xlfn.LET(_xlpm.v,
VLOOKUP($B132,クラス!$A:$B,1,FALSE),
IF(_xlpm.v=0,"",_xlpm.v)
),"")</f>
        <v/>
      </c>
    </row>
    <row r="133" spans="3:3" x14ac:dyDescent="0.4">
      <c r="C133" t="str">
        <f>IFERROR(_xlfn.LET(_xlpm.v,
VLOOKUP($B133,クラス!$A:$B,1,FALSE),
IF(_xlpm.v=0,"",_xlpm.v)
),"")</f>
        <v/>
      </c>
    </row>
    <row r="134" spans="3:3" x14ac:dyDescent="0.4">
      <c r="C134" t="str">
        <f>IFERROR(_xlfn.LET(_xlpm.v,
VLOOKUP($B134,クラス!$A:$B,1,FALSE),
IF(_xlpm.v=0,"",_xlpm.v)
),"")</f>
        <v/>
      </c>
    </row>
    <row r="135" spans="3:3" x14ac:dyDescent="0.4">
      <c r="C135" t="str">
        <f>IFERROR(_xlfn.LET(_xlpm.v,
VLOOKUP($B135,クラス!$A:$B,1,FALSE),
IF(_xlpm.v=0,"",_xlpm.v)
),"")</f>
        <v/>
      </c>
    </row>
    <row r="136" spans="3:3" x14ac:dyDescent="0.4">
      <c r="C136" t="str">
        <f>IFERROR(_xlfn.LET(_xlpm.v,
VLOOKUP($B136,クラス!$A:$B,1,FALSE),
IF(_xlpm.v=0,"",_xlpm.v)
),"")</f>
        <v/>
      </c>
    </row>
    <row r="137" spans="3:3" x14ac:dyDescent="0.4">
      <c r="C137" t="str">
        <f>IFERROR(_xlfn.LET(_xlpm.v,
VLOOKUP($B137,クラス!$A:$B,1,FALSE),
IF(_xlpm.v=0,"",_xlpm.v)
),"")</f>
        <v/>
      </c>
    </row>
    <row r="138" spans="3:3" x14ac:dyDescent="0.4">
      <c r="C138" t="str">
        <f>IFERROR(_xlfn.LET(_xlpm.v,
VLOOKUP($B138,クラス!$A:$B,1,FALSE),
IF(_xlpm.v=0,"",_xlpm.v)
),"")</f>
        <v/>
      </c>
    </row>
    <row r="139" spans="3:3" x14ac:dyDescent="0.4">
      <c r="C139" t="str">
        <f>IFERROR(_xlfn.LET(_xlpm.v,
VLOOKUP($B139,クラス!$A:$B,1,FALSE),
IF(_xlpm.v=0,"",_xlpm.v)
),"")</f>
        <v/>
      </c>
    </row>
    <row r="140" spans="3:3" x14ac:dyDescent="0.4">
      <c r="C140" t="str">
        <f>IFERROR(_xlfn.LET(_xlpm.v,
VLOOKUP($B140,クラス!$A:$B,1,FALSE),
IF(_xlpm.v=0,"",_xlpm.v)
),"")</f>
        <v/>
      </c>
    </row>
    <row r="141" spans="3:3" x14ac:dyDescent="0.4">
      <c r="C141" t="str">
        <f>IFERROR(_xlfn.LET(_xlpm.v,
VLOOKUP($B141,クラス!$A:$B,1,FALSE),
IF(_xlpm.v=0,"",_xlpm.v)
),"")</f>
        <v/>
      </c>
    </row>
    <row r="142" spans="3:3" x14ac:dyDescent="0.4">
      <c r="C142" t="str">
        <f>IFERROR(_xlfn.LET(_xlpm.v,
VLOOKUP($B142,クラス!$A:$B,1,FALSE),
IF(_xlpm.v=0,"",_xlpm.v)
),"")</f>
        <v/>
      </c>
    </row>
    <row r="143" spans="3:3" x14ac:dyDescent="0.4">
      <c r="C143" t="str">
        <f>IFERROR(_xlfn.LET(_xlpm.v,
VLOOKUP($B143,クラス!$A:$B,1,FALSE),
IF(_xlpm.v=0,"",_xlpm.v)
),"")</f>
        <v/>
      </c>
    </row>
    <row r="144" spans="3:3" x14ac:dyDescent="0.4">
      <c r="C144" t="str">
        <f>IFERROR(_xlfn.LET(_xlpm.v,
VLOOKUP($B144,クラス!$A:$B,1,FALSE),
IF(_xlpm.v=0,"",_xlpm.v)
),"")</f>
        <v/>
      </c>
    </row>
    <row r="145" spans="3:3" x14ac:dyDescent="0.4">
      <c r="C145" t="str">
        <f>IFERROR(_xlfn.LET(_xlpm.v,
VLOOKUP($B145,クラス!$A:$B,1,FALSE),
IF(_xlpm.v=0,"",_xlpm.v)
),"")</f>
        <v/>
      </c>
    </row>
    <row r="146" spans="3:3" x14ac:dyDescent="0.4">
      <c r="C146" t="str">
        <f>IFERROR(_xlfn.LET(_xlpm.v,
VLOOKUP($B146,クラス!$A:$B,1,FALSE),
IF(_xlpm.v=0,"",_xlpm.v)
),"")</f>
        <v/>
      </c>
    </row>
    <row r="147" spans="3:3" x14ac:dyDescent="0.4">
      <c r="C147" t="str">
        <f>IFERROR(_xlfn.LET(_xlpm.v,
VLOOKUP($B147,クラス!$A:$B,1,FALSE),
IF(_xlpm.v=0,"",_xlpm.v)
),"")</f>
        <v/>
      </c>
    </row>
    <row r="148" spans="3:3" x14ac:dyDescent="0.4">
      <c r="C148" t="str">
        <f>IFERROR(_xlfn.LET(_xlpm.v,
VLOOKUP($B148,クラス!$A:$B,1,FALSE),
IF(_xlpm.v=0,"",_xlpm.v)
),"")</f>
        <v/>
      </c>
    </row>
    <row r="149" spans="3:3" x14ac:dyDescent="0.4">
      <c r="C149" t="str">
        <f>IFERROR(_xlfn.LET(_xlpm.v,
VLOOKUP($B149,クラス!$A:$B,1,FALSE),
IF(_xlpm.v=0,"",_xlpm.v)
),"")</f>
        <v/>
      </c>
    </row>
    <row r="150" spans="3:3" x14ac:dyDescent="0.4">
      <c r="C150" t="str">
        <f>IFERROR(_xlfn.LET(_xlpm.v,
VLOOKUP($B150,クラス!$A:$B,1,FALSE),
IF(_xlpm.v=0,"",_xlpm.v)
),"")</f>
        <v/>
      </c>
    </row>
    <row r="151" spans="3:3" x14ac:dyDescent="0.4">
      <c r="C151" t="str">
        <f>IFERROR(_xlfn.LET(_xlpm.v,
VLOOKUP($B151,クラス!$A:$B,1,FALSE),
IF(_xlpm.v=0,"",_xlpm.v)
),"")</f>
        <v/>
      </c>
    </row>
    <row r="152" spans="3:3" x14ac:dyDescent="0.4">
      <c r="C152" t="str">
        <f>IFERROR(_xlfn.LET(_xlpm.v,
VLOOKUP($B152,クラス!$A:$B,1,FALSE),
IF(_xlpm.v=0,"",_xlpm.v)
),"")</f>
        <v/>
      </c>
    </row>
    <row r="153" spans="3:3" x14ac:dyDescent="0.4">
      <c r="C153" t="str">
        <f>IFERROR(_xlfn.LET(_xlpm.v,
VLOOKUP($B153,クラス!$A:$B,1,FALSE),
IF(_xlpm.v=0,"",_xlpm.v)
),"")</f>
        <v/>
      </c>
    </row>
    <row r="154" spans="3:3" x14ac:dyDescent="0.4">
      <c r="C154" t="str">
        <f>IFERROR(_xlfn.LET(_xlpm.v,
VLOOKUP($B154,クラス!$A:$B,1,FALSE),
IF(_xlpm.v=0,"",_xlpm.v)
),"")</f>
        <v/>
      </c>
    </row>
    <row r="155" spans="3:3" x14ac:dyDescent="0.4">
      <c r="C155" t="str">
        <f>IFERROR(_xlfn.LET(_xlpm.v,
VLOOKUP($B155,クラス!$A:$B,1,FALSE),
IF(_xlpm.v=0,"",_xlpm.v)
),"")</f>
        <v/>
      </c>
    </row>
    <row r="156" spans="3:3" x14ac:dyDescent="0.4">
      <c r="C156" t="str">
        <f>IFERROR(_xlfn.LET(_xlpm.v,
VLOOKUP($B156,クラス!$A:$B,1,FALSE),
IF(_xlpm.v=0,"",_xlpm.v)
),"")</f>
        <v/>
      </c>
    </row>
    <row r="157" spans="3:3" x14ac:dyDescent="0.4">
      <c r="C157" t="str">
        <f>IFERROR(_xlfn.LET(_xlpm.v,
VLOOKUP($B157,クラス!$A:$B,1,FALSE),
IF(_xlpm.v=0,"",_xlpm.v)
),"")</f>
        <v/>
      </c>
    </row>
    <row r="158" spans="3:3" x14ac:dyDescent="0.4">
      <c r="C158" t="str">
        <f>IFERROR(_xlfn.LET(_xlpm.v,
VLOOKUP($B158,クラス!$A:$B,1,FALSE),
IF(_xlpm.v=0,"",_xlpm.v)
),"")</f>
        <v/>
      </c>
    </row>
    <row r="159" spans="3:3" x14ac:dyDescent="0.4">
      <c r="C159" t="str">
        <f>IFERROR(_xlfn.LET(_xlpm.v,
VLOOKUP($B159,クラス!$A:$B,1,FALSE),
IF(_xlpm.v=0,"",_xlpm.v)
),"")</f>
        <v/>
      </c>
    </row>
    <row r="160" spans="3:3" x14ac:dyDescent="0.4">
      <c r="C160" t="str">
        <f>IFERROR(_xlfn.LET(_xlpm.v,
VLOOKUP($B160,クラス!$A:$B,1,FALSE),
IF(_xlpm.v=0,"",_xlpm.v)
),"")</f>
        <v/>
      </c>
    </row>
    <row r="161" spans="3:3" x14ac:dyDescent="0.4">
      <c r="C161" t="str">
        <f>IFERROR(_xlfn.LET(_xlpm.v,
VLOOKUP($B161,クラス!$A:$B,1,FALSE),
IF(_xlpm.v=0,"",_xlpm.v)
),"")</f>
        <v/>
      </c>
    </row>
    <row r="162" spans="3:3" x14ac:dyDescent="0.4">
      <c r="C162" t="str">
        <f>IFERROR(_xlfn.LET(_xlpm.v,
VLOOKUP($B162,クラス!$A:$B,1,FALSE),
IF(_xlpm.v=0,"",_xlpm.v)
),"")</f>
        <v/>
      </c>
    </row>
    <row r="163" spans="3:3" x14ac:dyDescent="0.4">
      <c r="C163" t="str">
        <f>IFERROR(_xlfn.LET(_xlpm.v,
VLOOKUP($B163,クラス!$A:$B,1,FALSE),
IF(_xlpm.v=0,"",_xlpm.v)
),"")</f>
        <v/>
      </c>
    </row>
    <row r="164" spans="3:3" x14ac:dyDescent="0.4">
      <c r="C164" t="str">
        <f>IFERROR(_xlfn.LET(_xlpm.v,
VLOOKUP($B164,クラス!$A:$B,1,FALSE),
IF(_xlpm.v=0,"",_xlpm.v)
),"")</f>
        <v/>
      </c>
    </row>
    <row r="165" spans="3:3" x14ac:dyDescent="0.4">
      <c r="C165" t="str">
        <f>IFERROR(_xlfn.LET(_xlpm.v,
VLOOKUP($B165,クラス!$A:$B,1,FALSE),
IF(_xlpm.v=0,"",_xlpm.v)
),"")</f>
        <v/>
      </c>
    </row>
    <row r="166" spans="3:3" x14ac:dyDescent="0.4">
      <c r="C166" t="str">
        <f>IFERROR(_xlfn.LET(_xlpm.v,
VLOOKUP($B166,クラス!$A:$B,1,FALSE),
IF(_xlpm.v=0,"",_xlpm.v)
),"")</f>
        <v/>
      </c>
    </row>
    <row r="167" spans="3:3" x14ac:dyDescent="0.4">
      <c r="C167" t="str">
        <f>IFERROR(_xlfn.LET(_xlpm.v,
VLOOKUP($B167,クラス!$A:$B,1,FALSE),
IF(_xlpm.v=0,"",_xlpm.v)
),"")</f>
        <v/>
      </c>
    </row>
    <row r="168" spans="3:3" x14ac:dyDescent="0.4">
      <c r="C168" t="str">
        <f>IFERROR(_xlfn.LET(_xlpm.v,
VLOOKUP($B168,クラス!$A:$B,1,FALSE),
IF(_xlpm.v=0,"",_xlpm.v)
),"")</f>
        <v/>
      </c>
    </row>
    <row r="169" spans="3:3" x14ac:dyDescent="0.4">
      <c r="C169" t="str">
        <f>IFERROR(_xlfn.LET(_xlpm.v,
VLOOKUP($B169,クラス!$A:$B,1,FALSE),
IF(_xlpm.v=0,"",_xlpm.v)
),"")</f>
        <v/>
      </c>
    </row>
    <row r="170" spans="3:3" x14ac:dyDescent="0.4">
      <c r="C170" t="str">
        <f>IFERROR(_xlfn.LET(_xlpm.v,
VLOOKUP($B170,クラス!$A:$B,1,FALSE),
IF(_xlpm.v=0,"",_xlpm.v)
),"")</f>
        <v/>
      </c>
    </row>
    <row r="171" spans="3:3" x14ac:dyDescent="0.4">
      <c r="C171" t="str">
        <f>IFERROR(_xlfn.LET(_xlpm.v,
VLOOKUP($B171,クラス!$A:$B,1,FALSE),
IF(_xlpm.v=0,"",_xlpm.v)
),"")</f>
        <v/>
      </c>
    </row>
    <row r="172" spans="3:3" x14ac:dyDescent="0.4">
      <c r="C172" t="str">
        <f>IFERROR(_xlfn.LET(_xlpm.v,
VLOOKUP($B172,クラス!$A:$B,1,FALSE),
IF(_xlpm.v=0,"",_xlpm.v)
),"")</f>
        <v/>
      </c>
    </row>
    <row r="173" spans="3:3" x14ac:dyDescent="0.4">
      <c r="C173" t="str">
        <f>IFERROR(_xlfn.LET(_xlpm.v,
VLOOKUP($B173,クラス!$A:$B,1,FALSE),
IF(_xlpm.v=0,"",_xlpm.v)
),"")</f>
        <v/>
      </c>
    </row>
    <row r="174" spans="3:3" x14ac:dyDescent="0.4">
      <c r="C174" t="str">
        <f>IFERROR(_xlfn.LET(_xlpm.v,
VLOOKUP($B174,クラス!$A:$B,1,FALSE),
IF(_xlpm.v=0,"",_xlpm.v)
),"")</f>
        <v/>
      </c>
    </row>
    <row r="175" spans="3:3" x14ac:dyDescent="0.4">
      <c r="C175" t="str">
        <f>IFERROR(_xlfn.LET(_xlpm.v,
VLOOKUP($B175,クラス!$A:$B,1,FALSE),
IF(_xlpm.v=0,"",_xlpm.v)
),"")</f>
        <v/>
      </c>
    </row>
    <row r="176" spans="3:3" x14ac:dyDescent="0.4">
      <c r="C176" t="str">
        <f>IFERROR(_xlfn.LET(_xlpm.v,
VLOOKUP($B176,クラス!$A:$B,1,FALSE),
IF(_xlpm.v=0,"",_xlpm.v)
),"")</f>
        <v/>
      </c>
    </row>
  </sheetData>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30510EF-548C-41A0-B5F9-55CF03E6CA0E}">
          <x14:formula1>
            <xm:f>地形!A:A</xm:f>
          </x14:formula1>
          <xm:sqref>A3:A159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314E-7956-4290-BDAD-D50750C7C686}">
  <sheetPr codeName="Sheet5">
    <tabColor theme="6" tint="0.79998168889431442"/>
  </sheetPr>
  <dimension ref="A1:N34"/>
  <sheetViews>
    <sheetView workbookViewId="0">
      <selection activeCell="N1" sqref="N1"/>
    </sheetView>
  </sheetViews>
  <sheetFormatPr defaultRowHeight="18.75" x14ac:dyDescent="0.4"/>
  <cols>
    <col min="1" max="1" width="10.875" style="17" bestFit="1" customWidth="1"/>
    <col min="2" max="2" width="32.125" style="17" customWidth="1"/>
    <col min="3" max="3" width="24.625" customWidth="1"/>
    <col min="4" max="14" width="10.625" customWidth="1"/>
  </cols>
  <sheetData>
    <row r="1" spans="1:14" ht="37.5" x14ac:dyDescent="0.4">
      <c r="A1" s="17" t="s">
        <v>547</v>
      </c>
      <c r="B1" s="17" t="s">
        <v>164</v>
      </c>
      <c r="C1" s="17" t="s">
        <v>1540</v>
      </c>
      <c r="D1" s="17" t="s">
        <v>1646</v>
      </c>
      <c r="E1" s="17" t="s">
        <v>1647</v>
      </c>
      <c r="F1" s="17" t="s">
        <v>1648</v>
      </c>
      <c r="G1" s="17" t="s">
        <v>1649</v>
      </c>
      <c r="H1" s="17" t="s">
        <v>1650</v>
      </c>
      <c r="I1" s="17" t="s">
        <v>1651</v>
      </c>
      <c r="J1" s="17" t="s">
        <v>1652</v>
      </c>
      <c r="K1" s="17" t="s">
        <v>1653</v>
      </c>
      <c r="L1" s="17" t="s">
        <v>1654</v>
      </c>
      <c r="M1" s="17" t="s">
        <v>1655</v>
      </c>
      <c r="N1" s="17" t="s">
        <v>1656</v>
      </c>
    </row>
    <row r="2" spans="1:14" x14ac:dyDescent="0.4">
      <c r="A2" s="17" t="s">
        <v>548</v>
      </c>
      <c r="B2" s="17" t="s">
        <v>81</v>
      </c>
    </row>
    <row r="3" spans="1:14" ht="56.25" x14ac:dyDescent="0.4">
      <c r="A3" s="17" t="s">
        <v>549</v>
      </c>
      <c r="B3" s="17" t="s">
        <v>578</v>
      </c>
      <c r="C3" t="s">
        <v>1710</v>
      </c>
    </row>
    <row r="4" spans="1:14" ht="37.5" x14ac:dyDescent="0.4">
      <c r="A4" s="17" t="s">
        <v>494</v>
      </c>
      <c r="B4" s="17" t="s">
        <v>575</v>
      </c>
      <c r="C4" t="s">
        <v>1711</v>
      </c>
    </row>
    <row r="5" spans="1:14" x14ac:dyDescent="0.4">
      <c r="A5" s="17" t="s">
        <v>550</v>
      </c>
      <c r="B5" s="17" t="s">
        <v>574</v>
      </c>
      <c r="C5" t="s">
        <v>1712</v>
      </c>
    </row>
    <row r="6" spans="1:14" ht="37.5" x14ac:dyDescent="0.4">
      <c r="A6" s="17" t="s">
        <v>551</v>
      </c>
      <c r="B6" s="17" t="s">
        <v>577</v>
      </c>
      <c r="C6" t="s">
        <v>1713</v>
      </c>
    </row>
    <row r="7" spans="1:14" ht="75" x14ac:dyDescent="0.4">
      <c r="A7" s="17" t="s">
        <v>495</v>
      </c>
      <c r="B7" s="17" t="s">
        <v>573</v>
      </c>
      <c r="C7" t="s">
        <v>1714</v>
      </c>
    </row>
    <row r="8" spans="1:14" ht="37.5" x14ac:dyDescent="0.4">
      <c r="A8" s="17" t="s">
        <v>552</v>
      </c>
      <c r="B8" s="17" t="s">
        <v>576</v>
      </c>
      <c r="C8" t="s">
        <v>1715</v>
      </c>
    </row>
    <row r="9" spans="1:14" x14ac:dyDescent="0.4">
      <c r="A9" s="17" t="s">
        <v>553</v>
      </c>
      <c r="B9" s="17" t="s">
        <v>572</v>
      </c>
      <c r="C9" t="s">
        <v>1716</v>
      </c>
    </row>
    <row r="10" spans="1:14" x14ac:dyDescent="0.4">
      <c r="A10" s="17" t="s">
        <v>554</v>
      </c>
      <c r="B10" s="17" t="s">
        <v>571</v>
      </c>
      <c r="C10" t="s">
        <v>1717</v>
      </c>
    </row>
    <row r="11" spans="1:14" x14ac:dyDescent="0.4">
      <c r="A11" s="17" t="s">
        <v>555</v>
      </c>
      <c r="B11" s="17" t="s">
        <v>1334</v>
      </c>
      <c r="C11" t="s">
        <v>1718</v>
      </c>
      <c r="D11">
        <v>0.01</v>
      </c>
      <c r="E11">
        <v>1</v>
      </c>
      <c r="F11">
        <v>1</v>
      </c>
      <c r="G11">
        <v>3</v>
      </c>
      <c r="H11">
        <v>0.35</v>
      </c>
      <c r="I11">
        <v>38</v>
      </c>
      <c r="J11">
        <v>0.5</v>
      </c>
      <c r="K11">
        <v>2</v>
      </c>
      <c r="L11">
        <v>1</v>
      </c>
      <c r="M11">
        <v>3</v>
      </c>
      <c r="N11">
        <v>10</v>
      </c>
    </row>
    <row r="12" spans="1:14" x14ac:dyDescent="0.4">
      <c r="A12" s="17" t="s">
        <v>556</v>
      </c>
      <c r="B12" s="17" t="s">
        <v>557</v>
      </c>
      <c r="C12" t="s">
        <v>1719</v>
      </c>
    </row>
    <row r="15" spans="1:14" x14ac:dyDescent="0.4">
      <c r="A15" s="17" t="s">
        <v>548</v>
      </c>
      <c r="B15" s="17" t="s">
        <v>81</v>
      </c>
    </row>
    <row r="16" spans="1:14" x14ac:dyDescent="0.4">
      <c r="A16" s="17" t="s">
        <v>580</v>
      </c>
      <c r="B16" s="17" t="s">
        <v>579</v>
      </c>
      <c r="C16" t="s">
        <v>1720</v>
      </c>
    </row>
    <row r="17" spans="1:3" x14ac:dyDescent="0.4">
      <c r="A17" s="17" t="s">
        <v>558</v>
      </c>
      <c r="B17" s="17" t="s">
        <v>585</v>
      </c>
      <c r="C17" t="s">
        <v>1721</v>
      </c>
    </row>
    <row r="18" spans="1:3" x14ac:dyDescent="0.4">
      <c r="A18" s="17" t="s">
        <v>559</v>
      </c>
      <c r="B18" s="17" t="s">
        <v>584</v>
      </c>
      <c r="C18" t="s">
        <v>1722</v>
      </c>
    </row>
    <row r="19" spans="1:3" ht="37.5" x14ac:dyDescent="0.4">
      <c r="A19" s="17" t="s">
        <v>560</v>
      </c>
      <c r="B19" s="17" t="s">
        <v>586</v>
      </c>
      <c r="C19" t="s">
        <v>1723</v>
      </c>
    </row>
    <row r="20" spans="1:3" ht="56.25" x14ac:dyDescent="0.4">
      <c r="A20" s="17" t="s">
        <v>587</v>
      </c>
      <c r="B20" s="17" t="s">
        <v>588</v>
      </c>
      <c r="C20" t="s">
        <v>1724</v>
      </c>
    </row>
    <row r="21" spans="1:3" x14ac:dyDescent="0.4">
      <c r="A21" s="17" t="s">
        <v>561</v>
      </c>
      <c r="B21" s="17" t="s">
        <v>583</v>
      </c>
      <c r="C21" t="s">
        <v>1725</v>
      </c>
    </row>
    <row r="22" spans="1:3" x14ac:dyDescent="0.4">
      <c r="A22" s="17" t="s">
        <v>581</v>
      </c>
      <c r="B22" s="17" t="s">
        <v>582</v>
      </c>
      <c r="C22" t="s">
        <v>1726</v>
      </c>
    </row>
    <row r="25" spans="1:3" x14ac:dyDescent="0.4">
      <c r="A25" s="17" t="s">
        <v>548</v>
      </c>
      <c r="B25" s="17" t="s">
        <v>81</v>
      </c>
    </row>
    <row r="26" spans="1:3" x14ac:dyDescent="0.4">
      <c r="A26" s="17" t="s">
        <v>562</v>
      </c>
      <c r="B26" s="17" t="s">
        <v>594</v>
      </c>
      <c r="C26" t="s">
        <v>1727</v>
      </c>
    </row>
    <row r="27" spans="1:3" ht="56.25" x14ac:dyDescent="0.4">
      <c r="A27" s="17" t="s">
        <v>563</v>
      </c>
      <c r="B27" s="17" t="s">
        <v>595</v>
      </c>
      <c r="C27" t="s">
        <v>1728</v>
      </c>
    </row>
    <row r="28" spans="1:3" ht="37.5" x14ac:dyDescent="0.4">
      <c r="A28" s="17" t="s">
        <v>564</v>
      </c>
      <c r="B28" s="17" t="s">
        <v>589</v>
      </c>
      <c r="C28" t="s">
        <v>1729</v>
      </c>
    </row>
    <row r="29" spans="1:3" ht="37.5" x14ac:dyDescent="0.4">
      <c r="A29" s="17" t="s">
        <v>565</v>
      </c>
      <c r="B29" s="17" t="s">
        <v>590</v>
      </c>
      <c r="C29" t="s">
        <v>1730</v>
      </c>
    </row>
    <row r="30" spans="1:3" x14ac:dyDescent="0.4">
      <c r="A30" s="17" t="s">
        <v>566</v>
      </c>
      <c r="B30" s="17" t="s">
        <v>567</v>
      </c>
      <c r="C30" t="s">
        <v>1731</v>
      </c>
    </row>
    <row r="31" spans="1:3" x14ac:dyDescent="0.4">
      <c r="A31" s="17" t="s">
        <v>568</v>
      </c>
      <c r="B31" s="17" t="s">
        <v>569</v>
      </c>
      <c r="C31" t="s">
        <v>1732</v>
      </c>
    </row>
    <row r="32" spans="1:3" x14ac:dyDescent="0.4">
      <c r="A32" s="17" t="s">
        <v>591</v>
      </c>
      <c r="B32" s="17" t="s">
        <v>592</v>
      </c>
      <c r="C32" t="s">
        <v>1733</v>
      </c>
    </row>
    <row r="34" spans="1:3" x14ac:dyDescent="0.4">
      <c r="A34" s="17" t="s">
        <v>570</v>
      </c>
      <c r="B34" s="17" t="s">
        <v>596</v>
      </c>
      <c r="C34" t="s">
        <v>1734</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F20F-879F-4344-BCFB-DC6EB358278F}">
  <sheetPr codeName="Sheet15">
    <tabColor rgb="FFFFEF75"/>
  </sheetPr>
  <dimension ref="A1:N56"/>
  <sheetViews>
    <sheetView topLeftCell="A38" workbookViewId="0">
      <selection activeCell="N53" sqref="A53:N56"/>
    </sheetView>
  </sheetViews>
  <sheetFormatPr defaultRowHeight="18.75" x14ac:dyDescent="0.4"/>
  <cols>
    <col min="1" max="2" width="11.375" customWidth="1"/>
    <col min="4" max="4" width="46" style="17" customWidth="1"/>
    <col min="5" max="5" width="7.5" customWidth="1"/>
    <col min="6" max="19" width="4.875" customWidth="1"/>
  </cols>
  <sheetData>
    <row r="1" spans="1:14" x14ac:dyDescent="0.4">
      <c r="A1" t="s">
        <v>939</v>
      </c>
      <c r="B1" t="s">
        <v>1364</v>
      </c>
      <c r="C1" t="s">
        <v>654</v>
      </c>
      <c r="D1" s="17" t="s">
        <v>655</v>
      </c>
      <c r="E1" t="s">
        <v>958</v>
      </c>
      <c r="F1" t="s">
        <v>1365</v>
      </c>
      <c r="G1" t="s">
        <v>1366</v>
      </c>
      <c r="H1" t="s">
        <v>1367</v>
      </c>
      <c r="I1" t="s">
        <v>1368</v>
      </c>
      <c r="J1" t="s">
        <v>1369</v>
      </c>
      <c r="K1" t="s">
        <v>1370</v>
      </c>
      <c r="L1" t="s">
        <v>1371</v>
      </c>
      <c r="M1" t="s">
        <v>1372</v>
      </c>
      <c r="N1" t="s">
        <v>1373</v>
      </c>
    </row>
    <row r="2" spans="1:14" x14ac:dyDescent="0.4">
      <c r="A2" t="s">
        <v>1374</v>
      </c>
      <c r="C2" t="s">
        <v>1375</v>
      </c>
      <c r="D2" s="17" t="s">
        <v>1376</v>
      </c>
    </row>
    <row r="3" spans="1:14" ht="37.5" x14ac:dyDescent="0.4">
      <c r="A3" t="s">
        <v>1377</v>
      </c>
      <c r="C3" t="s">
        <v>1212</v>
      </c>
      <c r="D3" s="17" t="s">
        <v>1378</v>
      </c>
    </row>
    <row r="4" spans="1:14" x14ac:dyDescent="0.4">
      <c r="A4" t="s">
        <v>1379</v>
      </c>
      <c r="C4" t="s">
        <v>1380</v>
      </c>
      <c r="D4" s="17" t="s">
        <v>1381</v>
      </c>
      <c r="E4" t="s">
        <v>1216</v>
      </c>
    </row>
    <row r="5" spans="1:14" ht="37.5" x14ac:dyDescent="0.4">
      <c r="A5" t="s">
        <v>1382</v>
      </c>
      <c r="C5" t="s">
        <v>1380</v>
      </c>
      <c r="D5" s="17" t="s">
        <v>1383</v>
      </c>
      <c r="E5" t="s">
        <v>1384</v>
      </c>
    </row>
    <row r="6" spans="1:14" ht="37.5" x14ac:dyDescent="0.4">
      <c r="A6" t="s">
        <v>1385</v>
      </c>
      <c r="C6" t="s">
        <v>1380</v>
      </c>
      <c r="D6" s="17" t="s">
        <v>1386</v>
      </c>
      <c r="E6" t="s">
        <v>1387</v>
      </c>
    </row>
    <row r="7" spans="1:14" ht="37.5" x14ac:dyDescent="0.4">
      <c r="A7" t="s">
        <v>1388</v>
      </c>
      <c r="C7" t="s">
        <v>1380</v>
      </c>
      <c r="D7" s="17" t="s">
        <v>1389</v>
      </c>
      <c r="E7" t="s">
        <v>1390</v>
      </c>
    </row>
    <row r="8" spans="1:14" ht="37.5" x14ac:dyDescent="0.4">
      <c r="A8" t="s">
        <v>1391</v>
      </c>
      <c r="C8" t="s">
        <v>1380</v>
      </c>
      <c r="D8" s="17" t="s">
        <v>1392</v>
      </c>
      <c r="E8" t="s">
        <v>1393</v>
      </c>
    </row>
    <row r="9" spans="1:14" x14ac:dyDescent="0.4">
      <c r="A9" t="s">
        <v>1394</v>
      </c>
      <c r="C9" t="s">
        <v>1394</v>
      </c>
      <c r="D9" s="17" t="s">
        <v>1395</v>
      </c>
    </row>
    <row r="10" spans="1:14" x14ac:dyDescent="0.4">
      <c r="A10" t="s">
        <v>1396</v>
      </c>
      <c r="C10" t="s">
        <v>1394</v>
      </c>
      <c r="D10" s="17" t="s">
        <v>1397</v>
      </c>
    </row>
    <row r="11" spans="1:14" x14ac:dyDescent="0.4">
      <c r="A11" t="s">
        <v>1398</v>
      </c>
      <c r="C11" t="s">
        <v>1394</v>
      </c>
      <c r="D11" s="17" t="s">
        <v>1399</v>
      </c>
    </row>
    <row r="12" spans="1:14" x14ac:dyDescent="0.4">
      <c r="A12" t="s">
        <v>1400</v>
      </c>
      <c r="C12" t="s">
        <v>1401</v>
      </c>
      <c r="D12" s="17" t="s">
        <v>1402</v>
      </c>
    </row>
    <row r="13" spans="1:14" ht="37.5" x14ac:dyDescent="0.4">
      <c r="A13" t="s">
        <v>1403</v>
      </c>
      <c r="C13" t="s">
        <v>1404</v>
      </c>
      <c r="D13" s="17" t="s">
        <v>944</v>
      </c>
    </row>
    <row r="14" spans="1:14" x14ac:dyDescent="0.4">
      <c r="A14" t="s">
        <v>247</v>
      </c>
    </row>
    <row r="15" spans="1:14" x14ac:dyDescent="0.4">
      <c r="A15" t="s">
        <v>1405</v>
      </c>
      <c r="C15" t="s">
        <v>1406</v>
      </c>
      <c r="D15" s="17" t="s">
        <v>1407</v>
      </c>
    </row>
    <row r="16" spans="1:14" x14ac:dyDescent="0.4">
      <c r="A16" t="s">
        <v>1409</v>
      </c>
      <c r="C16" t="s">
        <v>1406</v>
      </c>
      <c r="D16" s="17" t="s">
        <v>1410</v>
      </c>
    </row>
    <row r="17" spans="1:5" x14ac:dyDescent="0.4">
      <c r="A17" t="s">
        <v>1411</v>
      </c>
      <c r="C17" t="s">
        <v>1412</v>
      </c>
      <c r="D17" s="17" t="s">
        <v>1413</v>
      </c>
    </row>
    <row r="18" spans="1:5" ht="37.5" x14ac:dyDescent="0.4">
      <c r="A18" t="s">
        <v>1414</v>
      </c>
      <c r="C18" t="s">
        <v>1415</v>
      </c>
      <c r="D18" s="17" t="s">
        <v>940</v>
      </c>
    </row>
    <row r="19" spans="1:5" x14ac:dyDescent="0.4">
      <c r="A19" t="s">
        <v>1416</v>
      </c>
      <c r="C19" t="s">
        <v>1417</v>
      </c>
      <c r="D19" s="17" t="s">
        <v>1418</v>
      </c>
    </row>
    <row r="20" spans="1:5" ht="37.5" x14ac:dyDescent="0.4">
      <c r="A20" t="s">
        <v>1419</v>
      </c>
      <c r="C20" t="s">
        <v>1417</v>
      </c>
      <c r="D20" s="17" t="s">
        <v>1420</v>
      </c>
    </row>
    <row r="21" spans="1:5" x14ac:dyDescent="0.4">
      <c r="A21" t="s">
        <v>1421</v>
      </c>
      <c r="C21" t="s">
        <v>1422</v>
      </c>
      <c r="D21" s="17" t="s">
        <v>1423</v>
      </c>
    </row>
    <row r="22" spans="1:5" x14ac:dyDescent="0.4">
      <c r="A22" t="s">
        <v>1424</v>
      </c>
      <c r="C22" t="s">
        <v>1425</v>
      </c>
      <c r="D22" s="17" t="s">
        <v>1426</v>
      </c>
    </row>
    <row r="23" spans="1:5" x14ac:dyDescent="0.4">
      <c r="A23" t="s">
        <v>1427</v>
      </c>
      <c r="D23" s="17" t="s">
        <v>1428</v>
      </c>
    </row>
    <row r="24" spans="1:5" x14ac:dyDescent="0.4">
      <c r="A24" t="s">
        <v>1429</v>
      </c>
      <c r="D24" s="17" t="s">
        <v>1430</v>
      </c>
    </row>
    <row r="26" spans="1:5" x14ac:dyDescent="0.4">
      <c r="A26" t="s">
        <v>1414</v>
      </c>
    </row>
    <row r="28" spans="1:5" x14ac:dyDescent="0.4">
      <c r="A28" t="s">
        <v>1431</v>
      </c>
    </row>
    <row r="29" spans="1:5" x14ac:dyDescent="0.4">
      <c r="A29" s="43" t="s">
        <v>1432</v>
      </c>
      <c r="B29" s="43">
        <v>12</v>
      </c>
      <c r="C29" t="s">
        <v>1433</v>
      </c>
      <c r="D29" s="17" t="s">
        <v>1434</v>
      </c>
      <c r="E29" t="s">
        <v>226</v>
      </c>
    </row>
    <row r="30" spans="1:5" x14ac:dyDescent="0.4">
      <c r="A30" s="43" t="s">
        <v>1435</v>
      </c>
      <c r="B30" s="43">
        <v>13</v>
      </c>
      <c r="C30" t="s">
        <v>1433</v>
      </c>
      <c r="D30" s="17" t="s">
        <v>1436</v>
      </c>
      <c r="E30" t="s">
        <v>226</v>
      </c>
    </row>
    <row r="31" spans="1:5" x14ac:dyDescent="0.4">
      <c r="A31" s="43" t="s">
        <v>1437</v>
      </c>
      <c r="B31" s="43">
        <v>14</v>
      </c>
      <c r="C31" t="s">
        <v>1433</v>
      </c>
      <c r="D31" s="17" t="s">
        <v>1438</v>
      </c>
      <c r="E31" t="s">
        <v>226</v>
      </c>
    </row>
    <row r="32" spans="1:5" x14ac:dyDescent="0.4">
      <c r="A32" s="43" t="s">
        <v>1439</v>
      </c>
      <c r="B32" s="43">
        <v>15</v>
      </c>
      <c r="C32" t="s">
        <v>1433</v>
      </c>
      <c r="D32" s="17" t="s">
        <v>1440</v>
      </c>
      <c r="E32" t="s">
        <v>228</v>
      </c>
    </row>
    <row r="33" spans="1:5" x14ac:dyDescent="0.4">
      <c r="A33" s="42" t="s">
        <v>1441</v>
      </c>
      <c r="B33" s="42">
        <v>10</v>
      </c>
      <c r="C33" t="s">
        <v>1441</v>
      </c>
      <c r="D33" s="17" t="s">
        <v>1442</v>
      </c>
      <c r="E33" t="s">
        <v>227</v>
      </c>
    </row>
    <row r="34" spans="1:5" x14ac:dyDescent="0.4">
      <c r="A34" s="42" t="s">
        <v>1443</v>
      </c>
      <c r="B34" s="42">
        <v>9</v>
      </c>
      <c r="C34" t="s">
        <v>1441</v>
      </c>
      <c r="D34" s="17" t="s">
        <v>1444</v>
      </c>
      <c r="E34" t="s">
        <v>227</v>
      </c>
    </row>
    <row r="35" spans="1:5" x14ac:dyDescent="0.4">
      <c r="A35" s="42" t="s">
        <v>1445</v>
      </c>
      <c r="B35" s="42">
        <v>8</v>
      </c>
      <c r="C35" t="s">
        <v>1441</v>
      </c>
      <c r="D35" s="17" t="s">
        <v>1446</v>
      </c>
      <c r="E35" t="s">
        <v>227</v>
      </c>
    </row>
    <row r="36" spans="1:5" x14ac:dyDescent="0.4">
      <c r="A36" s="44" t="s">
        <v>1447</v>
      </c>
      <c r="B36" s="44">
        <v>11</v>
      </c>
      <c r="C36" t="s">
        <v>1447</v>
      </c>
      <c r="D36" s="17" t="s">
        <v>1448</v>
      </c>
      <c r="E36" t="s">
        <v>229</v>
      </c>
    </row>
    <row r="37" spans="1:5" x14ac:dyDescent="0.4">
      <c r="A37" s="44" t="s">
        <v>1449</v>
      </c>
      <c r="B37" s="44">
        <v>4</v>
      </c>
      <c r="C37" t="s">
        <v>954</v>
      </c>
      <c r="D37" s="17" t="s">
        <v>1450</v>
      </c>
      <c r="E37" t="s">
        <v>229</v>
      </c>
    </row>
    <row r="38" spans="1:5" x14ac:dyDescent="0.4">
      <c r="A38" s="44" t="s">
        <v>1451</v>
      </c>
      <c r="B38" s="44">
        <v>3</v>
      </c>
      <c r="C38" t="s">
        <v>1452</v>
      </c>
      <c r="D38" s="17" t="s">
        <v>967</v>
      </c>
      <c r="E38" t="s">
        <v>229</v>
      </c>
    </row>
    <row r="39" spans="1:5" x14ac:dyDescent="0.4">
      <c r="A39" s="44" t="s">
        <v>1453</v>
      </c>
      <c r="B39" s="44">
        <v>2</v>
      </c>
      <c r="C39" t="s">
        <v>1452</v>
      </c>
      <c r="D39" s="17" t="s">
        <v>1454</v>
      </c>
      <c r="E39" t="s">
        <v>229</v>
      </c>
    </row>
    <row r="40" spans="1:5" x14ac:dyDescent="0.4">
      <c r="A40" s="44" t="s">
        <v>1455</v>
      </c>
      <c r="B40" s="44">
        <v>1</v>
      </c>
      <c r="C40" t="s">
        <v>1452</v>
      </c>
      <c r="D40" s="17" t="s">
        <v>1456</v>
      </c>
      <c r="E40" t="s">
        <v>229</v>
      </c>
    </row>
    <row r="41" spans="1:5" x14ac:dyDescent="0.4">
      <c r="A41" s="36" t="s">
        <v>1457</v>
      </c>
      <c r="B41" s="36">
        <v>6</v>
      </c>
      <c r="C41" t="s">
        <v>953</v>
      </c>
      <c r="D41" s="17" t="s">
        <v>1458</v>
      </c>
      <c r="E41" t="s">
        <v>229</v>
      </c>
    </row>
    <row r="42" spans="1:5" x14ac:dyDescent="0.4">
      <c r="A42" s="36" t="s">
        <v>1459</v>
      </c>
      <c r="B42" s="36">
        <v>7</v>
      </c>
      <c r="C42" t="s">
        <v>1460</v>
      </c>
      <c r="D42" s="17" t="s">
        <v>1461</v>
      </c>
      <c r="E42" t="s">
        <v>229</v>
      </c>
    </row>
    <row r="43" spans="1:5" x14ac:dyDescent="0.4">
      <c r="A43" s="36" t="s">
        <v>1462</v>
      </c>
      <c r="B43" s="36">
        <v>5</v>
      </c>
      <c r="C43" t="s">
        <v>1462</v>
      </c>
      <c r="D43" s="17" t="s">
        <v>1463</v>
      </c>
      <c r="E43" t="s">
        <v>229</v>
      </c>
    </row>
    <row r="44" spans="1:5" x14ac:dyDescent="0.4">
      <c r="A44" s="56" t="s">
        <v>1464</v>
      </c>
      <c r="B44" s="56">
        <v>17</v>
      </c>
      <c r="C44" t="s">
        <v>1465</v>
      </c>
      <c r="D44" s="17" t="s">
        <v>1466</v>
      </c>
    </row>
    <row r="45" spans="1:5" x14ac:dyDescent="0.4">
      <c r="A45" s="56" t="s">
        <v>1467</v>
      </c>
      <c r="B45" s="56">
        <v>16</v>
      </c>
      <c r="C45" t="s">
        <v>1465</v>
      </c>
      <c r="D45" s="17" t="s">
        <v>1468</v>
      </c>
    </row>
    <row r="46" spans="1:5" x14ac:dyDescent="0.4">
      <c r="A46" t="s">
        <v>1469</v>
      </c>
    </row>
    <row r="47" spans="1:5" x14ac:dyDescent="0.4">
      <c r="A47" s="36" t="s">
        <v>1470</v>
      </c>
      <c r="B47" s="36"/>
    </row>
    <row r="48" spans="1:5" x14ac:dyDescent="0.4">
      <c r="A48" s="36" t="s">
        <v>1471</v>
      </c>
      <c r="B48" s="36"/>
    </row>
    <row r="49" spans="1:14" x14ac:dyDescent="0.4">
      <c r="A49" s="36" t="s">
        <v>1472</v>
      </c>
      <c r="B49" s="36"/>
    </row>
    <row r="50" spans="1:14" x14ac:dyDescent="0.4">
      <c r="A50" t="s">
        <v>1473</v>
      </c>
      <c r="C50" t="s">
        <v>1359</v>
      </c>
      <c r="D50" s="17" t="s">
        <v>1475</v>
      </c>
      <c r="F50" t="s">
        <v>1474</v>
      </c>
      <c r="G50" t="s">
        <v>1211</v>
      </c>
      <c r="H50">
        <v>1</v>
      </c>
      <c r="I50">
        <v>0</v>
      </c>
      <c r="J50">
        <v>1</v>
      </c>
      <c r="K50">
        <v>1</v>
      </c>
      <c r="L50" t="b">
        <v>0</v>
      </c>
      <c r="M50">
        <v>1</v>
      </c>
    </row>
    <row r="51" spans="1:14" x14ac:dyDescent="0.4">
      <c r="A51" t="s">
        <v>1476</v>
      </c>
      <c r="C51" t="s">
        <v>1359</v>
      </c>
      <c r="D51" s="17" t="s">
        <v>1478</v>
      </c>
      <c r="F51" t="s">
        <v>1477</v>
      </c>
      <c r="G51" t="s">
        <v>1408</v>
      </c>
      <c r="H51">
        <v>1</v>
      </c>
      <c r="I51">
        <v>4</v>
      </c>
      <c r="J51">
        <v>2.5</v>
      </c>
      <c r="K51">
        <v>4</v>
      </c>
      <c r="L51" t="b">
        <v>1</v>
      </c>
      <c r="M51">
        <v>2</v>
      </c>
    </row>
    <row r="52" spans="1:14" x14ac:dyDescent="0.4">
      <c r="A52" t="s">
        <v>1479</v>
      </c>
      <c r="C52" t="s">
        <v>1359</v>
      </c>
      <c r="D52" s="17" t="s">
        <v>1482</v>
      </c>
      <c r="F52" t="s">
        <v>1480</v>
      </c>
      <c r="G52" t="s">
        <v>1481</v>
      </c>
      <c r="H52">
        <v>3</v>
      </c>
      <c r="I52">
        <v>5</v>
      </c>
      <c r="J52">
        <v>3</v>
      </c>
      <c r="K52">
        <v>5</v>
      </c>
      <c r="L52" t="b">
        <v>1</v>
      </c>
      <c r="M52">
        <v>3</v>
      </c>
    </row>
    <row r="53" spans="1:14" x14ac:dyDescent="0.4">
      <c r="A53">
        <v>1</v>
      </c>
      <c r="C53" t="s">
        <v>1483</v>
      </c>
      <c r="D53" s="17" t="s">
        <v>1484</v>
      </c>
      <c r="N53">
        <v>1</v>
      </c>
    </row>
    <row r="54" spans="1:14" x14ac:dyDescent="0.4">
      <c r="A54">
        <v>2</v>
      </c>
      <c r="C54" t="s">
        <v>1483</v>
      </c>
      <c r="D54" s="17" t="s">
        <v>1485</v>
      </c>
      <c r="N54">
        <v>1.1499999999999999</v>
      </c>
    </row>
    <row r="55" spans="1:14" x14ac:dyDescent="0.4">
      <c r="A55">
        <v>3</v>
      </c>
      <c r="C55" t="s">
        <v>1483</v>
      </c>
      <c r="D55" s="17" t="s">
        <v>1486</v>
      </c>
      <c r="N55">
        <v>1.3</v>
      </c>
    </row>
    <row r="56" spans="1:14" x14ac:dyDescent="0.4">
      <c r="A56">
        <v>4</v>
      </c>
      <c r="C56" t="s">
        <v>1483</v>
      </c>
      <c r="D56" s="17" t="s">
        <v>1487</v>
      </c>
      <c r="N56">
        <v>1.5</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FBB1-B155-4B17-B6BE-AE7136B8B1FF}">
  <sheetPr codeName="Sheet12">
    <tabColor rgb="FFFFEF75"/>
  </sheetPr>
  <dimension ref="A1:F21"/>
  <sheetViews>
    <sheetView workbookViewId="0"/>
  </sheetViews>
  <sheetFormatPr defaultRowHeight="18.75" x14ac:dyDescent="0.4"/>
  <cols>
    <col min="1" max="1" width="19.25" bestFit="1" customWidth="1"/>
    <col min="2" max="2" width="7.125" customWidth="1"/>
    <col min="3" max="3" width="11.125" customWidth="1"/>
    <col min="4" max="4" width="15.625" bestFit="1" customWidth="1"/>
    <col min="5" max="5" width="45.5" bestFit="1" customWidth="1"/>
    <col min="6" max="6" width="15.125" bestFit="1" customWidth="1"/>
  </cols>
  <sheetData>
    <row r="1" spans="1:6" x14ac:dyDescent="0.4">
      <c r="A1" t="s">
        <v>512</v>
      </c>
      <c r="B1" s="41" t="s">
        <v>597</v>
      </c>
      <c r="C1" t="s">
        <v>513</v>
      </c>
      <c r="D1" t="s">
        <v>159</v>
      </c>
      <c r="E1" t="s">
        <v>514</v>
      </c>
      <c r="F1" t="s">
        <v>515</v>
      </c>
    </row>
    <row r="2" spans="1:6" x14ac:dyDescent="0.4">
      <c r="A2" t="s">
        <v>517</v>
      </c>
      <c r="B2" s="40" t="s">
        <v>516</v>
      </c>
      <c r="C2" t="s">
        <v>518</v>
      </c>
      <c r="D2" t="s">
        <v>609</v>
      </c>
      <c r="E2" t="s">
        <v>519</v>
      </c>
      <c r="F2" t="s">
        <v>520</v>
      </c>
    </row>
    <row r="3" spans="1:6" x14ac:dyDescent="0.4">
      <c r="A3" t="s">
        <v>521</v>
      </c>
      <c r="B3" s="40" t="s">
        <v>516</v>
      </c>
      <c r="C3" t="s">
        <v>518</v>
      </c>
      <c r="D3" t="s">
        <v>608</v>
      </c>
      <c r="E3" t="s">
        <v>519</v>
      </c>
      <c r="F3" t="s">
        <v>520</v>
      </c>
    </row>
    <row r="4" spans="1:6" x14ac:dyDescent="0.4">
      <c r="A4" t="s">
        <v>522</v>
      </c>
      <c r="B4" s="40" t="s">
        <v>516</v>
      </c>
      <c r="C4" t="s">
        <v>518</v>
      </c>
      <c r="D4" t="s">
        <v>607</v>
      </c>
      <c r="E4" t="s">
        <v>519</v>
      </c>
      <c r="F4" t="s">
        <v>520</v>
      </c>
    </row>
    <row r="5" spans="1:6" x14ac:dyDescent="0.4">
      <c r="A5" t="s">
        <v>523</v>
      </c>
      <c r="B5" s="40" t="s">
        <v>516</v>
      </c>
      <c r="C5" t="s">
        <v>518</v>
      </c>
      <c r="D5" t="s">
        <v>606</v>
      </c>
      <c r="E5" t="s">
        <v>519</v>
      </c>
      <c r="F5" t="s">
        <v>520</v>
      </c>
    </row>
    <row r="6" spans="1:6" x14ac:dyDescent="0.4">
      <c r="A6" t="s">
        <v>524</v>
      </c>
      <c r="B6" s="40" t="s">
        <v>516</v>
      </c>
      <c r="C6" t="s">
        <v>518</v>
      </c>
      <c r="D6" t="s">
        <v>605</v>
      </c>
      <c r="E6" t="s">
        <v>519</v>
      </c>
      <c r="F6" t="s">
        <v>520</v>
      </c>
    </row>
    <row r="7" spans="1:6" x14ac:dyDescent="0.4">
      <c r="A7" t="s">
        <v>525</v>
      </c>
      <c r="B7" s="40" t="s">
        <v>516</v>
      </c>
      <c r="C7" t="s">
        <v>518</v>
      </c>
      <c r="D7" t="s">
        <v>604</v>
      </c>
      <c r="E7" t="s">
        <v>519</v>
      </c>
      <c r="F7" t="s">
        <v>520</v>
      </c>
    </row>
    <row r="8" spans="1:6" x14ac:dyDescent="0.4">
      <c r="A8" t="s">
        <v>526</v>
      </c>
      <c r="B8" s="40" t="s">
        <v>516</v>
      </c>
      <c r="C8" t="s">
        <v>518</v>
      </c>
      <c r="D8" t="s">
        <v>603</v>
      </c>
      <c r="E8" t="s">
        <v>519</v>
      </c>
      <c r="F8" t="s">
        <v>520</v>
      </c>
    </row>
    <row r="9" spans="1:6" x14ac:dyDescent="0.4">
      <c r="A9" t="s">
        <v>527</v>
      </c>
      <c r="B9" s="40" t="s">
        <v>516</v>
      </c>
      <c r="C9" t="s">
        <v>518</v>
      </c>
      <c r="E9" t="s">
        <v>519</v>
      </c>
      <c r="F9" t="s">
        <v>520</v>
      </c>
    </row>
    <row r="10" spans="1:6" x14ac:dyDescent="0.4">
      <c r="A10" t="s">
        <v>528</v>
      </c>
      <c r="B10" s="40" t="s">
        <v>516</v>
      </c>
      <c r="C10" t="s">
        <v>518</v>
      </c>
      <c r="D10" t="s">
        <v>598</v>
      </c>
      <c r="E10" t="s">
        <v>519</v>
      </c>
      <c r="F10" t="s">
        <v>520</v>
      </c>
    </row>
    <row r="11" spans="1:6" x14ac:dyDescent="0.4">
      <c r="A11" t="s">
        <v>529</v>
      </c>
      <c r="B11" s="40" t="s">
        <v>516</v>
      </c>
      <c r="C11" t="s">
        <v>518</v>
      </c>
      <c r="D11" t="s">
        <v>602</v>
      </c>
      <c r="E11" t="s">
        <v>519</v>
      </c>
      <c r="F11" t="s">
        <v>520</v>
      </c>
    </row>
    <row r="12" spans="1:6" x14ac:dyDescent="0.4">
      <c r="A12" t="s">
        <v>530</v>
      </c>
      <c r="B12" s="40" t="s">
        <v>516</v>
      </c>
      <c r="C12" t="s">
        <v>518</v>
      </c>
      <c r="D12" t="s">
        <v>599</v>
      </c>
      <c r="E12" t="s">
        <v>519</v>
      </c>
      <c r="F12" t="s">
        <v>520</v>
      </c>
    </row>
    <row r="13" spans="1:6" x14ac:dyDescent="0.4">
      <c r="A13" t="s">
        <v>531</v>
      </c>
      <c r="B13" s="40" t="s">
        <v>516</v>
      </c>
      <c r="C13" t="s">
        <v>518</v>
      </c>
      <c r="E13" t="s">
        <v>519</v>
      </c>
      <c r="F13" t="s">
        <v>520</v>
      </c>
    </row>
    <row r="14" spans="1:6" x14ac:dyDescent="0.4">
      <c r="A14" t="s">
        <v>532</v>
      </c>
      <c r="B14" s="40" t="s">
        <v>516</v>
      </c>
      <c r="C14" t="s">
        <v>518</v>
      </c>
      <c r="D14" t="s">
        <v>600</v>
      </c>
      <c r="E14" t="s">
        <v>519</v>
      </c>
      <c r="F14" t="s">
        <v>520</v>
      </c>
    </row>
    <row r="15" spans="1:6" x14ac:dyDescent="0.4">
      <c r="A15" t="s">
        <v>533</v>
      </c>
      <c r="B15" s="40" t="s">
        <v>516</v>
      </c>
      <c r="C15" t="s">
        <v>518</v>
      </c>
      <c r="D15" t="s">
        <v>601</v>
      </c>
      <c r="E15" t="s">
        <v>519</v>
      </c>
      <c r="F15" t="s">
        <v>520</v>
      </c>
    </row>
    <row r="16" spans="1:6" x14ac:dyDescent="0.4">
      <c r="A16" t="s">
        <v>535</v>
      </c>
      <c r="B16" s="40" t="s">
        <v>534</v>
      </c>
      <c r="C16" t="s">
        <v>536</v>
      </c>
      <c r="E16" t="s">
        <v>537</v>
      </c>
      <c r="F16" t="s">
        <v>538</v>
      </c>
    </row>
    <row r="17" spans="1:6" x14ac:dyDescent="0.4">
      <c r="A17" t="s">
        <v>539</v>
      </c>
      <c r="B17" s="40" t="s">
        <v>534</v>
      </c>
      <c r="C17" t="s">
        <v>536</v>
      </c>
      <c r="E17" t="s">
        <v>537</v>
      </c>
      <c r="F17" t="s">
        <v>538</v>
      </c>
    </row>
    <row r="18" spans="1:6" x14ac:dyDescent="0.4">
      <c r="A18" t="s">
        <v>540</v>
      </c>
      <c r="B18" s="40" t="s">
        <v>534</v>
      </c>
      <c r="C18" t="s">
        <v>536</v>
      </c>
      <c r="E18" t="s">
        <v>537</v>
      </c>
      <c r="F18" t="s">
        <v>538</v>
      </c>
    </row>
    <row r="19" spans="1:6" x14ac:dyDescent="0.4">
      <c r="A19" t="s">
        <v>542</v>
      </c>
      <c r="B19" s="40" t="s">
        <v>541</v>
      </c>
      <c r="C19" t="s">
        <v>543</v>
      </c>
      <c r="D19" t="s">
        <v>610</v>
      </c>
      <c r="E19" t="s">
        <v>544</v>
      </c>
      <c r="F19" t="s">
        <v>520</v>
      </c>
    </row>
    <row r="20" spans="1:6" x14ac:dyDescent="0.4">
      <c r="A20" t="s">
        <v>545</v>
      </c>
      <c r="B20" s="40" t="s">
        <v>541</v>
      </c>
      <c r="C20" t="s">
        <v>543</v>
      </c>
      <c r="D20" t="s">
        <v>611</v>
      </c>
      <c r="E20" t="s">
        <v>544</v>
      </c>
      <c r="F20" t="s">
        <v>520</v>
      </c>
    </row>
    <row r="21" spans="1:6" x14ac:dyDescent="0.4">
      <c r="A21" t="s">
        <v>546</v>
      </c>
      <c r="B21" s="40" t="s">
        <v>541</v>
      </c>
      <c r="C21" t="s">
        <v>543</v>
      </c>
      <c r="D21" t="s">
        <v>612</v>
      </c>
      <c r="E21" t="s">
        <v>544</v>
      </c>
      <c r="F21" t="s">
        <v>520</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FDD4-F2FF-4FD8-809A-70F321E38531}">
  <sheetPr codeName="Sheet11">
    <tabColor rgb="FFFFEF75"/>
  </sheetPr>
  <dimension ref="A1:I6"/>
  <sheetViews>
    <sheetView workbookViewId="0"/>
  </sheetViews>
  <sheetFormatPr defaultRowHeight="18.75" x14ac:dyDescent="0.4"/>
  <cols>
    <col min="2" max="2" width="11.875" customWidth="1"/>
    <col min="3" max="3" width="10.875" bestFit="1" customWidth="1"/>
    <col min="4" max="4" width="7.125" bestFit="1" customWidth="1"/>
    <col min="5" max="6" width="10.875" customWidth="1"/>
    <col min="7" max="7" width="6.75" customWidth="1"/>
    <col min="8" max="8" width="42.625" bestFit="1" customWidth="1"/>
  </cols>
  <sheetData>
    <row r="1" spans="1:9" ht="23.25" customHeight="1" x14ac:dyDescent="0.4">
      <c r="A1" s="45" t="s">
        <v>511</v>
      </c>
      <c r="B1" t="s">
        <v>512</v>
      </c>
      <c r="C1" t="s">
        <v>513</v>
      </c>
      <c r="D1" t="s">
        <v>733</v>
      </c>
      <c r="E1" t="s">
        <v>736</v>
      </c>
      <c r="F1" t="s">
        <v>737</v>
      </c>
      <c r="G1" t="s">
        <v>738</v>
      </c>
      <c r="H1" t="s">
        <v>514</v>
      </c>
      <c r="I1" t="s">
        <v>515</v>
      </c>
    </row>
    <row r="2" spans="1:9" x14ac:dyDescent="0.4">
      <c r="A2" s="45" t="s">
        <v>625</v>
      </c>
      <c r="B2" t="s">
        <v>626</v>
      </c>
      <c r="C2" t="s">
        <v>627</v>
      </c>
      <c r="D2" s="39">
        <v>-0.15</v>
      </c>
      <c r="H2" t="s">
        <v>735</v>
      </c>
      <c r="I2" t="s">
        <v>520</v>
      </c>
    </row>
    <row r="3" spans="1:9" x14ac:dyDescent="0.4">
      <c r="A3" s="45" t="s">
        <v>625</v>
      </c>
      <c r="B3" t="s">
        <v>629</v>
      </c>
      <c r="C3" t="s">
        <v>627</v>
      </c>
      <c r="H3" t="s">
        <v>628</v>
      </c>
      <c r="I3" t="s">
        <v>520</v>
      </c>
    </row>
    <row r="4" spans="1:9" x14ac:dyDescent="0.4">
      <c r="A4" s="45" t="s">
        <v>625</v>
      </c>
      <c r="B4" t="s">
        <v>630</v>
      </c>
      <c r="C4" t="s">
        <v>627</v>
      </c>
      <c r="H4" t="s">
        <v>628</v>
      </c>
      <c r="I4" t="s">
        <v>520</v>
      </c>
    </row>
    <row r="5" spans="1:9" x14ac:dyDescent="0.4">
      <c r="A5" s="45" t="s">
        <v>625</v>
      </c>
      <c r="B5" t="s">
        <v>631</v>
      </c>
      <c r="C5" t="s">
        <v>627</v>
      </c>
      <c r="H5" t="s">
        <v>628</v>
      </c>
      <c r="I5" t="s">
        <v>520</v>
      </c>
    </row>
    <row r="6" spans="1:9" x14ac:dyDescent="0.4">
      <c r="A6" s="45" t="s">
        <v>625</v>
      </c>
      <c r="B6" t="s">
        <v>632</v>
      </c>
      <c r="C6" t="s">
        <v>627</v>
      </c>
      <c r="H6" t="s">
        <v>628</v>
      </c>
      <c r="I6" t="s">
        <v>520</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F7EC6-D68B-4DE4-8ECD-CFE113EB6E24}">
  <sheetPr codeName="Sheet9">
    <tabColor rgb="FFFFEF75"/>
  </sheetPr>
  <dimension ref="A1:D5"/>
  <sheetViews>
    <sheetView workbookViewId="0"/>
  </sheetViews>
  <sheetFormatPr defaultRowHeight="18.75" x14ac:dyDescent="0.4"/>
  <cols>
    <col min="2" max="2" width="14" bestFit="1" customWidth="1"/>
    <col min="3" max="3" width="37.5" bestFit="1" customWidth="1"/>
    <col min="4" max="4" width="12.625" bestFit="1" customWidth="1"/>
  </cols>
  <sheetData>
    <row r="1" spans="1:4" x14ac:dyDescent="0.4">
      <c r="A1" t="s">
        <v>512</v>
      </c>
      <c r="B1" t="s">
        <v>513</v>
      </c>
      <c r="C1" t="s">
        <v>514</v>
      </c>
      <c r="D1" t="s">
        <v>515</v>
      </c>
    </row>
    <row r="2" spans="1:4" x14ac:dyDescent="0.4">
      <c r="A2" t="s">
        <v>633</v>
      </c>
      <c r="B2" t="s">
        <v>634</v>
      </c>
      <c r="C2" t="s">
        <v>635</v>
      </c>
      <c r="D2" t="s">
        <v>520</v>
      </c>
    </row>
    <row r="3" spans="1:4" x14ac:dyDescent="0.4">
      <c r="A3" t="s">
        <v>636</v>
      </c>
      <c r="B3" t="s">
        <v>634</v>
      </c>
      <c r="C3" t="s">
        <v>635</v>
      </c>
      <c r="D3" t="s">
        <v>520</v>
      </c>
    </row>
    <row r="4" spans="1:4" x14ac:dyDescent="0.4">
      <c r="A4" t="s">
        <v>637</v>
      </c>
      <c r="B4" t="s">
        <v>634</v>
      </c>
      <c r="C4" t="s">
        <v>635</v>
      </c>
      <c r="D4" t="s">
        <v>520</v>
      </c>
    </row>
    <row r="5" spans="1:4" x14ac:dyDescent="0.4">
      <c r="A5" t="s">
        <v>638</v>
      </c>
      <c r="B5" t="s">
        <v>634</v>
      </c>
      <c r="C5" t="s">
        <v>635</v>
      </c>
      <c r="D5" t="s">
        <v>520</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50CE-29A6-47F2-8003-A51CBA32D57C}">
  <sheetPr codeName="Sheet8">
    <tabColor rgb="FFFFEF75"/>
  </sheetPr>
  <dimension ref="A1:Y14"/>
  <sheetViews>
    <sheetView workbookViewId="0">
      <pane xSplit="3" ySplit="2" topLeftCell="D3" activePane="bottomRight" state="frozen"/>
      <selection pane="topRight" activeCell="D1" sqref="D1"/>
      <selection pane="bottomLeft" activeCell="A3" sqref="A3"/>
      <selection pane="bottomRight" activeCell="O6" sqref="O6"/>
    </sheetView>
  </sheetViews>
  <sheetFormatPr defaultRowHeight="18.75" x14ac:dyDescent="0.4"/>
  <cols>
    <col min="1" max="1" width="11.875" customWidth="1"/>
    <col min="2" max="2" width="11" bestFit="1" customWidth="1"/>
    <col min="3" max="3" width="10.875" bestFit="1" customWidth="1"/>
    <col min="4" max="4" width="6.625" customWidth="1"/>
    <col min="5" max="5" width="6.75" customWidth="1"/>
    <col min="6" max="25" width="5" customWidth="1"/>
  </cols>
  <sheetData>
    <row r="1" spans="1:25" ht="37.5" x14ac:dyDescent="0.4">
      <c r="A1" t="s">
        <v>511</v>
      </c>
      <c r="B1" t="s">
        <v>512</v>
      </c>
      <c r="C1" t="s">
        <v>513</v>
      </c>
      <c r="D1" t="s">
        <v>514</v>
      </c>
      <c r="E1" t="s">
        <v>515</v>
      </c>
      <c r="F1" s="55" t="s">
        <v>965</v>
      </c>
      <c r="G1" s="55" t="s">
        <v>615</v>
      </c>
      <c r="H1" s="55" t="s">
        <v>616</v>
      </c>
      <c r="I1" s="55" t="s">
        <v>614</v>
      </c>
      <c r="J1" s="55" t="s">
        <v>957</v>
      </c>
      <c r="K1" s="26" t="s">
        <v>247</v>
      </c>
      <c r="L1" s="26" t="s">
        <v>1</v>
      </c>
      <c r="M1" s="26" t="s">
        <v>2</v>
      </c>
      <c r="N1" s="26" t="s">
        <v>105</v>
      </c>
      <c r="O1" s="26" t="s">
        <v>1216</v>
      </c>
      <c r="P1" s="27" t="s">
        <v>4</v>
      </c>
      <c r="Q1" s="27" t="s">
        <v>3</v>
      </c>
      <c r="R1" s="28" t="s">
        <v>226</v>
      </c>
      <c r="S1" s="28" t="s">
        <v>227</v>
      </c>
      <c r="T1" s="28" t="s">
        <v>228</v>
      </c>
      <c r="U1" s="28" t="s">
        <v>229</v>
      </c>
      <c r="V1" s="29" t="s">
        <v>230</v>
      </c>
      <c r="W1" s="29" t="s">
        <v>5</v>
      </c>
      <c r="X1" s="29" t="s">
        <v>991</v>
      </c>
      <c r="Y1" s="29" t="s">
        <v>6</v>
      </c>
    </row>
    <row r="2" spans="1:25" x14ac:dyDescent="0.4">
      <c r="F2" s="60" t="s">
        <v>1169</v>
      </c>
      <c r="G2" s="60" t="s">
        <v>1169</v>
      </c>
      <c r="H2" s="60" t="s">
        <v>1169</v>
      </c>
      <c r="I2" s="60" t="s">
        <v>1169</v>
      </c>
      <c r="J2" s="60" t="s">
        <v>1169</v>
      </c>
      <c r="K2" s="26"/>
      <c r="L2" s="26"/>
      <c r="M2" s="26"/>
      <c r="N2" s="26"/>
      <c r="O2" s="26"/>
      <c r="P2" s="27"/>
      <c r="Q2" s="27"/>
      <c r="R2" s="28"/>
      <c r="S2" s="28"/>
      <c r="T2" s="28"/>
      <c r="U2" s="28"/>
      <c r="V2" s="29"/>
      <c r="W2" s="29"/>
      <c r="X2" s="29"/>
      <c r="Y2" s="29"/>
    </row>
    <row r="3" spans="1:25" x14ac:dyDescent="0.4">
      <c r="A3" t="s">
        <v>6</v>
      </c>
      <c r="B3" t="s">
        <v>639</v>
      </c>
      <c r="C3" t="s">
        <v>640</v>
      </c>
      <c r="D3" t="s">
        <v>641</v>
      </c>
      <c r="E3" t="s">
        <v>642</v>
      </c>
    </row>
    <row r="4" spans="1:25" x14ac:dyDescent="0.4">
      <c r="A4" t="s">
        <v>6</v>
      </c>
      <c r="B4" t="s">
        <v>643</v>
      </c>
      <c r="C4" t="s">
        <v>640</v>
      </c>
      <c r="D4" t="s">
        <v>641</v>
      </c>
      <c r="E4" t="s">
        <v>642</v>
      </c>
    </row>
    <row r="5" spans="1:25" x14ac:dyDescent="0.4">
      <c r="A5" t="s">
        <v>6</v>
      </c>
      <c r="B5" t="s">
        <v>644</v>
      </c>
      <c r="C5" t="s">
        <v>640</v>
      </c>
      <c r="D5" t="s">
        <v>641</v>
      </c>
      <c r="E5" t="s">
        <v>642</v>
      </c>
    </row>
    <row r="6" spans="1:25" x14ac:dyDescent="0.4">
      <c r="A6" t="s">
        <v>6</v>
      </c>
      <c r="B6" t="s">
        <v>645</v>
      </c>
      <c r="C6" t="s">
        <v>640</v>
      </c>
      <c r="D6" t="s">
        <v>641</v>
      </c>
      <c r="E6" t="s">
        <v>642</v>
      </c>
    </row>
    <row r="7" spans="1:25" x14ac:dyDescent="0.4">
      <c r="A7" t="s">
        <v>6</v>
      </c>
      <c r="B7" t="s">
        <v>646</v>
      </c>
      <c r="C7" t="s">
        <v>640</v>
      </c>
      <c r="D7" t="s">
        <v>641</v>
      </c>
      <c r="E7" t="s">
        <v>642</v>
      </c>
    </row>
    <row r="8" spans="1:25" x14ac:dyDescent="0.4">
      <c r="A8" t="s">
        <v>6</v>
      </c>
      <c r="B8" t="s">
        <v>647</v>
      </c>
      <c r="C8" t="s">
        <v>640</v>
      </c>
      <c r="D8" t="s">
        <v>641</v>
      </c>
      <c r="E8" t="s">
        <v>642</v>
      </c>
    </row>
    <row r="9" spans="1:25" x14ac:dyDescent="0.4">
      <c r="A9" t="s">
        <v>6</v>
      </c>
      <c r="B9" t="s">
        <v>648</v>
      </c>
      <c r="C9" t="s">
        <v>640</v>
      </c>
      <c r="D9" t="s">
        <v>641</v>
      </c>
      <c r="E9" t="s">
        <v>642</v>
      </c>
    </row>
    <row r="10" spans="1:25" x14ac:dyDescent="0.4">
      <c r="A10" t="s">
        <v>6</v>
      </c>
      <c r="B10" t="s">
        <v>649</v>
      </c>
      <c r="C10" t="s">
        <v>640</v>
      </c>
      <c r="D10" t="s">
        <v>641</v>
      </c>
      <c r="E10" t="s">
        <v>642</v>
      </c>
    </row>
    <row r="11" spans="1:25" x14ac:dyDescent="0.4">
      <c r="A11" t="s">
        <v>6</v>
      </c>
      <c r="B11" t="s">
        <v>650</v>
      </c>
      <c r="C11" t="s">
        <v>640</v>
      </c>
      <c r="D11" t="s">
        <v>641</v>
      </c>
      <c r="E11" t="s">
        <v>642</v>
      </c>
    </row>
    <row r="12" spans="1:25" x14ac:dyDescent="0.4">
      <c r="A12" t="s">
        <v>6</v>
      </c>
      <c r="B12" t="s">
        <v>651</v>
      </c>
      <c r="C12" t="s">
        <v>640</v>
      </c>
      <c r="D12" t="s">
        <v>641</v>
      </c>
      <c r="E12" t="s">
        <v>642</v>
      </c>
    </row>
    <row r="13" spans="1:25" x14ac:dyDescent="0.4">
      <c r="A13" t="s">
        <v>6</v>
      </c>
      <c r="B13" t="s">
        <v>653</v>
      </c>
      <c r="C13" t="s">
        <v>640</v>
      </c>
      <c r="D13" t="s">
        <v>641</v>
      </c>
      <c r="E13" t="s">
        <v>642</v>
      </c>
    </row>
    <row r="14" spans="1:25" x14ac:dyDescent="0.4">
      <c r="A14" t="s">
        <v>6</v>
      </c>
      <c r="B14" t="s">
        <v>652</v>
      </c>
      <c r="C14" t="s">
        <v>640</v>
      </c>
      <c r="D14" t="s">
        <v>641</v>
      </c>
      <c r="E14" t="s">
        <v>642</v>
      </c>
    </row>
  </sheetData>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9763-825A-45A9-98EC-F23E40D0EE04}">
  <sheetPr codeName="Sheet14">
    <tabColor theme="7" tint="0.79998168889431442"/>
  </sheetPr>
  <dimension ref="A1:BK38"/>
  <sheetViews>
    <sheetView workbookViewId="0">
      <pane xSplit="11" ySplit="5" topLeftCell="Z6" activePane="bottomRight" state="frozen"/>
      <selection pane="topRight" activeCell="I1" sqref="I1"/>
      <selection pane="bottomLeft" activeCell="A6" sqref="A6"/>
      <selection pane="bottomRight" activeCell="G1" sqref="G1:K1"/>
    </sheetView>
  </sheetViews>
  <sheetFormatPr defaultRowHeight="18.75" outlineLevelCol="1" x14ac:dyDescent="0.4"/>
  <cols>
    <col min="2" max="2" width="10.125" customWidth="1"/>
    <col min="3" max="3" width="32.875" style="17" customWidth="1"/>
    <col min="4" max="6" width="5.125" style="17" customWidth="1"/>
    <col min="7" max="7" width="5.125" customWidth="1"/>
    <col min="8" max="11" width="5.125" customWidth="1" outlineLevel="1"/>
    <col min="12" max="12" width="4.5" customWidth="1"/>
    <col min="13" max="13" width="4.5" customWidth="1" outlineLevel="1"/>
    <col min="14" max="15" width="4.625" customWidth="1" outlineLevel="1"/>
    <col min="16" max="17" width="4.5" customWidth="1" outlineLevel="1"/>
    <col min="18" max="19" width="5.25" customWidth="1" outlineLevel="1"/>
    <col min="20" max="20" width="5.5" customWidth="1" outlineLevel="1"/>
    <col min="21" max="21" width="4.5" customWidth="1" outlineLevel="1"/>
    <col min="22" max="23" width="5.5" customWidth="1" outlineLevel="1"/>
    <col min="24" max="24" width="3.625" customWidth="1" outlineLevel="1"/>
    <col min="30" max="30" width="5.125" customWidth="1" collapsed="1"/>
    <col min="31" max="34" width="5.125" customWidth="1" outlineLevel="1"/>
    <col min="35" max="35" width="5.125" customWidth="1"/>
    <col min="36" max="36" width="5.125" customWidth="1" outlineLevel="1"/>
    <col min="37" max="37" width="5.125" style="62" customWidth="1"/>
    <col min="38" max="40" width="5.125" style="62" customWidth="1" outlineLevel="1"/>
    <col min="41" max="41" width="5.125" customWidth="1"/>
    <col min="42" max="44" width="5.125" customWidth="1" outlineLevel="1"/>
    <col min="45" max="45" width="5.75" customWidth="1"/>
    <col min="46" max="46" width="6.625" customWidth="1" outlineLevel="1"/>
    <col min="47" max="47" width="5.125" customWidth="1" outlineLevel="1"/>
    <col min="48" max="48" width="3.875" customWidth="1" outlineLevel="1"/>
    <col min="49" max="50" width="5.125" customWidth="1" outlineLevel="1"/>
    <col min="51" max="51" width="4.75" customWidth="1" outlineLevel="1"/>
    <col min="52" max="52" width="5.125" customWidth="1"/>
    <col min="53" max="53" width="3.75" customWidth="1"/>
    <col min="54" max="54" width="11.125" customWidth="1"/>
    <col min="55" max="63" width="10.625" customWidth="1"/>
    <col min="64" max="97" width="3.75" customWidth="1"/>
  </cols>
  <sheetData>
    <row r="1" spans="1:63" s="17" customFormat="1" ht="37.5" customHeight="1" x14ac:dyDescent="0.4">
      <c r="A1" s="17" t="s">
        <v>701</v>
      </c>
      <c r="B1" s="17" t="s">
        <v>704</v>
      </c>
      <c r="C1" s="17" t="s">
        <v>655</v>
      </c>
      <c r="D1" s="17" t="s">
        <v>1191</v>
      </c>
      <c r="E1" s="17" t="s">
        <v>1197</v>
      </c>
      <c r="F1" s="17" t="s">
        <v>1213</v>
      </c>
      <c r="G1" s="55" t="s">
        <v>965</v>
      </c>
      <c r="H1" s="55" t="s">
        <v>615</v>
      </c>
      <c r="I1" s="55" t="s">
        <v>616</v>
      </c>
      <c r="J1" s="55" t="s">
        <v>614</v>
      </c>
      <c r="K1" s="55" t="s">
        <v>957</v>
      </c>
      <c r="L1" s="57" t="s">
        <v>478</v>
      </c>
      <c r="M1" s="57" t="s">
        <v>479</v>
      </c>
      <c r="N1" s="57" t="s">
        <v>480</v>
      </c>
      <c r="O1" s="58" t="s">
        <v>481</v>
      </c>
      <c r="P1" s="58" t="s">
        <v>482</v>
      </c>
      <c r="Q1" s="58" t="s">
        <v>483</v>
      </c>
      <c r="R1" s="58" t="s">
        <v>484</v>
      </c>
      <c r="S1" s="58" t="s">
        <v>485</v>
      </c>
      <c r="T1" s="36" t="s">
        <v>486</v>
      </c>
      <c r="U1" s="36" t="s">
        <v>487</v>
      </c>
      <c r="V1" s="36" t="s">
        <v>488</v>
      </c>
      <c r="W1" s="56" t="s">
        <v>905</v>
      </c>
      <c r="X1" s="56" t="s">
        <v>902</v>
      </c>
      <c r="AD1" s="26" t="s">
        <v>247</v>
      </c>
      <c r="AE1" s="26" t="s">
        <v>1</v>
      </c>
      <c r="AF1" s="26" t="s">
        <v>2</v>
      </c>
      <c r="AG1" s="26" t="s">
        <v>105</v>
      </c>
      <c r="AH1" s="26" t="s">
        <v>104</v>
      </c>
      <c r="AI1" s="27" t="s">
        <v>4</v>
      </c>
      <c r="AJ1" s="27" t="s">
        <v>3</v>
      </c>
      <c r="AK1" s="61" t="s">
        <v>226</v>
      </c>
      <c r="AL1" s="61" t="s">
        <v>227</v>
      </c>
      <c r="AM1" s="61" t="s">
        <v>228</v>
      </c>
      <c r="AN1" s="61" t="s">
        <v>229</v>
      </c>
      <c r="AO1" s="29" t="s">
        <v>230</v>
      </c>
      <c r="AP1" s="29" t="s">
        <v>5</v>
      </c>
      <c r="AQ1" s="29" t="s">
        <v>991</v>
      </c>
      <c r="AR1" s="29" t="s">
        <v>6</v>
      </c>
      <c r="AS1" s="17" t="s">
        <v>1192</v>
      </c>
      <c r="AT1" s="17" t="s">
        <v>1193</v>
      </c>
      <c r="AU1" s="17" t="s">
        <v>623</v>
      </c>
      <c r="AV1" s="17" t="s">
        <v>621</v>
      </c>
      <c r="AW1" s="17" t="s">
        <v>733</v>
      </c>
      <c r="AX1" s="17" t="s">
        <v>624</v>
      </c>
      <c r="AY1" s="17" t="s">
        <v>1194</v>
      </c>
      <c r="AZ1" s="17" t="s">
        <v>1195</v>
      </c>
      <c r="BA1" s="17" t="s">
        <v>215</v>
      </c>
      <c r="BB1" s="17" t="s">
        <v>948</v>
      </c>
      <c r="BC1" s="17" t="s">
        <v>654</v>
      </c>
      <c r="BD1" s="17" t="s">
        <v>1634</v>
      </c>
      <c r="BE1" s="17" t="s">
        <v>1635</v>
      </c>
      <c r="BF1" s="17" t="s">
        <v>1636</v>
      </c>
      <c r="BG1" s="17" t="s">
        <v>1637</v>
      </c>
      <c r="BH1" s="17" t="s">
        <v>1638</v>
      </c>
      <c r="BI1" s="17" t="s">
        <v>1639</v>
      </c>
      <c r="BJ1" s="17" t="s">
        <v>1640</v>
      </c>
      <c r="BK1" s="17" t="s">
        <v>1641</v>
      </c>
    </row>
    <row r="2" spans="1:63" ht="13.5" customHeight="1" x14ac:dyDescent="0.4">
      <c r="A2" t="s">
        <v>1181</v>
      </c>
      <c r="B2" t="s">
        <v>964</v>
      </c>
      <c r="C2" s="17" t="s">
        <v>1187</v>
      </c>
      <c r="D2" s="17">
        <v>4</v>
      </c>
      <c r="E2" s="17">
        <v>3</v>
      </c>
      <c r="L2">
        <v>100</v>
      </c>
      <c r="M2">
        <v>0</v>
      </c>
      <c r="N2">
        <v>0</v>
      </c>
      <c r="O2">
        <v>100</v>
      </c>
      <c r="P2">
        <v>50</v>
      </c>
      <c r="Q2" cm="1">
        <f t="array" ref="Q2">_xlfn.LET(
_xlpm.h,Q$1,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 cm="1">
        <f t="array" ref="R2">_xlfn.LET(
_xlpm.h,R$1,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 cm="1">
        <f t="array" ref="S2">_xlfn.LET(
_xlpm.h,S$1,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 cm="1">
        <f t="array" ref="T2">_xlfn.LET(
_xlpm.h,T$1,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 cm="1">
        <f t="array" ref="U2">_xlfn.LET(
_xlpm.h,U$1,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 cm="1">
        <f t="array" ref="V2">_xlfn.LET(
_xlpm.h,V$1,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 cm="1">
        <f t="array" ref="W2">_xlfn.LET(
_xlpm.h,W$1,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 cm="1">
        <f t="array" ref="X2">_xlfn.LET(
_xlpm.h,X$1,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2" t="s">
        <v>1686</v>
      </c>
      <c r="BD2" t="s">
        <v>1687</v>
      </c>
      <c r="BE2">
        <v>1</v>
      </c>
      <c r="BF2">
        <v>0</v>
      </c>
      <c r="BG2">
        <v>2</v>
      </c>
      <c r="BH2" t="s">
        <v>1688</v>
      </c>
      <c r="BI2">
        <v>60</v>
      </c>
      <c r="BJ2">
        <v>20</v>
      </c>
      <c r="BK2">
        <v>1</v>
      </c>
    </row>
    <row r="3" spans="1:63" ht="13.5" customHeight="1" x14ac:dyDescent="0.4">
      <c r="A3" t="s">
        <v>1182</v>
      </c>
      <c r="B3" t="s">
        <v>1184</v>
      </c>
      <c r="C3" s="17" t="s">
        <v>1188</v>
      </c>
      <c r="D3" s="17">
        <v>8</v>
      </c>
      <c r="E3" s="17">
        <v>5</v>
      </c>
      <c r="L3">
        <f>L2*2</f>
        <v>200</v>
      </c>
      <c r="M3">
        <v>50</v>
      </c>
      <c r="N3" cm="1">
        <f t="array" ref="N3">_xlfn.LET(
_xlpm.h,N$1,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
        <f>O2*2</f>
        <v>200</v>
      </c>
      <c r="P3">
        <f>P2*2</f>
        <v>100</v>
      </c>
      <c r="Q3" cm="1">
        <f t="array" ref="Q3">_xlfn.LET(
_xlpm.h,Q$1,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 cm="1">
        <f t="array" ref="R3">_xlfn.LET(
_xlpm.h,R$1,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 cm="1">
        <f t="array" ref="S3">_xlfn.LET(
_xlpm.h,S$1,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 cm="1">
        <f t="array" ref="T3">_xlfn.LET(
_xlpm.h,T$1,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 cm="1">
        <f t="array" ref="U3">_xlfn.LET(
_xlpm.h,U$1,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 cm="1">
        <f t="array" ref="V3">_xlfn.LET(
_xlpm.h,V$1,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 cm="1">
        <f t="array" ref="W3">_xlfn.LET(
_xlpm.h,W$1,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 cm="1">
        <f t="array" ref="X3">_xlfn.LET(
_xlpm.h,X$1,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3" t="s">
        <v>1686</v>
      </c>
      <c r="BD3" t="s">
        <v>1689</v>
      </c>
      <c r="BE3">
        <v>2</v>
      </c>
      <c r="BF3">
        <v>125</v>
      </c>
      <c r="BG3">
        <v>4</v>
      </c>
      <c r="BH3" t="s">
        <v>1690</v>
      </c>
      <c r="BI3">
        <v>57</v>
      </c>
      <c r="BJ3">
        <v>50</v>
      </c>
      <c r="BK3">
        <v>2</v>
      </c>
    </row>
    <row r="4" spans="1:63" ht="13.5" customHeight="1" x14ac:dyDescent="0.4">
      <c r="A4" t="s">
        <v>1064</v>
      </c>
      <c r="B4" t="s">
        <v>1185</v>
      </c>
      <c r="C4" s="17" t="s">
        <v>1189</v>
      </c>
      <c r="D4" s="17">
        <v>16</v>
      </c>
      <c r="E4" s="17">
        <v>7</v>
      </c>
      <c r="L4">
        <f>L3*2</f>
        <v>400</v>
      </c>
      <c r="M4">
        <v>200</v>
      </c>
      <c r="N4">
        <v>50</v>
      </c>
      <c r="O4">
        <f>O3*2</f>
        <v>400</v>
      </c>
      <c r="P4">
        <f>P3*2</f>
        <v>200</v>
      </c>
      <c r="Q4">
        <v>50</v>
      </c>
      <c r="R4">
        <v>25</v>
      </c>
      <c r="S4">
        <v>25</v>
      </c>
      <c r="T4">
        <v>50</v>
      </c>
      <c r="U4">
        <v>100</v>
      </c>
      <c r="V4" cm="1">
        <f t="array" ref="V4">_xlfn.LET(
_xlpm.h,V$1,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4" cm="1">
        <f t="array" ref="W4">_xlfn.LET(
_xlpm.h,W$1,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4" cm="1">
        <f t="array" ref="X4">_xlfn.LET(
_xlpm.h,X$1,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4" t="s">
        <v>1686</v>
      </c>
      <c r="BD4" t="s">
        <v>1691</v>
      </c>
      <c r="BE4">
        <v>3</v>
      </c>
      <c r="BF4">
        <v>260</v>
      </c>
      <c r="BG4">
        <v>7</v>
      </c>
      <c r="BH4" t="s">
        <v>1692</v>
      </c>
      <c r="BI4">
        <v>66</v>
      </c>
      <c r="BJ4">
        <v>100</v>
      </c>
      <c r="BK4">
        <v>3</v>
      </c>
    </row>
    <row r="5" spans="1:63" ht="13.5" customHeight="1" x14ac:dyDescent="0.4">
      <c r="A5" t="s">
        <v>1183</v>
      </c>
      <c r="B5" t="s">
        <v>1186</v>
      </c>
      <c r="C5" s="17" t="s">
        <v>1190</v>
      </c>
      <c r="D5" s="17">
        <v>32</v>
      </c>
      <c r="E5" s="17">
        <v>9</v>
      </c>
      <c r="L5">
        <f t="shared" ref="L5:U5" si="0">L4*2</f>
        <v>800</v>
      </c>
      <c r="M5">
        <f t="shared" si="0"/>
        <v>400</v>
      </c>
      <c r="N5">
        <f t="shared" si="0"/>
        <v>100</v>
      </c>
      <c r="O5">
        <f t="shared" si="0"/>
        <v>800</v>
      </c>
      <c r="P5">
        <f t="shared" si="0"/>
        <v>400</v>
      </c>
      <c r="Q5">
        <f t="shared" si="0"/>
        <v>100</v>
      </c>
      <c r="R5">
        <f t="shared" si="0"/>
        <v>50</v>
      </c>
      <c r="S5">
        <f t="shared" si="0"/>
        <v>50</v>
      </c>
      <c r="T5">
        <f t="shared" si="0"/>
        <v>100</v>
      </c>
      <c r="U5">
        <f t="shared" si="0"/>
        <v>200</v>
      </c>
      <c r="V5" cm="1">
        <f t="array" ref="V5">_xlfn.LET(
_xlpm.h,V$1,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5" cm="1">
        <f t="array" ref="W5">_xlfn.LET(
_xlpm.h,W$1,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5" cm="1">
        <f t="array" ref="X5">_xlfn.LET(
_xlpm.h,X$1,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5" t="s">
        <v>1686</v>
      </c>
      <c r="BD5" t="s">
        <v>1693</v>
      </c>
      <c r="BE5">
        <v>4</v>
      </c>
      <c r="BF5">
        <v>420</v>
      </c>
      <c r="BG5">
        <v>10</v>
      </c>
      <c r="BH5" t="s">
        <v>1694</v>
      </c>
      <c r="BI5">
        <v>78</v>
      </c>
      <c r="BJ5">
        <v>150</v>
      </c>
      <c r="BK5">
        <v>7</v>
      </c>
    </row>
    <row r="6" spans="1:63" ht="37.5" x14ac:dyDescent="0.4">
      <c r="A6" t="s">
        <v>684</v>
      </c>
      <c r="B6" t="s">
        <v>710</v>
      </c>
      <c r="C6" s="17" t="s">
        <v>709</v>
      </c>
      <c r="D6" s="17">
        <v>2</v>
      </c>
      <c r="F6" s="17" t="s">
        <v>1214</v>
      </c>
      <c r="J6">
        <v>1</v>
      </c>
      <c r="L6" cm="1">
        <f t="array" ref="L6">_xlfn.LET(
_xlpm.h,L$1,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6" cm="1">
        <f t="array" ref="M6">_xlfn.LET(
_xlpm.h,M$1,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6" cm="1">
        <f t="array" ref="N6">_xlfn.LET(
_xlpm.h,N$1,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6" cm="1">
        <f t="array" ref="O6">_xlfn.LET(
_xlpm.h,P$1,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6" cm="1">
        <f t="array" ref="P6">_xlfn.LET(
_xlpm.h,P$1,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)*2</f>
        <v>20</v>
      </c>
      <c r="Q6" cm="1">
        <f t="array" ref="Q6">_xlfn.LET(
_xlpm.h,Q$1,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6" cm="1">
        <f t="array" ref="R6">_xlfn.LET(
_xlpm.h,R$1,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6" cm="1">
        <f t="array" ref="S6">_xlfn.LET(
_xlpm.h,S$1,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6" cm="1">
        <f t="array" ref="T6">_xlfn.LET(
_xlpm.h,T$1,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6" cm="1">
        <f t="array" ref="U6">_xlfn.LET(
_xlpm.h,U$1,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6" cm="1">
        <f t="array" ref="V6">_xlfn.LET(
_xlpm.h,V$1,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6" cm="1">
        <f t="array" ref="W6">_xlfn.LET(
_xlpm.h,W$1,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6" cm="1">
        <f t="array" ref="X6">_xlfn.LET(
_xlpm.h,X$1,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7" spans="1:63" ht="37.5" x14ac:dyDescent="0.4">
      <c r="A7" t="s">
        <v>947</v>
      </c>
      <c r="B7" t="s">
        <v>710</v>
      </c>
      <c r="C7" s="17" t="s">
        <v>946</v>
      </c>
      <c r="D7" s="17">
        <v>4</v>
      </c>
      <c r="F7" s="17" t="s">
        <v>1214</v>
      </c>
      <c r="G7">
        <v>2</v>
      </c>
      <c r="H7">
        <v>2</v>
      </c>
      <c r="I7">
        <v>2</v>
      </c>
      <c r="J7">
        <v>2</v>
      </c>
      <c r="K7">
        <v>2</v>
      </c>
      <c r="L7" cm="1">
        <f t="array" ref="L7">_xlfn.LET(
_xlpm.h,L$1,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7" cm="1">
        <f t="array" ref="M7">_xlfn.LET(
_xlpm.h,M$1,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7" cm="1">
        <f t="array" ref="N7">_xlfn.LET(
_xlpm.h,N$1,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7" cm="1">
        <f t="array" ref="O7">_xlfn.LET(
_xlpm.h,P$1,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7" cm="1">
        <f t="array" ref="P7">_xlfn.LET(
_xlpm.h,P$1,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7" cm="1">
        <f t="array" ref="Q7">_xlfn.LET(
_xlpm.h,Q$1,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7" cm="1">
        <f t="array" ref="R7">_xlfn.LET(
_xlpm.h,R$1,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7" cm="1">
        <f t="array" ref="S7">_xlfn.LET(
_xlpm.h,S$1,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7" cm="1">
        <f t="array" ref="T7">_xlfn.LET(
_xlpm.h,T$1,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7" cm="1">
        <f t="array" ref="U7">_xlfn.LET(
_xlpm.h,U$1,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7" cm="1">
        <f t="array" ref="V7">_xlfn.LET(
_xlpm.h,V$1,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7" cm="1">
        <f t="array" ref="W7">_xlfn.LET(
_xlpm.h,W$1,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7" cm="1">
        <f t="array" ref="X7">_xlfn.LET(
_xlpm.h,X$1,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X7">
        <v>25</v>
      </c>
      <c r="BB7">
        <v>35</v>
      </c>
    </row>
    <row r="8" spans="1:63" ht="37.5" x14ac:dyDescent="0.4">
      <c r="A8" t="s">
        <v>685</v>
      </c>
      <c r="B8" t="s">
        <v>710</v>
      </c>
      <c r="C8" s="17" t="s">
        <v>711</v>
      </c>
      <c r="D8" s="17">
        <v>2</v>
      </c>
      <c r="F8" s="17" t="s">
        <v>1214</v>
      </c>
      <c r="J8">
        <v>2</v>
      </c>
      <c r="L8" cm="1">
        <f t="array" ref="L8">_xlfn.LET(
_xlpm.h,L$1,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8" cm="1">
        <f t="array" ref="M8">_xlfn.LET(
_xlpm.h,M$1,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8" cm="1">
        <f t="array" ref="N8">_xlfn.LET(
_xlpm.h,N$1,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8" cm="1">
        <f t="array" ref="O8">_xlfn.LET(
_xlpm.h,P$1,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8" cm="1">
        <f t="array" ref="P8">_xlfn.LET(
_xlpm.h,P$1,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8" cm="1">
        <f t="array" ref="Q8">_xlfn.LET(
_xlpm.h,Q$1,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8" cm="1">
        <f t="array" ref="R8">_xlfn.LET(
_xlpm.h,R$1,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8" cm="1">
        <f t="array" ref="S8">_xlfn.LET(
_xlpm.h,S$1,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8" cm="1">
        <f t="array" ref="T8">_xlfn.LET(
_xlpm.h,T$1,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8" cm="1">
        <f t="array" ref="U8">_xlfn.LET(
_xlpm.h,U$1,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8" cm="1">
        <f t="array" ref="V8">_xlfn.LET(
_xlpm.h,V$1,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8" cm="1">
        <f t="array" ref="W8">_xlfn.LET(
_xlpm.h,W$1,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8" cm="1">
        <f t="array" ref="X8">_xlfn.LET(
_xlpm.h,X$1,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9" spans="1:63" ht="37.5" x14ac:dyDescent="0.4">
      <c r="A9" t="s">
        <v>686</v>
      </c>
      <c r="B9" t="s">
        <v>710</v>
      </c>
      <c r="C9" s="17" t="s">
        <v>966</v>
      </c>
      <c r="D9" s="17">
        <v>2</v>
      </c>
      <c r="F9" s="17" t="s">
        <v>1214</v>
      </c>
      <c r="G9">
        <v>1</v>
      </c>
      <c r="L9" cm="1">
        <f t="array" ref="L9">_xlfn.LET(
_xlpm.h,L$1,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9" cm="1">
        <f t="array" ref="M9">_xlfn.LET(
_xlpm.h,M$1,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9" cm="1">
        <f t="array" ref="N9">_xlfn.LET(
_xlpm.h,N$1,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9" cm="1">
        <f t="array" ref="O9">_xlfn.LET(
_xlpm.h,P$1,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9" cm="1">
        <f t="array" ref="P9">_xlfn.LET(
_xlpm.h,P$1,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9" cm="1">
        <f t="array" ref="Q9">_xlfn.LET(
_xlpm.h,Q$1,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9" cm="1">
        <f t="array" ref="R9">_xlfn.LET(
_xlpm.h,R$1,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9" cm="1">
        <f t="array" ref="S9">_xlfn.LET(
_xlpm.h,S$1,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9" cm="1">
        <f t="array" ref="T9">_xlfn.LET(
_xlpm.h,T$1,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9" cm="1">
        <f t="array" ref="U9">_xlfn.LET(
_xlpm.h,U$1,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9" cm="1">
        <f t="array" ref="V9">_xlfn.LET(
_xlpm.h,V$1,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9" cm="1">
        <f t="array" ref="W9">_xlfn.LET(
_xlpm.h,W$1,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9" cm="1">
        <f t="array" ref="X9">_xlfn.LET(
_xlpm.h,X$1,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9" s="62">
        <v>25</v>
      </c>
      <c r="AS9">
        <v>25</v>
      </c>
    </row>
    <row r="10" spans="1:63" ht="56.25" x14ac:dyDescent="0.4">
      <c r="A10" t="s">
        <v>687</v>
      </c>
      <c r="B10" t="s">
        <v>710</v>
      </c>
      <c r="C10" s="17" t="s">
        <v>949</v>
      </c>
      <c r="D10" s="17">
        <v>6</v>
      </c>
      <c r="F10" s="17" t="s">
        <v>1215</v>
      </c>
      <c r="J10">
        <v>2</v>
      </c>
      <c r="L10" cm="1">
        <f t="array" ref="L10">_xlfn.LET(
_xlpm.h,L$1,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0" cm="1">
        <f t="array" ref="M10">_xlfn.LET(
_xlpm.h,M$1,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0" cm="1">
        <f t="array" ref="N10">_xlfn.LET(
_xlpm.h,N$1,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0" cm="1">
        <f t="array" ref="O10">_xlfn.LET(
_xlpm.h,P$1,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0" cm="1">
        <f t="array" ref="P10">_xlfn.LET(
_xlpm.h,P$1,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0" cm="1">
        <f t="array" ref="Q10">_xlfn.LET(
_xlpm.h,Q$1,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0" cm="1">
        <f t="array" ref="R10">_xlfn.LET(
_xlpm.h,R$1,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0" cm="1">
        <f t="array" ref="S10">_xlfn.LET(
_xlpm.h,S$1,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0" cm="1">
        <f t="array" ref="T10">_xlfn.LET(
_xlpm.h,T$1,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0" cm="1">
        <f t="array" ref="U10">_xlfn.LET(
_xlpm.h,U$1,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0" cm="1">
        <f t="array" ref="V10">_xlfn.LET(
_xlpm.h,V$1,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0" cm="1">
        <f t="array" ref="W10">_xlfn.LET(
_xlpm.h,W$1,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0" cm="1">
        <f t="array" ref="X10">_xlfn.LET(
_xlpm.h,X$1,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11" spans="1:63" ht="37.5" x14ac:dyDescent="0.4">
      <c r="A11" t="s">
        <v>963</v>
      </c>
      <c r="B11" t="s">
        <v>964</v>
      </c>
      <c r="D11" s="17">
        <v>6</v>
      </c>
      <c r="F11" s="17" t="s">
        <v>1215</v>
      </c>
      <c r="J11">
        <v>3</v>
      </c>
      <c r="K11">
        <v>2</v>
      </c>
      <c r="L11" cm="1">
        <f t="array" ref="L11">_xlfn.LET(
_xlpm.h,L$1,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1" cm="1">
        <f t="array" ref="M11">_xlfn.LET(
_xlpm.h,M$1,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1" cm="1">
        <f t="array" ref="N11">_xlfn.LET(
_xlpm.h,N$1,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1" cm="1">
        <f t="array" ref="O11">_xlfn.LET(
_xlpm.h,P$1,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1" cm="1">
        <f t="array" ref="P11">_xlfn.LET(
_xlpm.h,P$1,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1" cm="1">
        <f t="array" ref="Q11">_xlfn.LET(
_xlpm.h,Q$1,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1" cm="1">
        <f t="array" ref="R11">_xlfn.LET(
_xlpm.h,R$1,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1" cm="1">
        <f t="array" ref="S11">_xlfn.LET(
_xlpm.h,S$1,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1" cm="1">
        <f t="array" ref="T11">_xlfn.LET(
_xlpm.h,T$1,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1" cm="1">
        <f t="array" ref="U11">_xlfn.LET(
_xlpm.h,U$1,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1" cm="1">
        <f t="array" ref="V11">_xlfn.LET(
_xlpm.h,V$1,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1" cm="1">
        <f t="array" ref="W11">_xlfn.LET(
_xlpm.h,W$1,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1" cm="1">
        <f t="array" ref="X11">_xlfn.LET(
_xlpm.h,X$1,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12" spans="1:63" ht="37.5" x14ac:dyDescent="0.4">
      <c r="A12" t="s">
        <v>688</v>
      </c>
      <c r="B12" t="s">
        <v>710</v>
      </c>
      <c r="C12" s="17" t="s">
        <v>712</v>
      </c>
      <c r="D12" s="17">
        <v>2</v>
      </c>
      <c r="F12" s="17" t="s">
        <v>1215</v>
      </c>
      <c r="J12">
        <v>2</v>
      </c>
      <c r="L12" cm="1">
        <f t="array" ref="L12">_xlfn.LET(
_xlpm.h,L$1,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2" cm="1">
        <f t="array" ref="M12">_xlfn.LET(
_xlpm.h,M$1,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2" cm="1">
        <f t="array" ref="N12">_xlfn.LET(
_xlpm.h,N$1,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2" cm="1">
        <f t="array" ref="O12">_xlfn.LET(
_xlpm.h,P$1,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2" cm="1">
        <f t="array" ref="P12">_xlfn.LET(
_xlpm.h,P$1,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2" cm="1">
        <f t="array" ref="Q12">_xlfn.LET(
_xlpm.h,Q$1,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2" cm="1">
        <f t="array" ref="R12">_xlfn.LET(
_xlpm.h,R$1,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2" cm="1">
        <f t="array" ref="S12">_xlfn.LET(
_xlpm.h,S$1,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2" cm="1">
        <f t="array" ref="T12">_xlfn.LET(
_xlpm.h,T$1,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2" cm="1">
        <f t="array" ref="U12">_xlfn.LET(
_xlpm.h,U$1,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2" cm="1">
        <f t="array" ref="V12">_xlfn.LET(
_xlpm.h,V$1,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2" cm="1">
        <f t="array" ref="W12">_xlfn.LET(
_xlpm.h,W$1,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2" cm="1">
        <f t="array" ref="X12">_xlfn.LET(
_xlpm.h,X$1,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J12">
        <v>75</v>
      </c>
    </row>
    <row r="13" spans="1:63" x14ac:dyDescent="0.4">
      <c r="A13" t="s">
        <v>689</v>
      </c>
      <c r="B13" t="s">
        <v>710</v>
      </c>
      <c r="C13" s="17" t="s">
        <v>713</v>
      </c>
      <c r="D13" s="17">
        <v>2</v>
      </c>
      <c r="F13" s="17" t="s">
        <v>1214</v>
      </c>
      <c r="J13">
        <v>3</v>
      </c>
      <c r="L13" cm="1">
        <f t="array" ref="L13">_xlfn.LET(
_xlpm.h,L$1,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3" cm="1">
        <f t="array" ref="M13">_xlfn.LET(
_xlpm.h,M$1,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3" cm="1">
        <f t="array" ref="N13">_xlfn.LET(
_xlpm.h,N$1,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3" cm="1">
        <f t="array" ref="O13">_xlfn.LET(
_xlpm.h,P$1,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3" cm="1">
        <f t="array" ref="P13">_xlfn.LET(
_xlpm.h,P$1,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3" cm="1">
        <f t="array" ref="Q13">_xlfn.LET(
_xlpm.h,Q$1,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3" cm="1">
        <f t="array" ref="R13">_xlfn.LET(
_xlpm.h,R$1,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3" cm="1">
        <f t="array" ref="S13">_xlfn.LET(
_xlpm.h,S$1,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3" cm="1">
        <f t="array" ref="T13">_xlfn.LET(
_xlpm.h,T$1,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3" cm="1">
        <f t="array" ref="U13">_xlfn.LET(
_xlpm.h,U$1,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3" cm="1">
        <f t="array" ref="V13">_xlfn.LET(
_xlpm.h,V$1,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3" cm="1">
        <f t="array" ref="W13">_xlfn.LET(
_xlpm.h,W$1,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3" cm="1">
        <f t="array" ref="X13">_xlfn.LET(
_xlpm.h,X$1,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D13">
        <v>25</v>
      </c>
    </row>
    <row r="14" spans="1:63" x14ac:dyDescent="0.4">
      <c r="A14" t="s">
        <v>702</v>
      </c>
      <c r="B14" t="s">
        <v>710</v>
      </c>
      <c r="C14" s="17" t="s">
        <v>968</v>
      </c>
      <c r="D14" s="17">
        <v>3</v>
      </c>
      <c r="F14" s="17" t="s">
        <v>1214</v>
      </c>
      <c r="K14">
        <v>2</v>
      </c>
      <c r="L14" cm="1">
        <f t="array" ref="L14">_xlfn.LET(
_xlpm.h,L$1,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4" cm="1">
        <f t="array" ref="M14">_xlfn.LET(
_xlpm.h,M$1,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4" cm="1">
        <f t="array" ref="N14">_xlfn.LET(
_xlpm.h,N$1,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4" cm="1">
        <f t="array" ref="O14">_xlfn.LET(
_xlpm.h,P$1,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4" cm="1">
        <f t="array" ref="P14">_xlfn.LET(
_xlpm.h,P$1,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4" cm="1">
        <f t="array" ref="Q14">_xlfn.LET(
_xlpm.h,Q$1,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4" cm="1">
        <f t="array" ref="R14">_xlfn.LET(
_xlpm.h,R$1,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4" cm="1">
        <f t="array" ref="S14">_xlfn.LET(
_xlpm.h,S$1,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4" cm="1">
        <f t="array" ref="T14">_xlfn.LET(
_xlpm.h,T$1,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4" cm="1">
        <f t="array" ref="U14">_xlfn.LET(
_xlpm.h,U$1,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4" cm="1">
        <f t="array" ref="V14">_xlfn.LET(
_xlpm.h,V$1,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4" cm="1">
        <f t="array" ref="W14">_xlfn.LET(
_xlpm.h,W$1,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4" cm="1">
        <f t="array" ref="X14">_xlfn.LET(
_xlpm.h,X$1,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4">
        <v>10</v>
      </c>
      <c r="AW14">
        <v>10</v>
      </c>
    </row>
    <row r="15" spans="1:63" ht="37.5" x14ac:dyDescent="0.4">
      <c r="A15" t="s">
        <v>690</v>
      </c>
      <c r="B15" t="s">
        <v>710</v>
      </c>
      <c r="C15" s="17" t="s">
        <v>714</v>
      </c>
      <c r="D15" s="17">
        <v>4</v>
      </c>
      <c r="F15" s="17" t="s">
        <v>1214</v>
      </c>
      <c r="H15">
        <v>1</v>
      </c>
      <c r="L15" cm="1">
        <f t="array" ref="L15">_xlfn.LET(
_xlpm.h,L$1,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5" cm="1">
        <f t="array" ref="M15">_xlfn.LET(
_xlpm.h,M$1,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5" cm="1">
        <f t="array" ref="N15">_xlfn.LET(
_xlpm.h,N$1,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5" cm="1">
        <f t="array" ref="O15">_xlfn.LET(
_xlpm.h,P$1,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5" cm="1">
        <f t="array" ref="P15">_xlfn.LET(
_xlpm.h,P$1,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5" cm="1">
        <f t="array" ref="Q15">_xlfn.LET(
_xlpm.h,Q$1,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5" cm="1">
        <f t="array" ref="R15">_xlfn.LET(
_xlpm.h,R$1,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5" cm="1">
        <f t="array" ref="S15">_xlfn.LET(
_xlpm.h,S$1,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5" cm="1">
        <f t="array" ref="T15">_xlfn.LET(
_xlpm.h,T$1,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5" cm="1">
        <f t="array" ref="U15">_xlfn.LET(
_xlpm.h,U$1,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5" cm="1">
        <f t="array" ref="V15">_xlfn.LET(
_xlpm.h,V$1,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5" cm="1">
        <f t="array" ref="W15">_xlfn.LET(
_xlpm.h,W$1,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5" cm="1">
        <f t="array" ref="X15">_xlfn.LET(
_xlpm.h,X$1,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Q15">
        <v>15</v>
      </c>
    </row>
    <row r="16" spans="1:63" x14ac:dyDescent="0.4">
      <c r="A16" t="s">
        <v>950</v>
      </c>
      <c r="B16" t="s">
        <v>710</v>
      </c>
      <c r="C16" s="17" t="s">
        <v>951</v>
      </c>
      <c r="D16" s="17">
        <v>3</v>
      </c>
      <c r="F16" s="17" t="s">
        <v>1214</v>
      </c>
      <c r="G16">
        <v>1</v>
      </c>
      <c r="H16">
        <v>2</v>
      </c>
      <c r="L16" cm="1">
        <f t="array" ref="L16">_xlfn.LET(
_xlpm.h,L$1,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6" cm="1">
        <f t="array" ref="M16">_xlfn.LET(
_xlpm.h,M$1,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6" cm="1">
        <f t="array" ref="N16">_xlfn.LET(
_xlpm.h,N$1,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6" cm="1">
        <f t="array" ref="O16">_xlfn.LET(
_xlpm.h,P$1,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6" cm="1">
        <f t="array" ref="P16">_xlfn.LET(
_xlpm.h,P$1,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6" cm="1">
        <f t="array" ref="Q16">_xlfn.LET(
_xlpm.h,Q$1,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6" cm="1">
        <f t="array" ref="R16">_xlfn.LET(
_xlpm.h,R$1,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6" cm="1">
        <f t="array" ref="S16">_xlfn.LET(
_xlpm.h,S$1,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6" cm="1">
        <f t="array" ref="T16">_xlfn.LET(
_xlpm.h,T$1,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6" cm="1">
        <f t="array" ref="U16">_xlfn.LET(
_xlpm.h,U$1,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6" cm="1">
        <f t="array" ref="V16">_xlfn.LET(
_xlpm.h,V$1,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6" cm="1">
        <f t="array" ref="W16">_xlfn.LET(
_xlpm.h,W$1,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6" cm="1">
        <f t="array" ref="X16">_xlfn.LET(
_xlpm.h,X$1,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16" s="62">
        <v>10</v>
      </c>
      <c r="AQ16">
        <v>5</v>
      </c>
    </row>
    <row r="17" spans="1:53" ht="37.5" x14ac:dyDescent="0.4">
      <c r="A17" t="s">
        <v>691</v>
      </c>
      <c r="B17" t="s">
        <v>710</v>
      </c>
      <c r="C17" s="17" t="s">
        <v>715</v>
      </c>
      <c r="D17" s="17">
        <v>8</v>
      </c>
      <c r="F17" s="17" t="s">
        <v>1215</v>
      </c>
      <c r="H17">
        <v>3</v>
      </c>
      <c r="J17">
        <v>3</v>
      </c>
      <c r="L17" cm="1">
        <f t="array" ref="L17">_xlfn.LET(
_xlpm.h,L$1,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7" cm="1">
        <f t="array" ref="M17">_xlfn.LET(
_xlpm.h,M$1,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7" cm="1">
        <f t="array" ref="N17">_xlfn.LET(
_xlpm.h,N$1,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7" cm="1">
        <f t="array" ref="O17">_xlfn.LET(
_xlpm.h,P$1,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7" cm="1">
        <f t="array" ref="P17">_xlfn.LET(
_xlpm.h,P$1,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7" cm="1">
        <f t="array" ref="Q17">_xlfn.LET(
_xlpm.h,Q$1,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7" cm="1">
        <f t="array" ref="R17">_xlfn.LET(
_xlpm.h,R$1,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7" cm="1">
        <f t="array" ref="S17">_xlfn.LET(
_xlpm.h,S$1,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7" cm="1">
        <f t="array" ref="T17">_xlfn.LET(
_xlpm.h,T$1,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7" cm="1">
        <f t="array" ref="U17">_xlfn.LET(
_xlpm.h,U$1,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7" cm="1">
        <f t="array" ref="V17">_xlfn.LET(
_xlpm.h,V$1,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7" cm="1">
        <f t="array" ref="W17">_xlfn.LET(
_xlpm.h,W$1,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7" cm="1">
        <f t="array" ref="X17">_xlfn.LET(
_xlpm.h,X$1,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7">
        <v>15</v>
      </c>
      <c r="AX17">
        <v>30</v>
      </c>
    </row>
    <row r="18" spans="1:53" ht="37.5" x14ac:dyDescent="0.4">
      <c r="A18" t="s">
        <v>703</v>
      </c>
      <c r="B18" t="s">
        <v>710</v>
      </c>
      <c r="C18" s="17" t="s">
        <v>716</v>
      </c>
      <c r="D18" s="17">
        <v>2</v>
      </c>
      <c r="F18" s="17" t="s">
        <v>1214</v>
      </c>
      <c r="I18">
        <v>1</v>
      </c>
      <c r="L18" cm="1">
        <f t="array" ref="L18">_xlfn.LET(
_xlpm.h,L$1,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8" cm="1">
        <f t="array" ref="M18">_xlfn.LET(
_xlpm.h,M$1,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8" cm="1">
        <f t="array" ref="N18">_xlfn.LET(
_xlpm.h,N$1,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8" cm="1">
        <f t="array" ref="O18">_xlfn.LET(
_xlpm.h,P$1,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8" cm="1">
        <f t="array" ref="P18">_xlfn.LET(
_xlpm.h,P$1,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8" cm="1">
        <f t="array" ref="Q18">_xlfn.LET(
_xlpm.h,Q$1,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8" cm="1">
        <f t="array" ref="R18">_xlfn.LET(
_xlpm.h,R$1,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8" cm="1">
        <f t="array" ref="S18">_xlfn.LET(
_xlpm.h,S$1,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8" cm="1">
        <f t="array" ref="T18">_xlfn.LET(
_xlpm.h,T$1,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8" cm="1">
        <f t="array" ref="U18">_xlfn.LET(
_xlpm.h,U$1,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8" cm="1">
        <f t="array" ref="V18">_xlfn.LET(
_xlpm.h,V$1,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8" cm="1">
        <f t="array" ref="W18">_xlfn.LET(
_xlpm.h,W$1,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8" cm="1">
        <f t="array" ref="X18">_xlfn.LET(
_xlpm.h,X$1,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8">
        <v>10</v>
      </c>
      <c r="AW18">
        <v>5</v>
      </c>
      <c r="AY18">
        <v>5</v>
      </c>
      <c r="BA18">
        <v>3</v>
      </c>
    </row>
    <row r="19" spans="1:53" ht="17.25" customHeight="1" x14ac:dyDescent="0.4">
      <c r="A19" t="s">
        <v>1217</v>
      </c>
      <c r="B19" t="s">
        <v>710</v>
      </c>
      <c r="C19" s="17" t="s">
        <v>717</v>
      </c>
      <c r="D19" s="17">
        <v>4</v>
      </c>
      <c r="F19" s="17" t="s">
        <v>1215</v>
      </c>
      <c r="I19">
        <v>1</v>
      </c>
      <c r="L19" cm="1">
        <f t="array" ref="L19">_xlfn.LET(
_xlpm.h,L$1,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9" cm="1">
        <f t="array" ref="M19">_xlfn.LET(
_xlpm.h,M$1,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9" cm="1">
        <f t="array" ref="N19">_xlfn.LET(
_xlpm.h,N$1,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9" cm="1">
        <f t="array" ref="O19">_xlfn.LET(
_xlpm.h,P$1,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9" cm="1">
        <f t="array" ref="P19">_xlfn.LET(
_xlpm.h,P$1,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9" cm="1">
        <f t="array" ref="Q19">_xlfn.LET(
_xlpm.h,Q$1,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9" cm="1">
        <f t="array" ref="R19">_xlfn.LET(
_xlpm.h,R$1,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9" cm="1">
        <f t="array" ref="S19">_xlfn.LET(
_xlpm.h,S$1,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9" cm="1">
        <f t="array" ref="T19">_xlfn.LET(
_xlpm.h,T$1,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9" cm="1">
        <f t="array" ref="U19">_xlfn.LET(
_xlpm.h,U$1,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9" cm="1">
        <f t="array" ref="V19">_xlfn.LET(
_xlpm.h,V$1,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9" cm="1">
        <f t="array" ref="W19">_xlfn.LET(
_xlpm.h,W$1,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9" cm="1">
        <f t="array" ref="X19">_xlfn.LET(
_xlpm.h,X$1,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19">
        <v>15</v>
      </c>
      <c r="AV19">
        <v>10</v>
      </c>
      <c r="AW19">
        <v>10</v>
      </c>
      <c r="AY19">
        <v>15</v>
      </c>
      <c r="BA19">
        <v>5</v>
      </c>
    </row>
    <row r="20" spans="1:53" ht="37.5" x14ac:dyDescent="0.4">
      <c r="A20" t="s">
        <v>692</v>
      </c>
      <c r="B20" t="s">
        <v>710</v>
      </c>
      <c r="C20" s="17" t="s">
        <v>718</v>
      </c>
      <c r="D20" s="17">
        <v>8</v>
      </c>
      <c r="F20" s="17" t="s">
        <v>1215</v>
      </c>
      <c r="I20">
        <v>2</v>
      </c>
      <c r="L20" cm="1">
        <f t="array" ref="L20">_xlfn.LET(
_xlpm.h,L$1,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0" cm="1">
        <f t="array" ref="M20">_xlfn.LET(
_xlpm.h,M$1,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0" cm="1">
        <f t="array" ref="N20">_xlfn.LET(
_xlpm.h,N$1,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0" cm="1">
        <f t="array" ref="O20">_xlfn.LET(
_xlpm.h,P$1,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0" cm="1">
        <f t="array" ref="P20">_xlfn.LET(
_xlpm.h,P$1,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0" cm="1">
        <f t="array" ref="Q20">_xlfn.LET(
_xlpm.h,Q$1,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0" cm="1">
        <f t="array" ref="R20">_xlfn.LET(
_xlpm.h,R$1,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0" cm="1">
        <f t="array" ref="S20">_xlfn.LET(
_xlpm.h,S$1,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0" cm="1">
        <f t="array" ref="T20">_xlfn.LET(
_xlpm.h,T$1,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0" cm="1">
        <f t="array" ref="U20">_xlfn.LET(
_xlpm.h,U$1,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0" cm="1">
        <f t="array" ref="V20">_xlfn.LET(
_xlpm.h,V$1,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0" cm="1">
        <f t="array" ref="W20">_xlfn.LET(
_xlpm.h,W$1,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0" cm="1">
        <f t="array" ref="X20">_xlfn.LET(
_xlpm.h,X$1,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20">
        <v>25</v>
      </c>
      <c r="AV20">
        <v>10</v>
      </c>
      <c r="AY20">
        <v>5</v>
      </c>
      <c r="BA20">
        <v>15</v>
      </c>
    </row>
    <row r="21" spans="1:53" ht="37.5" x14ac:dyDescent="0.4">
      <c r="A21" t="s">
        <v>693</v>
      </c>
      <c r="B21" t="s">
        <v>710</v>
      </c>
      <c r="C21" s="17" t="s">
        <v>719</v>
      </c>
      <c r="D21" s="17">
        <v>16</v>
      </c>
      <c r="F21" s="17" t="s">
        <v>1214</v>
      </c>
      <c r="I21">
        <v>4</v>
      </c>
      <c r="L21" cm="1">
        <f t="array" ref="L21">_xlfn.LET(
_xlpm.h,L$1,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1" cm="1">
        <f t="array" ref="M21">_xlfn.LET(
_xlpm.h,M$1,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N21" cm="1">
        <f t="array" ref="N21">_xlfn.LET(
_xlpm.h,N$1,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O21" cm="1">
        <f t="array" ref="O21">_xlfn.LET(
_xlpm.h,P$1,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1" cm="1">
        <f t="array" ref="P21">_xlfn.LET(
_xlpm.h,P$1,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1" cm="1">
        <f t="array" ref="Q21">_xlfn.LET(
_xlpm.h,Q$1,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R21" cm="1">
        <f t="array" ref="R21">_xlfn.LET(
_xlpm.h,R$1,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25</v>
      </c>
      <c r="S21" cm="1">
        <f t="array" ref="S21">_xlfn.LET(
_xlpm.h,S$1,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25</v>
      </c>
      <c r="T21" cm="1">
        <f t="array" ref="T21">_xlfn.LET(
_xlpm.h,T$1,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1" cm="1">
        <f t="array" ref="U21">_xlfn.LET(
_xlpm.h,U$1,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1" cm="1">
        <f t="array" ref="V21">_xlfn.LET(
_xlpm.h,V$1,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1" cm="1">
        <f t="array" ref="W21">_xlfn.LET(
_xlpm.h,W$1,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1" cm="1">
        <f t="array" ref="X21">_xlfn.LET(
_xlpm.h,X$1,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21">
        <v>50</v>
      </c>
      <c r="AV21">
        <v>10</v>
      </c>
      <c r="AW21">
        <v>10</v>
      </c>
      <c r="AX21">
        <v>20</v>
      </c>
      <c r="AY21">
        <v>10</v>
      </c>
      <c r="BA21">
        <v>10</v>
      </c>
    </row>
    <row r="22" spans="1:53" ht="37.5" x14ac:dyDescent="0.4">
      <c r="A22" t="s">
        <v>694</v>
      </c>
      <c r="B22" t="s">
        <v>498</v>
      </c>
      <c r="C22" s="17" t="s">
        <v>720</v>
      </c>
      <c r="D22" s="17">
        <v>2</v>
      </c>
      <c r="F22" s="17" t="s">
        <v>1215</v>
      </c>
      <c r="K22">
        <v>1</v>
      </c>
      <c r="L22" cm="1">
        <f t="array" ref="L22">_xlfn.LET(
_xlpm.h,L$1,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2" cm="1">
        <f t="array" ref="M22">_xlfn.LET(
_xlpm.h,M$1,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2" cm="1">
        <f t="array" ref="N22">_xlfn.LET(
_xlpm.h,N$1,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2" cm="1">
        <f t="array" ref="O22">_xlfn.LET(
_xlpm.h,P$1,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2" cm="1">
        <f t="array" ref="P22">_xlfn.LET(
_xlpm.h,P$1,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2" cm="1">
        <f t="array" ref="Q22">_xlfn.LET(
_xlpm.h,Q$1,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2" cm="1">
        <f t="array" ref="R22">_xlfn.LET(
_xlpm.h,R$1,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2" cm="1">
        <f t="array" ref="S22">_xlfn.LET(
_xlpm.h,S$1,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2" cm="1">
        <f t="array" ref="T22">_xlfn.LET(
_xlpm.h,T$1,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2" cm="1">
        <f t="array" ref="U22">_xlfn.LET(
_xlpm.h,U$1,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2" cm="1">
        <f t="array" ref="V22">_xlfn.LET(
_xlpm.h,V$1,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2" cm="1">
        <f t="array" ref="W22">_xlfn.LET(
_xlpm.h,W$1,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2" cm="1">
        <f t="array" ref="X22">_xlfn.LET(
_xlpm.h,X$1,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K22" s="62">
        <v>100</v>
      </c>
    </row>
    <row r="23" spans="1:53" ht="37.5" x14ac:dyDescent="0.4">
      <c r="A23" t="s">
        <v>695</v>
      </c>
      <c r="B23" t="s">
        <v>499</v>
      </c>
      <c r="C23" s="17" t="s">
        <v>721</v>
      </c>
      <c r="D23" s="17">
        <v>2</v>
      </c>
      <c r="F23" s="17" t="s">
        <v>1215</v>
      </c>
      <c r="K23">
        <v>1</v>
      </c>
      <c r="L23" cm="1">
        <f t="array" ref="L23">_xlfn.LET(
_xlpm.h,L$1,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3" cm="1">
        <f t="array" ref="M23">_xlfn.LET(
_xlpm.h,M$1,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3" cm="1">
        <f t="array" ref="N23">_xlfn.LET(
_xlpm.h,N$1,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3" cm="1">
        <f t="array" ref="O23">_xlfn.LET(
_xlpm.h,P$1,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3" cm="1">
        <f t="array" ref="P23">_xlfn.LET(
_xlpm.h,P$1,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3" cm="1">
        <f t="array" ref="Q23">_xlfn.LET(
_xlpm.h,Q$1,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3" cm="1">
        <f t="array" ref="R23">_xlfn.LET(
_xlpm.h,R$1,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3" cm="1">
        <f t="array" ref="S23">_xlfn.LET(
_xlpm.h,S$1,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3" cm="1">
        <f t="array" ref="T23">_xlfn.LET(
_xlpm.h,T$1,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3" cm="1">
        <f t="array" ref="U23">_xlfn.LET(
_xlpm.h,U$1,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3" cm="1">
        <f t="array" ref="V23">_xlfn.LET(
_xlpm.h,V$1,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3" cm="1">
        <f t="array" ref="W23">_xlfn.LET(
_xlpm.h,W$1,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3" cm="1">
        <f t="array" ref="X23">_xlfn.LET(
_xlpm.h,X$1,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L23" s="62">
        <v>100</v>
      </c>
    </row>
    <row r="24" spans="1:53" ht="37.5" x14ac:dyDescent="0.4">
      <c r="A24" t="s">
        <v>696</v>
      </c>
      <c r="B24" t="s">
        <v>723</v>
      </c>
      <c r="C24" s="17" t="s">
        <v>722</v>
      </c>
      <c r="D24" s="17">
        <v>2</v>
      </c>
      <c r="F24" s="17" t="s">
        <v>1215</v>
      </c>
      <c r="K24">
        <v>1</v>
      </c>
      <c r="L24" cm="1">
        <f t="array" ref="L24">_xlfn.LET(
_xlpm.h,L$1,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4" cm="1">
        <f t="array" ref="M24">_xlfn.LET(
_xlpm.h,M$1,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4" cm="1">
        <f t="array" ref="N24">_xlfn.LET(
_xlpm.h,N$1,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4" cm="1">
        <f t="array" ref="O24">_xlfn.LET(
_xlpm.h,P$1,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4" cm="1">
        <f t="array" ref="P24">_xlfn.LET(
_xlpm.h,P$1,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4" cm="1">
        <f t="array" ref="Q24">_xlfn.LET(
_xlpm.h,Q$1,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4" cm="1">
        <f t="array" ref="R24">_xlfn.LET(
_xlpm.h,R$1,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4" cm="1">
        <f t="array" ref="S24">_xlfn.LET(
_xlpm.h,S$1,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4" cm="1">
        <f t="array" ref="T24">_xlfn.LET(
_xlpm.h,T$1,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4" cm="1">
        <f t="array" ref="U24">_xlfn.LET(
_xlpm.h,U$1,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4" cm="1">
        <f t="array" ref="V24">_xlfn.LET(
_xlpm.h,V$1,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4" cm="1">
        <f t="array" ref="W24">_xlfn.LET(
_xlpm.h,W$1,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4" cm="1">
        <f t="array" ref="X24">_xlfn.LET(
_xlpm.h,X$1,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24" s="62">
        <v>100</v>
      </c>
    </row>
    <row r="25" spans="1:53" ht="37.5" x14ac:dyDescent="0.4">
      <c r="A25" t="s">
        <v>697</v>
      </c>
      <c r="B25" t="s">
        <v>706</v>
      </c>
      <c r="C25" s="17" t="s">
        <v>724</v>
      </c>
      <c r="D25" s="17">
        <v>2</v>
      </c>
      <c r="F25" s="17" t="s">
        <v>1215</v>
      </c>
      <c r="G25">
        <v>1</v>
      </c>
      <c r="K25">
        <v>1</v>
      </c>
      <c r="L25" cm="1">
        <f t="array" ref="L25">_xlfn.LET(
_xlpm.h,L$1,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5" cm="1">
        <f t="array" ref="M25">_xlfn.LET(
_xlpm.h,M$1,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5" cm="1">
        <f t="array" ref="N25">_xlfn.LET(
_xlpm.h,N$1,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5" cm="1">
        <f t="array" ref="O25">_xlfn.LET(
_xlpm.h,P$1,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5" cm="1">
        <f t="array" ref="P25">_xlfn.LET(
_xlpm.h,P$1,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5" cm="1">
        <f t="array" ref="Q25">_xlfn.LET(
_xlpm.h,Q$1,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5" cm="1">
        <f t="array" ref="R25">_xlfn.LET(
_xlpm.h,R$1,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5" cm="1">
        <f t="array" ref="S25">_xlfn.LET(
_xlpm.h,S$1,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5" cm="1">
        <f t="array" ref="T25">_xlfn.LET(
_xlpm.h,T$1,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5" cm="1">
        <f t="array" ref="U25">_xlfn.LET(
_xlpm.h,U$1,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5" cm="1">
        <f t="array" ref="V25">_xlfn.LET(
_xlpm.h,V$1,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5" cm="1">
        <f t="array" ref="W25">_xlfn.LET(
_xlpm.h,W$1,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5" cm="1">
        <f t="array" ref="X25">_xlfn.LET(
_xlpm.h,X$1,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25" s="62">
        <v>100</v>
      </c>
    </row>
    <row r="26" spans="1:53" ht="37.5" x14ac:dyDescent="0.4">
      <c r="A26" t="s">
        <v>700</v>
      </c>
      <c r="B26" t="s">
        <v>705</v>
      </c>
      <c r="C26" s="17" t="s">
        <v>725</v>
      </c>
      <c r="D26" s="17">
        <v>2</v>
      </c>
      <c r="F26" s="17" t="s">
        <v>1215</v>
      </c>
      <c r="K26">
        <v>2</v>
      </c>
      <c r="L26" cm="1">
        <f t="array" ref="L26">_xlfn.LET(
_xlpm.h,L$1,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6" cm="1">
        <f t="array" ref="M26">_xlfn.LET(
_xlpm.h,M$1,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6" cm="1">
        <f t="array" ref="N26">_xlfn.LET(
_xlpm.h,N$1,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6" cm="1">
        <f t="array" ref="O26">_xlfn.LET(
_xlpm.h,P$1,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6" cm="1">
        <f t="array" ref="P26">_xlfn.LET(
_xlpm.h,P$1,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6" cm="1">
        <f t="array" ref="Q26">_xlfn.LET(
_xlpm.h,Q$1,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6" cm="1">
        <f t="array" ref="R26">_xlfn.LET(
_xlpm.h,R$1,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6" cm="1">
        <f t="array" ref="S26">_xlfn.LET(
_xlpm.h,S$1,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6" cm="1">
        <f t="array" ref="T26">_xlfn.LET(
_xlpm.h,T$1,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6" cm="1">
        <f t="array" ref="U26">_xlfn.LET(
_xlpm.h,U$1,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6" cm="1">
        <f t="array" ref="V26">_xlfn.LET(
_xlpm.h,V$1,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6" cm="1">
        <f t="array" ref="W26">_xlfn.LET(
_xlpm.h,W$1,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6" cm="1">
        <f t="array" ref="X26">_xlfn.LET(
_xlpm.h,X$1,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M26" s="62">
        <v>100</v>
      </c>
      <c r="AU26">
        <v>10</v>
      </c>
    </row>
    <row r="27" spans="1:53" ht="37.5" x14ac:dyDescent="0.4">
      <c r="A27" t="s">
        <v>698</v>
      </c>
      <c r="B27" t="s">
        <v>710</v>
      </c>
      <c r="C27" s="17" t="s">
        <v>726</v>
      </c>
      <c r="D27" s="17">
        <v>2</v>
      </c>
      <c r="F27" s="17" t="s">
        <v>1215</v>
      </c>
      <c r="K27">
        <v>1</v>
      </c>
      <c r="L27" cm="1">
        <f t="array" ref="L27">_xlfn.LET(
_xlpm.h,L$1,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7" cm="1">
        <f t="array" ref="M27">_xlfn.LET(
_xlpm.h,M$1,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7" cm="1">
        <f t="array" ref="N27">_xlfn.LET(
_xlpm.h,N$1,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7" cm="1">
        <f t="array" ref="O27">_xlfn.LET(
_xlpm.h,P$1,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7" cm="1">
        <f t="array" ref="P27">_xlfn.LET(
_xlpm.h,P$1,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7" cm="1">
        <f t="array" ref="Q27">_xlfn.LET(
_xlpm.h,Q$1,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7" cm="1">
        <f t="array" ref="R27">_xlfn.LET(
_xlpm.h,R$1,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7" cm="1">
        <f t="array" ref="S27">_xlfn.LET(
_xlpm.h,S$1,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7" cm="1">
        <f t="array" ref="T27">_xlfn.LET(
_xlpm.h,T$1,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7" cm="1">
        <f t="array" ref="U27">_xlfn.LET(
_xlpm.h,U$1,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7" cm="1">
        <f t="array" ref="V27">_xlfn.LET(
_xlpm.h,V$1,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7" cm="1">
        <f t="array" ref="W27">_xlfn.LET(
_xlpm.h,W$1,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7" cm="1">
        <f t="array" ref="X27">_xlfn.LET(
_xlpm.h,X$1,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S27">
        <v>15</v>
      </c>
      <c r="AW27">
        <v>10</v>
      </c>
    </row>
    <row r="28" spans="1:53" ht="37.5" x14ac:dyDescent="0.4">
      <c r="A28" t="s">
        <v>699</v>
      </c>
      <c r="B28" t="s">
        <v>710</v>
      </c>
      <c r="C28" s="17" t="s">
        <v>727</v>
      </c>
      <c r="D28" s="17">
        <v>2</v>
      </c>
      <c r="F28" s="17" t="s">
        <v>1215</v>
      </c>
      <c r="K28">
        <v>2</v>
      </c>
      <c r="L28" cm="1">
        <f t="array" ref="L28">_xlfn.LET(
_xlpm.h,L$1,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8" cm="1">
        <f t="array" ref="M28">_xlfn.LET(
_xlpm.h,M$1,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8" cm="1">
        <f t="array" ref="N28">_xlfn.LET(
_xlpm.h,N$1,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8" cm="1">
        <f t="array" ref="O28">_xlfn.LET(
_xlpm.h,P$1,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8" cm="1">
        <f t="array" ref="P28">_xlfn.LET(
_xlpm.h,P$1,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8" cm="1">
        <f t="array" ref="Q28">_xlfn.LET(
_xlpm.h,Q$1,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8" cm="1">
        <f t="array" ref="R28">_xlfn.LET(
_xlpm.h,R$1,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8" cm="1">
        <f t="array" ref="S28">_xlfn.LET(
_xlpm.h,S$1,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8" cm="1">
        <f t="array" ref="T28">_xlfn.LET(
_xlpm.h,T$1,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8" cm="1">
        <f t="array" ref="U28">_xlfn.LET(
_xlpm.h,U$1,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8" cm="1">
        <f t="array" ref="V28">_xlfn.LET(
_xlpm.h,V$1,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8" cm="1">
        <f t="array" ref="W28">_xlfn.LET(
_xlpm.h,W$1,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8" cm="1">
        <f t="array" ref="X28">_xlfn.LET(
_xlpm.h,X$1,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S28">
        <v>25</v>
      </c>
    </row>
    <row r="29" spans="1:53" ht="37.5" x14ac:dyDescent="0.4">
      <c r="A29" t="s">
        <v>683</v>
      </c>
      <c r="B29" t="s">
        <v>710</v>
      </c>
      <c r="C29" s="17" t="s">
        <v>728</v>
      </c>
      <c r="D29" s="17">
        <v>2</v>
      </c>
      <c r="F29" s="17" t="s">
        <v>1215</v>
      </c>
      <c r="K29">
        <v>2</v>
      </c>
      <c r="L29" cm="1">
        <f t="array" ref="L29">_xlfn.LET(
_xlpm.h,L$1,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9" cm="1">
        <f t="array" ref="M29">_xlfn.LET(
_xlpm.h,M$1,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9" cm="1">
        <f t="array" ref="N29">_xlfn.LET(
_xlpm.h,N$1,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9" cm="1">
        <f t="array" ref="O29">_xlfn.LET(
_xlpm.h,P$1,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9" cm="1">
        <f t="array" ref="P29">_xlfn.LET(
_xlpm.h,P$1,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9" cm="1">
        <f t="array" ref="Q29">_xlfn.LET(
_xlpm.h,Q$1,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9" cm="1">
        <f t="array" ref="R29">_xlfn.LET(
_xlpm.h,R$1,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9" cm="1">
        <f t="array" ref="S29">_xlfn.LET(
_xlpm.h,S$1,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9" cm="1">
        <f t="array" ref="T29">_xlfn.LET(
_xlpm.h,T$1,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9" cm="1">
        <f t="array" ref="U29">_xlfn.LET(
_xlpm.h,U$1,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9" cm="1">
        <f t="array" ref="V29">_xlfn.LET(
_xlpm.h,V$1,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9" cm="1">
        <f t="array" ref="W29">_xlfn.LET(
_xlpm.h,W$1,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9" cm="1">
        <f t="array" ref="X29">_xlfn.LET(
_xlpm.h,X$1,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U29">
        <v>3</v>
      </c>
      <c r="AV29">
        <v>10</v>
      </c>
      <c r="AW29">
        <v>10</v>
      </c>
      <c r="BA29">
        <v>3</v>
      </c>
    </row>
    <row r="30" spans="1:53" ht="37.5" x14ac:dyDescent="0.4">
      <c r="A30" t="s">
        <v>707</v>
      </c>
      <c r="B30" t="s">
        <v>708</v>
      </c>
      <c r="C30" s="17" t="s">
        <v>729</v>
      </c>
      <c r="D30" s="17">
        <v>2</v>
      </c>
      <c r="F30" s="17" t="s">
        <v>1215</v>
      </c>
      <c r="I30">
        <v>1</v>
      </c>
      <c r="K30">
        <v>3</v>
      </c>
      <c r="L30" cm="1">
        <f t="array" ref="L30">_xlfn.LET(
_xlpm.h,L$1,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30" cm="1">
        <f t="array" ref="M30">_xlfn.LET(
_xlpm.h,M$1,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30" cm="1">
        <f t="array" ref="N30">_xlfn.LET(
_xlpm.h,N$1,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0" cm="1">
        <f t="array" ref="O30">_xlfn.LET(
_xlpm.h,P$1,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30" cm="1">
        <f t="array" ref="P30">_xlfn.LET(
_xlpm.h,P$1,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30" cm="1">
        <f t="array" ref="Q30">_xlfn.LET(
_xlpm.h,Q$1,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30" cm="1">
        <f t="array" ref="R30">_xlfn.LET(
_xlpm.h,R$1,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0" cm="1">
        <f t="array" ref="S30">_xlfn.LET(
_xlpm.h,S$1,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0" cm="1">
        <f t="array" ref="T30">_xlfn.LET(
_xlpm.h,T$1,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0" cm="1">
        <f t="array" ref="U30">_xlfn.LET(
_xlpm.h,U$1,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0" cm="1">
        <f t="array" ref="V30">_xlfn.LET(
_xlpm.h,V$1,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0" cm="1">
        <f t="array" ref="W30">_xlfn.LET(
_xlpm.h,W$1,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0" cm="1">
        <f t="array" ref="X30">_xlfn.LET(
_xlpm.h,X$1,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U30">
        <v>3</v>
      </c>
      <c r="AV30">
        <v>5</v>
      </c>
      <c r="AW30">
        <v>15</v>
      </c>
      <c r="BA30">
        <v>5</v>
      </c>
    </row>
    <row r="31" spans="1:53" x14ac:dyDescent="0.4">
      <c r="L31" cm="1">
        <f t="array" ref="L31">_xlfn.LET(
_xlpm.h,L$1,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1" cm="1">
        <f t="array" ref="M31">_xlfn.LET(
_xlpm.h,M$1,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1" cm="1">
        <f t="array" ref="N31">_xlfn.LET(
_xlpm.h,N$1,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1" cm="1">
        <f t="array" ref="O31">_xlfn.LET(
_xlpm.h,P$1,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1" cm="1">
        <f t="array" ref="P31">_xlfn.LET(
_xlpm.h,P$1,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1" cm="1">
        <f t="array" ref="Q31">_xlfn.LET(
_xlpm.h,Q$1,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1" cm="1">
        <f t="array" ref="R31">_xlfn.LET(
_xlpm.h,R$1,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1" cm="1">
        <f t="array" ref="S31">_xlfn.LET(
_xlpm.h,S$1,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1" cm="1">
        <f t="array" ref="T31">_xlfn.LET(
_xlpm.h,T$1,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1" cm="1">
        <f t="array" ref="U31">_xlfn.LET(
_xlpm.h,U$1,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1" cm="1">
        <f t="array" ref="V31">_xlfn.LET(
_xlpm.h,V$1,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1" cm="1">
        <f t="array" ref="W31">_xlfn.LET(
_xlpm.h,W$1,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1" cm="1">
        <f t="array" ref="X31">_xlfn.LET(
_xlpm.h,X$1,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2" spans="1:53" x14ac:dyDescent="0.4">
      <c r="L32" cm="1">
        <f t="array" ref="L32">_xlfn.LET(
_xlpm.h,L$1,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2" cm="1">
        <f t="array" ref="M32">_xlfn.LET(
_xlpm.h,M$1,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2" cm="1">
        <f t="array" ref="N32">_xlfn.LET(
_xlpm.h,N$1,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2" cm="1">
        <f t="array" ref="O32">_xlfn.LET(
_xlpm.h,P$1,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2" cm="1">
        <f t="array" ref="P32">_xlfn.LET(
_xlpm.h,P$1,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2" cm="1">
        <f t="array" ref="Q32">_xlfn.LET(
_xlpm.h,Q$1,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2" cm="1">
        <f t="array" ref="R32">_xlfn.LET(
_xlpm.h,R$1,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2" cm="1">
        <f t="array" ref="S32">_xlfn.LET(
_xlpm.h,S$1,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2" cm="1">
        <f t="array" ref="T32">_xlfn.LET(
_xlpm.h,T$1,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2" cm="1">
        <f t="array" ref="U32">_xlfn.LET(
_xlpm.h,U$1,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2" cm="1">
        <f t="array" ref="V32">_xlfn.LET(
_xlpm.h,V$1,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2" cm="1">
        <f t="array" ref="W32">_xlfn.LET(
_xlpm.h,W$1,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2" cm="1">
        <f t="array" ref="X32">_xlfn.LET(
_xlpm.h,X$1,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3" spans="12:24" x14ac:dyDescent="0.4">
      <c r="L33" cm="1">
        <f t="array" ref="L33">_xlfn.LET(
_xlpm.h,L$1,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3" cm="1">
        <f t="array" ref="M33">_xlfn.LET(
_xlpm.h,M$1,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3" cm="1">
        <f t="array" ref="N33">_xlfn.LET(
_xlpm.h,N$1,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3" cm="1">
        <f t="array" ref="O33">_xlfn.LET(
_xlpm.h,P$1,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3" cm="1">
        <f t="array" ref="P33">_xlfn.LET(
_xlpm.h,P$1,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3" cm="1">
        <f t="array" ref="Q33">_xlfn.LET(
_xlpm.h,Q$1,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3" cm="1">
        <f t="array" ref="R33">_xlfn.LET(
_xlpm.h,R$1,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3" cm="1">
        <f t="array" ref="S33">_xlfn.LET(
_xlpm.h,S$1,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3" cm="1">
        <f t="array" ref="T33">_xlfn.LET(
_xlpm.h,T$1,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3" cm="1">
        <f t="array" ref="U33">_xlfn.LET(
_xlpm.h,U$1,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3" cm="1">
        <f t="array" ref="V33">_xlfn.LET(
_xlpm.h,V$1,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3" cm="1">
        <f t="array" ref="W33">_xlfn.LET(
_xlpm.h,W$1,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3" cm="1">
        <f t="array" ref="X33">_xlfn.LET(
_xlpm.h,X$1,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4" spans="12:24" x14ac:dyDescent="0.4">
      <c r="L34" cm="1">
        <f t="array" ref="L34">_xlfn.LET(
_xlpm.h,L$1,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4" cm="1">
        <f t="array" ref="M34">_xlfn.LET(
_xlpm.h,M$1,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4" cm="1">
        <f t="array" ref="N34">_xlfn.LET(
_xlpm.h,N$1,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4" cm="1">
        <f t="array" ref="O34">_xlfn.LET(
_xlpm.h,P$1,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4" cm="1">
        <f t="array" ref="P34">_xlfn.LET(
_xlpm.h,P$1,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4" cm="1">
        <f t="array" ref="Q34">_xlfn.LET(
_xlpm.h,Q$1,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4" cm="1">
        <f t="array" ref="R34">_xlfn.LET(
_xlpm.h,R$1,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4" cm="1">
        <f t="array" ref="S34">_xlfn.LET(
_xlpm.h,S$1,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4" cm="1">
        <f t="array" ref="T34">_xlfn.LET(
_xlpm.h,T$1,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4" cm="1">
        <f t="array" ref="U34">_xlfn.LET(
_xlpm.h,U$1,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4" cm="1">
        <f t="array" ref="V34">_xlfn.LET(
_xlpm.h,V$1,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4" cm="1">
        <f t="array" ref="W34">_xlfn.LET(
_xlpm.h,W$1,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4" cm="1">
        <f t="array" ref="X34">_xlfn.LET(
_xlpm.h,X$1,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5" spans="12:24" x14ac:dyDescent="0.4">
      <c r="L35" cm="1">
        <f t="array" ref="L35">_xlfn.LET(
_xlpm.h,L$1,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5" cm="1">
        <f t="array" ref="M35">_xlfn.LET(
_xlpm.h,M$1,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5" cm="1">
        <f t="array" ref="N35">_xlfn.LET(
_xlpm.h,N$1,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5" cm="1">
        <f t="array" ref="O35">_xlfn.LET(
_xlpm.h,P$1,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5" cm="1">
        <f t="array" ref="P35">_xlfn.LET(
_xlpm.h,P$1,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5" cm="1">
        <f t="array" ref="Q35">_xlfn.LET(
_xlpm.h,Q$1,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5" cm="1">
        <f t="array" ref="R35">_xlfn.LET(
_xlpm.h,R$1,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5" cm="1">
        <f t="array" ref="S35">_xlfn.LET(
_xlpm.h,S$1,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5" cm="1">
        <f t="array" ref="T35">_xlfn.LET(
_xlpm.h,T$1,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5" cm="1">
        <f t="array" ref="U35">_xlfn.LET(
_xlpm.h,U$1,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5" cm="1">
        <f t="array" ref="V35">_xlfn.LET(
_xlpm.h,V$1,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5" cm="1">
        <f t="array" ref="W35">_xlfn.LET(
_xlpm.h,W$1,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5" cm="1">
        <f t="array" ref="X35">_xlfn.LET(
_xlpm.h,X$1,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6" spans="12:24" x14ac:dyDescent="0.4">
      <c r="L36" cm="1">
        <f t="array" ref="L36">_xlfn.LET(
_xlpm.h,L$1,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6" cm="1">
        <f t="array" ref="M36">_xlfn.LET(
_xlpm.h,M$1,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6" cm="1">
        <f t="array" ref="N36">_xlfn.LET(
_xlpm.h,N$1,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6" cm="1">
        <f t="array" ref="O36">_xlfn.LET(
_xlpm.h,P$1,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6" cm="1">
        <f t="array" ref="P36">_xlfn.LET(
_xlpm.h,P$1,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6" cm="1">
        <f t="array" ref="Q36">_xlfn.LET(
_xlpm.h,Q$1,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6" cm="1">
        <f t="array" ref="R36">_xlfn.LET(
_xlpm.h,R$1,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6" cm="1">
        <f t="array" ref="S36">_xlfn.LET(
_xlpm.h,S$1,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6" cm="1">
        <f t="array" ref="T36">_xlfn.LET(
_xlpm.h,T$1,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6" cm="1">
        <f t="array" ref="U36">_xlfn.LET(
_xlpm.h,U$1,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6" cm="1">
        <f t="array" ref="V36">_xlfn.LET(
_xlpm.h,V$1,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6" cm="1">
        <f t="array" ref="W36">_xlfn.LET(
_xlpm.h,W$1,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6" cm="1">
        <f t="array" ref="X36">_xlfn.LET(
_xlpm.h,X$1,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7" spans="12:24" x14ac:dyDescent="0.4">
      <c r="L37" cm="1">
        <f t="array" ref="L37">_xlfn.LET(
_xlpm.h,L$1,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7" cm="1">
        <f t="array" ref="M37">_xlfn.LET(
_xlpm.h,M$1,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7" cm="1">
        <f t="array" ref="N37">_xlfn.LET(
_xlpm.h,N$1,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7" cm="1">
        <f t="array" ref="O37">_xlfn.LET(
_xlpm.h,P$1,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7" cm="1">
        <f t="array" ref="P37">_xlfn.LET(
_xlpm.h,P$1,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7" cm="1">
        <f t="array" ref="Q37">_xlfn.LET(
_xlpm.h,Q$1,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7" cm="1">
        <f t="array" ref="R37">_xlfn.LET(
_xlpm.h,R$1,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7" cm="1">
        <f t="array" ref="S37">_xlfn.LET(
_xlpm.h,S$1,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7" cm="1">
        <f t="array" ref="T37">_xlfn.LET(
_xlpm.h,T$1,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7" cm="1">
        <f t="array" ref="U37">_xlfn.LET(
_xlpm.h,U$1,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7" cm="1">
        <f t="array" ref="V37">_xlfn.LET(
_xlpm.h,V$1,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7" cm="1">
        <f t="array" ref="W37">_xlfn.LET(
_xlpm.h,W$1,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7" cm="1">
        <f t="array" ref="X37">_xlfn.LET(
_xlpm.h,X$1,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8" spans="12:24" x14ac:dyDescent="0.4">
      <c r="L38" cm="1">
        <f t="array" ref="L38">_xlfn.LET(
_xlpm.h,L$1,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8" cm="1">
        <f t="array" ref="M38">_xlfn.LET(
_xlpm.h,M$1,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8" cm="1">
        <f t="array" ref="N38">_xlfn.LET(
_xlpm.h,N$1,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8" cm="1">
        <f t="array" ref="O38">_xlfn.LET(
_xlpm.h,P$1,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8" cm="1">
        <f t="array" ref="P38">_xlfn.LET(
_xlpm.h,P$1,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8" cm="1">
        <f t="array" ref="Q38">_xlfn.LET(
_xlpm.h,Q$1,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8" cm="1">
        <f t="array" ref="R38">_xlfn.LET(
_xlpm.h,R$1,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8" cm="1">
        <f t="array" ref="S38">_xlfn.LET(
_xlpm.h,S$1,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8" cm="1">
        <f t="array" ref="T38">_xlfn.LET(
_xlpm.h,T$1,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8" cm="1">
        <f t="array" ref="U38">_xlfn.LET(
_xlpm.h,U$1,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8" cm="1">
        <f t="array" ref="V38">_xlfn.LET(
_xlpm.h,V$1,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8" cm="1">
        <f t="array" ref="W38">_xlfn.LET(
_xlpm.h,W$1,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8" cm="1">
        <f t="array" ref="X38">_xlfn.LET(
_xlpm.h,X$1,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sheetData>
  <phoneticPr fontId="2"/>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B783B-0938-4A2A-A527-3173EFEAF51B}">
  <sheetPr codeName="Sheet21"/>
  <dimension ref="A2:BI32"/>
  <sheetViews>
    <sheetView zoomScale="55" zoomScaleNormal="55" workbookViewId="0">
      <selection activeCell="B3" sqref="B3:D4"/>
    </sheetView>
  </sheetViews>
  <sheetFormatPr defaultColWidth="3.125" defaultRowHeight="18.75" x14ac:dyDescent="0.4"/>
  <sheetData>
    <row r="2" spans="1:61" ht="19.5" thickBot="1" x14ac:dyDescent="0.45">
      <c r="B2">
        <v>1</v>
      </c>
      <c r="C2">
        <f>B2+1</f>
        <v>2</v>
      </c>
      <c r="D2">
        <f t="shared" ref="D2:BI2" si="0">C2+1</f>
        <v>3</v>
      </c>
      <c r="E2">
        <f t="shared" si="0"/>
        <v>4</v>
      </c>
      <c r="F2">
        <f t="shared" si="0"/>
        <v>5</v>
      </c>
      <c r="G2">
        <f t="shared" si="0"/>
        <v>6</v>
      </c>
      <c r="H2">
        <f t="shared" si="0"/>
        <v>7</v>
      </c>
      <c r="I2">
        <f t="shared" si="0"/>
        <v>8</v>
      </c>
      <c r="J2">
        <f t="shared" si="0"/>
        <v>9</v>
      </c>
      <c r="K2">
        <f t="shared" si="0"/>
        <v>10</v>
      </c>
      <c r="L2">
        <f t="shared" si="0"/>
        <v>11</v>
      </c>
      <c r="M2">
        <f t="shared" si="0"/>
        <v>12</v>
      </c>
      <c r="N2">
        <f t="shared" si="0"/>
        <v>13</v>
      </c>
      <c r="O2">
        <f t="shared" si="0"/>
        <v>14</v>
      </c>
      <c r="P2">
        <f t="shared" si="0"/>
        <v>15</v>
      </c>
      <c r="Q2">
        <f t="shared" si="0"/>
        <v>16</v>
      </c>
      <c r="R2">
        <f t="shared" si="0"/>
        <v>17</v>
      </c>
      <c r="S2">
        <f t="shared" si="0"/>
        <v>18</v>
      </c>
      <c r="T2">
        <f t="shared" si="0"/>
        <v>19</v>
      </c>
      <c r="U2">
        <f t="shared" si="0"/>
        <v>20</v>
      </c>
      <c r="V2">
        <f t="shared" si="0"/>
        <v>21</v>
      </c>
      <c r="W2">
        <f t="shared" si="0"/>
        <v>22</v>
      </c>
      <c r="X2">
        <f t="shared" si="0"/>
        <v>23</v>
      </c>
      <c r="Y2">
        <f t="shared" si="0"/>
        <v>24</v>
      </c>
      <c r="Z2">
        <f t="shared" si="0"/>
        <v>25</v>
      </c>
      <c r="AA2">
        <f t="shared" si="0"/>
        <v>26</v>
      </c>
      <c r="AB2">
        <f t="shared" si="0"/>
        <v>27</v>
      </c>
      <c r="AC2">
        <f t="shared" si="0"/>
        <v>28</v>
      </c>
      <c r="AD2">
        <f t="shared" si="0"/>
        <v>29</v>
      </c>
      <c r="AE2">
        <f t="shared" si="0"/>
        <v>30</v>
      </c>
      <c r="AF2">
        <f t="shared" si="0"/>
        <v>31</v>
      </c>
      <c r="AG2">
        <f t="shared" si="0"/>
        <v>32</v>
      </c>
      <c r="AH2">
        <f t="shared" si="0"/>
        <v>33</v>
      </c>
      <c r="AI2">
        <f t="shared" si="0"/>
        <v>34</v>
      </c>
      <c r="AJ2">
        <f t="shared" si="0"/>
        <v>35</v>
      </c>
      <c r="AK2">
        <f t="shared" si="0"/>
        <v>36</v>
      </c>
      <c r="AL2">
        <f t="shared" si="0"/>
        <v>37</v>
      </c>
      <c r="AM2">
        <f t="shared" si="0"/>
        <v>38</v>
      </c>
      <c r="AN2">
        <f t="shared" si="0"/>
        <v>39</v>
      </c>
      <c r="AO2">
        <f t="shared" si="0"/>
        <v>40</v>
      </c>
      <c r="AP2">
        <f t="shared" si="0"/>
        <v>41</v>
      </c>
      <c r="AQ2">
        <f t="shared" si="0"/>
        <v>42</v>
      </c>
      <c r="AR2">
        <f t="shared" si="0"/>
        <v>43</v>
      </c>
      <c r="AS2">
        <f t="shared" si="0"/>
        <v>44</v>
      </c>
      <c r="AT2">
        <f t="shared" si="0"/>
        <v>45</v>
      </c>
      <c r="AU2">
        <f t="shared" si="0"/>
        <v>46</v>
      </c>
      <c r="AV2">
        <f t="shared" si="0"/>
        <v>47</v>
      </c>
      <c r="AW2">
        <f t="shared" si="0"/>
        <v>48</v>
      </c>
      <c r="AX2">
        <f t="shared" si="0"/>
        <v>49</v>
      </c>
      <c r="AY2">
        <f t="shared" si="0"/>
        <v>50</v>
      </c>
      <c r="AZ2">
        <f t="shared" si="0"/>
        <v>51</v>
      </c>
      <c r="BA2">
        <f t="shared" si="0"/>
        <v>52</v>
      </c>
      <c r="BB2">
        <f t="shared" si="0"/>
        <v>53</v>
      </c>
      <c r="BC2">
        <f t="shared" si="0"/>
        <v>54</v>
      </c>
      <c r="BD2">
        <f t="shared" si="0"/>
        <v>55</v>
      </c>
      <c r="BE2">
        <f t="shared" si="0"/>
        <v>56</v>
      </c>
      <c r="BF2">
        <f t="shared" si="0"/>
        <v>57</v>
      </c>
      <c r="BG2">
        <f t="shared" si="0"/>
        <v>58</v>
      </c>
      <c r="BH2">
        <f t="shared" si="0"/>
        <v>59</v>
      </c>
      <c r="BI2">
        <f t="shared" si="0"/>
        <v>60</v>
      </c>
    </row>
    <row r="3" spans="1:61" x14ac:dyDescent="0.4">
      <c r="A3">
        <v>1</v>
      </c>
      <c r="B3" s="63"/>
      <c r="C3" s="64"/>
      <c r="D3" s="64"/>
      <c r="E3" s="64"/>
      <c r="F3" s="64"/>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5"/>
    </row>
    <row r="4" spans="1:61" x14ac:dyDescent="0.4">
      <c r="A4">
        <f>A3+1</f>
        <v>2</v>
      </c>
      <c r="B4" s="66"/>
      <c r="BI4" s="67"/>
    </row>
    <row r="5" spans="1:61" ht="19.5" thickBot="1" x14ac:dyDescent="0.45">
      <c r="A5">
        <f t="shared" ref="A5:A32" si="1">A4+1</f>
        <v>3</v>
      </c>
      <c r="B5" s="68"/>
      <c r="C5" s="69"/>
      <c r="D5" s="69"/>
      <c r="E5" s="69"/>
      <c r="F5" s="69"/>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70"/>
    </row>
    <row r="6" spans="1:61" x14ac:dyDescent="0.4">
      <c r="A6">
        <f t="shared" si="1"/>
        <v>4</v>
      </c>
      <c r="B6" s="76"/>
      <c r="C6" s="77"/>
      <c r="D6" s="78"/>
      <c r="E6" s="76"/>
      <c r="F6" s="77"/>
      <c r="G6" s="78"/>
      <c r="H6" s="76"/>
      <c r="I6" s="77"/>
      <c r="J6" s="78"/>
      <c r="K6" s="76"/>
      <c r="L6" s="77"/>
      <c r="M6" s="78"/>
      <c r="N6" s="76"/>
      <c r="O6" s="77"/>
      <c r="P6" s="78"/>
      <c r="BI6" s="67"/>
    </row>
    <row r="7" spans="1:61" x14ac:dyDescent="0.4">
      <c r="A7">
        <f t="shared" si="1"/>
        <v>5</v>
      </c>
      <c r="B7" s="79"/>
      <c r="C7" s="80"/>
      <c r="D7" s="81"/>
      <c r="E7" s="79"/>
      <c r="F7" s="80"/>
      <c r="G7" s="81"/>
      <c r="H7" s="79"/>
      <c r="I7" s="80"/>
      <c r="J7" s="81"/>
      <c r="K7" s="79"/>
      <c r="L7" s="80"/>
      <c r="M7" s="81"/>
      <c r="N7" s="79"/>
      <c r="O7" s="80"/>
      <c r="P7" s="81"/>
      <c r="BI7" s="67"/>
    </row>
    <row r="8" spans="1:61" ht="19.5" thickBot="1" x14ac:dyDescent="0.45">
      <c r="A8">
        <f t="shared" si="1"/>
        <v>6</v>
      </c>
      <c r="B8" s="82"/>
      <c r="C8" s="83"/>
      <c r="D8" s="84"/>
      <c r="E8" s="82"/>
      <c r="F8" s="83"/>
      <c r="G8" s="84"/>
      <c r="H8" s="82"/>
      <c r="I8" s="83"/>
      <c r="J8" s="84"/>
      <c r="K8" s="82"/>
      <c r="L8" s="83"/>
      <c r="M8" s="84"/>
      <c r="N8" s="82"/>
      <c r="O8" s="83"/>
      <c r="P8" s="84"/>
      <c r="BI8" s="67"/>
    </row>
    <row r="9" spans="1:61" x14ac:dyDescent="0.4">
      <c r="A9">
        <f t="shared" si="1"/>
        <v>7</v>
      </c>
      <c r="B9" s="66"/>
      <c r="BI9" s="67"/>
    </row>
    <row r="10" spans="1:61" x14ac:dyDescent="0.4">
      <c r="A10">
        <f t="shared" si="1"/>
        <v>8</v>
      </c>
      <c r="B10" s="66"/>
      <c r="BI10" s="67"/>
    </row>
    <row r="11" spans="1:61" x14ac:dyDescent="0.4">
      <c r="A11">
        <f t="shared" si="1"/>
        <v>9</v>
      </c>
      <c r="B11" s="66"/>
      <c r="BI11" s="67"/>
    </row>
    <row r="12" spans="1:61" x14ac:dyDescent="0.4">
      <c r="A12">
        <f t="shared" si="1"/>
        <v>10</v>
      </c>
      <c r="B12" s="66"/>
      <c r="BI12" s="67"/>
    </row>
    <row r="13" spans="1:61" x14ac:dyDescent="0.4">
      <c r="A13">
        <f t="shared" si="1"/>
        <v>11</v>
      </c>
      <c r="B13" s="66"/>
      <c r="BI13" s="67"/>
    </row>
    <row r="14" spans="1:61" x14ac:dyDescent="0.4">
      <c r="A14">
        <f t="shared" si="1"/>
        <v>12</v>
      </c>
      <c r="B14" s="66"/>
      <c r="BI14" s="67"/>
    </row>
    <row r="15" spans="1:61" x14ac:dyDescent="0.4">
      <c r="A15">
        <f t="shared" si="1"/>
        <v>13</v>
      </c>
      <c r="B15" s="66"/>
      <c r="BI15" s="67"/>
    </row>
    <row r="16" spans="1:61" x14ac:dyDescent="0.4">
      <c r="A16">
        <f t="shared" si="1"/>
        <v>14</v>
      </c>
      <c r="B16" s="66"/>
      <c r="BI16" s="67"/>
    </row>
    <row r="17" spans="1:61" x14ac:dyDescent="0.4">
      <c r="A17">
        <f t="shared" si="1"/>
        <v>15</v>
      </c>
      <c r="B17" s="66"/>
      <c r="BI17" s="67"/>
    </row>
    <row r="18" spans="1:61" x14ac:dyDescent="0.4">
      <c r="A18">
        <f t="shared" si="1"/>
        <v>16</v>
      </c>
      <c r="B18" s="66"/>
      <c r="BI18" s="67"/>
    </row>
    <row r="19" spans="1:61" x14ac:dyDescent="0.4">
      <c r="A19">
        <f t="shared" si="1"/>
        <v>17</v>
      </c>
      <c r="B19" s="66"/>
      <c r="BI19" s="67"/>
    </row>
    <row r="20" spans="1:61" x14ac:dyDescent="0.4">
      <c r="A20">
        <f t="shared" si="1"/>
        <v>18</v>
      </c>
      <c r="B20" s="66"/>
      <c r="BI20" s="67"/>
    </row>
    <row r="21" spans="1:61" x14ac:dyDescent="0.4">
      <c r="A21">
        <f t="shared" si="1"/>
        <v>19</v>
      </c>
      <c r="B21" s="66"/>
      <c r="BI21" s="67"/>
    </row>
    <row r="22" spans="1:61" x14ac:dyDescent="0.4">
      <c r="A22">
        <f t="shared" si="1"/>
        <v>20</v>
      </c>
      <c r="B22" s="66"/>
      <c r="BI22" s="67"/>
    </row>
    <row r="23" spans="1:61" x14ac:dyDescent="0.4">
      <c r="A23">
        <f t="shared" si="1"/>
        <v>21</v>
      </c>
      <c r="B23" s="66"/>
      <c r="BI23" s="67"/>
    </row>
    <row r="24" spans="1:61" x14ac:dyDescent="0.4">
      <c r="A24">
        <f t="shared" si="1"/>
        <v>22</v>
      </c>
      <c r="B24" s="66"/>
      <c r="BI24" s="67"/>
    </row>
    <row r="25" spans="1:61" x14ac:dyDescent="0.4">
      <c r="A25">
        <f t="shared" si="1"/>
        <v>23</v>
      </c>
      <c r="B25" s="66"/>
      <c r="BI25" s="67"/>
    </row>
    <row r="26" spans="1:61" x14ac:dyDescent="0.4">
      <c r="A26">
        <f t="shared" si="1"/>
        <v>24</v>
      </c>
      <c r="B26" s="66"/>
      <c r="BI26" s="67"/>
    </row>
    <row r="27" spans="1:61" x14ac:dyDescent="0.4">
      <c r="A27">
        <f t="shared" si="1"/>
        <v>25</v>
      </c>
      <c r="B27" s="66"/>
      <c r="BI27" s="67"/>
    </row>
    <row r="28" spans="1:61" x14ac:dyDescent="0.4">
      <c r="A28">
        <f t="shared" si="1"/>
        <v>26</v>
      </c>
      <c r="B28" s="66"/>
      <c r="BI28" s="67"/>
    </row>
    <row r="29" spans="1:61" x14ac:dyDescent="0.4">
      <c r="A29">
        <f t="shared" si="1"/>
        <v>27</v>
      </c>
      <c r="B29" s="66"/>
      <c r="BI29" s="67"/>
    </row>
    <row r="30" spans="1:61" x14ac:dyDescent="0.4">
      <c r="A30">
        <f t="shared" si="1"/>
        <v>28</v>
      </c>
      <c r="B30" s="66"/>
      <c r="BI30" s="67"/>
    </row>
    <row r="31" spans="1:61" x14ac:dyDescent="0.4">
      <c r="A31">
        <f t="shared" si="1"/>
        <v>29</v>
      </c>
      <c r="B31" s="66"/>
      <c r="BI31" s="67"/>
    </row>
    <row r="32" spans="1:61" ht="19.5" thickBot="1" x14ac:dyDescent="0.45">
      <c r="A32">
        <f t="shared" si="1"/>
        <v>30</v>
      </c>
      <c r="B32" s="68"/>
      <c r="C32" s="69"/>
      <c r="D32" s="69"/>
      <c r="E32" s="69"/>
      <c r="F32" s="69"/>
      <c r="G32" s="69"/>
      <c r="H32" s="69"/>
      <c r="I32" s="69"/>
      <c r="J32" s="69"/>
      <c r="K32" s="69"/>
      <c r="L32" s="69"/>
      <c r="M32" s="69"/>
      <c r="N32" s="69"/>
      <c r="O32" s="69"/>
      <c r="P32" s="69"/>
      <c r="Q32" s="69"/>
      <c r="R32" s="69"/>
      <c r="S32" s="69"/>
      <c r="T32" s="69"/>
      <c r="U32" s="69"/>
      <c r="V32" s="69"/>
      <c r="W32" s="69"/>
      <c r="X32" s="69"/>
      <c r="Y32" s="69"/>
      <c r="Z32" s="69"/>
      <c r="AA32" s="69"/>
      <c r="AB32" s="69"/>
      <c r="AC32" s="69"/>
      <c r="AD32" s="69"/>
      <c r="AE32" s="69"/>
      <c r="AF32" s="69"/>
      <c r="AG32" s="69"/>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69"/>
      <c r="BH32" s="69"/>
      <c r="BI32" s="70"/>
    </row>
  </sheetData>
  <mergeCells count="5">
    <mergeCell ref="B6:D8"/>
    <mergeCell ref="E6:G8"/>
    <mergeCell ref="H6:J8"/>
    <mergeCell ref="K6:M8"/>
    <mergeCell ref="N6:P8"/>
  </mergeCells>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C91F7-E37C-4A3E-BAB4-D04251BEDA0D}">
  <sheetPr codeName="Sheet16">
    <tabColor theme="7" tint="0.79998168889431442"/>
  </sheetPr>
  <dimension ref="A1:AY106"/>
  <sheetViews>
    <sheetView zoomScaleNormal="100" workbookViewId="0">
      <pane xSplit="5" ySplit="1" topLeftCell="AG2" activePane="bottomRight" state="frozen"/>
      <selection pane="topRight" activeCell="E1" sqref="E1"/>
      <selection pane="bottomLeft" activeCell="A2" sqref="A2"/>
      <selection pane="bottomRight" activeCell="AY1" sqref="AY1"/>
    </sheetView>
  </sheetViews>
  <sheetFormatPr defaultRowHeight="18.75" outlineLevelRow="1" outlineLevelCol="1" x14ac:dyDescent="0.4"/>
  <cols>
    <col min="1" max="1" width="10.875" bestFit="1" customWidth="1"/>
    <col min="2" max="2" width="9.25" bestFit="1" customWidth="1"/>
    <col min="3" max="4" width="3.75" customWidth="1"/>
    <col min="5" max="5" width="7.125" customWidth="1"/>
    <col min="6" max="6" width="9" outlineLevel="1"/>
    <col min="7" max="7" width="5.25" bestFit="1" customWidth="1" outlineLevel="1"/>
    <col min="8" max="8" width="9" outlineLevel="1"/>
    <col min="9" max="9" width="7.125" bestFit="1" customWidth="1" outlineLevel="1"/>
    <col min="10" max="10" width="9" outlineLevel="1"/>
    <col min="11" max="11" width="12.875" bestFit="1" customWidth="1" outlineLevel="1"/>
    <col min="12" max="12" width="11" bestFit="1" customWidth="1" outlineLevel="1"/>
    <col min="13" max="13" width="5.25" bestFit="1" customWidth="1" outlineLevel="1"/>
    <col min="14" max="14" width="7.125" bestFit="1" customWidth="1" outlineLevel="1"/>
    <col min="15" max="15" width="11" bestFit="1" customWidth="1" outlineLevel="1"/>
    <col min="16" max="17" width="5.25" bestFit="1" customWidth="1"/>
    <col min="18" max="18" width="5.25" customWidth="1" outlineLevel="1"/>
    <col min="19" max="20" width="3.375" customWidth="1" outlineLevel="1"/>
    <col min="21" max="24" width="5.25" customWidth="1" outlineLevel="1"/>
    <col min="25" max="25" width="3.375" customWidth="1" outlineLevel="1"/>
    <col min="26" max="26" width="5.25" customWidth="1" outlineLevel="1"/>
    <col min="27" max="28" width="7.125" customWidth="1" outlineLevel="1"/>
    <col min="29" max="30" width="3.375" customWidth="1" outlineLevel="1"/>
    <col min="31" max="31" width="5.25" customWidth="1" outlineLevel="1"/>
    <col min="32" max="32" width="5.5" customWidth="1" outlineLevel="1"/>
    <col min="33" max="33" width="3.625" customWidth="1" outlineLevel="1"/>
    <col min="34" max="35" width="5.25" bestFit="1" customWidth="1"/>
    <col min="36" max="36" width="5.125" customWidth="1"/>
    <col min="37" max="40" width="5.125" customWidth="1" outlineLevel="1"/>
    <col min="41" max="41" width="5.125" customWidth="1"/>
    <col min="42" max="42" width="5.125" customWidth="1" outlineLevel="1"/>
    <col min="43" max="43" width="5.125" customWidth="1"/>
    <col min="44" max="46" width="5.125" customWidth="1" outlineLevel="1"/>
    <col min="47" max="47" width="5.125" customWidth="1"/>
    <col min="48" max="50" width="5.125" customWidth="1" outlineLevel="1"/>
    <col min="51" max="51" width="38.625" customWidth="1"/>
  </cols>
  <sheetData>
    <row r="1" spans="1:51" x14ac:dyDescent="0.4">
      <c r="A1" t="s">
        <v>512</v>
      </c>
      <c r="B1" t="s">
        <v>1000</v>
      </c>
      <c r="C1" t="s">
        <v>10</v>
      </c>
      <c r="D1" t="s">
        <v>1358</v>
      </c>
      <c r="E1" t="s">
        <v>655</v>
      </c>
      <c r="F1" t="s">
        <v>613</v>
      </c>
      <c r="G1" t="s">
        <v>617</v>
      </c>
      <c r="H1" t="s">
        <v>618</v>
      </c>
      <c r="I1" t="s">
        <v>619</v>
      </c>
      <c r="J1" t="s">
        <v>620</v>
      </c>
      <c r="K1" t="s">
        <v>622</v>
      </c>
      <c r="L1" t="s">
        <v>623</v>
      </c>
      <c r="M1" t="s">
        <v>621</v>
      </c>
      <c r="N1" t="s">
        <v>733</v>
      </c>
      <c r="O1" t="s">
        <v>624</v>
      </c>
      <c r="P1" t="s">
        <v>734</v>
      </c>
      <c r="Q1" s="43" t="s">
        <v>474</v>
      </c>
      <c r="R1" s="43" t="s">
        <v>475</v>
      </c>
      <c r="S1" s="43" t="s">
        <v>476</v>
      </c>
      <c r="T1" s="43" t="s">
        <v>477</v>
      </c>
      <c r="U1" s="42" t="s">
        <v>478</v>
      </c>
      <c r="V1" s="42" t="s">
        <v>479</v>
      </c>
      <c r="W1" s="42" t="s">
        <v>480</v>
      </c>
      <c r="X1" s="44" t="s">
        <v>481</v>
      </c>
      <c r="Y1" s="44" t="s">
        <v>482</v>
      </c>
      <c r="Z1" s="44" t="s">
        <v>483</v>
      </c>
      <c r="AA1" s="44" t="s">
        <v>484</v>
      </c>
      <c r="AB1" s="44" t="s">
        <v>485</v>
      </c>
      <c r="AC1" s="36" t="s">
        <v>486</v>
      </c>
      <c r="AD1" s="36" t="s">
        <v>487</v>
      </c>
      <c r="AE1" s="36" t="s">
        <v>488</v>
      </c>
      <c r="AF1" s="56" t="s">
        <v>905</v>
      </c>
      <c r="AG1" s="56" t="s">
        <v>902</v>
      </c>
      <c r="AH1" t="s">
        <v>906</v>
      </c>
      <c r="AI1" s="36" t="s">
        <v>907</v>
      </c>
      <c r="AJ1" s="26" t="s">
        <v>247</v>
      </c>
      <c r="AK1" s="26" t="s">
        <v>1</v>
      </c>
      <c r="AL1" s="26" t="s">
        <v>2</v>
      </c>
      <c r="AM1" s="26" t="s">
        <v>105</v>
      </c>
      <c r="AN1" s="26" t="s">
        <v>104</v>
      </c>
      <c r="AO1" s="27" t="s">
        <v>4</v>
      </c>
      <c r="AP1" s="27" t="s">
        <v>3</v>
      </c>
      <c r="AQ1" s="28" t="s">
        <v>226</v>
      </c>
      <c r="AR1" s="28" t="s">
        <v>227</v>
      </c>
      <c r="AS1" s="28" t="s">
        <v>228</v>
      </c>
      <c r="AT1" s="28" t="s">
        <v>229</v>
      </c>
      <c r="AU1" s="29" t="s">
        <v>230</v>
      </c>
      <c r="AV1" s="29" t="s">
        <v>5</v>
      </c>
      <c r="AW1" s="29" t="s">
        <v>991</v>
      </c>
      <c r="AX1" s="29" t="s">
        <v>6</v>
      </c>
      <c r="AY1" t="s">
        <v>1540</v>
      </c>
    </row>
    <row r="2" spans="1:51" x14ac:dyDescent="0.4">
      <c r="A2" t="s">
        <v>1033</v>
      </c>
      <c r="B2" t="s">
        <v>993</v>
      </c>
      <c r="C2">
        <v>1</v>
      </c>
      <c r="D2">
        <v>5</v>
      </c>
      <c r="E2" t="s">
        <v>1001</v>
      </c>
      <c r="AY2" t="s">
        <v>1735</v>
      </c>
    </row>
    <row r="3" spans="1:51" outlineLevel="1" x14ac:dyDescent="0.4">
      <c r="A3" t="s">
        <v>1034</v>
      </c>
      <c r="B3" t="s">
        <v>993</v>
      </c>
      <c r="C3">
        <v>1</v>
      </c>
      <c r="D3">
        <v>5</v>
      </c>
      <c r="E3" t="s">
        <v>1002</v>
      </c>
      <c r="AY3" t="s">
        <v>1736</v>
      </c>
    </row>
    <row r="4" spans="1:51" outlineLevel="1" x14ac:dyDescent="0.4">
      <c r="A4" t="s">
        <v>1035</v>
      </c>
      <c r="B4" t="s">
        <v>993</v>
      </c>
      <c r="C4">
        <v>1</v>
      </c>
      <c r="D4">
        <v>5</v>
      </c>
      <c r="E4" t="s">
        <v>1003</v>
      </c>
      <c r="AY4" t="s">
        <v>1737</v>
      </c>
    </row>
    <row r="5" spans="1:51" outlineLevel="1" x14ac:dyDescent="0.4">
      <c r="A5" t="s">
        <v>1036</v>
      </c>
      <c r="B5" t="s">
        <v>993</v>
      </c>
      <c r="C5">
        <v>2</v>
      </c>
      <c r="D5">
        <v>15</v>
      </c>
      <c r="E5" t="s">
        <v>1022</v>
      </c>
      <c r="AY5" t="s">
        <v>1738</v>
      </c>
    </row>
    <row r="6" spans="1:51" outlineLevel="1" x14ac:dyDescent="0.4">
      <c r="A6" t="s">
        <v>1037</v>
      </c>
      <c r="B6" t="s">
        <v>993</v>
      </c>
      <c r="C6">
        <v>2</v>
      </c>
      <c r="D6">
        <v>15</v>
      </c>
      <c r="E6" t="s">
        <v>1023</v>
      </c>
      <c r="AY6" t="s">
        <v>1739</v>
      </c>
    </row>
    <row r="7" spans="1:51" outlineLevel="1" x14ac:dyDescent="0.4">
      <c r="A7" t="s">
        <v>1038</v>
      </c>
      <c r="B7" t="s">
        <v>993</v>
      </c>
      <c r="C7">
        <v>2</v>
      </c>
      <c r="D7">
        <v>15</v>
      </c>
      <c r="E7" t="s">
        <v>1026</v>
      </c>
      <c r="AY7" t="s">
        <v>1740</v>
      </c>
    </row>
    <row r="8" spans="1:51" outlineLevel="1" x14ac:dyDescent="0.4">
      <c r="A8" t="s">
        <v>1039</v>
      </c>
      <c r="B8" t="s">
        <v>993</v>
      </c>
      <c r="C8">
        <v>3</v>
      </c>
      <c r="D8">
        <v>25</v>
      </c>
      <c r="E8" t="s">
        <v>1024</v>
      </c>
      <c r="AY8" t="s">
        <v>1741</v>
      </c>
    </row>
    <row r="9" spans="1:51" outlineLevel="1" x14ac:dyDescent="0.4">
      <c r="A9" t="s">
        <v>1027</v>
      </c>
      <c r="B9" t="s">
        <v>993</v>
      </c>
      <c r="C9">
        <v>3</v>
      </c>
      <c r="D9">
        <v>25</v>
      </c>
      <c r="E9" t="s">
        <v>1029</v>
      </c>
      <c r="AY9" t="s">
        <v>1742</v>
      </c>
    </row>
    <row r="10" spans="1:51" outlineLevel="1" x14ac:dyDescent="0.4">
      <c r="A10" t="s">
        <v>1030</v>
      </c>
      <c r="B10" t="s">
        <v>993</v>
      </c>
      <c r="C10">
        <v>3</v>
      </c>
      <c r="D10">
        <v>25</v>
      </c>
      <c r="E10" t="s">
        <v>1030</v>
      </c>
      <c r="AY10" t="s">
        <v>1743</v>
      </c>
    </row>
    <row r="11" spans="1:51" outlineLevel="1" x14ac:dyDescent="0.4">
      <c r="A11" t="s">
        <v>1040</v>
      </c>
      <c r="B11" t="s">
        <v>993</v>
      </c>
      <c r="C11">
        <v>4</v>
      </c>
      <c r="D11">
        <v>35</v>
      </c>
      <c r="E11" t="s">
        <v>1031</v>
      </c>
      <c r="AY11" t="s">
        <v>1744</v>
      </c>
    </row>
    <row r="12" spans="1:51" outlineLevel="1" x14ac:dyDescent="0.4">
      <c r="A12" t="s">
        <v>1032</v>
      </c>
      <c r="B12" t="s">
        <v>993</v>
      </c>
      <c r="C12">
        <v>4</v>
      </c>
      <c r="D12">
        <v>35</v>
      </c>
      <c r="E12" t="s">
        <v>1025</v>
      </c>
      <c r="AY12" t="s">
        <v>1745</v>
      </c>
    </row>
    <row r="13" spans="1:51" outlineLevel="1" x14ac:dyDescent="0.4">
      <c r="A13" t="s">
        <v>1041</v>
      </c>
      <c r="B13" t="s">
        <v>993</v>
      </c>
      <c r="C13">
        <v>4</v>
      </c>
      <c r="D13">
        <v>35</v>
      </c>
      <c r="E13" t="s">
        <v>1028</v>
      </c>
      <c r="AY13" t="s">
        <v>1746</v>
      </c>
    </row>
    <row r="14" spans="1:51" outlineLevel="1" x14ac:dyDescent="0.4">
      <c r="B14" t="s">
        <v>994</v>
      </c>
      <c r="C14">
        <f t="shared" ref="C14:C21" si="0">C11+1</f>
        <v>5</v>
      </c>
    </row>
    <row r="15" spans="1:51" outlineLevel="1" x14ac:dyDescent="0.4">
      <c r="B15" t="s">
        <v>994</v>
      </c>
      <c r="C15">
        <f t="shared" si="0"/>
        <v>5</v>
      </c>
    </row>
    <row r="16" spans="1:51" outlineLevel="1" x14ac:dyDescent="0.4">
      <c r="B16" t="s">
        <v>994</v>
      </c>
      <c r="C16">
        <f t="shared" si="0"/>
        <v>5</v>
      </c>
    </row>
    <row r="17" spans="1:51" outlineLevel="1" x14ac:dyDescent="0.4">
      <c r="B17" t="s">
        <v>994</v>
      </c>
      <c r="C17">
        <f t="shared" si="0"/>
        <v>6</v>
      </c>
    </row>
    <row r="18" spans="1:51" outlineLevel="1" x14ac:dyDescent="0.4">
      <c r="B18" t="s">
        <v>994</v>
      </c>
      <c r="C18">
        <f t="shared" si="0"/>
        <v>6</v>
      </c>
    </row>
    <row r="19" spans="1:51" outlineLevel="1" x14ac:dyDescent="0.4">
      <c r="B19" t="s">
        <v>994</v>
      </c>
      <c r="C19">
        <f t="shared" si="0"/>
        <v>6</v>
      </c>
    </row>
    <row r="20" spans="1:51" outlineLevel="1" x14ac:dyDescent="0.4">
      <c r="B20" t="s">
        <v>994</v>
      </c>
      <c r="C20">
        <f t="shared" si="0"/>
        <v>7</v>
      </c>
    </row>
    <row r="21" spans="1:51" outlineLevel="1" x14ac:dyDescent="0.4">
      <c r="B21" t="s">
        <v>994</v>
      </c>
      <c r="C21">
        <f t="shared" si="0"/>
        <v>7</v>
      </c>
    </row>
    <row r="22" spans="1:51" outlineLevel="1" x14ac:dyDescent="0.4">
      <c r="A22" t="s">
        <v>512</v>
      </c>
      <c r="B22" t="s">
        <v>1000</v>
      </c>
      <c r="C22" t="s">
        <v>10</v>
      </c>
      <c r="E22" t="s">
        <v>655</v>
      </c>
    </row>
    <row r="23" spans="1:51" x14ac:dyDescent="0.4">
      <c r="A23" t="s">
        <v>1094</v>
      </c>
      <c r="B23" t="s">
        <v>103</v>
      </c>
      <c r="C23">
        <v>1</v>
      </c>
      <c r="D23">
        <v>5</v>
      </c>
      <c r="E23" t="s">
        <v>1051</v>
      </c>
      <c r="AY23" t="s">
        <v>1747</v>
      </c>
    </row>
    <row r="24" spans="1:51" outlineLevel="1" x14ac:dyDescent="0.4">
      <c r="A24" t="s">
        <v>1095</v>
      </c>
      <c r="B24" t="s">
        <v>103</v>
      </c>
      <c r="C24">
        <v>1</v>
      </c>
      <c r="D24">
        <v>5</v>
      </c>
      <c r="E24" t="s">
        <v>1042</v>
      </c>
      <c r="AY24" t="s">
        <v>1748</v>
      </c>
    </row>
    <row r="25" spans="1:51" outlineLevel="1" x14ac:dyDescent="0.4">
      <c r="A25" t="s">
        <v>1096</v>
      </c>
      <c r="B25" t="s">
        <v>103</v>
      </c>
      <c r="C25">
        <v>1</v>
      </c>
      <c r="D25">
        <v>5</v>
      </c>
      <c r="E25" t="s">
        <v>1004</v>
      </c>
      <c r="AY25" t="s">
        <v>1749</v>
      </c>
    </row>
    <row r="26" spans="1:51" outlineLevel="1" x14ac:dyDescent="0.4">
      <c r="A26" t="s">
        <v>1097</v>
      </c>
      <c r="B26" t="s">
        <v>103</v>
      </c>
      <c r="C26">
        <v>2</v>
      </c>
      <c r="D26">
        <v>15</v>
      </c>
      <c r="E26" t="s">
        <v>1045</v>
      </c>
      <c r="AY26" t="s">
        <v>1750</v>
      </c>
    </row>
    <row r="27" spans="1:51" outlineLevel="1" x14ac:dyDescent="0.4">
      <c r="A27" t="s">
        <v>1098</v>
      </c>
      <c r="B27" t="s">
        <v>103</v>
      </c>
      <c r="C27">
        <v>2</v>
      </c>
      <c r="D27">
        <v>15</v>
      </c>
      <c r="E27" t="s">
        <v>1046</v>
      </c>
      <c r="AY27" t="s">
        <v>1751</v>
      </c>
    </row>
    <row r="28" spans="1:51" outlineLevel="1" x14ac:dyDescent="0.4">
      <c r="A28" t="s">
        <v>1099</v>
      </c>
      <c r="B28" t="s">
        <v>103</v>
      </c>
      <c r="C28">
        <v>2</v>
      </c>
      <c r="D28">
        <v>15</v>
      </c>
      <c r="E28" t="s">
        <v>1047</v>
      </c>
      <c r="AY28" t="s">
        <v>1752</v>
      </c>
    </row>
    <row r="29" spans="1:51" outlineLevel="1" x14ac:dyDescent="0.4">
      <c r="A29" t="s">
        <v>1100</v>
      </c>
      <c r="B29" t="s">
        <v>103</v>
      </c>
      <c r="C29">
        <v>3</v>
      </c>
      <c r="D29">
        <v>25</v>
      </c>
      <c r="E29" t="s">
        <v>1101</v>
      </c>
      <c r="AY29" t="s">
        <v>1753</v>
      </c>
    </row>
    <row r="30" spans="1:51" outlineLevel="1" x14ac:dyDescent="0.4">
      <c r="A30" t="s">
        <v>1102</v>
      </c>
      <c r="B30" t="s">
        <v>103</v>
      </c>
      <c r="C30">
        <v>3</v>
      </c>
      <c r="D30">
        <v>25</v>
      </c>
      <c r="E30" t="s">
        <v>1008</v>
      </c>
      <c r="AY30" t="s">
        <v>1754</v>
      </c>
    </row>
    <row r="31" spans="1:51" outlineLevel="1" x14ac:dyDescent="0.4">
      <c r="A31" t="s">
        <v>1043</v>
      </c>
      <c r="B31" t="s">
        <v>103</v>
      </c>
      <c r="C31">
        <v>3</v>
      </c>
      <c r="D31">
        <v>25</v>
      </c>
      <c r="E31" t="s">
        <v>1049</v>
      </c>
      <c r="AY31" t="s">
        <v>1755</v>
      </c>
    </row>
    <row r="32" spans="1:51" outlineLevel="1" x14ac:dyDescent="0.4">
      <c r="A32" t="s">
        <v>1103</v>
      </c>
      <c r="B32" t="s">
        <v>103</v>
      </c>
      <c r="C32">
        <v>4</v>
      </c>
      <c r="D32">
        <v>35</v>
      </c>
      <c r="E32" t="s">
        <v>1104</v>
      </c>
      <c r="AY32" t="s">
        <v>1756</v>
      </c>
    </row>
    <row r="33" spans="1:51" outlineLevel="1" x14ac:dyDescent="0.4">
      <c r="A33" t="s">
        <v>1105</v>
      </c>
      <c r="B33" t="s">
        <v>103</v>
      </c>
      <c r="C33">
        <v>4</v>
      </c>
      <c r="D33">
        <v>35</v>
      </c>
      <c r="E33" t="s">
        <v>1058</v>
      </c>
      <c r="AY33" t="s">
        <v>1757</v>
      </c>
    </row>
    <row r="34" spans="1:51" outlineLevel="1" x14ac:dyDescent="0.4">
      <c r="A34" t="s">
        <v>1048</v>
      </c>
      <c r="B34" t="s">
        <v>103</v>
      </c>
      <c r="C34">
        <v>4</v>
      </c>
      <c r="D34">
        <v>35</v>
      </c>
      <c r="E34" t="s">
        <v>1050</v>
      </c>
      <c r="AY34" t="s">
        <v>1758</v>
      </c>
    </row>
    <row r="35" spans="1:51" outlineLevel="1" x14ac:dyDescent="0.4">
      <c r="B35" t="s">
        <v>995</v>
      </c>
      <c r="C35">
        <f t="shared" ref="C35:C42" si="1">C32+1</f>
        <v>5</v>
      </c>
    </row>
    <row r="36" spans="1:51" outlineLevel="1" x14ac:dyDescent="0.4">
      <c r="B36" t="s">
        <v>995</v>
      </c>
      <c r="C36">
        <f t="shared" si="1"/>
        <v>5</v>
      </c>
    </row>
    <row r="37" spans="1:51" outlineLevel="1" x14ac:dyDescent="0.4">
      <c r="B37" t="s">
        <v>995</v>
      </c>
      <c r="C37">
        <f t="shared" si="1"/>
        <v>5</v>
      </c>
    </row>
    <row r="38" spans="1:51" outlineLevel="1" x14ac:dyDescent="0.4">
      <c r="B38" t="s">
        <v>995</v>
      </c>
      <c r="C38">
        <f t="shared" si="1"/>
        <v>6</v>
      </c>
    </row>
    <row r="39" spans="1:51" outlineLevel="1" x14ac:dyDescent="0.4">
      <c r="B39" t="s">
        <v>995</v>
      </c>
      <c r="C39">
        <f t="shared" si="1"/>
        <v>6</v>
      </c>
    </row>
    <row r="40" spans="1:51" outlineLevel="1" x14ac:dyDescent="0.4">
      <c r="B40" t="s">
        <v>995</v>
      </c>
      <c r="C40">
        <f t="shared" si="1"/>
        <v>6</v>
      </c>
    </row>
    <row r="41" spans="1:51" outlineLevel="1" x14ac:dyDescent="0.4">
      <c r="B41" t="s">
        <v>995</v>
      </c>
      <c r="C41">
        <f t="shared" si="1"/>
        <v>7</v>
      </c>
    </row>
    <row r="42" spans="1:51" outlineLevel="1" x14ac:dyDescent="0.4">
      <c r="B42" t="s">
        <v>995</v>
      </c>
      <c r="C42">
        <f t="shared" si="1"/>
        <v>7</v>
      </c>
    </row>
    <row r="43" spans="1:51" outlineLevel="1" x14ac:dyDescent="0.4">
      <c r="A43" t="s">
        <v>512</v>
      </c>
      <c r="B43" t="s">
        <v>1000</v>
      </c>
      <c r="C43" t="s">
        <v>10</v>
      </c>
      <c r="E43" t="s">
        <v>655</v>
      </c>
    </row>
    <row r="44" spans="1:51" x14ac:dyDescent="0.4">
      <c r="A44" t="s">
        <v>1106</v>
      </c>
      <c r="B44" t="s">
        <v>6</v>
      </c>
      <c r="C44">
        <v>1</v>
      </c>
      <c r="D44">
        <v>5</v>
      </c>
      <c r="E44" t="s">
        <v>1009</v>
      </c>
      <c r="AY44" t="s">
        <v>1759</v>
      </c>
    </row>
    <row r="45" spans="1:51" outlineLevel="1" x14ac:dyDescent="0.4">
      <c r="A45" t="s">
        <v>1107</v>
      </c>
      <c r="B45" t="s">
        <v>6</v>
      </c>
      <c r="C45">
        <v>1</v>
      </c>
      <c r="D45">
        <v>5</v>
      </c>
      <c r="E45" t="s">
        <v>1055</v>
      </c>
      <c r="AY45" t="s">
        <v>1760</v>
      </c>
    </row>
    <row r="46" spans="1:51" outlineLevel="1" x14ac:dyDescent="0.4">
      <c r="A46" t="s">
        <v>1108</v>
      </c>
      <c r="B46" t="s">
        <v>6</v>
      </c>
      <c r="C46">
        <v>1</v>
      </c>
      <c r="D46">
        <v>5</v>
      </c>
      <c r="E46" t="s">
        <v>1005</v>
      </c>
      <c r="AY46" t="s">
        <v>1761</v>
      </c>
    </row>
    <row r="47" spans="1:51" outlineLevel="1" x14ac:dyDescent="0.4">
      <c r="A47" t="s">
        <v>1109</v>
      </c>
      <c r="B47" t="s">
        <v>6</v>
      </c>
      <c r="C47">
        <v>2</v>
      </c>
      <c r="D47">
        <v>15</v>
      </c>
      <c r="E47" t="s">
        <v>1052</v>
      </c>
      <c r="AY47" t="s">
        <v>1762</v>
      </c>
    </row>
    <row r="48" spans="1:51" outlineLevel="1" x14ac:dyDescent="0.4">
      <c r="A48" t="s">
        <v>1110</v>
      </c>
      <c r="B48" t="s">
        <v>6</v>
      </c>
      <c r="C48">
        <v>2</v>
      </c>
      <c r="D48">
        <v>15</v>
      </c>
      <c r="E48" t="s">
        <v>1056</v>
      </c>
      <c r="AY48" t="s">
        <v>1763</v>
      </c>
    </row>
    <row r="49" spans="1:51" outlineLevel="1" x14ac:dyDescent="0.4">
      <c r="A49" t="s">
        <v>1111</v>
      </c>
      <c r="B49" t="s">
        <v>6</v>
      </c>
      <c r="C49">
        <v>2</v>
      </c>
      <c r="D49">
        <v>15</v>
      </c>
      <c r="E49" t="s">
        <v>1047</v>
      </c>
      <c r="AY49" t="s">
        <v>1764</v>
      </c>
    </row>
    <row r="50" spans="1:51" outlineLevel="1" x14ac:dyDescent="0.4">
      <c r="A50" t="s">
        <v>1112</v>
      </c>
      <c r="B50" t="s">
        <v>6</v>
      </c>
      <c r="C50">
        <v>3</v>
      </c>
      <c r="D50">
        <v>25</v>
      </c>
      <c r="E50" t="s">
        <v>1101</v>
      </c>
      <c r="AY50" t="s">
        <v>1765</v>
      </c>
    </row>
    <row r="51" spans="1:51" outlineLevel="1" x14ac:dyDescent="0.4">
      <c r="A51" t="s">
        <v>1113</v>
      </c>
      <c r="B51" t="s">
        <v>6</v>
      </c>
      <c r="C51">
        <v>3</v>
      </c>
      <c r="D51">
        <v>25</v>
      </c>
      <c r="E51" t="s">
        <v>1057</v>
      </c>
      <c r="AY51" t="s">
        <v>1766</v>
      </c>
    </row>
    <row r="52" spans="1:51" outlineLevel="1" x14ac:dyDescent="0.4">
      <c r="A52" t="s">
        <v>1044</v>
      </c>
      <c r="B52" t="s">
        <v>6</v>
      </c>
      <c r="C52">
        <v>3</v>
      </c>
      <c r="D52">
        <v>25</v>
      </c>
      <c r="E52" t="s">
        <v>1053</v>
      </c>
      <c r="AY52" t="s">
        <v>1767</v>
      </c>
    </row>
    <row r="53" spans="1:51" outlineLevel="1" x14ac:dyDescent="0.4">
      <c r="A53" t="s">
        <v>1114</v>
      </c>
      <c r="B53" t="s">
        <v>6</v>
      </c>
      <c r="C53">
        <v>4</v>
      </c>
      <c r="D53">
        <v>35</v>
      </c>
      <c r="E53" t="s">
        <v>1058</v>
      </c>
      <c r="AY53" t="s">
        <v>1768</v>
      </c>
    </row>
    <row r="54" spans="1:51" outlineLevel="1" x14ac:dyDescent="0.4">
      <c r="A54" t="s">
        <v>1115</v>
      </c>
      <c r="B54" t="s">
        <v>6</v>
      </c>
      <c r="C54">
        <v>4</v>
      </c>
      <c r="D54">
        <v>35</v>
      </c>
      <c r="E54" t="s">
        <v>1116</v>
      </c>
      <c r="AY54" t="s">
        <v>1769</v>
      </c>
    </row>
    <row r="55" spans="1:51" outlineLevel="1" x14ac:dyDescent="0.4">
      <c r="A55" t="s">
        <v>1117</v>
      </c>
      <c r="B55" t="s">
        <v>6</v>
      </c>
      <c r="C55">
        <v>4</v>
      </c>
      <c r="D55">
        <v>35</v>
      </c>
      <c r="E55" t="s">
        <v>1054</v>
      </c>
      <c r="AY55" t="s">
        <v>1770</v>
      </c>
    </row>
    <row r="56" spans="1:51" outlineLevel="1" x14ac:dyDescent="0.4">
      <c r="B56" t="s">
        <v>996</v>
      </c>
      <c r="C56">
        <f t="shared" ref="C56:C64" si="2">C53+1</f>
        <v>5</v>
      </c>
    </row>
    <row r="57" spans="1:51" outlineLevel="1" x14ac:dyDescent="0.4">
      <c r="B57" t="s">
        <v>996</v>
      </c>
      <c r="C57">
        <f t="shared" si="2"/>
        <v>5</v>
      </c>
    </row>
    <row r="58" spans="1:51" outlineLevel="1" x14ac:dyDescent="0.4">
      <c r="B58" t="s">
        <v>996</v>
      </c>
      <c r="C58">
        <f t="shared" si="2"/>
        <v>5</v>
      </c>
    </row>
    <row r="59" spans="1:51" outlineLevel="1" x14ac:dyDescent="0.4">
      <c r="B59" t="s">
        <v>996</v>
      </c>
      <c r="C59">
        <f t="shared" si="2"/>
        <v>6</v>
      </c>
    </row>
    <row r="60" spans="1:51" outlineLevel="1" x14ac:dyDescent="0.4">
      <c r="B60" t="s">
        <v>996</v>
      </c>
      <c r="C60">
        <f t="shared" si="2"/>
        <v>6</v>
      </c>
    </row>
    <row r="61" spans="1:51" outlineLevel="1" x14ac:dyDescent="0.4">
      <c r="B61" t="s">
        <v>996</v>
      </c>
      <c r="C61">
        <f t="shared" si="2"/>
        <v>6</v>
      </c>
    </row>
    <row r="62" spans="1:51" outlineLevel="1" x14ac:dyDescent="0.4">
      <c r="B62" t="s">
        <v>996</v>
      </c>
      <c r="C62">
        <f t="shared" si="2"/>
        <v>7</v>
      </c>
    </row>
    <row r="63" spans="1:51" outlineLevel="1" x14ac:dyDescent="0.4">
      <c r="B63" t="s">
        <v>996</v>
      </c>
      <c r="C63">
        <f t="shared" si="2"/>
        <v>7</v>
      </c>
    </row>
    <row r="64" spans="1:51" outlineLevel="1" x14ac:dyDescent="0.4">
      <c r="B64" t="s">
        <v>996</v>
      </c>
      <c r="C64">
        <f t="shared" si="2"/>
        <v>7</v>
      </c>
    </row>
    <row r="65" spans="1:51" x14ac:dyDescent="0.4">
      <c r="A65" t="s">
        <v>1082</v>
      </c>
      <c r="B65" t="s">
        <v>656</v>
      </c>
      <c r="C65">
        <v>1</v>
      </c>
      <c r="D65">
        <v>5</v>
      </c>
      <c r="E65" t="s">
        <v>1010</v>
      </c>
      <c r="AY65" t="s">
        <v>1771</v>
      </c>
    </row>
    <row r="66" spans="1:51" outlineLevel="1" x14ac:dyDescent="0.4">
      <c r="A66" t="s">
        <v>1083</v>
      </c>
      <c r="B66" t="s">
        <v>656</v>
      </c>
      <c r="C66">
        <v>1</v>
      </c>
      <c r="D66">
        <v>5</v>
      </c>
      <c r="E66" t="s">
        <v>1016</v>
      </c>
      <c r="AY66" t="s">
        <v>1772</v>
      </c>
    </row>
    <row r="67" spans="1:51" outlineLevel="1" x14ac:dyDescent="0.4">
      <c r="A67" t="s">
        <v>1084</v>
      </c>
      <c r="B67" t="s">
        <v>656</v>
      </c>
      <c r="C67">
        <v>1</v>
      </c>
      <c r="D67">
        <v>5</v>
      </c>
      <c r="E67" t="s">
        <v>1006</v>
      </c>
      <c r="AY67" t="s">
        <v>1773</v>
      </c>
    </row>
    <row r="68" spans="1:51" outlineLevel="1" x14ac:dyDescent="0.4">
      <c r="A68" t="s">
        <v>1085</v>
      </c>
      <c r="B68" t="s">
        <v>656</v>
      </c>
      <c r="C68">
        <v>2</v>
      </c>
      <c r="D68">
        <v>15</v>
      </c>
      <c r="E68" t="s">
        <v>1012</v>
      </c>
      <c r="AY68" t="s">
        <v>1774</v>
      </c>
    </row>
    <row r="69" spans="1:51" outlineLevel="1" x14ac:dyDescent="0.4">
      <c r="A69" t="s">
        <v>1086</v>
      </c>
      <c r="B69" t="s">
        <v>656</v>
      </c>
      <c r="C69">
        <v>2</v>
      </c>
      <c r="D69">
        <v>15</v>
      </c>
      <c r="E69" t="s">
        <v>1013</v>
      </c>
      <c r="AY69" t="s">
        <v>1775</v>
      </c>
    </row>
    <row r="70" spans="1:51" outlineLevel="1" x14ac:dyDescent="0.4">
      <c r="A70" t="s">
        <v>1087</v>
      </c>
      <c r="B70" t="s">
        <v>656</v>
      </c>
      <c r="C70">
        <v>2</v>
      </c>
      <c r="D70">
        <v>15</v>
      </c>
      <c r="E70" t="s">
        <v>1017</v>
      </c>
      <c r="AY70" t="s">
        <v>1776</v>
      </c>
    </row>
    <row r="71" spans="1:51" outlineLevel="1" x14ac:dyDescent="0.4">
      <c r="A71" t="s">
        <v>1088</v>
      </c>
      <c r="B71" t="s">
        <v>656</v>
      </c>
      <c r="C71">
        <v>3</v>
      </c>
      <c r="D71">
        <v>25</v>
      </c>
      <c r="E71" t="s">
        <v>1016</v>
      </c>
      <c r="AY71" t="s">
        <v>1777</v>
      </c>
    </row>
    <row r="72" spans="1:51" outlineLevel="1" x14ac:dyDescent="0.4">
      <c r="A72" t="s">
        <v>1089</v>
      </c>
      <c r="B72" t="s">
        <v>656</v>
      </c>
      <c r="C72">
        <v>3</v>
      </c>
      <c r="D72">
        <v>25</v>
      </c>
      <c r="E72" t="s">
        <v>1019</v>
      </c>
      <c r="AY72" t="s">
        <v>1778</v>
      </c>
    </row>
    <row r="73" spans="1:51" outlineLevel="1" x14ac:dyDescent="0.4">
      <c r="A73" t="s">
        <v>1090</v>
      </c>
      <c r="B73" t="s">
        <v>656</v>
      </c>
      <c r="C73">
        <v>3</v>
      </c>
      <c r="D73">
        <v>25</v>
      </c>
      <c r="E73" t="s">
        <v>1014</v>
      </c>
      <c r="AY73" t="s">
        <v>1779</v>
      </c>
    </row>
    <row r="74" spans="1:51" outlineLevel="1" x14ac:dyDescent="0.4">
      <c r="A74" t="s">
        <v>1091</v>
      </c>
      <c r="B74" t="s">
        <v>656</v>
      </c>
      <c r="C74">
        <v>4</v>
      </c>
      <c r="D74">
        <v>35</v>
      </c>
      <c r="E74" t="s">
        <v>1018</v>
      </c>
      <c r="AY74" t="s">
        <v>1780</v>
      </c>
    </row>
    <row r="75" spans="1:51" outlineLevel="1" x14ac:dyDescent="0.4">
      <c r="A75" t="s">
        <v>1092</v>
      </c>
      <c r="B75" t="s">
        <v>656</v>
      </c>
      <c r="C75">
        <v>4</v>
      </c>
      <c r="D75">
        <v>35</v>
      </c>
      <c r="E75" t="s">
        <v>1021</v>
      </c>
      <c r="AY75" t="s">
        <v>1781</v>
      </c>
    </row>
    <row r="76" spans="1:51" outlineLevel="1" x14ac:dyDescent="0.4">
      <c r="A76" t="s">
        <v>1093</v>
      </c>
      <c r="B76" t="s">
        <v>656</v>
      </c>
      <c r="C76">
        <v>4</v>
      </c>
      <c r="D76">
        <v>35</v>
      </c>
      <c r="E76" t="s">
        <v>1020</v>
      </c>
      <c r="AY76" t="s">
        <v>1782</v>
      </c>
    </row>
    <row r="77" spans="1:51" outlineLevel="1" x14ac:dyDescent="0.4">
      <c r="B77" t="s">
        <v>997</v>
      </c>
      <c r="C77">
        <f t="shared" ref="C77:C85" si="3">C74+1</f>
        <v>5</v>
      </c>
    </row>
    <row r="78" spans="1:51" outlineLevel="1" x14ac:dyDescent="0.4">
      <c r="B78" t="s">
        <v>997</v>
      </c>
      <c r="C78">
        <f t="shared" si="3"/>
        <v>5</v>
      </c>
    </row>
    <row r="79" spans="1:51" outlineLevel="1" x14ac:dyDescent="0.4">
      <c r="B79" t="s">
        <v>997</v>
      </c>
      <c r="C79">
        <f t="shared" si="3"/>
        <v>5</v>
      </c>
    </row>
    <row r="80" spans="1:51" outlineLevel="1" x14ac:dyDescent="0.4">
      <c r="B80" t="s">
        <v>997</v>
      </c>
      <c r="C80">
        <f t="shared" si="3"/>
        <v>6</v>
      </c>
    </row>
    <row r="81" spans="1:51" outlineLevel="1" x14ac:dyDescent="0.4">
      <c r="B81" t="s">
        <v>997</v>
      </c>
      <c r="C81">
        <f t="shared" si="3"/>
        <v>6</v>
      </c>
    </row>
    <row r="82" spans="1:51" outlineLevel="1" x14ac:dyDescent="0.4">
      <c r="B82" t="s">
        <v>997</v>
      </c>
      <c r="C82">
        <f t="shared" si="3"/>
        <v>6</v>
      </c>
    </row>
    <row r="83" spans="1:51" outlineLevel="1" x14ac:dyDescent="0.4">
      <c r="B83" t="s">
        <v>997</v>
      </c>
      <c r="C83">
        <f t="shared" si="3"/>
        <v>7</v>
      </c>
    </row>
    <row r="84" spans="1:51" outlineLevel="1" x14ac:dyDescent="0.4">
      <c r="B84" t="s">
        <v>997</v>
      </c>
      <c r="C84">
        <f t="shared" si="3"/>
        <v>7</v>
      </c>
    </row>
    <row r="85" spans="1:51" outlineLevel="1" x14ac:dyDescent="0.4">
      <c r="B85" t="s">
        <v>997</v>
      </c>
      <c r="C85">
        <f t="shared" si="3"/>
        <v>7</v>
      </c>
    </row>
    <row r="86" spans="1:51" outlineLevel="1" x14ac:dyDescent="0.4">
      <c r="A86" t="s">
        <v>1065</v>
      </c>
      <c r="B86" t="s">
        <v>998</v>
      </c>
      <c r="C86">
        <v>1</v>
      </c>
      <c r="D86">
        <v>5</v>
      </c>
      <c r="E86" t="s">
        <v>1011</v>
      </c>
      <c r="AY86" t="s">
        <v>1783</v>
      </c>
    </row>
    <row r="87" spans="1:51" x14ac:dyDescent="0.4">
      <c r="A87" t="s">
        <v>1066</v>
      </c>
      <c r="B87" t="s">
        <v>998</v>
      </c>
      <c r="C87">
        <v>1</v>
      </c>
      <c r="D87">
        <v>5</v>
      </c>
      <c r="E87" t="s">
        <v>1059</v>
      </c>
      <c r="AY87" t="s">
        <v>1784</v>
      </c>
    </row>
    <row r="88" spans="1:51" outlineLevel="1" x14ac:dyDescent="0.4">
      <c r="A88" t="s">
        <v>1067</v>
      </c>
      <c r="B88" t="s">
        <v>998</v>
      </c>
      <c r="C88">
        <v>1</v>
      </c>
      <c r="D88">
        <v>5</v>
      </c>
      <c r="E88" t="s">
        <v>1007</v>
      </c>
      <c r="AY88" t="s">
        <v>1785</v>
      </c>
    </row>
    <row r="89" spans="1:51" outlineLevel="1" x14ac:dyDescent="0.4">
      <c r="A89" t="s">
        <v>1068</v>
      </c>
      <c r="B89" t="s">
        <v>998</v>
      </c>
      <c r="C89">
        <v>2</v>
      </c>
      <c r="D89">
        <v>15</v>
      </c>
      <c r="E89" t="s">
        <v>1069</v>
      </c>
      <c r="AY89" t="s">
        <v>1786</v>
      </c>
    </row>
    <row r="90" spans="1:51" outlineLevel="1" x14ac:dyDescent="0.4">
      <c r="A90" t="s">
        <v>1070</v>
      </c>
      <c r="B90" t="s">
        <v>998</v>
      </c>
      <c r="C90">
        <v>2</v>
      </c>
      <c r="D90">
        <v>15</v>
      </c>
      <c r="E90" t="s">
        <v>1061</v>
      </c>
      <c r="AY90" t="s">
        <v>1787</v>
      </c>
    </row>
    <row r="91" spans="1:51" outlineLevel="1" x14ac:dyDescent="0.4">
      <c r="A91" t="s">
        <v>1071</v>
      </c>
      <c r="B91" t="s">
        <v>998</v>
      </c>
      <c r="C91">
        <v>2</v>
      </c>
      <c r="D91">
        <v>15</v>
      </c>
      <c r="E91" t="s">
        <v>1072</v>
      </c>
      <c r="AY91" t="s">
        <v>1788</v>
      </c>
    </row>
    <row r="92" spans="1:51" outlineLevel="1" x14ac:dyDescent="0.4">
      <c r="A92" t="s">
        <v>1060</v>
      </c>
      <c r="B92" t="s">
        <v>998</v>
      </c>
      <c r="C92">
        <v>3</v>
      </c>
      <c r="D92">
        <v>25</v>
      </c>
      <c r="E92" t="s">
        <v>1073</v>
      </c>
      <c r="AY92" t="s">
        <v>1789</v>
      </c>
    </row>
    <row r="93" spans="1:51" outlineLevel="1" x14ac:dyDescent="0.4">
      <c r="A93" t="s">
        <v>1062</v>
      </c>
      <c r="B93" t="s">
        <v>998</v>
      </c>
      <c r="C93">
        <v>3</v>
      </c>
      <c r="D93">
        <v>25</v>
      </c>
      <c r="E93" t="s">
        <v>1063</v>
      </c>
      <c r="AY93" t="s">
        <v>1790</v>
      </c>
    </row>
    <row r="94" spans="1:51" outlineLevel="1" x14ac:dyDescent="0.4">
      <c r="A94" t="s">
        <v>1074</v>
      </c>
      <c r="B94" t="s">
        <v>998</v>
      </c>
      <c r="C94">
        <v>3</v>
      </c>
      <c r="D94">
        <v>25</v>
      </c>
      <c r="E94" t="s">
        <v>1075</v>
      </c>
      <c r="AY94" t="s">
        <v>1791</v>
      </c>
    </row>
    <row r="95" spans="1:51" outlineLevel="1" x14ac:dyDescent="0.4">
      <c r="A95" t="s">
        <v>1076</v>
      </c>
      <c r="B95" t="s">
        <v>998</v>
      </c>
      <c r="C95">
        <v>4</v>
      </c>
      <c r="D95">
        <v>35</v>
      </c>
      <c r="E95" t="s">
        <v>1077</v>
      </c>
      <c r="AY95" t="s">
        <v>1792</v>
      </c>
    </row>
    <row r="96" spans="1:51" outlineLevel="1" x14ac:dyDescent="0.4">
      <c r="A96" t="s">
        <v>1078</v>
      </c>
      <c r="B96" t="s">
        <v>998</v>
      </c>
      <c r="C96">
        <v>4</v>
      </c>
      <c r="D96">
        <v>35</v>
      </c>
      <c r="E96" t="s">
        <v>1079</v>
      </c>
      <c r="AY96" t="s">
        <v>1793</v>
      </c>
    </row>
    <row r="97" spans="1:51" outlineLevel="1" x14ac:dyDescent="0.4">
      <c r="A97" t="s">
        <v>1080</v>
      </c>
      <c r="B97" t="s">
        <v>998</v>
      </c>
      <c r="C97">
        <v>4</v>
      </c>
      <c r="D97">
        <v>35</v>
      </c>
      <c r="E97" t="s">
        <v>1081</v>
      </c>
      <c r="AY97" t="s">
        <v>1794</v>
      </c>
    </row>
    <row r="98" spans="1:51" outlineLevel="1" x14ac:dyDescent="0.4">
      <c r="B98" t="s">
        <v>999</v>
      </c>
      <c r="C98">
        <f t="shared" ref="C98:C106" si="4">C95+1</f>
        <v>5</v>
      </c>
    </row>
    <row r="99" spans="1:51" outlineLevel="1" x14ac:dyDescent="0.4">
      <c r="B99" t="s">
        <v>999</v>
      </c>
      <c r="C99">
        <f t="shared" si="4"/>
        <v>5</v>
      </c>
    </row>
    <row r="100" spans="1:51" outlineLevel="1" x14ac:dyDescent="0.4">
      <c r="B100" t="s">
        <v>999</v>
      </c>
      <c r="C100">
        <f t="shared" si="4"/>
        <v>5</v>
      </c>
    </row>
    <row r="101" spans="1:51" outlineLevel="1" x14ac:dyDescent="0.4">
      <c r="B101" t="s">
        <v>999</v>
      </c>
      <c r="C101">
        <f t="shared" si="4"/>
        <v>6</v>
      </c>
    </row>
    <row r="102" spans="1:51" outlineLevel="1" x14ac:dyDescent="0.4">
      <c r="B102" t="s">
        <v>999</v>
      </c>
      <c r="C102">
        <f t="shared" si="4"/>
        <v>6</v>
      </c>
    </row>
    <row r="103" spans="1:51" outlineLevel="1" x14ac:dyDescent="0.4">
      <c r="B103" t="s">
        <v>999</v>
      </c>
      <c r="C103">
        <f t="shared" si="4"/>
        <v>6</v>
      </c>
    </row>
    <row r="104" spans="1:51" outlineLevel="1" x14ac:dyDescent="0.4">
      <c r="B104" t="s">
        <v>999</v>
      </c>
      <c r="C104">
        <f t="shared" si="4"/>
        <v>7</v>
      </c>
    </row>
    <row r="105" spans="1:51" outlineLevel="1" x14ac:dyDescent="0.4">
      <c r="B105" t="s">
        <v>999</v>
      </c>
      <c r="C105">
        <f t="shared" si="4"/>
        <v>7</v>
      </c>
    </row>
    <row r="106" spans="1:51" outlineLevel="1" x14ac:dyDescent="0.4">
      <c r="B106" t="s">
        <v>999</v>
      </c>
      <c r="C106">
        <f t="shared" si="4"/>
        <v>7</v>
      </c>
    </row>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702DD-AB9F-47BF-87D3-3BAF583AA970}">
  <sheetPr codeName="Sheet19">
    <tabColor rgb="FFFFEF75"/>
  </sheetPr>
  <dimension ref="A1:CJ113"/>
  <sheetViews>
    <sheetView workbookViewId="0">
      <pane xSplit="11" ySplit="2" topLeftCell="N27" activePane="bottomRight" state="frozen"/>
      <selection pane="topRight" activeCell="H1" sqref="H1"/>
      <selection pane="bottomLeft" activeCell="A3" sqref="A3"/>
      <selection pane="bottomRight" activeCell="AG1" sqref="AG1"/>
    </sheetView>
  </sheetViews>
  <sheetFormatPr defaultRowHeight="18.75" outlineLevelRow="1" outlineLevelCol="1" x14ac:dyDescent="0.4"/>
  <cols>
    <col min="1" max="2" width="11.625" customWidth="1"/>
    <col min="3" max="3" width="6.25" customWidth="1"/>
    <col min="4" max="4" width="7.375" customWidth="1"/>
    <col min="5" max="5" width="3.25" customWidth="1"/>
    <col min="6" max="7" width="3.625" customWidth="1"/>
    <col min="8" max="8" width="3.875" style="17" customWidth="1"/>
    <col min="9" max="9" width="3.625" customWidth="1"/>
    <col min="10" max="11" width="3.875" style="17" customWidth="1"/>
    <col min="12" max="12" width="2.75" customWidth="1"/>
    <col min="13" max="13" width="3" style="17" customWidth="1"/>
    <col min="14" max="14" width="3.125" style="17" customWidth="1" collapsed="1"/>
    <col min="15" max="15" width="3.375" style="17" customWidth="1" collapsed="1"/>
    <col min="16" max="16" width="4.875" style="17" customWidth="1" collapsed="1"/>
    <col min="17" max="23" width="4.875" style="17" hidden="1" customWidth="1" outlineLevel="1"/>
    <col min="24" max="24" width="4.875" hidden="1" customWidth="1" outlineLevel="1"/>
    <col min="25" max="25" width="4.875" customWidth="1" collapsed="1"/>
    <col min="26" max="30" width="4.875" hidden="1" customWidth="1" outlineLevel="1"/>
    <col min="31" max="31" width="5.25" hidden="1" customWidth="1" outlineLevel="1"/>
    <col min="32" max="32" width="7.125" hidden="1" customWidth="1" outlineLevel="1"/>
    <col min="33" max="33" width="4.125" bestFit="1" customWidth="1" collapsed="1"/>
    <col min="34" max="35" width="4.125" hidden="1" customWidth="1" outlineLevel="1"/>
    <col min="36" max="41" width="5.25" hidden="1" customWidth="1" outlineLevel="1"/>
    <col min="42" max="42" width="4.25" hidden="1" customWidth="1" outlineLevel="1"/>
    <col min="43" max="43" width="5.25" bestFit="1" customWidth="1" collapsed="1"/>
    <col min="44" max="57" width="5.25" hidden="1" customWidth="1" outlineLevel="1"/>
    <col min="58" max="58" width="4.875" style="17" customWidth="1" collapsed="1"/>
    <col min="59" max="68" width="4.875" style="17" hidden="1" customWidth="1" outlineLevel="1"/>
    <col min="69" max="75" width="4.875" hidden="1" customWidth="1" outlineLevel="1"/>
    <col min="76" max="76" width="5" hidden="1" customWidth="1" outlineLevel="1"/>
    <col min="77" max="77" width="6.625" hidden="1" customWidth="1" outlineLevel="1"/>
    <col min="78" max="78" width="4.875" customWidth="1" collapsed="1"/>
    <col min="79" max="88" width="4.875" customWidth="1"/>
  </cols>
  <sheetData>
    <row r="1" spans="1:88" s="10" customFormat="1" ht="72" x14ac:dyDescent="0.4">
      <c r="A1" s="10" t="s">
        <v>952</v>
      </c>
      <c r="B1" s="10" t="s">
        <v>9</v>
      </c>
      <c r="C1" s="3" t="s">
        <v>1132</v>
      </c>
      <c r="D1" s="4" t="s">
        <v>1133</v>
      </c>
      <c r="E1" s="4" t="s">
        <v>959</v>
      </c>
      <c r="F1" s="5" t="s">
        <v>956</v>
      </c>
      <c r="G1" s="18" t="s">
        <v>615</v>
      </c>
      <c r="H1" s="21" t="s">
        <v>616</v>
      </c>
      <c r="I1" s="18" t="s">
        <v>614</v>
      </c>
      <c r="J1" s="21" t="s">
        <v>957</v>
      </c>
      <c r="K1" s="21" t="s">
        <v>1167</v>
      </c>
      <c r="L1" s="38"/>
      <c r="M1" s="37" t="s">
        <v>215</v>
      </c>
      <c r="N1" s="37" t="s">
        <v>312</v>
      </c>
      <c r="O1" s="37" t="s">
        <v>175</v>
      </c>
      <c r="P1" s="37" t="s">
        <v>146</v>
      </c>
      <c r="Q1" s="37" t="s">
        <v>176</v>
      </c>
      <c r="R1" s="37" t="s">
        <v>666</v>
      </c>
      <c r="S1" s="37" t="s">
        <v>147</v>
      </c>
      <c r="T1" s="37" t="s">
        <v>148</v>
      </c>
      <c r="U1" s="37" t="s">
        <v>149</v>
      </c>
      <c r="V1" s="37" t="s">
        <v>150</v>
      </c>
      <c r="W1" s="37" t="s">
        <v>136</v>
      </c>
      <c r="X1" s="37" t="s">
        <v>151</v>
      </c>
      <c r="Y1" s="37" t="s">
        <v>18</v>
      </c>
      <c r="Z1" s="37" t="s">
        <v>320</v>
      </c>
      <c r="AA1" s="37" t="s">
        <v>139</v>
      </c>
      <c r="AB1" s="37" t="s">
        <v>111</v>
      </c>
      <c r="AC1" s="37" t="s">
        <v>152</v>
      </c>
      <c r="AD1" s="37" t="s">
        <v>153</v>
      </c>
      <c r="AE1" s="37" t="s">
        <v>154</v>
      </c>
      <c r="AF1" s="37" t="s">
        <v>155</v>
      </c>
      <c r="AG1" s="22" t="s">
        <v>11</v>
      </c>
      <c r="AH1" s="22" t="s">
        <v>1227</v>
      </c>
      <c r="AI1" s="22" t="s">
        <v>1228</v>
      </c>
      <c r="AJ1" s="22" t="s">
        <v>13</v>
      </c>
      <c r="AK1" s="22" t="s">
        <v>15</v>
      </c>
      <c r="AL1" s="22" t="s">
        <v>17</v>
      </c>
      <c r="AM1" s="22" t="s">
        <v>18</v>
      </c>
      <c r="AN1" s="22" t="s">
        <v>20</v>
      </c>
      <c r="AO1" s="22" t="s">
        <v>22</v>
      </c>
      <c r="AP1" s="22" t="s">
        <v>29</v>
      </c>
      <c r="AQ1" s="26" t="s">
        <v>247</v>
      </c>
      <c r="AR1" s="26" t="s">
        <v>1</v>
      </c>
      <c r="AS1" s="26" t="s">
        <v>2</v>
      </c>
      <c r="AT1" s="26" t="s">
        <v>105</v>
      </c>
      <c r="AU1" s="26" t="s">
        <v>104</v>
      </c>
      <c r="AV1" s="27" t="s">
        <v>4</v>
      </c>
      <c r="AW1" s="27" t="s">
        <v>3</v>
      </c>
      <c r="AX1" s="28" t="s">
        <v>226</v>
      </c>
      <c r="AY1" s="28" t="s">
        <v>227</v>
      </c>
      <c r="AZ1" s="28" t="s">
        <v>228</v>
      </c>
      <c r="BA1" s="28" t="s">
        <v>229</v>
      </c>
      <c r="BB1" s="29" t="s">
        <v>230</v>
      </c>
      <c r="BC1" s="29" t="s">
        <v>5</v>
      </c>
      <c r="BD1" s="29" t="s">
        <v>991</v>
      </c>
      <c r="BE1" s="29" t="s">
        <v>6</v>
      </c>
      <c r="BF1" s="20" t="s">
        <v>145</v>
      </c>
      <c r="BG1" s="20" t="s">
        <v>177</v>
      </c>
      <c r="BH1" s="20" t="s">
        <v>667</v>
      </c>
      <c r="BI1" s="20" t="s">
        <v>1221</v>
      </c>
      <c r="BJ1" s="20" t="s">
        <v>1222</v>
      </c>
      <c r="BK1" s="20" t="s">
        <v>1223</v>
      </c>
      <c r="BL1" s="20" t="s">
        <v>132</v>
      </c>
      <c r="BM1" s="20" t="s">
        <v>133</v>
      </c>
      <c r="BN1" s="20" t="s">
        <v>134</v>
      </c>
      <c r="BO1" s="20" t="s">
        <v>135</v>
      </c>
      <c r="BP1" s="20" t="s">
        <v>137</v>
      </c>
      <c r="BQ1" s="20" t="s">
        <v>138</v>
      </c>
      <c r="BR1" s="20" t="s">
        <v>140</v>
      </c>
      <c r="BS1" s="20" t="s">
        <v>319</v>
      </c>
      <c r="BT1" s="20" t="s">
        <v>141</v>
      </c>
      <c r="BU1" s="20" t="s">
        <v>142</v>
      </c>
      <c r="BV1" s="20" t="s">
        <v>143</v>
      </c>
      <c r="BW1" s="20" t="s">
        <v>144</v>
      </c>
      <c r="BX1" s="20" t="s">
        <v>156</v>
      </c>
      <c r="BY1" s="20" t="s">
        <v>157</v>
      </c>
      <c r="BZ1" s="23" t="s">
        <v>161</v>
      </c>
      <c r="CA1" s="23" t="s">
        <v>162</v>
      </c>
      <c r="CB1" s="23" t="s">
        <v>163</v>
      </c>
      <c r="CC1" s="23" t="s">
        <v>164</v>
      </c>
      <c r="CD1" s="23" t="s">
        <v>165</v>
      </c>
      <c r="CE1" s="23" t="s">
        <v>166</v>
      </c>
      <c r="CF1" s="23" t="s">
        <v>167</v>
      </c>
      <c r="CG1" s="23" t="s">
        <v>168</v>
      </c>
      <c r="CH1" s="23" t="s">
        <v>169</v>
      </c>
      <c r="CI1" s="23" t="s">
        <v>170</v>
      </c>
      <c r="CJ1" s="23" t="s">
        <v>819</v>
      </c>
    </row>
    <row r="2" spans="1:88" s="10" customFormat="1" ht="36" x14ac:dyDescent="0.4">
      <c r="B2" s="10" t="s">
        <v>1134</v>
      </c>
      <c r="C2" s="3"/>
      <c r="D2" s="4"/>
      <c r="E2" s="4"/>
      <c r="F2" s="59"/>
      <c r="G2" s="21"/>
      <c r="H2" s="21"/>
      <c r="I2" s="21"/>
      <c r="J2" s="21"/>
      <c r="K2" s="21"/>
      <c r="L2" s="38"/>
      <c r="M2" s="37"/>
      <c r="N2" s="37"/>
      <c r="O2" s="37"/>
      <c r="P2" s="37"/>
      <c r="Q2" s="37"/>
      <c r="R2" s="37"/>
      <c r="S2" s="37"/>
      <c r="T2" s="37"/>
      <c r="U2" s="37"/>
      <c r="V2" s="37"/>
      <c r="W2" s="37"/>
      <c r="X2" s="37"/>
      <c r="Y2" s="37"/>
      <c r="Z2" s="37"/>
      <c r="AA2" s="37"/>
      <c r="AB2" s="37"/>
      <c r="AC2" s="37"/>
      <c r="AD2" s="37"/>
      <c r="AE2" s="37"/>
      <c r="AF2" s="37"/>
      <c r="AG2" s="22"/>
      <c r="AH2" s="22"/>
      <c r="AI2" s="22"/>
      <c r="AJ2" s="22"/>
      <c r="AK2" s="22"/>
      <c r="AL2" s="22"/>
      <c r="AM2" s="22"/>
      <c r="AN2" s="22"/>
      <c r="AO2" s="22"/>
      <c r="AP2" s="22"/>
      <c r="AQ2" s="26"/>
      <c r="AR2" s="26"/>
      <c r="AS2" s="26"/>
      <c r="AT2" s="26"/>
      <c r="AU2" s="26"/>
      <c r="AV2" s="27"/>
      <c r="AW2" s="27"/>
      <c r="AX2" s="28"/>
      <c r="AY2" s="28"/>
      <c r="AZ2" s="28"/>
      <c r="BA2" s="28"/>
      <c r="BB2" s="29"/>
      <c r="BC2" s="29"/>
      <c r="BD2" s="29"/>
      <c r="BE2" s="29"/>
      <c r="BF2" s="20"/>
      <c r="BG2" s="20"/>
      <c r="BH2" s="20"/>
      <c r="BI2" s="20"/>
      <c r="BJ2" s="20"/>
      <c r="BK2" s="20"/>
      <c r="BL2" s="20"/>
      <c r="BM2" s="20"/>
      <c r="BN2" s="20"/>
      <c r="BO2" s="20"/>
      <c r="BP2" s="20"/>
      <c r="BQ2" s="20"/>
      <c r="BR2" s="20"/>
      <c r="BS2" s="20"/>
      <c r="BT2" s="20"/>
      <c r="BU2" s="20"/>
      <c r="BV2" s="20"/>
      <c r="BW2" s="20"/>
      <c r="BX2" s="20"/>
      <c r="BY2" s="20"/>
      <c r="BZ2" s="23"/>
      <c r="CA2" s="23"/>
      <c r="CB2" s="23"/>
      <c r="CC2" s="23"/>
      <c r="CD2" s="23"/>
      <c r="CE2" s="23"/>
      <c r="CF2" s="23"/>
      <c r="CG2" s="23"/>
      <c r="CH2" s="23"/>
      <c r="CI2" s="23"/>
      <c r="CJ2" s="23"/>
    </row>
    <row r="3" spans="1:88" outlineLevel="1" x14ac:dyDescent="0.4">
      <c r="A3" t="str">
        <f>"炎付与"&amp;B3</f>
        <v>炎付与Ⅰ</v>
      </c>
      <c r="B3" t="s">
        <v>1135</v>
      </c>
      <c r="C3" t="s">
        <v>916</v>
      </c>
      <c r="E3">
        <f>MAX(F3:K3)</f>
        <v>2</v>
      </c>
      <c r="G3">
        <v>2</v>
      </c>
      <c r="H3"/>
      <c r="J3"/>
      <c r="K3"/>
      <c r="M3"/>
      <c r="N3"/>
      <c r="O3"/>
      <c r="P3"/>
      <c r="Q3"/>
      <c r="R3"/>
      <c r="S3">
        <f>$G3*15</f>
        <v>30</v>
      </c>
      <c r="T3"/>
      <c r="U3"/>
      <c r="V3"/>
      <c r="W3"/>
      <c r="BF3"/>
      <c r="BG3"/>
      <c r="BH3"/>
      <c r="BI3"/>
      <c r="BJ3"/>
      <c r="BK3"/>
      <c r="BL3"/>
      <c r="BM3"/>
      <c r="BN3"/>
      <c r="BO3"/>
      <c r="BP3"/>
    </row>
    <row r="4" spans="1:88" outlineLevel="1" x14ac:dyDescent="0.4">
      <c r="A4" t="str">
        <f t="shared" ref="A4:A5" si="0">"炎付与"&amp;B4</f>
        <v>炎付与Ⅱ</v>
      </c>
      <c r="B4" t="s">
        <v>1136</v>
      </c>
      <c r="C4" t="s">
        <v>916</v>
      </c>
      <c r="E4">
        <f t="shared" ref="E4:E42" si="1">MAX(F4:K4)</f>
        <v>4</v>
      </c>
      <c r="G4">
        <v>4</v>
      </c>
      <c r="S4">
        <f>$G4*15</f>
        <v>60</v>
      </c>
    </row>
    <row r="5" spans="1:88" outlineLevel="1" x14ac:dyDescent="0.4">
      <c r="A5" t="str">
        <f t="shared" si="0"/>
        <v>炎付与Ⅲ</v>
      </c>
      <c r="B5" t="s">
        <v>1137</v>
      </c>
      <c r="C5" t="s">
        <v>916</v>
      </c>
      <c r="E5">
        <f t="shared" si="1"/>
        <v>6</v>
      </c>
      <c r="G5">
        <v>6</v>
      </c>
      <c r="S5">
        <f>$G5*15</f>
        <v>90</v>
      </c>
    </row>
    <row r="6" spans="1:88" outlineLevel="1" x14ac:dyDescent="0.4">
      <c r="A6" t="str">
        <f>"氷付与"&amp;B6</f>
        <v>氷付与Ⅰ</v>
      </c>
      <c r="B6" t="s">
        <v>1135</v>
      </c>
      <c r="C6" t="s">
        <v>916</v>
      </c>
      <c r="E6">
        <f t="shared" si="1"/>
        <v>2</v>
      </c>
      <c r="G6">
        <v>2</v>
      </c>
      <c r="H6"/>
      <c r="S6"/>
      <c r="T6">
        <f>$G6*15</f>
        <v>30</v>
      </c>
      <c r="U6"/>
      <c r="V6"/>
      <c r="W6"/>
      <c r="BF6"/>
      <c r="BG6"/>
      <c r="BH6"/>
      <c r="BI6"/>
      <c r="BJ6"/>
      <c r="BK6"/>
      <c r="BL6"/>
      <c r="BM6"/>
      <c r="BN6"/>
      <c r="BO6"/>
      <c r="BP6"/>
    </row>
    <row r="7" spans="1:88" outlineLevel="1" x14ac:dyDescent="0.4">
      <c r="A7" t="str">
        <f t="shared" ref="A7:A8" si="2">"氷付与"&amp;B7</f>
        <v>氷付与Ⅱ</v>
      </c>
      <c r="B7" t="s">
        <v>1136</v>
      </c>
      <c r="C7" t="s">
        <v>916</v>
      </c>
      <c r="E7">
        <f t="shared" si="1"/>
        <v>4</v>
      </c>
      <c r="G7">
        <v>4</v>
      </c>
      <c r="T7">
        <f>$G7*15</f>
        <v>60</v>
      </c>
    </row>
    <row r="8" spans="1:88" outlineLevel="1" x14ac:dyDescent="0.4">
      <c r="A8" t="str">
        <f t="shared" si="2"/>
        <v>氷付与Ⅲ</v>
      </c>
      <c r="B8" t="s">
        <v>1137</v>
      </c>
      <c r="C8" t="s">
        <v>916</v>
      </c>
      <c r="E8">
        <f t="shared" si="1"/>
        <v>6</v>
      </c>
      <c r="G8">
        <v>6</v>
      </c>
      <c r="T8">
        <f>$G8*15</f>
        <v>90</v>
      </c>
    </row>
    <row r="9" spans="1:88" outlineLevel="1" x14ac:dyDescent="0.4">
      <c r="A9" t="str">
        <f>"雷付与"&amp;B9</f>
        <v>雷付与Ⅰ</v>
      </c>
      <c r="B9" t="s">
        <v>1135</v>
      </c>
      <c r="C9" t="s">
        <v>916</v>
      </c>
      <c r="E9">
        <f t="shared" si="1"/>
        <v>2</v>
      </c>
      <c r="G9">
        <v>2</v>
      </c>
      <c r="H9"/>
      <c r="S9"/>
      <c r="T9"/>
      <c r="U9">
        <f>$G9*15</f>
        <v>30</v>
      </c>
      <c r="V9"/>
      <c r="W9"/>
      <c r="BF9"/>
      <c r="BG9"/>
      <c r="BH9"/>
      <c r="BI9"/>
      <c r="BJ9"/>
      <c r="BK9"/>
      <c r="BL9"/>
      <c r="BM9"/>
      <c r="BN9"/>
      <c r="BO9"/>
      <c r="BP9"/>
    </row>
    <row r="10" spans="1:88" outlineLevel="1" x14ac:dyDescent="0.4">
      <c r="A10" t="str">
        <f t="shared" ref="A10:A11" si="3">"雷付与"&amp;B10</f>
        <v>雷付与Ⅱ</v>
      </c>
      <c r="B10" t="s">
        <v>1136</v>
      </c>
      <c r="C10" t="s">
        <v>916</v>
      </c>
      <c r="E10">
        <f t="shared" si="1"/>
        <v>4</v>
      </c>
      <c r="G10">
        <v>4</v>
      </c>
      <c r="U10">
        <f>$G10*15</f>
        <v>60</v>
      </c>
    </row>
    <row r="11" spans="1:88" outlineLevel="1" x14ac:dyDescent="0.4">
      <c r="A11" t="str">
        <f t="shared" si="3"/>
        <v>雷付与Ⅲ</v>
      </c>
      <c r="B11" t="s">
        <v>1137</v>
      </c>
      <c r="C11" t="s">
        <v>916</v>
      </c>
      <c r="E11">
        <f t="shared" si="1"/>
        <v>6</v>
      </c>
      <c r="G11">
        <v>6</v>
      </c>
      <c r="U11">
        <f>$G11*15</f>
        <v>90</v>
      </c>
    </row>
    <row r="12" spans="1:88" outlineLevel="1" x14ac:dyDescent="0.4">
      <c r="A12" t="str">
        <f>"毒付与"&amp;B12</f>
        <v>毒付与Ⅰ</v>
      </c>
      <c r="B12" t="s">
        <v>1135</v>
      </c>
      <c r="C12" t="s">
        <v>916</v>
      </c>
      <c r="E12">
        <f t="shared" si="1"/>
        <v>2</v>
      </c>
      <c r="G12">
        <v>2</v>
      </c>
      <c r="H12"/>
      <c r="J12"/>
      <c r="K12"/>
      <c r="M12"/>
      <c r="N12"/>
      <c r="O12"/>
      <c r="P12"/>
      <c r="Q12"/>
      <c r="R12"/>
      <c r="S12"/>
      <c r="T12"/>
      <c r="U12"/>
      <c r="V12">
        <f>$G12*15</f>
        <v>30</v>
      </c>
      <c r="W12"/>
      <c r="BF12"/>
      <c r="BG12"/>
      <c r="BH12"/>
      <c r="BI12"/>
      <c r="BJ12"/>
      <c r="BK12"/>
      <c r="BL12"/>
      <c r="BM12"/>
      <c r="BN12"/>
      <c r="BO12"/>
      <c r="BP12"/>
    </row>
    <row r="13" spans="1:88" outlineLevel="1" x14ac:dyDescent="0.4">
      <c r="A13" t="str">
        <f t="shared" ref="A13:A14" si="4">"毒付与"&amp;B13</f>
        <v>毒付与Ⅱ</v>
      </c>
      <c r="B13" t="s">
        <v>1136</v>
      </c>
      <c r="C13" t="s">
        <v>916</v>
      </c>
      <c r="E13">
        <f t="shared" si="1"/>
        <v>4</v>
      </c>
      <c r="G13">
        <v>4</v>
      </c>
      <c r="V13">
        <f>$G13*15</f>
        <v>60</v>
      </c>
      <c r="X13" s="17"/>
    </row>
    <row r="14" spans="1:88" outlineLevel="1" x14ac:dyDescent="0.4">
      <c r="A14" t="str">
        <f t="shared" si="4"/>
        <v>毒付与Ⅲ</v>
      </c>
      <c r="B14" t="s">
        <v>1137</v>
      </c>
      <c r="C14" t="s">
        <v>916</v>
      </c>
      <c r="E14">
        <f t="shared" si="1"/>
        <v>6</v>
      </c>
      <c r="G14">
        <v>6</v>
      </c>
      <c r="V14">
        <f>$G14*15</f>
        <v>90</v>
      </c>
      <c r="X14" s="17"/>
    </row>
    <row r="15" spans="1:88" outlineLevel="1" x14ac:dyDescent="0.4">
      <c r="A15" t="str">
        <f>"光付与"&amp;B15</f>
        <v>光付与Ⅰ</v>
      </c>
      <c r="B15" t="s">
        <v>1135</v>
      </c>
      <c r="C15" t="s">
        <v>916</v>
      </c>
      <c r="E15">
        <f t="shared" si="1"/>
        <v>2</v>
      </c>
      <c r="H15">
        <v>2</v>
      </c>
      <c r="J15"/>
      <c r="K15"/>
      <c r="M15"/>
      <c r="N15"/>
      <c r="O15"/>
      <c r="P15"/>
      <c r="Q15"/>
      <c r="R15"/>
      <c r="S15"/>
      <c r="T15"/>
      <c r="U15"/>
      <c r="V15"/>
      <c r="W15">
        <f>$H15*15</f>
        <v>30</v>
      </c>
      <c r="BF15"/>
      <c r="BG15"/>
      <c r="BH15"/>
      <c r="BI15"/>
      <c r="BJ15"/>
      <c r="BK15"/>
      <c r="BL15"/>
      <c r="BM15"/>
      <c r="BN15"/>
      <c r="BO15"/>
      <c r="BP15"/>
    </row>
    <row r="16" spans="1:88" outlineLevel="1" x14ac:dyDescent="0.4">
      <c r="A16" t="str">
        <f t="shared" ref="A16:A17" si="5">"光付与"&amp;B16</f>
        <v>光付与Ⅱ</v>
      </c>
      <c r="B16" t="s">
        <v>1136</v>
      </c>
      <c r="C16" t="s">
        <v>916</v>
      </c>
      <c r="E16">
        <f t="shared" si="1"/>
        <v>4</v>
      </c>
      <c r="H16">
        <v>4</v>
      </c>
      <c r="W16">
        <f t="shared" ref="W16:W17" si="6">$H16*15</f>
        <v>60</v>
      </c>
      <c r="X16" s="17"/>
    </row>
    <row r="17" spans="1:68" outlineLevel="1" x14ac:dyDescent="0.4">
      <c r="A17" t="str">
        <f t="shared" si="5"/>
        <v>光付与Ⅲ</v>
      </c>
      <c r="B17" t="s">
        <v>1137</v>
      </c>
      <c r="C17" t="s">
        <v>916</v>
      </c>
      <c r="E17">
        <f t="shared" si="1"/>
        <v>6</v>
      </c>
      <c r="H17">
        <v>6</v>
      </c>
      <c r="W17">
        <f t="shared" si="6"/>
        <v>90</v>
      </c>
      <c r="X17" s="17"/>
    </row>
    <row r="18" spans="1:68" outlineLevel="1" x14ac:dyDescent="0.4">
      <c r="A18" t="str">
        <f>"闇付与"&amp;B18</f>
        <v>闇付与Ⅰ</v>
      </c>
      <c r="B18" t="s">
        <v>1135</v>
      </c>
      <c r="C18" t="s">
        <v>916</v>
      </c>
      <c r="E18">
        <f t="shared" si="1"/>
        <v>2</v>
      </c>
      <c r="G18">
        <v>2</v>
      </c>
      <c r="H18"/>
      <c r="J18"/>
      <c r="K18"/>
      <c r="M18"/>
      <c r="N18"/>
      <c r="O18"/>
      <c r="P18"/>
      <c r="Q18"/>
      <c r="R18"/>
      <c r="S18"/>
      <c r="T18"/>
      <c r="U18"/>
      <c r="V18"/>
      <c r="W18"/>
      <c r="X18">
        <f>$G18*15</f>
        <v>30</v>
      </c>
      <c r="BF18"/>
      <c r="BG18"/>
      <c r="BH18"/>
      <c r="BI18"/>
      <c r="BJ18"/>
      <c r="BK18"/>
      <c r="BL18"/>
      <c r="BM18"/>
      <c r="BN18"/>
      <c r="BO18"/>
      <c r="BP18"/>
    </row>
    <row r="19" spans="1:68" outlineLevel="1" x14ac:dyDescent="0.4">
      <c r="A19" t="str">
        <f t="shared" ref="A19:A20" si="7">"闇付与"&amp;B19</f>
        <v>闇付与Ⅱ</v>
      </c>
      <c r="B19" t="s">
        <v>1136</v>
      </c>
      <c r="C19" t="s">
        <v>916</v>
      </c>
      <c r="E19">
        <f t="shared" si="1"/>
        <v>4</v>
      </c>
      <c r="G19">
        <v>4</v>
      </c>
      <c r="X19">
        <f>$G19*15</f>
        <v>60</v>
      </c>
    </row>
    <row r="20" spans="1:68" outlineLevel="1" x14ac:dyDescent="0.4">
      <c r="A20" t="str">
        <f t="shared" si="7"/>
        <v>闇付与Ⅲ</v>
      </c>
      <c r="B20" t="s">
        <v>1137</v>
      </c>
      <c r="C20" t="s">
        <v>916</v>
      </c>
      <c r="E20">
        <f t="shared" si="1"/>
        <v>6</v>
      </c>
      <c r="G20">
        <v>6</v>
      </c>
      <c r="X20">
        <f t="shared" ref="X20" si="8">$G20*15</f>
        <v>90</v>
      </c>
    </row>
    <row r="21" spans="1:68" outlineLevel="1" x14ac:dyDescent="0.4">
      <c r="A21" s="2"/>
    </row>
    <row r="22" spans="1:68" outlineLevel="1" x14ac:dyDescent="0.4">
      <c r="A22" t="s">
        <v>1138</v>
      </c>
      <c r="C22" t="s">
        <v>1161</v>
      </c>
      <c r="E22">
        <f t="shared" si="1"/>
        <v>1</v>
      </c>
      <c r="H22" s="17">
        <v>1</v>
      </c>
      <c r="AG22">
        <v>5</v>
      </c>
    </row>
    <row r="23" spans="1:68" outlineLevel="1" x14ac:dyDescent="0.4">
      <c r="A23" t="s">
        <v>1139</v>
      </c>
      <c r="C23" t="s">
        <v>1161</v>
      </c>
      <c r="E23">
        <f t="shared" si="1"/>
        <v>3</v>
      </c>
      <c r="H23" s="17">
        <v>3</v>
      </c>
      <c r="AG23">
        <v>10</v>
      </c>
    </row>
    <row r="24" spans="1:68" outlineLevel="1" x14ac:dyDescent="0.4">
      <c r="A24" t="s">
        <v>1140</v>
      </c>
      <c r="C24" t="s">
        <v>1161</v>
      </c>
      <c r="E24">
        <f t="shared" si="1"/>
        <v>5</v>
      </c>
      <c r="H24" s="17">
        <v>5</v>
      </c>
      <c r="AG24">
        <v>15</v>
      </c>
    </row>
    <row r="25" spans="1:68" outlineLevel="1" x14ac:dyDescent="0.4">
      <c r="A25" t="s">
        <v>1141</v>
      </c>
      <c r="C25" t="s">
        <v>1162</v>
      </c>
      <c r="E25">
        <f t="shared" si="1"/>
        <v>1</v>
      </c>
      <c r="G25">
        <v>1</v>
      </c>
      <c r="AJ25">
        <v>10</v>
      </c>
    </row>
    <row r="26" spans="1:68" outlineLevel="1" x14ac:dyDescent="0.4">
      <c r="A26" t="s">
        <v>1142</v>
      </c>
      <c r="C26" t="s">
        <v>1162</v>
      </c>
      <c r="E26">
        <f t="shared" si="1"/>
        <v>3</v>
      </c>
      <c r="G26">
        <v>3</v>
      </c>
      <c r="AJ26">
        <v>30</v>
      </c>
    </row>
    <row r="27" spans="1:68" outlineLevel="1" x14ac:dyDescent="0.4">
      <c r="A27" t="s">
        <v>1143</v>
      </c>
      <c r="C27" t="s">
        <v>1162</v>
      </c>
      <c r="E27">
        <f t="shared" si="1"/>
        <v>5</v>
      </c>
      <c r="G27">
        <v>5</v>
      </c>
      <c r="AJ27">
        <v>50</v>
      </c>
    </row>
    <row r="28" spans="1:68" outlineLevel="1" x14ac:dyDescent="0.4">
      <c r="A28" t="s">
        <v>1144</v>
      </c>
      <c r="C28" t="s">
        <v>1161</v>
      </c>
      <c r="E28">
        <f t="shared" si="1"/>
        <v>1</v>
      </c>
      <c r="G28">
        <v>1</v>
      </c>
      <c r="AK28">
        <v>10</v>
      </c>
    </row>
    <row r="29" spans="1:68" outlineLevel="1" x14ac:dyDescent="0.4">
      <c r="A29" t="s">
        <v>1145</v>
      </c>
      <c r="C29" t="s">
        <v>1161</v>
      </c>
      <c r="E29">
        <f t="shared" si="1"/>
        <v>3</v>
      </c>
      <c r="G29">
        <v>3</v>
      </c>
      <c r="AK29">
        <v>30</v>
      </c>
    </row>
    <row r="30" spans="1:68" outlineLevel="1" x14ac:dyDescent="0.4">
      <c r="A30" t="s">
        <v>1146</v>
      </c>
      <c r="C30" t="s">
        <v>1161</v>
      </c>
      <c r="E30">
        <f t="shared" si="1"/>
        <v>5</v>
      </c>
      <c r="G30">
        <v>5</v>
      </c>
      <c r="AK30">
        <v>50</v>
      </c>
    </row>
    <row r="31" spans="1:68" outlineLevel="1" x14ac:dyDescent="0.4">
      <c r="A31" t="s">
        <v>1147</v>
      </c>
      <c r="C31" t="s">
        <v>1164</v>
      </c>
      <c r="E31">
        <f t="shared" si="1"/>
        <v>1</v>
      </c>
      <c r="G31">
        <v>1</v>
      </c>
      <c r="AL31">
        <v>10</v>
      </c>
    </row>
    <row r="32" spans="1:68" outlineLevel="1" x14ac:dyDescent="0.4">
      <c r="A32" t="s">
        <v>1148</v>
      </c>
      <c r="C32" t="s">
        <v>1164</v>
      </c>
      <c r="E32">
        <f t="shared" si="1"/>
        <v>3</v>
      </c>
      <c r="G32">
        <v>3</v>
      </c>
      <c r="AL32">
        <v>30</v>
      </c>
    </row>
    <row r="33" spans="1:41" ht="19.5" customHeight="1" outlineLevel="1" x14ac:dyDescent="0.4">
      <c r="A33" t="s">
        <v>1149</v>
      </c>
      <c r="C33" t="s">
        <v>1164</v>
      </c>
      <c r="E33">
        <f t="shared" si="1"/>
        <v>5</v>
      </c>
      <c r="G33">
        <v>5</v>
      </c>
      <c r="AL33">
        <v>50</v>
      </c>
    </row>
    <row r="34" spans="1:41" outlineLevel="1" x14ac:dyDescent="0.4">
      <c r="A34" t="s">
        <v>1150</v>
      </c>
      <c r="C34" t="s">
        <v>1165</v>
      </c>
      <c r="E34">
        <f t="shared" si="1"/>
        <v>1</v>
      </c>
      <c r="H34" s="17">
        <v>1</v>
      </c>
      <c r="AM34">
        <v>10</v>
      </c>
    </row>
    <row r="35" spans="1:41" outlineLevel="1" x14ac:dyDescent="0.4">
      <c r="A35" t="s">
        <v>1151</v>
      </c>
      <c r="C35" t="s">
        <v>1165</v>
      </c>
      <c r="E35">
        <f t="shared" si="1"/>
        <v>3</v>
      </c>
      <c r="H35" s="17">
        <v>3</v>
      </c>
      <c r="AM35">
        <v>30</v>
      </c>
    </row>
    <row r="36" spans="1:41" outlineLevel="1" x14ac:dyDescent="0.4">
      <c r="A36" t="s">
        <v>1152</v>
      </c>
      <c r="C36" t="s">
        <v>1165</v>
      </c>
      <c r="E36">
        <f t="shared" si="1"/>
        <v>5</v>
      </c>
      <c r="H36" s="17">
        <v>5</v>
      </c>
      <c r="AM36">
        <v>50</v>
      </c>
    </row>
    <row r="37" spans="1:41" outlineLevel="1" x14ac:dyDescent="0.4">
      <c r="A37" t="s">
        <v>1153</v>
      </c>
      <c r="C37" t="s">
        <v>1126</v>
      </c>
      <c r="E37">
        <f t="shared" si="1"/>
        <v>1</v>
      </c>
      <c r="G37">
        <v>1</v>
      </c>
      <c r="AN37">
        <v>10</v>
      </c>
    </row>
    <row r="38" spans="1:41" outlineLevel="1" x14ac:dyDescent="0.4">
      <c r="A38" t="s">
        <v>1154</v>
      </c>
      <c r="C38" t="s">
        <v>1126</v>
      </c>
      <c r="E38">
        <f t="shared" si="1"/>
        <v>3</v>
      </c>
      <c r="G38">
        <v>3</v>
      </c>
      <c r="AN38">
        <v>30</v>
      </c>
    </row>
    <row r="39" spans="1:41" outlineLevel="1" x14ac:dyDescent="0.4">
      <c r="A39" t="s">
        <v>1155</v>
      </c>
      <c r="C39" t="s">
        <v>1126</v>
      </c>
      <c r="E39">
        <f t="shared" si="1"/>
        <v>5</v>
      </c>
      <c r="G39">
        <v>5</v>
      </c>
      <c r="AN39">
        <v>50</v>
      </c>
    </row>
    <row r="40" spans="1:41" outlineLevel="1" x14ac:dyDescent="0.4">
      <c r="A40" t="s">
        <v>1156</v>
      </c>
      <c r="C40" t="s">
        <v>1159</v>
      </c>
      <c r="E40">
        <f t="shared" si="1"/>
        <v>1</v>
      </c>
      <c r="G40">
        <v>1</v>
      </c>
      <c r="AO40">
        <v>10</v>
      </c>
    </row>
    <row r="41" spans="1:41" outlineLevel="1" x14ac:dyDescent="0.4">
      <c r="A41" t="s">
        <v>1157</v>
      </c>
      <c r="C41" t="s">
        <v>1159</v>
      </c>
      <c r="E41">
        <f t="shared" si="1"/>
        <v>3</v>
      </c>
      <c r="G41">
        <v>3</v>
      </c>
      <c r="AO41">
        <v>30</v>
      </c>
    </row>
    <row r="42" spans="1:41" outlineLevel="1" x14ac:dyDescent="0.4">
      <c r="A42" t="s">
        <v>1158</v>
      </c>
      <c r="C42" t="s">
        <v>1159</v>
      </c>
      <c r="E42">
        <f t="shared" si="1"/>
        <v>5</v>
      </c>
      <c r="G42">
        <v>5</v>
      </c>
      <c r="AO42">
        <v>50</v>
      </c>
    </row>
    <row r="43" spans="1:41" outlineLevel="1" x14ac:dyDescent="0.4">
      <c r="A43" s="2"/>
    </row>
    <row r="44" spans="1:41" outlineLevel="1" x14ac:dyDescent="0.4">
      <c r="A44" s="2"/>
    </row>
    <row r="45" spans="1:41" outlineLevel="1" x14ac:dyDescent="0.4">
      <c r="A45" s="2"/>
    </row>
    <row r="46" spans="1:41" outlineLevel="1" x14ac:dyDescent="0.4">
      <c r="A46" s="2"/>
    </row>
    <row r="47" spans="1:41" outlineLevel="1" x14ac:dyDescent="0.4">
      <c r="A47" s="2"/>
    </row>
    <row r="48" spans="1:41" outlineLevel="1" x14ac:dyDescent="0.4">
      <c r="A48" s="2"/>
    </row>
    <row r="49" spans="1:1" outlineLevel="1" x14ac:dyDescent="0.4">
      <c r="A49" s="2"/>
    </row>
    <row r="50" spans="1:1" outlineLevel="1" x14ac:dyDescent="0.4">
      <c r="A50" s="2"/>
    </row>
    <row r="51" spans="1:1" outlineLevel="1" x14ac:dyDescent="0.4">
      <c r="A51" s="2"/>
    </row>
    <row r="52" spans="1:1" outlineLevel="1" x14ac:dyDescent="0.4">
      <c r="A52" s="2"/>
    </row>
    <row r="53" spans="1:1" outlineLevel="1" x14ac:dyDescent="0.4">
      <c r="A53" s="2"/>
    </row>
    <row r="54" spans="1:1" outlineLevel="1" x14ac:dyDescent="0.4">
      <c r="A54" s="2"/>
    </row>
    <row r="55" spans="1:1" outlineLevel="1" x14ac:dyDescent="0.4">
      <c r="A55" s="2"/>
    </row>
    <row r="56" spans="1:1" outlineLevel="1" x14ac:dyDescent="0.4">
      <c r="A56" s="2"/>
    </row>
    <row r="57" spans="1:1" outlineLevel="1" x14ac:dyDescent="0.4">
      <c r="A57" s="2"/>
    </row>
    <row r="58" spans="1:1" outlineLevel="1" x14ac:dyDescent="0.4"/>
    <row r="59" spans="1:1" outlineLevel="1" x14ac:dyDescent="0.4"/>
    <row r="60" spans="1:1" outlineLevel="1" x14ac:dyDescent="0.4"/>
    <row r="61" spans="1:1" outlineLevel="1" x14ac:dyDescent="0.4"/>
    <row r="62" spans="1:1" outlineLevel="1" x14ac:dyDescent="0.4"/>
    <row r="63" spans="1:1" outlineLevel="1" x14ac:dyDescent="0.4"/>
    <row r="64" spans="1:1" outlineLevel="1" x14ac:dyDescent="0.4"/>
    <row r="65" outlineLevel="1" x14ac:dyDescent="0.4"/>
    <row r="66" outlineLevel="1" x14ac:dyDescent="0.4"/>
    <row r="67" outlineLevel="1" x14ac:dyDescent="0.4"/>
    <row r="68" outlineLevel="1" x14ac:dyDescent="0.4"/>
    <row r="69" outlineLevel="1" x14ac:dyDescent="0.4"/>
    <row r="70" outlineLevel="1" x14ac:dyDescent="0.4"/>
    <row r="71" outlineLevel="1" x14ac:dyDescent="0.4"/>
    <row r="72" outlineLevel="1" x14ac:dyDescent="0.4"/>
    <row r="73" outlineLevel="1" x14ac:dyDescent="0.4"/>
    <row r="74" outlineLevel="1" x14ac:dyDescent="0.4"/>
    <row r="75" outlineLevel="1" x14ac:dyDescent="0.4"/>
    <row r="76" outlineLevel="1" x14ac:dyDescent="0.4"/>
    <row r="77" outlineLevel="1" x14ac:dyDescent="0.4"/>
    <row r="78" outlineLevel="1" x14ac:dyDescent="0.4"/>
    <row r="79" outlineLevel="1" x14ac:dyDescent="0.4"/>
    <row r="80" outlineLevel="1" x14ac:dyDescent="0.4"/>
    <row r="81" outlineLevel="1" x14ac:dyDescent="0.4"/>
    <row r="82" outlineLevel="1" x14ac:dyDescent="0.4"/>
    <row r="83" outlineLevel="1" x14ac:dyDescent="0.4"/>
    <row r="84" outlineLevel="1" x14ac:dyDescent="0.4"/>
    <row r="85" outlineLevel="1" x14ac:dyDescent="0.4"/>
    <row r="86" outlineLevel="1" x14ac:dyDescent="0.4"/>
    <row r="87" outlineLevel="1" x14ac:dyDescent="0.4"/>
    <row r="88" outlineLevel="1" x14ac:dyDescent="0.4"/>
    <row r="89" outlineLevel="1" x14ac:dyDescent="0.4"/>
    <row r="90" outlineLevel="1" x14ac:dyDescent="0.4"/>
    <row r="91" outlineLevel="1" x14ac:dyDescent="0.4"/>
    <row r="92" outlineLevel="1" x14ac:dyDescent="0.4"/>
    <row r="93" outlineLevel="1" x14ac:dyDescent="0.4"/>
    <row r="94" outlineLevel="1" x14ac:dyDescent="0.4"/>
    <row r="95" outlineLevel="1" x14ac:dyDescent="0.4"/>
    <row r="96" outlineLevel="1" x14ac:dyDescent="0.4"/>
    <row r="97" outlineLevel="1" x14ac:dyDescent="0.4"/>
    <row r="98" outlineLevel="1" x14ac:dyDescent="0.4"/>
    <row r="99" outlineLevel="1" x14ac:dyDescent="0.4"/>
    <row r="100" outlineLevel="1" x14ac:dyDescent="0.4"/>
    <row r="101" outlineLevel="1" x14ac:dyDescent="0.4"/>
    <row r="102" outlineLevel="1" x14ac:dyDescent="0.4"/>
    <row r="103" outlineLevel="1" x14ac:dyDescent="0.4"/>
    <row r="104" outlineLevel="1" x14ac:dyDescent="0.4"/>
    <row r="105" outlineLevel="1" x14ac:dyDescent="0.4"/>
    <row r="106" outlineLevel="1" x14ac:dyDescent="0.4"/>
    <row r="107" outlineLevel="1" x14ac:dyDescent="0.4"/>
    <row r="108" outlineLevel="1" x14ac:dyDescent="0.4"/>
    <row r="109" outlineLevel="1" x14ac:dyDescent="0.4"/>
    <row r="110" outlineLevel="1" x14ac:dyDescent="0.4"/>
    <row r="111" outlineLevel="1" x14ac:dyDescent="0.4"/>
    <row r="112" outlineLevel="1" x14ac:dyDescent="0.4"/>
    <row r="113" outlineLevel="1" x14ac:dyDescent="0.4"/>
  </sheetData>
  <phoneticPr fontId="2"/>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2B49-8234-4AA2-B53E-FD903E6751A4}">
  <sheetPr codeName="Sheet20">
    <tabColor theme="7" tint="0.79998168889431442"/>
  </sheetPr>
  <dimension ref="A1:Z21"/>
  <sheetViews>
    <sheetView workbookViewId="0">
      <selection activeCell="Z1" sqref="Z1"/>
    </sheetView>
  </sheetViews>
  <sheetFormatPr defaultRowHeight="18.75" x14ac:dyDescent="0.4"/>
  <cols>
    <col min="1" max="6" width="5.5" customWidth="1"/>
    <col min="7" max="9" width="5.25" bestFit="1" customWidth="1"/>
    <col min="10" max="10" width="5.25" customWidth="1"/>
    <col min="11" max="11" width="3.375" bestFit="1" customWidth="1"/>
    <col min="12" max="12" width="5.25" bestFit="1" customWidth="1"/>
    <col min="13" max="14" width="7.125" bestFit="1" customWidth="1"/>
    <col min="15" max="16" width="4.5" bestFit="1" customWidth="1"/>
    <col min="17" max="17" width="5.25" bestFit="1" customWidth="1"/>
    <col min="18" max="18" width="4.125" customWidth="1"/>
    <col min="19" max="20" width="4.25" customWidth="1"/>
    <col min="23" max="26" width="10.625" customWidth="1"/>
  </cols>
  <sheetData>
    <row r="1" spans="1:26" x14ac:dyDescent="0.4">
      <c r="A1" s="3" t="s">
        <v>959</v>
      </c>
      <c r="B1" s="3" t="s">
        <v>960</v>
      </c>
      <c r="C1" s="3" t="s">
        <v>474</v>
      </c>
      <c r="D1" s="3" t="s">
        <v>475</v>
      </c>
      <c r="E1" s="3" t="s">
        <v>476</v>
      </c>
      <c r="F1" s="3" t="s">
        <v>477</v>
      </c>
      <c r="G1" s="42" t="s">
        <v>478</v>
      </c>
      <c r="H1" s="42" t="s">
        <v>479</v>
      </c>
      <c r="I1" s="42" t="s">
        <v>480</v>
      </c>
      <c r="J1" s="42" t="s">
        <v>481</v>
      </c>
      <c r="K1" s="44" t="s">
        <v>482</v>
      </c>
      <c r="L1" s="44" t="s">
        <v>483</v>
      </c>
      <c r="M1" s="44" t="s">
        <v>484</v>
      </c>
      <c r="N1" s="44" t="s">
        <v>485</v>
      </c>
      <c r="O1" s="36" t="s">
        <v>486</v>
      </c>
      <c r="P1" s="36" t="s">
        <v>487</v>
      </c>
      <c r="Q1" s="36" t="s">
        <v>488</v>
      </c>
      <c r="R1" s="36" t="s">
        <v>961</v>
      </c>
      <c r="S1" s="56" t="s">
        <v>905</v>
      </c>
      <c r="T1" s="56" t="s">
        <v>902</v>
      </c>
      <c r="U1" s="36" t="s">
        <v>1129</v>
      </c>
      <c r="V1" s="36" t="s">
        <v>1130</v>
      </c>
      <c r="W1" s="3" t="s">
        <v>1642</v>
      </c>
      <c r="X1" s="3" t="s">
        <v>1643</v>
      </c>
      <c r="Y1" s="3" t="s">
        <v>1644</v>
      </c>
      <c r="Z1" s="3" t="s">
        <v>1645</v>
      </c>
    </row>
    <row r="2" spans="1:26" x14ac:dyDescent="0.4">
      <c r="A2" s="17">
        <v>1</v>
      </c>
      <c r="B2" s="17" t="s">
        <v>955</v>
      </c>
      <c r="C2" s="17"/>
      <c r="D2" s="17"/>
      <c r="E2" s="17"/>
      <c r="F2" s="17"/>
      <c r="G2" s="17">
        <v>10</v>
      </c>
      <c r="H2" s="17">
        <v>0</v>
      </c>
      <c r="I2" s="17">
        <v>0</v>
      </c>
      <c r="J2" s="17"/>
      <c r="K2" s="17">
        <v>10</v>
      </c>
      <c r="U2" s="39">
        <v>1</v>
      </c>
      <c r="V2" s="39">
        <v>0</v>
      </c>
      <c r="W2" t="s">
        <v>1695</v>
      </c>
      <c r="X2" t="s">
        <v>1696</v>
      </c>
      <c r="Y2" t="s">
        <v>1697</v>
      </c>
      <c r="Z2">
        <v>1</v>
      </c>
    </row>
    <row r="3" spans="1:26" x14ac:dyDescent="0.4">
      <c r="A3" s="17">
        <v>2</v>
      </c>
      <c r="B3" s="17" t="s">
        <v>955</v>
      </c>
      <c r="C3" s="17"/>
      <c r="D3" s="17"/>
      <c r="E3" s="17"/>
      <c r="F3" s="17"/>
      <c r="G3" s="17">
        <v>20</v>
      </c>
      <c r="H3" s="17">
        <v>0</v>
      </c>
      <c r="I3" s="17">
        <v>0</v>
      </c>
      <c r="J3" s="17"/>
      <c r="K3" s="17">
        <v>20</v>
      </c>
      <c r="U3" s="39">
        <v>1</v>
      </c>
      <c r="V3" s="39">
        <v>0.15</v>
      </c>
      <c r="W3" t="s">
        <v>1698</v>
      </c>
      <c r="X3" t="s">
        <v>1699</v>
      </c>
      <c r="Y3" t="s">
        <v>1700</v>
      </c>
      <c r="Z3">
        <v>1.25</v>
      </c>
    </row>
    <row r="4" spans="1:26" x14ac:dyDescent="0.4">
      <c r="A4" s="17">
        <v>3</v>
      </c>
      <c r="B4" s="17" t="s">
        <v>955</v>
      </c>
      <c r="C4" s="17"/>
      <c r="D4" s="17"/>
      <c r="E4" s="17"/>
      <c r="F4" s="17"/>
      <c r="G4" s="17">
        <v>10</v>
      </c>
      <c r="H4" s="17">
        <v>10</v>
      </c>
      <c r="I4" s="17"/>
      <c r="J4" s="17"/>
      <c r="K4">
        <v>10</v>
      </c>
      <c r="L4" s="17">
        <v>10</v>
      </c>
      <c r="U4" s="39">
        <v>1</v>
      </c>
      <c r="V4" s="39">
        <v>0.3</v>
      </c>
      <c r="W4" t="s">
        <v>1701</v>
      </c>
      <c r="X4" t="s">
        <v>1702</v>
      </c>
      <c r="Y4" t="s">
        <v>1703</v>
      </c>
      <c r="Z4">
        <v>1.5</v>
      </c>
    </row>
    <row r="5" spans="1:26" x14ac:dyDescent="0.4">
      <c r="A5" s="17">
        <v>4</v>
      </c>
      <c r="B5" s="17" t="s">
        <v>955</v>
      </c>
      <c r="C5" s="17"/>
      <c r="D5" s="17"/>
      <c r="E5" s="17"/>
      <c r="F5" s="17"/>
      <c r="G5" s="17">
        <v>10</v>
      </c>
      <c r="H5" s="17">
        <v>20</v>
      </c>
      <c r="I5" s="17">
        <v>10</v>
      </c>
      <c r="J5" s="17"/>
      <c r="K5" s="17">
        <v>10</v>
      </c>
      <c r="L5" s="17">
        <v>20</v>
      </c>
      <c r="M5">
        <v>5</v>
      </c>
      <c r="N5">
        <v>5</v>
      </c>
      <c r="U5" s="39">
        <v>1</v>
      </c>
      <c r="V5" s="39">
        <v>0.5</v>
      </c>
      <c r="W5" t="s">
        <v>1704</v>
      </c>
      <c r="X5" t="s">
        <v>1705</v>
      </c>
      <c r="Y5" t="s">
        <v>1706</v>
      </c>
      <c r="Z5">
        <v>1.75</v>
      </c>
    </row>
    <row r="6" spans="1:26" x14ac:dyDescent="0.4">
      <c r="A6" s="17">
        <v>5</v>
      </c>
      <c r="B6" s="17" t="s">
        <v>955</v>
      </c>
      <c r="C6" s="17"/>
      <c r="D6" s="17"/>
      <c r="E6" s="17"/>
      <c r="F6" s="17"/>
      <c r="G6" s="17">
        <v>20</v>
      </c>
      <c r="H6" s="17">
        <v>40</v>
      </c>
      <c r="I6" s="17">
        <v>20</v>
      </c>
      <c r="J6" s="17"/>
      <c r="K6" s="17">
        <v>20</v>
      </c>
      <c r="L6" s="17">
        <v>40</v>
      </c>
      <c r="M6" s="17">
        <v>10</v>
      </c>
      <c r="N6" s="17">
        <v>10</v>
      </c>
      <c r="O6">
        <v>20</v>
      </c>
      <c r="P6">
        <v>40</v>
      </c>
      <c r="Q6">
        <v>10</v>
      </c>
      <c r="R6" t="s">
        <v>962</v>
      </c>
      <c r="U6" s="39">
        <v>1</v>
      </c>
      <c r="V6" s="39">
        <v>0.65</v>
      </c>
      <c r="W6" t="s">
        <v>1707</v>
      </c>
      <c r="X6" t="s">
        <v>1708</v>
      </c>
      <c r="Y6" t="s">
        <v>1709</v>
      </c>
      <c r="Z6">
        <v>2</v>
      </c>
    </row>
    <row r="7" spans="1:26" x14ac:dyDescent="0.4">
      <c r="A7" s="17">
        <v>6</v>
      </c>
      <c r="B7" s="17" t="s">
        <v>955</v>
      </c>
      <c r="C7" s="17"/>
      <c r="D7" s="17"/>
      <c r="E7" s="17"/>
      <c r="F7" s="17"/>
      <c r="G7" s="17">
        <f>G6*2</f>
        <v>40</v>
      </c>
      <c r="H7" s="17">
        <f t="shared" ref="H7:N7" si="0">H6*2</f>
        <v>80</v>
      </c>
      <c r="I7" s="17">
        <f t="shared" si="0"/>
        <v>40</v>
      </c>
      <c r="J7" s="17"/>
      <c r="K7" s="17">
        <f t="shared" si="0"/>
        <v>40</v>
      </c>
      <c r="L7" s="17">
        <f t="shared" si="0"/>
        <v>80</v>
      </c>
      <c r="M7" s="17">
        <f t="shared" si="0"/>
        <v>20</v>
      </c>
      <c r="N7" s="17">
        <f t="shared" si="0"/>
        <v>20</v>
      </c>
      <c r="O7">
        <v>40</v>
      </c>
      <c r="P7">
        <v>80</v>
      </c>
      <c r="Q7">
        <v>20</v>
      </c>
      <c r="R7" t="s">
        <v>962</v>
      </c>
      <c r="U7" s="39">
        <v>1</v>
      </c>
      <c r="V7" s="39">
        <v>0.8</v>
      </c>
    </row>
    <row r="8" spans="1:26" x14ac:dyDescent="0.4">
      <c r="A8" s="17">
        <v>7</v>
      </c>
      <c r="B8" s="17" t="s">
        <v>955</v>
      </c>
      <c r="C8" s="17"/>
      <c r="D8" s="17"/>
      <c r="E8" s="17"/>
      <c r="F8" s="17"/>
      <c r="G8" s="17">
        <f>G7*2</f>
        <v>80</v>
      </c>
      <c r="H8" s="17">
        <f t="shared" ref="H8" si="1">H7*2</f>
        <v>160</v>
      </c>
      <c r="I8" s="17">
        <f t="shared" ref="I8" si="2">I7*2</f>
        <v>80</v>
      </c>
      <c r="J8" s="17"/>
      <c r="K8" s="17">
        <f t="shared" ref="K8" si="3">K7*2</f>
        <v>80</v>
      </c>
      <c r="L8" s="17">
        <f t="shared" ref="L8" si="4">L7*2</f>
        <v>160</v>
      </c>
      <c r="M8" s="17">
        <f t="shared" ref="M8" si="5">M7*2</f>
        <v>40</v>
      </c>
      <c r="N8" s="17">
        <f t="shared" ref="N8" si="6">N7*2</f>
        <v>40</v>
      </c>
      <c r="O8">
        <v>80</v>
      </c>
      <c r="P8">
        <v>160</v>
      </c>
      <c r="Q8">
        <v>40</v>
      </c>
      <c r="R8" t="s">
        <v>962</v>
      </c>
      <c r="U8" s="39">
        <v>1</v>
      </c>
      <c r="V8" s="39">
        <v>1</v>
      </c>
    </row>
    <row r="9" spans="1:26" x14ac:dyDescent="0.4">
      <c r="A9" s="17">
        <v>1</v>
      </c>
      <c r="B9" t="s">
        <v>1166</v>
      </c>
      <c r="O9">
        <v>5</v>
      </c>
      <c r="P9">
        <v>10</v>
      </c>
    </row>
    <row r="10" spans="1:26" x14ac:dyDescent="0.4">
      <c r="A10" s="17">
        <v>2</v>
      </c>
      <c r="B10" t="s">
        <v>1166</v>
      </c>
      <c r="O10">
        <v>10</v>
      </c>
      <c r="P10">
        <v>20</v>
      </c>
      <c r="Q10">
        <v>5</v>
      </c>
    </row>
    <row r="11" spans="1:26" x14ac:dyDescent="0.4">
      <c r="A11" s="17">
        <v>3</v>
      </c>
      <c r="B11" t="s">
        <v>1166</v>
      </c>
      <c r="O11">
        <v>20</v>
      </c>
      <c r="P11">
        <v>40</v>
      </c>
      <c r="Q11">
        <v>10</v>
      </c>
    </row>
    <row r="12" spans="1:26" x14ac:dyDescent="0.4">
      <c r="A12" s="17">
        <v>4</v>
      </c>
      <c r="B12" t="s">
        <v>1166</v>
      </c>
      <c r="O12">
        <v>40</v>
      </c>
      <c r="P12">
        <v>80</v>
      </c>
      <c r="Q12">
        <v>20</v>
      </c>
    </row>
    <row r="13" spans="1:26" x14ac:dyDescent="0.4">
      <c r="A13" s="17">
        <v>5</v>
      </c>
      <c r="B13" t="s">
        <v>1166</v>
      </c>
      <c r="O13">
        <v>80</v>
      </c>
      <c r="P13">
        <v>160</v>
      </c>
      <c r="Q13">
        <v>40</v>
      </c>
      <c r="R13" t="s">
        <v>962</v>
      </c>
    </row>
    <row r="14" spans="1:26" x14ac:dyDescent="0.4">
      <c r="A14" s="17">
        <v>6</v>
      </c>
      <c r="B14" t="s">
        <v>1166</v>
      </c>
      <c r="O14">
        <v>160</v>
      </c>
      <c r="P14">
        <v>320</v>
      </c>
      <c r="Q14">
        <v>80</v>
      </c>
      <c r="R14" t="s">
        <v>962</v>
      </c>
    </row>
    <row r="15" spans="1:26" x14ac:dyDescent="0.4">
      <c r="A15" s="17">
        <v>7</v>
      </c>
      <c r="B15" t="s">
        <v>1166</v>
      </c>
      <c r="O15">
        <v>320</v>
      </c>
      <c r="P15">
        <v>640</v>
      </c>
      <c r="Q15">
        <v>160</v>
      </c>
      <c r="R15" t="s">
        <v>962</v>
      </c>
    </row>
    <row r="16" spans="1:26" x14ac:dyDescent="0.4">
      <c r="A16">
        <v>1</v>
      </c>
      <c r="B16" t="s">
        <v>1359</v>
      </c>
      <c r="C16">
        <v>2</v>
      </c>
      <c r="D16">
        <v>2</v>
      </c>
      <c r="E16">
        <v>2</v>
      </c>
      <c r="G16">
        <v>2</v>
      </c>
      <c r="J16">
        <v>2</v>
      </c>
      <c r="K16">
        <v>2</v>
      </c>
    </row>
    <row r="21" spans="8:9" x14ac:dyDescent="0.4">
      <c r="H21" t="s">
        <v>1266</v>
      </c>
      <c r="I21" t="s">
        <v>971</v>
      </c>
    </row>
  </sheetData>
  <phoneticPr fontId="2"/>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89A3-49FB-45F6-B501-B854A100EC0A}">
  <sheetPr codeName="Sheet13">
    <tabColor theme="7" tint="0.79998168889431442"/>
  </sheetPr>
  <dimension ref="A1:X32"/>
  <sheetViews>
    <sheetView workbookViewId="0">
      <selection activeCell="O9" sqref="O9:O10"/>
    </sheetView>
  </sheetViews>
  <sheetFormatPr defaultRowHeight="18.75" x14ac:dyDescent="0.4"/>
  <cols>
    <col min="3" max="3" width="8.25" customWidth="1"/>
    <col min="4" max="4" width="7.75" bestFit="1" customWidth="1"/>
    <col min="5" max="5" width="7.25" customWidth="1"/>
    <col min="6" max="10" width="4.625" customWidth="1"/>
    <col min="11" max="11" width="6.25" customWidth="1"/>
    <col min="12" max="13" width="5.25" bestFit="1" customWidth="1"/>
    <col min="14" max="14" width="7.125" bestFit="1" customWidth="1"/>
    <col min="15" max="15" width="5.25" bestFit="1" customWidth="1"/>
    <col min="16" max="16" width="6.875" customWidth="1"/>
    <col min="17" max="17" width="5.25" customWidth="1"/>
    <col min="18" max="18" width="13.625" bestFit="1" customWidth="1"/>
  </cols>
  <sheetData>
    <row r="1" spans="1:24" x14ac:dyDescent="0.4">
      <c r="A1" t="s">
        <v>659</v>
      </c>
      <c r="B1" t="s">
        <v>915</v>
      </c>
      <c r="C1" t="s">
        <v>1360</v>
      </c>
      <c r="D1" t="s">
        <v>664</v>
      </c>
      <c r="E1" t="s">
        <v>663</v>
      </c>
      <c r="F1" t="s">
        <v>665</v>
      </c>
      <c r="G1" t="s">
        <v>1818</v>
      </c>
      <c r="H1" t="s">
        <v>1224</v>
      </c>
      <c r="I1" t="s">
        <v>1125</v>
      </c>
      <c r="J1" t="s">
        <v>850</v>
      </c>
      <c r="K1" t="s">
        <v>175</v>
      </c>
      <c r="L1" t="s">
        <v>668</v>
      </c>
      <c r="M1" t="s">
        <v>154</v>
      </c>
      <c r="N1" t="s">
        <v>155</v>
      </c>
      <c r="O1" t="s">
        <v>161</v>
      </c>
      <c r="P1" t="s">
        <v>920</v>
      </c>
      <c r="Q1" t="s">
        <v>929</v>
      </c>
      <c r="R1" t="s">
        <v>670</v>
      </c>
      <c r="S1" t="s">
        <v>671</v>
      </c>
      <c r="T1" t="s">
        <v>672</v>
      </c>
      <c r="U1" t="s">
        <v>673</v>
      </c>
      <c r="V1" t="s">
        <v>937</v>
      </c>
      <c r="W1" s="53" t="s">
        <v>938</v>
      </c>
      <c r="X1" s="53" t="s">
        <v>478</v>
      </c>
    </row>
    <row r="2" spans="1:24" x14ac:dyDescent="0.4">
      <c r="A2" t="s">
        <v>1178</v>
      </c>
      <c r="B2" t="s">
        <v>916</v>
      </c>
      <c r="C2" t="s">
        <v>1361</v>
      </c>
      <c r="D2">
        <v>20</v>
      </c>
      <c r="E2">
        <v>40</v>
      </c>
      <c r="F2">
        <v>25</v>
      </c>
      <c r="K2">
        <v>20</v>
      </c>
      <c r="M2">
        <v>10</v>
      </c>
      <c r="N2">
        <v>135</v>
      </c>
      <c r="R2" t="s">
        <v>669</v>
      </c>
      <c r="S2" t="s">
        <v>674</v>
      </c>
      <c r="T2" t="s">
        <v>675</v>
      </c>
      <c r="V2">
        <v>1</v>
      </c>
      <c r="W2" s="52">
        <v>0.5</v>
      </c>
      <c r="X2" s="52">
        <v>0</v>
      </c>
    </row>
    <row r="3" spans="1:24" x14ac:dyDescent="0.4">
      <c r="A3" t="s">
        <v>676</v>
      </c>
      <c r="B3" t="s">
        <v>916</v>
      </c>
      <c r="C3" t="s">
        <v>1361</v>
      </c>
      <c r="D3">
        <v>30</v>
      </c>
      <c r="E3">
        <v>50</v>
      </c>
      <c r="F3">
        <v>35</v>
      </c>
      <c r="K3">
        <v>25</v>
      </c>
      <c r="M3">
        <v>10</v>
      </c>
      <c r="N3">
        <v>135</v>
      </c>
      <c r="R3" t="s">
        <v>679</v>
      </c>
      <c r="S3" t="s">
        <v>675</v>
      </c>
      <c r="V3">
        <v>1.25</v>
      </c>
      <c r="W3" s="52">
        <v>1</v>
      </c>
      <c r="X3" s="52">
        <v>0.1</v>
      </c>
    </row>
    <row r="4" spans="1:24" x14ac:dyDescent="0.4">
      <c r="A4" t="s">
        <v>677</v>
      </c>
      <c r="B4" t="s">
        <v>916</v>
      </c>
      <c r="C4" t="s">
        <v>1361</v>
      </c>
      <c r="D4">
        <v>40</v>
      </c>
      <c r="E4">
        <v>50</v>
      </c>
      <c r="F4">
        <v>40</v>
      </c>
      <c r="K4">
        <v>25</v>
      </c>
      <c r="M4">
        <v>10</v>
      </c>
      <c r="N4">
        <v>135</v>
      </c>
      <c r="R4" t="s">
        <v>679</v>
      </c>
      <c r="V4">
        <v>1.5</v>
      </c>
      <c r="W4" s="52">
        <v>1.4</v>
      </c>
      <c r="X4" s="52">
        <v>0.1</v>
      </c>
    </row>
    <row r="5" spans="1:24" x14ac:dyDescent="0.4">
      <c r="A5" t="s">
        <v>1175</v>
      </c>
      <c r="B5" t="s">
        <v>916</v>
      </c>
      <c r="C5" t="s">
        <v>1361</v>
      </c>
      <c r="D5">
        <v>40</v>
      </c>
      <c r="E5">
        <v>50</v>
      </c>
      <c r="F5">
        <v>45</v>
      </c>
      <c r="K5">
        <v>25</v>
      </c>
      <c r="M5">
        <v>10</v>
      </c>
      <c r="N5">
        <v>135</v>
      </c>
      <c r="R5" t="s">
        <v>678</v>
      </c>
      <c r="S5" t="s">
        <v>1125</v>
      </c>
      <c r="V5">
        <v>1.25</v>
      </c>
      <c r="W5" s="52">
        <v>0.6</v>
      </c>
      <c r="X5" s="52">
        <v>1.2</v>
      </c>
    </row>
    <row r="6" spans="1:24" x14ac:dyDescent="0.4">
      <c r="A6" t="s">
        <v>657</v>
      </c>
      <c r="B6" t="s">
        <v>916</v>
      </c>
      <c r="C6" t="s">
        <v>1361</v>
      </c>
      <c r="D6">
        <v>50</v>
      </c>
      <c r="E6">
        <v>50</v>
      </c>
      <c r="F6">
        <v>45</v>
      </c>
      <c r="K6">
        <v>30</v>
      </c>
      <c r="M6">
        <v>10</v>
      </c>
      <c r="N6">
        <v>125</v>
      </c>
      <c r="R6" t="s">
        <v>678</v>
      </c>
      <c r="V6">
        <v>1.25</v>
      </c>
      <c r="W6" s="52">
        <v>1.2</v>
      </c>
      <c r="X6" s="52">
        <v>0.4</v>
      </c>
    </row>
    <row r="7" spans="1:24" x14ac:dyDescent="0.4">
      <c r="A7" t="s">
        <v>660</v>
      </c>
      <c r="B7" t="s">
        <v>916</v>
      </c>
      <c r="C7" t="s">
        <v>1361</v>
      </c>
      <c r="D7">
        <v>30</v>
      </c>
      <c r="E7">
        <v>40</v>
      </c>
      <c r="F7">
        <v>30</v>
      </c>
      <c r="K7">
        <v>20</v>
      </c>
      <c r="M7">
        <v>10</v>
      </c>
      <c r="N7">
        <v>125</v>
      </c>
      <c r="R7" t="s">
        <v>139</v>
      </c>
      <c r="V7">
        <v>1</v>
      </c>
      <c r="W7" s="52">
        <v>0</v>
      </c>
      <c r="X7" s="52">
        <v>1</v>
      </c>
    </row>
    <row r="8" spans="1:24" x14ac:dyDescent="0.4">
      <c r="A8" t="s">
        <v>661</v>
      </c>
      <c r="B8" t="s">
        <v>916</v>
      </c>
      <c r="C8" t="s">
        <v>1361</v>
      </c>
      <c r="D8">
        <v>50</v>
      </c>
      <c r="E8">
        <v>40</v>
      </c>
      <c r="F8">
        <v>45</v>
      </c>
      <c r="K8">
        <v>25</v>
      </c>
      <c r="M8">
        <v>10</v>
      </c>
      <c r="N8">
        <v>125</v>
      </c>
      <c r="R8" t="s">
        <v>139</v>
      </c>
      <c r="V8">
        <v>1.5</v>
      </c>
      <c r="W8" s="52">
        <v>1.6</v>
      </c>
      <c r="X8" s="52">
        <v>0.2</v>
      </c>
    </row>
    <row r="9" spans="1:24" x14ac:dyDescent="0.4">
      <c r="A9" t="s">
        <v>1179</v>
      </c>
      <c r="B9" t="s">
        <v>916</v>
      </c>
      <c r="C9" t="s">
        <v>1362</v>
      </c>
      <c r="D9">
        <v>65</v>
      </c>
      <c r="E9">
        <v>50</v>
      </c>
      <c r="F9">
        <v>25</v>
      </c>
      <c r="K9">
        <v>25</v>
      </c>
      <c r="L9">
        <v>40</v>
      </c>
      <c r="M9">
        <v>10</v>
      </c>
      <c r="N9">
        <v>135</v>
      </c>
      <c r="O9">
        <v>20</v>
      </c>
      <c r="V9">
        <v>1.25</v>
      </c>
      <c r="W9" s="52">
        <v>0.2</v>
      </c>
      <c r="X9" s="52">
        <v>1.4</v>
      </c>
    </row>
    <row r="10" spans="1:24" x14ac:dyDescent="0.4">
      <c r="A10" t="s">
        <v>662</v>
      </c>
      <c r="B10" t="s">
        <v>916</v>
      </c>
      <c r="C10" t="s">
        <v>1362</v>
      </c>
      <c r="D10">
        <v>20</v>
      </c>
      <c r="E10">
        <v>40</v>
      </c>
      <c r="F10">
        <v>10</v>
      </c>
      <c r="K10">
        <v>25</v>
      </c>
      <c r="L10">
        <v>40</v>
      </c>
      <c r="M10">
        <v>10</v>
      </c>
      <c r="N10">
        <v>140</v>
      </c>
      <c r="O10">
        <v>20</v>
      </c>
      <c r="R10" t="s">
        <v>680</v>
      </c>
      <c r="V10">
        <v>2</v>
      </c>
      <c r="W10" s="52">
        <v>2</v>
      </c>
      <c r="X10" s="52">
        <v>0.3</v>
      </c>
    </row>
    <row r="11" spans="1:24" x14ac:dyDescent="0.4">
      <c r="A11" t="s">
        <v>1163</v>
      </c>
      <c r="B11" t="s">
        <v>916</v>
      </c>
      <c r="C11" t="s">
        <v>103</v>
      </c>
      <c r="D11">
        <v>40</v>
      </c>
      <c r="E11">
        <v>30</v>
      </c>
      <c r="F11">
        <v>15</v>
      </c>
      <c r="G11">
        <v>15</v>
      </c>
      <c r="K11">
        <v>25</v>
      </c>
      <c r="M11">
        <v>10</v>
      </c>
      <c r="N11">
        <v>120</v>
      </c>
      <c r="R11" t="s">
        <v>930</v>
      </c>
      <c r="V11">
        <v>2</v>
      </c>
      <c r="W11" s="52">
        <v>0.1</v>
      </c>
      <c r="X11" s="52">
        <v>1.3</v>
      </c>
    </row>
    <row r="13" spans="1:24" x14ac:dyDescent="0.4">
      <c r="A13" t="s">
        <v>1131</v>
      </c>
      <c r="B13" t="s">
        <v>916</v>
      </c>
      <c r="C13" t="s">
        <v>1363</v>
      </c>
      <c r="D13">
        <v>-5</v>
      </c>
      <c r="E13">
        <v>50</v>
      </c>
      <c r="F13">
        <v>15</v>
      </c>
      <c r="K13">
        <v>25</v>
      </c>
      <c r="M13">
        <v>10</v>
      </c>
      <c r="N13">
        <v>120</v>
      </c>
      <c r="V13">
        <v>1</v>
      </c>
      <c r="W13" s="52">
        <v>0.2</v>
      </c>
      <c r="X13" s="52">
        <v>1</v>
      </c>
    </row>
    <row r="14" spans="1:24" x14ac:dyDescent="0.4">
      <c r="A14" t="s">
        <v>681</v>
      </c>
      <c r="B14" t="s">
        <v>916</v>
      </c>
      <c r="C14" t="s">
        <v>1363</v>
      </c>
      <c r="D14">
        <v>0</v>
      </c>
      <c r="E14">
        <v>60</v>
      </c>
      <c r="F14">
        <v>20</v>
      </c>
      <c r="K14">
        <v>35</v>
      </c>
      <c r="M14">
        <v>10</v>
      </c>
      <c r="N14">
        <v>120</v>
      </c>
      <c r="V14">
        <v>1</v>
      </c>
      <c r="W14" s="52">
        <v>0.6</v>
      </c>
      <c r="X14" s="52">
        <v>0.8</v>
      </c>
    </row>
    <row r="15" spans="1:24" x14ac:dyDescent="0.4">
      <c r="A15" t="s">
        <v>682</v>
      </c>
      <c r="B15" t="s">
        <v>916</v>
      </c>
      <c r="C15" t="s">
        <v>1363</v>
      </c>
      <c r="D15">
        <v>10</v>
      </c>
      <c r="E15">
        <v>70</v>
      </c>
      <c r="F15">
        <v>25</v>
      </c>
      <c r="K15">
        <v>45</v>
      </c>
      <c r="M15">
        <v>10</v>
      </c>
      <c r="N15">
        <v>120</v>
      </c>
      <c r="V15">
        <v>1.5</v>
      </c>
      <c r="W15" s="52">
        <v>1</v>
      </c>
      <c r="X15" s="52">
        <v>1.2</v>
      </c>
    </row>
    <row r="16" spans="1:24" x14ac:dyDescent="0.4">
      <c r="W16" s="52">
        <v>0.2</v>
      </c>
      <c r="X16" s="52">
        <v>0</v>
      </c>
    </row>
    <row r="17" spans="1:24" x14ac:dyDescent="0.4">
      <c r="A17" t="s">
        <v>918</v>
      </c>
      <c r="B17" t="s">
        <v>909</v>
      </c>
      <c r="Q17">
        <v>3</v>
      </c>
      <c r="R17" t="s">
        <v>930</v>
      </c>
      <c r="V17">
        <v>1</v>
      </c>
      <c r="W17" s="52">
        <v>0.2</v>
      </c>
      <c r="X17" s="52">
        <v>0.1</v>
      </c>
    </row>
    <row r="18" spans="1:24" x14ac:dyDescent="0.4">
      <c r="A18" t="s">
        <v>917</v>
      </c>
      <c r="B18" t="s">
        <v>909</v>
      </c>
      <c r="E18">
        <v>5</v>
      </c>
      <c r="P18">
        <v>5</v>
      </c>
      <c r="Q18">
        <v>10</v>
      </c>
      <c r="V18">
        <v>1.5</v>
      </c>
      <c r="W18" s="52">
        <v>0.7</v>
      </c>
      <c r="X18" s="52">
        <v>0.1</v>
      </c>
    </row>
    <row r="19" spans="1:24" x14ac:dyDescent="0.4">
      <c r="A19" t="s">
        <v>919</v>
      </c>
      <c r="B19" t="s">
        <v>909</v>
      </c>
      <c r="Q19">
        <v>4</v>
      </c>
      <c r="V19">
        <v>1</v>
      </c>
      <c r="W19" s="52">
        <v>0.1</v>
      </c>
      <c r="X19" s="52">
        <v>0.3</v>
      </c>
    </row>
    <row r="20" spans="1:24" x14ac:dyDescent="0.4">
      <c r="A20" t="s">
        <v>1160</v>
      </c>
      <c r="B20" t="s">
        <v>909</v>
      </c>
      <c r="Q20">
        <v>0</v>
      </c>
      <c r="R20" t="s">
        <v>932</v>
      </c>
      <c r="S20" t="s">
        <v>933</v>
      </c>
      <c r="V20">
        <v>1</v>
      </c>
      <c r="W20" s="52">
        <v>0.1</v>
      </c>
      <c r="X20" s="52">
        <v>0.3</v>
      </c>
    </row>
    <row r="22" spans="1:24" x14ac:dyDescent="0.4">
      <c r="A22" t="s">
        <v>921</v>
      </c>
      <c r="B22" t="s">
        <v>912</v>
      </c>
      <c r="E22">
        <v>10</v>
      </c>
      <c r="P22">
        <v>10</v>
      </c>
      <c r="Q22">
        <v>20</v>
      </c>
      <c r="V22">
        <v>2</v>
      </c>
      <c r="W22" s="52">
        <v>2.8</v>
      </c>
      <c r="X22" s="52">
        <v>0.25</v>
      </c>
    </row>
    <row r="23" spans="1:24" x14ac:dyDescent="0.4">
      <c r="A23" t="s">
        <v>922</v>
      </c>
      <c r="B23" t="s">
        <v>912</v>
      </c>
      <c r="Q23">
        <v>10</v>
      </c>
      <c r="V23">
        <v>1.5</v>
      </c>
      <c r="W23" s="52">
        <v>0.25</v>
      </c>
      <c r="X23" s="52">
        <v>1</v>
      </c>
    </row>
    <row r="24" spans="1:24" x14ac:dyDescent="0.4">
      <c r="A24" t="s">
        <v>923</v>
      </c>
      <c r="B24" t="s">
        <v>912</v>
      </c>
      <c r="Q24">
        <v>5</v>
      </c>
      <c r="R24" t="s">
        <v>931</v>
      </c>
      <c r="V24">
        <v>1.5</v>
      </c>
      <c r="W24" s="52">
        <v>0.25</v>
      </c>
      <c r="X24" s="52">
        <v>1</v>
      </c>
    </row>
    <row r="26" spans="1:24" x14ac:dyDescent="0.4">
      <c r="A26" t="s">
        <v>1127</v>
      </c>
      <c r="B26" t="s">
        <v>913</v>
      </c>
      <c r="E26">
        <v>5</v>
      </c>
      <c r="Q26">
        <v>3</v>
      </c>
      <c r="R26" t="s">
        <v>932</v>
      </c>
    </row>
    <row r="27" spans="1:24" x14ac:dyDescent="0.4">
      <c r="A27" t="s">
        <v>1126</v>
      </c>
      <c r="B27" t="s">
        <v>913</v>
      </c>
      <c r="Q27">
        <v>1</v>
      </c>
      <c r="R27" t="s">
        <v>1128</v>
      </c>
    </row>
    <row r="29" spans="1:24" x14ac:dyDescent="0.4">
      <c r="A29" t="s">
        <v>924</v>
      </c>
      <c r="B29" t="s">
        <v>928</v>
      </c>
      <c r="R29" t="s">
        <v>930</v>
      </c>
      <c r="V29">
        <v>1</v>
      </c>
      <c r="W29" s="52">
        <v>0.15</v>
      </c>
      <c r="X29" s="52">
        <v>0.05</v>
      </c>
    </row>
    <row r="30" spans="1:24" x14ac:dyDescent="0.4">
      <c r="A30" t="s">
        <v>925</v>
      </c>
      <c r="B30" t="s">
        <v>928</v>
      </c>
      <c r="R30" t="s">
        <v>932</v>
      </c>
      <c r="S30" t="s">
        <v>933</v>
      </c>
      <c r="V30">
        <v>1</v>
      </c>
      <c r="W30" s="52">
        <v>0.1</v>
      </c>
      <c r="X30" s="52">
        <v>0.05</v>
      </c>
    </row>
    <row r="31" spans="1:24" x14ac:dyDescent="0.4">
      <c r="A31" t="s">
        <v>926</v>
      </c>
      <c r="B31" t="s">
        <v>928</v>
      </c>
      <c r="R31" t="s">
        <v>934</v>
      </c>
      <c r="V31">
        <v>1</v>
      </c>
      <c r="W31" s="52">
        <v>0.1</v>
      </c>
      <c r="X31" s="52">
        <v>0.05</v>
      </c>
    </row>
    <row r="32" spans="1:24" x14ac:dyDescent="0.4">
      <c r="A32" t="s">
        <v>927</v>
      </c>
      <c r="B32" t="s">
        <v>928</v>
      </c>
      <c r="R32" t="s">
        <v>935</v>
      </c>
      <c r="S32" t="s">
        <v>936</v>
      </c>
      <c r="V32">
        <v>1</v>
      </c>
      <c r="W32" s="52">
        <v>0.2</v>
      </c>
      <c r="X32" s="52">
        <v>0.05</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22</vt:i4>
      </vt:variant>
    </vt:vector>
  </HeadingPairs>
  <TitlesOfParts>
    <vt:vector size="22" baseType="lpstr">
      <vt:lpstr>CS</vt:lpstr>
      <vt:lpstr>クラス</vt:lpstr>
      <vt:lpstr>種族</vt:lpstr>
      <vt:lpstr>勢力</vt:lpstr>
      <vt:lpstr>説明</vt:lpstr>
      <vt:lpstr>スキル一覧</vt:lpstr>
      <vt:lpstr>範囲</vt:lpstr>
      <vt:lpstr>効果</vt:lpstr>
      <vt:lpstr>地形</vt:lpstr>
      <vt:lpstr>出現敵</vt:lpstr>
      <vt:lpstr>災害</vt:lpstr>
      <vt:lpstr>都市基本データ</vt:lpstr>
      <vt:lpstr>都市</vt:lpstr>
      <vt:lpstr>外交姿勢</vt:lpstr>
      <vt:lpstr>組織</vt:lpstr>
      <vt:lpstr>体制</vt:lpstr>
      <vt:lpstr>施設</vt:lpstr>
      <vt:lpstr>画面</vt:lpstr>
      <vt:lpstr>研究</vt:lpstr>
      <vt:lpstr>付与</vt:lpstr>
      <vt:lpstr>消費量</vt:lpstr>
      <vt:lpstr>装備</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syuya kikuti</dc:creator>
  <cp:lastModifiedBy>syuya kikuti</cp:lastModifiedBy>
  <dcterms:created xsi:type="dcterms:W3CDTF">2026-02-28T14:20:31Z</dcterms:created>
  <dcterms:modified xsi:type="dcterms:W3CDTF">2026-09-20T17:05:23Z</dcterms:modified>
</cp:coreProperties>
</file>