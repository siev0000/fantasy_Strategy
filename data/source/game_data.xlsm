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1E939B35-A21B-4323-9F14-E8EA34ABB4CA}" xr6:coauthVersionLast="47" xr6:coauthVersionMax="47" xr10:uidLastSave="{00000000-0000-0000-0000-000000000000}"/>
  <bookViews>
    <workbookView xWindow="-21450" yWindow="435" windowWidth="20970" windowHeight="15195" firstSheet="10" activeTab="16"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externalReferences>
    <externalReference r:id="rId21"/>
  </externalReferences>
  <definedNames>
    <definedName name="_xlnm._FilterDatabase" localSheetId="0" hidden="1">CS!$A$4:$T$694</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15" l="1" a="1"/>
  <c r="I27" i="15" s="1"/>
  <c r="J27" i="15" a="1"/>
  <c r="J27" i="15" s="1"/>
  <c r="K27" i="15" a="1"/>
  <c r="K27" i="15" s="1"/>
  <c r="L27" i="15" a="1"/>
  <c r="L27" i="15" s="1"/>
  <c r="M27" i="15" a="1"/>
  <c r="M27" i="15" s="1"/>
  <c r="N27" i="15" a="1"/>
  <c r="N27" i="15" s="1"/>
  <c r="O27" i="15" a="1"/>
  <c r="O27" i="15"/>
  <c r="P27" i="15" a="1"/>
  <c r="P27" i="15"/>
  <c r="Q27" i="15" a="1"/>
  <c r="Q27" i="15" s="1"/>
  <c r="R27" i="15" a="1"/>
  <c r="R27" i="15" s="1"/>
  <c r="S27" i="15" a="1"/>
  <c r="S27" i="15" s="1"/>
  <c r="T27" i="15" a="1"/>
  <c r="T27" i="15" s="1"/>
  <c r="U27" i="15" a="1"/>
  <c r="U27" i="15" s="1"/>
  <c r="I28" i="15" a="1"/>
  <c r="I28" i="15" s="1"/>
  <c r="J28" i="15" a="1"/>
  <c r="J28" i="15"/>
  <c r="K28" i="15" a="1"/>
  <c r="K28" i="15"/>
  <c r="L28" i="15" a="1"/>
  <c r="L28" i="15" s="1"/>
  <c r="M28" i="15" a="1"/>
  <c r="M28" i="15" s="1"/>
  <c r="N28" i="15" a="1"/>
  <c r="N28" i="15" s="1"/>
  <c r="O28" i="15" a="1"/>
  <c r="O28" i="15" s="1"/>
  <c r="P28" i="15" a="1"/>
  <c r="P28" i="15" s="1"/>
  <c r="Q28" i="15" a="1"/>
  <c r="Q28" i="15" s="1"/>
  <c r="R28" i="15" a="1"/>
  <c r="R28" i="15"/>
  <c r="S28" i="15" a="1"/>
  <c r="S28" i="15"/>
  <c r="T28" i="15" a="1"/>
  <c r="T28" i="15" s="1"/>
  <c r="U28" i="15" a="1"/>
  <c r="U28" i="15" s="1"/>
  <c r="I29" i="15" a="1"/>
  <c r="I29" i="15" s="1"/>
  <c r="J29" i="15" a="1"/>
  <c r="J29" i="15" s="1"/>
  <c r="K29" i="15" a="1"/>
  <c r="K29" i="15" s="1"/>
  <c r="L29" i="15" a="1"/>
  <c r="L29" i="15" s="1"/>
  <c r="M29" i="15" a="1"/>
  <c r="M29" i="15"/>
  <c r="N29" i="15" a="1"/>
  <c r="N29" i="15"/>
  <c r="O29" i="15" a="1"/>
  <c r="O29" i="15" s="1"/>
  <c r="P29" i="15" a="1"/>
  <c r="P29" i="15" s="1"/>
  <c r="Q29" i="15" a="1"/>
  <c r="Q29" i="15" s="1"/>
  <c r="R29" i="15" a="1"/>
  <c r="R29" i="15" s="1"/>
  <c r="S29" i="15" a="1"/>
  <c r="S29" i="15" s="1"/>
  <c r="T29" i="15" a="1"/>
  <c r="T29" i="15" s="1"/>
  <c r="U29" i="15" a="1"/>
  <c r="U29" i="15"/>
  <c r="I30" i="15" a="1"/>
  <c r="I30" i="15"/>
  <c r="J30" i="15" a="1"/>
  <c r="J30" i="15" s="1"/>
  <c r="K30" i="15" a="1"/>
  <c r="K30" i="15" s="1"/>
  <c r="L30" i="15" a="1"/>
  <c r="L30" i="15" s="1"/>
  <c r="M30" i="15" a="1"/>
  <c r="M30" i="15" s="1"/>
  <c r="N30" i="15" a="1"/>
  <c r="N30" i="15" s="1"/>
  <c r="O30" i="15" a="1"/>
  <c r="O30" i="15" s="1"/>
  <c r="P30" i="15" a="1"/>
  <c r="P30" i="15"/>
  <c r="Q30" i="15" a="1"/>
  <c r="Q30" i="15"/>
  <c r="R30" i="15" a="1"/>
  <c r="R30" i="15" s="1"/>
  <c r="S30" i="15" a="1"/>
  <c r="S30" i="15" s="1"/>
  <c r="T30" i="15" a="1"/>
  <c r="T30" i="15" s="1"/>
  <c r="U30" i="15" a="1"/>
  <c r="U30" i="15" s="1"/>
  <c r="I31" i="15" a="1"/>
  <c r="I31" i="15" s="1"/>
  <c r="J31" i="15" a="1"/>
  <c r="J31" i="15" s="1"/>
  <c r="K31" i="15" a="1"/>
  <c r="K31" i="15"/>
  <c r="L31" i="15" a="1"/>
  <c r="L31" i="15"/>
  <c r="M31" i="15" a="1"/>
  <c r="M31" i="15" s="1"/>
  <c r="N31" i="15" a="1"/>
  <c r="N31" i="15" s="1"/>
  <c r="O31" i="15" a="1"/>
  <c r="O31" i="15" s="1"/>
  <c r="P31" i="15" a="1"/>
  <c r="P31" i="15" s="1"/>
  <c r="Q31" i="15" a="1"/>
  <c r="Q31" i="15" s="1"/>
  <c r="R31" i="15" a="1"/>
  <c r="R31" i="15" s="1"/>
  <c r="S31" i="15" a="1"/>
  <c r="S31" i="15"/>
  <c r="T31" i="15" a="1"/>
  <c r="T31" i="15"/>
  <c r="U31" i="15" a="1"/>
  <c r="U31" i="15" s="1"/>
  <c r="I32" i="15" a="1"/>
  <c r="I32" i="15" s="1"/>
  <c r="J32" i="15" a="1"/>
  <c r="J32" i="15" s="1"/>
  <c r="K32" i="15" a="1"/>
  <c r="K32" i="15" s="1"/>
  <c r="L32" i="15" a="1"/>
  <c r="L32" i="15" s="1"/>
  <c r="M32" i="15" a="1"/>
  <c r="M32" i="15" s="1"/>
  <c r="N32" i="15" a="1"/>
  <c r="N32" i="15"/>
  <c r="O32" i="15" a="1"/>
  <c r="O32" i="15"/>
  <c r="P32" i="15" a="1"/>
  <c r="P32" i="15" s="1"/>
  <c r="Q32" i="15" a="1"/>
  <c r="Q32" i="15" s="1"/>
  <c r="R32" i="15" a="1"/>
  <c r="R32" i="15" s="1"/>
  <c r="S32" i="15" a="1"/>
  <c r="S32" i="15" s="1"/>
  <c r="T32" i="15" a="1"/>
  <c r="T32" i="15" s="1"/>
  <c r="U32" i="15" a="1"/>
  <c r="U32" i="15" s="1"/>
  <c r="I33" i="15" a="1"/>
  <c r="I33" i="15"/>
  <c r="J33" i="15" a="1"/>
  <c r="J33" i="15"/>
  <c r="K33" i="15" a="1"/>
  <c r="K33" i="15" s="1"/>
  <c r="L33" i="15" a="1"/>
  <c r="L33" i="15" s="1"/>
  <c r="M33" i="15" a="1"/>
  <c r="M33" i="15" s="1"/>
  <c r="N33" i="15" a="1"/>
  <c r="N33" i="15" s="1"/>
  <c r="O33" i="15" a="1"/>
  <c r="O33" i="15" s="1"/>
  <c r="P33" i="15" a="1"/>
  <c r="P33" i="15" s="1"/>
  <c r="Q33" i="15" a="1"/>
  <c r="Q33" i="15"/>
  <c r="R33" i="15" a="1"/>
  <c r="R33" i="15"/>
  <c r="S33" i="15" a="1"/>
  <c r="S33" i="15" s="1"/>
  <c r="T33" i="15" a="1"/>
  <c r="T33" i="15" s="1"/>
  <c r="U33" i="15" a="1"/>
  <c r="U33" i="15" s="1"/>
  <c r="I34" i="15" a="1"/>
  <c r="I34" i="15" s="1"/>
  <c r="J34" i="15" a="1"/>
  <c r="J34" i="15" s="1"/>
  <c r="K34" i="15" a="1"/>
  <c r="K34" i="15" s="1"/>
  <c r="L34" i="15" a="1"/>
  <c r="L34" i="15"/>
  <c r="M34" i="15" a="1"/>
  <c r="M34" i="15"/>
  <c r="N34" i="15" a="1"/>
  <c r="N34" i="15" s="1"/>
  <c r="O34" i="15" a="1"/>
  <c r="O34" i="15" s="1"/>
  <c r="P34" i="15" a="1"/>
  <c r="P34" i="15" s="1"/>
  <c r="Q34" i="15" a="1"/>
  <c r="Q34" i="15" s="1"/>
  <c r="R34" i="15" a="1"/>
  <c r="R34" i="15" s="1"/>
  <c r="S34" i="15" a="1"/>
  <c r="S34" i="15" s="1"/>
  <c r="T34" i="15" a="1"/>
  <c r="T34" i="15"/>
  <c r="U34" i="15" a="1"/>
  <c r="U34" i="15"/>
  <c r="I35" i="15" a="1"/>
  <c r="I35" i="15" s="1"/>
  <c r="J35" i="15" a="1"/>
  <c r="J35" i="15" s="1"/>
  <c r="K35" i="15" a="1"/>
  <c r="K35" i="15" s="1"/>
  <c r="L35" i="15" a="1"/>
  <c r="L35" i="15" s="1"/>
  <c r="M35" i="15" a="1"/>
  <c r="M35" i="15" s="1"/>
  <c r="N35" i="15" a="1"/>
  <c r="N35" i="15" s="1"/>
  <c r="O35" i="15" a="1"/>
  <c r="O35" i="15"/>
  <c r="P35" i="15" a="1"/>
  <c r="P35" i="15"/>
  <c r="Q35" i="15" a="1"/>
  <c r="Q35" i="15" s="1"/>
  <c r="R35" i="15" a="1"/>
  <c r="R35" i="15" s="1"/>
  <c r="S35" i="15" a="1"/>
  <c r="S35" i="15" s="1"/>
  <c r="T35" i="15" a="1"/>
  <c r="T35" i="15" s="1"/>
  <c r="U35" i="15" a="1"/>
  <c r="U35" i="15" s="1"/>
  <c r="I36" i="15" a="1"/>
  <c r="I36" i="15" s="1"/>
  <c r="J36" i="15" a="1"/>
  <c r="J36" i="15"/>
  <c r="K36" i="15" a="1"/>
  <c r="K36" i="15"/>
  <c r="L36" i="15" a="1"/>
  <c r="L36" i="15" s="1"/>
  <c r="M36" i="15" a="1"/>
  <c r="M36" i="15" s="1"/>
  <c r="N36" i="15" a="1"/>
  <c r="N36" i="15" s="1"/>
  <c r="O36" i="15" a="1"/>
  <c r="O36" i="15" s="1"/>
  <c r="P36" i="15" a="1"/>
  <c r="P36" i="15" s="1"/>
  <c r="Q36" i="15" a="1"/>
  <c r="Q36" i="15" s="1"/>
  <c r="R36" i="15" a="1"/>
  <c r="R36" i="15"/>
  <c r="S36" i="15" a="1"/>
  <c r="S36" i="15"/>
  <c r="T36" i="15" a="1"/>
  <c r="T36" i="15" s="1"/>
  <c r="U36" i="15" a="1"/>
  <c r="U36" i="15" s="1"/>
  <c r="I37" i="15" a="1"/>
  <c r="I37" i="15" s="1"/>
  <c r="J37" i="15" a="1"/>
  <c r="J37" i="15" s="1"/>
  <c r="K37" i="15" a="1"/>
  <c r="K37" i="15" s="1"/>
  <c r="L37" i="15" a="1"/>
  <c r="L37" i="15" s="1"/>
  <c r="M37" i="15" a="1"/>
  <c r="M37" i="15"/>
  <c r="N37" i="15" a="1"/>
  <c r="N37" i="15"/>
  <c r="O37" i="15" a="1"/>
  <c r="O37" i="15" s="1"/>
  <c r="P37" i="15" a="1"/>
  <c r="P37" i="15" s="1"/>
  <c r="Q37" i="15" a="1"/>
  <c r="Q37" i="15" s="1"/>
  <c r="R37" i="15" a="1"/>
  <c r="R37" i="15" s="1"/>
  <c r="S37" i="15" a="1"/>
  <c r="S37" i="15" s="1"/>
  <c r="T37" i="15" a="1"/>
  <c r="T37" i="15" s="1"/>
  <c r="U37" i="15" a="1"/>
  <c r="U37" i="15"/>
  <c r="I38" i="15" a="1"/>
  <c r="I38" i="15"/>
  <c r="J38" i="15" a="1"/>
  <c r="J38" i="15" s="1"/>
  <c r="K38" i="15" a="1"/>
  <c r="K38" i="15" s="1"/>
  <c r="L38" i="15" a="1"/>
  <c r="L38" i="15" s="1"/>
  <c r="M38" i="15" a="1"/>
  <c r="M38" i="15" s="1"/>
  <c r="N38" i="15" a="1"/>
  <c r="N38" i="15" s="1"/>
  <c r="O38" i="15" a="1"/>
  <c r="O38" i="15" s="1"/>
  <c r="P38" i="15" a="1"/>
  <c r="P38" i="15"/>
  <c r="Q38" i="15" a="1"/>
  <c r="Q38" i="15"/>
  <c r="R38" i="15" a="1"/>
  <c r="R38" i="15" s="1"/>
  <c r="S38" i="15" a="1"/>
  <c r="S38" i="15" s="1"/>
  <c r="T38" i="15" a="1"/>
  <c r="T38" i="15" s="1"/>
  <c r="U38" i="15" a="1"/>
  <c r="U38" i="15" s="1"/>
  <c r="I3" i="15" a="1"/>
  <c r="I3" i="15" s="1"/>
  <c r="J3" i="15" a="1"/>
  <c r="J3" i="15" s="1"/>
  <c r="K3" i="15" a="1"/>
  <c r="K3" i="15" s="1"/>
  <c r="L3" i="15" a="1"/>
  <c r="L3" i="15" s="1"/>
  <c r="M3" i="15" a="1"/>
  <c r="M3" i="15" s="1"/>
  <c r="N3" i="15" a="1"/>
  <c r="N3" i="15" s="1"/>
  <c r="O3" i="15" a="1"/>
  <c r="O3" i="15" s="1"/>
  <c r="P3" i="15" a="1"/>
  <c r="P3" i="15"/>
  <c r="Q3" i="15" a="1"/>
  <c r="Q3" i="15" s="1"/>
  <c r="R3" i="15" a="1"/>
  <c r="R3" i="15" s="1"/>
  <c r="S3" i="15" a="1"/>
  <c r="S3" i="15" s="1"/>
  <c r="T3" i="15" a="1"/>
  <c r="T3" i="15" s="1"/>
  <c r="U3" i="15" a="1"/>
  <c r="U3" i="15" s="1"/>
  <c r="I4" i="15" a="1"/>
  <c r="I4" i="15" s="1"/>
  <c r="J4" i="15" a="1"/>
  <c r="J4" i="15" s="1"/>
  <c r="K4" i="15" a="1"/>
  <c r="K4" i="15"/>
  <c r="L4" i="15" a="1"/>
  <c r="L4" i="15" s="1"/>
  <c r="M4" i="15" a="1"/>
  <c r="M4" i="15" s="1"/>
  <c r="N4" i="15" a="1"/>
  <c r="N4" i="15" s="1"/>
  <c r="O4" i="15" a="1"/>
  <c r="O4" i="15" s="1"/>
  <c r="P4" i="15" a="1"/>
  <c r="P4" i="15" s="1"/>
  <c r="Q4" i="15" a="1"/>
  <c r="Q4" i="15" s="1"/>
  <c r="R4" i="15" a="1"/>
  <c r="R4" i="15" s="1"/>
  <c r="S4" i="15" a="1"/>
  <c r="S4" i="15"/>
  <c r="T4" i="15" a="1"/>
  <c r="T4" i="15" s="1"/>
  <c r="U4" i="15" a="1"/>
  <c r="U4" i="15" s="1"/>
  <c r="I5" i="15" a="1"/>
  <c r="I5" i="15" s="1"/>
  <c r="J5" i="15" a="1"/>
  <c r="J5" i="15" s="1"/>
  <c r="K5" i="15" a="1"/>
  <c r="K5" i="15" s="1"/>
  <c r="L5" i="15" a="1"/>
  <c r="L5" i="15" s="1"/>
  <c r="M5" i="15" a="1"/>
  <c r="M5" i="15" s="1"/>
  <c r="N5" i="15" a="1"/>
  <c r="N5" i="15"/>
  <c r="O5" i="15" a="1"/>
  <c r="O5" i="15" s="1"/>
  <c r="P5" i="15" a="1"/>
  <c r="P5" i="15" s="1"/>
  <c r="Q5" i="15" a="1"/>
  <c r="Q5" i="15" s="1"/>
  <c r="R5" i="15" a="1"/>
  <c r="R5" i="15" s="1"/>
  <c r="S5" i="15" a="1"/>
  <c r="S5" i="15" s="1"/>
  <c r="T5" i="15" a="1"/>
  <c r="T5" i="15" s="1"/>
  <c r="U5" i="15" a="1"/>
  <c r="U5" i="15" s="1"/>
  <c r="I6" i="15" a="1"/>
  <c r="I6" i="15"/>
  <c r="J6" i="15" a="1"/>
  <c r="J6" i="15" s="1"/>
  <c r="K6" i="15" a="1"/>
  <c r="K6" i="15" s="1"/>
  <c r="L6" i="15" a="1"/>
  <c r="L6" i="15" s="1"/>
  <c r="M6" i="15" a="1"/>
  <c r="M6" i="15" s="1"/>
  <c r="N6" i="15" a="1"/>
  <c r="N6" i="15" s="1"/>
  <c r="O6" i="15" a="1"/>
  <c r="O6" i="15" s="1"/>
  <c r="P6" i="15" a="1"/>
  <c r="P6" i="15" s="1"/>
  <c r="Q6" i="15" a="1"/>
  <c r="Q6" i="15"/>
  <c r="R6" i="15" a="1"/>
  <c r="R6" i="15" s="1"/>
  <c r="S6" i="15" a="1"/>
  <c r="S6" i="15" s="1"/>
  <c r="T6" i="15" a="1"/>
  <c r="T6" i="15" s="1"/>
  <c r="U6" i="15" a="1"/>
  <c r="U6" i="15" s="1"/>
  <c r="I7" i="15" a="1"/>
  <c r="I7" i="15" s="1"/>
  <c r="J7" i="15" a="1"/>
  <c r="J7" i="15" s="1"/>
  <c r="K7" i="15" a="1"/>
  <c r="K7" i="15" s="1"/>
  <c r="L7" i="15" a="1"/>
  <c r="L7" i="15"/>
  <c r="M7" i="15" a="1"/>
  <c r="M7" i="15" s="1"/>
  <c r="N7" i="15" a="1"/>
  <c r="N7" i="15" s="1"/>
  <c r="O7" i="15" a="1"/>
  <c r="O7" i="15" s="1"/>
  <c r="P7" i="15" a="1"/>
  <c r="P7" i="15" s="1"/>
  <c r="Q7" i="15" a="1"/>
  <c r="Q7" i="15" s="1"/>
  <c r="R7" i="15" a="1"/>
  <c r="R7" i="15" s="1"/>
  <c r="S7" i="15" a="1"/>
  <c r="S7" i="15" s="1"/>
  <c r="T7" i="15" a="1"/>
  <c r="T7" i="15"/>
  <c r="U7" i="15" a="1"/>
  <c r="U7" i="15" s="1"/>
  <c r="I8" i="15" a="1"/>
  <c r="I8" i="15" s="1"/>
  <c r="J8" i="15" a="1"/>
  <c r="J8" i="15" s="1"/>
  <c r="K8" i="15" a="1"/>
  <c r="K8" i="15" s="1"/>
  <c r="L8" i="15" a="1"/>
  <c r="L8" i="15" s="1"/>
  <c r="M8" i="15" a="1"/>
  <c r="M8" i="15" s="1"/>
  <c r="N8" i="15" a="1"/>
  <c r="N8" i="15" s="1"/>
  <c r="O8" i="15" a="1"/>
  <c r="O8" i="15"/>
  <c r="P8" i="15" a="1"/>
  <c r="P8" i="15" s="1"/>
  <c r="Q8" i="15" a="1"/>
  <c r="Q8" i="15" s="1"/>
  <c r="R8" i="15" a="1"/>
  <c r="R8" i="15" s="1"/>
  <c r="S8" i="15" a="1"/>
  <c r="S8" i="15" s="1"/>
  <c r="T8" i="15" a="1"/>
  <c r="T8" i="15" s="1"/>
  <c r="U8" i="15" a="1"/>
  <c r="U8" i="15" s="1"/>
  <c r="I9" i="15" a="1"/>
  <c r="I9" i="15" s="1"/>
  <c r="J9" i="15" a="1"/>
  <c r="J9" i="15"/>
  <c r="K9" i="15" a="1"/>
  <c r="K9" i="15" s="1"/>
  <c r="L9" i="15" a="1"/>
  <c r="L9" i="15" s="1"/>
  <c r="M9" i="15" a="1"/>
  <c r="M9" i="15" s="1"/>
  <c r="N9" i="15" a="1"/>
  <c r="N9" i="15" s="1"/>
  <c r="O9" i="15" a="1"/>
  <c r="O9" i="15" s="1"/>
  <c r="P9" i="15" a="1"/>
  <c r="P9" i="15" s="1"/>
  <c r="Q9" i="15" a="1"/>
  <c r="Q9" i="15" s="1"/>
  <c r="R9" i="15" a="1"/>
  <c r="R9" i="15"/>
  <c r="S9" i="15" a="1"/>
  <c r="S9" i="15" s="1"/>
  <c r="T9" i="15" a="1"/>
  <c r="T9" i="15" s="1"/>
  <c r="U9" i="15" a="1"/>
  <c r="U9" i="15" s="1"/>
  <c r="I10" i="15" a="1"/>
  <c r="I10" i="15" s="1"/>
  <c r="J10" i="15" a="1"/>
  <c r="J10" i="15" s="1"/>
  <c r="K10" i="15" a="1"/>
  <c r="K10" i="15" s="1"/>
  <c r="L10" i="15" a="1"/>
  <c r="L10" i="15" s="1"/>
  <c r="M10" i="15" a="1"/>
  <c r="M10" i="15"/>
  <c r="N10" i="15" a="1"/>
  <c r="N10" i="15" s="1"/>
  <c r="O10" i="15" a="1"/>
  <c r="O10" i="15" s="1"/>
  <c r="P10" i="15" a="1"/>
  <c r="P10" i="15" s="1"/>
  <c r="Q10" i="15" a="1"/>
  <c r="Q10" i="15" s="1"/>
  <c r="R10" i="15" a="1"/>
  <c r="R10" i="15" s="1"/>
  <c r="S10" i="15" a="1"/>
  <c r="S10" i="15" s="1"/>
  <c r="T10" i="15" a="1"/>
  <c r="T10" i="15" s="1"/>
  <c r="U10" i="15" a="1"/>
  <c r="U10" i="15"/>
  <c r="I11" i="15" a="1"/>
  <c r="I11" i="15" s="1"/>
  <c r="J11" i="15" a="1"/>
  <c r="J11" i="15" s="1"/>
  <c r="K11" i="15" a="1"/>
  <c r="K11" i="15" s="1"/>
  <c r="L11" i="15" a="1"/>
  <c r="L11" i="15" s="1"/>
  <c r="M11" i="15" a="1"/>
  <c r="M11" i="15" s="1"/>
  <c r="N11" i="15" a="1"/>
  <c r="N11" i="15" s="1"/>
  <c r="O11" i="15" a="1"/>
  <c r="O11" i="15" s="1"/>
  <c r="P11" i="15" a="1"/>
  <c r="P11" i="15"/>
  <c r="Q11" i="15" a="1"/>
  <c r="Q11" i="15" s="1"/>
  <c r="R11" i="15" a="1"/>
  <c r="R11" i="15" s="1"/>
  <c r="S11" i="15" a="1"/>
  <c r="S11" i="15" s="1"/>
  <c r="T11" i="15" a="1"/>
  <c r="T11" i="15" s="1"/>
  <c r="U11" i="15" a="1"/>
  <c r="U11" i="15" s="1"/>
  <c r="I12" i="15" a="1"/>
  <c r="I12" i="15" s="1"/>
  <c r="J12" i="15" a="1"/>
  <c r="J12" i="15" s="1"/>
  <c r="K12" i="15" a="1"/>
  <c r="K12" i="15"/>
  <c r="L12" i="15" a="1"/>
  <c r="L12" i="15" s="1"/>
  <c r="M12" i="15" a="1"/>
  <c r="M12" i="15" s="1"/>
  <c r="N12" i="15" a="1"/>
  <c r="N12" i="15" s="1"/>
  <c r="O12" i="15" a="1"/>
  <c r="O12" i="15" s="1"/>
  <c r="P12" i="15" a="1"/>
  <c r="P12" i="15" s="1"/>
  <c r="Q12" i="15" a="1"/>
  <c r="Q12" i="15" s="1"/>
  <c r="R12" i="15" a="1"/>
  <c r="R12" i="15" s="1"/>
  <c r="S12" i="15" a="1"/>
  <c r="S12" i="15"/>
  <c r="T12" i="15" a="1"/>
  <c r="T12" i="15" s="1"/>
  <c r="U12" i="15" a="1"/>
  <c r="U12" i="15" s="1"/>
  <c r="I13" i="15" a="1"/>
  <c r="I13" i="15" s="1"/>
  <c r="J13" i="15" a="1"/>
  <c r="J13" i="15" s="1"/>
  <c r="K13" i="15" a="1"/>
  <c r="K13" i="15" s="1"/>
  <c r="L13" i="15" a="1"/>
  <c r="L13" i="15" s="1"/>
  <c r="M13" i="15" a="1"/>
  <c r="M13" i="15" s="1"/>
  <c r="N13" i="15" a="1"/>
  <c r="N13" i="15" s="1"/>
  <c r="O13" i="15" a="1"/>
  <c r="O13" i="15" s="1"/>
  <c r="P13" i="15" a="1"/>
  <c r="P13" i="15" s="1"/>
  <c r="Q13" i="15" a="1"/>
  <c r="Q13" i="15" s="1"/>
  <c r="R13" i="15" a="1"/>
  <c r="R13" i="15" s="1"/>
  <c r="S13" i="15" a="1"/>
  <c r="S13" i="15" s="1"/>
  <c r="T13" i="15" a="1"/>
  <c r="T13" i="15" s="1"/>
  <c r="U13" i="15" a="1"/>
  <c r="U13" i="15" s="1"/>
  <c r="I14" i="15" a="1"/>
  <c r="I14" i="15"/>
  <c r="J14" i="15" a="1"/>
  <c r="J14" i="15" s="1"/>
  <c r="K14" i="15" a="1"/>
  <c r="K14" i="15" s="1"/>
  <c r="L14" i="15" a="1"/>
  <c r="L14" i="15" s="1"/>
  <c r="M14" i="15" a="1"/>
  <c r="M14" i="15" s="1"/>
  <c r="N14" i="15" a="1"/>
  <c r="N14" i="15" s="1"/>
  <c r="O14" i="15" a="1"/>
  <c r="O14" i="15" s="1"/>
  <c r="P14" i="15" a="1"/>
  <c r="P14" i="15" s="1"/>
  <c r="Q14" i="15" a="1"/>
  <c r="Q14" i="15"/>
  <c r="R14" i="15" a="1"/>
  <c r="R14" i="15" s="1"/>
  <c r="S14" i="15" a="1"/>
  <c r="S14" i="15" s="1"/>
  <c r="T14" i="15" a="1"/>
  <c r="T14" i="15" s="1"/>
  <c r="U14" i="15" a="1"/>
  <c r="U14" i="15" s="1"/>
  <c r="I15" i="15" a="1"/>
  <c r="I15" i="15" s="1"/>
  <c r="J15" i="15" a="1"/>
  <c r="J15" i="15" s="1"/>
  <c r="K15" i="15" a="1"/>
  <c r="K15" i="15" s="1"/>
  <c r="L15" i="15" a="1"/>
  <c r="L15" i="15"/>
  <c r="M15" i="15" a="1"/>
  <c r="M15" i="15" s="1"/>
  <c r="N15" i="15" a="1"/>
  <c r="N15" i="15" s="1"/>
  <c r="O15" i="15" a="1"/>
  <c r="O15" i="15" s="1"/>
  <c r="P15" i="15" a="1"/>
  <c r="P15" i="15" s="1"/>
  <c r="Q15" i="15" a="1"/>
  <c r="Q15" i="15" s="1"/>
  <c r="R15" i="15" a="1"/>
  <c r="R15" i="15" s="1"/>
  <c r="S15" i="15" a="1"/>
  <c r="S15" i="15" s="1"/>
  <c r="T15" i="15" a="1"/>
  <c r="T15" i="15"/>
  <c r="U15" i="15" a="1"/>
  <c r="U15" i="15" s="1"/>
  <c r="I16" i="15" a="1"/>
  <c r="I16" i="15" s="1"/>
  <c r="J16" i="15" a="1"/>
  <c r="J16" i="15" s="1"/>
  <c r="K16" i="15" a="1"/>
  <c r="K16" i="15" s="1"/>
  <c r="L16" i="15" a="1"/>
  <c r="L16" i="15" s="1"/>
  <c r="M16" i="15" a="1"/>
  <c r="M16" i="15" s="1"/>
  <c r="N16" i="15" a="1"/>
  <c r="N16" i="15" s="1"/>
  <c r="O16" i="15" a="1"/>
  <c r="O16" i="15"/>
  <c r="P16" i="15" a="1"/>
  <c r="P16" i="15" s="1"/>
  <c r="Q16" i="15" a="1"/>
  <c r="Q16" i="15" s="1"/>
  <c r="R16" i="15" a="1"/>
  <c r="R16" i="15" s="1"/>
  <c r="S16" i="15" a="1"/>
  <c r="S16" i="15" s="1"/>
  <c r="T16" i="15" a="1"/>
  <c r="T16" i="15" s="1"/>
  <c r="U16" i="15" a="1"/>
  <c r="U16" i="15" s="1"/>
  <c r="I17" i="15" a="1"/>
  <c r="I17" i="15" s="1"/>
  <c r="J17" i="15" a="1"/>
  <c r="J17" i="15"/>
  <c r="K17" i="15" a="1"/>
  <c r="K17" i="15" s="1"/>
  <c r="L17" i="15" a="1"/>
  <c r="L17" i="15" s="1"/>
  <c r="M17" i="15" a="1"/>
  <c r="M17" i="15" s="1"/>
  <c r="N17" i="15" a="1"/>
  <c r="N17" i="15" s="1"/>
  <c r="O17" i="15" a="1"/>
  <c r="O17" i="15" s="1"/>
  <c r="P17" i="15" a="1"/>
  <c r="P17" i="15" s="1"/>
  <c r="Q17" i="15" a="1"/>
  <c r="Q17" i="15" s="1"/>
  <c r="R17" i="15" a="1"/>
  <c r="R17" i="15"/>
  <c r="S17" i="15" a="1"/>
  <c r="S17" i="15" s="1"/>
  <c r="T17" i="15" a="1"/>
  <c r="T17" i="15" s="1"/>
  <c r="U17" i="15" a="1"/>
  <c r="U17" i="15" s="1"/>
  <c r="I18" i="15" a="1"/>
  <c r="I18" i="15" s="1"/>
  <c r="J18" i="15" a="1"/>
  <c r="J18" i="15" s="1"/>
  <c r="K18" i="15" a="1"/>
  <c r="K18" i="15" s="1"/>
  <c r="L18" i="15" a="1"/>
  <c r="L18" i="15" s="1"/>
  <c r="M18" i="15" a="1"/>
  <c r="M18" i="15"/>
  <c r="N18" i="15" a="1"/>
  <c r="N18" i="15" s="1"/>
  <c r="O18" i="15" a="1"/>
  <c r="O18" i="15" s="1"/>
  <c r="P18" i="15" a="1"/>
  <c r="P18" i="15" s="1"/>
  <c r="Q18" i="15" a="1"/>
  <c r="Q18" i="15" s="1"/>
  <c r="R18" i="15" a="1"/>
  <c r="R18" i="15" s="1"/>
  <c r="S18" i="15" a="1"/>
  <c r="S18" i="15" s="1"/>
  <c r="T18" i="15" a="1"/>
  <c r="T18" i="15" s="1"/>
  <c r="U18" i="15" a="1"/>
  <c r="U18" i="15"/>
  <c r="I19" i="15" a="1"/>
  <c r="I19" i="15" s="1"/>
  <c r="J19" i="15" a="1"/>
  <c r="J19" i="15" s="1"/>
  <c r="K19" i="15" a="1"/>
  <c r="K19" i="15" s="1"/>
  <c r="L19" i="15" a="1"/>
  <c r="L19" i="15" s="1"/>
  <c r="M19" i="15" a="1"/>
  <c r="M19" i="15" s="1"/>
  <c r="N19" i="15" a="1"/>
  <c r="N19" i="15" s="1"/>
  <c r="O19" i="15" a="1"/>
  <c r="O19" i="15" s="1"/>
  <c r="P19" i="15" a="1"/>
  <c r="P19" i="15"/>
  <c r="Q19" i="15" a="1"/>
  <c r="Q19" i="15" s="1"/>
  <c r="R19" i="15" a="1"/>
  <c r="R19" i="15" s="1"/>
  <c r="S19" i="15" a="1"/>
  <c r="S19" i="15" s="1"/>
  <c r="T19" i="15" a="1"/>
  <c r="T19" i="15" s="1"/>
  <c r="U19" i="15" a="1"/>
  <c r="U19" i="15" s="1"/>
  <c r="I20" i="15" a="1"/>
  <c r="I20" i="15" s="1"/>
  <c r="J20" i="15" a="1"/>
  <c r="J20" i="15" s="1"/>
  <c r="K20" i="15" a="1"/>
  <c r="K20" i="15"/>
  <c r="L20" i="15" a="1"/>
  <c r="L20" i="15" s="1"/>
  <c r="M20" i="15" a="1"/>
  <c r="M20" i="15" s="1"/>
  <c r="N20" i="15" a="1"/>
  <c r="N20" i="15" s="1"/>
  <c r="O20" i="15" a="1"/>
  <c r="O20" i="15" s="1"/>
  <c r="P20" i="15" a="1"/>
  <c r="P20" i="15" s="1"/>
  <c r="Q20" i="15" a="1"/>
  <c r="Q20" i="15" s="1"/>
  <c r="R20" i="15" a="1"/>
  <c r="R20" i="15" s="1"/>
  <c r="S20" i="15" a="1"/>
  <c r="S20" i="15"/>
  <c r="T20" i="15" a="1"/>
  <c r="T20" i="15" s="1"/>
  <c r="U20" i="15" a="1"/>
  <c r="U20" i="15" s="1"/>
  <c r="I21" i="15" a="1"/>
  <c r="I21" i="15" s="1"/>
  <c r="J21" i="15" a="1"/>
  <c r="J21" i="15" s="1"/>
  <c r="K21" i="15" a="1"/>
  <c r="K21" i="15" s="1"/>
  <c r="L21" i="15" a="1"/>
  <c r="L21" i="15" s="1"/>
  <c r="M21" i="15" a="1"/>
  <c r="M21" i="15" s="1"/>
  <c r="N21" i="15" a="1"/>
  <c r="N21" i="15"/>
  <c r="O21" i="15" a="1"/>
  <c r="O21" i="15" s="1"/>
  <c r="P21" i="15" a="1"/>
  <c r="P21" i="15" s="1"/>
  <c r="Q21" i="15" a="1"/>
  <c r="Q21" i="15" s="1"/>
  <c r="R21" i="15" a="1"/>
  <c r="R21" i="15" s="1"/>
  <c r="S21" i="15" a="1"/>
  <c r="S21" i="15" s="1"/>
  <c r="T21" i="15" a="1"/>
  <c r="T21" i="15" s="1"/>
  <c r="U21" i="15" a="1"/>
  <c r="U21" i="15" s="1"/>
  <c r="I22" i="15" a="1"/>
  <c r="I22" i="15"/>
  <c r="J22" i="15" a="1"/>
  <c r="J22" i="15" s="1"/>
  <c r="K22" i="15" a="1"/>
  <c r="K22" i="15" s="1"/>
  <c r="L22" i="15" a="1"/>
  <c r="L22" i="15" s="1"/>
  <c r="M22" i="15" a="1"/>
  <c r="M22" i="15" s="1"/>
  <c r="N22" i="15" a="1"/>
  <c r="N22" i="15" s="1"/>
  <c r="O22" i="15" a="1"/>
  <c r="O22" i="15" s="1"/>
  <c r="P22" i="15" a="1"/>
  <c r="P22" i="15" s="1"/>
  <c r="Q22" i="15" a="1"/>
  <c r="Q22" i="15"/>
  <c r="R22" i="15" a="1"/>
  <c r="R22" i="15" s="1"/>
  <c r="S22" i="15" a="1"/>
  <c r="S22" i="15" s="1"/>
  <c r="T22" i="15" a="1"/>
  <c r="T22" i="15" s="1"/>
  <c r="U22" i="15" a="1"/>
  <c r="U22" i="15" s="1"/>
  <c r="I23" i="15" a="1"/>
  <c r="I23" i="15" s="1"/>
  <c r="J23" i="15" a="1"/>
  <c r="J23" i="15" s="1"/>
  <c r="K23" i="15" a="1"/>
  <c r="K23" i="15" s="1"/>
  <c r="L23" i="15" a="1"/>
  <c r="L23" i="15"/>
  <c r="M23" i="15" a="1"/>
  <c r="M23" i="15" s="1"/>
  <c r="N23" i="15" a="1"/>
  <c r="N23" i="15" s="1"/>
  <c r="O23" i="15" a="1"/>
  <c r="O23" i="15" s="1"/>
  <c r="P23" i="15" a="1"/>
  <c r="P23" i="15" s="1"/>
  <c r="Q23" i="15" a="1"/>
  <c r="Q23" i="15" s="1"/>
  <c r="R23" i="15" a="1"/>
  <c r="R23" i="15" s="1"/>
  <c r="S23" i="15" a="1"/>
  <c r="S23" i="15" s="1"/>
  <c r="T23" i="15" a="1"/>
  <c r="T23" i="15"/>
  <c r="U23" i="15" a="1"/>
  <c r="U23" i="15" s="1"/>
  <c r="I24" i="15" a="1"/>
  <c r="I24" i="15" s="1"/>
  <c r="J24" i="15" a="1"/>
  <c r="J24" i="15" s="1"/>
  <c r="K24" i="15" a="1"/>
  <c r="K24" i="15" s="1"/>
  <c r="L24" i="15" a="1"/>
  <c r="L24" i="15" s="1"/>
  <c r="M24" i="15" a="1"/>
  <c r="M24" i="15" s="1"/>
  <c r="N24" i="15" a="1"/>
  <c r="N24" i="15" s="1"/>
  <c r="O24" i="15" a="1"/>
  <c r="O24" i="15"/>
  <c r="P24" i="15" a="1"/>
  <c r="P24" i="15" s="1"/>
  <c r="Q24" i="15" a="1"/>
  <c r="Q24" i="15" s="1"/>
  <c r="R24" i="15" a="1"/>
  <c r="R24" i="15" s="1"/>
  <c r="S24" i="15" a="1"/>
  <c r="S24" i="15" s="1"/>
  <c r="T24" i="15" a="1"/>
  <c r="T24" i="15" s="1"/>
  <c r="U24" i="15" a="1"/>
  <c r="U24" i="15" s="1"/>
  <c r="I25" i="15" a="1"/>
  <c r="I25" i="15" s="1"/>
  <c r="J25" i="15" a="1"/>
  <c r="J25" i="15"/>
  <c r="K25" i="15" a="1"/>
  <c r="K25" i="15" s="1"/>
  <c r="L25" i="15" a="1"/>
  <c r="L25" i="15" s="1"/>
  <c r="M25" i="15" a="1"/>
  <c r="M25" i="15" s="1"/>
  <c r="N25" i="15" a="1"/>
  <c r="N25" i="15" s="1"/>
  <c r="O25" i="15" a="1"/>
  <c r="O25" i="15" s="1"/>
  <c r="P25" i="15" a="1"/>
  <c r="P25" i="15" s="1"/>
  <c r="Q25" i="15" a="1"/>
  <c r="Q25" i="15" s="1"/>
  <c r="R25" i="15" a="1"/>
  <c r="R25" i="15"/>
  <c r="S25" i="15" a="1"/>
  <c r="S25" i="15" s="1"/>
  <c r="T25" i="15" a="1"/>
  <c r="T25" i="15" s="1"/>
  <c r="U25" i="15" a="1"/>
  <c r="U25" i="15" s="1"/>
  <c r="I26" i="15" a="1"/>
  <c r="I26" i="15" s="1"/>
  <c r="J26" i="15" a="1"/>
  <c r="J26" i="15" s="1"/>
  <c r="K26" i="15" a="1"/>
  <c r="K26" i="15" s="1"/>
  <c r="L26" i="15" a="1"/>
  <c r="L26" i="15" s="1"/>
  <c r="M26" i="15" a="1"/>
  <c r="M26" i="15"/>
  <c r="N26" i="15" a="1"/>
  <c r="N26" i="15" s="1"/>
  <c r="O26" i="15" a="1"/>
  <c r="O26" i="15" s="1"/>
  <c r="P26" i="15" a="1"/>
  <c r="P26" i="15" s="1"/>
  <c r="Q26" i="15" a="1"/>
  <c r="Q26" i="15" s="1"/>
  <c r="R26" i="15" a="1"/>
  <c r="R26" i="15" s="1"/>
  <c r="S26" i="15" a="1"/>
  <c r="S26" i="15" s="1"/>
  <c r="T26" i="15" a="1"/>
  <c r="T26" i="15" s="1"/>
  <c r="U26" i="15" a="1"/>
  <c r="U26" i="15"/>
  <c r="J2" i="15" a="1"/>
  <c r="J2" i="15" s="1"/>
  <c r="K2" i="15" a="1"/>
  <c r="K2" i="15" s="1"/>
  <c r="L2" i="15" a="1"/>
  <c r="L2" i="15" s="1"/>
  <c r="M2" i="15" a="1"/>
  <c r="M2" i="15" s="1"/>
  <c r="N2" i="15" a="1"/>
  <c r="N2" i="15" s="1"/>
  <c r="O2" i="15" a="1"/>
  <c r="O2" i="15"/>
  <c r="P2" i="15" a="1"/>
  <c r="P2" i="15"/>
  <c r="Q2" i="15" a="1"/>
  <c r="Q2" i="15" s="1"/>
  <c r="R2" i="15" a="1"/>
  <c r="R2" i="15" s="1"/>
  <c r="S2" i="15" a="1"/>
  <c r="S2" i="15" s="1"/>
  <c r="T2" i="15" a="1"/>
  <c r="T2" i="15" s="1"/>
  <c r="U2" i="15" a="1"/>
  <c r="U2" i="15" s="1"/>
  <c r="I2" i="15" a="1"/>
  <c r="I2" i="15" s="1"/>
  <c r="C8" i="22"/>
  <c r="D8" i="22"/>
  <c r="E8" i="22"/>
  <c r="F8" i="22"/>
  <c r="G8" i="22"/>
  <c r="H8" i="22"/>
  <c r="I8" i="22"/>
  <c r="D7" i="22"/>
  <c r="E7" i="22"/>
  <c r="F7" i="22"/>
  <c r="G7" i="22"/>
  <c r="H7" i="22"/>
  <c r="I7" i="22"/>
  <c r="C7" i="22"/>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02" i="3"/>
  <c r="M102" i="3"/>
  <c r="L103" i="3"/>
  <c r="M103" i="3"/>
  <c r="L104" i="3"/>
  <c r="M104" i="3"/>
  <c r="L105" i="3"/>
  <c r="M105" i="3"/>
  <c r="L106" i="3"/>
  <c r="M106" i="3"/>
  <c r="L107" i="3"/>
  <c r="M107" i="3"/>
  <c r="L108" i="3"/>
  <c r="M108" i="3"/>
  <c r="L109" i="3"/>
  <c r="M109" i="3"/>
  <c r="L110" i="3"/>
  <c r="M110" i="3"/>
  <c r="L111" i="3"/>
  <c r="M111" i="3"/>
  <c r="L112" i="3"/>
  <c r="M112" i="3"/>
  <c r="L113" i="3"/>
  <c r="M113" i="3"/>
  <c r="L114" i="3"/>
  <c r="M114" i="3"/>
  <c r="L115" i="3"/>
  <c r="M115" i="3"/>
  <c r="L116" i="3"/>
  <c r="M116" i="3"/>
  <c r="L117" i="3"/>
  <c r="M117" i="3"/>
  <c r="L118" i="3"/>
  <c r="M118" i="3"/>
  <c r="L119" i="3"/>
  <c r="M119" i="3"/>
  <c r="L120" i="3"/>
  <c r="M120" i="3"/>
  <c r="L121" i="3"/>
  <c r="M121" i="3"/>
  <c r="L122" i="3"/>
  <c r="M122" i="3"/>
  <c r="L123" i="3"/>
  <c r="M123" i="3"/>
  <c r="L124" i="3"/>
  <c r="M124" i="3"/>
  <c r="L125" i="3"/>
  <c r="M125" i="3"/>
  <c r="L126" i="3"/>
  <c r="M126" i="3"/>
  <c r="L127" i="3"/>
  <c r="M127" i="3"/>
  <c r="L128" i="3"/>
  <c r="M128" i="3"/>
  <c r="L129" i="3"/>
  <c r="M129" i="3"/>
  <c r="L130" i="3"/>
  <c r="M130" i="3"/>
  <c r="L131" i="3"/>
  <c r="M131" i="3"/>
  <c r="L132" i="3"/>
  <c r="M132" i="3"/>
  <c r="L133" i="3"/>
  <c r="M133" i="3"/>
  <c r="L134" i="3"/>
  <c r="M134" i="3"/>
  <c r="L135" i="3"/>
  <c r="M135" i="3"/>
  <c r="L136" i="3"/>
  <c r="M136" i="3"/>
  <c r="L137" i="3"/>
  <c r="M137" i="3"/>
  <c r="L138" i="3"/>
  <c r="M138" i="3"/>
  <c r="L139" i="3"/>
  <c r="M139" i="3"/>
  <c r="L140" i="3"/>
  <c r="M140"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L211" i="3"/>
  <c r="M211" i="3"/>
  <c r="L212" i="3"/>
  <c r="M212" i="3"/>
  <c r="L213" i="3"/>
  <c r="M213" i="3"/>
  <c r="L214" i="3"/>
  <c r="M214" i="3"/>
  <c r="L215" i="3"/>
  <c r="M215" i="3"/>
  <c r="L216" i="3"/>
  <c r="M216" i="3"/>
  <c r="L217" i="3"/>
  <c r="M217" i="3"/>
  <c r="L218" i="3"/>
  <c r="M218" i="3"/>
  <c r="L219" i="3"/>
  <c r="M219" i="3"/>
  <c r="L220" i="3"/>
  <c r="M220" i="3"/>
  <c r="L221" i="3"/>
  <c r="M221" i="3"/>
  <c r="L222" i="3"/>
  <c r="M222" i="3"/>
  <c r="L223" i="3"/>
  <c r="M223" i="3"/>
  <c r="L224" i="3"/>
  <c r="M224" i="3"/>
  <c r="L225" i="3"/>
  <c r="M225" i="3"/>
  <c r="L226" i="3"/>
  <c r="M226" i="3"/>
  <c r="L227" i="3"/>
  <c r="M227" i="3"/>
  <c r="L228" i="3"/>
  <c r="M228" i="3"/>
  <c r="L229" i="3"/>
  <c r="M229" i="3"/>
  <c r="L230" i="3"/>
  <c r="M230" i="3"/>
  <c r="L231" i="3"/>
  <c r="M231" i="3"/>
  <c r="L232" i="3"/>
  <c r="M232" i="3"/>
  <c r="L233" i="3"/>
  <c r="M233" i="3"/>
  <c r="L234" i="3"/>
  <c r="M234" i="3"/>
  <c r="L235" i="3"/>
  <c r="M235" i="3"/>
  <c r="L236" i="3"/>
  <c r="M236" i="3"/>
  <c r="L237" i="3"/>
  <c r="M237" i="3"/>
  <c r="L238" i="3"/>
  <c r="M238" i="3"/>
  <c r="L239" i="3"/>
  <c r="M239" i="3"/>
  <c r="L240" i="3"/>
  <c r="M240" i="3"/>
  <c r="L241" i="3"/>
  <c r="M241" i="3"/>
  <c r="L242" i="3"/>
  <c r="M242" i="3"/>
  <c r="L243" i="3"/>
  <c r="M243" i="3"/>
  <c r="L244" i="3"/>
  <c r="M244" i="3"/>
  <c r="L245" i="3"/>
  <c r="M245" i="3"/>
  <c r="L246" i="3"/>
  <c r="M246" i="3"/>
  <c r="L247" i="3"/>
  <c r="M247" i="3"/>
  <c r="L248" i="3"/>
  <c r="M248" i="3"/>
  <c r="L249" i="3"/>
  <c r="M249" i="3"/>
  <c r="L250" i="3"/>
  <c r="M250" i="3"/>
  <c r="L251" i="3"/>
  <c r="M251" i="3"/>
  <c r="L252" i="3"/>
  <c r="M252" i="3"/>
  <c r="L253" i="3"/>
  <c r="M253" i="3"/>
  <c r="L254" i="3"/>
  <c r="M254" i="3"/>
  <c r="L255" i="3"/>
  <c r="M255" i="3"/>
  <c r="L256" i="3"/>
  <c r="M256" i="3"/>
  <c r="L257" i="3"/>
  <c r="M257" i="3"/>
  <c r="L258" i="3"/>
  <c r="M258" i="3"/>
  <c r="L259" i="3"/>
  <c r="M259" i="3"/>
  <c r="L260" i="3"/>
  <c r="M260" i="3"/>
  <c r="L261" i="3"/>
  <c r="M261" i="3"/>
  <c r="L262" i="3"/>
  <c r="M262" i="3"/>
  <c r="L263" i="3"/>
  <c r="M263" i="3"/>
  <c r="L264" i="3"/>
  <c r="M264" i="3"/>
  <c r="L265" i="3"/>
  <c r="M265" i="3"/>
  <c r="L266" i="3"/>
  <c r="M266" i="3"/>
  <c r="L267" i="3"/>
  <c r="M267" i="3"/>
  <c r="L268" i="3"/>
  <c r="M268" i="3"/>
  <c r="L269" i="3"/>
  <c r="M269" i="3"/>
  <c r="L270" i="3"/>
  <c r="M270" i="3"/>
  <c r="L271" i="3"/>
  <c r="M271" i="3"/>
  <c r="L272" i="3"/>
  <c r="M272" i="3"/>
  <c r="L273" i="3"/>
  <c r="M273" i="3"/>
  <c r="L274" i="3"/>
  <c r="M274" i="3"/>
  <c r="L275" i="3"/>
  <c r="M275" i="3"/>
  <c r="L276" i="3"/>
  <c r="M276" i="3"/>
  <c r="L277" i="3"/>
  <c r="M277" i="3"/>
  <c r="L278" i="3"/>
  <c r="M278" i="3"/>
  <c r="L279" i="3"/>
  <c r="M279" i="3"/>
  <c r="L280" i="3"/>
  <c r="M280" i="3"/>
  <c r="L281" i="3"/>
  <c r="M281" i="3"/>
  <c r="L282" i="3"/>
  <c r="M282" i="3"/>
  <c r="L283" i="3"/>
  <c r="M283" i="3"/>
  <c r="L284" i="3"/>
  <c r="M284" i="3"/>
  <c r="L285" i="3"/>
  <c r="M285" i="3"/>
  <c r="L286" i="3"/>
  <c r="M286" i="3"/>
  <c r="L287" i="3"/>
  <c r="M287" i="3"/>
  <c r="L288" i="3"/>
  <c r="M288" i="3"/>
  <c r="L289" i="3"/>
  <c r="M289" i="3"/>
  <c r="L290" i="3"/>
  <c r="M290" i="3"/>
  <c r="L291" i="3"/>
  <c r="M291" i="3"/>
  <c r="L292" i="3"/>
  <c r="M292" i="3"/>
  <c r="L293" i="3"/>
  <c r="M293" i="3"/>
  <c r="L294" i="3"/>
  <c r="M294" i="3"/>
  <c r="L295" i="3"/>
  <c r="M295" i="3"/>
  <c r="L296" i="3"/>
  <c r="M296" i="3"/>
  <c r="L297" i="3"/>
  <c r="M297" i="3"/>
  <c r="L298" i="3"/>
  <c r="M298" i="3"/>
  <c r="L299" i="3"/>
  <c r="M299" i="3"/>
  <c r="L300" i="3"/>
  <c r="M300" i="3"/>
  <c r="L301" i="3"/>
  <c r="M301" i="3"/>
  <c r="L302" i="3"/>
  <c r="M302" i="3"/>
  <c r="L303" i="3"/>
  <c r="M303" i="3"/>
  <c r="L304" i="3"/>
  <c r="M304" i="3"/>
  <c r="L305" i="3"/>
  <c r="M305" i="3"/>
  <c r="L306" i="3"/>
  <c r="M306" i="3"/>
  <c r="L307" i="3"/>
  <c r="M307" i="3"/>
  <c r="L308" i="3"/>
  <c r="M308" i="3"/>
  <c r="L309" i="3"/>
  <c r="M309" i="3"/>
  <c r="L310" i="3"/>
  <c r="M310" i="3"/>
  <c r="L311" i="3"/>
  <c r="M311" i="3"/>
  <c r="L312" i="3"/>
  <c r="M312" i="3"/>
  <c r="L313" i="3"/>
  <c r="M313" i="3"/>
  <c r="L314" i="3"/>
  <c r="M314" i="3"/>
  <c r="L315" i="3"/>
  <c r="M315" i="3"/>
  <c r="L316" i="3"/>
  <c r="M316" i="3"/>
  <c r="L317" i="3"/>
  <c r="M317" i="3"/>
  <c r="L318" i="3"/>
  <c r="M318" i="3"/>
  <c r="L319" i="3"/>
  <c r="M319" i="3"/>
  <c r="L320" i="3"/>
  <c r="M320" i="3"/>
  <c r="L321" i="3"/>
  <c r="M321" i="3"/>
  <c r="L322" i="3"/>
  <c r="M322" i="3"/>
  <c r="L323" i="3"/>
  <c r="M323" i="3"/>
  <c r="L324" i="3"/>
  <c r="M324" i="3"/>
  <c r="L325" i="3"/>
  <c r="M325" i="3"/>
  <c r="L326" i="3"/>
  <c r="M326" i="3"/>
  <c r="L327" i="3"/>
  <c r="M327" i="3"/>
  <c r="L328" i="3"/>
  <c r="M328" i="3"/>
  <c r="L329" i="3"/>
  <c r="M329" i="3"/>
  <c r="L330" i="3"/>
  <c r="M330" i="3"/>
  <c r="L331" i="3"/>
  <c r="M331" i="3"/>
  <c r="L332" i="3"/>
  <c r="M332" i="3"/>
  <c r="L333" i="3"/>
  <c r="M333" i="3"/>
  <c r="L334" i="3"/>
  <c r="M334" i="3"/>
  <c r="L335" i="3"/>
  <c r="M335" i="3"/>
  <c r="L336" i="3"/>
  <c r="M336" i="3"/>
  <c r="L337" i="3"/>
  <c r="M337" i="3"/>
  <c r="L338" i="3"/>
  <c r="M338" i="3"/>
  <c r="L339" i="3"/>
  <c r="M339" i="3"/>
  <c r="L340" i="3"/>
  <c r="M340" i="3"/>
  <c r="L341" i="3"/>
  <c r="M341" i="3"/>
  <c r="L342" i="3"/>
  <c r="M342" i="3"/>
  <c r="L343" i="3"/>
  <c r="M343" i="3"/>
  <c r="L344" i="3"/>
  <c r="M344" i="3"/>
  <c r="L345" i="3"/>
  <c r="M345" i="3"/>
  <c r="L346" i="3"/>
  <c r="M346" i="3"/>
  <c r="L347" i="3"/>
  <c r="M347" i="3"/>
  <c r="L348" i="3"/>
  <c r="M348" i="3"/>
  <c r="L349" i="3"/>
  <c r="M349" i="3"/>
  <c r="L350" i="3"/>
  <c r="M350" i="3"/>
  <c r="L351" i="3"/>
  <c r="M351" i="3"/>
  <c r="L352" i="3"/>
  <c r="M352" i="3"/>
  <c r="L353" i="3"/>
  <c r="M353" i="3"/>
  <c r="L354" i="3"/>
  <c r="M354" i="3"/>
  <c r="L355" i="3"/>
  <c r="M355" i="3"/>
  <c r="L356" i="3"/>
  <c r="M356" i="3"/>
  <c r="L357" i="3"/>
  <c r="M357" i="3"/>
  <c r="L358" i="3"/>
  <c r="M358" i="3"/>
  <c r="L359" i="3"/>
  <c r="M359" i="3"/>
  <c r="L360" i="3"/>
  <c r="M360" i="3"/>
  <c r="L361" i="3"/>
  <c r="M361" i="3"/>
  <c r="L362" i="3"/>
  <c r="M362" i="3"/>
  <c r="L363" i="3"/>
  <c r="M363" i="3"/>
  <c r="L364" i="3"/>
  <c r="M364" i="3"/>
  <c r="L365" i="3"/>
  <c r="M365" i="3"/>
  <c r="L366" i="3"/>
  <c r="M366" i="3"/>
  <c r="L367" i="3"/>
  <c r="M367" i="3"/>
  <c r="L368" i="3"/>
  <c r="M368" i="3"/>
  <c r="L369" i="3"/>
  <c r="M369" i="3"/>
  <c r="L370" i="3"/>
  <c r="M370" i="3"/>
  <c r="L371" i="3"/>
  <c r="M371" i="3"/>
  <c r="L372" i="3"/>
  <c r="M372" i="3"/>
  <c r="L373" i="3"/>
  <c r="M373" i="3"/>
  <c r="L374" i="3"/>
  <c r="M374" i="3"/>
  <c r="L375" i="3"/>
  <c r="M375" i="3"/>
  <c r="L376" i="3"/>
  <c r="M376" i="3"/>
  <c r="L377" i="3"/>
  <c r="M377" i="3"/>
  <c r="L378" i="3"/>
  <c r="M378" i="3"/>
  <c r="L379" i="3"/>
  <c r="M379" i="3"/>
  <c r="L380" i="3"/>
  <c r="M380" i="3"/>
  <c r="L381" i="3"/>
  <c r="M381" i="3"/>
  <c r="L382" i="3"/>
  <c r="M382" i="3"/>
  <c r="L383" i="3"/>
  <c r="M383" i="3"/>
  <c r="L384" i="3"/>
  <c r="M384" i="3"/>
  <c r="L385" i="3"/>
  <c r="M385" i="3"/>
  <c r="L386" i="3"/>
  <c r="M386" i="3"/>
  <c r="L387" i="3"/>
  <c r="M387" i="3"/>
  <c r="L388" i="3"/>
  <c r="M388" i="3"/>
  <c r="L389" i="3"/>
  <c r="M389" i="3"/>
  <c r="L390" i="3"/>
  <c r="M390" i="3"/>
  <c r="L391" i="3"/>
  <c r="M391" i="3"/>
  <c r="L392" i="3"/>
  <c r="M392" i="3"/>
  <c r="L393" i="3"/>
  <c r="M393" i="3"/>
  <c r="L394" i="3"/>
  <c r="M394" i="3"/>
  <c r="L395" i="3"/>
  <c r="M395" i="3"/>
  <c r="L396" i="3"/>
  <c r="M396" i="3"/>
  <c r="L397" i="3"/>
  <c r="M397" i="3"/>
  <c r="L398" i="3"/>
  <c r="M398" i="3"/>
  <c r="L399" i="3"/>
  <c r="M399" i="3"/>
  <c r="L400" i="3"/>
  <c r="M400" i="3"/>
  <c r="L401" i="3"/>
  <c r="M401" i="3"/>
  <c r="L402" i="3"/>
  <c r="M402" i="3"/>
  <c r="L403" i="3"/>
  <c r="M403" i="3"/>
  <c r="L404" i="3"/>
  <c r="M404" i="3"/>
  <c r="L405" i="3"/>
  <c r="M405" i="3"/>
  <c r="L406" i="3"/>
  <c r="M406" i="3"/>
  <c r="L407" i="3"/>
  <c r="M407" i="3"/>
  <c r="L408" i="3"/>
  <c r="M408" i="3"/>
  <c r="L409" i="3"/>
  <c r="M409" i="3"/>
  <c r="L410" i="3"/>
  <c r="M410" i="3"/>
  <c r="L411" i="3"/>
  <c r="M411" i="3"/>
  <c r="L412" i="3"/>
  <c r="M412" i="3"/>
  <c r="L413" i="3"/>
  <c r="M413" i="3"/>
  <c r="L414" i="3"/>
  <c r="M414" i="3"/>
  <c r="L415" i="3"/>
  <c r="M415" i="3"/>
  <c r="L416" i="3"/>
  <c r="M416" i="3"/>
  <c r="L417" i="3"/>
  <c r="M417" i="3"/>
  <c r="L418" i="3"/>
  <c r="M418" i="3"/>
  <c r="L419" i="3"/>
  <c r="M419" i="3"/>
  <c r="L420" i="3"/>
  <c r="M420" i="3"/>
  <c r="L421" i="3"/>
  <c r="M421" i="3"/>
  <c r="L422" i="3"/>
  <c r="M422" i="3"/>
  <c r="L423" i="3"/>
  <c r="M423" i="3"/>
  <c r="L424" i="3"/>
  <c r="M424" i="3"/>
  <c r="L425" i="3"/>
  <c r="M425" i="3"/>
  <c r="L426" i="3"/>
  <c r="M426" i="3"/>
  <c r="L427" i="3"/>
  <c r="M427" i="3"/>
  <c r="L428" i="3"/>
  <c r="M428" i="3"/>
  <c r="L429" i="3"/>
  <c r="M429" i="3"/>
  <c r="L430" i="3"/>
  <c r="M430" i="3"/>
  <c r="L431" i="3"/>
  <c r="M431" i="3"/>
  <c r="L432" i="3"/>
  <c r="M432" i="3"/>
  <c r="L433" i="3"/>
  <c r="M433" i="3"/>
  <c r="L434" i="3"/>
  <c r="M434" i="3"/>
  <c r="L435" i="3"/>
  <c r="M435" i="3"/>
  <c r="L436" i="3"/>
  <c r="M436" i="3"/>
  <c r="L437" i="3"/>
  <c r="M437" i="3"/>
  <c r="L438" i="3"/>
  <c r="M438" i="3"/>
  <c r="L439" i="3"/>
  <c r="M439" i="3"/>
  <c r="L440" i="3"/>
  <c r="M440" i="3"/>
  <c r="L441" i="3"/>
  <c r="M441" i="3"/>
  <c r="L442" i="3"/>
  <c r="M442" i="3"/>
  <c r="L443" i="3"/>
  <c r="M443" i="3"/>
  <c r="L444" i="3"/>
  <c r="M444" i="3"/>
  <c r="L445" i="3"/>
  <c r="M445" i="3"/>
  <c r="L446" i="3"/>
  <c r="M446" i="3"/>
  <c r="L447" i="3"/>
  <c r="M447" i="3"/>
  <c r="L448" i="3"/>
  <c r="M448" i="3"/>
  <c r="L449" i="3"/>
  <c r="M449" i="3"/>
  <c r="L450" i="3"/>
  <c r="M450" i="3"/>
  <c r="L451" i="3"/>
  <c r="M451" i="3"/>
  <c r="L452" i="3"/>
  <c r="M452" i="3"/>
  <c r="L453" i="3"/>
  <c r="M453" i="3"/>
  <c r="L454" i="3"/>
  <c r="M454" i="3"/>
  <c r="L455" i="3"/>
  <c r="M455" i="3"/>
  <c r="L456" i="3"/>
  <c r="M456" i="3"/>
  <c r="L457" i="3"/>
  <c r="M457" i="3"/>
  <c r="L458" i="3"/>
  <c r="M458" i="3"/>
  <c r="L459" i="3"/>
  <c r="M459" i="3"/>
  <c r="L460" i="3"/>
  <c r="M460" i="3"/>
  <c r="L461" i="3"/>
  <c r="M461" i="3"/>
  <c r="L462" i="3"/>
  <c r="M462" i="3"/>
  <c r="L463" i="3"/>
  <c r="M463" i="3"/>
  <c r="L464" i="3"/>
  <c r="M464" i="3"/>
  <c r="L465" i="3"/>
  <c r="M465" i="3"/>
  <c r="L466" i="3"/>
  <c r="M466" i="3"/>
  <c r="L467" i="3"/>
  <c r="M467" i="3"/>
  <c r="L468" i="3"/>
  <c r="M468" i="3"/>
  <c r="L469" i="3"/>
  <c r="M469" i="3"/>
  <c r="L470" i="3"/>
  <c r="M470" i="3"/>
  <c r="L471" i="3"/>
  <c r="M471" i="3"/>
  <c r="L472" i="3"/>
  <c r="M472" i="3"/>
  <c r="L473" i="3"/>
  <c r="M473" i="3"/>
  <c r="L474" i="3"/>
  <c r="M474" i="3"/>
  <c r="L475" i="3"/>
  <c r="M475" i="3"/>
  <c r="L476" i="3"/>
  <c r="M476" i="3"/>
  <c r="L477" i="3"/>
  <c r="M477" i="3"/>
  <c r="L478" i="3"/>
  <c r="M478" i="3"/>
  <c r="L479" i="3"/>
  <c r="M479" i="3"/>
  <c r="L480" i="3"/>
  <c r="M480" i="3"/>
  <c r="L481" i="3"/>
  <c r="M481" i="3"/>
  <c r="L482" i="3"/>
  <c r="M482" i="3"/>
  <c r="L483" i="3"/>
  <c r="M483" i="3"/>
  <c r="L484" i="3"/>
  <c r="M484" i="3"/>
  <c r="L485" i="3"/>
  <c r="M485" i="3"/>
  <c r="L486" i="3"/>
  <c r="M486" i="3"/>
  <c r="L487" i="3"/>
  <c r="M487" i="3"/>
  <c r="L488" i="3"/>
  <c r="M488" i="3"/>
  <c r="L489" i="3"/>
  <c r="M489" i="3"/>
  <c r="L490" i="3"/>
  <c r="M490" i="3"/>
  <c r="L491" i="3"/>
  <c r="M491" i="3"/>
  <c r="L492" i="3"/>
  <c r="M492" i="3"/>
  <c r="L493" i="3"/>
  <c r="M493" i="3"/>
  <c r="L494" i="3"/>
  <c r="M494" i="3"/>
  <c r="L495" i="3"/>
  <c r="M495" i="3"/>
  <c r="L496" i="3"/>
  <c r="M496" i="3"/>
  <c r="L497" i="3"/>
  <c r="M497" i="3"/>
  <c r="L498" i="3"/>
  <c r="M498" i="3"/>
  <c r="L499" i="3"/>
  <c r="M499" i="3"/>
  <c r="L500" i="3"/>
  <c r="M500" i="3"/>
  <c r="L501" i="3"/>
  <c r="M501" i="3"/>
  <c r="L502" i="3"/>
  <c r="M502" i="3"/>
  <c r="L503" i="3"/>
  <c r="M503" i="3"/>
  <c r="L504" i="3"/>
  <c r="M504" i="3"/>
  <c r="L505" i="3"/>
  <c r="M505" i="3"/>
  <c r="L506" i="3"/>
  <c r="M506" i="3"/>
  <c r="L507" i="3"/>
  <c r="M507" i="3"/>
  <c r="L508" i="3"/>
  <c r="M508" i="3"/>
  <c r="L509" i="3"/>
  <c r="M509" i="3"/>
  <c r="L510" i="3"/>
  <c r="M510" i="3"/>
  <c r="L511" i="3"/>
  <c r="M511" i="3"/>
  <c r="L512" i="3"/>
  <c r="M512" i="3"/>
  <c r="L513" i="3"/>
  <c r="M513" i="3"/>
  <c r="L514" i="3"/>
  <c r="M514" i="3"/>
  <c r="L515" i="3"/>
  <c r="M515" i="3"/>
  <c r="L516" i="3"/>
  <c r="M516" i="3"/>
  <c r="L517" i="3"/>
  <c r="M517" i="3"/>
  <c r="L518" i="3"/>
  <c r="M518" i="3"/>
  <c r="L519" i="3"/>
  <c r="M519" i="3"/>
  <c r="L520" i="3"/>
  <c r="M520" i="3"/>
  <c r="L521" i="3"/>
  <c r="M521" i="3"/>
  <c r="L522" i="3"/>
  <c r="M522" i="3"/>
  <c r="L523" i="3"/>
  <c r="M523" i="3"/>
  <c r="L524" i="3"/>
  <c r="M524" i="3"/>
  <c r="L525" i="3"/>
  <c r="M525" i="3"/>
  <c r="L526" i="3"/>
  <c r="M526" i="3"/>
  <c r="L527" i="3"/>
  <c r="M527" i="3"/>
  <c r="L528" i="3"/>
  <c r="M528" i="3"/>
  <c r="L529" i="3"/>
  <c r="M529" i="3"/>
  <c r="L530" i="3"/>
  <c r="M530" i="3"/>
  <c r="L531" i="3"/>
  <c r="M531" i="3"/>
  <c r="L532" i="3"/>
  <c r="M532" i="3"/>
  <c r="L533" i="3"/>
  <c r="M533" i="3"/>
  <c r="L534" i="3"/>
  <c r="M534" i="3"/>
  <c r="L535" i="3"/>
  <c r="M535" i="3"/>
  <c r="L536" i="3"/>
  <c r="M536" i="3"/>
  <c r="L537" i="3"/>
  <c r="M537" i="3"/>
  <c r="L538" i="3"/>
  <c r="M538" i="3"/>
  <c r="L539" i="3"/>
  <c r="M539" i="3"/>
  <c r="L540" i="3"/>
  <c r="M540" i="3"/>
  <c r="L541" i="3"/>
  <c r="M541" i="3"/>
  <c r="L542" i="3"/>
  <c r="M542" i="3"/>
  <c r="L543" i="3"/>
  <c r="M543" i="3"/>
  <c r="L544" i="3"/>
  <c r="M544" i="3"/>
  <c r="L545" i="3"/>
  <c r="M545" i="3"/>
  <c r="L546" i="3"/>
  <c r="M546" i="3"/>
  <c r="L547" i="3"/>
  <c r="M547" i="3"/>
  <c r="L548" i="3"/>
  <c r="M548" i="3"/>
  <c r="L549" i="3"/>
  <c r="M549" i="3"/>
  <c r="L550" i="3"/>
  <c r="M550" i="3"/>
  <c r="L551" i="3"/>
  <c r="M551" i="3"/>
  <c r="L552" i="3"/>
  <c r="M552" i="3"/>
  <c r="L553" i="3"/>
  <c r="M553" i="3"/>
  <c r="L554" i="3"/>
  <c r="M554" i="3"/>
  <c r="L555" i="3"/>
  <c r="M555" i="3"/>
  <c r="L556" i="3"/>
  <c r="M556" i="3"/>
  <c r="L557" i="3"/>
  <c r="M557" i="3"/>
  <c r="L558" i="3"/>
  <c r="M558" i="3"/>
  <c r="L559" i="3"/>
  <c r="M559" i="3"/>
  <c r="L560" i="3"/>
  <c r="M560" i="3"/>
  <c r="L561" i="3"/>
  <c r="M561" i="3"/>
  <c r="L562" i="3"/>
  <c r="M562" i="3"/>
  <c r="L563" i="3"/>
  <c r="M563" i="3"/>
  <c r="L564" i="3"/>
  <c r="M564" i="3"/>
  <c r="L565" i="3"/>
  <c r="M565" i="3"/>
  <c r="L566" i="3"/>
  <c r="M566" i="3"/>
  <c r="L567" i="3"/>
  <c r="M567" i="3"/>
  <c r="L568" i="3"/>
  <c r="M568" i="3"/>
  <c r="L569" i="3"/>
  <c r="M569" i="3"/>
  <c r="L570" i="3"/>
  <c r="M570" i="3"/>
  <c r="L571" i="3"/>
  <c r="M571" i="3"/>
  <c r="L572" i="3"/>
  <c r="M572" i="3"/>
  <c r="L573" i="3"/>
  <c r="M573" i="3"/>
  <c r="L574" i="3"/>
  <c r="M574" i="3"/>
  <c r="L575" i="3"/>
  <c r="M575" i="3"/>
  <c r="L576" i="3"/>
  <c r="M576" i="3"/>
  <c r="L577" i="3"/>
  <c r="M577" i="3"/>
  <c r="L578" i="3"/>
  <c r="M578" i="3"/>
  <c r="L579" i="3"/>
  <c r="M579" i="3"/>
  <c r="L580" i="3"/>
  <c r="M580" i="3"/>
  <c r="L581" i="3"/>
  <c r="M581" i="3"/>
  <c r="L582" i="3"/>
  <c r="M582" i="3"/>
  <c r="L583" i="3"/>
  <c r="M583" i="3"/>
  <c r="L584" i="3"/>
  <c r="M584" i="3"/>
  <c r="L585" i="3"/>
  <c r="M585" i="3"/>
  <c r="L586" i="3"/>
  <c r="M586" i="3"/>
  <c r="L587" i="3"/>
  <c r="M587" i="3"/>
  <c r="L588" i="3"/>
  <c r="M588" i="3"/>
  <c r="L589" i="3"/>
  <c r="M589" i="3"/>
  <c r="L590" i="3"/>
  <c r="M590" i="3"/>
  <c r="L591" i="3"/>
  <c r="M591" i="3"/>
  <c r="L592" i="3"/>
  <c r="M592" i="3"/>
  <c r="L593" i="3"/>
  <c r="M593" i="3"/>
  <c r="L594" i="3"/>
  <c r="M594" i="3"/>
  <c r="L595" i="3"/>
  <c r="M595" i="3"/>
  <c r="L596" i="3"/>
  <c r="M596" i="3"/>
  <c r="L597" i="3"/>
  <c r="M597" i="3"/>
  <c r="L598" i="3"/>
  <c r="M598" i="3"/>
  <c r="L599" i="3"/>
  <c r="M599" i="3"/>
  <c r="L600" i="3"/>
  <c r="M600" i="3"/>
  <c r="L601" i="3"/>
  <c r="M601" i="3"/>
  <c r="L602" i="3"/>
  <c r="M602" i="3"/>
  <c r="L603" i="3"/>
  <c r="M603" i="3"/>
  <c r="L604" i="3"/>
  <c r="M604" i="3"/>
  <c r="L605" i="3"/>
  <c r="M605" i="3"/>
  <c r="L606" i="3"/>
  <c r="M606" i="3"/>
  <c r="L607" i="3"/>
  <c r="M607" i="3"/>
  <c r="L608" i="3"/>
  <c r="M608" i="3"/>
  <c r="L609" i="3"/>
  <c r="M609" i="3"/>
  <c r="L610" i="3"/>
  <c r="M610" i="3"/>
  <c r="L611" i="3"/>
  <c r="M611" i="3"/>
  <c r="L612" i="3"/>
  <c r="M612" i="3"/>
  <c r="L613" i="3"/>
  <c r="M613" i="3"/>
  <c r="L614" i="3"/>
  <c r="M614" i="3"/>
  <c r="L615" i="3"/>
  <c r="M615" i="3"/>
  <c r="L616" i="3"/>
  <c r="M616" i="3"/>
  <c r="L617" i="3"/>
  <c r="M617" i="3"/>
  <c r="L618" i="3"/>
  <c r="M618" i="3"/>
  <c r="L619" i="3"/>
  <c r="M619" i="3"/>
  <c r="L620" i="3"/>
  <c r="M620" i="3"/>
  <c r="L621" i="3"/>
  <c r="M621" i="3"/>
  <c r="L622" i="3"/>
  <c r="M622" i="3"/>
  <c r="L623" i="3"/>
  <c r="M623" i="3"/>
  <c r="L624" i="3"/>
  <c r="M624" i="3"/>
  <c r="L625" i="3"/>
  <c r="M625" i="3"/>
  <c r="L626" i="3"/>
  <c r="M626" i="3"/>
  <c r="L627" i="3"/>
  <c r="M627" i="3"/>
  <c r="L628" i="3"/>
  <c r="M628" i="3"/>
  <c r="L629" i="3"/>
  <c r="M629" i="3"/>
  <c r="L630" i="3"/>
  <c r="M630" i="3"/>
  <c r="L631" i="3"/>
  <c r="M631" i="3"/>
  <c r="L632" i="3"/>
  <c r="M632" i="3"/>
  <c r="L633" i="3"/>
  <c r="M633" i="3"/>
  <c r="L634" i="3"/>
  <c r="M634" i="3"/>
  <c r="L635" i="3"/>
  <c r="M635" i="3"/>
  <c r="L636" i="3"/>
  <c r="M636" i="3"/>
  <c r="L637" i="3"/>
  <c r="M637" i="3"/>
  <c r="L638" i="3"/>
  <c r="M638" i="3"/>
  <c r="L639" i="3"/>
  <c r="M639" i="3"/>
  <c r="L640" i="3"/>
  <c r="M640" i="3"/>
  <c r="L641" i="3"/>
  <c r="M641" i="3"/>
  <c r="L642" i="3"/>
  <c r="M642" i="3"/>
  <c r="L643" i="3"/>
  <c r="M643" i="3"/>
  <c r="L644" i="3"/>
  <c r="M644" i="3"/>
  <c r="L645" i="3"/>
  <c r="M645" i="3"/>
  <c r="L646" i="3"/>
  <c r="M646" i="3"/>
  <c r="L647" i="3"/>
  <c r="M647" i="3"/>
  <c r="L648" i="3"/>
  <c r="M648" i="3"/>
  <c r="L649" i="3"/>
  <c r="M649" i="3"/>
  <c r="L650" i="3"/>
  <c r="M650" i="3"/>
  <c r="L651" i="3"/>
  <c r="M651" i="3"/>
  <c r="L652" i="3"/>
  <c r="M652" i="3"/>
  <c r="L653" i="3"/>
  <c r="M653" i="3"/>
  <c r="L654" i="3"/>
  <c r="M654" i="3"/>
  <c r="L655" i="3"/>
  <c r="M655" i="3"/>
  <c r="L656" i="3"/>
  <c r="M656" i="3"/>
  <c r="L657" i="3"/>
  <c r="M657" i="3"/>
  <c r="L658" i="3"/>
  <c r="M658" i="3"/>
  <c r="L659" i="3"/>
  <c r="M659" i="3"/>
  <c r="L660" i="3"/>
  <c r="M660" i="3"/>
  <c r="L661" i="3"/>
  <c r="M661" i="3"/>
  <c r="L662" i="3"/>
  <c r="M662" i="3"/>
  <c r="L663" i="3"/>
  <c r="M663" i="3"/>
  <c r="L664" i="3"/>
  <c r="M664" i="3"/>
  <c r="L665" i="3"/>
  <c r="M665" i="3"/>
  <c r="L666" i="3"/>
  <c r="M666" i="3"/>
  <c r="L667" i="3"/>
  <c r="M667" i="3"/>
  <c r="L668" i="3"/>
  <c r="M668" i="3"/>
  <c r="L669" i="3"/>
  <c r="M669" i="3"/>
  <c r="L670" i="3"/>
  <c r="M670" i="3"/>
  <c r="L671" i="3"/>
  <c r="M671" i="3"/>
  <c r="L672" i="3"/>
  <c r="M672" i="3"/>
  <c r="L673" i="3"/>
  <c r="M673" i="3"/>
  <c r="L674" i="3"/>
  <c r="M674" i="3"/>
  <c r="L675" i="3"/>
  <c r="M675" i="3"/>
  <c r="L676" i="3"/>
  <c r="M676" i="3"/>
  <c r="L677" i="3"/>
  <c r="M677" i="3"/>
  <c r="L678" i="3"/>
  <c r="M678" i="3"/>
  <c r="L679" i="3"/>
  <c r="M679" i="3"/>
  <c r="L680" i="3"/>
  <c r="M680" i="3"/>
  <c r="L681" i="3"/>
  <c r="M681" i="3"/>
  <c r="L682" i="3"/>
  <c r="M682" i="3"/>
  <c r="L683" i="3"/>
  <c r="M683" i="3"/>
  <c r="L684" i="3"/>
  <c r="M684" i="3"/>
  <c r="L685" i="3"/>
  <c r="M685" i="3"/>
  <c r="L686" i="3"/>
  <c r="M686" i="3"/>
  <c r="L687" i="3"/>
  <c r="M687" i="3"/>
  <c r="L688" i="3"/>
  <c r="M688" i="3"/>
  <c r="L689" i="3"/>
  <c r="M689" i="3"/>
  <c r="L690" i="3"/>
  <c r="M690" i="3"/>
  <c r="L691" i="3"/>
  <c r="M691" i="3"/>
  <c r="L692" i="3"/>
  <c r="M692" i="3"/>
  <c r="L693" i="3"/>
  <c r="M693" i="3"/>
  <c r="L694" i="3"/>
  <c r="M694" i="3"/>
  <c r="M46" i="3"/>
  <c r="N46" i="3" s="1"/>
  <c r="L46" i="3"/>
  <c r="J22" i="3"/>
  <c r="L22" i="3"/>
  <c r="M22" i="3"/>
  <c r="J23" i="3"/>
  <c r="L23" i="3"/>
  <c r="M23" i="3"/>
  <c r="J24" i="3"/>
  <c r="L24" i="3"/>
  <c r="M24" i="3"/>
  <c r="J25" i="3"/>
  <c r="L25" i="3"/>
  <c r="M25" i="3"/>
  <c r="J26" i="3"/>
  <c r="L26" i="3"/>
  <c r="M26" i="3"/>
  <c r="J27" i="3"/>
  <c r="L27" i="3"/>
  <c r="M27" i="3"/>
  <c r="J28" i="3"/>
  <c r="L28" i="3"/>
  <c r="M28" i="3"/>
  <c r="J29" i="3"/>
  <c r="L29" i="3"/>
  <c r="M29" i="3"/>
  <c r="J30" i="3"/>
  <c r="L30" i="3"/>
  <c r="M30" i="3"/>
  <c r="J31" i="3"/>
  <c r="L31" i="3"/>
  <c r="M31" i="3"/>
  <c r="J32" i="3"/>
  <c r="L32" i="3"/>
  <c r="M32" i="3"/>
  <c r="J33" i="3"/>
  <c r="L33" i="3"/>
  <c r="M33" i="3"/>
  <c r="J34" i="3"/>
  <c r="L34" i="3"/>
  <c r="M34" i="3"/>
  <c r="J35" i="3"/>
  <c r="L35" i="3"/>
  <c r="M35" i="3"/>
  <c r="J36" i="3"/>
  <c r="L36" i="3"/>
  <c r="M36" i="3"/>
  <c r="J37" i="3"/>
  <c r="L37" i="3"/>
  <c r="M37" i="3"/>
  <c r="J38" i="3"/>
  <c r="L38" i="3"/>
  <c r="M38" i="3"/>
  <c r="J39" i="3"/>
  <c r="L39" i="3"/>
  <c r="M39" i="3"/>
  <c r="J40" i="3"/>
  <c r="L40" i="3"/>
  <c r="M40" i="3"/>
  <c r="J41" i="3"/>
  <c r="L41" i="3"/>
  <c r="M41" i="3"/>
  <c r="J42" i="3"/>
  <c r="L42" i="3"/>
  <c r="M42" i="3"/>
  <c r="J43" i="3"/>
  <c r="L43" i="3"/>
  <c r="M43" i="3"/>
  <c r="J44" i="3"/>
  <c r="L44" i="3"/>
  <c r="M44" i="3"/>
  <c r="J45" i="3"/>
  <c r="L45" i="3"/>
  <c r="M45" i="3"/>
  <c r="J46" i="3"/>
  <c r="C21" i="3"/>
  <c r="L21" i="3"/>
  <c r="J21" i="3"/>
  <c r="L20" i="3"/>
  <c r="J20" i="3"/>
  <c r="BA69" i="1"/>
  <c r="AZ69" i="1"/>
  <c r="AY69" i="1"/>
  <c r="AX69" i="1"/>
  <c r="AW69" i="1"/>
  <c r="AV69" i="1"/>
  <c r="AU69" i="1"/>
  <c r="AT69" i="1"/>
  <c r="AS69" i="1"/>
  <c r="AR69" i="1"/>
  <c r="D69" i="1"/>
  <c r="BA73" i="1"/>
  <c r="AZ73" i="1"/>
  <c r="AY73" i="1"/>
  <c r="AX73" i="1"/>
  <c r="AW73" i="1"/>
  <c r="AV73" i="1"/>
  <c r="AU73" i="1"/>
  <c r="AT73" i="1"/>
  <c r="AS73" i="1"/>
  <c r="AR73" i="1"/>
  <c r="D73" i="1"/>
  <c r="BA72" i="1"/>
  <c r="AZ72" i="1"/>
  <c r="AY72" i="1"/>
  <c r="AX72" i="1"/>
  <c r="AW72" i="1"/>
  <c r="AV72" i="1"/>
  <c r="AU72" i="1"/>
  <c r="AT72" i="1"/>
  <c r="AS72" i="1"/>
  <c r="AR72" i="1"/>
  <c r="D72" i="1"/>
  <c r="BA71" i="1"/>
  <c r="AZ71" i="1"/>
  <c r="AY71" i="1"/>
  <c r="AX71" i="1"/>
  <c r="AW71" i="1"/>
  <c r="AV71" i="1"/>
  <c r="AU71" i="1"/>
  <c r="AT71" i="1"/>
  <c r="AS71" i="1"/>
  <c r="AR71" i="1"/>
  <c r="D71" i="1"/>
  <c r="D70" i="1"/>
  <c r="BA68" i="1"/>
  <c r="AZ68" i="1"/>
  <c r="AY68" i="1"/>
  <c r="AX68" i="1"/>
  <c r="AW68" i="1"/>
  <c r="AV68" i="1"/>
  <c r="AU68" i="1"/>
  <c r="AT68" i="1"/>
  <c r="AS68" i="1"/>
  <c r="AR68" i="1"/>
  <c r="D68"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07" i="3"/>
  <c r="J410" i="3"/>
  <c r="J409" i="3"/>
  <c r="J408" i="3"/>
  <c r="J407" i="3"/>
  <c r="J406" i="3"/>
  <c r="J405" i="3"/>
  <c r="J404" i="3"/>
  <c r="H404" i="3"/>
  <c r="J403" i="3"/>
  <c r="J402" i="3"/>
  <c r="J401" i="3"/>
  <c r="J400" i="3"/>
  <c r="J399" i="3"/>
  <c r="J398" i="3"/>
  <c r="D43"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D92"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84" i="3"/>
  <c r="H551"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4" i="3"/>
  <c r="G4" i="4"/>
  <c r="H591" i="3"/>
  <c r="H578" i="3"/>
  <c r="H565" i="3"/>
  <c r="H552" i="3"/>
  <c r="H539" i="3"/>
  <c r="H526" i="3"/>
  <c r="H590" i="3"/>
  <c r="H587" i="3"/>
  <c r="H582" i="3"/>
  <c r="D578" i="3"/>
  <c r="B578" i="3"/>
  <c r="H577" i="3"/>
  <c r="B577" i="3"/>
  <c r="H574" i="3"/>
  <c r="D574" i="3"/>
  <c r="B574" i="3"/>
  <c r="H571" i="3"/>
  <c r="B571" i="3"/>
  <c r="H569" i="3"/>
  <c r="B569" i="3"/>
  <c r="D565" i="3"/>
  <c r="B565" i="3"/>
  <c r="H564" i="3"/>
  <c r="B564" i="3"/>
  <c r="H561" i="3"/>
  <c r="D561" i="3"/>
  <c r="B561" i="3"/>
  <c r="H558" i="3"/>
  <c r="B558" i="3"/>
  <c r="H556" i="3"/>
  <c r="B556" i="3"/>
  <c r="D539" i="3"/>
  <c r="B539" i="3"/>
  <c r="H538" i="3"/>
  <c r="B538" i="3"/>
  <c r="H535" i="3"/>
  <c r="D535" i="3"/>
  <c r="B535" i="3"/>
  <c r="H532" i="3"/>
  <c r="B532" i="3"/>
  <c r="H530" i="3"/>
  <c r="B530" i="3"/>
  <c r="H522" i="3"/>
  <c r="H517" i="3"/>
  <c r="B517" i="3"/>
  <c r="D526" i="3"/>
  <c r="D522" i="3"/>
  <c r="H525" i="3"/>
  <c r="B525" i="3"/>
  <c r="B522" i="3"/>
  <c r="H519" i="3"/>
  <c r="B519" i="3"/>
  <c r="B526" i="3"/>
  <c r="D86" i="1"/>
  <c r="D85" i="1"/>
  <c r="D84" i="1"/>
  <c r="BA83" i="1"/>
  <c r="AZ83" i="1"/>
  <c r="AY83" i="1"/>
  <c r="AX83" i="1"/>
  <c r="AW83" i="1"/>
  <c r="AV83" i="1"/>
  <c r="AU83" i="1"/>
  <c r="AT83" i="1"/>
  <c r="AS83" i="1"/>
  <c r="AR83" i="1"/>
  <c r="D83" i="1"/>
  <c r="G10" i="4"/>
  <c r="H421" i="3"/>
  <c r="H434" i="3"/>
  <c r="H425" i="3"/>
  <c r="H386" i="3"/>
  <c r="H412" i="3"/>
  <c r="H373"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L19" i="3"/>
  <c r="L18" i="3"/>
  <c r="L17" i="3"/>
  <c r="L16" i="3"/>
  <c r="L15" i="3"/>
  <c r="L14" i="3"/>
  <c r="L13" i="3"/>
  <c r="L12" i="3"/>
  <c r="L11" i="3"/>
  <c r="L10" i="3"/>
  <c r="AR52" i="1"/>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U60" i="1"/>
  <c r="BA61"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4" i="1"/>
  <c r="AS74" i="1"/>
  <c r="AT74" i="1"/>
  <c r="AU74" i="1"/>
  <c r="AV74" i="1"/>
  <c r="AW74" i="1"/>
  <c r="AX74" i="1"/>
  <c r="AY74" i="1"/>
  <c r="AZ74" i="1"/>
  <c r="BA74" i="1"/>
  <c r="AR75" i="1"/>
  <c r="AS75" i="1"/>
  <c r="AT75" i="1"/>
  <c r="AU75" i="1"/>
  <c r="AV75" i="1"/>
  <c r="AW75" i="1"/>
  <c r="AX75" i="1"/>
  <c r="AY75" i="1"/>
  <c r="AZ75" i="1"/>
  <c r="BA75" i="1"/>
  <c r="AR82" i="1"/>
  <c r="AS82" i="1"/>
  <c r="AT82" i="1"/>
  <c r="AU82" i="1"/>
  <c r="AV82" i="1"/>
  <c r="AW82" i="1"/>
  <c r="AX82" i="1"/>
  <c r="AY82" i="1"/>
  <c r="AZ82" i="1"/>
  <c r="BA82" i="1"/>
  <c r="AR90" i="1"/>
  <c r="AS90" i="1"/>
  <c r="AT90" i="1"/>
  <c r="AU90" i="1"/>
  <c r="AV90" i="1"/>
  <c r="AW90" i="1"/>
  <c r="AX90" i="1"/>
  <c r="AY90" i="1"/>
  <c r="AZ90" i="1"/>
  <c r="BA90" i="1"/>
  <c r="AR91" i="1"/>
  <c r="AS91" i="1"/>
  <c r="AT91" i="1"/>
  <c r="AU91" i="1"/>
  <c r="AV91" i="1"/>
  <c r="AW91" i="1"/>
  <c r="AX91" i="1"/>
  <c r="AY91" i="1"/>
  <c r="AZ91" i="1"/>
  <c r="BA91" i="1"/>
  <c r="AS52" i="1"/>
  <c r="AT52" i="1"/>
  <c r="AU52" i="1"/>
  <c r="AV52" i="1"/>
  <c r="AW52" i="1"/>
  <c r="AX52" i="1"/>
  <c r="AY52" i="1"/>
  <c r="AZ52" i="1"/>
  <c r="BA52" i="1"/>
  <c r="B434" i="3"/>
  <c r="H433" i="3"/>
  <c r="H430" i="3"/>
  <c r="H417" i="3"/>
  <c r="D434" i="3"/>
  <c r="D421" i="3"/>
  <c r="D395" i="3"/>
  <c r="D382" i="3"/>
  <c r="D425" i="3"/>
  <c r="D412" i="3"/>
  <c r="D386" i="3"/>
  <c r="D373" i="3"/>
  <c r="B433" i="3"/>
  <c r="B430" i="3"/>
  <c r="B425" i="3"/>
  <c r="B421" i="3"/>
  <c r="H420" i="3"/>
  <c r="B420" i="3"/>
  <c r="B417" i="3"/>
  <c r="B412" i="3"/>
  <c r="H395" i="3"/>
  <c r="B395" i="3"/>
  <c r="H394" i="3"/>
  <c r="B394" i="3"/>
  <c r="H391" i="3"/>
  <c r="B391" i="3"/>
  <c r="B386" i="3"/>
  <c r="H382" i="3"/>
  <c r="H381" i="3"/>
  <c r="H378" i="3"/>
  <c r="B382" i="3"/>
  <c r="B381" i="3"/>
  <c r="AZ41" i="1" s="1"/>
  <c r="B378" i="3"/>
  <c r="B373" i="3"/>
  <c r="AW60" i="1" s="1"/>
  <c r="D62" i="1"/>
  <c r="D61" i="1"/>
  <c r="D60" i="1"/>
  <c r="D59" i="1"/>
  <c r="D63" i="1"/>
  <c r="D64" i="1"/>
  <c r="D65" i="1"/>
  <c r="D66" i="1"/>
  <c r="D57" i="1"/>
  <c r="D52" i="1"/>
  <c r="D53" i="1"/>
  <c r="D54" i="1"/>
  <c r="D55" i="1"/>
  <c r="D56" i="1"/>
  <c r="D58" i="1"/>
  <c r="D67"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4" i="1"/>
  <c r="D75" i="1"/>
  <c r="D76" i="1"/>
  <c r="D77" i="1"/>
  <c r="D78" i="1"/>
  <c r="D79" i="1"/>
  <c r="D80" i="1"/>
  <c r="D81" i="1"/>
  <c r="D82" i="1"/>
  <c r="D87" i="1"/>
  <c r="D88" i="1"/>
  <c r="D89" i="1"/>
  <c r="D90" i="1"/>
  <c r="D91" i="1"/>
  <c r="N480" i="3" l="1"/>
  <c r="N464" i="3"/>
  <c r="N384" i="3"/>
  <c r="N56" i="3"/>
  <c r="N686" i="3"/>
  <c r="N670" i="3"/>
  <c r="N654" i="3"/>
  <c r="N638" i="3"/>
  <c r="N622" i="3"/>
  <c r="N606" i="3"/>
  <c r="N590" i="3"/>
  <c r="N574" i="3"/>
  <c r="N558" i="3"/>
  <c r="N542" i="3"/>
  <c r="N526" i="3"/>
  <c r="N510" i="3"/>
  <c r="N494" i="3"/>
  <c r="N478" i="3"/>
  <c r="N462" i="3"/>
  <c r="N446" i="3"/>
  <c r="N430" i="3"/>
  <c r="N414" i="3"/>
  <c r="N398" i="3"/>
  <c r="N382" i="3"/>
  <c r="N366" i="3"/>
  <c r="N350" i="3"/>
  <c r="N334" i="3"/>
  <c r="N318" i="3"/>
  <c r="N302" i="3"/>
  <c r="N286" i="3"/>
  <c r="N270" i="3"/>
  <c r="N254" i="3"/>
  <c r="N238" i="3"/>
  <c r="N222" i="3"/>
  <c r="N693" i="3"/>
  <c r="N685" i="3"/>
  <c r="N677" i="3"/>
  <c r="N669" i="3"/>
  <c r="N653" i="3"/>
  <c r="N637" i="3"/>
  <c r="N621" i="3"/>
  <c r="N605" i="3"/>
  <c r="N589" i="3"/>
  <c r="N573" i="3"/>
  <c r="N557" i="3"/>
  <c r="N541" i="3"/>
  <c r="N525" i="3"/>
  <c r="N509" i="3"/>
  <c r="N493" i="3"/>
  <c r="N477" i="3"/>
  <c r="N461" i="3"/>
  <c r="N445" i="3"/>
  <c r="N429" i="3"/>
  <c r="N413" i="3"/>
  <c r="N397" i="3"/>
  <c r="N381" i="3"/>
  <c r="N365" i="3"/>
  <c r="N237" i="3"/>
  <c r="N221" i="3"/>
  <c r="N205" i="3"/>
  <c r="N189" i="3"/>
  <c r="N173" i="3"/>
  <c r="N157" i="3"/>
  <c r="N141" i="3"/>
  <c r="N125" i="3"/>
  <c r="N109" i="3"/>
  <c r="N93" i="3"/>
  <c r="N77" i="3"/>
  <c r="N69" i="3"/>
  <c r="N61" i="3"/>
  <c r="N692" i="3"/>
  <c r="N684" i="3"/>
  <c r="N676" i="3"/>
  <c r="N668" i="3"/>
  <c r="N660" i="3"/>
  <c r="N652" i="3"/>
  <c r="N644" i="3"/>
  <c r="N636" i="3"/>
  <c r="N628" i="3"/>
  <c r="N620" i="3"/>
  <c r="N612" i="3"/>
  <c r="N604" i="3"/>
  <c r="N596" i="3"/>
  <c r="N588" i="3"/>
  <c r="N580" i="3"/>
  <c r="N564" i="3"/>
  <c r="N532" i="3"/>
  <c r="N516" i="3"/>
  <c r="N500" i="3"/>
  <c r="N492" i="3"/>
  <c r="N484" i="3"/>
  <c r="N476" i="3"/>
  <c r="N468" i="3"/>
  <c r="N452" i="3"/>
  <c r="N444" i="3"/>
  <c r="N436" i="3"/>
  <c r="N428" i="3"/>
  <c r="N420" i="3"/>
  <c r="N388" i="3"/>
  <c r="N380" i="3"/>
  <c r="N372" i="3"/>
  <c r="N364" i="3"/>
  <c r="N356" i="3"/>
  <c r="N348" i="3"/>
  <c r="N340" i="3"/>
  <c r="N332" i="3"/>
  <c r="N324" i="3"/>
  <c r="N316" i="3"/>
  <c r="N308" i="3"/>
  <c r="N300" i="3"/>
  <c r="N292" i="3"/>
  <c r="N284" i="3"/>
  <c r="N276" i="3"/>
  <c r="N268" i="3"/>
  <c r="N260" i="3"/>
  <c r="N252" i="3"/>
  <c r="N244" i="3"/>
  <c r="N236" i="3"/>
  <c r="N228" i="3"/>
  <c r="N220" i="3"/>
  <c r="N212" i="3"/>
  <c r="N204" i="3"/>
  <c r="N196" i="3"/>
  <c r="N188" i="3"/>
  <c r="N180" i="3"/>
  <c r="N172" i="3"/>
  <c r="N164" i="3"/>
  <c r="N156" i="3"/>
  <c r="N148" i="3"/>
  <c r="N140" i="3"/>
  <c r="N132" i="3"/>
  <c r="N124" i="3"/>
  <c r="N116" i="3"/>
  <c r="N108" i="3"/>
  <c r="N100" i="3"/>
  <c r="N92" i="3"/>
  <c r="N84" i="3"/>
  <c r="N76" i="3"/>
  <c r="N68" i="3"/>
  <c r="N60" i="3"/>
  <c r="N667" i="3"/>
  <c r="N651" i="3"/>
  <c r="N635" i="3"/>
  <c r="N619" i="3"/>
  <c r="N603" i="3"/>
  <c r="N587" i="3"/>
  <c r="N571" i="3"/>
  <c r="N555" i="3"/>
  <c r="N539" i="3"/>
  <c r="N523" i="3"/>
  <c r="N507" i="3"/>
  <c r="N491" i="3"/>
  <c r="N475" i="3"/>
  <c r="N459" i="3"/>
  <c r="N443" i="3"/>
  <c r="N427" i="3"/>
  <c r="N411" i="3"/>
  <c r="N395" i="3"/>
  <c r="N387" i="3"/>
  <c r="N379" i="3"/>
  <c r="N371" i="3"/>
  <c r="N363" i="3"/>
  <c r="N355" i="3"/>
  <c r="N347" i="3"/>
  <c r="N339" i="3"/>
  <c r="N331" i="3"/>
  <c r="N323" i="3"/>
  <c r="N315" i="3"/>
  <c r="N307" i="3"/>
  <c r="N299" i="3"/>
  <c r="N291" i="3"/>
  <c r="N275" i="3"/>
  <c r="N690" i="3"/>
  <c r="N682" i="3"/>
  <c r="N674" i="3"/>
  <c r="N666" i="3"/>
  <c r="N658" i="3"/>
  <c r="N650" i="3"/>
  <c r="N642" i="3"/>
  <c r="N634" i="3"/>
  <c r="N626" i="3"/>
  <c r="N618" i="3"/>
  <c r="N610" i="3"/>
  <c r="N602" i="3"/>
  <c r="N594" i="3"/>
  <c r="N586" i="3"/>
  <c r="N578" i="3"/>
  <c r="N570" i="3"/>
  <c r="N562" i="3"/>
  <c r="N554" i="3"/>
  <c r="N546" i="3"/>
  <c r="N538" i="3"/>
  <c r="N530" i="3"/>
  <c r="N522" i="3"/>
  <c r="N514" i="3"/>
  <c r="N506" i="3"/>
  <c r="N498" i="3"/>
  <c r="N490" i="3"/>
  <c r="N482" i="3"/>
  <c r="N466" i="3"/>
  <c r="N450" i="3"/>
  <c r="N434" i="3"/>
  <c r="N426" i="3"/>
  <c r="N418" i="3"/>
  <c r="N410" i="3"/>
  <c r="N402" i="3"/>
  <c r="N394" i="3"/>
  <c r="N386" i="3"/>
  <c r="N370" i="3"/>
  <c r="N362" i="3"/>
  <c r="N354" i="3"/>
  <c r="N346" i="3"/>
  <c r="N338" i="3"/>
  <c r="N330" i="3"/>
  <c r="N322" i="3"/>
  <c r="N314" i="3"/>
  <c r="N306" i="3"/>
  <c r="N298" i="3"/>
  <c r="N290" i="3"/>
  <c r="N282" i="3"/>
  <c r="N274" i="3"/>
  <c r="N266" i="3"/>
  <c r="N258" i="3"/>
  <c r="N250" i="3"/>
  <c r="N242" i="3"/>
  <c r="N234" i="3"/>
  <c r="N226" i="3"/>
  <c r="N218" i="3"/>
  <c r="N210" i="3"/>
  <c r="N202" i="3"/>
  <c r="N194" i="3"/>
  <c r="N186" i="3"/>
  <c r="N178" i="3"/>
  <c r="N170" i="3"/>
  <c r="N162" i="3"/>
  <c r="N154" i="3"/>
  <c r="N146" i="3"/>
  <c r="N138" i="3"/>
  <c r="N130" i="3"/>
  <c r="N122" i="3"/>
  <c r="N114" i="3"/>
  <c r="N106" i="3"/>
  <c r="N98" i="3"/>
  <c r="N90" i="3"/>
  <c r="N82" i="3"/>
  <c r="N74" i="3"/>
  <c r="N66" i="3"/>
  <c r="N58" i="3"/>
  <c r="N89" i="3"/>
  <c r="N81" i="3"/>
  <c r="N687" i="3"/>
  <c r="N671" i="3"/>
  <c r="N655" i="3"/>
  <c r="N639" i="3"/>
  <c r="N623" i="3"/>
  <c r="N607" i="3"/>
  <c r="N591" i="3"/>
  <c r="N575" i="3"/>
  <c r="N559" i="3"/>
  <c r="N543" i="3"/>
  <c r="N527" i="3"/>
  <c r="N511" i="3"/>
  <c r="N495" i="3"/>
  <c r="N479" i="3"/>
  <c r="N463" i="3"/>
  <c r="N447" i="3"/>
  <c r="N431" i="3"/>
  <c r="N415" i="3"/>
  <c r="N399" i="3"/>
  <c r="N383" i="3"/>
  <c r="N367" i="3"/>
  <c r="N351" i="3"/>
  <c r="N335" i="3"/>
  <c r="N319" i="3"/>
  <c r="N303" i="3"/>
  <c r="N295" i="3"/>
  <c r="N287" i="3"/>
  <c r="N279" i="3"/>
  <c r="N271" i="3"/>
  <c r="N263" i="3"/>
  <c r="N255" i="3"/>
  <c r="N247" i="3"/>
  <c r="N239" i="3"/>
  <c r="N231" i="3"/>
  <c r="N223" i="3"/>
  <c r="N215" i="3"/>
  <c r="N207" i="3"/>
  <c r="N199" i="3"/>
  <c r="N191" i="3"/>
  <c r="N183" i="3"/>
  <c r="N175" i="3"/>
  <c r="N167" i="3"/>
  <c r="N159" i="3"/>
  <c r="N151" i="3"/>
  <c r="N143" i="3"/>
  <c r="N127" i="3"/>
  <c r="N111" i="3"/>
  <c r="N103" i="3"/>
  <c r="N95" i="3"/>
  <c r="N87" i="3"/>
  <c r="N79" i="3"/>
  <c r="N63" i="3"/>
  <c r="N296" i="3"/>
  <c r="N62" i="3"/>
  <c r="N54" i="3"/>
  <c r="N545" i="3"/>
  <c r="N550" i="3"/>
  <c r="N486" i="3"/>
  <c r="N556" i="3"/>
  <c r="N548" i="3"/>
  <c r="N485" i="3"/>
  <c r="N45" i="3"/>
  <c r="N181" i="3"/>
  <c r="N598" i="3"/>
  <c r="N581" i="3"/>
  <c r="N487" i="3"/>
  <c r="N424" i="3"/>
  <c r="N549" i="3"/>
  <c r="N321" i="3"/>
  <c r="N572" i="3"/>
  <c r="N423" i="3"/>
  <c r="N297" i="3"/>
  <c r="N547" i="3"/>
  <c r="N421" i="3"/>
  <c r="N625" i="3"/>
  <c r="N569" i="3"/>
  <c r="N483" i="3"/>
  <c r="N317" i="3"/>
  <c r="N80" i="3"/>
  <c r="N648" i="3"/>
  <c r="N624" i="3"/>
  <c r="N616" i="3"/>
  <c r="N396" i="3"/>
  <c r="N342" i="3"/>
  <c r="N273" i="3"/>
  <c r="N265" i="3"/>
  <c r="N257" i="3"/>
  <c r="N611" i="3"/>
  <c r="N458" i="3"/>
  <c r="N325" i="3"/>
  <c r="N280" i="3"/>
  <c r="N201" i="3"/>
  <c r="N641" i="3"/>
  <c r="N633" i="3"/>
  <c r="N99" i="3"/>
  <c r="N632" i="3"/>
  <c r="N230" i="3"/>
  <c r="N631" i="3"/>
  <c r="N285" i="3"/>
  <c r="N277" i="3"/>
  <c r="N269" i="3"/>
  <c r="N615" i="3"/>
  <c r="N630" i="3"/>
  <c r="N469" i="3"/>
  <c r="N438" i="3"/>
  <c r="N391" i="3"/>
  <c r="N360" i="3"/>
  <c r="N614" i="3"/>
  <c r="N165" i="3"/>
  <c r="N227" i="3"/>
  <c r="N219" i="3"/>
  <c r="N389" i="3"/>
  <c r="N358" i="3"/>
  <c r="N171" i="3"/>
  <c r="N595" i="3"/>
  <c r="N544" i="3"/>
  <c r="N501" i="3"/>
  <c r="N457" i="3"/>
  <c r="N412" i="3"/>
  <c r="N359" i="3"/>
  <c r="N301" i="3"/>
  <c r="N294" i="3"/>
  <c r="N249" i="3"/>
  <c r="N233" i="3"/>
  <c r="N30" i="3"/>
  <c r="N29" i="3"/>
  <c r="N83" i="3"/>
  <c r="N609" i="3"/>
  <c r="N403" i="3"/>
  <c r="N293" i="3"/>
  <c r="N248" i="3"/>
  <c r="N225" i="3"/>
  <c r="N187" i="3"/>
  <c r="N142" i="3"/>
  <c r="N691" i="3"/>
  <c r="N683" i="3"/>
  <c r="N343" i="3"/>
  <c r="N39" i="3"/>
  <c r="N23" i="3"/>
  <c r="N608" i="3"/>
  <c r="N521" i="3"/>
  <c r="N224" i="3"/>
  <c r="N209" i="3"/>
  <c r="N126" i="3"/>
  <c r="N33" i="3"/>
  <c r="N520" i="3"/>
  <c r="N513" i="3"/>
  <c r="N417" i="3"/>
  <c r="N409" i="3"/>
  <c r="N246" i="3"/>
  <c r="N185" i="3"/>
  <c r="N147" i="3"/>
  <c r="N96" i="3"/>
  <c r="N689" i="3"/>
  <c r="N341" i="3"/>
  <c r="N327" i="3"/>
  <c r="N117" i="3"/>
  <c r="N533" i="3"/>
  <c r="N416" i="3"/>
  <c r="N408" i="3"/>
  <c r="N378" i="3"/>
  <c r="N312" i="3"/>
  <c r="N305" i="3"/>
  <c r="N245" i="3"/>
  <c r="N184" i="3"/>
  <c r="N131" i="3"/>
  <c r="N110" i="3"/>
  <c r="N32" i="3"/>
  <c r="N665" i="3"/>
  <c r="N613" i="3"/>
  <c r="N57" i="3"/>
  <c r="N407" i="3"/>
  <c r="N377" i="3"/>
  <c r="N333" i="3"/>
  <c r="N304" i="3"/>
  <c r="N94" i="3"/>
  <c r="N437" i="3"/>
  <c r="N422" i="3"/>
  <c r="N206" i="3"/>
  <c r="N152" i="3"/>
  <c r="N694" i="3"/>
  <c r="N649" i="3"/>
  <c r="N627" i="3"/>
  <c r="N597" i="3"/>
  <c r="N568" i="3"/>
  <c r="N561" i="3"/>
  <c r="N376" i="3"/>
  <c r="N369" i="3"/>
  <c r="N251" i="3"/>
  <c r="N235" i="3"/>
  <c r="N190" i="3"/>
  <c r="N36" i="3"/>
  <c r="N25" i="3"/>
  <c r="N524" i="3"/>
  <c r="N281" i="3"/>
  <c r="N166" i="3"/>
  <c r="N675" i="3"/>
  <c r="N599" i="3"/>
  <c r="N592" i="3"/>
  <c r="N551" i="3"/>
  <c r="N502" i="3"/>
  <c r="N488" i="3"/>
  <c r="N481" i="3"/>
  <c r="N467" i="3"/>
  <c r="N453" i="3"/>
  <c r="N439" i="3"/>
  <c r="N432" i="3"/>
  <c r="N425" i="3"/>
  <c r="N38" i="3"/>
  <c r="N22" i="3"/>
  <c r="N661" i="3"/>
  <c r="N43" i="3"/>
  <c r="N27" i="3"/>
  <c r="N647" i="3"/>
  <c r="N640" i="3"/>
  <c r="N585" i="3"/>
  <c r="N537" i="3"/>
  <c r="N474" i="3"/>
  <c r="N460" i="3"/>
  <c r="N375" i="3"/>
  <c r="N320" i="3"/>
  <c r="N313" i="3"/>
  <c r="N272" i="3"/>
  <c r="N229" i="3"/>
  <c r="N208" i="3"/>
  <c r="N145" i="3"/>
  <c r="N75" i="3"/>
  <c r="N368" i="3"/>
  <c r="N361" i="3"/>
  <c r="N326" i="3"/>
  <c r="N278" i="3"/>
  <c r="N264" i="3"/>
  <c r="N243" i="3"/>
  <c r="N200" i="3"/>
  <c r="N179" i="3"/>
  <c r="N123" i="3"/>
  <c r="N102" i="3"/>
  <c r="N53" i="3"/>
  <c r="N37" i="3"/>
  <c r="N681" i="3"/>
  <c r="N646" i="3"/>
  <c r="N584" i="3"/>
  <c r="N577" i="3"/>
  <c r="N563" i="3"/>
  <c r="N536" i="3"/>
  <c r="N529" i="3"/>
  <c r="N515" i="3"/>
  <c r="N508" i="3"/>
  <c r="N473" i="3"/>
  <c r="N374" i="3"/>
  <c r="N214" i="3"/>
  <c r="N193" i="3"/>
  <c r="N158" i="3"/>
  <c r="N144" i="3"/>
  <c r="N137" i="3"/>
  <c r="N88" i="3"/>
  <c r="N67" i="3"/>
  <c r="N115" i="3"/>
  <c r="N101" i="3"/>
  <c r="N52" i="3"/>
  <c r="N42" i="3"/>
  <c r="N26" i="3"/>
  <c r="N688" i="3"/>
  <c r="N31" i="3"/>
  <c r="N680" i="3"/>
  <c r="N673" i="3"/>
  <c r="N659" i="3"/>
  <c r="N645" i="3"/>
  <c r="N583" i="3"/>
  <c r="N576" i="3"/>
  <c r="N535" i="3"/>
  <c r="N528" i="3"/>
  <c r="N472" i="3"/>
  <c r="N465" i="3"/>
  <c r="N451" i="3"/>
  <c r="N401" i="3"/>
  <c r="N373" i="3"/>
  <c r="N353" i="3"/>
  <c r="N311" i="3"/>
  <c r="N256" i="3"/>
  <c r="N213" i="3"/>
  <c r="N192" i="3"/>
  <c r="N150" i="3"/>
  <c r="N136" i="3"/>
  <c r="N129" i="3"/>
  <c r="N107" i="3"/>
  <c r="N73" i="3"/>
  <c r="N59" i="3"/>
  <c r="N51" i="3"/>
  <c r="N41" i="3"/>
  <c r="N679" i="3"/>
  <c r="N672" i="3"/>
  <c r="N617" i="3"/>
  <c r="N582" i="3"/>
  <c r="N534" i="3"/>
  <c r="N499" i="3"/>
  <c r="N471" i="3"/>
  <c r="N400" i="3"/>
  <c r="N393" i="3"/>
  <c r="N352" i="3"/>
  <c r="N345" i="3"/>
  <c r="N310" i="3"/>
  <c r="N283" i="3"/>
  <c r="N262" i="3"/>
  <c r="N241" i="3"/>
  <c r="N198" i="3"/>
  <c r="N177" i="3"/>
  <c r="N163" i="3"/>
  <c r="N149" i="3"/>
  <c r="N135" i="3"/>
  <c r="N128" i="3"/>
  <c r="N121" i="3"/>
  <c r="N86" i="3"/>
  <c r="N72" i="3"/>
  <c r="N65" i="3"/>
  <c r="N50" i="3"/>
  <c r="N35" i="3"/>
  <c r="N678" i="3"/>
  <c r="N540" i="3"/>
  <c r="N470" i="3"/>
  <c r="N435" i="3"/>
  <c r="N392" i="3"/>
  <c r="N344" i="3"/>
  <c r="N309" i="3"/>
  <c r="N261" i="3"/>
  <c r="N240" i="3"/>
  <c r="N197" i="3"/>
  <c r="N176" i="3"/>
  <c r="N169" i="3"/>
  <c r="N155" i="3"/>
  <c r="N134" i="3"/>
  <c r="N120" i="3"/>
  <c r="N113" i="3"/>
  <c r="N40" i="3"/>
  <c r="N24" i="3"/>
  <c r="N664" i="3"/>
  <c r="N657" i="3"/>
  <c r="N643" i="3"/>
  <c r="N629" i="3"/>
  <c r="N567" i="3"/>
  <c r="N560" i="3"/>
  <c r="N519" i="3"/>
  <c r="N512" i="3"/>
  <c r="N505" i="3"/>
  <c r="N456" i="3"/>
  <c r="N449" i="3"/>
  <c r="N442" i="3"/>
  <c r="N406" i="3"/>
  <c r="N385" i="3"/>
  <c r="N357" i="3"/>
  <c r="N337" i="3"/>
  <c r="N289" i="3"/>
  <c r="N232" i="3"/>
  <c r="N211" i="3"/>
  <c r="N85" i="3"/>
  <c r="N71" i="3"/>
  <c r="N64" i="3"/>
  <c r="N49" i="3"/>
  <c r="N182" i="3"/>
  <c r="N168" i="3"/>
  <c r="N133" i="3"/>
  <c r="N119" i="3"/>
  <c r="N112" i="3"/>
  <c r="N105" i="3"/>
  <c r="N91" i="3"/>
  <c r="N78" i="3"/>
  <c r="N34" i="3"/>
  <c r="N663" i="3"/>
  <c r="N656" i="3"/>
  <c r="N601" i="3"/>
  <c r="N566" i="3"/>
  <c r="N553" i="3"/>
  <c r="N518" i="3"/>
  <c r="N504" i="3"/>
  <c r="N497" i="3"/>
  <c r="N455" i="3"/>
  <c r="N448" i="3"/>
  <c r="N441" i="3"/>
  <c r="N405" i="3"/>
  <c r="N336" i="3"/>
  <c r="N329" i="3"/>
  <c r="N288" i="3"/>
  <c r="N267" i="3"/>
  <c r="N253" i="3"/>
  <c r="N217" i="3"/>
  <c r="N203" i="3"/>
  <c r="N161" i="3"/>
  <c r="N70" i="3"/>
  <c r="N48" i="3"/>
  <c r="N419" i="3"/>
  <c r="N390" i="3"/>
  <c r="N118" i="3"/>
  <c r="N104" i="3"/>
  <c r="N44" i="3"/>
  <c r="N28" i="3"/>
  <c r="N662" i="3"/>
  <c r="N600" i="3"/>
  <c r="N593" i="3"/>
  <c r="N579" i="3"/>
  <c r="N565" i="3"/>
  <c r="N552" i="3"/>
  <c r="N531" i="3"/>
  <c r="N517" i="3"/>
  <c r="N503" i="3"/>
  <c r="N496" i="3"/>
  <c r="N489" i="3"/>
  <c r="N454" i="3"/>
  <c r="N440" i="3"/>
  <c r="N433" i="3"/>
  <c r="N404" i="3"/>
  <c r="N349" i="3"/>
  <c r="N328" i="3"/>
  <c r="N259" i="3"/>
  <c r="N216" i="3"/>
  <c r="N195" i="3"/>
  <c r="N174" i="3"/>
  <c r="N160" i="3"/>
  <c r="N153" i="3"/>
  <c r="N139" i="3"/>
  <c r="N97" i="3"/>
  <c r="N55" i="3"/>
  <c r="N47" i="3"/>
  <c r="M20" i="3"/>
  <c r="N20" i="3" s="1"/>
  <c r="M21" i="3"/>
  <c r="N21" i="3" s="1"/>
  <c r="AX70" i="1"/>
  <c r="AY70" i="1"/>
  <c r="AZ70" i="1"/>
  <c r="BA70" i="1"/>
  <c r="AR70" i="1"/>
  <c r="AS70" i="1"/>
  <c r="AT70" i="1"/>
  <c r="AU70" i="1"/>
  <c r="AV70" i="1"/>
  <c r="AW70" i="1"/>
  <c r="AZ43" i="1"/>
  <c r="BA43" i="1"/>
  <c r="AR92" i="1"/>
  <c r="AS92" i="1"/>
  <c r="AT92" i="1"/>
  <c r="AU92" i="1"/>
  <c r="AV92" i="1"/>
  <c r="AR43" i="1"/>
  <c r="AW92" i="1"/>
  <c r="AS43" i="1"/>
  <c r="AX92" i="1"/>
  <c r="AT43" i="1"/>
  <c r="AY92" i="1"/>
  <c r="AU43" i="1"/>
  <c r="AZ92" i="1"/>
  <c r="AV43" i="1"/>
  <c r="BA92" i="1"/>
  <c r="AW43" i="1"/>
  <c r="AX43" i="1"/>
  <c r="AY43" i="1"/>
  <c r="BA88" i="1"/>
  <c r="AU87" i="1"/>
  <c r="AR89" i="1"/>
  <c r="AV87" i="1"/>
  <c r="AT85" i="1"/>
  <c r="AY86" i="1"/>
  <c r="AU85" i="1"/>
  <c r="AZ86" i="1"/>
  <c r="AZ88" i="1"/>
  <c r="AT87" i="1"/>
  <c r="AV85" i="1"/>
  <c r="BA86" i="1"/>
  <c r="AY88" i="1"/>
  <c r="AS87" i="1"/>
  <c r="AR84" i="1"/>
  <c r="AW85" i="1"/>
  <c r="AX88" i="1"/>
  <c r="AR87" i="1"/>
  <c r="AS84" i="1"/>
  <c r="AX85" i="1"/>
  <c r="AW88" i="1"/>
  <c r="AT84" i="1"/>
  <c r="AY85" i="1"/>
  <c r="AV88" i="1"/>
  <c r="AU84" i="1"/>
  <c r="AZ85" i="1"/>
  <c r="BA89" i="1"/>
  <c r="AU88" i="1"/>
  <c r="AV84" i="1"/>
  <c r="BA85" i="1"/>
  <c r="AZ89" i="1"/>
  <c r="AT88" i="1"/>
  <c r="AW84" i="1"/>
  <c r="AY89" i="1"/>
  <c r="AS88" i="1"/>
  <c r="AX84" i="1"/>
  <c r="AR86" i="1"/>
  <c r="AX89" i="1"/>
  <c r="AR88" i="1"/>
  <c r="AY84" i="1"/>
  <c r="AS86" i="1"/>
  <c r="AW89" i="1"/>
  <c r="BA87" i="1"/>
  <c r="AZ84" i="1"/>
  <c r="AT86" i="1"/>
  <c r="AV89" i="1"/>
  <c r="AZ87" i="1"/>
  <c r="BA84" i="1"/>
  <c r="AU86" i="1"/>
  <c r="AU89" i="1"/>
  <c r="AY87" i="1"/>
  <c r="AV86" i="1"/>
  <c r="AT89" i="1"/>
  <c r="AX87" i="1"/>
  <c r="AR85" i="1"/>
  <c r="AW86" i="1"/>
  <c r="AS89" i="1"/>
  <c r="AW87" i="1"/>
  <c r="AS85" i="1"/>
  <c r="AX86"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N13" i="3" s="1"/>
  <c r="M11" i="3"/>
  <c r="N11" i="3" s="1"/>
  <c r="M12" i="3"/>
  <c r="N12" i="3" s="1"/>
  <c r="M9" i="3"/>
  <c r="N9" i="3" s="1"/>
  <c r="M15" i="3"/>
  <c r="N15" i="3" s="1"/>
  <c r="M17" i="3"/>
  <c r="N17" i="3" s="1"/>
  <c r="M18" i="3"/>
  <c r="N18" i="3" s="1"/>
  <c r="M10" i="3"/>
  <c r="N10" i="3" s="1"/>
  <c r="M19" i="3"/>
  <c r="N19" i="3" s="1"/>
  <c r="M14" i="3"/>
  <c r="N14" i="3" s="1"/>
  <c r="M8" i="3"/>
  <c r="N8" i="3" s="1"/>
  <c r="M16" i="3"/>
  <c r="N16" i="3" s="1"/>
  <c r="N7" i="3"/>
  <c r="AU42" i="1"/>
  <c r="AR41" i="1"/>
  <c r="AU78" i="1"/>
  <c r="AU81" i="1"/>
  <c r="AY79" i="1"/>
  <c r="AS78" i="1"/>
  <c r="AW76" i="1"/>
  <c r="BA44" i="1"/>
  <c r="AV81" i="1"/>
  <c r="AZ79" i="1"/>
  <c r="AT78" i="1"/>
  <c r="AX76" i="1"/>
  <c r="AR45" i="1"/>
  <c r="AV42" i="1"/>
  <c r="AR62" i="1"/>
  <c r="AV60" i="1"/>
  <c r="AT81" i="1"/>
  <c r="AX79" i="1"/>
  <c r="AR78" i="1"/>
  <c r="AV76" i="1"/>
  <c r="AZ44" i="1"/>
  <c r="AT42" i="1"/>
  <c r="AZ61" i="1"/>
  <c r="AT60" i="1"/>
  <c r="AS81" i="1"/>
  <c r="AW79" i="1"/>
  <c r="BA77" i="1"/>
  <c r="AU76" i="1"/>
  <c r="AY44" i="1"/>
  <c r="AS42" i="1"/>
  <c r="AY61" i="1"/>
  <c r="AS60" i="1"/>
  <c r="AR81" i="1"/>
  <c r="AV79" i="1"/>
  <c r="AZ77" i="1"/>
  <c r="AT76" i="1"/>
  <c r="AX44" i="1"/>
  <c r="AR42" i="1"/>
  <c r="AX61" i="1"/>
  <c r="AR60" i="1"/>
  <c r="BA80" i="1"/>
  <c r="AU79" i="1"/>
  <c r="AY77" i="1"/>
  <c r="AS76" i="1"/>
  <c r="AW44" i="1"/>
  <c r="BA41" i="1"/>
  <c r="AW61" i="1"/>
  <c r="AZ80" i="1"/>
  <c r="AT79" i="1"/>
  <c r="AX77" i="1"/>
  <c r="AR76" i="1"/>
  <c r="AV44" i="1"/>
  <c r="AV61" i="1"/>
  <c r="AY80" i="1"/>
  <c r="AS79" i="1"/>
  <c r="AW77" i="1"/>
  <c r="BA45" i="1"/>
  <c r="AU44" i="1"/>
  <c r="BA62" i="1"/>
  <c r="AU61" i="1"/>
  <c r="AX80" i="1"/>
  <c r="AR79" i="1"/>
  <c r="AV77" i="1"/>
  <c r="AZ45" i="1"/>
  <c r="AT44" i="1"/>
  <c r="AZ62" i="1"/>
  <c r="AT61" i="1"/>
  <c r="AW80" i="1"/>
  <c r="BA78" i="1"/>
  <c r="AU77" i="1"/>
  <c r="AY45" i="1"/>
  <c r="AS44" i="1"/>
  <c r="AW41" i="1"/>
  <c r="AY62" i="1"/>
  <c r="AS61" i="1"/>
  <c r="AV80" i="1"/>
  <c r="AZ78" i="1"/>
  <c r="AT77" i="1"/>
  <c r="AX45" i="1"/>
  <c r="AR44" i="1"/>
  <c r="AX62" i="1"/>
  <c r="AR61" i="1"/>
  <c r="BA81" i="1"/>
  <c r="AU80" i="1"/>
  <c r="AY78" i="1"/>
  <c r="AS77" i="1"/>
  <c r="AW45" i="1"/>
  <c r="BA42" i="1"/>
  <c r="AW62" i="1"/>
  <c r="BA60" i="1"/>
  <c r="AZ81" i="1"/>
  <c r="AT80" i="1"/>
  <c r="AX78" i="1"/>
  <c r="AR77" i="1"/>
  <c r="AV45" i="1"/>
  <c r="AZ42" i="1"/>
  <c r="AV62" i="1"/>
  <c r="AZ60" i="1"/>
  <c r="AY81" i="1"/>
  <c r="AS80" i="1"/>
  <c r="AW78" i="1"/>
  <c r="BA76" i="1"/>
  <c r="AU45" i="1"/>
  <c r="AY42" i="1"/>
  <c r="AU62" i="1"/>
  <c r="AY60" i="1"/>
  <c r="AX81" i="1"/>
  <c r="AR80" i="1"/>
  <c r="AV78" i="1"/>
  <c r="AZ76" i="1"/>
  <c r="AT45" i="1"/>
  <c r="AX42" i="1"/>
  <c r="AT62" i="1"/>
  <c r="AX60" i="1"/>
  <c r="AW81" i="1"/>
  <c r="BA79" i="1"/>
  <c r="AY76" i="1"/>
  <c r="AS45" i="1"/>
  <c r="AW42" i="1"/>
  <c r="AS6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<sst xmlns="http://schemas.openxmlformats.org/spreadsheetml/2006/main" count="2324" uniqueCount="1059">
  <si>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</si>
  <si>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</si>
  <si>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</si>
  <si>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</si>
  <si>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</si>
  <si>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</si>
  <si>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</si>
  <si>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</si>
  <si>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</si>
  <si>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</si>
  <si>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</si>
  <si>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</si>
  <si>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</si>
  <si>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</si>
  <si>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</si>
  <si>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</si>
  <si>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</si>
  <si>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</si>
  <si>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</si>
  <si>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</si>
  <si>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</si>
  <si>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</si>
  <si>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</si>
  <si>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</si>
  <si>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</si>
  <si>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</si>
  <si>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</si>
  <si>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</si>
  <si>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</si>
  <si>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</si>
  <si>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</si>
  <si>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</si>
  <si>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</si>
  <si>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</si>
  <si>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</si>
  <si>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</si>
  <si>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</si>
  <si>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</si>
  <si>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</si>
  <si>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</si>
  <si>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</si>
  <si>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</si>
  <si>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</si>
  <si>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</si>
  <si>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</si>
  <si>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</si>
  <si>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</si>
  <si>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</si>
  <si>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</si>
  <si>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</si>
  <si>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</si>
  <si>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</si>
  <si>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</si>
  <si>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</si>
  <si>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</si>
  <si>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</si>
  <si>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</si>
  <si>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</si>
  <si>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</si>
  <si>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</si>
  <si>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</si>
  <si>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</si>
  <si>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</si>
  <si>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</si>
  <si>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</si>
  <si>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</si>
  <si>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</si>
  <si>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</si>
  <si>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</si>
  <si>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</si>
  <si>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</si>
  <si>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</si>
  <si>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</si>
  <si>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</si>
  <si>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</si>
  <si>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</si>
  <si>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</si>
  <si>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</si>
  <si>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</si>
  <si>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</si>
  <si>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</si>
  <si>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</si>
  <si>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</si>
  <si>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</si>
  <si>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</si>
  <si>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</si>
  <si>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</si>
  <si>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</si>
  <si>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</si>
  <si>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</si>
  <si>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</si>
  <si>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</si>
  <si>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</si>
  <si>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</si>
  <si>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</si>
  <si>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</si>
  <si>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</si>
  <si>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</si>
  <si>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</si>
  <si>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</si>
  <si>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</si>
  <si>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</si>
  <si>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</si>
  <si>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</si>
  <si>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</si>
  <si>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</si>
  <si>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</si>
  <si>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</si>
  <si>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</si>
  <si>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</si>
  <si>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</si>
  <si>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</si>
  <si>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</si>
  <si>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</si>
  <si>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</si>
  <si>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</si>
  <si>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</si>
  <si>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</si>
  <si>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</si>
  <si>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</si>
  <si>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</si>
  <si>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</si>
  <si>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</si>
  <si>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</si>
  <si>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</si>
  <si>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</si>
  <si>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</si>
  <si>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</si>
  <si>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</si>
  <si>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</si>
  <si>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</si>
  <si>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</si>
  <si>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</si>
  <si>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</si>
  <si>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</si>
  <si>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</si>
  <si>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</si>
  <si>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</si>
  <si>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</si>
  <si>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</si>
  <si>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</si>
  <si>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</si>
  <si>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</si>
  <si>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</si>
  <si>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</si>
  <si>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</si>
  <si>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</si>
  <si>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</si>
  <si>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</si>
  <si>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</si>
  <si>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</si>
  <si>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</si>
  <si>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</si>
  <si>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</si>
  <si>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</si>
  <si>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</si>
  <si>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</si>
  <si>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</si>
  <si>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</si>
  <si>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</si>
  <si>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</si>
  <si>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</si>
  <si>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</si>
  <si>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</si>
  <si>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</si>
  <si>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</si>
  <si>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</si>
  <si>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</si>
  <si>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</si>
  <si>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</si>
  <si>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</si>
  <si>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</si>
  <si>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</si>
  <si>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</si>
  <si>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</si>
  <si>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</si>
  <si>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</si>
  <si>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</si>
  <si>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</si>
  <si>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</si>
  <si>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</si>
  <si>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</si>
  <si>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</si>
  <si>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</si>
  <si>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</si>
  <si>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</si>
  <si>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</si>
  <si>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</si>
  <si>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</si>
  <si>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</si>
  <si>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</si>
  <si>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</si>
  <si>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</si>
  <si>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</si>
  <si>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</si>
  <si>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</si>
  <si>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</si>
  <si>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</si>
  <si>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</si>
  <si>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</si>
  <si>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</si>
  <si>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</si>
  <si>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</si>
  <si>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</si>
  <si>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</si>
  <si>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</si>
  <si>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</si>
  <si>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</si>
  <si>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</si>
  <si>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</si>
  <si>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</si>
  <si>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</si>
  <si>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</si>
  <si>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</si>
  <si>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</si>
  <si>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</si>
  <si>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</si>
  <si>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</si>
  <si>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</si>
  <si>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</si>
  <si>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</si>
  <si>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</si>
  <si>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</si>
  <si>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</si>
  <si>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</si>
  <si>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</si>
  <si>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</si>
  <si>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</si>
  <si>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</si>
  <si>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</si>
  <si>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</si>
  <si>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</si>
  <si>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</si>
  <si>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</si>
  <si>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</si>
  <si>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</si>
  <si>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</si>
  <si>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</si>
  <si>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</si>
  <si>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</si>
  <si>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</si>
  <si>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</si>
  <si>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</si>
  <si>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</si>
  <si>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</si>
  <si>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</si>
  <si>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</si>
  <si>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</si>
  <si>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</si>
  <si>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</si>
  <si>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</si>
  <si>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</si>
  <si>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</si>
  <si>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</si>
  <si>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</si>
  <si>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</si>
  <si>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</si>
  <si>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</si>
  <si>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</si>
  <si>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</si>
  <si>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</si>
  <si>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</si>
  <si>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</si>
  <si>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</si>
  <si>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</si>
  <si>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</si>
  <si>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</si>
  <si>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</si>
  <si>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</si>
  <si>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</si>
  <si>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</si>
  <si>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</si>
  <si>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</si>
  <si>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</si>
  <si>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</si>
  <si>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</si>
  <si>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</si>
  <si>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</si>
  <si>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</si>
  <si>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</si>
  <si>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</si>
  <si>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</si>
  <si>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</si>
  <si>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</si>
  <si>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</si>
  <si>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</si>
  <si>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</si>
  <si>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</si>
  <si>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</si>
  <si>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</si>
  <si>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</si>
  <si>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</si>
  <si>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</si>
  <si>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</si>
  <si>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</si>
  <si>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</si>
  <si>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</si>
  <si>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</si>
  <si>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</si>
  <si>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</si>
  <si>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</si>
  <si>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</si>
  <si>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</si>
  <si>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</si>
  <si>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</si>
  <si>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</si>
  <si>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</si>
  <si>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</si>
  <si>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</si>
  <si>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</si>
  <si>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</si>
  <si>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</si>
  <si>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</si>
  <si>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</si>
  <si>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</si>
  <si>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</si>
  <si>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</si>
  <si>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</si>
  <si>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</si>
  <si>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</si>
  <si>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</si>
  <si>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</si>
  <si>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</si>
  <si>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</si>
  <si>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</si>
  <si>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</si>
  <si>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</si>
  <si>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</si>
  <si>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</si>
  <si>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</si>
  <si>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</si>
  <si>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</si>
  <si>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</si>
  <si>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</si>
  <si>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</si>
  <si>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</si>
  <si>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</si>
  <si>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</si>
  <si>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</si>
  <si>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</si>
  <si>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</si>
  <si>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</si>
  <si>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</si>
  <si>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</si>
  <si>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</si>
  <si>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</si>
  <si>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</si>
  <si>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</si>
  <si>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</si>
  <si>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</si>
  <si>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</si>
  <si>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</si>
  <si>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</si>
  <si>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</si>
  <si>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</si>
  <si>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</si>
  <si>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</si>
  <si>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</si>
  <si>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</si>
  <si>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</si>
  <si>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</si>
  <si>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</si>
  <si>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</si>
  <si>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</si>
  <si>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</si>
  <si>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</si>
  <si>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</si>
  <si>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</si>
  <si>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</si>
  <si>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</si>
  <si>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</si>
  <si>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</si>
  <si>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</si>
  <si>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</si>
  <si>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</si>
  <si>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</si>
  <si>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</si>
  <si>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</si>
  <si>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</si>
  <si>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</si>
  <si>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</si>
  <si>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</si>
  <si>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</si>
  <si>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</si>
  <si>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</si>
  <si>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</si>
  <si>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</si>
  <si>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</si>
  <si>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</si>
  <si>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</si>
  <si>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</si>
  <si>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</si>
  <si>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</si>
  <si>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</si>
  <si>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</si>
  <si>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</si>
  <si>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</si>
  <si>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</si>
  <si>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</si>
  <si>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</si>
  <si>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</si>
  <si>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</si>
  <si>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</si>
  <si>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</si>
  <si>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</si>
  <si>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</si>
  <si>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</si>
  <si>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</si>
  <si>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</si>
  <si>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</si>
  <si>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</si>
  <si>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</si>
  <si>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</si>
  <si>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</si>
  <si>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</si>
  <si>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</si>
  <si>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</si>
  <si>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</si>
  <si>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</si>
  <si>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</si>
  <si>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</si>
  <si>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</si>
  <si>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</si>
  <si>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</si>
  <si>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</si>
  <si>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</si>
  <si>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</si>
  <si>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</si>
  <si>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</si>
  <si>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</si>
  <si>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</si>
  <si>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</si>
  <si>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</si>
  <si>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</si>
  <si>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</si>
  <si>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</si>
  <si>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</si>
  <si>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</si>
  <si>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</si>
  <si>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</si>
  <si>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</si>
  <si>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</si>
  <si>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</si>
  <si>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</si>
  <si>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</si>
  <si>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</si>
  <si>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</si>
  <si>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</si>
  <si>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</si>
  <si>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</si>
  <si>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</si>
  <si>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</si>
  <si>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</si>
  <si>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</si>
  <si>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</si>
  <si>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</si>
  <si>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</si>
  <si>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</si>
  <si>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</si>
  <si>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</si>
  <si>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</si>
  <si>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</si>
  <si>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</si>
  <si>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</si>
  <si>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</si>
  <si>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</si>
  <si>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</si>
  <si>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</si>
  <si>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</si>
  <si>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</si>
  <si>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</si>
  <si>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</si>
  <si>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</si>
  <si>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</si>
  <si>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</si>
  <si>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</si>
  <si>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</si>
  <si>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</si>
  <si>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</si>
  <si>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</si>
  <si>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</si>
  <si>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</si>
  <si>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</si>
  <si>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</si>
  <si>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</si>
  <si>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</si>
  <si>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</si>
  <si>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</si>
  <si>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</si>
  <si>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</si>
  <si>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</si>
  <si>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</si>
  <si>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</si>
  <si>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</si>
  <si>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</si>
  <si>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</si>
  <si>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</si>
  <si>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</si>
  <si>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</si>
  <si>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</si>
  <si>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</si>
  <si>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</si>
  <si>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</si>
  <si>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</si>
  <si>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</si>
  <si>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</si>
  <si>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</si>
  <si>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</si>
  <si>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</si>
  <si>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</si>
  <si>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</si>
  <si>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</si>
  <si>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</si>
  <si>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</si>
  <si>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</si>
  <si>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</si>
  <si>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</si>
  <si>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</si>
  <si>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</si>
  <si>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</si>
  <si>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</si>
  <si>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</si>
  <si>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</si>
  <si>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</si>
  <si>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</si>
  <si>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</si>
  <si>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</si>
  <si>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</si>
  <si>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</si>
  <si>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</si>
  <si>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</si>
  <si>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</si>
  <si>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</si>
  <si>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</si>
  <si>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</si>
  <si>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</si>
  <si>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</si>
  <si>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</si>
  <si>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</si>
  <si>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</si>
  <si>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</si>
  <si>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</si>
  <si>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</si>
  <si>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</si>
  <si>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</si>
  <si>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</si>
  <si>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</si>
  <si>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</si>
  <si>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</si>
  <si>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</si>
  <si>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</si>
  <si>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</si>
  <si>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</si>
  <si>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</si>
  <si>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</si>
  <si>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</si>
  <si>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</si>
  <si>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</si>
  <si>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</si>
  <si>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</si>
  <si>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</si>
  <si>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</si>
  <si>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</si>
  <si>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</si>
  <si>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</si>
  <si>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</si>
  <si>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</si>
  <si>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</si>
  <si>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</si>
  <si>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</si>
  <si>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</si>
  <si>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</si>
  <si>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</si>
  <si>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</si>
  <si>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</si>
  <si>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</si>
  <si>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</si>
  <si>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</si>
  <si>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</si>
  <si>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</si>
  <si>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</si>
  <si>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</si>
  <si>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</si>
  <si>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</si>
  <si>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</si>
  <si>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</si>
  <si>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</si>
  <si>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</si>
  <si>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</si>
  <si>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</si>
  <si>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</si>
  <si>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</si>
  <si>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</si>
  <si>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</si>
  <si>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</si>
  <si>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</si>
  <si>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</si>
  <si>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</si>
  <si>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</si>
  <si>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</si>
  <si>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</si>
  <si>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</si>
  <si>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</si>
  <si>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</si>
  <si>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</si>
  <si>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</si>
  <si>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</si>
  <si>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</si>
  <si>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</si>
  <si>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</si>
  <si>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</si>
  <si>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</si>
  <si>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</si>
  <si>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</si>
  <si>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</si>
  <si>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</si>
  <si>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</si>
  <si>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</si>
  <si>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</si>
  <si>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</si>
  <si>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</si>
  <si>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</si>
  <si>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</si>
  <si>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</si>
  <si>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</si>
  <si>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</si>
  <si>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</si>
  <si>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</si>
  <si>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</si>
  <si>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</si>
  <si>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</si>
  <si>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</si>
  <si>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</si>
  <si>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</si>
  <si>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</si>
  <si>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</si>
  <si>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</si>
  <si>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</si>
  <si>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</si>
  <si>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</si>
  <si>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</si>
  <si>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</si>
  <si>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</si>
  <si>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</si>
  <si>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</si>
  <si>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</si>
  <si>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</si>
  <si>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</si>
  <si>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</si>
  <si>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</si>
  <si>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</si>
  <si>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</si>
  <si>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</si>
  <si>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</si>
  <si>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</si>
  <si>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</si>
  <si>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</si>
  <si>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</si>
  <si>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</si>
  <si>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</si>
  <si>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</si>
  <si>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</si>
  <si>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</si>
  <si>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</si>
  <si>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</si>
  <si>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</si>
  <si>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</si>
  <si>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</si>
  <si>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</si>
  <si>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</si>
  <si>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</si>
  <si>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</si>
  <si>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</si>
  <si>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</si>
  <si>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</si>
  <si>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</si>
  <si>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</si>
  <si>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</si>
  <si>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</si>
  <si>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</si>
  <si>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</si>
  <si>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</si>
  <si>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</si>
  <si>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</si>
  <si>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</si>
  <si>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</si>
  <si>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</si>
  <si>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</si>
  <si>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</si>
  <si>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</si>
  <si>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</si>
  <si>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</si>
  <si>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</si>
  <si>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</si>
  <si>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</si>
  <si>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</si>
  <si>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</si>
  <si>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</si>
  <si>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</si>
  <si>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</si>
  <si>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</si>
  <si>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</si>
  <si>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</si>
  <si>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</si>
  <si>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</si>
  <si>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</si>
  <si>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</si>
  <si>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</si>
  <si>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</si>
  <si>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</si>
  <si>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</si>
  <si>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</si>
  <si>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</si>
  <si>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</si>
  <si>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</si>
  <si>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</si>
  <si>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</si>
  <si>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</si>
  <si>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</si>
  <si>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</si>
  <si>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</si>
  <si>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</si>
  <si>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</si>
  <si>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</si>
  <si>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</si>
  <si>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</si>
  <si>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</si>
  <si>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</si>
  <si>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</si>
  <si>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</si>
  <si>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</si>
  <si>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</si>
  <si>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</si>
  <si>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</si>
  <si>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</si>
  <si>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</si>
  <si>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</si>
  <si>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</si>
  <si>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</si>
  <si>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</si>
  <si>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</si>
  <si>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</si>
  <si>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</si>
  <si>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</si>
  <si>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</si>
  <si>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</si>
  <si>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</si>
  <si>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</si>
  <si>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</si>
  <si>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</si>
  <si>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</si>
  <si>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</si>
  <si>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</si>
  <si>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</si>
  <si>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</si>
  <si>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</si>
  <si>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</si>
  <si>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</si>
  <si>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</si>
  <si>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</si>
  <si>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</si>
  <si>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</si>
  <si>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</si>
  <si>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</si>
  <si>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</si>
  <si>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</si>
  <si>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</si>
  <si>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</si>
  <si>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</si>
  <si>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</si>
  <si>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</si>
  <si>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</si>
  <si>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</si>
  <si>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</si>
  <si>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</si>
  <si>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</si>
  <si>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</si>
  <si>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</si>
  <si>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</si>
  <si>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</si>
  <si>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</si>
  <si>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</si>
  <si>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</si>
  <si>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</si>
  <si>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</si>
  <si>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</si>
  <si>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</si>
  <si>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</si>
  <si>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</si>
  <si>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</si>
  <si>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</si>
  <si>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</si>
  <si>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</si>
  <si>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</si>
  <si>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</si>
  <si>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</si>
  <si>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</si>
  <si>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</si>
  <si>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</si>
  <si>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</si>
  <si>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</si>
  <si>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</si>
  <si>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</si>
  <si>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</si>
  <si>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</si>
  <si>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</si>
  <si>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</si>
  <si>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</si>
  <si>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</si>
  <si>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</si>
  <si>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</si>
  <si>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</si>
  <si>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</si>
  <si>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</si>
  <si>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</si>
  <si>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</si>
  <si>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</si>
  <si>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</si>
  <si>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</si>
  <si>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</si>
  <si>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</si>
  <si>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</si>
  <si>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</si>
  <si>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</si>
  <si>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</si>
  <si>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</si>
  <si>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</si>
  <si>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</si>
  <si>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</si>
  <si>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</si>
  <si>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</si>
  <si>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</si>
  <si>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</si>
  <si>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</si>
  <si>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</si>
  <si>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</si>
  <si>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</si>
  <si>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</si>
  <si>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</si>
  <si>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</si>
  <si>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</si>
  <si>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</si>
  <si>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</si>
  <si>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</si>
  <si>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</si>
  <si>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</si>
  <si>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</si>
  <si>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</si>
  <si>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</si>
  <si>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</si>
  <si>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</si>
  <si>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</si>
  <si>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</si>
  <si>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</si>
  <si>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</si>
  <si>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</si>
  <si>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</si>
  <si>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</si>
  <si>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</si>
  <si>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</si>
  <si>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</si>
  <si>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</si>
  <si>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</si>
  <si>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</si>
  <si>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</si>
  <si>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</si>
  <si>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</si>
  <si>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</si>
  <si>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</si>
  <si>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</si>
  <si>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</si>
  <si>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</si>
  <si>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</si>
  <si>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</si>
  <si>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</si>
  <si>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</si>
  <si>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</si>
  <si>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</si>
  <si>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</si>
  <si>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</si>
  <si>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</si>
  <si>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</si>
  <si>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</si>
  <si>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</si>
  <si>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</si>
  <si>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</si>
  <si>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</si>
  <si>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</si>
  <si>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</si>
  <si>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</si>
  <si>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</si>
  <si>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</si>
  <si>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</si>
  <si>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</si>
  <si>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</si>
  <si>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</si>
  <si>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</si>
  <si>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</si>
  <si>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</si>
  <si>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</si>
  <si>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</si>
  <si>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</si>
  <si>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</si>
  <si>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</si>
  <si>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</si>
  <si>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</si>
  <si>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</si>
  <si>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</si>
  <si>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</si>
  <si>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</si>
  <si>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</si>
  <si>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</si>
  <si>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</si>
  <si>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</si>
  <si>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</si>
  <si>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</si>
  <si>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</si>
  <si>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</si>
  <si>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</si>
  <si>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</si>
  <si>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</si>
  <si>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</si>
  <si>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</si>
  <si>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</si>
  <si>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</si>
  <si>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</si>
  <si>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</si>
  <si>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</si>
  <si>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</si>
  <si>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</si>
  <si>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</si>
  <si>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</si>
  <si>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</si>
  <si>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</si>
  <si>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</si>
  <si>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</si>
  <si>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</si>
  <si>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</si>
  <si>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</si>
  <si>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</si>
  <si>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</si>
  <si>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</si>
  <si>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</si>
  <si>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</si>
  <si>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</si>
  <si>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</si>
  <si>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</si>
  <si>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</si>
  <si>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</si>
  <si>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</si>
  <si>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</si>
  <si>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</si>
  <si>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</si>
  <si>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</si>
  <si>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</si>
  <si>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</si>
  <si>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</si>
  <si>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</si>
  <si>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</si>
  <si>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</si>
  <si>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</si>
  <si>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</si>
  <si>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</si>
  <si>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</si>
  <si>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</si>
  <si>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</si>
  <si>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</si>
  <si>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</si>
  <si>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</si>
  <si>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</si>
  <si>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</si>
  <si>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</si>
  <si>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</si>
  <si>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</si>
  <si>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</si>
  <si>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</si>
  <si>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</si>
  <si>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</si>
  <si>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</si>
  <si>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</si>
  <si>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</si>
  <si>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</si>
  <si>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</si>
  <si>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</si>
  <si>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</si>
  <si>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</si>
  <si>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</si>
  <si>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</si>
  <si>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</si>
  <si>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</si>
  <si>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</si>
  <si>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</si>
  <si>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</si>
  <si>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</si>
  <si>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</si>
  <si>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</si>
  <si>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</si>
  <si>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</si>
  <si>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</si>
  <si>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</si>
  <si>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</si>
  <si>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</si>
  <si>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</si>
  <si>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</si>
  <si>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</si>
  <si>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</si>
  <si>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</si>
  <si>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</si>
  <si>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</si>
  <si>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</si>
  <si>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</si>
  <si>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</si>
  <si>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</si>
  <si>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</si>
  <si>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魔法/信仰</t>
    <rPh sb="0" eb="2">
      <t>マホウ</t>
    </rPh>
    <rPh sb="3" eb="5">
      <t>シンコウ</t>
    </rPh>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</si>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</sst>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3">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26"/>
  <sheetViews>
    <sheetView workbookViewId="0"/>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896</v>
      </c>
      <c r="J1" s="6" t="s">
        <v>898</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IF(OR(COUNTIF(クラス!$A$1:$A$1031,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IF(OR(COUNTIF(クラス!$A$1:$A$1031,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IF(OR(COUNTIF(クラス!$A$1:$A$1031,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IF(OR(COUNTIF(クラス!$A$1:$A$1031,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IF(OR(COUNTIF(クラス!$A$1:$A$1031,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IF(OR(COUNTIF(クラス!$A$1:$A$1031,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IF(OR(COUNTIF(クラス!$A$1:$A$1031,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IF(OR(COUNTIF(クラス!$A$1:$A$1031,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IF(OR(COUNTIF(クラス!$A$1:$A$1031,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IF(OR(COUNTIF(クラス!$A$1:$A$1031,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IF(OR(COUNTIF(クラス!$A$1:$A$1031,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777</v>
      </c>
      <c r="J17" s="6" t="str">
        <f>IFERROR(_xlfn.LET(_xlpm.v,
VLOOKUP($I17,効果!$A:$B,COLUMN(効果!B$1),FALSE),
IF(_xlpm.v=0,"",_xlpm.v)
),"")</f>
        <v/>
      </c>
      <c r="L17" s="15" t="str">
        <f>IF(OR(COUNTIF(クラス!$A$1:$A$1031,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IF(OR(COUNTIF(クラス!$A$1:$A$1031,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IF(OR(COUNTIF(クラス!$A$1:$A$1031,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IF(OR(COUNTIF(クラス!$A$1:$A$1031, $B20),$B20="",COUNTIF(スキル一覧!$A$1:$A$3500, $B20)), "", "存在しない")</f>
        <v/>
      </c>
      <c r="M20" s="2" t="str">
        <f>IF(COUNTIF($B$1:$C19, $B20), "", "存在しない")</f>
        <v>存在しない</v>
      </c>
      <c r="N20" s="2" t="str">
        <f>IF(AND(A20&lt;&gt;"",L20="存在しない",M20="存在しない"),IF(COUNTIF([1]クラス!$A$1:$A$1000, $B20),"",TRUE),"")</f>
        <v/>
      </c>
    </row>
    <row r="21" spans="1:14" collapsed="1" x14ac:dyDescent="0.4">
      <c r="B21" s="48"/>
      <c r="C21" s="2" t="str">
        <f>"------------地形 ------------"</f>
        <v>------------地形 ------------</v>
      </c>
      <c r="J21" s="6" t="str">
        <f>IFERROR(_xlfn.LET(_xlpm.v,
VLOOKUP($I21,効果!$A:$B,COLUMN(効果!B$1),FALSE),
IF(_xlpm.v=0,"",_xlpm.v)
),"")</f>
        <v/>
      </c>
      <c r="L21" s="15" t="str">
        <f>IF(OR(COUNTIF(クラス!$A$1:$A$1031, $B21),$B21="",COUNTIF(スキル一覧!$A$1:$A$3500, $B21)), "", "存在しない")</f>
        <v/>
      </c>
      <c r="M21" s="2" t="str">
        <f>IF(COUNTIF($B$1:$C19, $B21), "", "存在しない")</f>
        <v>存在しない</v>
      </c>
      <c r="N21" s="2" t="str">
        <f>IF(AND(A21&lt;&gt;"",L21="存在しない",M21="存在しない"),IF(COUNTIF([1]クラス!$A$1:$A$1000, $B21),"",TRUE),"")</f>
        <v/>
      </c>
    </row>
    <row r="22" spans="1:14" outlineLevel="1" collapsed="1" x14ac:dyDescent="0.4">
      <c r="B22" s="54" t="s">
        <v>504</v>
      </c>
      <c r="D22" s="2" t="s">
        <v>998</v>
      </c>
      <c r="J22" s="6" t="str">
        <f>IFERROR(_xlfn.LET(_xlpm.v,
VLOOKUP($I22,効果!$A:$B,COLUMN(効果!B$1),FALSE),
IF(_xlpm.v=0,"",_xlpm.v)
),"")</f>
        <v/>
      </c>
      <c r="L22" s="15" t="str">
        <f>IF(OR(COUNTIF(クラス!$A$1:$A$1031, $B22),$B22="",COUNTIF(スキル一覧!$A$1:$A$3500, $B22)), "", "存在しない")</f>
        <v>存在しない</v>
      </c>
      <c r="M22" s="2" t="str">
        <f>IF(COUNTIF($B$1:$C20, $B22), "", "存在しない")</f>
        <v>存在しない</v>
      </c>
      <c r="N22" s="2" t="str">
        <f>IF(AND(A22&lt;&gt;"",L22="存在しない",M22="存在しない"),IF(COUNTIF([1]クラス!$A$1:$A$1000, $B22),"",TRUE),"")</f>
        <v/>
      </c>
    </row>
    <row r="23" spans="1:14" outlineLevel="1" collapsed="1" x14ac:dyDescent="0.4">
      <c r="B23" s="48" t="s">
        <v>505</v>
      </c>
      <c r="D23" s="2" t="s">
        <v>998</v>
      </c>
      <c r="J23" s="6" t="str">
        <f>IFERROR(_xlfn.LET(_xlpm.v,
VLOOKUP($I23,効果!$A:$B,COLUMN(効果!B$1),FALSE),
IF(_xlpm.v=0,"",_xlpm.v)
),"")</f>
        <v/>
      </c>
      <c r="L23" s="15" t="str">
        <f>IF(OR(COUNTIF(クラス!$A$1:$A$1031, $B23),$B23="",COUNTIF(スキル一覧!$A$1:$A$3500, $B23)), "", "存在しない")</f>
        <v>存在しない</v>
      </c>
      <c r="M23" s="2" t="str">
        <f>IF(COUNTIF($B$1:$C21, $B23), "", "存在しない")</f>
        <v>存在しない</v>
      </c>
      <c r="N23" s="2" t="str">
        <f>IF(AND(A23&lt;&gt;"",L23="存在しない",M23="存在しない"),IF(COUNTIF([1]クラス!$A$1:$A$1000, $B23),"",TRUE),"")</f>
        <v/>
      </c>
    </row>
    <row r="24" spans="1:14" outlineLevel="1" collapsed="1" x14ac:dyDescent="0.4">
      <c r="B24" s="48" t="s">
        <v>506</v>
      </c>
      <c r="D24" s="2" t="s">
        <v>998</v>
      </c>
      <c r="J24" s="6" t="str">
        <f>IFERROR(_xlfn.LET(_xlpm.v,
VLOOKUP($I24,効果!$A:$B,COLUMN(効果!B$1),FALSE),
IF(_xlpm.v=0,"",_xlpm.v)
),"")</f>
        <v/>
      </c>
      <c r="L24" s="15" t="str">
        <f>IF(OR(COUNTIF(クラス!$A$1:$A$1031, $B24),$B24="",COUNTIF(スキル一覧!$A$1:$A$3500, $B24)), "", "存在しない")</f>
        <v>存在しない</v>
      </c>
      <c r="M24" s="2" t="str">
        <f>IF(COUNTIF($B$1:$C22, $B24), "", "存在しない")</f>
        <v>存在しない</v>
      </c>
      <c r="N24" s="2" t="str">
        <f>IF(AND(A24&lt;&gt;"",L24="存在しない",M24="存在しない"),IF(COUNTIF([1]クラス!$A$1:$A$1000, $B24),"",TRUE),"")</f>
        <v/>
      </c>
    </row>
    <row r="25" spans="1:14" outlineLevel="1" collapsed="1" x14ac:dyDescent="0.4">
      <c r="B25" s="48" t="s">
        <v>507</v>
      </c>
      <c r="D25" s="2" t="s">
        <v>998</v>
      </c>
      <c r="J25" s="6" t="str">
        <f>IFERROR(_xlfn.LET(_xlpm.v,
VLOOKUP($I25,効果!$A:$B,COLUMN(効果!B$1),FALSE),
IF(_xlpm.v=0,"",_xlpm.v)
),"")</f>
        <v/>
      </c>
      <c r="L25" s="15" t="str">
        <f>IF(OR(COUNTIF(クラス!$A$1:$A$1031, $B25),$B25="",COUNTIF(スキル一覧!$A$1:$A$3500, $B25)), "", "存在しない")</f>
        <v>存在しない</v>
      </c>
      <c r="M25" s="2" t="str">
        <f>IF(COUNTIF($B$1:$C23, $B25), "", "存在しない")</f>
        <v>存在しない</v>
      </c>
      <c r="N25" s="2" t="str">
        <f>IF(AND(A25&lt;&gt;"",L25="存在しない",M25="存在しない"),IF(COUNTIF([1]クラス!$A$1:$A$1000, $B25),"",TRUE),"")</f>
        <v/>
      </c>
    </row>
    <row r="26" spans="1:14" outlineLevel="1" collapsed="1" x14ac:dyDescent="0.4">
      <c r="B26" s="48" t="s">
        <v>508</v>
      </c>
      <c r="D26" s="2" t="s">
        <v>998</v>
      </c>
      <c r="J26" s="6" t="str">
        <f>IFERROR(_xlfn.LET(_xlpm.v,
VLOOKUP($I26,効果!$A:$B,COLUMN(効果!B$1),FALSE),
IF(_xlpm.v=0,"",_xlpm.v)
),"")</f>
        <v/>
      </c>
      <c r="L26" s="15" t="str">
        <f>IF(OR(COUNTIF(クラス!$A$1:$A$1031, $B26),$B26="",COUNTIF(スキル一覧!$A$1:$A$3500, $B26)), "", "存在しない")</f>
        <v>存在しない</v>
      </c>
      <c r="M26" s="2" t="str">
        <f>IF(COUNTIF($B$1:$C24, $B26), "", "存在しない")</f>
        <v>存在しない</v>
      </c>
      <c r="N26" s="2" t="str">
        <f>IF(AND(A26&lt;&gt;"",L26="存在しない",M26="存在しない"),IF(COUNTIF([1]クラス!$A$1:$A$1000, $B26),"",TRUE),"")</f>
        <v/>
      </c>
    </row>
    <row r="27" spans="1:14" outlineLevel="1" collapsed="1" x14ac:dyDescent="0.4">
      <c r="B27" s="48" t="s">
        <v>509</v>
      </c>
      <c r="D27" s="2" t="s">
        <v>998</v>
      </c>
      <c r="J27" s="6" t="str">
        <f>IFERROR(_xlfn.LET(_xlpm.v,
VLOOKUP($I27,効果!$A:$B,COLUMN(効果!B$1),FALSE),
IF(_xlpm.v=0,"",_xlpm.v)
),"")</f>
        <v/>
      </c>
      <c r="L27" s="15" t="str">
        <f>IF(OR(COUNTIF(クラス!$A$1:$A$1031, $B27),$B27="",COUNTIF(スキル一覧!$A$1:$A$3500, $B27)), "", "存在しない")</f>
        <v>存在しない</v>
      </c>
      <c r="M27" s="2" t="str">
        <f>IF(COUNTIF($B$1:$C25, $B27), "", "存在しない")</f>
        <v>存在しない</v>
      </c>
      <c r="N27" s="2" t="str">
        <f>IF(AND(A27&lt;&gt;"",L27="存在しない",M27="存在しない"),IF(COUNTIF([1]クラス!$A$1:$A$1000, $B27),"",TRUE),"")</f>
        <v/>
      </c>
    </row>
    <row r="28" spans="1:14" outlineLevel="1" collapsed="1" x14ac:dyDescent="0.4">
      <c r="B28" s="48" t="s">
        <v>510</v>
      </c>
      <c r="D28" s="2" t="s">
        <v>998</v>
      </c>
      <c r="J28" s="6" t="str">
        <f>IFERROR(_xlfn.LET(_xlpm.v,
VLOOKUP($I28,効果!$A:$B,COLUMN(効果!B$1),FALSE),
IF(_xlpm.v=0,"",_xlpm.v)
),"")</f>
        <v/>
      </c>
      <c r="L28" s="15" t="str">
        <f>IF(OR(COUNTIF(クラス!$A$1:$A$1031, $B28),$B28="",COUNTIF(スキル一覧!$A$1:$A$3500, $B28)), "", "存在しない")</f>
        <v>存在しない</v>
      </c>
      <c r="M28" s="2" t="str">
        <f>IF(COUNTIF($B$1:$C26, $B28), "", "存在しない")</f>
        <v>存在しない</v>
      </c>
      <c r="N28" s="2" t="str">
        <f>IF(AND(A28&lt;&gt;"",L28="存在しない",M28="存在しない"),IF(COUNTIF([1]クラス!$A$1:$A$1000, $B28),"",TRUE),"")</f>
        <v/>
      </c>
    </row>
    <row r="29" spans="1:14" outlineLevel="1" collapsed="1" x14ac:dyDescent="0.4">
      <c r="B29" s="48" t="s">
        <v>511</v>
      </c>
      <c r="D29" s="2" t="s">
        <v>998</v>
      </c>
      <c r="J29" s="6" t="str">
        <f>IFERROR(_xlfn.LET(_xlpm.v,
VLOOKUP($I29,効果!$A:$B,COLUMN(効果!B$1),FALSE),
IF(_xlpm.v=0,"",_xlpm.v)
),"")</f>
        <v/>
      </c>
      <c r="L29" s="15" t="str">
        <f>IF(OR(COUNTIF(クラス!$A$1:$A$1031, $B29),$B29="",COUNTIF(スキル一覧!$A$1:$A$3500, $B29)), "", "存在しない")</f>
        <v>存在しない</v>
      </c>
      <c r="M29" s="2" t="str">
        <f>IF(COUNTIF($B$1:$C27, $B29), "", "存在しない")</f>
        <v>存在しない</v>
      </c>
      <c r="N29" s="2" t="str">
        <f>IF(AND(A29&lt;&gt;"",L29="存在しない",M29="存在しない"),IF(COUNTIF([1]クラス!$A$1:$A$1000, $B29),"",TRUE),"")</f>
        <v/>
      </c>
    </row>
    <row r="30" spans="1:14" outlineLevel="1" collapsed="1" x14ac:dyDescent="0.4">
      <c r="B30" s="48" t="s">
        <v>512</v>
      </c>
      <c r="D30" s="2" t="s">
        <v>998</v>
      </c>
      <c r="J30" s="6" t="str">
        <f>IFERROR(_xlfn.LET(_xlpm.v,
VLOOKUP($I30,効果!$A:$B,COLUMN(効果!B$1),FALSE),
IF(_xlpm.v=0,"",_xlpm.v)
),"")</f>
        <v/>
      </c>
      <c r="L30" s="15" t="str">
        <f>IF(OR(COUNTIF(クラス!$A$1:$A$1031, $B30),$B30="",COUNTIF(スキル一覧!$A$1:$A$3500, $B30)), "", "存在しない")</f>
        <v>存在しない</v>
      </c>
      <c r="M30" s="2" t="str">
        <f>IF(COUNTIF($B$1:$C28, $B30), "", "存在しない")</f>
        <v>存在しない</v>
      </c>
      <c r="N30" s="2" t="str">
        <f>IF(AND(A30&lt;&gt;"",L30="存在しない",M30="存在しない"),IF(COUNTIF([1]クラス!$A$1:$A$1000, $B30),"",TRUE),"")</f>
        <v/>
      </c>
    </row>
    <row r="31" spans="1:14" outlineLevel="1" collapsed="1" x14ac:dyDescent="0.4">
      <c r="B31" s="48" t="s">
        <v>513</v>
      </c>
      <c r="D31" s="2" t="s">
        <v>998</v>
      </c>
      <c r="J31" s="6" t="str">
        <f>IFERROR(_xlfn.LET(_xlpm.v,
VLOOKUP($I31,効果!$A:$B,COLUMN(効果!B$1),FALSE),
IF(_xlpm.v=0,"",_xlpm.v)
),"")</f>
        <v/>
      </c>
      <c r="L31" s="15" t="str">
        <f>IF(OR(COUNTIF(クラス!$A$1:$A$1031, $B31),$B31="",COUNTIF(スキル一覧!$A$1:$A$3500, $B31)), "", "存在しない")</f>
        <v>存在しない</v>
      </c>
      <c r="M31" s="2" t="str">
        <f>IF(COUNTIF($B$1:$C29, $B31), "", "存在しない")</f>
        <v>存在しない</v>
      </c>
      <c r="N31" s="2" t="str">
        <f>IF(AND(A31&lt;&gt;"",L31="存在しない",M31="存在しない"),IF(COUNTIF([1]クラス!$A$1:$A$1000, $B31),"",TRUE),"")</f>
        <v/>
      </c>
    </row>
    <row r="32" spans="1:14" outlineLevel="1" collapsed="1" x14ac:dyDescent="0.4">
      <c r="B32" s="48" t="s">
        <v>514</v>
      </c>
      <c r="D32" s="2" t="s">
        <v>998</v>
      </c>
      <c r="J32" s="6" t="str">
        <f>IFERROR(_xlfn.LET(_xlpm.v,
VLOOKUP($I32,効果!$A:$B,COLUMN(効果!B$1),FALSE),
IF(_xlpm.v=0,"",_xlpm.v)
),"")</f>
        <v/>
      </c>
      <c r="L32" s="15" t="str">
        <f>IF(OR(COUNTIF(クラス!$A$1:$A$1031, $B32),$B32="",COUNTIF(スキル一覧!$A$1:$A$3500, $B32)), "", "存在しない")</f>
        <v>存在しない</v>
      </c>
      <c r="M32" s="2" t="str">
        <f>IF(COUNTIF($B$1:$C30, $B32), "", "存在しない")</f>
        <v>存在しない</v>
      </c>
      <c r="N32" s="2" t="str">
        <f>IF(AND(A32&lt;&gt;"",L32="存在しない",M32="存在しない"),IF(COUNTIF([1]クラス!$A$1:$A$1000, $B32),"",TRUE),"")</f>
        <v/>
      </c>
    </row>
    <row r="33" spans="1:14" outlineLevel="1" collapsed="1" x14ac:dyDescent="0.4">
      <c r="B33" s="48" t="s">
        <v>515</v>
      </c>
      <c r="D33" s="2" t="s">
        <v>998</v>
      </c>
      <c r="J33" s="6" t="str">
        <f>IFERROR(_xlfn.LET(_xlpm.v,
VLOOKUP($I33,効果!$A:$B,COLUMN(効果!B$1),FALSE),
IF(_xlpm.v=0,"",_xlpm.v)
),"")</f>
        <v/>
      </c>
      <c r="L33" s="15" t="str">
        <f>IF(OR(COUNTIF(クラス!$A$1:$A$1031, $B33),$B33="",COUNTIF(スキル一覧!$A$1:$A$3500, $B33)), "", "存在しない")</f>
        <v>存在しない</v>
      </c>
      <c r="M33" s="2" t="str">
        <f>IF(COUNTIF($B$1:$C31, $B33), "", "存在しない")</f>
        <v>存在しない</v>
      </c>
      <c r="N33" s="2" t="str">
        <f>IF(AND(A33&lt;&gt;"",L33="存在しない",M33="存在しない"),IF(COUNTIF([1]クラス!$A$1:$A$1000, $B33),"",TRUE),"")</f>
        <v/>
      </c>
    </row>
    <row r="34" spans="1:14" outlineLevel="1" collapsed="1" x14ac:dyDescent="0.4">
      <c r="B34" s="48" t="s">
        <v>516</v>
      </c>
      <c r="D34" s="2" t="s">
        <v>998</v>
      </c>
      <c r="J34" s="6" t="str">
        <f>IFERROR(_xlfn.LET(_xlpm.v,
VLOOKUP($I34,効果!$A:$B,COLUMN(効果!B$1),FALSE),
IF(_xlpm.v=0,"",_xlpm.v)
),"")</f>
        <v/>
      </c>
      <c r="L34" s="15" t="str">
        <f>IF(OR(COUNTIF(クラス!$A$1:$A$1031, $B34),$B34="",COUNTIF(スキル一覧!$A$1:$A$3500, $B34)), "", "存在しない")</f>
        <v>存在しない</v>
      </c>
      <c r="M34" s="2" t="str">
        <f>IF(COUNTIF($B$1:$C32, $B34), "", "存在しない")</f>
        <v>存在しない</v>
      </c>
      <c r="N34" s="2" t="str">
        <f>IF(AND(A34&lt;&gt;"",L34="存在しない",M34="存在しない"),IF(COUNTIF([1]クラス!$A$1:$A$1000, $B34),"",TRUE),"")</f>
        <v/>
      </c>
    </row>
    <row r="35" spans="1:14" outlineLevel="1" collapsed="1" x14ac:dyDescent="0.4">
      <c r="B35" s="48" t="s">
        <v>786</v>
      </c>
      <c r="D35" s="2" t="s">
        <v>998</v>
      </c>
      <c r="J35" s="6" t="str">
        <f>IFERROR(_xlfn.LET(_xlpm.v,
VLOOKUP($I35,効果!$A:$B,COLUMN(効果!B$1),FALSE),
IF(_xlpm.v=0,"",_xlpm.v)
),"")</f>
        <v/>
      </c>
      <c r="L35" s="15" t="str">
        <f>IF(OR(COUNTIF(クラス!$A$1:$A$1031, $B35),$B35="",COUNTIF(スキル一覧!$A$1:$A$3500, $B35)), "", "存在しない")</f>
        <v>存在しない</v>
      </c>
      <c r="M35" s="2" t="str">
        <f>IF(COUNTIF($B$1:$C33, $B35), "", "存在しない")</f>
        <v>存在しない</v>
      </c>
      <c r="N35" s="2" t="str">
        <f>IF(AND(A35&lt;&gt;"",L35="存在しない",M35="存在しない"),IF(COUNTIF([1]クラス!$A$1:$A$1000, $B35),"",TRUE),"")</f>
        <v/>
      </c>
    </row>
    <row r="36" spans="1:14" outlineLevel="1" collapsed="1" x14ac:dyDescent="0.4">
      <c r="B36" s="48" t="s">
        <v>928</v>
      </c>
      <c r="D36" s="2" t="s">
        <v>998</v>
      </c>
      <c r="J36" s="6" t="str">
        <f>IFERROR(_xlfn.LET(_xlpm.v,
VLOOKUP($I36,効果!$A:$B,COLUMN(効果!B$1),FALSE),
IF(_xlpm.v=0,"",_xlpm.v)
),"")</f>
        <v/>
      </c>
      <c r="L36" s="15" t="str">
        <f>IF(OR(COUNTIF(クラス!$A$1:$A$1031, $B36),$B36="",COUNTIF(スキル一覧!$A$1:$A$3500, $B36)), "", "存在しない")</f>
        <v>存在しない</v>
      </c>
      <c r="M36" s="2" t="str">
        <f>IF(COUNTIF($B$1:$C34, $B36), "", "存在しない")</f>
        <v>存在しない</v>
      </c>
      <c r="N36" s="2" t="str">
        <f>IF(AND(A36&lt;&gt;"",L36="存在しない",M36="存在しない"),IF(COUNTIF([1]クラス!$A$1:$A$1000, $B36),"",TRUE),"")</f>
        <v/>
      </c>
    </row>
    <row r="37" spans="1:14" outlineLevel="1" x14ac:dyDescent="0.4">
      <c r="B37" s="48"/>
      <c r="J37" s="6" t="str">
        <f>IFERROR(_xlfn.LET(_xlpm.v,
VLOOKUP($I37,効果!$A:$B,COLUMN(効果!B$1),FALSE),
IF(_xlpm.v=0,"",_xlpm.v)
),"")</f>
        <v/>
      </c>
      <c r="L37" s="15" t="str">
        <f>IF(OR(COUNTIF(クラス!$A$1:$A$1031, $B37),$B37="",COUNTIF(スキル一覧!$A$1:$A$3500, $B37)), "", "存在しない")</f>
        <v/>
      </c>
      <c r="M37" s="2" t="str">
        <f>IF(COUNTIF($B$1:$C35, $B37), "", "存在しない")</f>
        <v>存在しない</v>
      </c>
      <c r="N37" s="2" t="str">
        <f>IF(AND(A37&lt;&gt;"",L37="存在しない",M37="存在しない"),IF(COUNTIF([1]クラス!$A$1:$A$1000, $B37),"",TRUE),"")</f>
        <v/>
      </c>
    </row>
    <row r="38" spans="1:14" outlineLevel="1" x14ac:dyDescent="0.4">
      <c r="B38" s="48"/>
      <c r="J38" s="6" t="str">
        <f>IFERROR(_xlfn.LET(_xlpm.v,
VLOOKUP($I38,効果!$A:$B,COLUMN(効果!B$1),FALSE),
IF(_xlpm.v=0,"",_xlpm.v)
),"")</f>
        <v/>
      </c>
      <c r="L38" s="15" t="str">
        <f>IF(OR(COUNTIF(クラス!$A$1:$A$1031, $B38),$B38="",COUNTIF(スキル一覧!$A$1:$A$3500, $B38)), "", "存在しない")</f>
        <v/>
      </c>
      <c r="M38" s="2" t="str">
        <f>IF(COUNTIF($B$1:$C36, $B38), "", "存在しない")</f>
        <v>存在しない</v>
      </c>
      <c r="N38" s="2" t="str">
        <f>IF(AND(A38&lt;&gt;"",L38="存在しない",M38="存在しない"),IF(COUNTIF([1]クラス!$A$1:$A$1000, $B38),"",TRUE),"")</f>
        <v/>
      </c>
    </row>
    <row r="39" spans="1:14" outlineLevel="1" x14ac:dyDescent="0.4">
      <c r="B39" s="48"/>
      <c r="J39" s="6" t="str">
        <f>IFERROR(_xlfn.LET(_xlpm.v,
VLOOKUP($I39,効果!$A:$B,COLUMN(効果!B$1),FALSE),
IF(_xlpm.v=0,"",_xlpm.v)
),"")</f>
        <v/>
      </c>
      <c r="L39" s="15" t="str">
        <f>IF(OR(COUNTIF(クラス!$A$1:$A$1031, $B39),$B39="",COUNTIF(スキル一覧!$A$1:$A$3500, $B39)), "", "存在しない")</f>
        <v/>
      </c>
      <c r="M39" s="2" t="str">
        <f>IF(COUNTIF($B$1:$C37, $B39), "", "存在しない")</f>
        <v>存在しない</v>
      </c>
      <c r="N39" s="2" t="str">
        <f>IF(AND(A39&lt;&gt;"",L39="存在しない",M39="存在しない"),IF(COUNTIF([1]クラス!$A$1:$A$1000, $B39),"",TRUE),"")</f>
        <v/>
      </c>
    </row>
    <row r="40" spans="1:14" outlineLevel="1" x14ac:dyDescent="0.4">
      <c r="B40" s="48"/>
      <c r="J40" s="6" t="str">
        <f>IFERROR(_xlfn.LET(_xlpm.v,
VLOOKUP($I40,効果!$A:$B,COLUMN(効果!B$1),FALSE),
IF(_xlpm.v=0,"",_xlpm.v)
),"")</f>
        <v/>
      </c>
      <c r="L40" s="15" t="str">
        <f>IF(OR(COUNTIF(クラス!$A$1:$A$1031, $B40),$B40="",COUNTIF(スキル一覧!$A$1:$A$3500, $B40)), "", "存在しない")</f>
        <v/>
      </c>
      <c r="M40" s="2" t="str">
        <f>IF(COUNTIF($B$1:$C38, $B40), "", "存在しない")</f>
        <v>存在しない</v>
      </c>
      <c r="N40" s="2" t="str">
        <f>IF(AND(A40&lt;&gt;"",L40="存在しない",M40="存在しない"),IF(COUNTIF([1]クラス!$A$1:$A$1000, $B40),"",TRUE),"")</f>
        <v/>
      </c>
    </row>
    <row r="41" spans="1:14" outlineLevel="1" x14ac:dyDescent="0.4">
      <c r="B41" s="48"/>
      <c r="J41" s="6" t="str">
        <f>IFERROR(_xlfn.LET(_xlpm.v,
VLOOKUP($I41,効果!$A:$B,COLUMN(効果!B$1),FALSE),
IF(_xlpm.v=0,"",_xlpm.v)
),"")</f>
        <v/>
      </c>
      <c r="L41" s="15" t="str">
        <f>IF(OR(COUNTIF(クラス!$A$1:$A$1031, $B41),$B41="",COUNTIF(スキル一覧!$A$1:$A$3500, $B41)), "", "存在しない")</f>
        <v/>
      </c>
      <c r="M41" s="2" t="str">
        <f>IF(COUNTIF($B$1:$C39, $B41), "", "存在しない")</f>
        <v>存在しない</v>
      </c>
      <c r="N41" s="2" t="str">
        <f>IF(AND(A41&lt;&gt;"",L41="存在しない",M41="存在しない"),IF(COUNTIF([1]クラス!$A$1:$A$1000, $B41),"",TRUE),"")</f>
        <v/>
      </c>
    </row>
    <row r="42" spans="1:14" outlineLevel="1" x14ac:dyDescent="0.4">
      <c r="B42" s="48"/>
      <c r="J42" s="6" t="str">
        <f>IFERROR(_xlfn.LET(_xlpm.v,
VLOOKUP($I42,効果!$A:$B,COLUMN(効果!B$1),FALSE),
IF(_xlpm.v=0,"",_xlpm.v)
),"")</f>
        <v/>
      </c>
      <c r="L42" s="15" t="str">
        <f>IF(OR(COUNTIF(クラス!$A$1:$A$1031, $B42),$B42="",COUNTIF(スキル一覧!$A$1:$A$3500, $B42)), "", "存在しない")</f>
        <v/>
      </c>
      <c r="M42" s="2" t="str">
        <f>IF(COUNTIF($B$1:$C40, $B42), "", "存在しない")</f>
        <v>存在しない</v>
      </c>
      <c r="N42" s="2" t="str">
        <f>IF(AND(A42&lt;&gt;"",L42="存在しない",M42="存在しない"),IF(COUNTIF([1]クラス!$A$1:$A$1000, $B42),"",TRUE),"")</f>
        <v/>
      </c>
    </row>
    <row r="43" spans="1:14" outlineLevel="1" x14ac:dyDescent="0.4">
      <c r="B43" s="48"/>
      <c r="J43" s="6" t="str">
        <f>IFERROR(_xlfn.LET(_xlpm.v,
VLOOKUP($I43,効果!$A:$B,COLUMN(効果!B$1),FALSE),
IF(_xlpm.v=0,"",_xlpm.v)
),"")</f>
        <v/>
      </c>
      <c r="L43" s="15" t="str">
        <f>IF(OR(COUNTIF(クラス!$A$1:$A$1031, $B43),$B43="",COUNTIF(スキル一覧!$A$1:$A$3500, $B43)), "", "存在しない")</f>
        <v/>
      </c>
      <c r="M43" s="2" t="str">
        <f>IF(COUNTIF($B$1:$C41, $B43), "", "存在しない")</f>
        <v>存在しない</v>
      </c>
      <c r="N43" s="2" t="str">
        <f>IF(AND(A43&lt;&gt;"",L43="存在しない",M43="存在しない"),IF(COUNTIF([1]クラス!$A$1:$A$1000, $B43),"",TRUE),"")</f>
        <v/>
      </c>
    </row>
    <row r="44" spans="1:14" outlineLevel="1" x14ac:dyDescent="0.4">
      <c r="J44" s="6" t="str">
        <f>IFERROR(_xlfn.LET(_xlpm.v,
VLOOKUP($I44,効果!$A:$B,COLUMN(効果!B$1),FALSE),
IF(_xlpm.v=0,"",_xlpm.v)
),"")</f>
        <v/>
      </c>
      <c r="L44" s="15" t="str">
        <f>IF(OR(COUNTIF(クラス!$A$1:$A$1031, $B44),$B44="",COUNTIF(スキル一覧!$A$1:$A$3500, $B44)), "", "存在しない")</f>
        <v/>
      </c>
      <c r="M44" s="2" t="str">
        <f>IF(COUNTIF($B$1:$C42, $B44), "", "存在しない")</f>
        <v>存在しない</v>
      </c>
      <c r="N44" s="2" t="str">
        <f>IF(AND(A44&lt;&gt;"",L44="存在しない",M44="存在しない"),IF(COUNTIF([1]クラス!$A$1:$A$1000, $B44),"",TRUE),"")</f>
        <v/>
      </c>
    </row>
    <row r="45" spans="1:14" outlineLevel="1" x14ac:dyDescent="0.4">
      <c r="J45" s="6" t="str">
        <f>IFERROR(_xlfn.LET(_xlpm.v,
VLOOKUP($I45,効果!$A:$B,COLUMN(効果!B$1),FALSE),
IF(_xlpm.v=0,"",_xlpm.v)
),"")</f>
        <v/>
      </c>
      <c r="L45" s="15" t="str">
        <f>IF(OR(COUNTIF(クラス!$A$1:$A$1031, $B45),$B45="",COUNTIF(スキル一覧!$A$1:$A$3500, $B45)), "", "存在しない")</f>
        <v/>
      </c>
      <c r="M45" s="2" t="str">
        <f>IF(COUNTIF($B$1:$C43, $B45), "", "存在しない")</f>
        <v>存在しない</v>
      </c>
      <c r="N45" s="2" t="str">
        <f>IF(AND(A45&lt;&gt;"",L45="存在しない",M45="存在しない"),IF(COUNTIF([1]クラス!$A$1:$A$1000, $B45),"",TRUE),"")</f>
        <v/>
      </c>
    </row>
    <row r="46" spans="1:14" x14ac:dyDescent="0.4">
      <c r="C46" s="2" t="s">
        <v>117</v>
      </c>
      <c r="J46" s="6" t="str">
        <f>IFERROR(_xlfn.LET(_xlpm.v,
VLOOKUP($I46,効果!$A:$B,COLUMN(効果!B$1),FALSE),
IF(_xlpm.v=0,"",_xlpm.v)
),"")</f>
        <v/>
      </c>
      <c r="L46" s="15" t="str">
        <f>IF(OR(COUNTIF(クラス!$A$1:$A$1031, $B46),$B46="",COUNTIF(スキル一覧!$A$1:$A$3500, $B46)), "", "存在しない")</f>
        <v/>
      </c>
      <c r="M46" s="2" t="str">
        <f>IF(COUNTIF($B$1:$C45, $B46), "", "存在しない")</f>
        <v>存在しない</v>
      </c>
      <c r="N46" s="2" t="str">
        <f>IF(AND(A46&lt;&gt;"",L46="存在しない",M46="存在しない"),IF(COUNTIF([1]クラス!$A$1:$A$1000, $B46),"",TRUE),"")</f>
        <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IF(OR(COUNTIF(クラス!$A$1:$A$1031, $B47),$B47="",COUNTIF(スキル一覧!$A$1:$A$3500, $B47)), "", "存在しない")</f>
        <v/>
      </c>
      <c r="M47" s="2" t="str">
        <f>IF(COUNTIF($B$1:$C46, $B47), "", "存在しない")</f>
        <v>存在しない</v>
      </c>
      <c r="N47" s="2" t="str">
        <f>IF(AND(A47&lt;&gt;"",L47="存在しない",M47="存在しない"),IF(COUNTIF([1]クラス!$A$1:$A$1000, $B47),"",TRUE),"")</f>
        <v/>
      </c>
    </row>
    <row r="48" spans="1:14" hidden="1" outlineLevel="1" x14ac:dyDescent="0.4">
      <c r="A48" s="2">
        <v>1</v>
      </c>
      <c r="J48" s="6" t="str">
        <f>IFERROR(_xlfn.LET(_xlpm.v,
VLOOKUP($I48,効果!$A:$B,COLUMN(効果!B$1),FALSE),
IF(_xlpm.v=0,"",_xlpm.v)
),"")</f>
        <v/>
      </c>
      <c r="L48" s="15" t="str">
        <f>IF(OR(COUNTIF(クラス!$A$1:$A$1031,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IF(OR(COUNTIF(クラス!$A$1:$A$1031,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IF(OR(COUNTIF(クラス!$A$1:$A$1031, $B50),$B50="",COUNTIF(スキル一覧!$A$1:$A$3500, $B50)), "", "存在しない")</f>
        <v/>
      </c>
      <c r="M50" s="2" t="str">
        <f>IF(COUNTIF($B$1:$C49, $B50), "", "存在しない")</f>
        <v>存在しない</v>
      </c>
      <c r="N50" s="2" t="str">
        <f>IF(AND(A50&lt;&gt;"",L50="存在しない",M50="存在しない"),IF(COUNTIF([1]クラス!$A$1:$A$1000, $B50),"",TRUE),"")</f>
        <v/>
      </c>
    </row>
    <row r="51" spans="1:14" hidden="1" outlineLevel="1" x14ac:dyDescent="0.4">
      <c r="A51" s="2">
        <v>4</v>
      </c>
      <c r="J51" s="6" t="str">
        <f>IFERROR(_xlfn.LET(_xlpm.v,
VLOOKUP($I51,効果!$A:$B,COLUMN(効果!B$1),FALSE),
IF(_xlpm.v=0,"",_xlpm.v)
),"")</f>
        <v/>
      </c>
      <c r="L51" s="15" t="str">
        <f>IF(OR(COUNTIF(クラス!$A$1:$A$1031, $B51),$B51="",COUNTIF(スキル一覧!$A$1:$A$3500, $B51)), "", "存在しない")</f>
        <v/>
      </c>
      <c r="M51" s="2" t="str">
        <f>IF(COUNTIF($B$1:$C50, $B51), "", "存在しない")</f>
        <v>存在しない</v>
      </c>
      <c r="N51" s="2" t="str">
        <f>IF(AND(A51&lt;&gt;"",L51="存在しない",M51="存在しない"),IF(COUNTIF([1]クラス!$A$1:$A$1000, $B51),"",TRUE),"")</f>
        <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IF(OR(COUNTIF(クラス!$A$1:$A$1031, $B52),$B52="",COUNTIF(スキル一覧!$A$1:$A$3500, $B52)), "", "存在しない")</f>
        <v/>
      </c>
      <c r="M52" s="2" t="str">
        <f>IF(COUNTIF($B$1:$C51, $B52), "", "存在しない")</f>
        <v>存在しない</v>
      </c>
      <c r="N52" s="2" t="str">
        <f>IF(AND(A52&lt;&gt;"",L52="存在しない",M52="存在しない"),IF(COUNTIF([1]クラス!$A$1:$A$1000, $B52),"",TRUE),"")</f>
        <v/>
      </c>
    </row>
    <row r="53" spans="1:14" hidden="1" outlineLevel="1" x14ac:dyDescent="0.4">
      <c r="A53" s="2">
        <v>6</v>
      </c>
      <c r="E53" s="13" t="s">
        <v>130</v>
      </c>
      <c r="J53" s="6" t="str">
        <f>IFERROR(_xlfn.LET(_xlpm.v,
VLOOKUP($I53,効果!$A:$B,COLUMN(効果!B$1),FALSE),
IF(_xlpm.v=0,"",_xlpm.v)
),"")</f>
        <v/>
      </c>
      <c r="L53" s="15" t="str">
        <f>IF(OR(COUNTIF(クラス!$A$1:$A$1031,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7</v>
      </c>
      <c r="J54" s="6" t="str">
        <f>IFERROR(_xlfn.LET(_xlpm.v,
VLOOKUP($I54,効果!$A:$B,COLUMN(効果!B$1),FALSE),
IF(_xlpm.v=0,"",_xlpm.v)
),"")</f>
        <v/>
      </c>
      <c r="L54" s="15" t="str">
        <f>IF(OR(COUNTIF(クラス!$A$1:$A$1031,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IF(OR(COUNTIF(クラス!$A$1:$A$1031,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IF(OR(COUNTIF(クラス!$A$1:$A$1031, $B56),$B56="",COUNTIF(スキル一覧!$A$1:$A$3500, $B56)), "", "存在しない")</f>
        <v/>
      </c>
      <c r="M56" s="2" t="str">
        <f>IF(COUNTIF($B$1:$C55, $B56), "", "存在しない")</f>
        <v>存在しない</v>
      </c>
      <c r="N56" s="2" t="str">
        <f>IF(AND(A56&lt;&gt;"",L56="存在しない",M56="存在しない"),IF(COUNTIF([1]クラス!$A$1:$A$1000, $B56),"",TRUE),"")</f>
        <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IF(OR(COUNTIF(クラス!$A$1:$A$1031, $B57),$B57="",COUNTIF(スキル一覧!$A$1:$A$3500, $B57)), "", "存在しない")</f>
        <v/>
      </c>
      <c r="M57" s="2" t="str">
        <f>IF(COUNTIF($B$1:$C56, $B57), "", "存在しない")</f>
        <v>存在しない</v>
      </c>
      <c r="N57" s="2" t="str">
        <f>IF(AND(A57&lt;&gt;"",L57="存在しない",M57="存在しない"),IF(COUNTIF([1]クラス!$A$1:$A$1000, $B57),"",TRUE),"")</f>
        <v/>
      </c>
    </row>
    <row r="58" spans="1:14" hidden="1" outlineLevel="1" x14ac:dyDescent="0.4">
      <c r="J58" s="6" t="str">
        <f>IFERROR(_xlfn.LET(_xlpm.v,
VLOOKUP($I58,効果!$A:$B,COLUMN(効果!B$1),FALSE),
IF(_xlpm.v=0,"",_xlpm.v)
),"")</f>
        <v/>
      </c>
      <c r="L58" s="15" t="str">
        <f>IF(OR(COUNTIF(クラス!$A$1:$A$1031, $B58),$B58="",COUNTIF(スキル一覧!$A$1:$A$3500, $B58)), "", "存在しない")</f>
        <v/>
      </c>
      <c r="M58" s="2" t="str">
        <f>IF(COUNTIF($B$1:$C57, $B58), "", "存在しない")</f>
        <v>存在しない</v>
      </c>
      <c r="N58" s="2" t="str">
        <f>IF(AND(A58&lt;&gt;"",L58="存在しない",M58="存在しない"),IF(COUNTIF([1]クラス!$A$1:$A$1000, $B58),"",TRUE),"")</f>
        <v/>
      </c>
    </row>
    <row r="59" spans="1:14" collapsed="1" x14ac:dyDescent="0.4">
      <c r="J59" s="6" t="str">
        <f>IFERROR(_xlfn.LET(_xlpm.v,
VLOOKUP($I59,効果!$A:$B,COLUMN(効果!B$1),FALSE),
IF(_xlpm.v=0,"",_xlpm.v)
),"")</f>
        <v/>
      </c>
      <c r="L59" s="15" t="str">
        <f>IF(OR(COUNTIF(クラス!$A$1:$A$1031, $B59),$B59="",COUNTIF(スキル一覧!$A$1:$A$3500, $B59)), "", "存在しない")</f>
        <v/>
      </c>
      <c r="M59" s="2" t="str">
        <f>IF(COUNTIF($B$1:$C58, $B59), "", "存在しない")</f>
        <v>存在しない</v>
      </c>
      <c r="N59" s="2" t="str">
        <f>IF(AND(A59&lt;&gt;"",L59="存在しない",M59="存在しない"),IF(COUNTIF([1]クラス!$A$1:$A$1000, $B59),"",TRUE),"")</f>
        <v/>
      </c>
    </row>
    <row r="60" spans="1:14" x14ac:dyDescent="0.4">
      <c r="B60" s="2" t="s">
        <v>120</v>
      </c>
      <c r="J60" s="6" t="str">
        <f>IFERROR(_xlfn.LET(_xlpm.v,
VLOOKUP($I60,効果!$A:$B,COLUMN(効果!B$1),FALSE),
IF(_xlpm.v=0,"",_xlpm.v)
),"")</f>
        <v/>
      </c>
      <c r="L60" s="15" t="str">
        <f>IF(OR(COUNTIF(クラス!$A$1:$A$1031, $B60),$B60="",COUNTIF(スキル一覧!$A$1:$A$3500, $B60)), "", "存在しない")</f>
        <v/>
      </c>
      <c r="M60" s="2" t="str">
        <f>IF(COUNTIF($B$1:$C59, $B60), "", "存在しない")</f>
        <v>存在しない</v>
      </c>
      <c r="N60" s="2" t="str">
        <f>IF(AND(A60&lt;&gt;"",L60="存在しない",M60="存在しない"),IF(COUNTIF([1]クラス!$A$1:$A$1000, $B60),"",TRUE),"")</f>
        <v/>
      </c>
    </row>
    <row r="61" spans="1:14" hidden="1" outlineLevel="1" x14ac:dyDescent="0.4">
      <c r="A61" s="2">
        <v>1</v>
      </c>
      <c r="J61" s="6" t="str">
        <f>IFERROR(_xlfn.LET(_xlpm.v,
VLOOKUP($I61,効果!$A:$B,COLUMN(効果!B$1),FALSE),
IF(_xlpm.v=0,"",_xlpm.v)
),"")</f>
        <v/>
      </c>
      <c r="L61" s="15" t="str">
        <f>IF(OR(COUNTIF(クラス!$A$1:$A$1031, $B61),$B61="",COUNTIF(スキル一覧!$A$1:$A$3500, $B61)), "", "存在しない")</f>
        <v/>
      </c>
      <c r="M61" s="2" t="str">
        <f>IF(COUNTIF($B$1:$C60, $B61), "", "存在しない")</f>
        <v>存在しない</v>
      </c>
      <c r="N61" s="2" t="str">
        <f>IF(AND(A61&lt;&gt;"",L61="存在しない",M61="存在しない"),IF(COUNTIF([1]クラス!$A$1:$A$1000, $B61),"",TRUE),"")</f>
        <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IF(OR(COUNTIF(クラス!$A$1:$A$1031, $B62),$B62="",COUNTIF(スキル一覧!$A$1:$A$3500, $B62)), "", "存在しない")</f>
        <v/>
      </c>
      <c r="M62" s="2" t="str">
        <f>IF(COUNTIF($B$1:$C61, $B62), "", "存在しない")</f>
        <v/>
      </c>
      <c r="N62" s="2" t="str">
        <f>IF(AND(A62&lt;&gt;"",L62="存在しない",M62="存在しない"),IF(COUNTIF([1]クラス!$A$1:$A$1000, $B62),"",TRUE),"")</f>
        <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IF(OR(COUNTIF(クラス!$A$1:$A$1031, $B63),$B63="",COUNTIF(スキル一覧!$A$1:$A$3500, $B63)), "", "存在しない")</f>
        <v/>
      </c>
      <c r="M63" s="2" t="str">
        <f>IF(COUNTIF($B$1:$C62, $B63), "", "存在しない")</f>
        <v/>
      </c>
      <c r="N63" s="2" t="str">
        <f>IF(AND(A63&lt;&gt;"",L63="存在しない",M63="存在しない"),IF(COUNTIF([1]クラス!$A$1:$A$1000, $B63),"",TRUE),"")</f>
        <v/>
      </c>
    </row>
    <row r="64" spans="1:14" hidden="1" outlineLevel="1" x14ac:dyDescent="0.4">
      <c r="A64" s="2">
        <v>4</v>
      </c>
      <c r="J64" s="6" t="str">
        <f>IFERROR(_xlfn.LET(_xlpm.v,
VLOOKUP($I64,効果!$A:$B,COLUMN(効果!B$1),FALSE),
IF(_xlpm.v=0,"",_xlpm.v)
),"")</f>
        <v/>
      </c>
      <c r="L64" s="15" t="str">
        <f>IF(OR(COUNTIF(クラス!$A$1:$A$1031,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IF(OR(COUNTIF(クラス!$A$1:$A$1031, $B65),$B65="",COUNTIF(スキル一覧!$A$1:$A$3500, $B65)), "", "存在しない")</f>
        <v/>
      </c>
      <c r="M65" s="2" t="str">
        <f>IF(COUNTIF($B$1:$C64, $B65), "", "存在しない")</f>
        <v/>
      </c>
      <c r="N65" s="2" t="str">
        <f>IF(AND(A65&lt;&gt;"",L65="存在しない",M65="存在しない"),IF(COUNTIF([1]クラス!$A$1:$A$1000, $B65),"",TRUE),"")</f>
        <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IF(OR(COUNTIF(クラス!$A$1:$A$1031,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7</v>
      </c>
      <c r="J67" s="6" t="str">
        <f>IFERROR(_xlfn.LET(_xlpm.v,
VLOOKUP($I67,効果!$A:$B,COLUMN(効果!B$1),FALSE),
IF(_xlpm.v=0,"",_xlpm.v)
),"")</f>
        <v/>
      </c>
      <c r="L67" s="15" t="str">
        <f>IF(OR(COUNTIF(クラス!$A$1:$A$1031,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IF(OR(COUNTIF(クラス!$A$1:$A$1031, $B68),$B68="",COUNTIF(スキル一覧!$A$1:$A$3500, $B68)), "", "存在しない")</f>
        <v/>
      </c>
      <c r="M68" s="2" t="str">
        <f>IF(COUNTIF($B$1:$C67, $B68), "", "存在しない")</f>
        <v/>
      </c>
      <c r="N68" s="2" t="str">
        <f>IF(AND(A68&lt;&gt;"",L68="存在しない",M68="存在しない"),IF(COUNTIF([1]クラス!$A$1:$A$1000, $B68),"",TRUE),"")</f>
        <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IF(OR(COUNTIF(クラス!$A$1:$A$1031, $B69),$B69="",COUNTIF(スキル一覧!$A$1:$A$3500, $B69)), "", "存在しない")</f>
        <v/>
      </c>
      <c r="M69" s="2" t="str">
        <f>IF(COUNTIF($B$1:$C68, $B69), "", "存在しない")</f>
        <v>存在しない</v>
      </c>
      <c r="N69" s="2" t="str">
        <f>IF(AND(A69&lt;&gt;"",L69="存在しない",M69="存在しない"),IF(COUNTIF([1]クラス!$A$1:$A$1000, $B69),"",TRUE),"")</f>
        <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IF(OR(COUNTIF(クラス!$A$1:$A$1031, $B70),$B70="",COUNTIF(スキル一覧!$A$1:$A$3500, $B70)), "", "存在しない")</f>
        <v/>
      </c>
      <c r="M70" s="2" t="str">
        <f>IF(COUNTIF($B$1:$C69, $B70), "", "存在しない")</f>
        <v/>
      </c>
      <c r="N70" s="2" t="str">
        <f>IF(AND(A70&lt;&gt;"",L70="存在しない",M70="存在しない"),IF(COUNTIF([1]クラス!$A$1:$A$1000, $B70),"",TRUE),"")</f>
        <v/>
      </c>
    </row>
    <row r="71" spans="1:14" hidden="1" outlineLevel="1" x14ac:dyDescent="0.4">
      <c r="J71" s="6" t="str">
        <f>IFERROR(_xlfn.LET(_xlpm.v,
VLOOKUP($I71,効果!$A:$B,COLUMN(効果!B$1),FALSE),
IF(_xlpm.v=0,"",_xlpm.v)
),"")</f>
        <v/>
      </c>
      <c r="L71" s="15" t="str">
        <f>IF(OR(COUNTIF(クラス!$A$1:$A$1031, $B71),$B71="",COUNTIF(スキル一覧!$A$1:$A$3500, $B71)), "", "存在しない")</f>
        <v/>
      </c>
      <c r="M71" s="2" t="str">
        <f>IF(COUNTIF($B$1:$C70, $B71), "", "存在しない")</f>
        <v>存在しない</v>
      </c>
      <c r="N71" s="2" t="str">
        <f>IF(AND(A71&lt;&gt;"",L71="存在しない",M71="存在しない"),IF(COUNTIF([1]クラス!$A$1:$A$1000, $B71),"",TRUE),"")</f>
        <v/>
      </c>
    </row>
    <row r="72" spans="1:14" collapsed="1" x14ac:dyDescent="0.4">
      <c r="J72" s="6" t="str">
        <f>IFERROR(_xlfn.LET(_xlpm.v,
VLOOKUP($I72,効果!$A:$B,COLUMN(効果!B$1),FALSE),
IF(_xlpm.v=0,"",_xlpm.v)
),"")</f>
        <v/>
      </c>
      <c r="L72" s="15" t="str">
        <f>IF(OR(COUNTIF(クラス!$A$1:$A$1031, $B72),$B72="",COUNTIF(スキル一覧!$A$1:$A$3500, $B72)), "", "存在しない")</f>
        <v/>
      </c>
      <c r="M72" s="2" t="str">
        <f>IF(COUNTIF($B$1:$C71, $B72), "", "存在しない")</f>
        <v>存在しない</v>
      </c>
      <c r="N72" s="2" t="str">
        <f>IF(AND(A72&lt;&gt;"",L72="存在しない",M72="存在しない"),IF(COUNTIF([1]クラス!$A$1:$A$1000, $B72),"",TRUE),"")</f>
        <v/>
      </c>
    </row>
    <row r="73" spans="1:14" x14ac:dyDescent="0.4">
      <c r="B73" s="2" t="s">
        <v>121</v>
      </c>
      <c r="J73" s="6" t="str">
        <f>IFERROR(_xlfn.LET(_xlpm.v,
VLOOKUP($I73,効果!$A:$B,COLUMN(効果!B$1),FALSE),
IF(_xlpm.v=0,"",_xlpm.v)
),"")</f>
        <v/>
      </c>
      <c r="L73" s="15" t="str">
        <f>IF(OR(COUNTIF(クラス!$A$1:$A$1031, $B73),$B73="",COUNTIF(スキル一覧!$A$1:$A$3500, $B73)), "", "存在しない")</f>
        <v/>
      </c>
      <c r="M73" s="2" t="str">
        <f>IF(COUNTIF($B$1:$C72, $B73), "", "存在しない")</f>
        <v>存在しない</v>
      </c>
      <c r="N73" s="2" t="str">
        <f>IF(AND(A73&lt;&gt;"",L73="存在しない",M73="存在しない"),IF(COUNTIF([1]クラス!$A$1:$A$1000, $B73),"",TRUE),"")</f>
        <v/>
      </c>
    </row>
    <row r="74" spans="1:14" hidden="1" outlineLevel="1" x14ac:dyDescent="0.4">
      <c r="A74" s="2">
        <v>1</v>
      </c>
      <c r="J74" s="6" t="str">
        <f>IFERROR(_xlfn.LET(_xlpm.v,
VLOOKUP($I74,効果!$A:$B,COLUMN(効果!B$1),FALSE),
IF(_xlpm.v=0,"",_xlpm.v)
),"")</f>
        <v/>
      </c>
      <c r="L74" s="15" t="str">
        <f>IF(OR(COUNTIF(クラス!$A$1:$A$1031, $B74),$B74="",COUNTIF(スキル一覧!$A$1:$A$3500, $B74)), "", "存在しない")</f>
        <v/>
      </c>
      <c r="M74" s="2" t="str">
        <f>IF(COUNTIF($B$1:$C73, $B74), "", "存在しない")</f>
        <v>存在しない</v>
      </c>
      <c r="N74" s="2" t="str">
        <f>IF(AND(A74&lt;&gt;"",L74="存在しない",M74="存在しない"),IF(COUNTIF([1]クラス!$A$1:$A$1000, $B74),"",TRUE),"")</f>
        <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IF(OR(COUNTIF(クラス!$A$1:$A$1031, $B75),$B75="",COUNTIF(スキル一覧!$A$1:$A$3500, $B75)), "", "存在しない")</f>
        <v/>
      </c>
      <c r="M75" s="2" t="str">
        <f>IF(COUNTIF($B$1:$C74, $B75), "", "存在しない")</f>
        <v/>
      </c>
      <c r="N75" s="2" t="str">
        <f>IF(AND(A75&lt;&gt;"",L75="存在しない",M75="存在しない"),IF(COUNTIF([1]クラス!$A$1:$A$1000, $B75),"",TRUE),"")</f>
        <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IF(OR(COUNTIF(クラス!$A$1:$A$1031, $B76),$B76="",COUNTIF(スキル一覧!$A$1:$A$3500, $B76)), "", "存在しない")</f>
        <v/>
      </c>
      <c r="M76" s="2" t="str">
        <f>IF(COUNTIF($B$1:$C75, $B76), "", "存在しない")</f>
        <v/>
      </c>
      <c r="N76" s="2" t="str">
        <f>IF(AND(A76&lt;&gt;"",L76="存在しない",M76="存在しない"),IF(COUNTIF([1]クラス!$A$1:$A$1000, $B76),"",TRUE),"")</f>
        <v/>
      </c>
    </row>
    <row r="77" spans="1:14" hidden="1" outlineLevel="1" x14ac:dyDescent="0.4">
      <c r="A77" s="2">
        <v>4</v>
      </c>
      <c r="J77" s="6" t="str">
        <f>IFERROR(_xlfn.LET(_xlpm.v,
VLOOKUP($I77,効果!$A:$B,COLUMN(効果!B$1),FALSE),
IF(_xlpm.v=0,"",_xlpm.v)
),"")</f>
        <v/>
      </c>
      <c r="L77" s="15" t="str">
        <f>IF(OR(COUNTIF(クラス!$A$1:$A$1031, $B77),$B77="",COUNTIF(スキル一覧!$A$1:$A$3500, $B77)), "", "存在しない")</f>
        <v/>
      </c>
      <c r="M77" s="2" t="str">
        <f>IF(COUNTIF($B$1:$C76, $B77), "", "存在しない")</f>
        <v>存在しない</v>
      </c>
      <c r="N77" s="2" t="str">
        <f>IF(AND(A77&lt;&gt;"",L77="存在しない",M77="存在しない"),IF(COUNTIF([1]クラス!$A$1:$A$1000, $B77),"",TRUE),"")</f>
        <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IF(OR(COUNTIF(クラス!$A$1:$A$1031,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6</v>
      </c>
      <c r="E79" s="13" t="s">
        <v>130</v>
      </c>
      <c r="J79" s="6" t="str">
        <f>IFERROR(_xlfn.LET(_xlpm.v,
VLOOKUP($I79,効果!$A:$B,COLUMN(効果!B$1),FALSE),
IF(_xlpm.v=0,"",_xlpm.v)
),"")</f>
        <v/>
      </c>
      <c r="L79" s="15" t="str">
        <f>IF(OR(COUNTIF(クラス!$A$1:$A$1031,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7</v>
      </c>
      <c r="J80" s="6" t="str">
        <f>IFERROR(_xlfn.LET(_xlpm.v,
VLOOKUP($I80,効果!$A:$B,COLUMN(効果!B$1),FALSE),
IF(_xlpm.v=0,"",_xlpm.v)
),"")</f>
        <v/>
      </c>
      <c r="L80" s="15" t="str">
        <f>IF(OR(COUNTIF(クラス!$A$1:$A$1031,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IF(OR(COUNTIF(クラス!$A$1:$A$1031, $B81),$B81="",COUNTIF(スキル一覧!$A$1:$A$3500, $B81)), "", "存在しない")</f>
        <v/>
      </c>
      <c r="M81" s="2" t="str">
        <f>IF(COUNTIF($B$1:$C80, $B81), "", "存在しない")</f>
        <v/>
      </c>
      <c r="N81" s="2" t="str">
        <f>IF(AND(A81&lt;&gt;"",L81="存在しない",M81="存在しない"),IF(COUNTIF([1]クラス!$A$1:$A$1000, $B81),"",TRUE),"")</f>
        <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IF(OR(COUNTIF(クラス!$A$1:$A$1031, $B82),$B82="",COUNTIF(スキル一覧!$A$1:$A$3500, $B82)), "", "存在しない")</f>
        <v/>
      </c>
      <c r="M82" s="2" t="str">
        <f>IF(COUNTIF($B$1:$C81, $B82), "", "存在しない")</f>
        <v/>
      </c>
      <c r="N82" s="2" t="str">
        <f>IF(AND(A82&lt;&gt;"",L82="存在しない",M82="存在しない"),IF(COUNTIF([1]クラス!$A$1:$A$1000, $B82),"",TRUE),"")</f>
        <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IF(OR(COUNTIF(クラス!$A$1:$A$1031, $B83),$B83="",COUNTIF(スキル一覧!$A$1:$A$3500, $B83)), "", "存在しない")</f>
        <v/>
      </c>
      <c r="M83" s="2" t="str">
        <f>IF(COUNTIF($B$1:$C82, $B83), "", "存在しない")</f>
        <v/>
      </c>
      <c r="N83" s="2" t="str">
        <f>IF(AND(A83&lt;&gt;"",L83="存在しない",M83="存在しない"),IF(COUNTIF([1]クラス!$A$1:$A$1000, $B83),"",TRUE),"")</f>
        <v/>
      </c>
    </row>
    <row r="84" spans="1:14" hidden="1" outlineLevel="1" x14ac:dyDescent="0.4">
      <c r="J84" s="6" t="str">
        <f>IFERROR(_xlfn.LET(_xlpm.v,
VLOOKUP($I84,効果!$A:$B,COLUMN(効果!B$1),FALSE),
IF(_xlpm.v=0,"",_xlpm.v)
),"")</f>
        <v/>
      </c>
      <c r="L84" s="15" t="str">
        <f>IF(OR(COUNTIF(クラス!$A$1:$A$1031, $B84),$B84="",COUNTIF(スキル一覧!$A$1:$A$3500, $B84)), "", "存在しない")</f>
        <v/>
      </c>
      <c r="M84" s="2" t="str">
        <f>IF(COUNTIF($B$1:$C83, $B84), "", "存在しない")</f>
        <v>存在しない</v>
      </c>
      <c r="N84" s="2" t="str">
        <f>IF(AND(A84&lt;&gt;"",L84="存在しない",M84="存在しない"),IF(COUNTIF([1]クラス!$A$1:$A$1000, $B84),"",TRUE),"")</f>
        <v/>
      </c>
    </row>
    <row r="85" spans="1:14" collapsed="1" x14ac:dyDescent="0.4">
      <c r="J85" s="6" t="str">
        <f>IFERROR(_xlfn.LET(_xlpm.v,
VLOOKUP($I85,効果!$A:$B,COLUMN(効果!B$1),FALSE),
IF(_xlpm.v=0,"",_xlpm.v)
),"")</f>
        <v/>
      </c>
      <c r="L85" s="15" t="str">
        <f>IF(OR(COUNTIF(クラス!$A$1:$A$1031, $B85),$B85="",COUNTIF(スキル一覧!$A$1:$A$3500, $B85)), "", "存在しない")</f>
        <v/>
      </c>
      <c r="M85" s="2" t="str">
        <f>IF(COUNTIF($B$1:$C84, $B85), "", "存在しない")</f>
        <v>存在しない</v>
      </c>
      <c r="N85" s="2" t="str">
        <f>IF(AND(A85&lt;&gt;"",L85="存在しない",M85="存在しない"),IF(COUNTIF([1]クラス!$A$1:$A$1000, $B85),"",TRUE),"")</f>
        <v/>
      </c>
    </row>
    <row r="86" spans="1:14" x14ac:dyDescent="0.4">
      <c r="J86" s="6" t="str">
        <f>IFERROR(_xlfn.LET(_xlpm.v,
VLOOKUP($I86,効果!$A:$B,COLUMN(効果!B$1),FALSE),
IF(_xlpm.v=0,"",_xlpm.v)
),"")</f>
        <v/>
      </c>
      <c r="L86" s="15" t="str">
        <f>IF(OR(COUNTIF(クラス!$A$1:$A$1031, $B86),$B86="",COUNTIF(スキル一覧!$A$1:$A$3500, $B86)), "", "存在しない")</f>
        <v/>
      </c>
      <c r="M86" s="2" t="str">
        <f>IF(COUNTIF($B$1:$C85, $B86), "", "存在しない")</f>
        <v>存在しない</v>
      </c>
      <c r="N86" s="2" t="str">
        <f>IF(AND(A86&lt;&gt;"",L86="存在しない",M86="存在しない"),IF(COUNTIF([1]クラス!$A$1:$A$1000, $B86),"",TRUE),"")</f>
        <v/>
      </c>
    </row>
    <row r="87" spans="1:14" x14ac:dyDescent="0.4">
      <c r="B87" s="2" t="s">
        <v>255</v>
      </c>
      <c r="J87" s="6" t="str">
        <f>IFERROR(_xlfn.LET(_xlpm.v,
VLOOKUP($I87,効果!$A:$B,COLUMN(効果!B$1),FALSE),
IF(_xlpm.v=0,"",_xlpm.v)
),"")</f>
        <v/>
      </c>
      <c r="L87" s="15" t="str">
        <f>IF(OR(COUNTIF(クラス!$A$1:$A$1031, $B87),$B87="",COUNTIF(スキル一覧!$A$1:$A$3500, $B87)), "", "存在しない")</f>
        <v/>
      </c>
      <c r="M87" s="2" t="str">
        <f>IF(COUNTIF($B$1:$C86, $B87), "", "存在しない")</f>
        <v>存在しない</v>
      </c>
      <c r="N87" s="2" t="str">
        <f>IF(AND(A87&lt;&gt;"",L87="存在しない",M87="存在しない"),IF(COUNTIF([1]クラス!$A$1:$A$1000, $B87),"",TRUE),"")</f>
        <v/>
      </c>
    </row>
    <row r="88" spans="1:14" hidden="1" outlineLevel="1" x14ac:dyDescent="0.4">
      <c r="A88" s="2">
        <v>1</v>
      </c>
      <c r="J88" s="6" t="str">
        <f>IFERROR(_xlfn.LET(_xlpm.v,
VLOOKUP($I88,効果!$A:$B,COLUMN(効果!B$1),FALSE),
IF(_xlpm.v=0,"",_xlpm.v)
),"")</f>
        <v/>
      </c>
      <c r="L88" s="15" t="str">
        <f>IF(OR(COUNTIF(クラス!$A$1:$A$1031,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2</v>
      </c>
      <c r="B89" s="2" t="s">
        <v>217</v>
      </c>
      <c r="C89" s="2" t="s">
        <v>218</v>
      </c>
      <c r="E89" s="13" t="s">
        <v>129</v>
      </c>
      <c r="G89" s="19">
        <v>60</v>
      </c>
      <c r="H89" s="10" t="s">
        <v>219</v>
      </c>
      <c r="J89" s="6" t="str">
        <f>IFERROR(_xlfn.LET(_xlpm.v,
VLOOKUP($I89,効果!$A:$B,COLUMN(効果!B$1),FALSE),
IF(_xlpm.v=0,"",_xlpm.v)
),"")</f>
        <v/>
      </c>
      <c r="L89" s="15" t="str">
        <f>IF(OR(COUNTIF(クラス!$A$1:$A$1031,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3</v>
      </c>
      <c r="B90" s="2" t="s">
        <v>226</v>
      </c>
      <c r="E90" s="13" t="s">
        <v>130</v>
      </c>
      <c r="J90" s="6" t="str">
        <f>IFERROR(_xlfn.LET(_xlpm.v,
VLOOKUP($I90,効果!$A:$B,COLUMN(効果!B$1),FALSE),
IF(_xlpm.v=0,"",_xlpm.v)
),"")</f>
        <v/>
      </c>
      <c r="L90" s="15" t="str">
        <f>IF(OR(COUNTIF(クラス!$A$1:$A$1031,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4</v>
      </c>
      <c r="J91" s="6" t="str">
        <f>IFERROR(_xlfn.LET(_xlpm.v,
VLOOKUP($I91,効果!$A:$B,COLUMN(効果!B$1),FALSE),
IF(_xlpm.v=0,"",_xlpm.v)
),"")</f>
        <v/>
      </c>
      <c r="L91" s="15" t="str">
        <f>IF(OR(COUNTIF(クラス!$A$1:$A$1031,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5</v>
      </c>
      <c r="B92" s="2" t="s">
        <v>220</v>
      </c>
      <c r="C92" s="2" t="s">
        <v>221</v>
      </c>
      <c r="E92" s="13" t="s">
        <v>129</v>
      </c>
      <c r="G92" s="19">
        <v>60</v>
      </c>
      <c r="H92" s="10" t="s">
        <v>222</v>
      </c>
      <c r="J92" s="6" t="str">
        <f>IFERROR(_xlfn.LET(_xlpm.v,
VLOOKUP($I92,効果!$A:$B,COLUMN(効果!B$1),FALSE),
IF(_xlpm.v=0,"",_xlpm.v)
),"")</f>
        <v/>
      </c>
      <c r="L92" s="15" t="str">
        <f>IF(OR(COUNTIF(クラス!$A$1:$A$1031,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6</v>
      </c>
      <c r="B93" s="2" t="s">
        <v>275</v>
      </c>
      <c r="E93" s="13" t="s">
        <v>130</v>
      </c>
      <c r="J93" s="6" t="str">
        <f>IFERROR(_xlfn.LET(_xlpm.v,
VLOOKUP($I93,効果!$A:$B,COLUMN(効果!B$1),FALSE),
IF(_xlpm.v=0,"",_xlpm.v)
),"")</f>
        <v/>
      </c>
      <c r="L93" s="15" t="str">
        <f>IF(OR(COUNTIF(クラス!$A$1:$A$1031,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7</v>
      </c>
      <c r="J94" s="6" t="str">
        <f>IFERROR(_xlfn.LET(_xlpm.v,
VLOOKUP($I94,効果!$A:$B,COLUMN(効果!B$1),FALSE),
IF(_xlpm.v=0,"",_xlpm.v)
),"")</f>
        <v/>
      </c>
      <c r="L94" s="15" t="str">
        <f>IF(OR(COUNTIF(クラス!$A$1:$A$1031,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8</v>
      </c>
      <c r="B95" s="2" t="s">
        <v>223</v>
      </c>
      <c r="C95" s="2" t="s">
        <v>224</v>
      </c>
      <c r="E95" s="13" t="s">
        <v>129</v>
      </c>
      <c r="H95" s="10" t="s">
        <v>326</v>
      </c>
      <c r="J95" s="6" t="str">
        <f>IFERROR(_xlfn.LET(_xlpm.v,
VLOOKUP($I95,効果!$A:$B,COLUMN(効果!B$1),FALSE),
IF(_xlpm.v=0,"",_xlpm.v)
),"")</f>
        <v/>
      </c>
      <c r="L95" s="15" t="str">
        <f>IF(OR(COUNTIF(クラス!$A$1:$A$1031,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9</v>
      </c>
      <c r="E96" s="13" t="s">
        <v>130</v>
      </c>
      <c r="J96" s="6" t="str">
        <f>IFERROR(_xlfn.LET(_xlpm.v,
VLOOKUP($I96,効果!$A:$B,COLUMN(効果!B$1),FALSE),
IF(_xlpm.v=0,"",_xlpm.v)
),"")</f>
        <v/>
      </c>
      <c r="L96" s="15" t="str">
        <f>IF(OR(COUNTIF(クラス!$A$1:$A$1031,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10</v>
      </c>
      <c r="E97" s="13" t="s">
        <v>129</v>
      </c>
      <c r="J97" s="6" t="str">
        <f>IFERROR(_xlfn.LET(_xlpm.v,
VLOOKUP($I97,効果!$A:$B,COLUMN(効果!B$1),FALSE),
IF(_xlpm.v=0,"",_xlpm.v)
),"")</f>
        <v/>
      </c>
      <c r="L97" s="15" t="str">
        <f>IF(OR(COUNTIF(クラス!$A$1:$A$1031,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J98" s="6" t="str">
        <f>IFERROR(_xlfn.LET(_xlpm.v,
VLOOKUP($I98,効果!$A:$B,COLUMN(効果!B$1),FALSE),
IF(_xlpm.v=0,"",_xlpm.v)
),"")</f>
        <v/>
      </c>
      <c r="L98" s="15" t="str">
        <f>IF(OR(COUNTIF(クラス!$A$1:$A$1031, $B98),$B98="",COUNTIF(スキル一覧!$A$1:$A$3500, $B98)), "", "存在しない")</f>
        <v/>
      </c>
      <c r="M98" s="2" t="str">
        <f>IF(COUNTIF($B$1:$C97, $B98), "", "存在しない")</f>
        <v>存在しない</v>
      </c>
      <c r="N98" s="2" t="str">
        <f>IF(AND(A98&lt;&gt;"",L98="存在しない",M98="存在しない"),IF(COUNTIF([1]クラス!$A$1:$A$1000, $B98),"",TRUE),"")</f>
        <v/>
      </c>
    </row>
    <row r="99" spans="1:14" collapsed="1" x14ac:dyDescent="0.4">
      <c r="J99" s="6" t="str">
        <f>IFERROR(_xlfn.LET(_xlpm.v,
VLOOKUP($I99,効果!$A:$B,COLUMN(効果!B$1),FALSE),
IF(_xlpm.v=0,"",_xlpm.v)
),"")</f>
        <v/>
      </c>
      <c r="L99" s="15" t="str">
        <f>IF(OR(COUNTIF(クラス!$A$1:$A$1031, $B99),$B99="",COUNTIF(スキル一覧!$A$1:$A$3500, $B99)), "", "存在しない")</f>
        <v/>
      </c>
      <c r="M99" s="2" t="str">
        <f>IF(COUNTIF($B$1:$C98, $B99), "", "存在しない")</f>
        <v>存在しない</v>
      </c>
      <c r="N99" s="2" t="str">
        <f>IF(AND(A99&lt;&gt;"",L99="存在しない",M99="存在しない"),IF(COUNTIF([1]クラス!$A$1:$A$1000, $B99),"",TRUE),"")</f>
        <v/>
      </c>
    </row>
    <row r="100" spans="1:14" x14ac:dyDescent="0.4">
      <c r="B100" s="2" t="s">
        <v>31</v>
      </c>
      <c r="J100" s="6" t="str">
        <f>IFERROR(_xlfn.LET(_xlpm.v,
VLOOKUP($I100,効果!$A:$B,COLUMN(効果!B$1),FALSE),
IF(_xlpm.v=0,"",_xlpm.v)
),"")</f>
        <v/>
      </c>
      <c r="L100" s="15" t="str">
        <f>IF(OR(COUNTIF(クラス!$A$1:$A$1031, $B100),$B100="",COUNTIF(スキル一覧!$A$1:$A$3500, $B100)), "", "存在しない")</f>
        <v/>
      </c>
      <c r="M100" s="2" t="str">
        <f>IF(COUNTIF($B$1:$C99, $B100), "", "存在しない")</f>
        <v>存在しない</v>
      </c>
      <c r="N100" s="2" t="str">
        <f>IF(AND(A100&lt;&gt;"",L100="存在しない",M100="存在しない"),IF(COUNTIF([1]クラス!$A$1:$A$1000, $B100),"",TRUE),"")</f>
        <v/>
      </c>
    </row>
    <row r="101" spans="1:14" hidden="1" outlineLevel="1" x14ac:dyDescent="0.4">
      <c r="A101" s="2">
        <v>1</v>
      </c>
      <c r="J101" s="6" t="str">
        <f>IFERROR(_xlfn.LET(_xlpm.v,
VLOOKUP($I101,効果!$A:$B,COLUMN(効果!B$1),FALSE),
IF(_xlpm.v=0,"",_xlpm.v)
),"")</f>
        <v/>
      </c>
      <c r="L101" s="15" t="str">
        <f>IF(OR(COUNTIF(クラス!$A$1:$A$1031, $B101),$B101="",COUNTIF(スキル一覧!$A$1:$A$3500, $B101)), "", "存在しない")</f>
        <v/>
      </c>
      <c r="M101" s="2" t="str">
        <f>IF(COUNTIF($B$1:$C100, $B101), "", "存在しない")</f>
        <v>存在しない</v>
      </c>
      <c r="N101" s="2" t="str">
        <f>IF(AND(A101&lt;&gt;"",L101="存在しない",M101="存在しない"),IF(COUNTIF([1]クラス!$A$1:$A$1000, $B101),"",TRUE),"")</f>
        <v/>
      </c>
    </row>
    <row r="102" spans="1:14" hidden="1" outlineLevel="1" x14ac:dyDescent="0.4">
      <c r="A102" s="2">
        <v>2</v>
      </c>
      <c r="J102" s="6" t="str">
        <f>IFERROR(_xlfn.LET(_xlpm.v,
VLOOKUP($I102,効果!$A:$B,COLUMN(効果!B$1),FALSE),
IF(_xlpm.v=0,"",_xlpm.v)
),"")</f>
        <v/>
      </c>
      <c r="L102" s="15" t="str">
        <f>IF(OR(COUNTIF(クラス!$A$1:$A$1031, $B102),$B102="",COUNTIF(スキル一覧!$A$1:$A$3500, $B102)), "", "存在しない")</f>
        <v/>
      </c>
      <c r="M102" s="2" t="str">
        <f>IF(COUNTIF($B$1:$C101, $B102), "", "存在しない")</f>
        <v>存在しない</v>
      </c>
      <c r="N102" s="2" t="str">
        <f>IF(AND(A102&lt;&gt;"",L102="存在しない",M102="存在しない"),IF(COUNTIF([1]クラス!$A$1:$A$1000, $B102),"",TRUE),"")</f>
        <v/>
      </c>
    </row>
    <row r="103" spans="1:14" hidden="1" outlineLevel="1" x14ac:dyDescent="0.4">
      <c r="A103" s="2">
        <v>3</v>
      </c>
      <c r="J103" s="6" t="str">
        <f>IFERROR(_xlfn.LET(_xlpm.v,
VLOOKUP($I103,効果!$A:$B,COLUMN(効果!B$1),FALSE),
IF(_xlpm.v=0,"",_xlpm.v)
),"")</f>
        <v/>
      </c>
      <c r="L103" s="15" t="str">
        <f>IF(OR(COUNTIF(クラス!$A$1:$A$1031,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4</v>
      </c>
      <c r="J104" s="6" t="str">
        <f>IFERROR(_xlfn.LET(_xlpm.v,
VLOOKUP($I104,効果!$A:$B,COLUMN(効果!B$1),FALSE),
IF(_xlpm.v=0,"",_xlpm.v)
),"")</f>
        <v/>
      </c>
      <c r="L104" s="15" t="str">
        <f>IF(OR(COUNTIF(クラス!$A$1:$A$1031,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5</v>
      </c>
      <c r="J105" s="6" t="str">
        <f>IFERROR(_xlfn.LET(_xlpm.v,
VLOOKUP($I105,効果!$A:$B,COLUMN(効果!B$1),FALSE),
IF(_xlpm.v=0,"",_xlpm.v)
),"")</f>
        <v/>
      </c>
      <c r="L105" s="15" t="str">
        <f>IF(OR(COUNTIF(クラス!$A$1:$A$1031,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6</v>
      </c>
      <c r="J106" s="6" t="str">
        <f>IFERROR(_xlfn.LET(_xlpm.v,
VLOOKUP($I106,効果!$A:$B,COLUMN(効果!B$1),FALSE),
IF(_xlpm.v=0,"",_xlpm.v)
),"")</f>
        <v/>
      </c>
      <c r="L106" s="15" t="str">
        <f>IF(OR(COUNTIF(クラス!$A$1:$A$1031,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7</v>
      </c>
      <c r="J107" s="6" t="str">
        <f>IFERROR(_xlfn.LET(_xlpm.v,
VLOOKUP($I107,効果!$A:$B,COLUMN(効果!B$1),FALSE),
IF(_xlpm.v=0,"",_xlpm.v)
),"")</f>
        <v/>
      </c>
      <c r="L107" s="15" t="str">
        <f>IF(OR(COUNTIF(クラス!$A$1:$A$1031,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8</v>
      </c>
      <c r="J108" s="6" t="str">
        <f>IFERROR(_xlfn.LET(_xlpm.v,
VLOOKUP($I108,効果!$A:$B,COLUMN(効果!B$1),FALSE),
IF(_xlpm.v=0,"",_xlpm.v)
),"")</f>
        <v/>
      </c>
      <c r="L108" s="15" t="str">
        <f>IF(OR(COUNTIF(クラス!$A$1:$A$1031,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9</v>
      </c>
      <c r="J109" s="6" t="str">
        <f>IFERROR(_xlfn.LET(_xlpm.v,
VLOOKUP($I109,効果!$A:$B,COLUMN(効果!B$1),FALSE),
IF(_xlpm.v=0,"",_xlpm.v)
),"")</f>
        <v/>
      </c>
      <c r="L109" s="15" t="str">
        <f>IF(OR(COUNTIF(クラス!$A$1:$A$1031,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10</v>
      </c>
      <c r="J110" s="6" t="str">
        <f>IFERROR(_xlfn.LET(_xlpm.v,
VLOOKUP($I110,効果!$A:$B,COLUMN(効果!B$1),FALSE),
IF(_xlpm.v=0,"",_xlpm.v)
),"")</f>
        <v/>
      </c>
      <c r="L110" s="15" t="str">
        <f>IF(OR(COUNTIF(クラス!$A$1:$A$1031,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J111" s="6" t="str">
        <f>IFERROR(_xlfn.LET(_xlpm.v,
VLOOKUP($I111,効果!$A:$B,COLUMN(効果!B$1),FALSE),
IF(_xlpm.v=0,"",_xlpm.v)
),"")</f>
        <v/>
      </c>
      <c r="L111" s="15" t="str">
        <f>IF(OR(COUNTIF(クラス!$A$1:$A$1031, $B111),$B111="",COUNTIF(スキル一覧!$A$1:$A$3500, $B111)), "", "存在しない")</f>
        <v/>
      </c>
      <c r="M111" s="2" t="str">
        <f>IF(COUNTIF($B$1:$C110, $B111), "", "存在しない")</f>
        <v>存在しない</v>
      </c>
      <c r="N111" s="2" t="str">
        <f>IF(AND(A111&lt;&gt;"",L111="存在しない",M111="存在しない"),IF(COUNTIF([1]クラス!$A$1:$A$1000, $B111),"",TRUE),"")</f>
        <v/>
      </c>
    </row>
    <row r="112" spans="1:14" collapsed="1" x14ac:dyDescent="0.4">
      <c r="J112" s="6" t="str">
        <f>IFERROR(_xlfn.LET(_xlpm.v,
VLOOKUP($I112,効果!$A:$B,COLUMN(効果!B$1),FALSE),
IF(_xlpm.v=0,"",_xlpm.v)
),"")</f>
        <v/>
      </c>
      <c r="L112" s="15" t="str">
        <f>IF(OR(COUNTIF(クラス!$A$1:$A$1031, $B112),$B112="",COUNTIF(スキル一覧!$A$1:$A$3500, $B112)), "", "存在しない")</f>
        <v/>
      </c>
      <c r="M112" s="2" t="str">
        <f>IF(COUNTIF($B$1:$C111, $B112), "", "存在しない")</f>
        <v>存在しない</v>
      </c>
      <c r="N112" s="2" t="str">
        <f>IF(AND(A112&lt;&gt;"",L112="存在しない",M112="存在しない"),IF(COUNTIF([1]クラス!$A$1:$A$1000, $B112),"",TRUE),"")</f>
        <v/>
      </c>
    </row>
    <row r="113" spans="1:14" x14ac:dyDescent="0.4">
      <c r="B113" s="2" t="s">
        <v>33</v>
      </c>
      <c r="J113" s="6" t="str">
        <f>IFERROR(_xlfn.LET(_xlpm.v,
VLOOKUP($I113,効果!$A:$B,COLUMN(効果!B$1),FALSE),
IF(_xlpm.v=0,"",_xlpm.v)
),"")</f>
        <v/>
      </c>
      <c r="L113" s="15" t="str">
        <f>IF(OR(COUNTIF(クラス!$A$1:$A$1031, $B113),$B113="",COUNTIF(スキル一覧!$A$1:$A$3500, $B113)), "", "存在しない")</f>
        <v/>
      </c>
      <c r="M113" s="2" t="str">
        <f>IF(COUNTIF($B$1:$C112, $B113), "", "存在しない")</f>
        <v>存在しない</v>
      </c>
      <c r="N113" s="2" t="str">
        <f>IF(AND(A113&lt;&gt;"",L113="存在しない",M113="存在しない"),IF(COUNTIF([1]クラス!$A$1:$A$1000, $B113),"",TRUE),"")</f>
        <v/>
      </c>
    </row>
    <row r="114" spans="1:14" hidden="1" outlineLevel="1" x14ac:dyDescent="0.4">
      <c r="A114" s="2">
        <v>1</v>
      </c>
      <c r="J114" s="6" t="str">
        <f>IFERROR(_xlfn.LET(_xlpm.v,
VLOOKUP($I114,効果!$A:$B,COLUMN(効果!B$1),FALSE),
IF(_xlpm.v=0,"",_xlpm.v)
),"")</f>
        <v/>
      </c>
      <c r="L114" s="15" t="str">
        <f>IF(OR(COUNTIF(クラス!$A$1:$A$1031, $B114),$B114="",COUNTIF(スキル一覧!$A$1:$A$3500, $B114)), "", "存在しない")</f>
        <v/>
      </c>
      <c r="M114" s="2" t="str">
        <f>IF(COUNTIF($B$1:$C113, $B114), "", "存在しない")</f>
        <v>存在しない</v>
      </c>
      <c r="N114" s="2" t="str">
        <f>IF(AND(A114&lt;&gt;"",L114="存在しない",M114="存在しない"),IF(COUNTIF([1]クラス!$A$1:$A$1000, $B114),"",TRUE),"")</f>
        <v/>
      </c>
    </row>
    <row r="115" spans="1:14" hidden="1" outlineLevel="1" x14ac:dyDescent="0.4">
      <c r="A115" s="2">
        <v>2</v>
      </c>
      <c r="J115" s="6" t="str">
        <f>IFERROR(_xlfn.LET(_xlpm.v,
VLOOKUP($I115,効果!$A:$B,COLUMN(効果!B$1),FALSE),
IF(_xlpm.v=0,"",_xlpm.v)
),"")</f>
        <v/>
      </c>
      <c r="L115" s="15" t="str">
        <f>IF(OR(COUNTIF(クラス!$A$1:$A$1031,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3</v>
      </c>
      <c r="J116" s="6" t="str">
        <f>IFERROR(_xlfn.LET(_xlpm.v,
VLOOKUP($I116,効果!$A:$B,COLUMN(効果!B$1),FALSE),
IF(_xlpm.v=0,"",_xlpm.v)
),"")</f>
        <v/>
      </c>
      <c r="L116" s="15" t="str">
        <f>IF(OR(COUNTIF(クラス!$A$1:$A$1031,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4</v>
      </c>
      <c r="J117" s="6" t="str">
        <f>IFERROR(_xlfn.LET(_xlpm.v,
VLOOKUP($I117,効果!$A:$B,COLUMN(効果!B$1),FALSE),
IF(_xlpm.v=0,"",_xlpm.v)
),"")</f>
        <v/>
      </c>
      <c r="L117" s="15" t="str">
        <f>IF(OR(COUNTIF(クラス!$A$1:$A$1031,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5</v>
      </c>
      <c r="J118" s="6" t="str">
        <f>IFERROR(_xlfn.LET(_xlpm.v,
VLOOKUP($I118,効果!$A:$B,COLUMN(効果!B$1),FALSE),
IF(_xlpm.v=0,"",_xlpm.v)
),"")</f>
        <v/>
      </c>
      <c r="L118" s="15" t="str">
        <f>IF(OR(COUNTIF(クラス!$A$1:$A$1031,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6</v>
      </c>
      <c r="J119" s="6" t="str">
        <f>IFERROR(_xlfn.LET(_xlpm.v,
VLOOKUP($I119,効果!$A:$B,COLUMN(効果!B$1),FALSE),
IF(_xlpm.v=0,"",_xlpm.v)
),"")</f>
        <v/>
      </c>
      <c r="L119" s="15" t="str">
        <f>IF(OR(COUNTIF(クラス!$A$1:$A$1031,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7</v>
      </c>
      <c r="J120" s="6" t="str">
        <f>IFERROR(_xlfn.LET(_xlpm.v,
VLOOKUP($I120,効果!$A:$B,COLUMN(効果!B$1),FALSE),
IF(_xlpm.v=0,"",_xlpm.v)
),"")</f>
        <v/>
      </c>
      <c r="L120" s="15" t="str">
        <f>IF(OR(COUNTIF(クラス!$A$1:$A$1031,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8</v>
      </c>
      <c r="J121" s="6" t="str">
        <f>IFERROR(_xlfn.LET(_xlpm.v,
VLOOKUP($I121,効果!$A:$B,COLUMN(効果!B$1),FALSE),
IF(_xlpm.v=0,"",_xlpm.v)
),"")</f>
        <v/>
      </c>
      <c r="L121" s="15" t="str">
        <f>IF(OR(COUNTIF(クラス!$A$1:$A$1031,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9</v>
      </c>
      <c r="J122" s="6" t="str">
        <f>IFERROR(_xlfn.LET(_xlpm.v,
VLOOKUP($I122,効果!$A:$B,COLUMN(効果!B$1),FALSE),
IF(_xlpm.v=0,"",_xlpm.v)
),"")</f>
        <v/>
      </c>
      <c r="L122" s="15" t="str">
        <f>IF(OR(COUNTIF(クラス!$A$1:$A$1031,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10</v>
      </c>
      <c r="J123" s="6" t="str">
        <f>IFERROR(_xlfn.LET(_xlpm.v,
VLOOKUP($I123,効果!$A:$B,COLUMN(効果!B$1),FALSE),
IF(_xlpm.v=0,"",_xlpm.v)
),"")</f>
        <v/>
      </c>
      <c r="L123" s="15" t="str">
        <f>IF(OR(COUNTIF(クラス!$A$1:$A$1031,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J124" s="6" t="str">
        <f>IFERROR(_xlfn.LET(_xlpm.v,
VLOOKUP($I124,効果!$A:$B,COLUMN(効果!B$1),FALSE),
IF(_xlpm.v=0,"",_xlpm.v)
),"")</f>
        <v/>
      </c>
      <c r="L124" s="15" t="str">
        <f>IF(OR(COUNTIF(クラス!$A$1:$A$1031, $B124),$B124="",COUNTIF(スキル一覧!$A$1:$A$3500, $B124)), "", "存在しない")</f>
        <v/>
      </c>
      <c r="M124" s="2" t="str">
        <f>IF(COUNTIF($B$1:$C123, $B124), "", "存在しない")</f>
        <v>存在しない</v>
      </c>
      <c r="N124" s="2" t="str">
        <f>IF(AND(A124&lt;&gt;"",L124="存在しない",M124="存在しない"),IF(COUNTIF([1]クラス!$A$1:$A$1000, $B124),"",TRUE),"")</f>
        <v/>
      </c>
    </row>
    <row r="125" spans="1:14" collapsed="1" x14ac:dyDescent="0.4">
      <c r="J125" s="6" t="str">
        <f>IFERROR(_xlfn.LET(_xlpm.v,
VLOOKUP($I125,効果!$A:$B,COLUMN(効果!B$1),FALSE),
IF(_xlpm.v=0,"",_xlpm.v)
),"")</f>
        <v/>
      </c>
      <c r="L125" s="15" t="str">
        <f>IF(OR(COUNTIF(クラス!$A$1:$A$1031, $B125),$B125="",COUNTIF(スキル一覧!$A$1:$A$3500, $B125)), "", "存在しない")</f>
        <v/>
      </c>
      <c r="M125" s="2" t="str">
        <f>IF(COUNTIF($B$1:$C124, $B125), "", "存在しない")</f>
        <v>存在しない</v>
      </c>
      <c r="N125" s="2" t="str">
        <f>IF(AND(A125&lt;&gt;"",L125="存在しない",M125="存在しない"),IF(COUNTIF([1]クラス!$A$1:$A$1000, $B125),"",TRUE),"")</f>
        <v/>
      </c>
    </row>
    <row r="126" spans="1:14" x14ac:dyDescent="0.4">
      <c r="J126" s="6" t="str">
        <f>IFERROR(_xlfn.LET(_xlpm.v,
VLOOKUP($I126,効果!$A:$B,COLUMN(効果!B$1),FALSE),
IF(_xlpm.v=0,"",_xlpm.v)
),"")</f>
        <v/>
      </c>
      <c r="L126" s="15" t="str">
        <f>IF(OR(COUNTIF(クラス!$A$1:$A$1031, $B126),$B126="",COUNTIF(スキル一覧!$A$1:$A$3500, $B126)), "", "存在しない")</f>
        <v/>
      </c>
      <c r="M126" s="2" t="str">
        <f>IF(COUNTIF($B$1:$C125, $B126), "", "存在しない")</f>
        <v>存在しない</v>
      </c>
      <c r="N126" s="2" t="str">
        <f>IF(AND(A126&lt;&gt;"",L126="存在しない",M126="存在しない"),IF(COUNTIF([1]クラス!$A$1:$A$1000, $B126),"",TRUE),"")</f>
        <v/>
      </c>
    </row>
    <row r="127" spans="1:14" x14ac:dyDescent="0.4">
      <c r="B127" s="2" t="s">
        <v>249</v>
      </c>
      <c r="J127" s="6" t="str">
        <f>IFERROR(_xlfn.LET(_xlpm.v,
VLOOKUP($I127,効果!$A:$B,COLUMN(効果!B$1),FALSE),
IF(_xlpm.v=0,"",_xlpm.v)
),"")</f>
        <v/>
      </c>
      <c r="L127" s="15" t="str">
        <f>IF(OR(COUNTIF(クラス!$A$1:$A$1031, $B127),$B127="",COUNTIF(スキル一覧!$A$1:$A$3500, $B127)), "", "存在しない")</f>
        <v/>
      </c>
      <c r="M127" s="2" t="str">
        <f>IF(COUNTIF($B$1:$C126, $B127), "", "存在しない")</f>
        <v>存在しない</v>
      </c>
      <c r="N127" s="2" t="str">
        <f>IF(AND(A127&lt;&gt;"",L127="存在しない",M127="存在しない"),IF(COUNTIF([1]クラス!$A$1:$A$1000, $B127),"",TRUE),"")</f>
        <v/>
      </c>
    </row>
    <row r="128" spans="1:14" hidden="1" outlineLevel="1" x14ac:dyDescent="0.4">
      <c r="A128" s="2">
        <v>1</v>
      </c>
      <c r="J128" s="6" t="str">
        <f>IFERROR(_xlfn.LET(_xlpm.v,
VLOOKUP($I128,効果!$A:$B,COLUMN(効果!B$1),FALSE),
IF(_xlpm.v=0,"",_xlpm.v)
),"")</f>
        <v/>
      </c>
      <c r="L128" s="15" t="str">
        <f>IF(OR(COUNTIF(クラス!$A$1:$A$1031,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2</v>
      </c>
      <c r="J129" s="6" t="str">
        <f>IFERROR(_xlfn.LET(_xlpm.v,
VLOOKUP($I129,効果!$A:$B,COLUMN(効果!B$1),FALSE),
IF(_xlpm.v=0,"",_xlpm.v)
),"")</f>
        <v/>
      </c>
      <c r="L129" s="15" t="str">
        <f>IF(OR(COUNTIF(クラス!$A$1:$A$1031,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3</v>
      </c>
      <c r="J130" s="6" t="str">
        <f>IFERROR(_xlfn.LET(_xlpm.v,
VLOOKUP($I130,効果!$A:$B,COLUMN(効果!B$1),FALSE),
IF(_xlpm.v=0,"",_xlpm.v)
),"")</f>
        <v/>
      </c>
      <c r="L130" s="15" t="str">
        <f>IF(OR(COUNTIF(クラス!$A$1:$A$1031,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4</v>
      </c>
      <c r="J131" s="6" t="str">
        <f>IFERROR(_xlfn.LET(_xlpm.v,
VLOOKUP($I131,効果!$A:$B,COLUMN(効果!B$1),FALSE),
IF(_xlpm.v=0,"",_xlpm.v)
),"")</f>
        <v/>
      </c>
      <c r="L131" s="15" t="str">
        <f>IF(OR(COUNTIF(クラス!$A$1:$A$1031,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5</v>
      </c>
      <c r="J132" s="6" t="str">
        <f>IFERROR(_xlfn.LET(_xlpm.v,
VLOOKUP($I132,効果!$A:$B,COLUMN(効果!B$1),FALSE),
IF(_xlpm.v=0,"",_xlpm.v)
),"")</f>
        <v/>
      </c>
      <c r="L132" s="15" t="str">
        <f>IF(OR(COUNTIF(クラス!$A$1:$A$1031,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6</v>
      </c>
      <c r="J133" s="6" t="str">
        <f>IFERROR(_xlfn.LET(_xlpm.v,
VLOOKUP($I133,効果!$A:$B,COLUMN(効果!B$1),FALSE),
IF(_xlpm.v=0,"",_xlpm.v)
),"")</f>
        <v/>
      </c>
      <c r="L133" s="15" t="str">
        <f>IF(OR(COUNTIF(クラス!$A$1:$A$1031,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7</v>
      </c>
      <c r="J134" s="6" t="str">
        <f>IFERROR(_xlfn.LET(_xlpm.v,
VLOOKUP($I134,効果!$A:$B,COLUMN(効果!B$1),FALSE),
IF(_xlpm.v=0,"",_xlpm.v)
),"")</f>
        <v/>
      </c>
      <c r="L134" s="15" t="str">
        <f>IF(OR(COUNTIF(クラス!$A$1:$A$1031,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8</v>
      </c>
      <c r="J135" s="6" t="str">
        <f>IFERROR(_xlfn.LET(_xlpm.v,
VLOOKUP($I135,効果!$A:$B,COLUMN(効果!B$1),FALSE),
IF(_xlpm.v=0,"",_xlpm.v)
),"")</f>
        <v/>
      </c>
      <c r="L135" s="15" t="str">
        <f>IF(OR(COUNTIF(クラス!$A$1:$A$1031,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9</v>
      </c>
      <c r="J136" s="6" t="str">
        <f>IFERROR(_xlfn.LET(_xlpm.v,
VLOOKUP($I136,効果!$A:$B,COLUMN(効果!B$1),FALSE),
IF(_xlpm.v=0,"",_xlpm.v)
),"")</f>
        <v/>
      </c>
      <c r="L136" s="15" t="str">
        <f>IF(OR(COUNTIF(クラス!$A$1:$A$1031,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10</v>
      </c>
      <c r="J137" s="6" t="str">
        <f>IFERROR(_xlfn.LET(_xlpm.v,
VLOOKUP($I137,効果!$A:$B,COLUMN(効果!B$1),FALSE),
IF(_xlpm.v=0,"",_xlpm.v)
),"")</f>
        <v/>
      </c>
      <c r="L137" s="15" t="str">
        <f>IF(OR(COUNTIF(クラス!$A$1:$A$1031,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J138" s="6" t="str">
        <f>IFERROR(_xlfn.LET(_xlpm.v,
VLOOKUP($I138,効果!$A:$B,COLUMN(効果!B$1),FALSE),
IF(_xlpm.v=0,"",_xlpm.v)
),"")</f>
        <v/>
      </c>
      <c r="L138" s="15" t="str">
        <f>IF(OR(COUNTIF(クラス!$A$1:$A$1031, $B138),$B138="",COUNTIF(スキル一覧!$A$1:$A$3500, $B138)), "", "存在しない")</f>
        <v/>
      </c>
      <c r="M138" s="2" t="str">
        <f>IF(COUNTIF($B$1:$C137, $B138), "", "存在しない")</f>
        <v>存在しない</v>
      </c>
      <c r="N138" s="2" t="str">
        <f>IF(AND(A138&lt;&gt;"",L138="存在しない",M138="存在しない"),IF(COUNTIF([1]クラス!$A$1:$A$1000, $B138),"",TRUE),"")</f>
        <v/>
      </c>
    </row>
    <row r="139" spans="1:14" collapsed="1" x14ac:dyDescent="0.4">
      <c r="J139" s="6" t="str">
        <f>IFERROR(_xlfn.LET(_xlpm.v,
VLOOKUP($I139,効果!$A:$B,COLUMN(効果!B$1),FALSE),
IF(_xlpm.v=0,"",_xlpm.v)
),"")</f>
        <v/>
      </c>
      <c r="L139" s="15" t="str">
        <f>IF(OR(COUNTIF(クラス!$A$1:$A$1031, $B139),$B139="",COUNTIF(スキル一覧!$A$1:$A$3500, $B139)), "", "存在しない")</f>
        <v/>
      </c>
      <c r="M139" s="2" t="str">
        <f>IF(COUNTIF($B$1:$C138, $B139), "", "存在しない")</f>
        <v>存在しない</v>
      </c>
      <c r="N139" s="2" t="str">
        <f>IF(AND(A139&lt;&gt;"",L139="存在しない",M139="存在しない"),IF(COUNTIF([1]クラス!$A$1:$A$1000, $B139),"",TRUE),"")</f>
        <v/>
      </c>
    </row>
    <row r="140" spans="1:14" x14ac:dyDescent="0.4">
      <c r="B140" s="2" t="s">
        <v>251</v>
      </c>
      <c r="J140" s="6" t="str">
        <f>IFERROR(_xlfn.LET(_xlpm.v,
VLOOKUP($I140,効果!$A:$B,COLUMN(効果!B$1),FALSE),
IF(_xlpm.v=0,"",_xlpm.v)
),"")</f>
        <v/>
      </c>
      <c r="L140" s="15" t="str">
        <f>IF(OR(COUNTIF(クラス!$A$1:$A$1031, $B140),$B140="",COUNTIF(スキル一覧!$A$1:$A$3500, $B140)), "", "存在しない")</f>
        <v/>
      </c>
      <c r="M140" s="2" t="str">
        <f>IF(COUNTIF($B$1:$C139, $B140), "", "存在しない")</f>
        <v>存在しない</v>
      </c>
      <c r="N140" s="2" t="str">
        <f>IF(AND(A140&lt;&gt;"",L140="存在しない",M140="存在しない"),IF(COUNTIF([1]クラス!$A$1:$A$1000, $B140),"",TRUE),"")</f>
        <v/>
      </c>
    </row>
    <row r="141" spans="1:14" hidden="1" outlineLevel="1" x14ac:dyDescent="0.4">
      <c r="A141" s="2">
        <v>1</v>
      </c>
      <c r="J141" s="6" t="str">
        <f>IFERROR(_xlfn.LET(_xlpm.v,
VLOOKUP($I141,効果!$A:$B,COLUMN(効果!B$1),FALSE),
IF(_xlpm.v=0,"",_xlpm.v)
),"")</f>
        <v/>
      </c>
      <c r="L141" s="15" t="str">
        <f>IF(OR(COUNTIF(クラス!$A$1:$A$1031, $B141),$B141="",COUNTIF(スキル一覧!$A$1:$A$3500, $B141)), "", "存在しない")</f>
        <v/>
      </c>
      <c r="M141" s="2" t="str">
        <f>IF(COUNTIF($B$1:$C140, $B141), "", "存在しない")</f>
        <v>存在しない</v>
      </c>
      <c r="N141" s="2" t="str">
        <f>IF(AND(A141&lt;&gt;"",L141="存在しない",M141="存在しない"),IF(COUNTIF([1]クラス!$A$1:$A$1000, $B141),"",TRUE),"")</f>
        <v/>
      </c>
    </row>
    <row r="142" spans="1:14" hidden="1" outlineLevel="1" x14ac:dyDescent="0.4">
      <c r="A142" s="2">
        <v>2</v>
      </c>
      <c r="J142" s="6" t="str">
        <f>IFERROR(_xlfn.LET(_xlpm.v,
VLOOKUP($I142,効果!$A:$B,COLUMN(効果!B$1),FALSE),
IF(_xlpm.v=0,"",_xlpm.v)
),"")</f>
        <v/>
      </c>
      <c r="L142" s="15" t="str">
        <f>IF(OR(COUNTIF(クラス!$A$1:$A$1031, $B142),$B142="",COUNTIF(スキル一覧!$A$1:$A$3500, $B142)), "", "存在しない")</f>
        <v/>
      </c>
      <c r="M142" s="2" t="str">
        <f>IF(COUNTIF($B$1:$C141, $B142), "", "存在しない")</f>
        <v>存在しない</v>
      </c>
      <c r="N142" s="2" t="str">
        <f>IF(AND(A142&lt;&gt;"",L142="存在しない",M142="存在しない"),IF(COUNTIF([1]クラス!$A$1:$A$1000, $B142),"",TRUE),"")</f>
        <v/>
      </c>
    </row>
    <row r="143" spans="1:14" hidden="1" outlineLevel="1" x14ac:dyDescent="0.4">
      <c r="A143" s="2">
        <v>3</v>
      </c>
      <c r="J143" s="6" t="str">
        <f>IFERROR(_xlfn.LET(_xlpm.v,
VLOOKUP($I143,効果!$A:$B,COLUMN(効果!B$1),FALSE),
IF(_xlpm.v=0,"",_xlpm.v)
),"")</f>
        <v/>
      </c>
      <c r="L143" s="15" t="str">
        <f>IF(OR(COUNTIF(クラス!$A$1:$A$1031,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4</v>
      </c>
      <c r="J144" s="6" t="str">
        <f>IFERROR(_xlfn.LET(_xlpm.v,
VLOOKUP($I144,効果!$A:$B,COLUMN(効果!B$1),FALSE),
IF(_xlpm.v=0,"",_xlpm.v)
),"")</f>
        <v/>
      </c>
      <c r="L144" s="15" t="str">
        <f>IF(OR(COUNTIF(クラス!$A$1:$A$1031,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5</v>
      </c>
      <c r="J145" s="6" t="str">
        <f>IFERROR(_xlfn.LET(_xlpm.v,
VLOOKUP($I145,効果!$A:$B,COLUMN(効果!B$1),FALSE),
IF(_xlpm.v=0,"",_xlpm.v)
),"")</f>
        <v/>
      </c>
      <c r="L145" s="15" t="str">
        <f>IF(OR(COUNTIF(クラス!$A$1:$A$1031,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6</v>
      </c>
      <c r="J146" s="6" t="str">
        <f>IFERROR(_xlfn.LET(_xlpm.v,
VLOOKUP($I146,効果!$A:$B,COLUMN(効果!B$1),FALSE),
IF(_xlpm.v=0,"",_xlpm.v)
),"")</f>
        <v/>
      </c>
      <c r="L146" s="15" t="str">
        <f>IF(OR(COUNTIF(クラス!$A$1:$A$1031,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7</v>
      </c>
      <c r="J147" s="6" t="str">
        <f>IFERROR(_xlfn.LET(_xlpm.v,
VLOOKUP($I147,効果!$A:$B,COLUMN(効果!B$1),FALSE),
IF(_xlpm.v=0,"",_xlpm.v)
),"")</f>
        <v/>
      </c>
      <c r="L147" s="15" t="str">
        <f>IF(OR(COUNTIF(クラス!$A$1:$A$1031,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8</v>
      </c>
      <c r="J148" s="6" t="str">
        <f>IFERROR(_xlfn.LET(_xlpm.v,
VLOOKUP($I148,効果!$A:$B,COLUMN(効果!B$1),FALSE),
IF(_xlpm.v=0,"",_xlpm.v)
),"")</f>
        <v/>
      </c>
      <c r="L148" s="15" t="str">
        <f>IF(OR(COUNTIF(クラス!$A$1:$A$1031,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9</v>
      </c>
      <c r="J149" s="6" t="str">
        <f>IFERROR(_xlfn.LET(_xlpm.v,
VLOOKUP($I149,効果!$A:$B,COLUMN(効果!B$1),FALSE),
IF(_xlpm.v=0,"",_xlpm.v)
),"")</f>
        <v/>
      </c>
      <c r="L149" s="15" t="str">
        <f>IF(OR(COUNTIF(クラス!$A$1:$A$1031,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10</v>
      </c>
      <c r="J150" s="6" t="str">
        <f>IFERROR(_xlfn.LET(_xlpm.v,
VLOOKUP($I150,効果!$A:$B,COLUMN(効果!B$1),FALSE),
IF(_xlpm.v=0,"",_xlpm.v)
),"")</f>
        <v/>
      </c>
      <c r="L150" s="15" t="str">
        <f>IF(OR(COUNTIF(クラス!$A$1:$A$1031,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J151" s="6" t="str">
        <f>IFERROR(_xlfn.LET(_xlpm.v,
VLOOKUP($I151,効果!$A:$B,COLUMN(効果!B$1),FALSE),
IF(_xlpm.v=0,"",_xlpm.v)
),"")</f>
        <v/>
      </c>
      <c r="L151" s="15" t="str">
        <f>IF(OR(COUNTIF(クラス!$A$1:$A$1031, $B151),$B151="",COUNTIF(スキル一覧!$A$1:$A$3500, $B151)), "", "存在しない")</f>
        <v/>
      </c>
      <c r="M151" s="2" t="str">
        <f>IF(COUNTIF($B$1:$C150, $B151), "", "存在しない")</f>
        <v>存在しない</v>
      </c>
      <c r="N151" s="2" t="str">
        <f>IF(AND(A151&lt;&gt;"",L151="存在しない",M151="存在しない"),IF(COUNTIF([1]クラス!$A$1:$A$1000, $B151),"",TRUE),"")</f>
        <v/>
      </c>
    </row>
    <row r="152" spans="1:14" collapsed="1" x14ac:dyDescent="0.4">
      <c r="J152" s="6" t="str">
        <f>IFERROR(_xlfn.LET(_xlpm.v,
VLOOKUP($I152,効果!$A:$B,COLUMN(効果!B$1),FALSE),
IF(_xlpm.v=0,"",_xlpm.v)
),"")</f>
        <v/>
      </c>
      <c r="L152" s="15" t="str">
        <f>IF(OR(COUNTIF(クラス!$A$1:$A$1031, $B152),$B152="",COUNTIF(スキル一覧!$A$1:$A$3500, $B152)), "", "存在しない")</f>
        <v/>
      </c>
      <c r="M152" s="2" t="str">
        <f>IF(COUNTIF($B$1:$C151, $B152), "", "存在しない")</f>
        <v>存在しない</v>
      </c>
      <c r="N152" s="2" t="str">
        <f>IF(AND(A152&lt;&gt;"",L152="存在しない",M152="存在しない"),IF(COUNTIF([1]クラス!$A$1:$A$1000, $B152),"",TRUE),"")</f>
        <v/>
      </c>
    </row>
    <row r="153" spans="1:14" x14ac:dyDescent="0.4">
      <c r="B153" s="2" t="s">
        <v>250</v>
      </c>
      <c r="J153" s="6" t="str">
        <f>IFERROR(_xlfn.LET(_xlpm.v,
VLOOKUP($I153,効果!$A:$B,COLUMN(効果!B$1),FALSE),
IF(_xlpm.v=0,"",_xlpm.v)
),"")</f>
        <v/>
      </c>
      <c r="L153" s="15" t="str">
        <f>IF(OR(COUNTIF(クラス!$A$1:$A$1031, $B153),$B153="",COUNTIF(スキル一覧!$A$1:$A$3500, $B153)), "", "存在しない")</f>
        <v/>
      </c>
      <c r="M153" s="2" t="str">
        <f>IF(COUNTIF($B$1:$C152, $B153), "", "存在しない")</f>
        <v>存在しない</v>
      </c>
      <c r="N153" s="2" t="str">
        <f>IF(AND(A153&lt;&gt;"",L153="存在しない",M153="存在しない"),IF(COUNTIF([1]クラス!$A$1:$A$1000, $B153),"",TRUE),"")</f>
        <v/>
      </c>
    </row>
    <row r="154" spans="1:14" hidden="1" outlineLevel="1" x14ac:dyDescent="0.4">
      <c r="A154" s="2">
        <v>1</v>
      </c>
      <c r="J154" s="6" t="str">
        <f>IFERROR(_xlfn.LET(_xlpm.v,
VLOOKUP($I154,効果!$A:$B,COLUMN(効果!B$1),FALSE),
IF(_xlpm.v=0,"",_xlpm.v)
),"")</f>
        <v/>
      </c>
      <c r="L154" s="15" t="str">
        <f>IF(OR(COUNTIF(クラス!$A$1:$A$1031,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2</v>
      </c>
      <c r="J155" s="6" t="str">
        <f>IFERROR(_xlfn.LET(_xlpm.v,
VLOOKUP($I155,効果!$A:$B,COLUMN(効果!B$1),FALSE),
IF(_xlpm.v=0,"",_xlpm.v)
),"")</f>
        <v/>
      </c>
      <c r="L155" s="15" t="str">
        <f>IF(OR(COUNTIF(クラス!$A$1:$A$1031,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3</v>
      </c>
      <c r="J156" s="6" t="str">
        <f>IFERROR(_xlfn.LET(_xlpm.v,
VLOOKUP($I156,効果!$A:$B,COLUMN(効果!B$1),FALSE),
IF(_xlpm.v=0,"",_xlpm.v)
),"")</f>
        <v/>
      </c>
      <c r="L156" s="15" t="str">
        <f>IF(OR(COUNTIF(クラス!$A$1:$A$1031,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4</v>
      </c>
      <c r="J157" s="6" t="str">
        <f>IFERROR(_xlfn.LET(_xlpm.v,
VLOOKUP($I157,効果!$A:$B,COLUMN(効果!B$1),FALSE),
IF(_xlpm.v=0,"",_xlpm.v)
),"")</f>
        <v/>
      </c>
      <c r="L157" s="15" t="str">
        <f>IF(OR(COUNTIF(クラス!$A$1:$A$1031,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5</v>
      </c>
      <c r="J158" s="6" t="str">
        <f>IFERROR(_xlfn.LET(_xlpm.v,
VLOOKUP($I158,効果!$A:$B,COLUMN(効果!B$1),FALSE),
IF(_xlpm.v=0,"",_xlpm.v)
),"")</f>
        <v/>
      </c>
      <c r="L158" s="15" t="str">
        <f>IF(OR(COUNTIF(クラス!$A$1:$A$1031,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6</v>
      </c>
      <c r="J159" s="6" t="str">
        <f>IFERROR(_xlfn.LET(_xlpm.v,
VLOOKUP($I159,効果!$A:$B,COLUMN(効果!B$1),FALSE),
IF(_xlpm.v=0,"",_xlpm.v)
),"")</f>
        <v/>
      </c>
      <c r="L159" s="15" t="str">
        <f>IF(OR(COUNTIF(クラス!$A$1:$A$1031,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7</v>
      </c>
      <c r="J160" s="6" t="str">
        <f>IFERROR(_xlfn.LET(_xlpm.v,
VLOOKUP($I160,効果!$A:$B,COLUMN(効果!B$1),FALSE),
IF(_xlpm.v=0,"",_xlpm.v)
),"")</f>
        <v/>
      </c>
      <c r="L160" s="15" t="str">
        <f>IF(OR(COUNTIF(クラス!$A$1:$A$1031,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8</v>
      </c>
      <c r="J161" s="6" t="str">
        <f>IFERROR(_xlfn.LET(_xlpm.v,
VLOOKUP($I161,効果!$A:$B,COLUMN(効果!B$1),FALSE),
IF(_xlpm.v=0,"",_xlpm.v)
),"")</f>
        <v/>
      </c>
      <c r="L161" s="15" t="str">
        <f>IF(OR(COUNTIF(クラス!$A$1:$A$1031,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9</v>
      </c>
      <c r="J162" s="6" t="str">
        <f>IFERROR(_xlfn.LET(_xlpm.v,
VLOOKUP($I162,効果!$A:$B,COLUMN(効果!B$1),FALSE),
IF(_xlpm.v=0,"",_xlpm.v)
),"")</f>
        <v/>
      </c>
      <c r="L162" s="15" t="str">
        <f>IF(OR(COUNTIF(クラス!$A$1:$A$1031,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10</v>
      </c>
      <c r="J163" s="6" t="str">
        <f>IFERROR(_xlfn.LET(_xlpm.v,
VLOOKUP($I163,効果!$A:$B,COLUMN(効果!B$1),FALSE),
IF(_xlpm.v=0,"",_xlpm.v)
),"")</f>
        <v/>
      </c>
      <c r="L163" s="15" t="str">
        <f>IF(OR(COUNTIF(クラス!$A$1:$A$1031,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J164" s="6" t="str">
        <f>IFERROR(_xlfn.LET(_xlpm.v,
VLOOKUP($I164,効果!$A:$B,COLUMN(効果!B$1),FALSE),
IF(_xlpm.v=0,"",_xlpm.v)
),"")</f>
        <v/>
      </c>
      <c r="L164" s="15" t="str">
        <f>IF(OR(COUNTIF(クラス!$A$1:$A$1031, $B164),$B164="",COUNTIF(スキル一覧!$A$1:$A$3500, $B164)), "", "存在しない")</f>
        <v/>
      </c>
      <c r="M164" s="2" t="str">
        <f>IF(COUNTIF($B$1:$C163, $B164), "", "存在しない")</f>
        <v>存在しない</v>
      </c>
      <c r="N164" s="2" t="str">
        <f>IF(AND(A164&lt;&gt;"",L164="存在しない",M164="存在しない"),IF(COUNTIF([1]クラス!$A$1:$A$1000, $B164),"",TRUE),"")</f>
        <v/>
      </c>
    </row>
    <row r="165" spans="1:14" collapsed="1" x14ac:dyDescent="0.4">
      <c r="J165" s="6" t="str">
        <f>IFERROR(_xlfn.LET(_xlpm.v,
VLOOKUP($I165,効果!$A:$B,COLUMN(効果!B$1),FALSE),
IF(_xlpm.v=0,"",_xlpm.v)
),"")</f>
        <v/>
      </c>
      <c r="L165" s="15" t="str">
        <f>IF(OR(COUNTIF(クラス!$A$1:$A$1031, $B165),$B165="",COUNTIF(スキル一覧!$A$1:$A$3500, $B165)), "", "存在しない")</f>
        <v/>
      </c>
      <c r="M165" s="2" t="str">
        <f>IF(COUNTIF($B$1:$C164, $B165), "", "存在しない")</f>
        <v>存在しない</v>
      </c>
      <c r="N165" s="2" t="str">
        <f>IF(AND(A165&lt;&gt;"",L165="存在しない",M165="存在しない"),IF(COUNTIF([1]クラス!$A$1:$A$1000, $B165),"",TRUE),"")</f>
        <v/>
      </c>
    </row>
    <row r="166" spans="1:14" x14ac:dyDescent="0.4">
      <c r="B166" s="2" t="s">
        <v>37</v>
      </c>
      <c r="J166" s="6" t="str">
        <f>IFERROR(_xlfn.LET(_xlpm.v,
VLOOKUP($I166,効果!$A:$B,COLUMN(効果!B$1),FALSE),
IF(_xlpm.v=0,"",_xlpm.v)
),"")</f>
        <v/>
      </c>
      <c r="L166" s="15" t="str">
        <f>IF(OR(COUNTIF(クラス!$A$1:$A$1031, $B166),$B166="",COUNTIF(スキル一覧!$A$1:$A$3500, $B166)), "", "存在しない")</f>
        <v/>
      </c>
      <c r="M166" s="2" t="str">
        <f>IF(COUNTIF($B$1:$C165, $B166), "", "存在しない")</f>
        <v>存在しない</v>
      </c>
      <c r="N166" s="2" t="str">
        <f>IF(AND(A166&lt;&gt;"",L166="存在しない",M166="存在しない"),IF(COUNTIF([1]クラス!$A$1:$A$1000, $B166),"",TRUE),"")</f>
        <v/>
      </c>
    </row>
    <row r="167" spans="1:14" ht="36" hidden="1" outlineLevel="1" x14ac:dyDescent="0.4">
      <c r="A167" s="2">
        <v>1</v>
      </c>
      <c r="B167" s="2" t="s">
        <v>307</v>
      </c>
      <c r="D167" s="2" t="s">
        <v>137</v>
      </c>
      <c r="E167" s="13" t="s">
        <v>129</v>
      </c>
      <c r="H167" s="10" t="s">
        <v>308</v>
      </c>
      <c r="J167" s="6" t="str">
        <f>IFERROR(_xlfn.LET(_xlpm.v,
VLOOKUP($I167,効果!$A:$B,COLUMN(効果!B$1),FALSE),
IF(_xlpm.v=0,"",_xlpm.v)
),"")</f>
        <v/>
      </c>
      <c r="L167" s="15" t="str">
        <f>IF(OR(COUNTIF(クラス!$A$1:$A$1031,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2</v>
      </c>
      <c r="B168" s="2" t="s">
        <v>310</v>
      </c>
      <c r="C168" s="2" t="s">
        <v>311</v>
      </c>
      <c r="D168" s="2" t="s">
        <v>309</v>
      </c>
      <c r="E168" s="13" t="s">
        <v>129</v>
      </c>
      <c r="H168" s="10" t="s">
        <v>312</v>
      </c>
      <c r="J168" s="6" t="str">
        <f>IFERROR(_xlfn.LET(_xlpm.v,
VLOOKUP($I168,効果!$A:$B,COLUMN(効果!B$1),FALSE),
IF(_xlpm.v=0,"",_xlpm.v)
),"")</f>
        <v/>
      </c>
      <c r="L168" s="15" t="str">
        <f>IF(OR(COUNTIF(クラス!$A$1:$A$1031,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3</v>
      </c>
      <c r="J169" s="6" t="str">
        <f>IFERROR(_xlfn.LET(_xlpm.v,
VLOOKUP($I169,効果!$A:$B,COLUMN(効果!B$1),FALSE),
IF(_xlpm.v=0,"",_xlpm.v)
),"")</f>
        <v/>
      </c>
      <c r="L169" s="15" t="str">
        <f>IF(OR(COUNTIF(クラス!$A$1:$A$1031,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4</v>
      </c>
      <c r="J170" s="6" t="str">
        <f>IFERROR(_xlfn.LET(_xlpm.v,
VLOOKUP($I170,効果!$A:$B,COLUMN(効果!B$1),FALSE),
IF(_xlpm.v=0,"",_xlpm.v)
),"")</f>
        <v/>
      </c>
      <c r="L170" s="15" t="str">
        <f>IF(OR(COUNTIF(クラス!$A$1:$A$1031, $B170),$B170="",COUNTIF(スキル一覧!$A$1:$A$3500, $B170)), "", "存在しない")</f>
        <v/>
      </c>
      <c r="M170" s="2" t="str">
        <f>IF(COUNTIF($B$1:$C169, $B170), "", "存在しない")</f>
        <v>存在しない</v>
      </c>
      <c r="N170" s="2" t="str">
        <f>IF(AND(A170&lt;&gt;"",L170="存在しない",M170="存在しない"),IF(COUNTIF([1]クラス!$A$1:$A$1000, $B170),"",TRUE),"")</f>
        <v/>
      </c>
    </row>
    <row r="171" spans="1:14" hidden="1" outlineLevel="1" x14ac:dyDescent="0.4">
      <c r="A171" s="2">
        <v>5</v>
      </c>
      <c r="J171" s="6" t="str">
        <f>IFERROR(_xlfn.LET(_xlpm.v,
VLOOKUP($I171,効果!$A:$B,COLUMN(効果!B$1),FALSE),
IF(_xlpm.v=0,"",_xlpm.v)
),"")</f>
        <v/>
      </c>
      <c r="L171" s="15" t="str">
        <f>IF(OR(COUNTIF(クラス!$A$1:$A$1031,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6</v>
      </c>
      <c r="J172" s="6" t="str">
        <f>IFERROR(_xlfn.LET(_xlpm.v,
VLOOKUP($I172,効果!$A:$B,COLUMN(効果!B$1),FALSE),
IF(_xlpm.v=0,"",_xlpm.v)
),"")</f>
        <v/>
      </c>
      <c r="L172" s="15" t="str">
        <f>IF(OR(COUNTIF(クラス!$A$1:$A$1031,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7</v>
      </c>
      <c r="J173" s="6" t="str">
        <f>IFERROR(_xlfn.LET(_xlpm.v,
VLOOKUP($I173,効果!$A:$B,COLUMN(効果!B$1),FALSE),
IF(_xlpm.v=0,"",_xlpm.v)
),"")</f>
        <v/>
      </c>
      <c r="L173" s="15" t="str">
        <f>IF(OR(COUNTIF(クラス!$A$1:$A$1031,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8</v>
      </c>
      <c r="J174" s="6" t="str">
        <f>IFERROR(_xlfn.LET(_xlpm.v,
VLOOKUP($I174,効果!$A:$B,COLUMN(効果!B$1),FALSE),
IF(_xlpm.v=0,"",_xlpm.v)
),"")</f>
        <v/>
      </c>
      <c r="L174" s="15" t="str">
        <f>IF(OR(COUNTIF(クラス!$A$1:$A$1031,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9</v>
      </c>
      <c r="J175" s="6" t="str">
        <f>IFERROR(_xlfn.LET(_xlpm.v,
VLOOKUP($I175,効果!$A:$B,COLUMN(効果!B$1),FALSE),
IF(_xlpm.v=0,"",_xlpm.v)
),"")</f>
        <v/>
      </c>
      <c r="L175" s="15" t="str">
        <f>IF(OR(COUNTIF(クラス!$A$1:$A$1031,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10</v>
      </c>
      <c r="J176" s="6" t="str">
        <f>IFERROR(_xlfn.LET(_xlpm.v,
VLOOKUP($I176,効果!$A:$B,COLUMN(効果!B$1),FALSE),
IF(_xlpm.v=0,"",_xlpm.v)
),"")</f>
        <v/>
      </c>
      <c r="L176" s="15" t="str">
        <f>IF(OR(COUNTIF(クラス!$A$1:$A$1031,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J177" s="6" t="str">
        <f>IFERROR(_xlfn.LET(_xlpm.v,
VLOOKUP($I177,効果!$A:$B,COLUMN(効果!B$1),FALSE),
IF(_xlpm.v=0,"",_xlpm.v)
),"")</f>
        <v/>
      </c>
      <c r="L177" s="15" t="str">
        <f>IF(OR(COUNTIF(クラス!$A$1:$A$1031, $B177),$B177="",COUNTIF(スキル一覧!$A$1:$A$3500, $B177)), "", "存在しない")</f>
        <v/>
      </c>
      <c r="M177" s="2" t="str">
        <f>IF(COUNTIF($B$1:$C176, $B177), "", "存在しない")</f>
        <v>存在しない</v>
      </c>
      <c r="N177" s="2" t="str">
        <f>IF(AND(A177&lt;&gt;"",L177="存在しない",M177="存在しない"),IF(COUNTIF([1]クラス!$A$1:$A$1000, $B177),"",TRUE),"")</f>
        <v/>
      </c>
    </row>
    <row r="178" spans="1:14" collapsed="1" x14ac:dyDescent="0.4">
      <c r="J178" s="6" t="str">
        <f>IFERROR(_xlfn.LET(_xlpm.v,
VLOOKUP($I178,効果!$A:$B,COLUMN(効果!B$1),FALSE),
IF(_xlpm.v=0,"",_xlpm.v)
),"")</f>
        <v/>
      </c>
      <c r="L178" s="15" t="str">
        <f>IF(OR(COUNTIF(クラス!$A$1:$A$1031, $B178),$B178="",COUNTIF(スキル一覧!$A$1:$A$3500, $B178)), "", "存在しない")</f>
        <v/>
      </c>
      <c r="M178" s="2" t="str">
        <f>IF(COUNTIF($B$1:$C177, $B178), "", "存在しない")</f>
        <v>存在しない</v>
      </c>
      <c r="N178" s="2" t="str">
        <f>IF(AND(A178&lt;&gt;"",L178="存在しない",M178="存在しない"),IF(COUNTIF([1]クラス!$A$1:$A$1000, $B178),"",TRUE),"")</f>
        <v/>
      </c>
    </row>
    <row r="179" spans="1:14" x14ac:dyDescent="0.4">
      <c r="B179" s="2" t="s">
        <v>39</v>
      </c>
      <c r="J179" s="6" t="str">
        <f>IFERROR(_xlfn.LET(_xlpm.v,
VLOOKUP($I179,効果!$A:$B,COLUMN(効果!B$1),FALSE),
IF(_xlpm.v=0,"",_xlpm.v)
),"")</f>
        <v/>
      </c>
      <c r="L179" s="15" t="str">
        <f>IF(OR(COUNTIF(クラス!$A$1:$A$1031, $B179),$B179="",COUNTIF(スキル一覧!$A$1:$A$3500, $B179)), "", "存在しない")</f>
        <v/>
      </c>
      <c r="M179" s="2" t="str">
        <f>IF(COUNTIF($B$1:$C178, $B179), "", "存在しない")</f>
        <v>存在しない</v>
      </c>
      <c r="N179" s="2" t="str">
        <f>IF(AND(A179&lt;&gt;"",L179="存在しない",M179="存在しない"),IF(COUNTIF([1]クラス!$A$1:$A$1000, $B179),"",TRUE),"")</f>
        <v/>
      </c>
    </row>
    <row r="180" spans="1:14" hidden="1" outlineLevel="1" x14ac:dyDescent="0.4">
      <c r="A180" s="2">
        <v>1</v>
      </c>
      <c r="J180" s="6" t="str">
        <f>IFERROR(_xlfn.LET(_xlpm.v,
VLOOKUP($I180,効果!$A:$B,COLUMN(効果!B$1),FALSE),
IF(_xlpm.v=0,"",_xlpm.v)
),"")</f>
        <v/>
      </c>
      <c r="L180" s="15" t="str">
        <f>IF(OR(COUNTIF(クラス!$A$1:$A$1031, $B180),$B180="",COUNTIF(スキル一覧!$A$1:$A$3500, $B180)), "", "存在しない")</f>
        <v/>
      </c>
      <c r="M180" s="2" t="str">
        <f>IF(COUNTIF($B$1:$C179, $B180), "", "存在しない")</f>
        <v>存在しない</v>
      </c>
      <c r="N180" s="2" t="str">
        <f>IF(AND(A180&lt;&gt;"",L180="存在しない",M180="存在しない"),IF(COUNTIF([1]クラス!$A$1:$A$1000, $B180),"",TRUE),"")</f>
        <v/>
      </c>
    </row>
    <row r="181" spans="1:14" hidden="1" outlineLevel="1" x14ac:dyDescent="0.4">
      <c r="A181" s="2">
        <v>2</v>
      </c>
      <c r="J181" s="6" t="str">
        <f>IFERROR(_xlfn.LET(_xlpm.v,
VLOOKUP($I181,効果!$A:$B,COLUMN(効果!B$1),FALSE),
IF(_xlpm.v=0,"",_xlpm.v)
),"")</f>
        <v/>
      </c>
      <c r="L181" s="15" t="str">
        <f>IF(OR(COUNTIF(クラス!$A$1:$A$1031, $B181),$B181="",COUNTIF(スキル一覧!$A$1:$A$3500, $B181)), "", "存在しない")</f>
        <v/>
      </c>
      <c r="M181" s="2" t="str">
        <f>IF(COUNTIF($B$1:$C180, $B181), "", "存在しない")</f>
        <v>存在しない</v>
      </c>
      <c r="N181" s="2" t="str">
        <f>IF(AND(A181&lt;&gt;"",L181="存在しない",M181="存在しない"),IF(COUNTIF([1]クラス!$A$1:$A$1000, $B181),"",TRUE),"")</f>
        <v/>
      </c>
    </row>
    <row r="182" spans="1:14" hidden="1" outlineLevel="1" x14ac:dyDescent="0.4">
      <c r="A182" s="2">
        <v>3</v>
      </c>
      <c r="J182" s="6" t="str">
        <f>IFERROR(_xlfn.LET(_xlpm.v,
VLOOKUP($I182,効果!$A:$B,COLUMN(効果!B$1),FALSE),
IF(_xlpm.v=0,"",_xlpm.v)
),"")</f>
        <v/>
      </c>
      <c r="L182" s="15" t="str">
        <f>IF(OR(COUNTIF(クラス!$A$1:$A$1031, $B182),$B182="",COUNTIF(スキル一覧!$A$1:$A$3500, $B182)), "", "存在しない")</f>
        <v/>
      </c>
      <c r="M182" s="2" t="str">
        <f>IF(COUNTIF($B$1:$C181, $B182), "", "存在しない")</f>
        <v>存在しない</v>
      </c>
      <c r="N182" s="2" t="str">
        <f>IF(AND(A182&lt;&gt;"",L182="存在しない",M182="存在しない"),IF(COUNTIF([1]クラス!$A$1:$A$1000, $B182),"",TRUE),"")</f>
        <v/>
      </c>
    </row>
    <row r="183" spans="1:14" hidden="1" outlineLevel="1" x14ac:dyDescent="0.4">
      <c r="A183" s="2">
        <v>4</v>
      </c>
      <c r="J183" s="6" t="str">
        <f>IFERROR(_xlfn.LET(_xlpm.v,
VLOOKUP($I183,効果!$A:$B,COLUMN(効果!B$1),FALSE),
IF(_xlpm.v=0,"",_xlpm.v)
),"")</f>
        <v/>
      </c>
      <c r="L183" s="15" t="str">
        <f>IF(OR(COUNTIF(クラス!$A$1:$A$1031, $B183),$B183="",COUNTIF(スキル一覧!$A$1:$A$3500, $B183)), "", "存在しない")</f>
        <v/>
      </c>
      <c r="M183" s="2" t="str">
        <f>IF(COUNTIF($B$1:$C182, $B183), "", "存在しない")</f>
        <v>存在しない</v>
      </c>
      <c r="N183" s="2" t="str">
        <f>IF(AND(A183&lt;&gt;"",L183="存在しない",M183="存在しない"),IF(COUNTIF([1]クラス!$A$1:$A$1000, $B183),"",TRUE),"")</f>
        <v/>
      </c>
    </row>
    <row r="184" spans="1:14" hidden="1" outlineLevel="1" x14ac:dyDescent="0.4">
      <c r="A184" s="2">
        <v>5</v>
      </c>
      <c r="J184" s="6" t="str">
        <f>IFERROR(_xlfn.LET(_xlpm.v,
VLOOKUP($I184,効果!$A:$B,COLUMN(効果!B$1),FALSE),
IF(_xlpm.v=0,"",_xlpm.v)
),"")</f>
        <v/>
      </c>
      <c r="L184" s="15" t="str">
        <f>IF(OR(COUNTIF(クラス!$A$1:$A$1031,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6</v>
      </c>
      <c r="J185" s="6" t="str">
        <f>IFERROR(_xlfn.LET(_xlpm.v,
VLOOKUP($I185,効果!$A:$B,COLUMN(効果!B$1),FALSE),
IF(_xlpm.v=0,"",_xlpm.v)
),"")</f>
        <v/>
      </c>
      <c r="L185" s="15" t="str">
        <f>IF(OR(COUNTIF(クラス!$A$1:$A$1031,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7</v>
      </c>
      <c r="J186" s="6" t="str">
        <f>IFERROR(_xlfn.LET(_xlpm.v,
VLOOKUP($I186,効果!$A:$B,COLUMN(効果!B$1),FALSE),
IF(_xlpm.v=0,"",_xlpm.v)
),"")</f>
        <v/>
      </c>
      <c r="L186" s="15" t="str">
        <f>IF(OR(COUNTIF(クラス!$A$1:$A$1031,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8</v>
      </c>
      <c r="J187" s="6" t="str">
        <f>IFERROR(_xlfn.LET(_xlpm.v,
VLOOKUP($I187,効果!$A:$B,COLUMN(効果!B$1),FALSE),
IF(_xlpm.v=0,"",_xlpm.v)
),"")</f>
        <v/>
      </c>
      <c r="L187" s="15" t="str">
        <f>IF(OR(COUNTIF(クラス!$A$1:$A$1031,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9</v>
      </c>
      <c r="J188" s="6" t="str">
        <f>IFERROR(_xlfn.LET(_xlpm.v,
VLOOKUP($I188,効果!$A:$B,COLUMN(効果!B$1),FALSE),
IF(_xlpm.v=0,"",_xlpm.v)
),"")</f>
        <v/>
      </c>
      <c r="L188" s="15" t="str">
        <f>IF(OR(COUNTIF(クラス!$A$1:$A$1031,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10</v>
      </c>
      <c r="J189" s="6" t="str">
        <f>IFERROR(_xlfn.LET(_xlpm.v,
VLOOKUP($I189,効果!$A:$B,COLUMN(効果!B$1),FALSE),
IF(_xlpm.v=0,"",_xlpm.v)
),"")</f>
        <v/>
      </c>
      <c r="L189" s="15" t="str">
        <f>IF(OR(COUNTIF(クラス!$A$1:$A$1031,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J190" s="6" t="str">
        <f>IFERROR(_xlfn.LET(_xlpm.v,
VLOOKUP($I190,効果!$A:$B,COLUMN(効果!B$1),FALSE),
IF(_xlpm.v=0,"",_xlpm.v)
),"")</f>
        <v/>
      </c>
      <c r="L190" s="15" t="str">
        <f>IF(OR(COUNTIF(クラス!$A$1:$A$1031, $B190),$B190="",COUNTIF(スキル一覧!$A$1:$A$3500, $B190)), "", "存在しない")</f>
        <v/>
      </c>
      <c r="M190" s="2" t="str">
        <f>IF(COUNTIF($B$1:$C189, $B190), "", "存在しない")</f>
        <v>存在しない</v>
      </c>
      <c r="N190" s="2" t="str">
        <f>IF(AND(A190&lt;&gt;"",L190="存在しない",M190="存在しない"),IF(COUNTIF([1]クラス!$A$1:$A$1000, $B190),"",TRUE),"")</f>
        <v/>
      </c>
    </row>
    <row r="191" spans="1:14" collapsed="1" x14ac:dyDescent="0.4">
      <c r="J191" s="6" t="str">
        <f>IFERROR(_xlfn.LET(_xlpm.v,
VLOOKUP($I191,効果!$A:$B,COLUMN(効果!B$1),FALSE),
IF(_xlpm.v=0,"",_xlpm.v)
),"")</f>
        <v/>
      </c>
      <c r="L191" s="15" t="str">
        <f>IF(OR(COUNTIF(クラス!$A$1:$A$1031, $B191),$B191="",COUNTIF(スキル一覧!$A$1:$A$3500, $B191)), "", "存在しない")</f>
        <v/>
      </c>
      <c r="M191" s="2" t="str">
        <f>IF(COUNTIF($B$1:$C190, $B191), "", "存在しない")</f>
        <v>存在しない</v>
      </c>
      <c r="N191" s="2" t="str">
        <f>IF(AND(A191&lt;&gt;"",L191="存在しない",M191="存在しない"),IF(COUNTIF([1]クラス!$A$1:$A$1000, $B191),"",TRUE),"")</f>
        <v/>
      </c>
    </row>
    <row r="192" spans="1:14" x14ac:dyDescent="0.4">
      <c r="B192" s="2" t="s">
        <v>189</v>
      </c>
      <c r="J192" s="6" t="str">
        <f>IFERROR(_xlfn.LET(_xlpm.v,
VLOOKUP($I192,効果!$A:$B,COLUMN(効果!B$1),FALSE),
IF(_xlpm.v=0,"",_xlpm.v)
),"")</f>
        <v/>
      </c>
      <c r="L192" s="15" t="str">
        <f>IF(OR(COUNTIF(クラス!$A$1:$A$1031, $B192),$B192="",COUNTIF(スキル一覧!$A$1:$A$3500, $B192)), "", "存在しない")</f>
        <v/>
      </c>
      <c r="M192" s="2" t="str">
        <f>IF(COUNTIF($B$1:$C191, $B192), "", "存在しない")</f>
        <v>存在しない</v>
      </c>
      <c r="N192" s="2" t="str">
        <f>IF(AND(A192&lt;&gt;"",L192="存在しない",M192="存在しない"),IF(COUNTIF([1]クラス!$A$1:$A$1000, $B192),"",TRUE),"")</f>
        <v/>
      </c>
    </row>
    <row r="193" spans="1:14" ht="36" hidden="1" outlineLevel="1" x14ac:dyDescent="0.4">
      <c r="A193" s="2">
        <v>1</v>
      </c>
      <c r="B193" s="2" t="s">
        <v>313</v>
      </c>
      <c r="C193" s="2" t="s">
        <v>314</v>
      </c>
      <c r="E193" s="13" t="s">
        <v>129</v>
      </c>
      <c r="G193" s="19">
        <v>100</v>
      </c>
      <c r="H193" s="10" t="s">
        <v>322</v>
      </c>
      <c r="J193" s="6" t="str">
        <f>IFERROR(_xlfn.LET(_xlpm.v,
VLOOKUP($I193,効果!$A:$B,COLUMN(効果!B$1),FALSE),
IF(_xlpm.v=0,"",_xlpm.v)
),"")</f>
        <v/>
      </c>
      <c r="L193" s="15" t="str">
        <f>IF(OR(COUNTIF(クラス!$A$1:$A$1031,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2</v>
      </c>
      <c r="J194" s="6" t="str">
        <f>IFERROR(_xlfn.LET(_xlpm.v,
VLOOKUP($I194,効果!$A:$B,COLUMN(効果!B$1),FALSE),
IF(_xlpm.v=0,"",_xlpm.v)
),"")</f>
        <v/>
      </c>
      <c r="L194" s="15" t="str">
        <f>IF(OR(COUNTIF(クラス!$A$1:$A$1031,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A195" s="2">
        <v>3</v>
      </c>
      <c r="B195" s="2" t="s">
        <v>476</v>
      </c>
      <c r="E195" s="13" t="s">
        <v>475</v>
      </c>
      <c r="H195" s="10" t="s">
        <v>477</v>
      </c>
      <c r="J195" s="6" t="str">
        <f>IFERROR(_xlfn.LET(_xlpm.v,
VLOOKUP($I195,効果!$A:$B,COLUMN(効果!B$1),FALSE),
IF(_xlpm.v=0,"",_xlpm.v)
),"")</f>
        <v/>
      </c>
      <c r="L195" s="15" t="str">
        <f>IF(OR(COUNTIF(クラス!$A$1:$A$1031, $B195),$B195="",COUNTIF(スキル一覧!$A$1:$A$3500, $B195)), "", "存在しない")</f>
        <v>存在しない</v>
      </c>
      <c r="M195" s="2" t="str">
        <f>IF(COUNTIF($B$1:$C194, $B195), "", "存在しない")</f>
        <v>存在しない</v>
      </c>
      <c r="N195" s="2" t="e">
        <f>IF(AND(A195&lt;&gt;"",L195="存在しない",M195="存在しない"),IF(COUNTIF([1]クラス!$A$1:$A$1000, $B195),"",TRUE),"")</f>
        <v>#VALUE!</v>
      </c>
    </row>
    <row r="196" spans="1:14" hidden="1" outlineLevel="1" x14ac:dyDescent="0.4">
      <c r="A196" s="2">
        <v>4</v>
      </c>
      <c r="J196" s="6" t="str">
        <f>IFERROR(_xlfn.LET(_xlpm.v,
VLOOKUP($I196,効果!$A:$B,COLUMN(効果!B$1),FALSE),
IF(_xlpm.v=0,"",_xlpm.v)
),"")</f>
        <v/>
      </c>
      <c r="L196" s="15" t="str">
        <f>IF(OR(COUNTIF(クラス!$A$1:$A$1031, $B196),$B196="",COUNTIF(スキル一覧!$A$1:$A$3500, $B196)), "", "存在しない")</f>
        <v/>
      </c>
      <c r="M196" s="2" t="str">
        <f>IF(COUNTIF($B$1:$C195, $B196), "", "存在しない")</f>
        <v>存在しない</v>
      </c>
      <c r="N196" s="2" t="str">
        <f>IF(AND(A196&lt;&gt;"",L196="存在しない",M196="存在しない"),IF(COUNTIF([1]クラス!$A$1:$A$1000, $B196),"",TRUE),"")</f>
        <v/>
      </c>
    </row>
    <row r="197" spans="1:14" hidden="1" outlineLevel="1" x14ac:dyDescent="0.4">
      <c r="A197" s="2">
        <v>5</v>
      </c>
      <c r="J197" s="6" t="str">
        <f>IFERROR(_xlfn.LET(_xlpm.v,
VLOOKUP($I197,効果!$A:$B,COLUMN(効果!B$1),FALSE),
IF(_xlpm.v=0,"",_xlpm.v)
),"")</f>
        <v/>
      </c>
      <c r="L197" s="15" t="str">
        <f>IF(OR(COUNTIF(クラス!$A$1:$A$1031,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6</v>
      </c>
      <c r="J198" s="6" t="str">
        <f>IFERROR(_xlfn.LET(_xlpm.v,
VLOOKUP($I198,効果!$A:$B,COLUMN(効果!B$1),FALSE),
IF(_xlpm.v=0,"",_xlpm.v)
),"")</f>
        <v/>
      </c>
      <c r="L198" s="15" t="str">
        <f>IF(OR(COUNTIF(クラス!$A$1:$A$1031,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7</v>
      </c>
      <c r="J199" s="6" t="str">
        <f>IFERROR(_xlfn.LET(_xlpm.v,
VLOOKUP($I199,効果!$A:$B,COLUMN(効果!B$1),FALSE),
IF(_xlpm.v=0,"",_xlpm.v)
),"")</f>
        <v/>
      </c>
      <c r="L199" s="15" t="str">
        <f>IF(OR(COUNTIF(クラス!$A$1:$A$1031,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8</v>
      </c>
      <c r="J200" s="6" t="str">
        <f>IFERROR(_xlfn.LET(_xlpm.v,
VLOOKUP($I200,効果!$A:$B,COLUMN(効果!B$1),FALSE),
IF(_xlpm.v=0,"",_xlpm.v)
),"")</f>
        <v/>
      </c>
      <c r="L200" s="15" t="str">
        <f>IF(OR(COUNTIF(クラス!$A$1:$A$1031,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9</v>
      </c>
      <c r="J201" s="6" t="str">
        <f>IFERROR(_xlfn.LET(_xlpm.v,
VLOOKUP($I201,効果!$A:$B,COLUMN(効果!B$1),FALSE),
IF(_xlpm.v=0,"",_xlpm.v)
),"")</f>
        <v/>
      </c>
      <c r="L201" s="15" t="str">
        <f>IF(OR(COUNTIF(クラス!$A$1:$A$1031,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10</v>
      </c>
      <c r="J202" s="6" t="str">
        <f>IFERROR(_xlfn.LET(_xlpm.v,
VLOOKUP($I202,効果!$A:$B,COLUMN(効果!B$1),FALSE),
IF(_xlpm.v=0,"",_xlpm.v)
),"")</f>
        <v/>
      </c>
      <c r="L202" s="15" t="str">
        <f>IF(OR(COUNTIF(クラス!$A$1:$A$1031,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J203" s="6" t="str">
        <f>IFERROR(_xlfn.LET(_xlpm.v,
VLOOKUP($I203,効果!$A:$B,COLUMN(効果!B$1),FALSE),
IF(_xlpm.v=0,"",_xlpm.v)
),"")</f>
        <v/>
      </c>
      <c r="L203" s="15" t="str">
        <f>IF(OR(COUNTIF(クラス!$A$1:$A$1031, $B203),$B203="",COUNTIF(スキル一覧!$A$1:$A$3500, $B203)), "", "存在しない")</f>
        <v/>
      </c>
      <c r="M203" s="2" t="str">
        <f>IF(COUNTIF($B$1:$C202, $B203), "", "存在しない")</f>
        <v>存在しない</v>
      </c>
      <c r="N203" s="2" t="str">
        <f>IF(AND(A203&lt;&gt;"",L203="存在しない",M203="存在しない"),IF(COUNTIF([1]クラス!$A$1:$A$1000, $B203),"",TRUE),"")</f>
        <v/>
      </c>
    </row>
    <row r="204" spans="1:14" collapsed="1" x14ac:dyDescent="0.4">
      <c r="J204" s="6" t="str">
        <f>IFERROR(_xlfn.LET(_xlpm.v,
VLOOKUP($I204,効果!$A:$B,COLUMN(効果!B$1),FALSE),
IF(_xlpm.v=0,"",_xlpm.v)
),"")</f>
        <v/>
      </c>
      <c r="L204" s="15" t="str">
        <f>IF(OR(COUNTIF(クラス!$A$1:$A$1031, $B204),$B204="",COUNTIF(スキル一覧!$A$1:$A$3500, $B204)), "", "存在しない")</f>
        <v/>
      </c>
      <c r="M204" s="2" t="str">
        <f>IF(COUNTIF($B$1:$C203, $B204), "", "存在しない")</f>
        <v>存在しない</v>
      </c>
      <c r="N204" s="2" t="str">
        <f>IF(AND(A204&lt;&gt;"",L204="存在しない",M204="存在しない"),IF(COUNTIF([1]クラス!$A$1:$A$1000, $B204),"",TRUE),"")</f>
        <v/>
      </c>
    </row>
    <row r="205" spans="1:14" x14ac:dyDescent="0.4">
      <c r="B205" s="2" t="s">
        <v>54</v>
      </c>
      <c r="J205" s="6" t="str">
        <f>IFERROR(_xlfn.LET(_xlpm.v,
VLOOKUP($I205,効果!$A:$B,COLUMN(効果!B$1),FALSE),
IF(_xlpm.v=0,"",_xlpm.v)
),"")</f>
        <v/>
      </c>
      <c r="L205" s="15" t="str">
        <f>IF(OR(COUNTIF(クラス!$A$1:$A$1031, $B205),$B205="",COUNTIF(スキル一覧!$A$1:$A$3500, $B205)), "", "存在しない")</f>
        <v/>
      </c>
      <c r="M205" s="2" t="str">
        <f>IF(COUNTIF($B$1:$C204, $B205), "", "存在しない")</f>
        <v>存在しない</v>
      </c>
      <c r="N205" s="2" t="str">
        <f>IF(AND(A205&lt;&gt;"",L205="存在しない",M205="存在しない"),IF(COUNTIF([1]クラス!$A$1:$A$1000, $B205),"",TRUE),"")</f>
        <v/>
      </c>
    </row>
    <row r="206" spans="1:14" x14ac:dyDescent="0.4">
      <c r="B206" s="2" t="s">
        <v>56</v>
      </c>
      <c r="J206" s="6" t="str">
        <f>IFERROR(_xlfn.LET(_xlpm.v,
VLOOKUP($I206,効果!$A:$B,COLUMN(効果!B$1),FALSE),
IF(_xlpm.v=0,"",_xlpm.v)
),"")</f>
        <v/>
      </c>
      <c r="L206" s="15" t="str">
        <f>IF(OR(COUNTIF(クラス!$A$1:$A$1031, $B206),$B206="",COUNTIF(スキル一覧!$A$1:$A$3500, $B206)), "", "存在しない")</f>
        <v/>
      </c>
      <c r="M206" s="2" t="str">
        <f>IF(COUNTIF($B$1:$C205, $B206), "", "存在しない")</f>
        <v>存在しない</v>
      </c>
      <c r="N206" s="2" t="str">
        <f>IF(AND(A206&lt;&gt;"",L206="存在しない",M206="存在しない"),IF(COUNTIF([1]クラス!$A$1:$A$1000, $B206),"",TRUE),"")</f>
        <v/>
      </c>
    </row>
    <row r="207" spans="1:14" x14ac:dyDescent="0.4">
      <c r="B207" s="2" t="s">
        <v>58</v>
      </c>
      <c r="J207" s="6" t="str">
        <f>IFERROR(_xlfn.LET(_xlpm.v,
VLOOKUP($I207,効果!$A:$B,COLUMN(効果!B$1),FALSE),
IF(_xlpm.v=0,"",_xlpm.v)
),"")</f>
        <v/>
      </c>
      <c r="L207" s="15" t="str">
        <f>IF(OR(COUNTIF(クラス!$A$1:$A$1031, $B207),$B207="",COUNTIF(スキル一覧!$A$1:$A$3500, $B207)), "", "存在しない")</f>
        <v/>
      </c>
      <c r="M207" s="2" t="str">
        <f>IF(COUNTIF($B$1:$C206, $B207), "", "存在しない")</f>
        <v>存在しない</v>
      </c>
      <c r="N207" s="2" t="str">
        <f>IF(AND(A207&lt;&gt;"",L207="存在しない",M207="存在しない"),IF(COUNTIF([1]クラス!$A$1:$A$1000, $B207),"",TRUE),"")</f>
        <v/>
      </c>
    </row>
    <row r="208" spans="1:14" x14ac:dyDescent="0.4">
      <c r="J208" s="6" t="str">
        <f>IFERROR(_xlfn.LET(_xlpm.v,
VLOOKUP($I208,効果!$A:$B,COLUMN(効果!B$1),FALSE),
IF(_xlpm.v=0,"",_xlpm.v)
),"")</f>
        <v/>
      </c>
      <c r="L208" s="15" t="str">
        <f>IF(OR(COUNTIF(クラス!$A$1:$A$1031, $B208),$B208="",COUNTIF(スキル一覧!$A$1:$A$3500, $B208)), "", "存在しない")</f>
        <v/>
      </c>
      <c r="M208" s="2" t="str">
        <f>IF(COUNTIF($B$1:$C207, $B208), "", "存在しない")</f>
        <v>存在しない</v>
      </c>
      <c r="N208" s="2" t="str">
        <f>IF(AND(A208&lt;&gt;"",L208="存在しない",M208="存在しない"),IF(COUNTIF([1]クラス!$A$1:$A$1000, $B208),"",TRUE),"")</f>
        <v/>
      </c>
    </row>
    <row r="209" spans="1:14" x14ac:dyDescent="0.4">
      <c r="B209" s="2" t="s">
        <v>52</v>
      </c>
      <c r="J209" s="6" t="str">
        <f>IFERROR(_xlfn.LET(_xlpm.v,
VLOOKUP($I209,効果!$A:$B,COLUMN(効果!B$1),FALSE),
IF(_xlpm.v=0,"",_xlpm.v)
),"")</f>
        <v/>
      </c>
      <c r="L209" s="15" t="str">
        <f>IF(OR(COUNTIF(クラス!$A$1:$A$1031, $B209),$B209="",COUNTIF(スキル一覧!$A$1:$A$3500, $B209)), "", "存在しない")</f>
        <v/>
      </c>
      <c r="M209" s="2" t="str">
        <f>IF(COUNTIF($B$1:$C208, $B209), "", "存在しない")</f>
        <v>存在しない</v>
      </c>
      <c r="N209" s="2" t="str">
        <f>IF(AND(A209&lt;&gt;"",L209="存在しない",M209="存在しない"),IF(COUNTIF([1]クラス!$A$1:$A$1000, $B209),"",TRUE),"")</f>
        <v/>
      </c>
    </row>
    <row r="210" spans="1:14" hidden="1" outlineLevel="1" x14ac:dyDescent="0.4">
      <c r="A210" s="2">
        <v>1</v>
      </c>
      <c r="J210" s="6" t="str">
        <f>IFERROR(_xlfn.LET(_xlpm.v,
VLOOKUP($I210,効果!$A:$B,COLUMN(効果!B$1),FALSE),
IF(_xlpm.v=0,"",_xlpm.v)
),"")</f>
        <v/>
      </c>
      <c r="L210" s="15" t="str">
        <f>IF(OR(COUNTIF(クラス!$A$1:$A$1031,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2</v>
      </c>
      <c r="J211" s="6" t="str">
        <f>IFERROR(_xlfn.LET(_xlpm.v,
VLOOKUP($I211,効果!$A:$B,COLUMN(効果!B$1),FALSE),
IF(_xlpm.v=0,"",_xlpm.v)
),"")</f>
        <v/>
      </c>
      <c r="L211" s="15" t="str">
        <f>IF(OR(COUNTIF(クラス!$A$1:$A$1031,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3</v>
      </c>
      <c r="J212" s="6" t="str">
        <f>IFERROR(_xlfn.LET(_xlpm.v,
VLOOKUP($I212,効果!$A:$B,COLUMN(効果!B$1),FALSE),
IF(_xlpm.v=0,"",_xlpm.v)
),"")</f>
        <v/>
      </c>
      <c r="L212" s="15" t="str">
        <f>IF(OR(COUNTIF(クラス!$A$1:$A$1031,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4</v>
      </c>
      <c r="J213" s="6" t="str">
        <f>IFERROR(_xlfn.LET(_xlpm.v,
VLOOKUP($I213,効果!$A:$B,COLUMN(効果!B$1),FALSE),
IF(_xlpm.v=0,"",_xlpm.v)
),"")</f>
        <v/>
      </c>
      <c r="L213" s="15" t="str">
        <f>IF(OR(COUNTIF(クラス!$A$1:$A$1031,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5</v>
      </c>
      <c r="J214" s="6" t="str">
        <f>IFERROR(_xlfn.LET(_xlpm.v,
VLOOKUP($I214,効果!$A:$B,COLUMN(効果!B$1),FALSE),
IF(_xlpm.v=0,"",_xlpm.v)
),"")</f>
        <v/>
      </c>
      <c r="L214" s="15" t="str">
        <f>IF(OR(COUNTIF(クラス!$A$1:$A$1031,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6</v>
      </c>
      <c r="J215" s="6" t="str">
        <f>IFERROR(_xlfn.LET(_xlpm.v,
VLOOKUP($I215,効果!$A:$B,COLUMN(効果!B$1),FALSE),
IF(_xlpm.v=0,"",_xlpm.v)
),"")</f>
        <v/>
      </c>
      <c r="L215" s="15" t="str">
        <f>IF(OR(COUNTIF(クラス!$A$1:$A$1031,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7</v>
      </c>
      <c r="J216" s="6" t="str">
        <f>IFERROR(_xlfn.LET(_xlpm.v,
VLOOKUP($I216,効果!$A:$B,COLUMN(効果!B$1),FALSE),
IF(_xlpm.v=0,"",_xlpm.v)
),"")</f>
        <v/>
      </c>
      <c r="L216" s="15" t="str">
        <f>IF(OR(COUNTIF(クラス!$A$1:$A$1031,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8</v>
      </c>
      <c r="J217" s="6" t="str">
        <f>IFERROR(_xlfn.LET(_xlpm.v,
VLOOKUP($I217,効果!$A:$B,COLUMN(効果!B$1),FALSE),
IF(_xlpm.v=0,"",_xlpm.v)
),"")</f>
        <v/>
      </c>
      <c r="L217" s="15" t="str">
        <f>IF(OR(COUNTIF(クラス!$A$1:$A$1031,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9</v>
      </c>
      <c r="J218" s="6" t="str">
        <f>IFERROR(_xlfn.LET(_xlpm.v,
VLOOKUP($I218,効果!$A:$B,COLUMN(効果!B$1),FALSE),
IF(_xlpm.v=0,"",_xlpm.v)
),"")</f>
        <v/>
      </c>
      <c r="L218" s="15" t="str">
        <f>IF(OR(COUNTIF(クラス!$A$1:$A$1031,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10</v>
      </c>
      <c r="J219" s="6" t="str">
        <f>IFERROR(_xlfn.LET(_xlpm.v,
VLOOKUP($I219,効果!$A:$B,COLUMN(効果!B$1),FALSE),
IF(_xlpm.v=0,"",_xlpm.v)
),"")</f>
        <v/>
      </c>
      <c r="L219" s="15" t="str">
        <f>IF(OR(COUNTIF(クラス!$A$1:$A$1031,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J220" s="6" t="str">
        <f>IFERROR(_xlfn.LET(_xlpm.v,
VLOOKUP($I220,効果!$A:$B,COLUMN(効果!B$1),FALSE),
IF(_xlpm.v=0,"",_xlpm.v)
),"")</f>
        <v/>
      </c>
      <c r="L220" s="15" t="str">
        <f>IF(OR(COUNTIF(クラス!$A$1:$A$1031, $B220),$B220="",COUNTIF(スキル一覧!$A$1:$A$3500, $B220)), "", "存在しない")</f>
        <v/>
      </c>
      <c r="M220" s="2" t="str">
        <f>IF(COUNTIF($B$1:$C219, $B220), "", "存在しない")</f>
        <v>存在しない</v>
      </c>
      <c r="N220" s="2" t="str">
        <f>IF(AND(A220&lt;&gt;"",L220="存在しない",M220="存在しない"),IF(COUNTIF([1]クラス!$A$1:$A$1000, $B220),"",TRUE),"")</f>
        <v/>
      </c>
    </row>
    <row r="221" spans="1:14" collapsed="1" x14ac:dyDescent="0.4">
      <c r="J221" s="6" t="str">
        <f>IFERROR(_xlfn.LET(_xlpm.v,
VLOOKUP($I221,効果!$A:$B,COLUMN(効果!B$1),FALSE),
IF(_xlpm.v=0,"",_xlpm.v)
),"")</f>
        <v/>
      </c>
      <c r="L221" s="15" t="str">
        <f>IF(OR(COUNTIF(クラス!$A$1:$A$1031, $B221),$B221="",COUNTIF(スキル一覧!$A$1:$A$3500, $B221)), "", "存在しない")</f>
        <v/>
      </c>
      <c r="M221" s="2" t="str">
        <f>IF(COUNTIF($B$1:$C220, $B221), "", "存在しない")</f>
        <v>存在しない</v>
      </c>
      <c r="N221" s="2" t="str">
        <f>IF(AND(A221&lt;&gt;"",L221="存在しない",M221="存在しない"),IF(COUNTIF([1]クラス!$A$1:$A$1000, $B221),"",TRUE),"")</f>
        <v/>
      </c>
    </row>
    <row r="222" spans="1:14" x14ac:dyDescent="0.4">
      <c r="B222" s="2" t="s">
        <v>63</v>
      </c>
      <c r="J222" s="6" t="str">
        <f>IFERROR(_xlfn.LET(_xlpm.v,
VLOOKUP($I222,効果!$A:$B,COLUMN(効果!B$1),FALSE),
IF(_xlpm.v=0,"",_xlpm.v)
),"")</f>
        <v/>
      </c>
      <c r="L222" s="15" t="str">
        <f>IF(OR(COUNTIF(クラス!$A$1:$A$1031, $B222),$B222="",COUNTIF(スキル一覧!$A$1:$A$3500, $B222)), "", "存在しない")</f>
        <v/>
      </c>
      <c r="M222" s="2" t="str">
        <f>IF(COUNTIF($B$1:$C221, $B222), "", "存在しない")</f>
        <v>存在しない</v>
      </c>
      <c r="N222" s="2" t="str">
        <f>IF(AND(A222&lt;&gt;"",L222="存在しない",M222="存在しない"),IF(COUNTIF([1]クラス!$A$1:$A$1000, $B222),"",TRUE),"")</f>
        <v/>
      </c>
    </row>
    <row r="223" spans="1:14" hidden="1" outlineLevel="1" x14ac:dyDescent="0.4">
      <c r="A223" s="2">
        <v>1</v>
      </c>
      <c r="J223" s="6" t="str">
        <f>IFERROR(_xlfn.LET(_xlpm.v,
VLOOKUP($I223,効果!$A:$B,COLUMN(効果!B$1),FALSE),
IF(_xlpm.v=0,"",_xlpm.v)
),"")</f>
        <v/>
      </c>
      <c r="L223" s="15" t="str">
        <f>IF(OR(COUNTIF(クラス!$A$1:$A$1031,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2</v>
      </c>
      <c r="J224" s="6" t="str">
        <f>IFERROR(_xlfn.LET(_xlpm.v,
VLOOKUP($I224,効果!$A:$B,COLUMN(効果!B$1),FALSE),
IF(_xlpm.v=0,"",_xlpm.v)
),"")</f>
        <v/>
      </c>
      <c r="L224" s="15" t="str">
        <f>IF(OR(COUNTIF(クラス!$A$1:$A$1031,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3</v>
      </c>
      <c r="J225" s="6" t="str">
        <f>IFERROR(_xlfn.LET(_xlpm.v,
VLOOKUP($I225,効果!$A:$B,COLUMN(効果!B$1),FALSE),
IF(_xlpm.v=0,"",_xlpm.v)
),"")</f>
        <v/>
      </c>
      <c r="L225" s="15" t="str">
        <f>IF(OR(COUNTIF(クラス!$A$1:$A$1031,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4</v>
      </c>
      <c r="J226" s="6" t="str">
        <f>IFERROR(_xlfn.LET(_xlpm.v,
VLOOKUP($I226,効果!$A:$B,COLUMN(効果!B$1),FALSE),
IF(_xlpm.v=0,"",_xlpm.v)
),"")</f>
        <v/>
      </c>
      <c r="L226" s="15" t="str">
        <f>IF(OR(COUNTIF(クラス!$A$1:$A$1031,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5</v>
      </c>
      <c r="J227" s="6" t="str">
        <f>IFERROR(_xlfn.LET(_xlpm.v,
VLOOKUP($I227,効果!$A:$B,COLUMN(効果!B$1),FALSE),
IF(_xlpm.v=0,"",_xlpm.v)
),"")</f>
        <v/>
      </c>
      <c r="L227" s="15" t="str">
        <f>IF(OR(COUNTIF(クラス!$A$1:$A$1031,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6</v>
      </c>
      <c r="J228" s="6" t="str">
        <f>IFERROR(_xlfn.LET(_xlpm.v,
VLOOKUP($I228,効果!$A:$B,COLUMN(効果!B$1),FALSE),
IF(_xlpm.v=0,"",_xlpm.v)
),"")</f>
        <v/>
      </c>
      <c r="L228" s="15" t="str">
        <f>IF(OR(COUNTIF(クラス!$A$1:$A$1031,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7</v>
      </c>
      <c r="J229" s="6" t="str">
        <f>IFERROR(_xlfn.LET(_xlpm.v,
VLOOKUP($I229,効果!$A:$B,COLUMN(効果!B$1),FALSE),
IF(_xlpm.v=0,"",_xlpm.v)
),"")</f>
        <v/>
      </c>
      <c r="L229" s="15" t="str">
        <f>IF(OR(COUNTIF(クラス!$A$1:$A$1031,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8</v>
      </c>
      <c r="J230" s="6" t="str">
        <f>IFERROR(_xlfn.LET(_xlpm.v,
VLOOKUP($I230,効果!$A:$B,COLUMN(効果!B$1),FALSE),
IF(_xlpm.v=0,"",_xlpm.v)
),"")</f>
        <v/>
      </c>
      <c r="L230" s="15" t="str">
        <f>IF(OR(COUNTIF(クラス!$A$1:$A$1031,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9</v>
      </c>
      <c r="J231" s="6" t="str">
        <f>IFERROR(_xlfn.LET(_xlpm.v,
VLOOKUP($I231,効果!$A:$B,COLUMN(効果!B$1),FALSE),
IF(_xlpm.v=0,"",_xlpm.v)
),"")</f>
        <v/>
      </c>
      <c r="L231" s="15" t="str">
        <f>IF(OR(COUNTIF(クラス!$A$1:$A$1031,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10</v>
      </c>
      <c r="J232" s="6" t="str">
        <f>IFERROR(_xlfn.LET(_xlpm.v,
VLOOKUP($I232,効果!$A:$B,COLUMN(効果!B$1),FALSE),
IF(_xlpm.v=0,"",_xlpm.v)
),"")</f>
        <v/>
      </c>
      <c r="L232" s="15" t="str">
        <f>IF(OR(COUNTIF(クラス!$A$1:$A$1031,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J233" s="6" t="str">
        <f>IFERROR(_xlfn.LET(_xlpm.v,
VLOOKUP($I233,効果!$A:$B,COLUMN(効果!B$1),FALSE),
IF(_xlpm.v=0,"",_xlpm.v)
),"")</f>
        <v/>
      </c>
      <c r="L233" s="15" t="str">
        <f>IF(OR(COUNTIF(クラス!$A$1:$A$1031, $B233),$B233="",COUNTIF(スキル一覧!$A$1:$A$3500, $B233)), "", "存在しない")</f>
        <v/>
      </c>
      <c r="M233" s="2" t="str">
        <f>IF(COUNTIF($B$1:$C232, $B233), "", "存在しない")</f>
        <v>存在しない</v>
      </c>
      <c r="N233" s="2" t="str">
        <f>IF(AND(A233&lt;&gt;"",L233="存在しない",M233="存在しない"),IF(COUNTIF([1]クラス!$A$1:$A$1000, $B233),"",TRUE),"")</f>
        <v/>
      </c>
    </row>
    <row r="234" spans="1:14" collapsed="1" x14ac:dyDescent="0.4">
      <c r="J234" s="6" t="str">
        <f>IFERROR(_xlfn.LET(_xlpm.v,
VLOOKUP($I234,効果!$A:$B,COLUMN(効果!B$1),FALSE),
IF(_xlpm.v=0,"",_xlpm.v)
),"")</f>
        <v/>
      </c>
      <c r="L234" s="15" t="str">
        <f>IF(OR(COUNTIF(クラス!$A$1:$A$1031, $B234),$B234="",COUNTIF(スキル一覧!$A$1:$A$3500, $B234)), "", "存在しない")</f>
        <v/>
      </c>
      <c r="M234" s="2" t="str">
        <f>IF(COUNTIF($B$1:$C233, $B234), "", "存在しない")</f>
        <v>存在しない</v>
      </c>
      <c r="N234" s="2" t="str">
        <f>IF(AND(A234&lt;&gt;"",L234="存在しない",M234="存在しない"),IF(COUNTIF([1]クラス!$A$1:$A$1000, $B234),"",TRUE),"")</f>
        <v/>
      </c>
    </row>
    <row r="235" spans="1:14" x14ac:dyDescent="0.4">
      <c r="B235" s="2" t="s">
        <v>41</v>
      </c>
      <c r="J235" s="6" t="str">
        <f>IFERROR(_xlfn.LET(_xlpm.v,
VLOOKUP($I235,効果!$A:$B,COLUMN(効果!B$1),FALSE),
IF(_xlpm.v=0,"",_xlpm.v)
),"")</f>
        <v/>
      </c>
      <c r="L235" s="15" t="str">
        <f>IF(OR(COUNTIF(クラス!$A$1:$A$1031, $B235),$B235="",COUNTIF(スキル一覧!$A$1:$A$3500, $B235)), "", "存在しない")</f>
        <v/>
      </c>
      <c r="M235" s="2" t="str">
        <f>IF(COUNTIF($B$1:$C234, $B235), "", "存在しない")</f>
        <v>存在しない</v>
      </c>
      <c r="N235" s="2" t="str">
        <f>IF(AND(A235&lt;&gt;"",L235="存在しない",M235="存在しない"),IF(COUNTIF([1]クラス!$A$1:$A$1000, $B235),"",TRUE),"")</f>
        <v/>
      </c>
    </row>
    <row r="236" spans="1:14" hidden="1" outlineLevel="1" x14ac:dyDescent="0.4">
      <c r="A236" s="2">
        <v>1</v>
      </c>
      <c r="J236" s="6" t="str">
        <f>IFERROR(_xlfn.LET(_xlpm.v,
VLOOKUP($I236,効果!$A:$B,COLUMN(効果!B$1),FALSE),
IF(_xlpm.v=0,"",_xlpm.v)
),"")</f>
        <v/>
      </c>
      <c r="L236" s="15" t="str">
        <f>IF(OR(COUNTIF(クラス!$A$1:$A$1031,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2</v>
      </c>
      <c r="J237" s="6" t="str">
        <f>IFERROR(_xlfn.LET(_xlpm.v,
VLOOKUP($I237,効果!$A:$B,COLUMN(効果!B$1),FALSE),
IF(_xlpm.v=0,"",_xlpm.v)
),"")</f>
        <v/>
      </c>
      <c r="L237" s="15" t="str">
        <f>IF(OR(COUNTIF(クラス!$A$1:$A$1031,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3</v>
      </c>
      <c r="J238" s="6" t="str">
        <f>IFERROR(_xlfn.LET(_xlpm.v,
VLOOKUP($I238,効果!$A:$B,COLUMN(効果!B$1),FALSE),
IF(_xlpm.v=0,"",_xlpm.v)
),"")</f>
        <v/>
      </c>
      <c r="L238" s="15" t="str">
        <f>IF(OR(COUNTIF(クラス!$A$1:$A$1031,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4</v>
      </c>
      <c r="J239" s="6" t="str">
        <f>IFERROR(_xlfn.LET(_xlpm.v,
VLOOKUP($I239,効果!$A:$B,COLUMN(効果!B$1),FALSE),
IF(_xlpm.v=0,"",_xlpm.v)
),"")</f>
        <v/>
      </c>
      <c r="L239" s="15" t="str">
        <f>IF(OR(COUNTIF(クラス!$A$1:$A$1031,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5</v>
      </c>
      <c r="J240" s="6" t="str">
        <f>IFERROR(_xlfn.LET(_xlpm.v,
VLOOKUP($I240,効果!$A:$B,COLUMN(効果!B$1),FALSE),
IF(_xlpm.v=0,"",_xlpm.v)
),"")</f>
        <v/>
      </c>
      <c r="L240" s="15" t="str">
        <f>IF(OR(COUNTIF(クラス!$A$1:$A$1031,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6</v>
      </c>
      <c r="J241" s="6" t="str">
        <f>IFERROR(_xlfn.LET(_xlpm.v,
VLOOKUP($I241,効果!$A:$B,COLUMN(効果!B$1),FALSE),
IF(_xlpm.v=0,"",_xlpm.v)
),"")</f>
        <v/>
      </c>
      <c r="L241" s="15" t="str">
        <f>IF(OR(COUNTIF(クラス!$A$1:$A$1031,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7</v>
      </c>
      <c r="J242" s="6" t="str">
        <f>IFERROR(_xlfn.LET(_xlpm.v,
VLOOKUP($I242,効果!$A:$B,COLUMN(効果!B$1),FALSE),
IF(_xlpm.v=0,"",_xlpm.v)
),"")</f>
        <v/>
      </c>
      <c r="L242" s="15" t="str">
        <f>IF(OR(COUNTIF(クラス!$A$1:$A$1031,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8</v>
      </c>
      <c r="J243" s="6" t="str">
        <f>IFERROR(_xlfn.LET(_xlpm.v,
VLOOKUP($I243,効果!$A:$B,COLUMN(効果!B$1),FALSE),
IF(_xlpm.v=0,"",_xlpm.v)
),"")</f>
        <v/>
      </c>
      <c r="L243" s="15" t="str">
        <f>IF(OR(COUNTIF(クラス!$A$1:$A$1031,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9</v>
      </c>
      <c r="J244" s="6" t="str">
        <f>IFERROR(_xlfn.LET(_xlpm.v,
VLOOKUP($I244,効果!$A:$B,COLUMN(効果!B$1),FALSE),
IF(_xlpm.v=0,"",_xlpm.v)
),"")</f>
        <v/>
      </c>
      <c r="L244" s="15" t="str">
        <f>IF(OR(COUNTIF(クラス!$A$1:$A$1031,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10</v>
      </c>
      <c r="J245" s="6" t="str">
        <f>IFERROR(_xlfn.LET(_xlpm.v,
VLOOKUP($I245,効果!$A:$B,COLUMN(効果!B$1),FALSE),
IF(_xlpm.v=0,"",_xlpm.v)
),"")</f>
        <v/>
      </c>
      <c r="L245" s="15" t="str">
        <f>IF(OR(COUNTIF(クラス!$A$1:$A$1031,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J246" s="6" t="str">
        <f>IFERROR(_xlfn.LET(_xlpm.v,
VLOOKUP($I246,効果!$A:$B,COLUMN(効果!B$1),FALSE),
IF(_xlpm.v=0,"",_xlpm.v)
),"")</f>
        <v/>
      </c>
      <c r="L246" s="15" t="str">
        <f>IF(OR(COUNTIF(クラス!$A$1:$A$1031, $B246),$B246="",COUNTIF(スキル一覧!$A$1:$A$3500, $B246)), "", "存在しない")</f>
        <v/>
      </c>
      <c r="M246" s="2" t="str">
        <f>IF(COUNTIF($B$1:$C245, $B246), "", "存在しない")</f>
        <v>存在しない</v>
      </c>
      <c r="N246" s="2" t="str">
        <f>IF(AND(A246&lt;&gt;"",L246="存在しない",M246="存在しない"),IF(COUNTIF([1]クラス!$A$1:$A$1000, $B246),"",TRUE),"")</f>
        <v/>
      </c>
    </row>
    <row r="247" spans="1:14" collapsed="1" x14ac:dyDescent="0.4">
      <c r="J247" s="6" t="str">
        <f>IFERROR(_xlfn.LET(_xlpm.v,
VLOOKUP($I247,効果!$A:$B,COLUMN(効果!B$1),FALSE),
IF(_xlpm.v=0,"",_xlpm.v)
),"")</f>
        <v/>
      </c>
      <c r="L247" s="15" t="str">
        <f>IF(OR(COUNTIF(クラス!$A$1:$A$1031, $B247),$B247="",COUNTIF(スキル一覧!$A$1:$A$3500, $B247)), "", "存在しない")</f>
        <v/>
      </c>
      <c r="M247" s="2" t="str">
        <f>IF(COUNTIF($B$1:$C246, $B247), "", "存在しない")</f>
        <v>存在しない</v>
      </c>
      <c r="N247" s="2" t="str">
        <f>IF(AND(A247&lt;&gt;"",L247="存在しない",M247="存在しない"),IF(COUNTIF([1]クラス!$A$1:$A$1000, $B247),"",TRUE),"")</f>
        <v/>
      </c>
    </row>
    <row r="248" spans="1:14" x14ac:dyDescent="0.4">
      <c r="B248" s="2" t="s">
        <v>65</v>
      </c>
      <c r="J248" s="6" t="str">
        <f>IFERROR(_xlfn.LET(_xlpm.v,
VLOOKUP($I248,効果!$A:$B,COLUMN(効果!B$1),FALSE),
IF(_xlpm.v=0,"",_xlpm.v)
),"")</f>
        <v/>
      </c>
      <c r="L248" s="15" t="str">
        <f>IF(OR(COUNTIF(クラス!$A$1:$A$1031, $B248),$B248="",COUNTIF(スキル一覧!$A$1:$A$3500, $B248)), "", "存在しない")</f>
        <v/>
      </c>
      <c r="M248" s="2" t="str">
        <f>IF(COUNTIF($B$1:$C247, $B248), "", "存在しない")</f>
        <v>存在しない</v>
      </c>
      <c r="N248" s="2" t="str">
        <f>IF(AND(A248&lt;&gt;"",L248="存在しない",M248="存在しない"),IF(COUNTIF([1]クラス!$A$1:$A$1000, $B248),"",TRUE),"")</f>
        <v/>
      </c>
    </row>
    <row r="249" spans="1:14" hidden="1" outlineLevel="1" x14ac:dyDescent="0.4">
      <c r="A249" s="2">
        <v>1</v>
      </c>
      <c r="J249" s="6" t="str">
        <f>IFERROR(_xlfn.LET(_xlpm.v,
VLOOKUP($I249,効果!$A:$B,COLUMN(効果!B$1),FALSE),
IF(_xlpm.v=0,"",_xlpm.v)
),"")</f>
        <v/>
      </c>
      <c r="L249" s="15" t="str">
        <f>IF(OR(COUNTIF(クラス!$A$1:$A$1031, $B249),$B249="",COUNTIF(スキル一覧!$A$1:$A$3500, $B249)), "", "存在しない")</f>
        <v/>
      </c>
      <c r="M249" s="2" t="str">
        <f>IF(COUNTIF($B$1:$C248, $B249), "", "存在しない")</f>
        <v>存在しない</v>
      </c>
      <c r="N249" s="2" t="str">
        <f>IF(AND(A249&lt;&gt;"",L249="存在しない",M249="存在しない"),IF(COUNTIF([1]クラス!$A$1:$A$1000, $B249),"",TRUE),"")</f>
        <v/>
      </c>
    </row>
    <row r="250" spans="1:14" hidden="1" outlineLevel="1" x14ac:dyDescent="0.4">
      <c r="A250" s="2">
        <v>2</v>
      </c>
      <c r="J250" s="6" t="str">
        <f>IFERROR(_xlfn.LET(_xlpm.v,
VLOOKUP($I250,効果!$A:$B,COLUMN(効果!B$1),FALSE),
IF(_xlpm.v=0,"",_xlpm.v)
),"")</f>
        <v/>
      </c>
      <c r="L250" s="15" t="str">
        <f>IF(OR(COUNTIF(クラス!$A$1:$A$1031,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3</v>
      </c>
      <c r="J251" s="6" t="str">
        <f>IFERROR(_xlfn.LET(_xlpm.v,
VLOOKUP($I251,効果!$A:$B,COLUMN(効果!B$1),FALSE),
IF(_xlpm.v=0,"",_xlpm.v)
),"")</f>
        <v/>
      </c>
      <c r="L251" s="15" t="str">
        <f>IF(OR(COUNTIF(クラス!$A$1:$A$1031,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4</v>
      </c>
      <c r="J252" s="6" t="str">
        <f>IFERROR(_xlfn.LET(_xlpm.v,
VLOOKUP($I252,効果!$A:$B,COLUMN(効果!B$1),FALSE),
IF(_xlpm.v=0,"",_xlpm.v)
),"")</f>
        <v/>
      </c>
      <c r="L252" s="15" t="str">
        <f>IF(OR(COUNTIF(クラス!$A$1:$A$1031,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5</v>
      </c>
      <c r="J253" s="6" t="str">
        <f>IFERROR(_xlfn.LET(_xlpm.v,
VLOOKUP($I253,効果!$A:$B,COLUMN(効果!B$1),FALSE),
IF(_xlpm.v=0,"",_xlpm.v)
),"")</f>
        <v/>
      </c>
      <c r="L253" s="15" t="str">
        <f>IF(OR(COUNTIF(クラス!$A$1:$A$1031,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6</v>
      </c>
      <c r="J254" s="6" t="str">
        <f>IFERROR(_xlfn.LET(_xlpm.v,
VLOOKUP($I254,効果!$A:$B,COLUMN(効果!B$1),FALSE),
IF(_xlpm.v=0,"",_xlpm.v)
),"")</f>
        <v/>
      </c>
      <c r="L254" s="15" t="str">
        <f>IF(OR(COUNTIF(クラス!$A$1:$A$1031,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7</v>
      </c>
      <c r="J255" s="6" t="str">
        <f>IFERROR(_xlfn.LET(_xlpm.v,
VLOOKUP($I255,効果!$A:$B,COLUMN(効果!B$1),FALSE),
IF(_xlpm.v=0,"",_xlpm.v)
),"")</f>
        <v/>
      </c>
      <c r="L255" s="15" t="str">
        <f>IF(OR(COUNTIF(クラス!$A$1:$A$1031,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8</v>
      </c>
      <c r="J256" s="6" t="str">
        <f>IFERROR(_xlfn.LET(_xlpm.v,
VLOOKUP($I256,効果!$A:$B,COLUMN(効果!B$1),FALSE),
IF(_xlpm.v=0,"",_xlpm.v)
),"")</f>
        <v/>
      </c>
      <c r="L256" s="15" t="str">
        <f>IF(OR(COUNTIF(クラス!$A$1:$A$1031,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9</v>
      </c>
      <c r="J257" s="6" t="str">
        <f>IFERROR(_xlfn.LET(_xlpm.v,
VLOOKUP($I257,効果!$A:$B,COLUMN(効果!B$1),FALSE),
IF(_xlpm.v=0,"",_xlpm.v)
),"")</f>
        <v/>
      </c>
      <c r="L257" s="15" t="str">
        <f>IF(OR(COUNTIF(クラス!$A$1:$A$1031,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10</v>
      </c>
      <c r="J258" s="6" t="str">
        <f>IFERROR(_xlfn.LET(_xlpm.v,
VLOOKUP($I258,効果!$A:$B,COLUMN(効果!B$1),FALSE),
IF(_xlpm.v=0,"",_xlpm.v)
),"")</f>
        <v/>
      </c>
      <c r="L258" s="15" t="str">
        <f>IF(OR(COUNTIF(クラス!$A$1:$A$1031,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J259" s="6" t="str">
        <f>IFERROR(_xlfn.LET(_xlpm.v,
VLOOKUP($I259,効果!$A:$B,COLUMN(効果!B$1),FALSE),
IF(_xlpm.v=0,"",_xlpm.v)
),"")</f>
        <v/>
      </c>
      <c r="L259" s="15" t="str">
        <f>IF(OR(COUNTIF(クラス!$A$1:$A$1031, $B259),$B259="",COUNTIF(スキル一覧!$A$1:$A$3500, $B259)), "", "存在しない")</f>
        <v/>
      </c>
      <c r="M259" s="2" t="str">
        <f>IF(COUNTIF($B$1:$C258, $B259), "", "存在しない")</f>
        <v>存在しない</v>
      </c>
      <c r="N259" s="2" t="str">
        <f>IF(AND(A259&lt;&gt;"",L259="存在しない",M259="存在しない"),IF(COUNTIF([1]クラス!$A$1:$A$1000, $B259),"",TRUE),"")</f>
        <v/>
      </c>
    </row>
    <row r="260" spans="1:14" collapsed="1" x14ac:dyDescent="0.4">
      <c r="J260" s="6" t="str">
        <f>IFERROR(_xlfn.LET(_xlpm.v,
VLOOKUP($I260,効果!$A:$B,COLUMN(効果!B$1),FALSE),
IF(_xlpm.v=0,"",_xlpm.v)
),"")</f>
        <v/>
      </c>
      <c r="L260" s="15" t="str">
        <f>IF(OR(COUNTIF(クラス!$A$1:$A$1031, $B260),$B260="",COUNTIF(スキル一覧!$A$1:$A$3500, $B260)), "", "存在しない")</f>
        <v/>
      </c>
      <c r="M260" s="2" t="str">
        <f>IF(COUNTIF($B$1:$C259, $B260), "", "存在しない")</f>
        <v>存在しない</v>
      </c>
      <c r="N260" s="2" t="str">
        <f>IF(AND(A260&lt;&gt;"",L260="存在しない",M260="存在しない"),IF(COUNTIF([1]クラス!$A$1:$A$1000, $B260),"",TRUE),"")</f>
        <v/>
      </c>
    </row>
    <row r="261" spans="1:14" x14ac:dyDescent="0.4">
      <c r="B261" s="2" t="s">
        <v>43</v>
      </c>
      <c r="J261" s="6" t="str">
        <f>IFERROR(_xlfn.LET(_xlpm.v,
VLOOKUP($I261,効果!$A:$B,COLUMN(効果!B$1),FALSE),
IF(_xlpm.v=0,"",_xlpm.v)
),"")</f>
        <v/>
      </c>
      <c r="L261" s="15" t="str">
        <f>IF(OR(COUNTIF(クラス!$A$1:$A$1031, $B261),$B261="",COUNTIF(スキル一覧!$A$1:$A$3500, $B261)), "", "存在しない")</f>
        <v/>
      </c>
      <c r="M261" s="2" t="str">
        <f>IF(COUNTIF($B$1:$C260, $B261), "", "存在しない")</f>
        <v>存在しない</v>
      </c>
      <c r="N261" s="2" t="str">
        <f>IF(AND(A261&lt;&gt;"",L261="存在しない",M261="存在しない"),IF(COUNTIF([1]クラス!$A$1:$A$1000, $B261),"",TRUE),"")</f>
        <v/>
      </c>
    </row>
    <row r="262" spans="1:14" hidden="1" outlineLevel="1" x14ac:dyDescent="0.4">
      <c r="A262" s="2">
        <v>1</v>
      </c>
      <c r="J262" s="6" t="str">
        <f>IFERROR(_xlfn.LET(_xlpm.v,
VLOOKUP($I262,効果!$A:$B,COLUMN(効果!B$1),FALSE),
IF(_xlpm.v=0,"",_xlpm.v)
),"")</f>
        <v/>
      </c>
      <c r="L262" s="15" t="str">
        <f>IF(OR(COUNTIF(クラス!$A$1:$A$1031, $B262),$B262="",COUNTIF(スキル一覧!$A$1:$A$3500, $B262)), "", "存在しない")</f>
        <v/>
      </c>
      <c r="M262" s="2" t="str">
        <f>IF(COUNTIF($B$1:$C261, $B262), "", "存在しない")</f>
        <v>存在しない</v>
      </c>
      <c r="N262" s="2" t="str">
        <f>IF(AND(A262&lt;&gt;"",L262="存在しない",M262="存在しない"),IF(COUNTIF([1]クラス!$A$1:$A$1000, $B262),"",TRUE),"")</f>
        <v/>
      </c>
    </row>
    <row r="263" spans="1:14" hidden="1" outlineLevel="1" x14ac:dyDescent="0.4">
      <c r="A263" s="2">
        <v>2</v>
      </c>
      <c r="J263" s="6" t="str">
        <f>IFERROR(_xlfn.LET(_xlpm.v,
VLOOKUP($I263,効果!$A:$B,COLUMN(効果!B$1),FALSE),
IF(_xlpm.v=0,"",_xlpm.v)
),"")</f>
        <v/>
      </c>
      <c r="L263" s="15" t="str">
        <f>IF(OR(COUNTIF(クラス!$A$1:$A$1031,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3</v>
      </c>
      <c r="J264" s="6" t="str">
        <f>IFERROR(_xlfn.LET(_xlpm.v,
VLOOKUP($I264,効果!$A:$B,COLUMN(効果!B$1),FALSE),
IF(_xlpm.v=0,"",_xlpm.v)
),"")</f>
        <v/>
      </c>
      <c r="L264" s="15" t="str">
        <f>IF(OR(COUNTIF(クラス!$A$1:$A$1031,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4</v>
      </c>
      <c r="J265" s="6" t="str">
        <f>IFERROR(_xlfn.LET(_xlpm.v,
VLOOKUP($I265,効果!$A:$B,COLUMN(効果!B$1),FALSE),
IF(_xlpm.v=0,"",_xlpm.v)
),"")</f>
        <v/>
      </c>
      <c r="L265" s="15" t="str">
        <f>IF(OR(COUNTIF(クラス!$A$1:$A$1031,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5</v>
      </c>
      <c r="J266" s="6" t="str">
        <f>IFERROR(_xlfn.LET(_xlpm.v,
VLOOKUP($I266,効果!$A:$B,COLUMN(効果!B$1),FALSE),
IF(_xlpm.v=0,"",_xlpm.v)
),"")</f>
        <v/>
      </c>
      <c r="L266" s="15" t="str">
        <f>IF(OR(COUNTIF(クラス!$A$1:$A$1031,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6</v>
      </c>
      <c r="J267" s="6" t="str">
        <f>IFERROR(_xlfn.LET(_xlpm.v,
VLOOKUP($I267,効果!$A:$B,COLUMN(効果!B$1),FALSE),
IF(_xlpm.v=0,"",_xlpm.v)
),"")</f>
        <v/>
      </c>
      <c r="L267" s="15" t="str">
        <f>IF(OR(COUNTIF(クラス!$A$1:$A$1031,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7</v>
      </c>
      <c r="J268" s="6" t="str">
        <f>IFERROR(_xlfn.LET(_xlpm.v,
VLOOKUP($I268,効果!$A:$B,COLUMN(効果!B$1),FALSE),
IF(_xlpm.v=0,"",_xlpm.v)
),"")</f>
        <v/>
      </c>
      <c r="L268" s="15" t="str">
        <f>IF(OR(COUNTIF(クラス!$A$1:$A$1031,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8</v>
      </c>
      <c r="J269" s="6" t="str">
        <f>IFERROR(_xlfn.LET(_xlpm.v,
VLOOKUP($I269,効果!$A:$B,COLUMN(効果!B$1),FALSE),
IF(_xlpm.v=0,"",_xlpm.v)
),"")</f>
        <v/>
      </c>
      <c r="L269" s="15" t="str">
        <f>IF(OR(COUNTIF(クラス!$A$1:$A$1031,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9</v>
      </c>
      <c r="J270" s="6" t="str">
        <f>IFERROR(_xlfn.LET(_xlpm.v,
VLOOKUP($I270,効果!$A:$B,COLUMN(効果!B$1),FALSE),
IF(_xlpm.v=0,"",_xlpm.v)
),"")</f>
        <v/>
      </c>
      <c r="L270" s="15" t="str">
        <f>IF(OR(COUNTIF(クラス!$A$1:$A$1031,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10</v>
      </c>
      <c r="J271" s="6" t="str">
        <f>IFERROR(_xlfn.LET(_xlpm.v,
VLOOKUP($I271,効果!$A:$B,COLUMN(効果!B$1),FALSE),
IF(_xlpm.v=0,"",_xlpm.v)
),"")</f>
        <v/>
      </c>
      <c r="L271" s="15" t="str">
        <f>IF(OR(COUNTIF(クラス!$A$1:$A$1031,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J272" s="6" t="str">
        <f>IFERROR(_xlfn.LET(_xlpm.v,
VLOOKUP($I272,効果!$A:$B,COLUMN(効果!B$1),FALSE),
IF(_xlpm.v=0,"",_xlpm.v)
),"")</f>
        <v/>
      </c>
      <c r="L272" s="15" t="str">
        <f>IF(OR(COUNTIF(クラス!$A$1:$A$1031, $B272),$B272="",COUNTIF(スキル一覧!$A$1:$A$3500, $B272)), "", "存在しない")</f>
        <v/>
      </c>
      <c r="M272" s="2" t="str">
        <f>IF(COUNTIF($B$1:$C271, $B272), "", "存在しない")</f>
        <v>存在しない</v>
      </c>
      <c r="N272" s="2" t="str">
        <f>IF(AND(A272&lt;&gt;"",L272="存在しない",M272="存在しない"),IF(COUNTIF([1]クラス!$A$1:$A$1000, $B272),"",TRUE),"")</f>
        <v/>
      </c>
    </row>
    <row r="273" spans="1:14" collapsed="1" x14ac:dyDescent="0.4">
      <c r="J273" s="6" t="str">
        <f>IFERROR(_xlfn.LET(_xlpm.v,
VLOOKUP($I273,効果!$A:$B,COLUMN(効果!B$1),FALSE),
IF(_xlpm.v=0,"",_xlpm.v)
),"")</f>
        <v/>
      </c>
      <c r="L273" s="15" t="str">
        <f>IF(OR(COUNTIF(クラス!$A$1:$A$1031, $B273),$B273="",COUNTIF(スキル一覧!$A$1:$A$3500, $B273)), "", "存在しない")</f>
        <v/>
      </c>
      <c r="M273" s="2" t="str">
        <f>IF(COUNTIF($B$1:$C272, $B273), "", "存在しない")</f>
        <v>存在しない</v>
      </c>
      <c r="N273" s="2" t="str">
        <f>IF(AND(A273&lt;&gt;"",L273="存在しない",M273="存在しない"),IF(COUNTIF([1]クラス!$A$1:$A$1000, $B273),"",TRUE),"")</f>
        <v/>
      </c>
    </row>
    <row r="274" spans="1:14" x14ac:dyDescent="0.4">
      <c r="J274" s="6" t="str">
        <f>IFERROR(_xlfn.LET(_xlpm.v,
VLOOKUP($I274,効果!$A:$B,COLUMN(効果!B$1),FALSE),
IF(_xlpm.v=0,"",_xlpm.v)
),"")</f>
        <v/>
      </c>
      <c r="L274" s="15" t="str">
        <f>IF(OR(COUNTIF(クラス!$A$1:$A$1031, $B274),$B274="",COUNTIF(スキル一覧!$A$1:$A$3500, $B274)), "", "存在しない")</f>
        <v/>
      </c>
      <c r="M274" s="2" t="str">
        <f>IF(COUNTIF($B$1:$C273, $B274), "", "存在しない")</f>
        <v>存在しない</v>
      </c>
      <c r="N274" s="2" t="str">
        <f>IF(AND(A274&lt;&gt;"",L274="存在しない",M274="存在しない"),IF(COUNTIF([1]クラス!$A$1:$A$1000, $B274),"",TRUE),"")</f>
        <v/>
      </c>
    </row>
    <row r="275" spans="1:14" x14ac:dyDescent="0.4">
      <c r="B275" s="2" t="s">
        <v>45</v>
      </c>
      <c r="J275" s="6" t="str">
        <f>IFERROR(_xlfn.LET(_xlpm.v,
VLOOKUP($I275,効果!$A:$B,COLUMN(効果!B$1),FALSE),
IF(_xlpm.v=0,"",_xlpm.v)
),"")</f>
        <v/>
      </c>
      <c r="L275" s="15" t="str">
        <f>IF(OR(COUNTIF(クラス!$A$1:$A$1031, $B275),$B275="",COUNTIF(スキル一覧!$A$1:$A$3500, $B275)), "", "存在しない")</f>
        <v/>
      </c>
      <c r="M275" s="2" t="str">
        <f>IF(COUNTIF($B$1:$C274, $B275), "", "存在しない")</f>
        <v>存在しない</v>
      </c>
      <c r="N275" s="2" t="str">
        <f>IF(AND(A275&lt;&gt;"",L275="存在しない",M275="存在しない"),IF(COUNTIF([1]クラス!$A$1:$A$1000, $B275),"",TRUE),"")</f>
        <v/>
      </c>
    </row>
    <row r="276" spans="1:14" hidden="1" outlineLevel="1" x14ac:dyDescent="0.4">
      <c r="A276" s="2">
        <v>1</v>
      </c>
      <c r="J276" s="6" t="str">
        <f>IFERROR(_xlfn.LET(_xlpm.v,
VLOOKUP($I276,効果!$A:$B,COLUMN(効果!B$1),FALSE),
IF(_xlpm.v=0,"",_xlpm.v)
),"")</f>
        <v/>
      </c>
      <c r="L276" s="15" t="str">
        <f>IF(OR(COUNTIF(クラス!$A$1:$A$1031,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2</v>
      </c>
      <c r="J277" s="6" t="str">
        <f>IFERROR(_xlfn.LET(_xlpm.v,
VLOOKUP($I277,効果!$A:$B,COLUMN(効果!B$1),FALSE),
IF(_xlpm.v=0,"",_xlpm.v)
),"")</f>
        <v/>
      </c>
      <c r="L277" s="15" t="str">
        <f>IF(OR(COUNTIF(クラス!$A$1:$A$1031,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3</v>
      </c>
      <c r="J278" s="6" t="str">
        <f>IFERROR(_xlfn.LET(_xlpm.v,
VLOOKUP($I278,効果!$A:$B,COLUMN(効果!B$1),FALSE),
IF(_xlpm.v=0,"",_xlpm.v)
),"")</f>
        <v/>
      </c>
      <c r="L278" s="15" t="str">
        <f>IF(OR(COUNTIF(クラス!$A$1:$A$1031,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4</v>
      </c>
      <c r="J279" s="6" t="str">
        <f>IFERROR(_xlfn.LET(_xlpm.v,
VLOOKUP($I279,効果!$A:$B,COLUMN(効果!B$1),FALSE),
IF(_xlpm.v=0,"",_xlpm.v)
),"")</f>
        <v/>
      </c>
      <c r="L279" s="15" t="str">
        <f>IF(OR(COUNTIF(クラス!$A$1:$A$1031,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5</v>
      </c>
      <c r="J280" s="6" t="str">
        <f>IFERROR(_xlfn.LET(_xlpm.v,
VLOOKUP($I280,効果!$A:$B,COLUMN(効果!B$1),FALSE),
IF(_xlpm.v=0,"",_xlpm.v)
),"")</f>
        <v/>
      </c>
      <c r="L280" s="15" t="str">
        <f>IF(OR(COUNTIF(クラス!$A$1:$A$1031,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6</v>
      </c>
      <c r="J281" s="6" t="str">
        <f>IFERROR(_xlfn.LET(_xlpm.v,
VLOOKUP($I281,効果!$A:$B,COLUMN(効果!B$1),FALSE),
IF(_xlpm.v=0,"",_xlpm.v)
),"")</f>
        <v/>
      </c>
      <c r="L281" s="15" t="str">
        <f>IF(OR(COUNTIF(クラス!$A$1:$A$1031,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7</v>
      </c>
      <c r="J282" s="6" t="str">
        <f>IFERROR(_xlfn.LET(_xlpm.v,
VLOOKUP($I282,効果!$A:$B,COLUMN(効果!B$1),FALSE),
IF(_xlpm.v=0,"",_xlpm.v)
),"")</f>
        <v/>
      </c>
      <c r="L282" s="15" t="str">
        <f>IF(OR(COUNTIF(クラス!$A$1:$A$1031,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8</v>
      </c>
      <c r="J283" s="6" t="str">
        <f>IFERROR(_xlfn.LET(_xlpm.v,
VLOOKUP($I283,効果!$A:$B,COLUMN(効果!B$1),FALSE),
IF(_xlpm.v=0,"",_xlpm.v)
),"")</f>
        <v/>
      </c>
      <c r="L283" s="15" t="str">
        <f>IF(OR(COUNTIF(クラス!$A$1:$A$1031,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9</v>
      </c>
      <c r="J284" s="6" t="str">
        <f>IFERROR(_xlfn.LET(_xlpm.v,
VLOOKUP($I284,効果!$A:$B,COLUMN(効果!B$1),FALSE),
IF(_xlpm.v=0,"",_xlpm.v)
),"")</f>
        <v/>
      </c>
      <c r="L284" s="15" t="str">
        <f>IF(OR(COUNTIF(クラス!$A$1:$A$1031,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10</v>
      </c>
      <c r="J285" s="6" t="str">
        <f>IFERROR(_xlfn.LET(_xlpm.v,
VLOOKUP($I285,効果!$A:$B,COLUMN(効果!B$1),FALSE),
IF(_xlpm.v=0,"",_xlpm.v)
),"")</f>
        <v/>
      </c>
      <c r="L285" s="15" t="str">
        <f>IF(OR(COUNTIF(クラス!$A$1:$A$1031,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J286" s="6" t="str">
        <f>IFERROR(_xlfn.LET(_xlpm.v,
VLOOKUP($I286,効果!$A:$B,COLUMN(効果!B$1),FALSE),
IF(_xlpm.v=0,"",_xlpm.v)
),"")</f>
        <v/>
      </c>
      <c r="L286" s="15" t="str">
        <f>IF(OR(COUNTIF(クラス!$A$1:$A$1031, $B286),$B286="",COUNTIF(スキル一覧!$A$1:$A$3500, $B286)), "", "存在しない")</f>
        <v/>
      </c>
      <c r="M286" s="2" t="str">
        <f>IF(COUNTIF($B$1:$C285, $B286), "", "存在しない")</f>
        <v>存在しない</v>
      </c>
      <c r="N286" s="2" t="str">
        <f>IF(AND(A286&lt;&gt;"",L286="存在しない",M286="存在しない"),IF(COUNTIF([1]クラス!$A$1:$A$1000, $B286),"",TRUE),"")</f>
        <v/>
      </c>
    </row>
    <row r="287" spans="1:14" collapsed="1" x14ac:dyDescent="0.4">
      <c r="J287" s="6" t="str">
        <f>IFERROR(_xlfn.LET(_xlpm.v,
VLOOKUP($I287,効果!$A:$B,COLUMN(効果!B$1),FALSE),
IF(_xlpm.v=0,"",_xlpm.v)
),"")</f>
        <v/>
      </c>
      <c r="L287" s="15" t="str">
        <f>IF(OR(COUNTIF(クラス!$A$1:$A$1031, $B287),$B287="",COUNTIF(スキル一覧!$A$1:$A$3500, $B287)), "", "存在しない")</f>
        <v/>
      </c>
      <c r="M287" s="2" t="str">
        <f>IF(COUNTIF($B$1:$C286, $B287), "", "存在しない")</f>
        <v>存在しない</v>
      </c>
      <c r="N287" s="2" t="str">
        <f>IF(AND(A287&lt;&gt;"",L287="存在しない",M287="存在しない"),IF(COUNTIF([1]クラス!$A$1:$A$1000, $B287),"",TRUE),"")</f>
        <v/>
      </c>
    </row>
    <row r="288" spans="1:14" x14ac:dyDescent="0.4">
      <c r="B288" s="2" t="s">
        <v>47</v>
      </c>
      <c r="J288" s="6" t="str">
        <f>IFERROR(_xlfn.LET(_xlpm.v,
VLOOKUP($I288,効果!$A:$B,COLUMN(効果!B$1),FALSE),
IF(_xlpm.v=0,"",_xlpm.v)
),"")</f>
        <v/>
      </c>
      <c r="L288" s="15" t="str">
        <f>IF(OR(COUNTIF(クラス!$A$1:$A$1031, $B288),$B288="",COUNTIF(スキル一覧!$A$1:$A$3500, $B288)), "", "存在しない")</f>
        <v/>
      </c>
      <c r="M288" s="2" t="str">
        <f>IF(COUNTIF($B$1:$C287, $B288), "", "存在しない")</f>
        <v>存在しない</v>
      </c>
      <c r="N288" s="2" t="str">
        <f>IF(AND(A288&lt;&gt;"",L288="存在しない",M288="存在しない"),IF(COUNTIF([1]クラス!$A$1:$A$1000, $B288),"",TRUE),"")</f>
        <v/>
      </c>
    </row>
    <row r="289" spans="1:14" hidden="1" outlineLevel="1" x14ac:dyDescent="0.4">
      <c r="A289" s="2">
        <v>1</v>
      </c>
      <c r="J289" s="6" t="str">
        <f>IFERROR(_xlfn.LET(_xlpm.v,
VLOOKUP($I289,効果!$A:$B,COLUMN(効果!B$1),FALSE),
IF(_xlpm.v=0,"",_xlpm.v)
),"")</f>
        <v/>
      </c>
      <c r="L289" s="15" t="str">
        <f>IF(OR(COUNTIF(クラス!$A$1:$A$1031, $B289),$B289="",COUNTIF(スキル一覧!$A$1:$A$3500, $B289)), "", "存在しない")</f>
        <v/>
      </c>
      <c r="M289" s="2" t="str">
        <f>IF(COUNTIF($B$1:$C288, $B289), "", "存在しない")</f>
        <v>存在しない</v>
      </c>
      <c r="N289" s="2" t="str">
        <f>IF(AND(A289&lt;&gt;"",L289="存在しない",M289="存在しない"),IF(COUNTIF([1]クラス!$A$1:$A$1000, $B289),"",TRUE),"")</f>
        <v/>
      </c>
    </row>
    <row r="290" spans="1:14" hidden="1" outlineLevel="1" x14ac:dyDescent="0.4">
      <c r="A290" s="2">
        <v>2</v>
      </c>
      <c r="J290" s="6" t="str">
        <f>IFERROR(_xlfn.LET(_xlpm.v,
VLOOKUP($I290,効果!$A:$B,COLUMN(効果!B$1),FALSE),
IF(_xlpm.v=0,"",_xlpm.v)
),"")</f>
        <v/>
      </c>
      <c r="L290" s="15" t="str">
        <f>IF(OR(COUNTIF(クラス!$A$1:$A$1031,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3</v>
      </c>
      <c r="J291" s="6" t="str">
        <f>IFERROR(_xlfn.LET(_xlpm.v,
VLOOKUP($I291,効果!$A:$B,COLUMN(効果!B$1),FALSE),
IF(_xlpm.v=0,"",_xlpm.v)
),"")</f>
        <v/>
      </c>
      <c r="L291" s="15" t="str">
        <f>IF(OR(COUNTIF(クラス!$A$1:$A$1031,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4</v>
      </c>
      <c r="J292" s="6" t="str">
        <f>IFERROR(_xlfn.LET(_xlpm.v,
VLOOKUP($I292,効果!$A:$B,COLUMN(効果!B$1),FALSE),
IF(_xlpm.v=0,"",_xlpm.v)
),"")</f>
        <v/>
      </c>
      <c r="L292" s="15" t="str">
        <f>IF(OR(COUNTIF(クラス!$A$1:$A$1031,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5</v>
      </c>
      <c r="J293" s="6" t="str">
        <f>IFERROR(_xlfn.LET(_xlpm.v,
VLOOKUP($I293,効果!$A:$B,COLUMN(効果!B$1),FALSE),
IF(_xlpm.v=0,"",_xlpm.v)
),"")</f>
        <v/>
      </c>
      <c r="L293" s="15" t="str">
        <f>IF(OR(COUNTIF(クラス!$A$1:$A$1031,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6</v>
      </c>
      <c r="J294" s="6" t="str">
        <f>IFERROR(_xlfn.LET(_xlpm.v,
VLOOKUP($I294,効果!$A:$B,COLUMN(効果!B$1),FALSE),
IF(_xlpm.v=0,"",_xlpm.v)
),"")</f>
        <v/>
      </c>
      <c r="L294" s="15" t="str">
        <f>IF(OR(COUNTIF(クラス!$A$1:$A$1031,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7</v>
      </c>
      <c r="J295" s="6" t="str">
        <f>IFERROR(_xlfn.LET(_xlpm.v,
VLOOKUP($I295,効果!$A:$B,COLUMN(効果!B$1),FALSE),
IF(_xlpm.v=0,"",_xlpm.v)
),"")</f>
        <v/>
      </c>
      <c r="L295" s="15" t="str">
        <f>IF(OR(COUNTIF(クラス!$A$1:$A$1031,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8</v>
      </c>
      <c r="J296" s="6" t="str">
        <f>IFERROR(_xlfn.LET(_xlpm.v,
VLOOKUP($I296,効果!$A:$B,COLUMN(効果!B$1),FALSE),
IF(_xlpm.v=0,"",_xlpm.v)
),"")</f>
        <v/>
      </c>
      <c r="L296" s="15" t="str">
        <f>IF(OR(COUNTIF(クラス!$A$1:$A$1031,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9</v>
      </c>
      <c r="J297" s="6" t="str">
        <f>IFERROR(_xlfn.LET(_xlpm.v,
VLOOKUP($I297,効果!$A:$B,COLUMN(効果!B$1),FALSE),
IF(_xlpm.v=0,"",_xlpm.v)
),"")</f>
        <v/>
      </c>
      <c r="L297" s="15" t="str">
        <f>IF(OR(COUNTIF(クラス!$A$1:$A$1031,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10</v>
      </c>
      <c r="J298" s="6" t="str">
        <f>IFERROR(_xlfn.LET(_xlpm.v,
VLOOKUP($I298,効果!$A:$B,COLUMN(効果!B$1),FALSE),
IF(_xlpm.v=0,"",_xlpm.v)
),"")</f>
        <v/>
      </c>
      <c r="L298" s="15" t="str">
        <f>IF(OR(COUNTIF(クラス!$A$1:$A$1031,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J299" s="6" t="str">
        <f>IFERROR(_xlfn.LET(_xlpm.v,
VLOOKUP($I299,効果!$A:$B,COLUMN(効果!B$1),FALSE),
IF(_xlpm.v=0,"",_xlpm.v)
),"")</f>
        <v/>
      </c>
      <c r="L299" s="15" t="str">
        <f>IF(OR(COUNTIF(クラス!$A$1:$A$1031, $B299),$B299="",COUNTIF(スキル一覧!$A$1:$A$3500, $B299)), "", "存在しない")</f>
        <v/>
      </c>
      <c r="M299" s="2" t="str">
        <f>IF(COUNTIF($B$1:$C298, $B299), "", "存在しない")</f>
        <v>存在しない</v>
      </c>
      <c r="N299" s="2" t="str">
        <f>IF(AND(A299&lt;&gt;"",L299="存在しない",M299="存在しない"),IF(COUNTIF([1]クラス!$A$1:$A$1000, $B299),"",TRUE),"")</f>
        <v/>
      </c>
    </row>
    <row r="300" spans="1:14" collapsed="1" x14ac:dyDescent="0.4">
      <c r="J300" s="6" t="str">
        <f>IFERROR(_xlfn.LET(_xlpm.v,
VLOOKUP($I300,効果!$A:$B,COLUMN(効果!B$1),FALSE),
IF(_xlpm.v=0,"",_xlpm.v)
),"")</f>
        <v/>
      </c>
      <c r="L300" s="15" t="str">
        <f>IF(OR(COUNTIF(クラス!$A$1:$A$1031, $B300),$B300="",COUNTIF(スキル一覧!$A$1:$A$3500, $B300)), "", "存在しない")</f>
        <v/>
      </c>
      <c r="M300" s="2" t="str">
        <f>IF(COUNTIF($B$1:$C299, $B300), "", "存在しない")</f>
        <v>存在しない</v>
      </c>
      <c r="N300" s="2" t="str">
        <f>IF(AND(A300&lt;&gt;"",L300="存在しない",M300="存在しない"),IF(COUNTIF([1]クラス!$A$1:$A$1000, $B300),"",TRUE),"")</f>
        <v/>
      </c>
    </row>
    <row r="301" spans="1:14" x14ac:dyDescent="0.4">
      <c r="B301" s="2" t="s">
        <v>49</v>
      </c>
      <c r="J301" s="6" t="str">
        <f>IFERROR(_xlfn.LET(_xlpm.v,
VLOOKUP($I301,効果!$A:$B,COLUMN(効果!B$1),FALSE),
IF(_xlpm.v=0,"",_xlpm.v)
),"")</f>
        <v/>
      </c>
      <c r="L301" s="15" t="str">
        <f>IF(OR(COUNTIF(クラス!$A$1:$A$1031, $B301),$B301="",COUNTIF(スキル一覧!$A$1:$A$3500, $B301)), "", "存在しない")</f>
        <v/>
      </c>
      <c r="M301" s="2" t="str">
        <f>IF(COUNTIF($B$1:$C300, $B301), "", "存在しない")</f>
        <v>存在しない</v>
      </c>
      <c r="N301" s="2" t="str">
        <f>IF(AND(A301&lt;&gt;"",L301="存在しない",M301="存在しない"),IF(COUNTIF([1]クラス!$A$1:$A$1000, $B301),"",TRUE),"")</f>
        <v/>
      </c>
    </row>
    <row r="302" spans="1:14" hidden="1" outlineLevel="1" x14ac:dyDescent="0.4">
      <c r="A302" s="2">
        <v>1</v>
      </c>
      <c r="J302" s="6" t="str">
        <f>IFERROR(_xlfn.LET(_xlpm.v,
VLOOKUP($I302,効果!$A:$B,COLUMN(効果!B$1),FALSE),
IF(_xlpm.v=0,"",_xlpm.v)
),"")</f>
        <v/>
      </c>
      <c r="L302" s="15" t="str">
        <f>IF(OR(COUNTIF(クラス!$A$1:$A$1031, $B302),$B302="",COUNTIF(スキル一覧!$A$1:$A$3500, $B302)), "", "存在しない")</f>
        <v/>
      </c>
      <c r="M302" s="2" t="str">
        <f>IF(COUNTIF($B$1:$C301, $B302), "", "存在しない")</f>
        <v>存在しない</v>
      </c>
      <c r="N302" s="2" t="str">
        <f>IF(AND(A302&lt;&gt;"",L302="存在しない",M302="存在しない"),IF(COUNTIF([1]クラス!$A$1:$A$1000, $B302),"",TRUE),"")</f>
        <v/>
      </c>
    </row>
    <row r="303" spans="1:14" hidden="1" outlineLevel="1" x14ac:dyDescent="0.4">
      <c r="A303" s="2">
        <v>2</v>
      </c>
      <c r="J303" s="6" t="str">
        <f>IFERROR(_xlfn.LET(_xlpm.v,
VLOOKUP($I303,効果!$A:$B,COLUMN(効果!B$1),FALSE),
IF(_xlpm.v=0,"",_xlpm.v)
),"")</f>
        <v/>
      </c>
      <c r="L303" s="15" t="str">
        <f>IF(OR(COUNTIF(クラス!$A$1:$A$1031,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3</v>
      </c>
      <c r="J304" s="6" t="str">
        <f>IFERROR(_xlfn.LET(_xlpm.v,
VLOOKUP($I304,効果!$A:$B,COLUMN(効果!B$1),FALSE),
IF(_xlpm.v=0,"",_xlpm.v)
),"")</f>
        <v/>
      </c>
      <c r="L304" s="15" t="str">
        <f>IF(OR(COUNTIF(クラス!$A$1:$A$1031,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4</v>
      </c>
      <c r="J305" s="6" t="str">
        <f>IFERROR(_xlfn.LET(_xlpm.v,
VLOOKUP($I305,効果!$A:$B,COLUMN(効果!B$1),FALSE),
IF(_xlpm.v=0,"",_xlpm.v)
),"")</f>
        <v/>
      </c>
      <c r="L305" s="15" t="str">
        <f>IF(OR(COUNTIF(クラス!$A$1:$A$1031,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5</v>
      </c>
      <c r="J306" s="6" t="str">
        <f>IFERROR(_xlfn.LET(_xlpm.v,
VLOOKUP($I306,効果!$A:$B,COLUMN(効果!B$1),FALSE),
IF(_xlpm.v=0,"",_xlpm.v)
),"")</f>
        <v/>
      </c>
      <c r="L306" s="15" t="str">
        <f>IF(OR(COUNTIF(クラス!$A$1:$A$1031,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6</v>
      </c>
      <c r="J307" s="6" t="str">
        <f>IFERROR(_xlfn.LET(_xlpm.v,
VLOOKUP($I307,効果!$A:$B,COLUMN(効果!B$1),FALSE),
IF(_xlpm.v=0,"",_xlpm.v)
),"")</f>
        <v/>
      </c>
      <c r="L307" s="15" t="str">
        <f>IF(OR(COUNTIF(クラス!$A$1:$A$1031,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7</v>
      </c>
      <c r="J308" s="6" t="str">
        <f>IFERROR(_xlfn.LET(_xlpm.v,
VLOOKUP($I308,効果!$A:$B,COLUMN(効果!B$1),FALSE),
IF(_xlpm.v=0,"",_xlpm.v)
),"")</f>
        <v/>
      </c>
      <c r="L308" s="15" t="str">
        <f>IF(OR(COUNTIF(クラス!$A$1:$A$1031,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8</v>
      </c>
      <c r="J309" s="6" t="str">
        <f>IFERROR(_xlfn.LET(_xlpm.v,
VLOOKUP($I309,効果!$A:$B,COLUMN(効果!B$1),FALSE),
IF(_xlpm.v=0,"",_xlpm.v)
),"")</f>
        <v/>
      </c>
      <c r="L309" s="15" t="str">
        <f>IF(OR(COUNTIF(クラス!$A$1:$A$1031,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9</v>
      </c>
      <c r="J310" s="6" t="str">
        <f>IFERROR(_xlfn.LET(_xlpm.v,
VLOOKUP($I310,効果!$A:$B,COLUMN(効果!B$1),FALSE),
IF(_xlpm.v=0,"",_xlpm.v)
),"")</f>
        <v/>
      </c>
      <c r="L310" s="15" t="str">
        <f>IF(OR(COUNTIF(クラス!$A$1:$A$1031,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10</v>
      </c>
      <c r="J311" s="6" t="str">
        <f>IFERROR(_xlfn.LET(_xlpm.v,
VLOOKUP($I311,効果!$A:$B,COLUMN(効果!B$1),FALSE),
IF(_xlpm.v=0,"",_xlpm.v)
),"")</f>
        <v/>
      </c>
      <c r="L311" s="15" t="str">
        <f>IF(OR(COUNTIF(クラス!$A$1:$A$1031,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J312" s="6" t="str">
        <f>IFERROR(_xlfn.LET(_xlpm.v,
VLOOKUP($I312,効果!$A:$B,COLUMN(効果!B$1),FALSE),
IF(_xlpm.v=0,"",_xlpm.v)
),"")</f>
        <v/>
      </c>
      <c r="L312" s="15" t="str">
        <f>IF(OR(COUNTIF(クラス!$A$1:$A$1031, $B312),$B312="",COUNTIF(スキル一覧!$A$1:$A$3500, $B312)), "", "存在しない")</f>
        <v/>
      </c>
      <c r="M312" s="2" t="str">
        <f>IF(COUNTIF($B$1:$C311, $B312), "", "存在しない")</f>
        <v>存在しない</v>
      </c>
      <c r="N312" s="2" t="str">
        <f>IF(AND(A312&lt;&gt;"",L312="存在しない",M312="存在しない"),IF(COUNTIF([1]クラス!$A$1:$A$1000, $B312),"",TRUE),"")</f>
        <v/>
      </c>
    </row>
    <row r="313" spans="1:14" collapsed="1" x14ac:dyDescent="0.4">
      <c r="J313" s="6" t="str">
        <f>IFERROR(_xlfn.LET(_xlpm.v,
VLOOKUP($I313,効果!$A:$B,COLUMN(効果!B$1),FALSE),
IF(_xlpm.v=0,"",_xlpm.v)
),"")</f>
        <v/>
      </c>
      <c r="L313" s="15" t="str">
        <f>IF(OR(COUNTIF(クラス!$A$1:$A$1031, $B313),$B313="",COUNTIF(スキル一覧!$A$1:$A$3500, $B313)), "", "存在しない")</f>
        <v/>
      </c>
      <c r="M313" s="2" t="str">
        <f>IF(COUNTIF($B$1:$C312, $B313), "", "存在しない")</f>
        <v>存在しない</v>
      </c>
      <c r="N313" s="2" t="str">
        <f>IF(AND(A313&lt;&gt;"",L313="存在しない",M313="存在しない"),IF(COUNTIF([1]クラス!$A$1:$A$1000, $B313),"",TRUE),"")</f>
        <v/>
      </c>
    </row>
    <row r="314" spans="1:14" x14ac:dyDescent="0.4">
      <c r="J314" s="6" t="str">
        <f>IFERROR(_xlfn.LET(_xlpm.v,
VLOOKUP($I314,効果!$A:$B,COLUMN(効果!B$1),FALSE),
IF(_xlpm.v=0,"",_xlpm.v)
),"")</f>
        <v/>
      </c>
      <c r="L314" s="15" t="str">
        <f>IF(OR(COUNTIF(クラス!$A$1:$A$1031, $B314),$B314="",COUNTIF(スキル一覧!$A$1:$A$3500, $B314)), "", "存在しない")</f>
        <v/>
      </c>
      <c r="M314" s="2" t="str">
        <f>IF(COUNTIF($B$1:$C313, $B314), "", "存在しない")</f>
        <v>存在しない</v>
      </c>
      <c r="N314" s="2" t="str">
        <f>IF(AND(A314&lt;&gt;"",L314="存在しない",M314="存在しない"),IF(COUNTIF([1]クラス!$A$1:$A$1000, $B314),"",TRUE),"")</f>
        <v/>
      </c>
    </row>
    <row r="315" spans="1:14" x14ac:dyDescent="0.4">
      <c r="B315" s="2" t="s">
        <v>122</v>
      </c>
      <c r="J315" s="6" t="str">
        <f>IFERROR(_xlfn.LET(_xlpm.v,
VLOOKUP($I315,効果!$A:$B,COLUMN(効果!B$1),FALSE),
IF(_xlpm.v=0,"",_xlpm.v)
),"")</f>
        <v/>
      </c>
      <c r="L315" s="15" t="str">
        <f>IF(OR(COUNTIF(クラス!$A$1:$A$1031, $B315),$B315="",COUNTIF(スキル一覧!$A$1:$A$3500, $B315)), "", "存在しない")</f>
        <v/>
      </c>
      <c r="M315" s="2" t="str">
        <f>IF(COUNTIF($B$1:$C314, $B315), "", "存在しない")</f>
        <v>存在しない</v>
      </c>
      <c r="N315" s="2" t="str">
        <f>IF(AND(A315&lt;&gt;"",L315="存在しない",M315="存在しない"),IF(COUNTIF([1]クラス!$A$1:$A$1000, $B315),"",TRUE),"")</f>
        <v/>
      </c>
    </row>
    <row r="316" spans="1:14" hidden="1" outlineLevel="1" x14ac:dyDescent="0.4">
      <c r="A316" s="2">
        <v>1</v>
      </c>
      <c r="J316" s="6" t="str">
        <f>IFERROR(_xlfn.LET(_xlpm.v,
VLOOKUP($I316,効果!$A:$B,COLUMN(効果!B$1),FALSE),
IF(_xlpm.v=0,"",_xlpm.v)
),"")</f>
        <v/>
      </c>
      <c r="L316" s="15" t="str">
        <f>IF(OR(COUNTIF(クラス!$A$1:$A$1031,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2</v>
      </c>
      <c r="J317" s="6" t="str">
        <f>IFERROR(_xlfn.LET(_xlpm.v,
VLOOKUP($I317,効果!$A:$B,COLUMN(効果!B$1),FALSE),
IF(_xlpm.v=0,"",_xlpm.v)
),"")</f>
        <v/>
      </c>
      <c r="L317" s="15" t="str">
        <f>IF(OR(COUNTIF(クラス!$A$1:$A$1031,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3</v>
      </c>
      <c r="J318" s="6" t="str">
        <f>IFERROR(_xlfn.LET(_xlpm.v,
VLOOKUP($I318,効果!$A:$B,COLUMN(効果!B$1),FALSE),
IF(_xlpm.v=0,"",_xlpm.v)
),"")</f>
        <v/>
      </c>
      <c r="L318" s="15" t="str">
        <f>IF(OR(COUNTIF(クラス!$A$1:$A$1031,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4</v>
      </c>
      <c r="J319" s="6" t="str">
        <f>IFERROR(_xlfn.LET(_xlpm.v,
VLOOKUP($I319,効果!$A:$B,COLUMN(効果!B$1),FALSE),
IF(_xlpm.v=0,"",_xlpm.v)
),"")</f>
        <v/>
      </c>
      <c r="L319" s="15" t="str">
        <f>IF(OR(COUNTIF(クラス!$A$1:$A$1031,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5</v>
      </c>
      <c r="J320" s="6" t="str">
        <f>IFERROR(_xlfn.LET(_xlpm.v,
VLOOKUP($I320,効果!$A:$B,COLUMN(効果!B$1),FALSE),
IF(_xlpm.v=0,"",_xlpm.v)
),"")</f>
        <v/>
      </c>
      <c r="L320" s="15" t="str">
        <f>IF(OR(COUNTIF(クラス!$A$1:$A$1031,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6</v>
      </c>
      <c r="J321" s="6" t="str">
        <f>IFERROR(_xlfn.LET(_xlpm.v,
VLOOKUP($I321,効果!$A:$B,COLUMN(効果!B$1),FALSE),
IF(_xlpm.v=0,"",_xlpm.v)
),"")</f>
        <v/>
      </c>
      <c r="L321" s="15" t="str">
        <f>IF(OR(COUNTIF(クラス!$A$1:$A$1031,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7</v>
      </c>
      <c r="J322" s="6" t="str">
        <f>IFERROR(_xlfn.LET(_xlpm.v,
VLOOKUP($I322,効果!$A:$B,COLUMN(効果!B$1),FALSE),
IF(_xlpm.v=0,"",_xlpm.v)
),"")</f>
        <v/>
      </c>
      <c r="L322" s="15" t="str">
        <f>IF(OR(COUNTIF(クラス!$A$1:$A$1031,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8</v>
      </c>
      <c r="J323" s="6" t="str">
        <f>IFERROR(_xlfn.LET(_xlpm.v,
VLOOKUP($I323,効果!$A:$B,COLUMN(効果!B$1),FALSE),
IF(_xlpm.v=0,"",_xlpm.v)
),"")</f>
        <v/>
      </c>
      <c r="L323" s="15" t="str">
        <f>IF(OR(COUNTIF(クラス!$A$1:$A$1031,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9</v>
      </c>
      <c r="J324" s="6" t="str">
        <f>IFERROR(_xlfn.LET(_xlpm.v,
VLOOKUP($I324,効果!$A:$B,COLUMN(効果!B$1),FALSE),
IF(_xlpm.v=0,"",_xlpm.v)
),"")</f>
        <v/>
      </c>
      <c r="L324" s="15" t="str">
        <f>IF(OR(COUNTIF(クラス!$A$1:$A$1031,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10</v>
      </c>
      <c r="J325" s="6" t="str">
        <f>IFERROR(_xlfn.LET(_xlpm.v,
VLOOKUP($I325,効果!$A:$B,COLUMN(効果!B$1),FALSE),
IF(_xlpm.v=0,"",_xlpm.v)
),"")</f>
        <v/>
      </c>
      <c r="L325" s="15" t="str">
        <f>IF(OR(COUNTIF(クラス!$A$1:$A$1031,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J326" s="6" t="str">
        <f>IFERROR(_xlfn.LET(_xlpm.v,
VLOOKUP($I326,効果!$A:$B,COLUMN(効果!B$1),FALSE),
IF(_xlpm.v=0,"",_xlpm.v)
),"")</f>
        <v/>
      </c>
      <c r="L326" s="15" t="str">
        <f>IF(OR(COUNTIF(クラス!$A$1:$A$1031, $B326),$B326="",COUNTIF(スキル一覧!$A$1:$A$3500, $B326)), "", "存在しない")</f>
        <v/>
      </c>
      <c r="M326" s="2" t="str">
        <f>IF(COUNTIF($B$1:$C325, $B326), "", "存在しない")</f>
        <v>存在しない</v>
      </c>
      <c r="N326" s="2" t="str">
        <f>IF(AND(A326&lt;&gt;"",L326="存在しない",M326="存在しない"),IF(COUNTIF([1]クラス!$A$1:$A$1000, $B326),"",TRUE),"")</f>
        <v/>
      </c>
    </row>
    <row r="327" spans="1:14" collapsed="1" x14ac:dyDescent="0.4">
      <c r="J327" s="6" t="str">
        <f>IFERROR(_xlfn.LET(_xlpm.v,
VLOOKUP($I327,効果!$A:$B,COLUMN(効果!B$1),FALSE),
IF(_xlpm.v=0,"",_xlpm.v)
),"")</f>
        <v/>
      </c>
      <c r="L327" s="15" t="str">
        <f>IF(OR(COUNTIF(クラス!$A$1:$A$1031, $B327),$B327="",COUNTIF(スキル一覧!$A$1:$A$3500, $B327)), "", "存在しない")</f>
        <v/>
      </c>
      <c r="M327" s="2" t="str">
        <f>IF(COUNTIF($B$1:$C326, $B327), "", "存在しない")</f>
        <v>存在しない</v>
      </c>
      <c r="N327" s="2" t="str">
        <f>IF(AND(A327&lt;&gt;"",L327="存在しない",M327="存在しない"),IF(COUNTIF([1]クラス!$A$1:$A$1000, $B327),"",TRUE),"")</f>
        <v/>
      </c>
    </row>
    <row r="328" spans="1:14" x14ac:dyDescent="0.4">
      <c r="B328" s="2" t="s">
        <v>123</v>
      </c>
      <c r="J328" s="6" t="str">
        <f>IFERROR(_xlfn.LET(_xlpm.v,
VLOOKUP($I328,効果!$A:$B,COLUMN(効果!B$1),FALSE),
IF(_xlpm.v=0,"",_xlpm.v)
),"")</f>
        <v/>
      </c>
      <c r="L328" s="15" t="str">
        <f>IF(OR(COUNTIF(クラス!$A$1:$A$1031, $B328),$B328="",COUNTIF(スキル一覧!$A$1:$A$3500, $B328)), "", "存在しない")</f>
        <v/>
      </c>
      <c r="M328" s="2" t="str">
        <f>IF(COUNTIF($B$1:$C327, $B328), "", "存在しない")</f>
        <v>存在しない</v>
      </c>
      <c r="N328" s="2" t="str">
        <f>IF(AND(A328&lt;&gt;"",L328="存在しない",M328="存在しない"),IF(COUNTIF([1]クラス!$A$1:$A$1000, $B328),"",TRUE),"")</f>
        <v/>
      </c>
    </row>
    <row r="329" spans="1:14" hidden="1" outlineLevel="1" x14ac:dyDescent="0.4">
      <c r="A329" s="2">
        <v>1</v>
      </c>
      <c r="J329" s="6" t="str">
        <f>IFERROR(_xlfn.LET(_xlpm.v,
VLOOKUP($I329,効果!$A:$B,COLUMN(効果!B$1),FALSE),
IF(_xlpm.v=0,"",_xlpm.v)
),"")</f>
        <v/>
      </c>
      <c r="L329" s="15" t="str">
        <f>IF(OR(COUNTIF(クラス!$A$1:$A$1031, $B329),$B329="",COUNTIF(スキル一覧!$A$1:$A$3500, $B329)), "", "存在しない")</f>
        <v/>
      </c>
      <c r="M329" s="2" t="str">
        <f>IF(COUNTIF($B$1:$C328, $B329), "", "存在しない")</f>
        <v>存在しない</v>
      </c>
      <c r="N329" s="2" t="str">
        <f>IF(AND(A329&lt;&gt;"",L329="存在しない",M329="存在しない"),IF(COUNTIF([1]クラス!$A$1:$A$1000, $B329),"",TRUE),"")</f>
        <v/>
      </c>
    </row>
    <row r="330" spans="1:14" hidden="1" outlineLevel="1" x14ac:dyDescent="0.4">
      <c r="A330" s="2">
        <v>2</v>
      </c>
      <c r="J330" s="6" t="str">
        <f>IFERROR(_xlfn.LET(_xlpm.v,
VLOOKUP($I330,効果!$A:$B,COLUMN(効果!B$1),FALSE),
IF(_xlpm.v=0,"",_xlpm.v)
),"")</f>
        <v/>
      </c>
      <c r="L330" s="15" t="str">
        <f>IF(OR(COUNTIF(クラス!$A$1:$A$1031,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3</v>
      </c>
      <c r="J331" s="6" t="str">
        <f>IFERROR(_xlfn.LET(_xlpm.v,
VLOOKUP($I331,効果!$A:$B,COLUMN(効果!B$1),FALSE),
IF(_xlpm.v=0,"",_xlpm.v)
),"")</f>
        <v/>
      </c>
      <c r="L331" s="15" t="str">
        <f>IF(OR(COUNTIF(クラス!$A$1:$A$1031,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4</v>
      </c>
      <c r="J332" s="6" t="str">
        <f>IFERROR(_xlfn.LET(_xlpm.v,
VLOOKUP($I332,効果!$A:$B,COLUMN(効果!B$1),FALSE),
IF(_xlpm.v=0,"",_xlpm.v)
),"")</f>
        <v/>
      </c>
      <c r="L332" s="15" t="str">
        <f>IF(OR(COUNTIF(クラス!$A$1:$A$1031,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5</v>
      </c>
      <c r="J333" s="6" t="str">
        <f>IFERROR(_xlfn.LET(_xlpm.v,
VLOOKUP($I333,効果!$A:$B,COLUMN(効果!B$1),FALSE),
IF(_xlpm.v=0,"",_xlpm.v)
),"")</f>
        <v/>
      </c>
      <c r="L333" s="15" t="str">
        <f>IF(OR(COUNTIF(クラス!$A$1:$A$1031,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6</v>
      </c>
      <c r="J334" s="6" t="str">
        <f>IFERROR(_xlfn.LET(_xlpm.v,
VLOOKUP($I334,効果!$A:$B,COLUMN(効果!B$1),FALSE),
IF(_xlpm.v=0,"",_xlpm.v)
),"")</f>
        <v/>
      </c>
      <c r="L334" s="15" t="str">
        <f>IF(OR(COUNTIF(クラス!$A$1:$A$1031,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7</v>
      </c>
      <c r="J335" s="6" t="str">
        <f>IFERROR(_xlfn.LET(_xlpm.v,
VLOOKUP($I335,効果!$A:$B,COLUMN(効果!B$1),FALSE),
IF(_xlpm.v=0,"",_xlpm.v)
),"")</f>
        <v/>
      </c>
      <c r="L335" s="15" t="str">
        <f>IF(OR(COUNTIF(クラス!$A$1:$A$1031,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8</v>
      </c>
      <c r="J336" s="6" t="str">
        <f>IFERROR(_xlfn.LET(_xlpm.v,
VLOOKUP($I336,効果!$A:$B,COLUMN(効果!B$1),FALSE),
IF(_xlpm.v=0,"",_xlpm.v)
),"")</f>
        <v/>
      </c>
      <c r="L336" s="15" t="str">
        <f>IF(OR(COUNTIF(クラス!$A$1:$A$1031,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9</v>
      </c>
      <c r="J337" s="6" t="str">
        <f>IFERROR(_xlfn.LET(_xlpm.v,
VLOOKUP($I337,効果!$A:$B,COLUMN(効果!B$1),FALSE),
IF(_xlpm.v=0,"",_xlpm.v)
),"")</f>
        <v/>
      </c>
      <c r="L337" s="15" t="str">
        <f>IF(OR(COUNTIF(クラス!$A$1:$A$1031,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10</v>
      </c>
      <c r="J338" s="6" t="str">
        <f>IFERROR(_xlfn.LET(_xlpm.v,
VLOOKUP($I338,効果!$A:$B,COLUMN(効果!B$1),FALSE),
IF(_xlpm.v=0,"",_xlpm.v)
),"")</f>
        <v/>
      </c>
      <c r="L338" s="15" t="str">
        <f>IF(OR(COUNTIF(クラス!$A$1:$A$1031,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J339" s="6" t="str">
        <f>IFERROR(_xlfn.LET(_xlpm.v,
VLOOKUP($I339,効果!$A:$B,COLUMN(効果!B$1),FALSE),
IF(_xlpm.v=0,"",_xlpm.v)
),"")</f>
        <v/>
      </c>
      <c r="L339" s="15" t="str">
        <f>IF(OR(COUNTIF(クラス!$A$1:$A$1031, $B339),$B339="",COUNTIF(スキル一覧!$A$1:$A$3500, $B339)), "", "存在しない")</f>
        <v/>
      </c>
      <c r="M339" s="2" t="str">
        <f>IF(COUNTIF($B$1:$C338, $B339), "", "存在しない")</f>
        <v>存在しない</v>
      </c>
      <c r="N339" s="2" t="str">
        <f>IF(AND(A339&lt;&gt;"",L339="存在しない",M339="存在しない"),IF(COUNTIF([1]クラス!$A$1:$A$1000, $B339),"",TRUE),"")</f>
        <v/>
      </c>
    </row>
    <row r="340" spans="1:14" collapsed="1" x14ac:dyDescent="0.4">
      <c r="J340" s="6" t="str">
        <f>IFERROR(_xlfn.LET(_xlpm.v,
VLOOKUP($I340,効果!$A:$B,COLUMN(効果!B$1),FALSE),
IF(_xlpm.v=0,"",_xlpm.v)
),"")</f>
        <v/>
      </c>
      <c r="L340" s="15" t="str">
        <f>IF(OR(COUNTIF(クラス!$A$1:$A$1031, $B340),$B340="",COUNTIF(スキル一覧!$A$1:$A$3500, $B340)), "", "存在しない")</f>
        <v/>
      </c>
      <c r="M340" s="2" t="str">
        <f>IF(COUNTIF($B$1:$C339, $B340), "", "存在しない")</f>
        <v>存在しない</v>
      </c>
      <c r="N340" s="2" t="str">
        <f>IF(AND(A340&lt;&gt;"",L340="存在しない",M340="存在しない"),IF(COUNTIF([1]クラス!$A$1:$A$1000, $B340),"",TRUE),"")</f>
        <v/>
      </c>
    </row>
    <row r="341" spans="1:14" x14ac:dyDescent="0.4">
      <c r="B341" s="2" t="s">
        <v>207</v>
      </c>
      <c r="J341" s="6" t="str">
        <f>IFERROR(_xlfn.LET(_xlpm.v,
VLOOKUP($I341,効果!$A:$B,COLUMN(効果!B$1),FALSE),
IF(_xlpm.v=0,"",_xlpm.v)
),"")</f>
        <v/>
      </c>
      <c r="L341" s="15" t="str">
        <f>IF(OR(COUNTIF(クラス!$A$1:$A$1031, $B341),$B341="",COUNTIF(スキル一覧!$A$1:$A$3500, $B341)), "", "存在しない")</f>
        <v/>
      </c>
      <c r="M341" s="2" t="str">
        <f>IF(COUNTIF($B$1:$C340, $B341), "", "存在しない")</f>
        <v>存在しない</v>
      </c>
      <c r="N341" s="2" t="str">
        <f>IF(AND(A341&lt;&gt;"",L341="存在しない",M341="存在しない"),IF(COUNTIF([1]クラス!$A$1:$A$1000, $B341),"",TRUE),"")</f>
        <v/>
      </c>
    </row>
    <row r="342" spans="1:14" hidden="1" outlineLevel="1" x14ac:dyDescent="0.4">
      <c r="A342" s="2">
        <v>1</v>
      </c>
      <c r="J342" s="6" t="str">
        <f>IFERROR(_xlfn.LET(_xlpm.v,
VLOOKUP($I342,効果!$A:$B,COLUMN(効果!B$1),FALSE),
IF(_xlpm.v=0,"",_xlpm.v)
),"")</f>
        <v/>
      </c>
      <c r="L342" s="15" t="str">
        <f>IF(OR(COUNTIF(クラス!$A$1:$A$1031, $B342),$B342="",COUNTIF(スキル一覧!$A$1:$A$3500, $B342)), "", "存在しない")</f>
        <v/>
      </c>
      <c r="M342" s="2" t="str">
        <f>IF(COUNTIF($B$1:$C341, $B342), "", "存在しない")</f>
        <v>存在しない</v>
      </c>
      <c r="N342" s="2" t="str">
        <f>IF(AND(A342&lt;&gt;"",L342="存在しない",M342="存在しない"),IF(COUNTIF([1]クラス!$A$1:$A$1000, $B342),"",TRUE),"")</f>
        <v/>
      </c>
    </row>
    <row r="343" spans="1:14" hidden="1" outlineLevel="1" x14ac:dyDescent="0.4">
      <c r="A343" s="2">
        <v>2</v>
      </c>
      <c r="J343" s="6" t="str">
        <f>IFERROR(_xlfn.LET(_xlpm.v,
VLOOKUP($I343,効果!$A:$B,COLUMN(効果!B$1),FALSE),
IF(_xlpm.v=0,"",_xlpm.v)
),"")</f>
        <v/>
      </c>
      <c r="L343" s="15" t="str">
        <f>IF(OR(COUNTIF(クラス!$A$1:$A$1031, $B343),$B343="",COUNTIF(スキル一覧!$A$1:$A$3500, $B343)), "", "存在しない")</f>
        <v/>
      </c>
      <c r="M343" s="2" t="str">
        <f>IF(COUNTIF($B$1:$C342, $B343), "", "存在しない")</f>
        <v>存在しない</v>
      </c>
      <c r="N343" s="2" t="str">
        <f>IF(AND(A343&lt;&gt;"",L343="存在しない",M343="存在しない"),IF(COUNTIF([1]クラス!$A$1:$A$1000, $B343),"",TRUE),"")</f>
        <v/>
      </c>
    </row>
    <row r="344" spans="1:14" hidden="1" outlineLevel="1" x14ac:dyDescent="0.4">
      <c r="A344" s="2">
        <v>3</v>
      </c>
      <c r="J344" s="6" t="str">
        <f>IFERROR(_xlfn.LET(_xlpm.v,
VLOOKUP($I344,効果!$A:$B,COLUMN(効果!B$1),FALSE),
IF(_xlpm.v=0,"",_xlpm.v)
),"")</f>
        <v/>
      </c>
      <c r="L344" s="15" t="str">
        <f>IF(OR(COUNTIF(クラス!$A$1:$A$1031, $B344),$B344="",COUNTIF(スキル一覧!$A$1:$A$3500, $B344)), "", "存在しない")</f>
        <v/>
      </c>
      <c r="M344" s="2" t="str">
        <f>IF(COUNTIF($B$1:$C343, $B344), "", "存在しない")</f>
        <v>存在しない</v>
      </c>
      <c r="N344" s="2" t="str">
        <f>IF(AND(A344&lt;&gt;"",L344="存在しない",M344="存在しない"),IF(COUNTIF([1]クラス!$A$1:$A$1000, $B344),"",TRUE),"")</f>
        <v/>
      </c>
    </row>
    <row r="345" spans="1:14" hidden="1" outlineLevel="1" x14ac:dyDescent="0.4">
      <c r="A345" s="2">
        <v>4</v>
      </c>
      <c r="J345" s="6" t="str">
        <f>IFERROR(_xlfn.LET(_xlpm.v,
VLOOKUP($I345,効果!$A:$B,COLUMN(効果!B$1),FALSE),
IF(_xlpm.v=0,"",_xlpm.v)
),"")</f>
        <v/>
      </c>
      <c r="L345" s="15" t="str">
        <f>IF(OR(COUNTIF(クラス!$A$1:$A$1031, $B345),$B345="",COUNTIF(スキル一覧!$A$1:$A$3500, $B345)), "", "存在しない")</f>
        <v/>
      </c>
      <c r="M345" s="2" t="str">
        <f>IF(COUNTIF($B$1:$C344, $B345), "", "存在しない")</f>
        <v>存在しない</v>
      </c>
      <c r="N345" s="2" t="str">
        <f>IF(AND(A345&lt;&gt;"",L345="存在しない",M345="存在しない"),IF(COUNTIF([1]クラス!$A$1:$A$1000, $B345),"",TRUE),"")</f>
        <v/>
      </c>
    </row>
    <row r="346" spans="1:14" hidden="1" outlineLevel="1" x14ac:dyDescent="0.4">
      <c r="A346" s="2">
        <v>5</v>
      </c>
      <c r="J346" s="6" t="str">
        <f>IFERROR(_xlfn.LET(_xlpm.v,
VLOOKUP($I346,効果!$A:$B,COLUMN(効果!B$1),FALSE),
IF(_xlpm.v=0,"",_xlpm.v)
),"")</f>
        <v/>
      </c>
      <c r="L346" s="15" t="str">
        <f>IF(OR(COUNTIF(クラス!$A$1:$A$1031, $B346),$B346="",COUNTIF(スキル一覧!$A$1:$A$3500, $B346)), "", "存在しない")</f>
        <v/>
      </c>
      <c r="M346" s="2" t="str">
        <f>IF(COUNTIF($B$1:$C345, $B346), "", "存在しない")</f>
        <v>存在しない</v>
      </c>
      <c r="N346" s="2" t="str">
        <f>IF(AND(A346&lt;&gt;"",L346="存在しない",M346="存在しない"),IF(COUNTIF([1]クラス!$A$1:$A$1000, $B346),"",TRUE),"")</f>
        <v/>
      </c>
    </row>
    <row r="347" spans="1:14" hidden="1" outlineLevel="1" x14ac:dyDescent="0.4">
      <c r="A347" s="2">
        <v>6</v>
      </c>
      <c r="J347" s="6" t="str">
        <f>IFERROR(_xlfn.LET(_xlpm.v,
VLOOKUP($I347,効果!$A:$B,COLUMN(効果!B$1),FALSE),
IF(_xlpm.v=0,"",_xlpm.v)
),"")</f>
        <v/>
      </c>
      <c r="L347" s="15" t="str">
        <f>IF(OR(COUNTIF(クラス!$A$1:$A$1031, $B347),$B347="",COUNTIF(スキル一覧!$A$1:$A$3500, $B347)), "", "存在しない")</f>
        <v/>
      </c>
      <c r="M347" s="2" t="str">
        <f>IF(COUNTIF($B$1:$C346, $B347), "", "存在しない")</f>
        <v>存在しない</v>
      </c>
      <c r="N347" s="2" t="str">
        <f>IF(AND(A347&lt;&gt;"",L347="存在しない",M347="存在しない"),IF(COUNTIF([1]クラス!$A$1:$A$1000, $B347),"",TRUE),"")</f>
        <v/>
      </c>
    </row>
    <row r="348" spans="1:14" hidden="1" outlineLevel="1" x14ac:dyDescent="0.4">
      <c r="A348" s="2">
        <v>7</v>
      </c>
      <c r="J348" s="6" t="str">
        <f>IFERROR(_xlfn.LET(_xlpm.v,
VLOOKUP($I348,効果!$A:$B,COLUMN(効果!B$1),FALSE),
IF(_xlpm.v=0,"",_xlpm.v)
),"")</f>
        <v/>
      </c>
      <c r="L348" s="15" t="str">
        <f>IF(OR(COUNTIF(クラス!$A$1:$A$1031,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8</v>
      </c>
      <c r="J349" s="6" t="str">
        <f>IFERROR(_xlfn.LET(_xlpm.v,
VLOOKUP($I349,効果!$A:$B,COLUMN(効果!B$1),FALSE),
IF(_xlpm.v=0,"",_xlpm.v)
),"")</f>
        <v/>
      </c>
      <c r="L349" s="15" t="str">
        <f>IF(OR(COUNTIF(クラス!$A$1:$A$1031,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9</v>
      </c>
      <c r="J350" s="6" t="str">
        <f>IFERROR(_xlfn.LET(_xlpm.v,
VLOOKUP($I350,効果!$A:$B,COLUMN(効果!B$1),FALSE),
IF(_xlpm.v=0,"",_xlpm.v)
),"")</f>
        <v/>
      </c>
      <c r="L350" s="15" t="str">
        <f>IF(OR(COUNTIF(クラス!$A$1:$A$1031,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10</v>
      </c>
      <c r="J351" s="6" t="str">
        <f>IFERROR(_xlfn.LET(_xlpm.v,
VLOOKUP($I351,効果!$A:$B,COLUMN(効果!B$1),FALSE),
IF(_xlpm.v=0,"",_xlpm.v)
),"")</f>
        <v/>
      </c>
      <c r="L351" s="15" t="str">
        <f>IF(OR(COUNTIF(クラス!$A$1:$A$1031,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J352" s="6" t="str">
        <f>IFERROR(_xlfn.LET(_xlpm.v,
VLOOKUP($I352,効果!$A:$B,COLUMN(効果!B$1),FALSE),
IF(_xlpm.v=0,"",_xlpm.v)
),"")</f>
        <v/>
      </c>
      <c r="L352" s="15" t="str">
        <f>IF(OR(COUNTIF(クラス!$A$1:$A$1031, $B352),$B352="",COUNTIF(スキル一覧!$A$1:$A$3500, $B352)), "", "存在しない")</f>
        <v/>
      </c>
      <c r="M352" s="2" t="str">
        <f>IF(COUNTIF($B$1:$C351, $B352), "", "存在しない")</f>
        <v>存在しない</v>
      </c>
      <c r="N352" s="2" t="str">
        <f>IF(AND(A352&lt;&gt;"",L352="存在しない",M352="存在しない"),IF(COUNTIF([1]クラス!$A$1:$A$1000, $B352),"",TRUE),"")</f>
        <v/>
      </c>
    </row>
    <row r="353" spans="1:14" collapsed="1" x14ac:dyDescent="0.4">
      <c r="J353" s="6" t="str">
        <f>IFERROR(_xlfn.LET(_xlpm.v,
VLOOKUP($I353,効果!$A:$B,COLUMN(効果!B$1),FALSE),
IF(_xlpm.v=0,"",_xlpm.v)
),"")</f>
        <v/>
      </c>
      <c r="L353" s="15" t="str">
        <f>IF(OR(COUNTIF(クラス!$A$1:$A$1031, $B353),$B353="",COUNTIF(スキル一覧!$A$1:$A$3500, $B353)), "", "存在しない")</f>
        <v/>
      </c>
      <c r="M353" s="2" t="str">
        <f>IF(COUNTIF($B$1:$C352, $B353), "", "存在しない")</f>
        <v>存在しない</v>
      </c>
      <c r="N353" s="2" t="str">
        <f>IF(AND(A353&lt;&gt;"",L353="存在しない",M353="存在しない"),IF(COUNTIF([1]クラス!$A$1:$A$1000, $B353),"",TRUE),"")</f>
        <v/>
      </c>
    </row>
    <row r="354" spans="1:14" x14ac:dyDescent="0.4">
      <c r="B354" s="2" t="s">
        <v>209</v>
      </c>
      <c r="J354" s="6" t="str">
        <f>IFERROR(_xlfn.LET(_xlpm.v,
VLOOKUP($I354,効果!$A:$B,COLUMN(効果!B$1),FALSE),
IF(_xlpm.v=0,"",_xlpm.v)
),"")</f>
        <v/>
      </c>
      <c r="L354" s="15" t="str">
        <f>IF(OR(COUNTIF(クラス!$A$1:$A$1031, $B354),$B354="",COUNTIF(スキル一覧!$A$1:$A$3500, $B354)), "", "存在しない")</f>
        <v>存在しない</v>
      </c>
      <c r="M354" s="2" t="str">
        <f>IF(COUNTIF($B$1:$C353, $B354), "", "存在しない")</f>
        <v>存在しない</v>
      </c>
      <c r="N354" s="2" t="str">
        <f>IF(AND(A354&lt;&gt;"",L354="存在しない",M354="存在しない"),IF(COUNTIF([1]クラス!$A$1:$A$1000, $B354),"",TRUE),"")</f>
        <v/>
      </c>
    </row>
    <row r="355" spans="1:14" hidden="1" outlineLevel="1" x14ac:dyDescent="0.4">
      <c r="A355" s="2">
        <v>1</v>
      </c>
      <c r="J355" s="6" t="str">
        <f>IFERROR(_xlfn.LET(_xlpm.v,
VLOOKUP($I355,効果!$A:$B,COLUMN(効果!B$1),FALSE),
IF(_xlpm.v=0,"",_xlpm.v)
),"")</f>
        <v/>
      </c>
      <c r="L355" s="15" t="str">
        <f>IF(OR(COUNTIF(クラス!$A$1:$A$1031,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2</v>
      </c>
      <c r="J356" s="6" t="str">
        <f>IFERROR(_xlfn.LET(_xlpm.v,
VLOOKUP($I356,効果!$A:$B,COLUMN(効果!B$1),FALSE),
IF(_xlpm.v=0,"",_xlpm.v)
),"")</f>
        <v/>
      </c>
      <c r="L356" s="15" t="str">
        <f>IF(OR(COUNTIF(クラス!$A$1:$A$1031, $B356),$B356="",COUNTIF(スキル一覧!$A$1:$A$3500, $B356)), "", "存在しない")</f>
        <v/>
      </c>
      <c r="M356" s="2" t="str">
        <f>IF(COUNTIF($B$1:$C355, $B356), "", "存在しない")</f>
        <v>存在しない</v>
      </c>
      <c r="N356" s="2" t="str">
        <f>IF(AND(A356&lt;&gt;"",L356="存在しない",M356="存在しない"),IF(COUNTIF([1]クラス!$A$1:$A$1000, $B356),"",TRUE),"")</f>
        <v/>
      </c>
    </row>
    <row r="357" spans="1:14" hidden="1" outlineLevel="1" x14ac:dyDescent="0.4">
      <c r="A357" s="2">
        <v>3</v>
      </c>
      <c r="J357" s="6" t="str">
        <f>IFERROR(_xlfn.LET(_xlpm.v,
VLOOKUP($I357,効果!$A:$B,COLUMN(効果!B$1),FALSE),
IF(_xlpm.v=0,"",_xlpm.v)
),"")</f>
        <v/>
      </c>
      <c r="L357" s="15" t="str">
        <f>IF(OR(COUNTIF(クラス!$A$1:$A$1031,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A358" s="2">
        <v>4</v>
      </c>
      <c r="J358" s="6" t="str">
        <f>IFERROR(_xlfn.LET(_xlpm.v,
VLOOKUP($I358,効果!$A:$B,COLUMN(効果!B$1),FALSE),
IF(_xlpm.v=0,"",_xlpm.v)
),"")</f>
        <v/>
      </c>
      <c r="L358" s="15" t="str">
        <f>IF(OR(COUNTIF(クラス!$A$1:$A$1031, $B358),$B358="",COUNTIF(スキル一覧!$A$1:$A$3500, $B358)), "", "存在しない")</f>
        <v/>
      </c>
      <c r="M358" s="2" t="str">
        <f>IF(COUNTIF($B$1:$C357, $B358), "", "存在しない")</f>
        <v>存在しない</v>
      </c>
      <c r="N358" s="2" t="str">
        <f>IF(AND(A358&lt;&gt;"",L358="存在しない",M358="存在しない"),IF(COUNTIF([1]クラス!$A$1:$A$1000, $B358),"",TRUE),"")</f>
        <v/>
      </c>
    </row>
    <row r="359" spans="1:14" hidden="1" outlineLevel="1" x14ac:dyDescent="0.4">
      <c r="A359" s="2">
        <v>5</v>
      </c>
      <c r="J359" s="6" t="str">
        <f>IFERROR(_xlfn.LET(_xlpm.v,
VLOOKUP($I359,効果!$A:$B,COLUMN(効果!B$1),FALSE),
IF(_xlpm.v=0,"",_xlpm.v)
),"")</f>
        <v/>
      </c>
      <c r="L359" s="15" t="str">
        <f>IF(OR(COUNTIF(クラス!$A$1:$A$1031, $B359),$B359="",COUNTIF(スキル一覧!$A$1:$A$3500, $B359)), "", "存在しない")</f>
        <v/>
      </c>
      <c r="M359" s="2" t="str">
        <f>IF(COUNTIF($B$1:$C358, $B359), "", "存在しない")</f>
        <v>存在しない</v>
      </c>
      <c r="N359" s="2" t="str">
        <f>IF(AND(A359&lt;&gt;"",L359="存在しない",M359="存在しない"),IF(COUNTIF([1]クラス!$A$1:$A$1000, $B359),"",TRUE),"")</f>
        <v/>
      </c>
    </row>
    <row r="360" spans="1:14" hidden="1" outlineLevel="1" x14ac:dyDescent="0.4">
      <c r="A360" s="2">
        <v>6</v>
      </c>
      <c r="J360" s="6" t="str">
        <f>IFERROR(_xlfn.LET(_xlpm.v,
VLOOKUP($I360,効果!$A:$B,COLUMN(効果!B$1),FALSE),
IF(_xlpm.v=0,"",_xlpm.v)
),"")</f>
        <v/>
      </c>
      <c r="L360" s="15" t="str">
        <f>IF(OR(COUNTIF(クラス!$A$1:$A$1031, $B360),$B360="",COUNTIF(スキル一覧!$A$1:$A$3500, $B360)), "", "存在しない")</f>
        <v/>
      </c>
      <c r="M360" s="2" t="str">
        <f>IF(COUNTIF($B$1:$C359, $B360), "", "存在しない")</f>
        <v>存在しない</v>
      </c>
      <c r="N360" s="2" t="str">
        <f>IF(AND(A360&lt;&gt;"",L360="存在しない",M360="存在しない"),IF(COUNTIF([1]クラス!$A$1:$A$1000, $B360),"",TRUE),"")</f>
        <v/>
      </c>
    </row>
    <row r="361" spans="1:14" hidden="1" outlineLevel="1" x14ac:dyDescent="0.4">
      <c r="A361" s="2">
        <v>7</v>
      </c>
      <c r="J361" s="6" t="str">
        <f>IFERROR(_xlfn.LET(_xlpm.v,
VLOOKUP($I361,効果!$A:$B,COLUMN(効果!B$1),FALSE),
IF(_xlpm.v=0,"",_xlpm.v)
),"")</f>
        <v/>
      </c>
      <c r="L361" s="15" t="str">
        <f>IF(OR(COUNTIF(クラス!$A$1:$A$1031,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8</v>
      </c>
      <c r="J362" s="6" t="str">
        <f>IFERROR(_xlfn.LET(_xlpm.v,
VLOOKUP($I362,効果!$A:$B,COLUMN(効果!B$1),FALSE),
IF(_xlpm.v=0,"",_xlpm.v)
),"")</f>
        <v/>
      </c>
      <c r="L362" s="15" t="str">
        <f>IF(OR(COUNTIF(クラス!$A$1:$A$1031,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9</v>
      </c>
      <c r="J363" s="6" t="str">
        <f>IFERROR(_xlfn.LET(_xlpm.v,
VLOOKUP($I363,効果!$A:$B,COLUMN(効果!B$1),FALSE),
IF(_xlpm.v=0,"",_xlpm.v)
),"")</f>
        <v/>
      </c>
      <c r="L363" s="15" t="str">
        <f>IF(OR(COUNTIF(クラス!$A$1:$A$1031, $B363),$B363="",COUNTIF(スキル一覧!$A$1:$A$3500, $B363)), "", "存在しない")</f>
        <v/>
      </c>
      <c r="M363" s="2" t="str">
        <f>IF(COUNTIF($B$1:$C362, $B363), "", "存在しない")</f>
        <v>存在しない</v>
      </c>
      <c r="N363" s="2" t="str">
        <f>IF(AND(A363&lt;&gt;"",L363="存在しない",M363="存在しない"),IF(COUNTIF([1]クラス!$A$1:$A$1000, $B363),"",TRUE),"")</f>
        <v/>
      </c>
    </row>
    <row r="364" spans="1:14" hidden="1" outlineLevel="1" x14ac:dyDescent="0.4">
      <c r="A364" s="2">
        <v>10</v>
      </c>
      <c r="J364" s="6" t="str">
        <f>IFERROR(_xlfn.LET(_xlpm.v,
VLOOKUP($I364,効果!$A:$B,COLUMN(効果!B$1),FALSE),
IF(_xlpm.v=0,"",_xlpm.v)
),"")</f>
        <v/>
      </c>
      <c r="L364" s="15" t="str">
        <f>IF(OR(COUNTIF(クラス!$A$1:$A$1031,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J365" s="6" t="str">
        <f>IFERROR(_xlfn.LET(_xlpm.v,
VLOOKUP($I365,効果!$A:$B,COLUMN(効果!B$1),FALSE),
IF(_xlpm.v=0,"",_xlpm.v)
),"")</f>
        <v/>
      </c>
      <c r="L365" s="15" t="str">
        <f>IF(OR(COUNTIF(クラス!$A$1:$A$1031, $B365),$B365="",COUNTIF(スキル一覧!$A$1:$A$3500, $B365)), "", "存在しない")</f>
        <v/>
      </c>
      <c r="M365" s="2" t="str">
        <f>IF(COUNTIF($B$1:$C364, $B365), "", "存在しない")</f>
        <v>存在しない</v>
      </c>
      <c r="N365" s="2" t="str">
        <f>IF(AND(A365&lt;&gt;"",L365="存在しない",M365="存在しない"),IF(COUNTIF([1]クラス!$A$1:$A$1000, $B365),"",TRUE),"")</f>
        <v/>
      </c>
    </row>
    <row r="366" spans="1:14" collapsed="1" x14ac:dyDescent="0.4">
      <c r="J366" s="6" t="str">
        <f>IFERROR(_xlfn.LET(_xlpm.v,
VLOOKUP($I366,効果!$A:$B,COLUMN(効果!B$1),FALSE),
IF(_xlpm.v=0,"",_xlpm.v)
),"")</f>
        <v/>
      </c>
      <c r="L366" s="15" t="str">
        <f>IF(OR(COUNTIF(クラス!$A$1:$A$1031, $B366),$B366="",COUNTIF(スキル一覧!$A$1:$A$3500, $B366)), "", "存在しない")</f>
        <v/>
      </c>
      <c r="M366" s="2" t="str">
        <f>IF(COUNTIF($B$1:$C365, $B366), "", "存在しない")</f>
        <v>存在しない</v>
      </c>
      <c r="N366" s="2" t="str">
        <f>IF(AND(A366&lt;&gt;"",L366="存在しない",M366="存在しない"),IF(COUNTIF([1]クラス!$A$1:$A$1000, $B366),"",TRUE),"")</f>
        <v/>
      </c>
    </row>
    <row r="367" spans="1:14" x14ac:dyDescent="0.4">
      <c r="J367" s="6" t="str">
        <f>IFERROR(_xlfn.LET(_xlpm.v,
VLOOKUP($I367,効果!$A:$B,COLUMN(効果!B$1),FALSE),
IF(_xlpm.v=0,"",_xlpm.v)
),"")</f>
        <v/>
      </c>
      <c r="L367" s="15" t="str">
        <f>IF(OR(COUNTIF(クラス!$A$1:$A$1031, $B367),$B367="",COUNTIF(スキル一覧!$A$1:$A$3500, $B367)), "", "存在しない")</f>
        <v/>
      </c>
      <c r="M367" s="2" t="str">
        <f>IF(COUNTIF($B$1:$C366, $B367), "", "存在しない")</f>
        <v>存在しない</v>
      </c>
      <c r="N367" s="2" t="str">
        <f>IF(AND(A367&lt;&gt;"",L367="存在しない",M367="存在しない"),IF(COUNTIF([1]クラス!$A$1:$A$1000, $B367),"",TRUE),"")</f>
        <v/>
      </c>
    </row>
    <row r="368" spans="1:14" x14ac:dyDescent="0.4">
      <c r="J368" s="6" t="str">
        <f>IFERROR(_xlfn.LET(_xlpm.v,
VLOOKUP($I368,効果!$A:$B,COLUMN(効果!B$1),FALSE),
IF(_xlpm.v=0,"",_xlpm.v)
),"")</f>
        <v/>
      </c>
      <c r="L368" s="15" t="str">
        <f>IF(OR(COUNTIF(クラス!$A$1:$A$1031, $B368),$B368="",COUNTIF(スキル一覧!$A$1:$A$3500, $B368)), "", "存在しない")</f>
        <v/>
      </c>
      <c r="M368" s="2" t="str">
        <f>IF(COUNTIF($B$1:$C367, $B368), "", "存在しない")</f>
        <v>存在しない</v>
      </c>
      <c r="N368" s="2" t="str">
        <f>IF(AND(A368&lt;&gt;"",L368="存在しない",M368="存在しない"),IF(COUNTIF([1]クラス!$A$1:$A$1000, $B368),"",TRUE),"")</f>
        <v/>
      </c>
    </row>
    <row r="369" spans="1:14" x14ac:dyDescent="0.4">
      <c r="J369" s="6" t="str">
        <f>IFERROR(_xlfn.LET(_xlpm.v,
VLOOKUP($I369,効果!$A:$B,COLUMN(効果!B$1),FALSE),
IF(_xlpm.v=0,"",_xlpm.v)
),"")</f>
        <v/>
      </c>
      <c r="L369" s="15" t="str">
        <f>IF(OR(COUNTIF(クラス!$A$1:$A$1031, $B369),$B369="",COUNTIF(スキル一覧!$A$1:$A$3500, $B369)), "", "存在しない")</f>
        <v/>
      </c>
      <c r="M369" s="2" t="str">
        <f>IF(COUNTIF($B$1:$C368, $B369), "", "存在しない")</f>
        <v>存在しない</v>
      </c>
      <c r="N369" s="2" t="str">
        <f>IF(AND(A369&lt;&gt;"",L369="存在しない",M369="存在しない"),IF(COUNTIF([1]クラス!$A$1:$A$1000, $B369),"",TRUE),"")</f>
        <v/>
      </c>
    </row>
    <row r="370" spans="1:14" x14ac:dyDescent="0.4">
      <c r="J370" s="6" t="str">
        <f>IFERROR(_xlfn.LET(_xlpm.v,
VLOOKUP($I370,効果!$A:$B,COLUMN(効果!B$1),FALSE),
IF(_xlpm.v=0,"",_xlpm.v)
),"")</f>
        <v/>
      </c>
      <c r="L370" s="15" t="str">
        <f>IF(OR(COUNTIF(クラス!$A$1:$A$1031, $B370),$B370="",COUNTIF(スキル一覧!$A$1:$A$3500, $B370)), "", "存在しない")</f>
        <v/>
      </c>
      <c r="M370" s="2" t="str">
        <f>IF(COUNTIF($B$1:$C369, $B370), "", "存在しない")</f>
        <v>存在しない</v>
      </c>
      <c r="N370" s="2" t="str">
        <f>IF(AND(A370&lt;&gt;"",L370="存在しない",M370="存在しない"),IF(COUNTIF([1]クラス!$A$1:$A$1000, $B370),"",TRUE),"")</f>
        <v/>
      </c>
    </row>
    <row r="371" spans="1:14" x14ac:dyDescent="0.4">
      <c r="J371" s="6" t="str">
        <f>IFERROR(_xlfn.LET(_xlpm.v,
VLOOKUP($I371,効果!$A:$B,COLUMN(効果!B$1),FALSE),
IF(_xlpm.v=0,"",_xlpm.v)
),"")</f>
        <v/>
      </c>
      <c r="L371" s="15" t="str">
        <f>IF(OR(COUNTIF(クラス!$A$1:$A$1031, $B371),$B371="",COUNTIF(スキル一覧!$A$1:$A$3500, $B371)), "", "存在しない")</f>
        <v/>
      </c>
      <c r="M371" s="2" t="str">
        <f>IF(COUNTIF($B$1:$C370, $B371), "", "存在しない")</f>
        <v>存在しない</v>
      </c>
      <c r="N371" s="2" t="str">
        <f>IF(AND(A371&lt;&gt;"",L371="存在しない",M371="存在しない"),IF(COUNTIF([1]クラス!$A$1:$A$1000, $B371),"",TRUE),"")</f>
        <v/>
      </c>
    </row>
    <row r="372" spans="1:14" x14ac:dyDescent="0.4">
      <c r="B372" s="2" t="s">
        <v>68</v>
      </c>
      <c r="D372" s="2" t="s">
        <v>148</v>
      </c>
      <c r="J372" s="6" t="str">
        <f>IFERROR(_xlfn.LET(_xlpm.v,
VLOOKUP($I372,効果!$A:$B,COLUMN(効果!B$1),FALSE),
IF(_xlpm.v=0,"",_xlpm.v)
),"")</f>
        <v/>
      </c>
      <c r="L372" s="15" t="str">
        <f>IF(OR(COUNTIF(クラス!$A$1:$A$1031, $B372),$B372="",COUNTIF(スキル一覧!$A$1:$A$3500, $B372)), "", "存在しない")</f>
        <v/>
      </c>
      <c r="M372" s="2" t="str">
        <f>IF(COUNTIF($B$1:$C371, $B372), "", "存在しない")</f>
        <v>存在しない</v>
      </c>
      <c r="N372" s="2" t="str">
        <f>IF(AND(A372&lt;&gt;"",L372="存在しない",M372="存在しない"),IF(COUNTIF([1]クラス!$A$1:$A$1000, $B372),"",TRUE),"")</f>
        <v/>
      </c>
    </row>
    <row r="373" spans="1:14" ht="36" hidden="1" outlineLevel="1" x14ac:dyDescent="0.4">
      <c r="A373" s="2">
        <v>1</v>
      </c>
      <c r="B373" s="2" t="str">
        <f>D372&amp;"の拳"</f>
        <v>炎の拳</v>
      </c>
      <c r="D373" s="2" t="str">
        <f>D372</f>
        <v>炎</v>
      </c>
      <c r="E373" s="13" t="s">
        <v>129</v>
      </c>
      <c r="G373" s="19">
        <v>60</v>
      </c>
      <c r="H373" s="10" t="str">
        <f>"攻撃手段:素手 物理+15 "&amp;D372&amp;"+25 判定:攻撃"</f>
        <v>攻撃手段:素手 物理+15 炎+25 判定:攻撃</v>
      </c>
      <c r="J373" s="6" t="str">
        <f>IFERROR(_xlfn.LET(_xlpm.v,
VLOOKUP($I373,効果!$A:$B,COLUMN(効果!B$1),FALSE),
IF(_xlpm.v=0,"",_xlpm.v)
),"")</f>
        <v/>
      </c>
      <c r="L373" s="15" t="str">
        <f>IF(OR(COUNTIF(クラス!$A$1:$A$1031, $B373),$B373="",COUNTIF(スキル一覧!$A$1:$A$3500, $B373)), "", "存在しない")</f>
        <v/>
      </c>
      <c r="M373" s="2" t="str">
        <f>IF(COUNTIF($B$1:$C372, $B373), "", "存在しない")</f>
        <v>存在しない</v>
      </c>
      <c r="N373" s="2" t="str">
        <f>IF(AND(A373&lt;&gt;"",L373="存在しない",M373="存在しない"),IF(COUNTIF([1]クラス!$A$1:$A$1000, $B373),"",TRUE),"")</f>
        <v/>
      </c>
    </row>
    <row r="374" spans="1:14" hidden="1" outlineLevel="1" x14ac:dyDescent="0.4">
      <c r="A374" s="2">
        <v>2</v>
      </c>
      <c r="J374" s="6" t="str">
        <f>IFERROR(_xlfn.LET(_xlpm.v,
VLOOKUP($I374,効果!$A:$B,COLUMN(効果!B$1),FALSE),
IF(_xlpm.v=0,"",_xlpm.v)
),"")</f>
        <v/>
      </c>
      <c r="L374" s="15" t="str">
        <f>IF(OR(COUNTIF(クラス!$A$1:$A$1031, $B374),$B374="",COUNTIF(スキル一覧!$A$1:$A$3500, $B374)), "", "存在しない")</f>
        <v/>
      </c>
      <c r="M374" s="2" t="str">
        <f>IF(COUNTIF($B$1:$C373, $B374), "", "存在しない")</f>
        <v>存在しない</v>
      </c>
      <c r="N374" s="2" t="str">
        <f>IF(AND(A374&lt;&gt;"",L374="存在しない",M374="存在しない"),IF(COUNTIF([1]クラス!$A$1:$A$1000, $B374),"",TRUE),"")</f>
        <v/>
      </c>
    </row>
    <row r="375" spans="1:14" hidden="1" outlineLevel="1" x14ac:dyDescent="0.4">
      <c r="A375" s="2">
        <v>3</v>
      </c>
      <c r="B375" s="2" t="s">
        <v>279</v>
      </c>
      <c r="E375" s="13" t="s">
        <v>130</v>
      </c>
      <c r="H375" s="10" t="s">
        <v>280</v>
      </c>
      <c r="J375" s="6" t="str">
        <f>IFERROR(_xlfn.LET(_xlpm.v,
VLOOKUP($I375,効果!$A:$B,COLUMN(効果!B$1),FALSE),
IF(_xlpm.v=0,"",_xlpm.v)
),"")</f>
        <v/>
      </c>
      <c r="L375" s="15" t="str">
        <f>IF(OR(COUNTIF(クラス!$A$1:$A$1031,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4</v>
      </c>
      <c r="J376" s="6" t="str">
        <f>IFERROR(_xlfn.LET(_xlpm.v,
VLOOKUP($I376,効果!$A:$B,COLUMN(効果!B$1),FALSE),
IF(_xlpm.v=0,"",_xlpm.v)
),"")</f>
        <v/>
      </c>
      <c r="L376" s="15" t="str">
        <f>IF(OR(COUNTIF(クラス!$A$1:$A$1031, $B376),$B376="",COUNTIF(スキル一覧!$A$1:$A$3500, $B376)), "", "存在しない")</f>
        <v/>
      </c>
      <c r="M376" s="2" t="str">
        <f>IF(COUNTIF($B$1:$C375, $B376), "", "存在しない")</f>
        <v>存在しない</v>
      </c>
      <c r="N376" s="2" t="str">
        <f>IF(AND(A376&lt;&gt;"",L376="存在しない",M376="存在しない"),IF(COUNTIF([1]クラス!$A$1:$A$1000, $B376),"",TRUE),"")</f>
        <v/>
      </c>
    </row>
    <row r="377" spans="1:14" hidden="1" outlineLevel="1" x14ac:dyDescent="0.4">
      <c r="A377" s="2">
        <v>5</v>
      </c>
      <c r="J377" s="6" t="str">
        <f>IFERROR(_xlfn.LET(_xlpm.v,
VLOOKUP($I377,効果!$A:$B,COLUMN(効果!B$1),FALSE),
IF(_xlpm.v=0,"",_xlpm.v)
),"")</f>
        <v/>
      </c>
      <c r="L377" s="15" t="str">
        <f>IF(OR(COUNTIF(クラス!$A$1:$A$1031,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6</v>
      </c>
      <c r="B378" s="2" t="str">
        <f>D372&amp;"の魔力"</f>
        <v>炎の魔力</v>
      </c>
      <c r="E378" s="13" t="s">
        <v>130</v>
      </c>
      <c r="H378" s="10" t="str">
        <f>"条件系統:"&amp;D372&amp;" 魔力+30"</f>
        <v>条件系統:炎 魔力+30</v>
      </c>
      <c r="J378" s="6" t="str">
        <f>IFERROR(_xlfn.LET(_xlpm.v,
VLOOKUP($I378,効果!$A:$B,COLUMN(効果!B$1),FALSE),
IF(_xlpm.v=0,"",_xlpm.v)
),"")</f>
        <v/>
      </c>
      <c r="L378" s="15" t="str">
        <f>IF(OR(COUNTIF(クラス!$A$1:$A$1031,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7</v>
      </c>
      <c r="J379" s="6" t="str">
        <f>IFERROR(_xlfn.LET(_xlpm.v,
VLOOKUP($I379,効果!$A:$B,COLUMN(効果!B$1),FALSE),
IF(_xlpm.v=0,"",_xlpm.v)
),"")</f>
        <v/>
      </c>
      <c r="L379" s="15" t="str">
        <f>IF(OR(COUNTIF(クラス!$A$1:$A$1031, $B379),$B379="",COUNTIF(スキル一覧!$A$1:$A$3500, $B379)), "", "存在しない")</f>
        <v/>
      </c>
      <c r="M379" s="2" t="str">
        <f>IF(COUNTIF($B$1:$C378, $B379), "", "存在しない")</f>
        <v>存在しない</v>
      </c>
      <c r="N379" s="2" t="str">
        <f>IF(AND(A379&lt;&gt;"",L379="存在しない",M379="存在しない"),IF(COUNTIF([1]クラス!$A$1:$A$1000, $B379),"",TRUE),"")</f>
        <v/>
      </c>
    </row>
    <row r="380" spans="1:14" hidden="1" outlineLevel="1" x14ac:dyDescent="0.4">
      <c r="A380" s="2">
        <v>8</v>
      </c>
      <c r="J380" s="6" t="str">
        <f>IFERROR(_xlfn.LET(_xlpm.v,
VLOOKUP($I380,効果!$A:$B,COLUMN(効果!B$1),FALSE),
IF(_xlpm.v=0,"",_xlpm.v)
),"")</f>
        <v/>
      </c>
      <c r="L380" s="15" t="str">
        <f>IF(OR(COUNTIF(クラス!$A$1:$A$1031,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9</v>
      </c>
      <c r="B381" s="2" t="str">
        <f>D372&amp;"の力"</f>
        <v>炎の力</v>
      </c>
      <c r="E381" s="13" t="s">
        <v>130</v>
      </c>
      <c r="H381" s="10" t="str">
        <f>"条件系統:"&amp;D372&amp;" 攻撃+30"</f>
        <v>条件系統:炎 攻撃+30</v>
      </c>
      <c r="J381" s="6" t="str">
        <f>IFERROR(_xlfn.LET(_xlpm.v,
VLOOKUP($I381,効果!$A:$B,COLUMN(効果!B$1),FALSE),
IF(_xlpm.v=0,"",_xlpm.v)
),"")</f>
        <v/>
      </c>
      <c r="L381" s="15" t="str">
        <f>IF(OR(COUNTIF(クラス!$A$1:$A$1031, $B381),$B381="",COUNTIF(スキル一覧!$A$1:$A$3500, $B381)), "", "存在しない")</f>
        <v/>
      </c>
      <c r="M381" s="2" t="str">
        <f>IF(COUNTIF($B$1:$C380, $B381), "", "存在しない")</f>
        <v>存在しない</v>
      </c>
      <c r="N381" s="2" t="str">
        <f>IF(AND(A381&lt;&gt;"",L381="存在しない",M381="存在しない"),IF(COUNTIF([1]クラス!$A$1:$A$1000, $B381),"",TRUE),"")</f>
        <v/>
      </c>
    </row>
    <row r="382" spans="1:14" ht="36" hidden="1" outlineLevel="1" x14ac:dyDescent="0.4">
      <c r="A382" s="2">
        <v>10</v>
      </c>
      <c r="B382" s="2" t="str">
        <f>D372&amp;"の吐息"</f>
        <v>炎の吐息</v>
      </c>
      <c r="D382" s="2" t="str">
        <f>D372</f>
        <v>炎</v>
      </c>
      <c r="E382" s="13" t="s">
        <v>129</v>
      </c>
      <c r="G382" s="19">
        <v>80</v>
      </c>
      <c r="H382" s="10" t="str">
        <f>"攻撃手段:吐息 "&amp;D372&amp;"+45 射程:2 範囲:放射"</f>
        <v>攻撃手段:吐息 炎+45 射程:2 範囲:放射</v>
      </c>
      <c r="J382" s="6" t="str">
        <f>IFERROR(_xlfn.LET(_xlpm.v,
VLOOKUP($I382,効果!$A:$B,COLUMN(効果!B$1),FALSE),
IF(_xlpm.v=0,"",_xlpm.v)
),"")</f>
        <v/>
      </c>
      <c r="L382" s="15" t="str">
        <f>IF(OR(COUNTIF(クラス!$A$1:$A$1031, $B382),$B382="",COUNTIF(スキル一覧!$A$1:$A$3500, $B382)), "", "存在しない")</f>
        <v/>
      </c>
      <c r="M382" s="2" t="str">
        <f>IF(COUNTIF($B$1:$C381, $B382), "", "存在しない")</f>
        <v>存在しない</v>
      </c>
      <c r="N382" s="2" t="str">
        <f>IF(AND(A382&lt;&gt;"",L382="存在しない",M382="存在しない"),IF(COUNTIF([1]クラス!$A$1:$A$1000, $B382),"",TRUE),"")</f>
        <v/>
      </c>
    </row>
    <row r="383" spans="1:14" hidden="1" outlineLevel="1" x14ac:dyDescent="0.4">
      <c r="J383" s="6" t="str">
        <f>IFERROR(_xlfn.LET(_xlpm.v,
VLOOKUP($I383,効果!$A:$B,COLUMN(効果!B$1),FALSE),
IF(_xlpm.v=0,"",_xlpm.v)
),"")</f>
        <v/>
      </c>
      <c r="L383" s="15" t="str">
        <f>IF(OR(COUNTIF(クラス!$A$1:$A$1031, $B383),$B383="",COUNTIF(スキル一覧!$A$1:$A$3500, $B383)), "", "存在しない")</f>
        <v/>
      </c>
      <c r="M383" s="2" t="str">
        <f>IF(COUNTIF($B$1:$C382, $B383), "", "存在しない")</f>
        <v>存在しない</v>
      </c>
      <c r="N383" s="2" t="str">
        <f>IF(AND(A383&lt;&gt;"",L383="存在しない",M383="存在しない"),IF(COUNTIF([1]クラス!$A$1:$A$1000, $B383),"",TRUE),"")</f>
        <v/>
      </c>
    </row>
    <row r="384" spans="1:14" collapsed="1" x14ac:dyDescent="0.4">
      <c r="J384" s="6" t="str">
        <f>IFERROR(_xlfn.LET(_xlpm.v,
VLOOKUP($I384,効果!$A:$B,COLUMN(効果!B$1),FALSE),
IF(_xlpm.v=0,"",_xlpm.v)
),"")</f>
        <v/>
      </c>
      <c r="L384" s="15" t="str">
        <f>IF(OR(COUNTIF(クラス!$A$1:$A$1031, $B384),$B384="",COUNTIF(スキル一覧!$A$1:$A$3500, $B384)), "", "存在しない")</f>
        <v/>
      </c>
      <c r="M384" s="2" t="str">
        <f>IF(COUNTIF($B$1:$C383, $B384), "", "存在しない")</f>
        <v>存在しない</v>
      </c>
      <c r="N384" s="2" t="str">
        <f>IF(AND(A384&lt;&gt;"",L384="存在しない",M384="存在しない"),IF(COUNTIF([1]クラス!$A$1:$A$1000, $B384),"",TRUE),"")</f>
        <v/>
      </c>
    </row>
    <row r="385" spans="1:14" x14ac:dyDescent="0.4">
      <c r="B385" s="2" t="s">
        <v>70</v>
      </c>
      <c r="D385" s="2" t="s">
        <v>149</v>
      </c>
      <c r="J385" s="6" t="str">
        <f>IFERROR(_xlfn.LET(_xlpm.v,
VLOOKUP($I385,効果!$A:$B,COLUMN(効果!B$1),FALSE),
IF(_xlpm.v=0,"",_xlpm.v)
),"")</f>
        <v/>
      </c>
      <c r="L385" s="15" t="str">
        <f>IF(OR(COUNTIF(クラス!$A$1:$A$1031, $B385),$B385="",COUNTIF(スキル一覧!$A$1:$A$3500, $B385)), "", "存在しない")</f>
        <v/>
      </c>
      <c r="M385" s="2" t="str">
        <f>IF(COUNTIF($B$1:$C384, $B385), "", "存在しない")</f>
        <v>存在しない</v>
      </c>
      <c r="N385" s="2" t="str">
        <f>IF(AND(A385&lt;&gt;"",L385="存在しない",M385="存在しない"),IF(COUNTIF([1]クラス!$A$1:$A$1000, $B385),"",TRUE),"")</f>
        <v/>
      </c>
    </row>
    <row r="386" spans="1:14" ht="36" hidden="1" outlineLevel="1" x14ac:dyDescent="0.4">
      <c r="A386" s="2">
        <v>1</v>
      </c>
      <c r="B386" s="2" t="str">
        <f>D385&amp;"の拳"</f>
        <v>氷の拳</v>
      </c>
      <c r="D386" s="2" t="str">
        <f>D385</f>
        <v>氷</v>
      </c>
      <c r="E386" s="13" t="s">
        <v>129</v>
      </c>
      <c r="G386" s="19">
        <v>60</v>
      </c>
      <c r="H386" s="10" t="str">
        <f>"攻撃手段:素手 物理+15 "&amp;D385&amp;"+25 判定:攻撃"</f>
        <v>攻撃手段:素手 物理+15 氷+25 判定:攻撃</v>
      </c>
      <c r="J386" s="6" t="str">
        <f>IFERROR(_xlfn.LET(_xlpm.v,
VLOOKUP($I386,効果!$A:$B,COLUMN(効果!B$1),FALSE),
IF(_xlpm.v=0,"",_xlpm.v)
),"")</f>
        <v/>
      </c>
      <c r="L386" s="15" t="str">
        <f>IF(OR(COUNTIF(クラス!$A$1:$A$1031, $B386),$B386="",COUNTIF(スキル一覧!$A$1:$A$3500, $B386)), "", "存在しない")</f>
        <v/>
      </c>
      <c r="M386" s="2" t="str">
        <f>IF(COUNTIF($B$1:$C385, $B386), "", "存在しない")</f>
        <v>存在しない</v>
      </c>
      <c r="N386" s="2" t="str">
        <f>IF(AND(A386&lt;&gt;"",L386="存在しない",M386="存在しない"),IF(COUNTIF([1]クラス!$A$1:$A$1000, $B386),"",TRUE),"")</f>
        <v/>
      </c>
    </row>
    <row r="387" spans="1:14" hidden="1" outlineLevel="1" x14ac:dyDescent="0.4">
      <c r="A387" s="2">
        <v>2</v>
      </c>
      <c r="J387" s="6" t="str">
        <f>IFERROR(_xlfn.LET(_xlpm.v,
VLOOKUP($I387,効果!$A:$B,COLUMN(効果!B$1),FALSE),
IF(_xlpm.v=0,"",_xlpm.v)
),"")</f>
        <v/>
      </c>
      <c r="L387" s="15" t="str">
        <f>IF(OR(COUNTIF(クラス!$A$1:$A$1031,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IF(OR(COUNTIF(クラス!$A$1:$A$1031, $B388),$B388="",COUNTIF(スキル一覧!$A$1:$A$3500, $B388)), "", "存在しない")</f>
        <v/>
      </c>
      <c r="M388" s="2" t="str">
        <f>IF(COUNTIF($B$1:$C387, $B388), "", "存在しない")</f>
        <v/>
      </c>
      <c r="N388" s="2" t="str">
        <f>IF(AND(A388&lt;&gt;"",L388="存在しない",M388="存在しない"),IF(COUNTIF([1]クラス!$A$1:$A$1000, $B388),"",TRUE),"")</f>
        <v/>
      </c>
    </row>
    <row r="389" spans="1:14" hidden="1" outlineLevel="1" x14ac:dyDescent="0.4">
      <c r="A389" s="2">
        <v>4</v>
      </c>
      <c r="J389" s="6" t="str">
        <f>IFERROR(_xlfn.LET(_xlpm.v,
VLOOKUP($I389,効果!$A:$B,COLUMN(効果!B$1),FALSE),
IF(_xlpm.v=0,"",_xlpm.v)
),"")</f>
        <v/>
      </c>
      <c r="L389" s="15" t="str">
        <f>IF(OR(COUNTIF(クラス!$A$1:$A$1031, $B389),$B389="",COUNTIF(スキル一覧!$A$1:$A$3500, $B389)), "", "存在しない")</f>
        <v/>
      </c>
      <c r="M389" s="2" t="str">
        <f>IF(COUNTIF($B$1:$C388, $B389), "", "存在しない")</f>
        <v>存在しない</v>
      </c>
      <c r="N389" s="2" t="str">
        <f>IF(AND(A389&lt;&gt;"",L389="存在しない",M389="存在しない"),IF(COUNTIF([1]クラス!$A$1:$A$1000, $B389),"",TRUE),"")</f>
        <v/>
      </c>
    </row>
    <row r="390" spans="1:14" hidden="1" outlineLevel="1" x14ac:dyDescent="0.4">
      <c r="A390" s="2">
        <v>5</v>
      </c>
      <c r="J390" s="6" t="str">
        <f>IFERROR(_xlfn.LET(_xlpm.v,
VLOOKUP($I390,効果!$A:$B,COLUMN(効果!B$1),FALSE),
IF(_xlpm.v=0,"",_xlpm.v)
),"")</f>
        <v/>
      </c>
      <c r="L390" s="15" t="str">
        <f>IF(OR(COUNTIF(クラス!$A$1:$A$1031,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6</v>
      </c>
      <c r="B391" s="2" t="str">
        <f>D385&amp;"の魔力"</f>
        <v>氷の魔力</v>
      </c>
      <c r="E391" s="13" t="s">
        <v>130</v>
      </c>
      <c r="H391" s="10" t="str">
        <f>"条件系統:"&amp;D385&amp;" 魔力+30"</f>
        <v>条件系統:氷 魔力+30</v>
      </c>
      <c r="J391" s="6" t="str">
        <f>IFERROR(_xlfn.LET(_xlpm.v,
VLOOKUP($I391,効果!$A:$B,COLUMN(効果!B$1),FALSE),
IF(_xlpm.v=0,"",_xlpm.v)
),"")</f>
        <v/>
      </c>
      <c r="L391" s="15" t="str">
        <f>IF(OR(COUNTIF(クラス!$A$1:$A$1031,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7</v>
      </c>
      <c r="J392" s="6" t="str">
        <f>IFERROR(_xlfn.LET(_xlpm.v,
VLOOKUP($I392,効果!$A:$B,COLUMN(効果!B$1),FALSE),
IF(_xlpm.v=0,"",_xlpm.v)
),"")</f>
        <v/>
      </c>
      <c r="L392" s="15" t="str">
        <f>IF(OR(COUNTIF(クラス!$A$1:$A$1031,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8</v>
      </c>
      <c r="J393" s="6" t="str">
        <f>IFERROR(_xlfn.LET(_xlpm.v,
VLOOKUP($I393,効果!$A:$B,COLUMN(効果!B$1),FALSE),
IF(_xlpm.v=0,"",_xlpm.v)
),"")</f>
        <v/>
      </c>
      <c r="L393" s="15" t="str">
        <f>IF(OR(COUNTIF(クラス!$A$1:$A$1031,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9</v>
      </c>
      <c r="B394" s="2" t="str">
        <f>D385&amp;"の力"</f>
        <v>氷の力</v>
      </c>
      <c r="E394" s="13" t="s">
        <v>130</v>
      </c>
      <c r="H394" s="10" t="str">
        <f>"条件系統:"&amp;D385&amp;" 攻撃+30"</f>
        <v>条件系統:氷 攻撃+30</v>
      </c>
      <c r="J394" s="6" t="str">
        <f>IFERROR(_xlfn.LET(_xlpm.v,
VLOOKUP($I394,効果!$A:$B,COLUMN(効果!B$1),FALSE),
IF(_xlpm.v=0,"",_xlpm.v)
),"")</f>
        <v/>
      </c>
      <c r="L394" s="15" t="str">
        <f>IF(OR(COUNTIF(クラス!$A$1:$A$1031, $B394),$B394="",COUNTIF(スキル一覧!$A$1:$A$3500, $B394)), "", "存在しない")</f>
        <v/>
      </c>
      <c r="M394" s="2" t="str">
        <f>IF(COUNTIF($B$1:$C393, $B394), "", "存在しない")</f>
        <v>存在しない</v>
      </c>
      <c r="N394" s="2" t="str">
        <f>IF(AND(A394&lt;&gt;"",L394="存在しない",M394="存在しない"),IF(COUNTIF([1]クラス!$A$1:$A$1000, $B394),"",TRUE),"")</f>
        <v/>
      </c>
    </row>
    <row r="395" spans="1:14" ht="36" hidden="1" outlineLevel="1" x14ac:dyDescent="0.4">
      <c r="A395" s="2">
        <v>10</v>
      </c>
      <c r="B395" s="2" t="str">
        <f>D385&amp;"の吐息"</f>
        <v>氷の吐息</v>
      </c>
      <c r="D395" s="2" t="str">
        <f>D385</f>
        <v>氷</v>
      </c>
      <c r="E395" s="13" t="s">
        <v>129</v>
      </c>
      <c r="G395" s="19">
        <v>80</v>
      </c>
      <c r="H395" s="10" t="str">
        <f>"攻撃手段:吐息 "&amp;D385&amp;"+45 射程:2 範囲:放射"</f>
        <v>攻撃手段:吐息 氷+45 射程:2 範囲:放射</v>
      </c>
      <c r="J395" s="6" t="str">
        <f>IFERROR(_xlfn.LET(_xlpm.v,
VLOOKUP($I395,効果!$A:$B,COLUMN(効果!B$1),FALSE),
IF(_xlpm.v=0,"",_xlpm.v)
),"")</f>
        <v/>
      </c>
      <c r="L395" s="15" t="str">
        <f>IF(OR(COUNTIF(クラス!$A$1:$A$1031, $B395),$B395="",COUNTIF(スキル一覧!$A$1:$A$3500, $B395)), "", "存在しない")</f>
        <v/>
      </c>
      <c r="M395" s="2" t="str">
        <f>IF(COUNTIF($B$1:$C394, $B395), "", "存在しない")</f>
        <v>存在しない</v>
      </c>
      <c r="N395" s="2" t="str">
        <f>IF(AND(A395&lt;&gt;"",L395="存在しない",M395="存在しない"),IF(COUNTIF([1]クラス!$A$1:$A$1000, $B395),"",TRUE),"")</f>
        <v/>
      </c>
    </row>
    <row r="396" spans="1:14" hidden="1" outlineLevel="1" x14ac:dyDescent="0.4">
      <c r="J396" s="6" t="str">
        <f>IFERROR(_xlfn.LET(_xlpm.v,
VLOOKUP($I396,効果!$A:$B,COLUMN(効果!B$1),FALSE),
IF(_xlpm.v=0,"",_xlpm.v)
),"")</f>
        <v/>
      </c>
      <c r="L396" s="15" t="str">
        <f>IF(OR(COUNTIF(クラス!$A$1:$A$1031, $B396),$B396="",COUNTIF(スキル一覧!$A$1:$A$3500, $B396)), "", "存在しない")</f>
        <v/>
      </c>
      <c r="M396" s="2" t="str">
        <f>IF(COUNTIF($B$1:$C395, $B396), "", "存在しない")</f>
        <v>存在しない</v>
      </c>
      <c r="N396" s="2" t="str">
        <f>IF(AND(A396&lt;&gt;"",L396="存在しない",M396="存在しない"),IF(COUNTIF([1]クラス!$A$1:$A$1000, $B396),"",TRUE),"")</f>
        <v/>
      </c>
    </row>
    <row r="397" spans="1:14" collapsed="1" x14ac:dyDescent="0.4">
      <c r="J397" s="6" t="str">
        <f>IFERROR(_xlfn.LET(_xlpm.v,
VLOOKUP($I397,効果!$A:$B,COLUMN(効果!B$1),FALSE),
IF(_xlpm.v=0,"",_xlpm.v)
),"")</f>
        <v/>
      </c>
      <c r="L397" s="15" t="str">
        <f>IF(OR(COUNTIF(クラス!$A$1:$A$1031, $B397),$B397="",COUNTIF(スキル一覧!$A$1:$A$3500, $B397)), "", "存在しない")</f>
        <v/>
      </c>
      <c r="M397" s="2" t="str">
        <f>IF(COUNTIF($B$1:$C396, $B397), "", "存在しない")</f>
        <v>存在しない</v>
      </c>
      <c r="N397" s="2" t="str">
        <f>IF(AND(A397&lt;&gt;"",L397="存在しない",M397="存在しない"),IF(COUNTIF([1]クラス!$A$1:$A$1000, $B397),"",TRUE),"")</f>
        <v/>
      </c>
    </row>
    <row r="398" spans="1:14" x14ac:dyDescent="0.4">
      <c r="B398" s="2" t="s">
        <v>910</v>
      </c>
      <c r="D398" s="2" t="s">
        <v>911</v>
      </c>
      <c r="J398" s="6" t="str">
        <f>IFERROR(_xlfn.LET(_xlpm.v,
VLOOKUP($I398,効果!$A:$B,COLUMN(効果!B$1),FALSE),
IF(_xlpm.v=0,"",_xlpm.v)
),"")</f>
        <v/>
      </c>
      <c r="L398" s="15" t="str">
        <f>IF(OR(COUNTIF(クラス!$A$1:$A$1031, $B398),$B398="",COUNTIF(スキル一覧!$A$1:$A$3500, $B398)), "", "存在しない")</f>
        <v/>
      </c>
      <c r="M398" s="2" t="str">
        <f>IF(COUNTIF($B$1:$C397, $B398), "", "存在しない")</f>
        <v>存在しない</v>
      </c>
      <c r="N398" s="2" t="str">
        <f>IF(AND(A398&lt;&gt;"",L398="存在しない",M398="存在しない"),IF(COUNTIF([1]クラス!$A$1:$A$1000, $B398),"",TRUE),"")</f>
        <v/>
      </c>
    </row>
    <row r="399" spans="1:14" ht="36" hidden="1" outlineLevel="1" x14ac:dyDescent="0.4">
      <c r="A399" s="2">
        <v>1</v>
      </c>
      <c r="B399" s="2" t="s">
        <v>912</v>
      </c>
      <c r="D399" s="2" t="s">
        <v>899</v>
      </c>
      <c r="E399" s="13" t="s">
        <v>129</v>
      </c>
      <c r="G399" s="19">
        <v>60</v>
      </c>
      <c r="H399" s="10" t="s">
        <v>918</v>
      </c>
      <c r="J399" s="6" t="str">
        <f>IFERROR(_xlfn.LET(_xlpm.v,
VLOOKUP($I399,効果!$A:$B,COLUMN(効果!B$1),FALSE),
IF(_xlpm.v=0,"",_xlpm.v)
),"")</f>
        <v/>
      </c>
      <c r="L399" s="15" t="str">
        <f>IF(OR(COUNTIF(クラス!$A$1:$A$1031, $B399),$B399="",COUNTIF(スキル一覧!$A$1:$A$3500, $B399)), "", "存在しない")</f>
        <v>存在しない</v>
      </c>
      <c r="M399" s="2" t="str">
        <f>IF(COUNTIF($B$1:$C398, $B399), "", "存在しない")</f>
        <v>存在しない</v>
      </c>
      <c r="N399" s="2" t="e">
        <f>IF(AND(A399&lt;&gt;"",L399="存在しない",M399="存在しない"),IF(COUNTIF([1]クラス!$A$1:$A$1000, $B399),"",TRUE),"")</f>
        <v>#VALUE!</v>
      </c>
    </row>
    <row r="400" spans="1:14" hidden="1" outlineLevel="1" x14ac:dyDescent="0.4">
      <c r="A400" s="2">
        <v>2</v>
      </c>
      <c r="J400" s="6" t="str">
        <f>IFERROR(_xlfn.LET(_xlpm.v,
VLOOKUP($I400,効果!$A:$B,COLUMN(効果!B$1),FALSE),
IF(_xlpm.v=0,"",_xlpm.v)
),"")</f>
        <v/>
      </c>
      <c r="L400" s="15" t="str">
        <f>IF(OR(COUNTIF(クラス!$A$1:$A$1031,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3</v>
      </c>
      <c r="B401" s="2" t="s">
        <v>917</v>
      </c>
      <c r="E401" s="13" t="s">
        <v>130</v>
      </c>
      <c r="H401" s="10" t="s">
        <v>916</v>
      </c>
      <c r="J401" s="6" t="str">
        <f>IFERROR(_xlfn.LET(_xlpm.v,
VLOOKUP($I401,効果!$A:$B,COLUMN(効果!B$1),FALSE),
IF(_xlpm.v=0,"",_xlpm.v)
),"")</f>
        <v/>
      </c>
      <c r="L401" s="15" t="str">
        <f>IF(OR(COUNTIF(クラス!$A$1:$A$1031, $B401),$B401="",COUNTIF(スキル一覧!$A$1:$A$3500, $B401)), "", "存在しない")</f>
        <v>存在しない</v>
      </c>
      <c r="M401" s="2" t="str">
        <f>IF(COUNTIF($B$1:$C400, $B401), "", "存在しない")</f>
        <v>存在しない</v>
      </c>
      <c r="N401" s="2" t="e">
        <f>IF(AND(A401&lt;&gt;"",L401="存在しない",M401="存在しない"),IF(COUNTIF([1]クラス!$A$1:$A$1000, $B401),"",TRUE),"")</f>
        <v>#VALUE!</v>
      </c>
    </row>
    <row r="402" spans="1:14" hidden="1" outlineLevel="1" x14ac:dyDescent="0.4">
      <c r="A402" s="2">
        <v>4</v>
      </c>
      <c r="J402" s="6" t="str">
        <f>IFERROR(_xlfn.LET(_xlpm.v,
VLOOKUP($I402,効果!$A:$B,COLUMN(効果!B$1),FALSE),
IF(_xlpm.v=0,"",_xlpm.v)
),"")</f>
        <v/>
      </c>
      <c r="L402" s="15" t="str">
        <f>IF(OR(COUNTIF(クラス!$A$1:$A$1031, $B402),$B402="",COUNTIF(スキル一覧!$A$1:$A$3500, $B402)), "", "存在しない")</f>
        <v/>
      </c>
      <c r="M402" s="2" t="str">
        <f>IF(COUNTIF($B$1:$C401, $B402), "", "存在しない")</f>
        <v>存在しない</v>
      </c>
      <c r="N402" s="2" t="str">
        <f>IF(AND(A402&lt;&gt;"",L402="存在しない",M402="存在しない"),IF(COUNTIF([1]クラス!$A$1:$A$1000, $B402),"",TRUE),"")</f>
        <v/>
      </c>
    </row>
    <row r="403" spans="1:14" hidden="1" outlineLevel="1" x14ac:dyDescent="0.4">
      <c r="A403" s="2">
        <v>5</v>
      </c>
      <c r="J403" s="6" t="str">
        <f>IFERROR(_xlfn.LET(_xlpm.v,
VLOOKUP($I403,効果!$A:$B,COLUMN(効果!B$1),FALSE),
IF(_xlpm.v=0,"",_xlpm.v)
),"")</f>
        <v/>
      </c>
      <c r="L403" s="15" t="str">
        <f>IF(OR(COUNTIF(クラス!$A$1:$A$1031,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6</v>
      </c>
      <c r="B404" s="2" t="s">
        <v>913</v>
      </c>
      <c r="E404" s="13" t="s">
        <v>130</v>
      </c>
      <c r="H404" s="10" t="str">
        <f>"条件系統:"&amp;D398&amp;" 魔力+30"</f>
        <v>条件系統:水 魔力+30</v>
      </c>
      <c r="J404" s="6" t="str">
        <f>IFERROR(_xlfn.LET(_xlpm.v,
VLOOKUP($I404,効果!$A:$B,COLUMN(効果!B$1),FALSE),
IF(_xlpm.v=0,"",_xlpm.v)
),"")</f>
        <v/>
      </c>
      <c r="L404" s="15" t="str">
        <f>IF(OR(COUNTIF(クラス!$A$1:$A$1031, $B404),$B404="",COUNTIF(スキル一覧!$A$1:$A$3500, $B404)), "", "存在しない")</f>
        <v>存在しない</v>
      </c>
      <c r="M404" s="2" t="str">
        <f>IF(COUNTIF($B$1:$C403, $B404), "", "存在しない")</f>
        <v>存在しない</v>
      </c>
      <c r="N404" s="2" t="e">
        <f>IF(AND(A404&lt;&gt;"",L404="存在しない",M404="存在しない"),IF(COUNTIF([1]クラス!$A$1:$A$1000, $B404),"",TRUE),"")</f>
        <v>#VALUE!</v>
      </c>
    </row>
    <row r="405" spans="1:14" hidden="1" outlineLevel="1" x14ac:dyDescent="0.4">
      <c r="A405" s="2">
        <v>7</v>
      </c>
      <c r="J405" s="6" t="str">
        <f>IFERROR(_xlfn.LET(_xlpm.v,
VLOOKUP($I405,効果!$A:$B,COLUMN(効果!B$1),FALSE),
IF(_xlpm.v=0,"",_xlpm.v)
),"")</f>
        <v/>
      </c>
      <c r="L405" s="15" t="str">
        <f>IF(OR(COUNTIF(クラス!$A$1:$A$1031,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8</v>
      </c>
      <c r="J406" s="6" t="str">
        <f>IFERROR(_xlfn.LET(_xlpm.v,
VLOOKUP($I406,効果!$A:$B,COLUMN(効果!B$1),FALSE),
IF(_xlpm.v=0,"",_xlpm.v)
),"")</f>
        <v/>
      </c>
      <c r="L406" s="15" t="str">
        <f>IF(OR(COUNTIF(クラス!$A$1:$A$1031,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9</v>
      </c>
      <c r="B407" s="2" t="s">
        <v>914</v>
      </c>
      <c r="E407" s="13" t="s">
        <v>130</v>
      </c>
      <c r="H407" s="10" t="str">
        <f>"条件系統:"&amp;D398&amp;" 攻撃+30"</f>
        <v>条件系統:水 攻撃+30</v>
      </c>
      <c r="J407" s="6" t="str">
        <f>IFERROR(_xlfn.LET(_xlpm.v,
VLOOKUP($I407,効果!$A:$B,COLUMN(効果!B$1),FALSE),
IF(_xlpm.v=0,"",_xlpm.v)
),"")</f>
        <v/>
      </c>
      <c r="L407" s="15" t="str">
        <f>IF(OR(COUNTIF(クラス!$A$1:$A$1031, $B407),$B407="",COUNTIF(スキル一覧!$A$1:$A$3500, $B407)), "", "存在しない")</f>
        <v>存在しない</v>
      </c>
      <c r="M407" s="2" t="str">
        <f>IF(COUNTIF($B$1:$C406, $B407), "", "存在しない")</f>
        <v>存在しない</v>
      </c>
      <c r="N407" s="2" t="e">
        <f>IF(AND(A407&lt;&gt;"",L407="存在しない",M407="存在しない"),IF(COUNTIF([1]クラス!$A$1:$A$1000, $B407),"",TRUE),"")</f>
        <v>#VALUE!</v>
      </c>
    </row>
    <row r="408" spans="1:14" ht="36" hidden="1" outlineLevel="1" x14ac:dyDescent="0.4">
      <c r="A408" s="2">
        <v>10</v>
      </c>
      <c r="B408" s="2" t="s">
        <v>915</v>
      </c>
      <c r="D408" s="2" t="s">
        <v>899</v>
      </c>
      <c r="E408" s="13" t="s">
        <v>129</v>
      </c>
      <c r="G408" s="19">
        <v>80</v>
      </c>
      <c r="H408" s="10" t="s">
        <v>919</v>
      </c>
      <c r="I408" s="6" t="s">
        <v>425</v>
      </c>
      <c r="J408" s="6" t="str">
        <f>IFERROR(_xlfn.LET(_xlpm.v,
VLOOKUP($I408,効果!$A:$B,COLUMN(効果!B$1),FALSE),
IF(_xlpm.v=0,"",_xlpm.v)
),"")</f>
        <v>対象を後方へ移動させる</v>
      </c>
      <c r="L408" s="15" t="str">
        <f>IF(OR(COUNTIF(クラス!$A$1:$A$1031, $B408),$B408="",COUNTIF(スキル一覧!$A$1:$A$3500, $B408)), "", "存在しない")</f>
        <v>存在しない</v>
      </c>
      <c r="M408" s="2" t="str">
        <f>IF(COUNTIF($B$1:$C407, $B408), "", "存在しない")</f>
        <v>存在しない</v>
      </c>
      <c r="N408" s="2" t="e">
        <f>IF(AND(A408&lt;&gt;"",L408="存在しない",M408="存在しない"),IF(COUNTIF([1]クラス!$A$1:$A$1000, $B408),"",TRUE),"")</f>
        <v>#VALUE!</v>
      </c>
    </row>
    <row r="409" spans="1:14" hidden="1" outlineLevel="1" x14ac:dyDescent="0.4">
      <c r="J409" s="6" t="str">
        <f>IFERROR(_xlfn.LET(_xlpm.v,
VLOOKUP($I409,効果!$A:$B,COLUMN(効果!B$1),FALSE),
IF(_xlpm.v=0,"",_xlpm.v)
),"")</f>
        <v/>
      </c>
      <c r="L409" s="15" t="str">
        <f>IF(OR(COUNTIF(クラス!$A$1:$A$1031, $B409),$B409="",COUNTIF(スキル一覧!$A$1:$A$3500, $B409)), "", "存在しない")</f>
        <v/>
      </c>
      <c r="M409" s="2" t="str">
        <f>IF(COUNTIF($B$1:$C408, $B409), "", "存在しない")</f>
        <v>存在しない</v>
      </c>
      <c r="N409" s="2" t="str">
        <f>IF(AND(A409&lt;&gt;"",L409="存在しない",M409="存在しない"),IF(COUNTIF([1]クラス!$A$1:$A$1000, $B409),"",TRUE),"")</f>
        <v/>
      </c>
    </row>
    <row r="410" spans="1:14" collapsed="1" x14ac:dyDescent="0.4">
      <c r="J410" s="6" t="str">
        <f>IFERROR(_xlfn.LET(_xlpm.v,
VLOOKUP($I410,効果!$A:$B,COLUMN(効果!B$1),FALSE),
IF(_xlpm.v=0,"",_xlpm.v)
),"")</f>
        <v/>
      </c>
      <c r="L410" s="15" t="str">
        <f>IF(OR(COUNTIF(クラス!$A$1:$A$1031, $B410),$B410="",COUNTIF(スキル一覧!$A$1:$A$3500, $B410)), "", "存在しない")</f>
        <v/>
      </c>
      <c r="M410" s="2" t="str">
        <f>IF(COUNTIF($B$1:$C409, $B410), "", "存在しない")</f>
        <v>存在しない</v>
      </c>
      <c r="N410" s="2" t="str">
        <f>IF(AND(A410&lt;&gt;"",L410="存在しない",M410="存在しない"),IF(COUNTIF([1]クラス!$A$1:$A$1000, $B410),"",TRUE),"")</f>
        <v/>
      </c>
    </row>
    <row r="411" spans="1:14" x14ac:dyDescent="0.4">
      <c r="B411" s="2" t="s">
        <v>72</v>
      </c>
      <c r="D411" s="2" t="s">
        <v>281</v>
      </c>
      <c r="E411" s="13" t="s">
        <v>140</v>
      </c>
      <c r="J411" s="6" t="str">
        <f>IFERROR(_xlfn.LET(_xlpm.v,
VLOOKUP($I411,効果!$A:$B,COLUMN(効果!B$1),FALSE),
IF(_xlpm.v=0,"",_xlpm.v)
),"")</f>
        <v/>
      </c>
      <c r="L411" s="15" t="str">
        <f>IF(OR(COUNTIF(クラス!$A$1:$A$1031, $B411),$B411="",COUNTIF(スキル一覧!$A$1:$A$3500, $B411)), "", "存在しない")</f>
        <v/>
      </c>
      <c r="M411" s="2" t="str">
        <f>IF(COUNTIF($B$1:$C410, $B411), "", "存在しない")</f>
        <v>存在しない</v>
      </c>
      <c r="N411" s="2" t="str">
        <f>IF(AND(A411&lt;&gt;"",L411="存在しない",M411="存在しない"),IF(COUNTIF([1]クラス!$A$1:$A$1000, $B411),"",TRUE),"")</f>
        <v/>
      </c>
    </row>
    <row r="412" spans="1:14" ht="36" hidden="1" outlineLevel="1" x14ac:dyDescent="0.4">
      <c r="A412" s="2">
        <v>1</v>
      </c>
      <c r="B412" s="2" t="str">
        <f>D411&amp;"の拳"</f>
        <v>風の拳</v>
      </c>
      <c r="D412" s="2" t="str">
        <f>D411</f>
        <v>風</v>
      </c>
      <c r="E412" s="13" t="s">
        <v>129</v>
      </c>
      <c r="G412" s="19">
        <v>60</v>
      </c>
      <c r="H412" s="10" t="str">
        <f>"攻撃手段:素手 物理+15 "&amp;E411&amp;"+25 判定:攻撃"</f>
        <v>攻撃手段:素手 物理+15 怯み+25 判定:攻撃</v>
      </c>
      <c r="J412" s="6" t="str">
        <f>IFERROR(_xlfn.LET(_xlpm.v,
VLOOKUP($I412,効果!$A:$B,COLUMN(効果!B$1),FALSE),
IF(_xlpm.v=0,"",_xlpm.v)
),"")</f>
        <v/>
      </c>
      <c r="L412" s="15" t="str">
        <f>IF(OR(COUNTIF(クラス!$A$1:$A$1031,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2</v>
      </c>
      <c r="J413" s="6" t="str">
        <f>IFERROR(_xlfn.LET(_xlpm.v,
VLOOKUP($I413,効果!$A:$B,COLUMN(効果!B$1),FALSE),
IF(_xlpm.v=0,"",_xlpm.v)
),"")</f>
        <v/>
      </c>
      <c r="L413" s="15" t="str">
        <f>IF(OR(COUNTIF(クラス!$A$1:$A$1031, $B413),$B413="",COUNTIF(スキル一覧!$A$1:$A$3500, $B413)), "", "存在しない")</f>
        <v/>
      </c>
      <c r="M413" s="2" t="str">
        <f>IF(COUNTIF($B$1:$C412, $B413), "", "存在しない")</f>
        <v>存在しない</v>
      </c>
      <c r="N413" s="2" t="str">
        <f>IF(AND(A413&lt;&gt;"",L413="存在しない",M413="存在しない"),IF(COUNTIF([1]クラス!$A$1:$A$1000, $B413),"",TRUE),"")</f>
        <v/>
      </c>
    </row>
    <row r="414" spans="1:14" hidden="1" outlineLevel="1" x14ac:dyDescent="0.4">
      <c r="A414" s="2">
        <v>3</v>
      </c>
      <c r="B414" s="2" t="s">
        <v>279</v>
      </c>
      <c r="E414" s="13" t="s">
        <v>130</v>
      </c>
      <c r="H414" s="10" t="s">
        <v>280</v>
      </c>
      <c r="J414" s="6" t="str">
        <f>IFERROR(_xlfn.LET(_xlpm.v,
VLOOKUP($I414,効果!$A:$B,COLUMN(効果!B$1),FALSE),
IF(_xlpm.v=0,"",_xlpm.v)
),"")</f>
        <v/>
      </c>
      <c r="L414" s="15" t="str">
        <f>IF(OR(COUNTIF(クラス!$A$1:$A$1031,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4</v>
      </c>
      <c r="J415" s="6" t="str">
        <f>IFERROR(_xlfn.LET(_xlpm.v,
VLOOKUP($I415,効果!$A:$B,COLUMN(効果!B$1),FALSE),
IF(_xlpm.v=0,"",_xlpm.v)
),"")</f>
        <v/>
      </c>
      <c r="L415" s="15" t="str">
        <f>IF(OR(COUNTIF(クラス!$A$1:$A$1031,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5</v>
      </c>
      <c r="J416" s="6" t="str">
        <f>IFERROR(_xlfn.LET(_xlpm.v,
VLOOKUP($I416,効果!$A:$B,COLUMN(効果!B$1),FALSE),
IF(_xlpm.v=0,"",_xlpm.v)
),"")</f>
        <v/>
      </c>
      <c r="L416" s="15" t="str">
        <f>IF(OR(COUNTIF(クラス!$A$1:$A$1031,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6</v>
      </c>
      <c r="B417" s="2" t="str">
        <f>D411&amp;"の魔力"</f>
        <v>風の魔力</v>
      </c>
      <c r="E417" s="13" t="s">
        <v>130</v>
      </c>
      <c r="H417" s="10" t="str">
        <f>"条件系統:"&amp;D411&amp;" 魔力+30"</f>
        <v>条件系統:風 魔力+30</v>
      </c>
      <c r="J417" s="6" t="str">
        <f>IFERROR(_xlfn.LET(_xlpm.v,
VLOOKUP($I417,効果!$A:$B,COLUMN(効果!B$1),FALSE),
IF(_xlpm.v=0,"",_xlpm.v)
),"")</f>
        <v/>
      </c>
      <c r="L417" s="15" t="str">
        <f>IF(OR(COUNTIF(クラス!$A$1:$A$1031,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7</v>
      </c>
      <c r="J418" s="6" t="str">
        <f>IFERROR(_xlfn.LET(_xlpm.v,
VLOOKUP($I418,効果!$A:$B,COLUMN(効果!B$1),FALSE),
IF(_xlpm.v=0,"",_xlpm.v)
),"")</f>
        <v/>
      </c>
      <c r="L418" s="15" t="str">
        <f>IF(OR(COUNTIF(クラス!$A$1:$A$1031,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8</v>
      </c>
      <c r="J419" s="6" t="str">
        <f>IFERROR(_xlfn.LET(_xlpm.v,
VLOOKUP($I419,効果!$A:$B,COLUMN(効果!B$1),FALSE),
IF(_xlpm.v=0,"",_xlpm.v)
),"")</f>
        <v/>
      </c>
      <c r="L419" s="15" t="str">
        <f>IF(OR(COUNTIF(クラス!$A$1:$A$1031,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9</v>
      </c>
      <c r="B420" s="2" t="str">
        <f>D411&amp;"の力"</f>
        <v>風の力</v>
      </c>
      <c r="E420" s="13" t="s">
        <v>130</v>
      </c>
      <c r="H420" s="10" t="str">
        <f>"条件系統:"&amp;D411&amp;" 攻撃+30"</f>
        <v>条件系統:風 攻撃+30</v>
      </c>
      <c r="J420" s="6" t="str">
        <f>IFERROR(_xlfn.LET(_xlpm.v,
VLOOKUP($I420,効果!$A:$B,COLUMN(効果!B$1),FALSE),
IF(_xlpm.v=0,"",_xlpm.v)
),"")</f>
        <v/>
      </c>
      <c r="L420" s="15" t="str">
        <f>IF(OR(COUNTIF(クラス!$A$1:$A$1031, $B420),$B420="",COUNTIF(スキル一覧!$A$1:$A$3500, $B420)), "", "存在しない")</f>
        <v/>
      </c>
      <c r="M420" s="2" t="str">
        <f>IF(COUNTIF($B$1:$C419, $B420), "", "存在しない")</f>
        <v>存在しない</v>
      </c>
      <c r="N420" s="2" t="str">
        <f>IF(AND(A420&lt;&gt;"",L420="存在しない",M420="存在しない"),IF(COUNTIF([1]クラス!$A$1:$A$1000, $B420),"",TRUE),"")</f>
        <v/>
      </c>
    </row>
    <row r="421" spans="1:14" ht="36" hidden="1" outlineLevel="1" x14ac:dyDescent="0.4">
      <c r="A421" s="2">
        <v>10</v>
      </c>
      <c r="B421" s="2" t="str">
        <f>D411&amp;"の吐息"</f>
        <v>風の吐息</v>
      </c>
      <c r="D421" s="2" t="str">
        <f>D411</f>
        <v>風</v>
      </c>
      <c r="E421" s="13" t="s">
        <v>129</v>
      </c>
      <c r="G421" s="19">
        <v>80</v>
      </c>
      <c r="H421" s="10" t="str">
        <f>"攻撃手段:吐息 "&amp;E411&amp;"+45 射程:2 範囲:放射"</f>
        <v>攻撃手段:吐息 怯み+45 射程:2 範囲:放射</v>
      </c>
      <c r="J421" s="6" t="str">
        <f>IFERROR(_xlfn.LET(_xlpm.v,
VLOOKUP($I421,効果!$A:$B,COLUMN(効果!B$1),FALSE),
IF(_xlpm.v=0,"",_xlpm.v)
),"")</f>
        <v/>
      </c>
      <c r="L421" s="15" t="str">
        <f>IF(OR(COUNTIF(クラス!$A$1:$A$1031,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J422" s="6" t="str">
        <f>IFERROR(_xlfn.LET(_xlpm.v,
VLOOKUP($I422,効果!$A:$B,COLUMN(効果!B$1),FALSE),
IF(_xlpm.v=0,"",_xlpm.v)
),"")</f>
        <v/>
      </c>
      <c r="L422" s="15" t="str">
        <f>IF(OR(COUNTIF(クラス!$A$1:$A$1031, $B422),$B422="",COUNTIF(スキル一覧!$A$1:$A$3500, $B422)), "", "存在しない")</f>
        <v/>
      </c>
      <c r="M422" s="2" t="str">
        <f>IF(COUNTIF($B$1:$C421, $B422), "", "存在しない")</f>
        <v>存在しない</v>
      </c>
      <c r="N422" s="2" t="str">
        <f>IF(AND(A422&lt;&gt;"",L422="存在しない",M422="存在しない"),IF(COUNTIF([1]クラス!$A$1:$A$1000, $B422),"",TRUE),"")</f>
        <v/>
      </c>
    </row>
    <row r="423" spans="1:14" collapsed="1" x14ac:dyDescent="0.4">
      <c r="J423" s="6" t="str">
        <f>IFERROR(_xlfn.LET(_xlpm.v,
VLOOKUP($I423,効果!$A:$B,COLUMN(効果!B$1),FALSE),
IF(_xlpm.v=0,"",_xlpm.v)
),"")</f>
        <v/>
      </c>
      <c r="L423" s="15" t="str">
        <f>IF(OR(COUNTIF(クラス!$A$1:$A$1031, $B423),$B423="",COUNTIF(スキル一覧!$A$1:$A$3500, $B423)), "", "存在しない")</f>
        <v/>
      </c>
      <c r="M423" s="2" t="str">
        <f>IF(COUNTIF($B$1:$C422, $B423), "", "存在しない")</f>
        <v>存在しない</v>
      </c>
      <c r="N423" s="2" t="str">
        <f>IF(AND(A423&lt;&gt;"",L423="存在しない",M423="存在しない"),IF(COUNTIF([1]クラス!$A$1:$A$1000, $B423),"",TRUE),"")</f>
        <v/>
      </c>
    </row>
    <row r="424" spans="1:14" x14ac:dyDescent="0.4">
      <c r="B424" s="2" t="s">
        <v>74</v>
      </c>
      <c r="D424" s="2" t="s">
        <v>282</v>
      </c>
      <c r="E424" s="13" t="s">
        <v>176</v>
      </c>
      <c r="J424" s="6" t="str">
        <f>IFERROR(_xlfn.LET(_xlpm.v,
VLOOKUP($I424,効果!$A:$B,COLUMN(効果!B$1),FALSE),
IF(_xlpm.v=0,"",_xlpm.v)
),"")</f>
        <v/>
      </c>
      <c r="L424" s="15" t="str">
        <f>IF(OR(COUNTIF(クラス!$A$1:$A$1031, $B424),$B424="",COUNTIF(スキル一覧!$A$1:$A$3500, $B424)), "", "存在しない")</f>
        <v/>
      </c>
      <c r="M424" s="2" t="str">
        <f>IF(COUNTIF($B$1:$C423, $B424), "", "存在しない")</f>
        <v>存在しない</v>
      </c>
      <c r="N424" s="2" t="str">
        <f>IF(AND(A424&lt;&gt;"",L424="存在しない",M424="存在しない"),IF(COUNTIF([1]クラス!$A$1:$A$1000, $B424),"",TRUE),"")</f>
        <v/>
      </c>
    </row>
    <row r="425" spans="1:14" ht="36" hidden="1" outlineLevel="1" x14ac:dyDescent="0.4">
      <c r="A425" s="2">
        <v>1</v>
      </c>
      <c r="B425" s="2" t="str">
        <f>D424&amp;"の拳"</f>
        <v>地の拳</v>
      </c>
      <c r="D425" s="2" t="str">
        <f>D424</f>
        <v>地</v>
      </c>
      <c r="E425" s="13" t="s">
        <v>129</v>
      </c>
      <c r="G425" s="19">
        <v>60</v>
      </c>
      <c r="H425" s="10" t="str">
        <f>"攻撃手段:素手 物理+15 "&amp;E424&amp;"+25 判定:攻撃"</f>
        <v>攻撃手段:素手 物理+15 ガード+25 判定:攻撃</v>
      </c>
      <c r="J425" s="6" t="str">
        <f>IFERROR(_xlfn.LET(_xlpm.v,
VLOOKUP($I425,効果!$A:$B,COLUMN(効果!B$1),FALSE),
IF(_xlpm.v=0,"",_xlpm.v)
),"")</f>
        <v/>
      </c>
      <c r="L425" s="15" t="str">
        <f>IF(OR(COUNTIF(クラス!$A$1:$A$1031,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2</v>
      </c>
      <c r="J426" s="6" t="str">
        <f>IFERROR(_xlfn.LET(_xlpm.v,
VLOOKUP($I426,効果!$A:$B,COLUMN(効果!B$1),FALSE),
IF(_xlpm.v=0,"",_xlpm.v)
),"")</f>
        <v/>
      </c>
      <c r="L426" s="15" t="str">
        <f>IF(OR(COUNTIF(クラス!$A$1:$A$1031, $B426),$B426="",COUNTIF(スキル一覧!$A$1:$A$3500, $B426)), "", "存在しない")</f>
        <v/>
      </c>
      <c r="M426" s="2" t="str">
        <f>IF(COUNTIF($B$1:$C425, $B426), "", "存在しない")</f>
        <v>存在しない</v>
      </c>
      <c r="N426" s="2" t="str">
        <f>IF(AND(A426&lt;&gt;"",L426="存在しない",M426="存在しない"),IF(COUNTIF([1]クラス!$A$1:$A$1000, $B426),"",TRUE),"")</f>
        <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IF(OR(COUNTIF(クラス!$A$1:$A$1031,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4</v>
      </c>
      <c r="J428" s="6" t="str">
        <f>IFERROR(_xlfn.LET(_xlpm.v,
VLOOKUP($I428,効果!$A:$B,COLUMN(効果!B$1),FALSE),
IF(_xlpm.v=0,"",_xlpm.v)
),"")</f>
        <v/>
      </c>
      <c r="L428" s="15" t="str">
        <f>IF(OR(COUNTIF(クラス!$A$1:$A$1031,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5</v>
      </c>
      <c r="J429" s="6" t="str">
        <f>IFERROR(_xlfn.LET(_xlpm.v,
VLOOKUP($I429,効果!$A:$B,COLUMN(効果!B$1),FALSE),
IF(_xlpm.v=0,"",_xlpm.v)
),"")</f>
        <v/>
      </c>
      <c r="L429" s="15" t="str">
        <f>IF(OR(COUNTIF(クラス!$A$1:$A$1031,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6</v>
      </c>
      <c r="B430" s="2" t="str">
        <f>D424&amp;"の魔力"</f>
        <v>地の魔力</v>
      </c>
      <c r="E430" s="13" t="s">
        <v>130</v>
      </c>
      <c r="H430" s="10" t="str">
        <f>"条件系統:"&amp;D424&amp;" 魔力+30"</f>
        <v>条件系統:地 魔力+30</v>
      </c>
      <c r="J430" s="6" t="str">
        <f>IFERROR(_xlfn.LET(_xlpm.v,
VLOOKUP($I430,効果!$A:$B,COLUMN(効果!B$1),FALSE),
IF(_xlpm.v=0,"",_xlpm.v)
),"")</f>
        <v/>
      </c>
      <c r="L430" s="15" t="str">
        <f>IF(OR(COUNTIF(クラス!$A$1:$A$1031,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7</v>
      </c>
      <c r="J431" s="6" t="str">
        <f>IFERROR(_xlfn.LET(_xlpm.v,
VLOOKUP($I431,効果!$A:$B,COLUMN(効果!B$1),FALSE),
IF(_xlpm.v=0,"",_xlpm.v)
),"")</f>
        <v/>
      </c>
      <c r="L431" s="15" t="str">
        <f>IF(OR(COUNTIF(クラス!$A$1:$A$1031,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8</v>
      </c>
      <c r="J432" s="6" t="str">
        <f>IFERROR(_xlfn.LET(_xlpm.v,
VLOOKUP($I432,効果!$A:$B,COLUMN(効果!B$1),FALSE),
IF(_xlpm.v=0,"",_xlpm.v)
),"")</f>
        <v/>
      </c>
      <c r="L432" s="15" t="str">
        <f>IF(OR(COUNTIF(クラス!$A$1:$A$1031,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9</v>
      </c>
      <c r="B433" s="2" t="str">
        <f>D424&amp;"の力"</f>
        <v>地の力</v>
      </c>
      <c r="E433" s="13" t="s">
        <v>130</v>
      </c>
      <c r="H433" s="10" t="str">
        <f>"条件系統:"&amp;D424&amp;" 攻撃+30"</f>
        <v>条件系統:地 攻撃+30</v>
      </c>
      <c r="J433" s="6" t="str">
        <f>IFERROR(_xlfn.LET(_xlpm.v,
VLOOKUP($I433,効果!$A:$B,COLUMN(効果!B$1),FALSE),
IF(_xlpm.v=0,"",_xlpm.v)
),"")</f>
        <v/>
      </c>
      <c r="L433" s="15" t="str">
        <f>IF(OR(COUNTIF(クラス!$A$1:$A$1031, $B433),$B433="",COUNTIF(スキル一覧!$A$1:$A$3500, $B433)), "", "存在しない")</f>
        <v/>
      </c>
      <c r="M433" s="2" t="str">
        <f>IF(COUNTIF($B$1:$C432, $B433), "", "存在しない")</f>
        <v>存在しない</v>
      </c>
      <c r="N433" s="2" t="str">
        <f>IF(AND(A433&lt;&gt;"",L433="存在しない",M433="存在しない"),IF(COUNTIF([1]クラス!$A$1:$A$1000, $B433),"",TRUE),"")</f>
        <v/>
      </c>
    </row>
    <row r="434" spans="1:14" ht="36" hidden="1" outlineLevel="1" x14ac:dyDescent="0.4">
      <c r="A434" s="2">
        <v>10</v>
      </c>
      <c r="B434" s="2" t="str">
        <f>"石礫の吐息"</f>
        <v>石礫の吐息</v>
      </c>
      <c r="D434" s="2" t="str">
        <f>D424</f>
        <v>地</v>
      </c>
      <c r="E434" s="13" t="s">
        <v>129</v>
      </c>
      <c r="G434" s="19">
        <v>80</v>
      </c>
      <c r="H434" s="10" t="str">
        <f>"攻撃手段:吐息 物理+35 怯み+20 射程:2 範囲:放射"</f>
        <v>攻撃手段:吐息 物理+35 怯み+20 射程:2 範囲:放射</v>
      </c>
      <c r="J434" s="6" t="str">
        <f>IFERROR(_xlfn.LET(_xlpm.v,
VLOOKUP($I434,効果!$A:$B,COLUMN(効果!B$1),FALSE),
IF(_xlpm.v=0,"",_xlpm.v)
),"")</f>
        <v/>
      </c>
      <c r="L434" s="15" t="str">
        <f>IF(OR(COUNTIF(クラス!$A$1:$A$1031,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J435" s="6" t="str">
        <f>IFERROR(_xlfn.LET(_xlpm.v,
VLOOKUP($I435,効果!$A:$B,COLUMN(効果!B$1),FALSE),
IF(_xlpm.v=0,"",_xlpm.v)
),"")</f>
        <v/>
      </c>
      <c r="L435" s="15" t="str">
        <f>IF(OR(COUNTIF(クラス!$A$1:$A$1031, $B435),$B435="",COUNTIF(スキル一覧!$A$1:$A$3500, $B435)), "", "存在しない")</f>
        <v/>
      </c>
      <c r="M435" s="2" t="str">
        <f>IF(COUNTIF($B$1:$C434, $B435), "", "存在しない")</f>
        <v>存在しない</v>
      </c>
      <c r="N435" s="2" t="str">
        <f>IF(AND(A435&lt;&gt;"",L435="存在しない",M435="存在しない"),IF(COUNTIF([1]クラス!$A$1:$A$1000, $B435),"",TRUE),"")</f>
        <v/>
      </c>
    </row>
    <row r="436" spans="1:14" collapsed="1" x14ac:dyDescent="0.4">
      <c r="J436" s="6" t="str">
        <f>IFERROR(_xlfn.LET(_xlpm.v,
VLOOKUP($I436,効果!$A:$B,COLUMN(効果!B$1),FALSE),
IF(_xlpm.v=0,"",_xlpm.v)
),"")</f>
        <v/>
      </c>
      <c r="L436" s="15" t="str">
        <f>IF(OR(COUNTIF(クラス!$A$1:$A$1031, $B436),$B436="",COUNTIF(スキル一覧!$A$1:$A$3500, $B436)), "", "存在しない")</f>
        <v/>
      </c>
      <c r="M436" s="2" t="str">
        <f>IF(COUNTIF($B$1:$C435, $B436), "", "存在しない")</f>
        <v>存在しない</v>
      </c>
      <c r="N436" s="2" t="str">
        <f>IF(AND(A436&lt;&gt;"",L436="存在しない",M436="存在しない"),IF(COUNTIF([1]クラス!$A$1:$A$1000, $B436),"",TRUE),"")</f>
        <v/>
      </c>
    </row>
    <row r="437" spans="1:14" x14ac:dyDescent="0.4">
      <c r="B437" s="2" t="s">
        <v>197</v>
      </c>
      <c r="J437" s="6" t="str">
        <f>IFERROR(_xlfn.LET(_xlpm.v,
VLOOKUP($I437,効果!$A:$B,COLUMN(効果!B$1),FALSE),
IF(_xlpm.v=0,"",_xlpm.v)
),"")</f>
        <v/>
      </c>
      <c r="L437" s="15" t="str">
        <f>IF(OR(COUNTIF(クラス!$A$1:$A$1031, $B437),$B437="",COUNTIF(スキル一覧!$A$1:$A$3500, $B437)), "", "存在しない")</f>
        <v/>
      </c>
      <c r="M437" s="2" t="str">
        <f>IF(COUNTIF($B$1:$C436, $B437), "", "存在しない")</f>
        <v>存在しない</v>
      </c>
      <c r="N437" s="2" t="str">
        <f>IF(AND(A437&lt;&gt;"",L437="存在しない",M437="存在しない"),IF(COUNTIF([1]クラス!$A$1:$A$1000, $B437),"",TRUE),"")</f>
        <v/>
      </c>
    </row>
    <row r="438" spans="1:14" hidden="1" outlineLevel="1" x14ac:dyDescent="0.4">
      <c r="A438" s="2">
        <v>1</v>
      </c>
      <c r="B438" s="2" t="s">
        <v>283</v>
      </c>
      <c r="E438" s="13" t="s">
        <v>129</v>
      </c>
      <c r="G438" s="19">
        <v>40</v>
      </c>
      <c r="H438" s="10" t="s">
        <v>330</v>
      </c>
      <c r="J438" s="6" t="str">
        <f>IFERROR(_xlfn.LET(_xlpm.v,
VLOOKUP($I438,効果!$A:$B,COLUMN(効果!B$1),FALSE),
IF(_xlpm.v=0,"",_xlpm.v)
),"")</f>
        <v/>
      </c>
      <c r="L438" s="15" t="str">
        <f>IF(OR(COUNTIF(クラス!$A$1:$A$1031, $B438),$B438="",COUNTIF(スキル一覧!$A$1:$A$3500, $B438)), "", "存在しない")</f>
        <v/>
      </c>
      <c r="M438" s="2" t="str">
        <f>IF(COUNTIF($B$1:$C437, $B438), "", "存在しない")</f>
        <v/>
      </c>
      <c r="N438" s="2" t="str">
        <f>IF(AND(A438&lt;&gt;"",L438="存在しない",M438="存在しない"),IF(COUNTIF([1]クラス!$A$1:$A$1000, $B438),"",TRUE),"")</f>
        <v/>
      </c>
    </row>
    <row r="439" spans="1:14" hidden="1" outlineLevel="1" x14ac:dyDescent="0.4">
      <c r="A439" s="2">
        <v>2</v>
      </c>
      <c r="B439" s="2" t="s">
        <v>284</v>
      </c>
      <c r="E439" s="13" t="s">
        <v>129</v>
      </c>
      <c r="G439" s="19">
        <v>40</v>
      </c>
      <c r="J439" s="6" t="str">
        <f>IFERROR(_xlfn.LET(_xlpm.v,
VLOOKUP($I439,効果!$A:$B,COLUMN(効果!B$1),FALSE),
IF(_xlpm.v=0,"",_xlpm.v)
),"")</f>
        <v/>
      </c>
      <c r="L439" s="15" t="str">
        <f>IF(OR(COUNTIF(クラス!$A$1:$A$1031,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3</v>
      </c>
      <c r="E440" s="13" t="s">
        <v>130</v>
      </c>
      <c r="J440" s="6" t="str">
        <f>IFERROR(_xlfn.LET(_xlpm.v,
VLOOKUP($I440,効果!$A:$B,COLUMN(効果!B$1),FALSE),
IF(_xlpm.v=0,"",_xlpm.v)
),"")</f>
        <v/>
      </c>
      <c r="L440" s="15" t="str">
        <f>IF(OR(COUNTIF(クラス!$A$1:$A$1031, $B440),$B440="",COUNTIF(スキル一覧!$A$1:$A$3500, $B440)), "", "存在しない")</f>
        <v/>
      </c>
      <c r="M440" s="2" t="str">
        <f>IF(COUNTIF($B$1:$C439, $B440), "", "存在しない")</f>
        <v>存在しない</v>
      </c>
      <c r="N440" s="2" t="str">
        <f>IF(AND(A440&lt;&gt;"",L440="存在しない",M440="存在しない"),IF(COUNTIF([1]クラス!$A$1:$A$1000, $B440),"",TRUE),"")</f>
        <v/>
      </c>
    </row>
    <row r="441" spans="1:14" hidden="1" outlineLevel="1" x14ac:dyDescent="0.4">
      <c r="A441" s="2">
        <v>4</v>
      </c>
      <c r="J441" s="6" t="str">
        <f>IFERROR(_xlfn.LET(_xlpm.v,
VLOOKUP($I441,効果!$A:$B,COLUMN(効果!B$1),FALSE),
IF(_xlpm.v=0,"",_xlpm.v)
),"")</f>
        <v/>
      </c>
      <c r="L441" s="15" t="str">
        <f>IF(OR(COUNTIF(クラス!$A$1:$A$1031, $B441),$B441="",COUNTIF(スキル一覧!$A$1:$A$3500, $B441)), "", "存在しない")</f>
        <v/>
      </c>
      <c r="M441" s="2" t="str">
        <f>IF(COUNTIF($B$1:$C440, $B441), "", "存在しない")</f>
        <v>存在しない</v>
      </c>
      <c r="N441" s="2" t="str">
        <f>IF(AND(A441&lt;&gt;"",L441="存在しない",M441="存在しない"),IF(COUNTIF([1]クラス!$A$1:$A$1000, $B441),"",TRUE),"")</f>
        <v/>
      </c>
    </row>
    <row r="442" spans="1:14" hidden="1" outlineLevel="1" x14ac:dyDescent="0.4">
      <c r="A442" s="2">
        <v>5</v>
      </c>
      <c r="J442" s="6" t="str">
        <f>IFERROR(_xlfn.LET(_xlpm.v,
VLOOKUP($I442,効果!$A:$B,COLUMN(効果!B$1),FALSE),
IF(_xlpm.v=0,"",_xlpm.v)
),"")</f>
        <v/>
      </c>
      <c r="L442" s="15" t="str">
        <f>IF(OR(COUNTIF(クラス!$A$1:$A$1031,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6</v>
      </c>
      <c r="E443" s="13" t="s">
        <v>130</v>
      </c>
      <c r="J443" s="6" t="str">
        <f>IFERROR(_xlfn.LET(_xlpm.v,
VLOOKUP($I443,効果!$A:$B,COLUMN(効果!B$1),FALSE),
IF(_xlpm.v=0,"",_xlpm.v)
),"")</f>
        <v/>
      </c>
      <c r="L443" s="15" t="str">
        <f>IF(OR(COUNTIF(クラス!$A$1:$A$1031,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7</v>
      </c>
      <c r="J444" s="6" t="str">
        <f>IFERROR(_xlfn.LET(_xlpm.v,
VLOOKUP($I444,効果!$A:$B,COLUMN(効果!B$1),FALSE),
IF(_xlpm.v=0,"",_xlpm.v)
),"")</f>
        <v/>
      </c>
      <c r="L444" s="15" t="str">
        <f>IF(OR(COUNTIF(クラス!$A$1:$A$1031,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8</v>
      </c>
      <c r="J445" s="6" t="str">
        <f>IFERROR(_xlfn.LET(_xlpm.v,
VLOOKUP($I445,効果!$A:$B,COLUMN(効果!B$1),FALSE),
IF(_xlpm.v=0,"",_xlpm.v)
),"")</f>
        <v/>
      </c>
      <c r="L445" s="15" t="str">
        <f>IF(OR(COUNTIF(クラス!$A$1:$A$1031,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9</v>
      </c>
      <c r="E446" s="13" t="s">
        <v>130</v>
      </c>
      <c r="J446" s="6" t="str">
        <f>IFERROR(_xlfn.LET(_xlpm.v,
VLOOKUP($I446,効果!$A:$B,COLUMN(効果!B$1),FALSE),
IF(_xlpm.v=0,"",_xlpm.v)
),"")</f>
        <v/>
      </c>
      <c r="L446" s="15" t="str">
        <f>IF(OR(COUNTIF(クラス!$A$1:$A$1031,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10</v>
      </c>
      <c r="J447" s="6" t="str">
        <f>IFERROR(_xlfn.LET(_xlpm.v,
VLOOKUP($I447,効果!$A:$B,COLUMN(効果!B$1),FALSE),
IF(_xlpm.v=0,"",_xlpm.v)
),"")</f>
        <v/>
      </c>
      <c r="L447" s="15" t="str">
        <f>IF(OR(COUNTIF(クラス!$A$1:$A$1031,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J448" s="6" t="str">
        <f>IFERROR(_xlfn.LET(_xlpm.v,
VLOOKUP($I448,効果!$A:$B,COLUMN(効果!B$1),FALSE),
IF(_xlpm.v=0,"",_xlpm.v)
),"")</f>
        <v/>
      </c>
      <c r="L448" s="15" t="str">
        <f>IF(OR(COUNTIF(クラス!$A$1:$A$1031, $B448),$B448="",COUNTIF(スキル一覧!$A$1:$A$3500, $B448)), "", "存在しない")</f>
        <v/>
      </c>
      <c r="M448" s="2" t="str">
        <f>IF(COUNTIF($B$1:$C447, $B448), "", "存在しない")</f>
        <v>存在しない</v>
      </c>
      <c r="N448" s="2" t="str">
        <f>IF(AND(A448&lt;&gt;"",L448="存在しない",M448="存在しない"),IF(COUNTIF([1]クラス!$A$1:$A$1000, $B448),"",TRUE),"")</f>
        <v/>
      </c>
    </row>
    <row r="449" spans="1:14" collapsed="1" x14ac:dyDescent="0.4">
      <c r="J449" s="6" t="str">
        <f>IFERROR(_xlfn.LET(_xlpm.v,
VLOOKUP($I449,効果!$A:$B,COLUMN(効果!B$1),FALSE),
IF(_xlpm.v=0,"",_xlpm.v)
),"")</f>
        <v/>
      </c>
      <c r="L449" s="15" t="str">
        <f>IF(OR(COUNTIF(クラス!$A$1:$A$1031, $B449),$B449="",COUNTIF(スキル一覧!$A$1:$A$3500, $B449)), "", "存在しない")</f>
        <v/>
      </c>
      <c r="M449" s="2" t="str">
        <f>IF(COUNTIF($B$1:$C448, $B449), "", "存在しない")</f>
        <v>存在しない</v>
      </c>
      <c r="N449" s="2" t="str">
        <f>IF(AND(A449&lt;&gt;"",L449="存在しない",M449="存在しない"),IF(COUNTIF([1]クラス!$A$1:$A$1000, $B449),"",TRUE),"")</f>
        <v/>
      </c>
    </row>
    <row r="450" spans="1:14" x14ac:dyDescent="0.4">
      <c r="B450" s="2" t="s">
        <v>125</v>
      </c>
      <c r="J450" s="6" t="str">
        <f>IFERROR(_xlfn.LET(_xlpm.v,
VLOOKUP($I450,効果!$A:$B,COLUMN(効果!B$1),FALSE),
IF(_xlpm.v=0,"",_xlpm.v)
),"")</f>
        <v/>
      </c>
      <c r="L450" s="15" t="str">
        <f>IF(OR(COUNTIF(クラス!$A$1:$A$1031, $B450),$B450="",COUNTIF(スキル一覧!$A$1:$A$3500, $B450)), "", "存在しない")</f>
        <v/>
      </c>
      <c r="M450" s="2" t="str">
        <f>IF(COUNTIF($B$1:$C449, $B450), "", "存在しない")</f>
        <v>存在しない</v>
      </c>
      <c r="N450" s="2" t="str">
        <f>IF(AND(A450&lt;&gt;"",L450="存在しない",M450="存在しない"),IF(COUNTIF([1]クラス!$A$1:$A$1000, $B450),"",TRUE),"")</f>
        <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IF(OR(COUNTIF(クラス!$A$1:$A$1031, $B451),$B451="",COUNTIF(スキル一覧!$A$1:$A$3500, $B451)), "", "存在しない")</f>
        <v/>
      </c>
      <c r="M451" s="2" t="str">
        <f>IF(COUNTIF($B$1:$C450, $B451), "", "存在しない")</f>
        <v/>
      </c>
      <c r="N451" s="2" t="str">
        <f>IF(AND(A451&lt;&gt;"",L451="存在しない",M451="存在しない"),IF(COUNTIF([1]クラス!$A$1:$A$1000, $B451),"",TRUE),"")</f>
        <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IF(OR(COUNTIF(クラス!$A$1:$A$1031,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3</v>
      </c>
      <c r="J453" s="6" t="str">
        <f>IFERROR(_xlfn.LET(_xlpm.v,
VLOOKUP($I453,効果!$A:$B,COLUMN(効果!B$1),FALSE),
IF(_xlpm.v=0,"",_xlpm.v)
),"")</f>
        <v/>
      </c>
      <c r="L453" s="15" t="str">
        <f>IF(OR(COUNTIF(クラス!$A$1:$A$1031, $B453),$B453="",COUNTIF(スキル一覧!$A$1:$A$3500, $B453)), "", "存在しない")</f>
        <v/>
      </c>
      <c r="M453" s="2" t="str">
        <f>IF(COUNTIF($B$1:$C452, $B453), "", "存在しない")</f>
        <v>存在しない</v>
      </c>
      <c r="N453" s="2" t="str">
        <f>IF(AND(A453&lt;&gt;"",L453="存在しない",M453="存在しない"),IF(COUNTIF([1]クラス!$A$1:$A$1000, $B453),"",TRUE),"")</f>
        <v/>
      </c>
    </row>
    <row r="454" spans="1:14" hidden="1" outlineLevel="1" x14ac:dyDescent="0.4">
      <c r="A454" s="2">
        <v>4</v>
      </c>
      <c r="J454" s="6" t="str">
        <f>IFERROR(_xlfn.LET(_xlpm.v,
VLOOKUP($I454,効果!$A:$B,COLUMN(効果!B$1),FALSE),
IF(_xlpm.v=0,"",_xlpm.v)
),"")</f>
        <v/>
      </c>
      <c r="L454" s="15" t="str">
        <f>IF(OR(COUNTIF(クラス!$A$1:$A$1031,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5</v>
      </c>
      <c r="J455" s="6" t="str">
        <f>IFERROR(_xlfn.LET(_xlpm.v,
VLOOKUP($I455,効果!$A:$B,COLUMN(効果!B$1),FALSE),
IF(_xlpm.v=0,"",_xlpm.v)
),"")</f>
        <v/>
      </c>
      <c r="L455" s="15" t="str">
        <f>IF(OR(COUNTIF(クラス!$A$1:$A$1031,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6</v>
      </c>
      <c r="J456" s="6" t="str">
        <f>IFERROR(_xlfn.LET(_xlpm.v,
VLOOKUP($I456,効果!$A:$B,COLUMN(効果!B$1),FALSE),
IF(_xlpm.v=0,"",_xlpm.v)
),"")</f>
        <v/>
      </c>
      <c r="L456" s="15" t="str">
        <f>IF(OR(COUNTIF(クラス!$A$1:$A$1031,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7</v>
      </c>
      <c r="J457" s="6" t="str">
        <f>IFERROR(_xlfn.LET(_xlpm.v,
VLOOKUP($I457,効果!$A:$B,COLUMN(効果!B$1),FALSE),
IF(_xlpm.v=0,"",_xlpm.v)
),"")</f>
        <v/>
      </c>
      <c r="L457" s="15" t="str">
        <f>IF(OR(COUNTIF(クラス!$A$1:$A$1031,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8</v>
      </c>
      <c r="J458" s="6" t="str">
        <f>IFERROR(_xlfn.LET(_xlpm.v,
VLOOKUP($I458,効果!$A:$B,COLUMN(効果!B$1),FALSE),
IF(_xlpm.v=0,"",_xlpm.v)
),"")</f>
        <v/>
      </c>
      <c r="L458" s="15" t="str">
        <f>IF(OR(COUNTIF(クラス!$A$1:$A$1031,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9</v>
      </c>
      <c r="J459" s="6" t="str">
        <f>IFERROR(_xlfn.LET(_xlpm.v,
VLOOKUP($I459,効果!$A:$B,COLUMN(効果!B$1),FALSE),
IF(_xlpm.v=0,"",_xlpm.v)
),"")</f>
        <v/>
      </c>
      <c r="L459" s="15" t="str">
        <f>IF(OR(COUNTIF(クラス!$A$1:$A$1031,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10</v>
      </c>
      <c r="J460" s="6" t="str">
        <f>IFERROR(_xlfn.LET(_xlpm.v,
VLOOKUP($I460,効果!$A:$B,COLUMN(効果!B$1),FALSE),
IF(_xlpm.v=0,"",_xlpm.v)
),"")</f>
        <v/>
      </c>
      <c r="L460" s="15" t="str">
        <f>IF(OR(COUNTIF(クラス!$A$1:$A$1031,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J461" s="6" t="str">
        <f>IFERROR(_xlfn.LET(_xlpm.v,
VLOOKUP($I461,効果!$A:$B,COLUMN(効果!B$1),FALSE),
IF(_xlpm.v=0,"",_xlpm.v)
),"")</f>
        <v/>
      </c>
      <c r="L461" s="15" t="str">
        <f>IF(OR(COUNTIF(クラス!$A$1:$A$1031, $B461),$B461="",COUNTIF(スキル一覧!$A$1:$A$3500, $B461)), "", "存在しない")</f>
        <v/>
      </c>
      <c r="M461" s="2" t="str">
        <f>IF(COUNTIF($B$1:$C460, $B461), "", "存在しない")</f>
        <v>存在しない</v>
      </c>
      <c r="N461" s="2" t="str">
        <f>IF(AND(A461&lt;&gt;"",L461="存在しない",M461="存在しない"),IF(COUNTIF([1]クラス!$A$1:$A$1000, $B461),"",TRUE),"")</f>
        <v/>
      </c>
    </row>
    <row r="462" spans="1:14" collapsed="1" x14ac:dyDescent="0.4">
      <c r="J462" s="6" t="str">
        <f>IFERROR(_xlfn.LET(_xlpm.v,
VLOOKUP($I462,効果!$A:$B,COLUMN(効果!B$1),FALSE),
IF(_xlpm.v=0,"",_xlpm.v)
),"")</f>
        <v/>
      </c>
      <c r="L462" s="15" t="str">
        <f>IF(OR(COUNTIF(クラス!$A$1:$A$1031, $B462),$B462="",COUNTIF(スキル一覧!$A$1:$A$3500, $B462)), "", "存在しない")</f>
        <v/>
      </c>
      <c r="M462" s="2" t="str">
        <f>IF(COUNTIF($B$1:$C461, $B462), "", "存在しない")</f>
        <v>存在しない</v>
      </c>
      <c r="N462" s="2" t="str">
        <f>IF(AND(A462&lt;&gt;"",L462="存在しない",M462="存在しない"),IF(COUNTIF([1]クラス!$A$1:$A$1000, $B462),"",TRUE),"")</f>
        <v/>
      </c>
    </row>
    <row r="463" spans="1:14" x14ac:dyDescent="0.4">
      <c r="B463" s="2" t="s">
        <v>126</v>
      </c>
      <c r="J463" s="6" t="str">
        <f>IFERROR(_xlfn.LET(_xlpm.v,
VLOOKUP($I463,効果!$A:$B,COLUMN(効果!B$1),FALSE),
IF(_xlpm.v=0,"",_xlpm.v)
),"")</f>
        <v/>
      </c>
      <c r="L463" s="15" t="str">
        <f>IF(OR(COUNTIF(クラス!$A$1:$A$1031, $B463),$B463="",COUNTIF(スキル一覧!$A$1:$A$3500, $B463)), "", "存在しない")</f>
        <v/>
      </c>
      <c r="M463" s="2" t="str">
        <f>IF(COUNTIF($B$1:$C462, $B463), "", "存在しない")</f>
        <v>存在しない</v>
      </c>
      <c r="N463" s="2" t="str">
        <f>IF(AND(A463&lt;&gt;"",L463="存在しない",M463="存在しない"),IF(COUNTIF([1]クラス!$A$1:$A$1000, $B463),"",TRUE),"")</f>
        <v/>
      </c>
    </row>
    <row r="464" spans="1:14" hidden="1" outlineLevel="1" x14ac:dyDescent="0.4">
      <c r="A464" s="2">
        <v>1</v>
      </c>
      <c r="B464" s="2" t="s">
        <v>284</v>
      </c>
      <c r="E464" s="13" t="s">
        <v>129</v>
      </c>
      <c r="G464" s="19">
        <v>40</v>
      </c>
      <c r="H464" s="10" t="s">
        <v>330</v>
      </c>
      <c r="J464" s="6" t="str">
        <f>IFERROR(_xlfn.LET(_xlpm.v,
VLOOKUP($I464,効果!$A:$B,COLUMN(効果!B$1),FALSE),
IF(_xlpm.v=0,"",_xlpm.v)
),"")</f>
        <v/>
      </c>
      <c r="L464" s="15" t="str">
        <f>IF(OR(COUNTIF(クラス!$A$1:$A$1031, $B464),$B464="",COUNTIF(スキル一覧!$A$1:$A$3500, $B464)), "", "存在しない")</f>
        <v/>
      </c>
      <c r="M464" s="2" t="str">
        <f>IF(COUNTIF($B$1:$C463, $B464), "", "存在しない")</f>
        <v/>
      </c>
      <c r="N464" s="2" t="str">
        <f>IF(AND(A464&lt;&gt;"",L464="存在しない",M464="存在しない"),IF(COUNTIF([1]クラス!$A$1:$A$1000, $B464),"",TRUE),"")</f>
        <v/>
      </c>
    </row>
    <row r="465" spans="1:14" hidden="1" outlineLevel="1" x14ac:dyDescent="0.4">
      <c r="A465" s="2">
        <v>2</v>
      </c>
      <c r="B465" s="2" t="s">
        <v>287</v>
      </c>
      <c r="E465" s="13" t="s">
        <v>129</v>
      </c>
      <c r="G465" s="19">
        <v>40</v>
      </c>
      <c r="J465" s="6" t="str">
        <f>IFERROR(_xlfn.LET(_xlpm.v,
VLOOKUP($I465,効果!$A:$B,COLUMN(効果!B$1),FALSE),
IF(_xlpm.v=0,"",_xlpm.v)
),"")</f>
        <v/>
      </c>
      <c r="L465" s="15" t="str">
        <f>IF(OR(COUNTIF(クラス!$A$1:$A$1031,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3</v>
      </c>
      <c r="B466" s="2" t="s">
        <v>290</v>
      </c>
      <c r="J466" s="6" t="str">
        <f>IFERROR(_xlfn.LET(_xlpm.v,
VLOOKUP($I466,効果!$A:$B,COLUMN(効果!B$1),FALSE),
IF(_xlpm.v=0,"",_xlpm.v)
),"")</f>
        <v/>
      </c>
      <c r="L466" s="15" t="str">
        <f>IF(OR(COUNTIF(クラス!$A$1:$A$1031,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4</v>
      </c>
      <c r="J467" s="6" t="str">
        <f>IFERROR(_xlfn.LET(_xlpm.v,
VLOOKUP($I467,効果!$A:$B,COLUMN(効果!B$1),FALSE),
IF(_xlpm.v=0,"",_xlpm.v)
),"")</f>
        <v/>
      </c>
      <c r="L467" s="15" t="str">
        <f>IF(OR(COUNTIF(クラス!$A$1:$A$1031,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5</v>
      </c>
      <c r="J468" s="6" t="str">
        <f>IFERROR(_xlfn.LET(_xlpm.v,
VLOOKUP($I468,効果!$A:$B,COLUMN(効果!B$1),FALSE),
IF(_xlpm.v=0,"",_xlpm.v)
),"")</f>
        <v/>
      </c>
      <c r="L468" s="15" t="str">
        <f>IF(OR(COUNTIF(クラス!$A$1:$A$1031,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6</v>
      </c>
      <c r="J469" s="6" t="str">
        <f>IFERROR(_xlfn.LET(_xlpm.v,
VLOOKUP($I469,効果!$A:$B,COLUMN(効果!B$1),FALSE),
IF(_xlpm.v=0,"",_xlpm.v)
),"")</f>
        <v/>
      </c>
      <c r="L469" s="15" t="str">
        <f>IF(OR(COUNTIF(クラス!$A$1:$A$1031,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7</v>
      </c>
      <c r="J470" s="6" t="str">
        <f>IFERROR(_xlfn.LET(_xlpm.v,
VLOOKUP($I470,効果!$A:$B,COLUMN(効果!B$1),FALSE),
IF(_xlpm.v=0,"",_xlpm.v)
),"")</f>
        <v/>
      </c>
      <c r="L470" s="15" t="str">
        <f>IF(OR(COUNTIF(クラス!$A$1:$A$1031,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8</v>
      </c>
      <c r="J471" s="6" t="str">
        <f>IFERROR(_xlfn.LET(_xlpm.v,
VLOOKUP($I471,効果!$A:$B,COLUMN(効果!B$1),FALSE),
IF(_xlpm.v=0,"",_xlpm.v)
),"")</f>
        <v/>
      </c>
      <c r="L471" s="15" t="str">
        <f>IF(OR(COUNTIF(クラス!$A$1:$A$1031,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9</v>
      </c>
      <c r="J472" s="6" t="str">
        <f>IFERROR(_xlfn.LET(_xlpm.v,
VLOOKUP($I472,効果!$A:$B,COLUMN(効果!B$1),FALSE),
IF(_xlpm.v=0,"",_xlpm.v)
),"")</f>
        <v/>
      </c>
      <c r="L472" s="15" t="str">
        <f>IF(OR(COUNTIF(クラス!$A$1:$A$1031,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10</v>
      </c>
      <c r="J473" s="6" t="str">
        <f>IFERROR(_xlfn.LET(_xlpm.v,
VLOOKUP($I473,効果!$A:$B,COLUMN(効果!B$1),FALSE),
IF(_xlpm.v=0,"",_xlpm.v)
),"")</f>
        <v/>
      </c>
      <c r="L473" s="15" t="str">
        <f>IF(OR(COUNTIF(クラス!$A$1:$A$1031,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J474" s="6" t="str">
        <f>IFERROR(_xlfn.LET(_xlpm.v,
VLOOKUP($I474,効果!$A:$B,COLUMN(効果!B$1),FALSE),
IF(_xlpm.v=0,"",_xlpm.v)
),"")</f>
        <v/>
      </c>
      <c r="L474" s="15" t="str">
        <f>IF(OR(COUNTIF(クラス!$A$1:$A$1031, $B474),$B474="",COUNTIF(スキル一覧!$A$1:$A$3500, $B474)), "", "存在しない")</f>
        <v/>
      </c>
      <c r="M474" s="2" t="str">
        <f>IF(COUNTIF($B$1:$C473, $B474), "", "存在しない")</f>
        <v>存在しない</v>
      </c>
      <c r="N474" s="2" t="str">
        <f>IF(AND(A474&lt;&gt;"",L474="存在しない",M474="存在しない"),IF(COUNTIF([1]クラス!$A$1:$A$1000, $B474),"",TRUE),"")</f>
        <v/>
      </c>
    </row>
    <row r="475" spans="1:14" collapsed="1" x14ac:dyDescent="0.4">
      <c r="J475" s="6" t="str">
        <f>IFERROR(_xlfn.LET(_xlpm.v,
VLOOKUP($I475,効果!$A:$B,COLUMN(効果!B$1),FALSE),
IF(_xlpm.v=0,"",_xlpm.v)
),"")</f>
        <v/>
      </c>
      <c r="L475" s="15" t="str">
        <f>IF(OR(COUNTIF(クラス!$A$1:$A$1031, $B475),$B475="",COUNTIF(スキル一覧!$A$1:$A$3500, $B475)), "", "存在しない")</f>
        <v/>
      </c>
      <c r="M475" s="2" t="str">
        <f>IF(COUNTIF($B$1:$C474, $B475), "", "存在しない")</f>
        <v>存在しない</v>
      </c>
      <c r="N475" s="2" t="str">
        <f>IF(AND(A475&lt;&gt;"",L475="存在しない",M475="存在しない"),IF(COUNTIF([1]クラス!$A$1:$A$1000, $B475),"",TRUE),"")</f>
        <v/>
      </c>
    </row>
    <row r="476" spans="1:14" x14ac:dyDescent="0.4">
      <c r="B476" s="2" t="s">
        <v>199</v>
      </c>
      <c r="J476" s="6" t="str">
        <f>IFERROR(_xlfn.LET(_xlpm.v,
VLOOKUP($I476,効果!$A:$B,COLUMN(効果!B$1),FALSE),
IF(_xlpm.v=0,"",_xlpm.v)
),"")</f>
        <v/>
      </c>
      <c r="L476" s="15" t="str">
        <f>IF(OR(COUNTIF(クラス!$A$1:$A$1031, $B476),$B476="",COUNTIF(スキル一覧!$A$1:$A$3500, $B476)), "", "存在しない")</f>
        <v/>
      </c>
      <c r="M476" s="2" t="str">
        <f>IF(COUNTIF($B$1:$C475, $B476), "", "存在しない")</f>
        <v>存在しない</v>
      </c>
      <c r="N476" s="2" t="str">
        <f>IF(AND(A476&lt;&gt;"",L476="存在しない",M476="存在しない"),IF(COUNTIF([1]クラス!$A$1:$A$1000, $B476),"",TRUE),"")</f>
        <v/>
      </c>
    </row>
    <row r="477" spans="1:14" hidden="1" outlineLevel="1" x14ac:dyDescent="0.4">
      <c r="A477" s="2">
        <v>1</v>
      </c>
      <c r="B477" s="2" t="s">
        <v>283</v>
      </c>
      <c r="J477" s="6" t="str">
        <f>IFERROR(_xlfn.LET(_xlpm.v,
VLOOKUP($I477,効果!$A:$B,COLUMN(効果!B$1),FALSE),
IF(_xlpm.v=0,"",_xlpm.v)
),"")</f>
        <v/>
      </c>
      <c r="L477" s="15" t="str">
        <f>IF(OR(COUNTIF(クラス!$A$1:$A$1031, $B477),$B477="",COUNTIF(スキル一覧!$A$1:$A$3500, $B477)), "", "存在しない")</f>
        <v/>
      </c>
      <c r="M477" s="2" t="str">
        <f>IF(COUNTIF($B$1:$C476, $B477), "", "存在しない")</f>
        <v/>
      </c>
      <c r="N477" s="2" t="str">
        <f>IF(AND(A477&lt;&gt;"",L477="存在しない",M477="存在しない"),IF(COUNTIF([1]クラス!$A$1:$A$1000, $B477),"",TRUE),"")</f>
        <v/>
      </c>
    </row>
    <row r="478" spans="1:14" hidden="1" outlineLevel="1" x14ac:dyDescent="0.4">
      <c r="A478" s="2">
        <v>2</v>
      </c>
      <c r="B478" s="2" t="s">
        <v>284</v>
      </c>
      <c r="J478" s="6" t="str">
        <f>IFERROR(_xlfn.LET(_xlpm.v,
VLOOKUP($I478,効果!$A:$B,COLUMN(効果!B$1),FALSE),
IF(_xlpm.v=0,"",_xlpm.v)
),"")</f>
        <v/>
      </c>
      <c r="L478" s="15" t="str">
        <f>IF(OR(COUNTIF(クラス!$A$1:$A$1031,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3</v>
      </c>
      <c r="J479" s="6" t="str">
        <f>IFERROR(_xlfn.LET(_xlpm.v,
VLOOKUP($I479,効果!$A:$B,COLUMN(効果!B$1),FALSE),
IF(_xlpm.v=0,"",_xlpm.v)
),"")</f>
        <v/>
      </c>
      <c r="L479" s="15" t="str">
        <f>IF(OR(COUNTIF(クラス!$A$1:$A$1031,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4</v>
      </c>
      <c r="J480" s="6" t="str">
        <f>IFERROR(_xlfn.LET(_xlpm.v,
VLOOKUP($I480,効果!$A:$B,COLUMN(効果!B$1),FALSE),
IF(_xlpm.v=0,"",_xlpm.v)
),"")</f>
        <v/>
      </c>
      <c r="L480" s="15" t="str">
        <f>IF(OR(COUNTIF(クラス!$A$1:$A$1031,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5</v>
      </c>
      <c r="J481" s="6" t="str">
        <f>IFERROR(_xlfn.LET(_xlpm.v,
VLOOKUP($I481,効果!$A:$B,COLUMN(効果!B$1),FALSE),
IF(_xlpm.v=0,"",_xlpm.v)
),"")</f>
        <v/>
      </c>
      <c r="L481" s="15" t="str">
        <f>IF(OR(COUNTIF(クラス!$A$1:$A$1031,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6</v>
      </c>
      <c r="J482" s="6" t="str">
        <f>IFERROR(_xlfn.LET(_xlpm.v,
VLOOKUP($I482,効果!$A:$B,COLUMN(効果!B$1),FALSE),
IF(_xlpm.v=0,"",_xlpm.v)
),"")</f>
        <v/>
      </c>
      <c r="L482" s="15" t="str">
        <f>IF(OR(COUNTIF(クラス!$A$1:$A$1031,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7</v>
      </c>
      <c r="J483" s="6" t="str">
        <f>IFERROR(_xlfn.LET(_xlpm.v,
VLOOKUP($I483,効果!$A:$B,COLUMN(効果!B$1),FALSE),
IF(_xlpm.v=0,"",_xlpm.v)
),"")</f>
        <v/>
      </c>
      <c r="L483" s="15" t="str">
        <f>IF(OR(COUNTIF(クラス!$A$1:$A$1031,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8</v>
      </c>
      <c r="J484" s="6" t="str">
        <f>IFERROR(_xlfn.LET(_xlpm.v,
VLOOKUP($I484,効果!$A:$B,COLUMN(効果!B$1),FALSE),
IF(_xlpm.v=0,"",_xlpm.v)
),"")</f>
        <v/>
      </c>
      <c r="L484" s="15" t="str">
        <f>IF(OR(COUNTIF(クラス!$A$1:$A$1031,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9</v>
      </c>
      <c r="J485" s="6" t="str">
        <f>IFERROR(_xlfn.LET(_xlpm.v,
VLOOKUP($I485,効果!$A:$B,COLUMN(効果!B$1),FALSE),
IF(_xlpm.v=0,"",_xlpm.v)
),"")</f>
        <v/>
      </c>
      <c r="L485" s="15" t="str">
        <f>IF(OR(COUNTIF(クラス!$A$1:$A$1031,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10</v>
      </c>
      <c r="J486" s="6" t="str">
        <f>IFERROR(_xlfn.LET(_xlpm.v,
VLOOKUP($I486,効果!$A:$B,COLUMN(効果!B$1),FALSE),
IF(_xlpm.v=0,"",_xlpm.v)
),"")</f>
        <v/>
      </c>
      <c r="L486" s="15" t="str">
        <f>IF(OR(COUNTIF(クラス!$A$1:$A$1031,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J487" s="6" t="str">
        <f>IFERROR(_xlfn.LET(_xlpm.v,
VLOOKUP($I487,効果!$A:$B,COLUMN(効果!B$1),FALSE),
IF(_xlpm.v=0,"",_xlpm.v)
),"")</f>
        <v/>
      </c>
      <c r="L487" s="15" t="str">
        <f>IF(OR(COUNTIF(クラス!$A$1:$A$1031, $B487),$B487="",COUNTIF(スキル一覧!$A$1:$A$3500, $B487)), "", "存在しない")</f>
        <v/>
      </c>
      <c r="M487" s="2" t="str">
        <f>IF(COUNTIF($B$1:$C486, $B487), "", "存在しない")</f>
        <v>存在しない</v>
      </c>
      <c r="N487" s="2" t="str">
        <f>IF(AND(A487&lt;&gt;"",L487="存在しない",M487="存在しない"),IF(COUNTIF([1]クラス!$A$1:$A$1000, $B487),"",TRUE),"")</f>
        <v/>
      </c>
    </row>
    <row r="488" spans="1:14" collapsed="1" x14ac:dyDescent="0.4">
      <c r="J488" s="6" t="str">
        <f>IFERROR(_xlfn.LET(_xlpm.v,
VLOOKUP($I488,効果!$A:$B,COLUMN(効果!B$1),FALSE),
IF(_xlpm.v=0,"",_xlpm.v)
),"")</f>
        <v/>
      </c>
      <c r="L488" s="15" t="str">
        <f>IF(OR(COUNTIF(クラス!$A$1:$A$1031, $B488),$B488="",COUNTIF(スキル一覧!$A$1:$A$3500, $B488)), "", "存在しない")</f>
        <v/>
      </c>
      <c r="M488" s="2" t="str">
        <f>IF(COUNTIF($B$1:$C487, $B488), "", "存在しない")</f>
        <v>存在しない</v>
      </c>
      <c r="N488" s="2" t="str">
        <f>IF(AND(A488&lt;&gt;"",L488="存在しない",M488="存在しない"),IF(COUNTIF([1]クラス!$A$1:$A$1000, $B488),"",TRUE),"")</f>
        <v/>
      </c>
    </row>
    <row r="489" spans="1:14" x14ac:dyDescent="0.4">
      <c r="B489" s="2" t="s">
        <v>201</v>
      </c>
      <c r="J489" s="6" t="str">
        <f>IFERROR(_xlfn.LET(_xlpm.v,
VLOOKUP($I489,効果!$A:$B,COLUMN(効果!B$1),FALSE),
IF(_xlpm.v=0,"",_xlpm.v)
),"")</f>
        <v/>
      </c>
      <c r="L489" s="15" t="str">
        <f>IF(OR(COUNTIF(クラス!$A$1:$A$1031, $B489),$B489="",COUNTIF(スキル一覧!$A$1:$A$3500, $B489)), "", "存在しない")</f>
        <v/>
      </c>
      <c r="M489" s="2" t="str">
        <f>IF(COUNTIF($B$1:$C488, $B489), "", "存在しない")</f>
        <v>存在しない</v>
      </c>
      <c r="N489" s="2" t="str">
        <f>IF(AND(A489&lt;&gt;"",L489="存在しない",M489="存在しない"),IF(COUNTIF([1]クラス!$A$1:$A$1000, $B489),"",TRUE),"")</f>
        <v/>
      </c>
    </row>
    <row r="490" spans="1:14" hidden="1" outlineLevel="1" x14ac:dyDescent="0.4">
      <c r="A490" s="2">
        <v>1</v>
      </c>
      <c r="B490" s="2" t="s">
        <v>283</v>
      </c>
      <c r="J490" s="6" t="str">
        <f>IFERROR(_xlfn.LET(_xlpm.v,
VLOOKUP($I490,効果!$A:$B,COLUMN(効果!B$1),FALSE),
IF(_xlpm.v=0,"",_xlpm.v)
),"")</f>
        <v/>
      </c>
      <c r="L490" s="15" t="str">
        <f>IF(OR(COUNTIF(クラス!$A$1:$A$1031, $B490),$B490="",COUNTIF(スキル一覧!$A$1:$A$3500, $B490)), "", "存在しない")</f>
        <v/>
      </c>
      <c r="M490" s="2" t="str">
        <f>IF(COUNTIF($B$1:$C489, $B490), "", "存在しない")</f>
        <v/>
      </c>
      <c r="N490" s="2" t="str">
        <f>IF(AND(A490&lt;&gt;"",L490="存在しない",M490="存在しない"),IF(COUNTIF([1]クラス!$A$1:$A$1000, $B490),"",TRUE),"")</f>
        <v/>
      </c>
    </row>
    <row r="491" spans="1:14" hidden="1" outlineLevel="1" x14ac:dyDescent="0.4">
      <c r="A491" s="2">
        <v>2</v>
      </c>
      <c r="B491" s="2" t="s">
        <v>284</v>
      </c>
      <c r="J491" s="6" t="str">
        <f>IFERROR(_xlfn.LET(_xlpm.v,
VLOOKUP($I491,効果!$A:$B,COLUMN(効果!B$1),FALSE),
IF(_xlpm.v=0,"",_xlpm.v)
),"")</f>
        <v/>
      </c>
      <c r="L491" s="15" t="str">
        <f>IF(OR(COUNTIF(クラス!$A$1:$A$1031, $B491),$B491="",COUNTIF(スキル一覧!$A$1:$A$3500, $B491)), "", "存在しない")</f>
        <v/>
      </c>
      <c r="M491" s="2" t="str">
        <f>IF(COUNTIF($B$1:$C490, $B491), "", "存在しない")</f>
        <v/>
      </c>
      <c r="N491" s="2" t="str">
        <f>IF(AND(A491&lt;&gt;"",L491="存在しない",M491="存在しない"),IF(COUNTIF([1]クラス!$A$1:$A$1000, $B491),"",TRUE),"")</f>
        <v/>
      </c>
    </row>
    <row r="492" spans="1:14" hidden="1" outlineLevel="1" x14ac:dyDescent="0.4">
      <c r="A492" s="2">
        <v>3</v>
      </c>
      <c r="J492" s="6" t="str">
        <f>IFERROR(_xlfn.LET(_xlpm.v,
VLOOKUP($I492,効果!$A:$B,COLUMN(効果!B$1),FALSE),
IF(_xlpm.v=0,"",_xlpm.v)
),"")</f>
        <v/>
      </c>
      <c r="L492" s="15" t="str">
        <f>IF(OR(COUNTIF(クラス!$A$1:$A$1031, $B492),$B492="",COUNTIF(スキル一覧!$A$1:$A$3500, $B492)), "", "存在しない")</f>
        <v/>
      </c>
      <c r="M492" s="2" t="str">
        <f>IF(COUNTIF($B$1:$C491, $B492), "", "存在しない")</f>
        <v>存在しない</v>
      </c>
      <c r="N492" s="2" t="str">
        <f>IF(AND(A492&lt;&gt;"",L492="存在しない",M492="存在しない"),IF(COUNTIF([1]クラス!$A$1:$A$1000, $B492),"",TRUE),"")</f>
        <v/>
      </c>
    </row>
    <row r="493" spans="1:14" hidden="1" outlineLevel="1" x14ac:dyDescent="0.4">
      <c r="A493" s="2">
        <v>4</v>
      </c>
      <c r="J493" s="6" t="str">
        <f>IFERROR(_xlfn.LET(_xlpm.v,
VLOOKUP($I493,効果!$A:$B,COLUMN(効果!B$1),FALSE),
IF(_xlpm.v=0,"",_xlpm.v)
),"")</f>
        <v/>
      </c>
      <c r="L493" s="15" t="str">
        <f>IF(OR(COUNTIF(クラス!$A$1:$A$1031, $B493),$B493="",COUNTIF(スキル一覧!$A$1:$A$3500, $B493)), "", "存在しない")</f>
        <v/>
      </c>
      <c r="M493" s="2" t="str">
        <f>IF(COUNTIF($B$1:$C492, $B493), "", "存在しない")</f>
        <v>存在しない</v>
      </c>
      <c r="N493" s="2" t="str">
        <f>IF(AND(A493&lt;&gt;"",L493="存在しない",M493="存在しない"),IF(COUNTIF([1]クラス!$A$1:$A$1000, $B493),"",TRUE),"")</f>
        <v/>
      </c>
    </row>
    <row r="494" spans="1:14" hidden="1" outlineLevel="1" x14ac:dyDescent="0.4">
      <c r="A494" s="2">
        <v>5</v>
      </c>
      <c r="J494" s="6" t="str">
        <f>IFERROR(_xlfn.LET(_xlpm.v,
VLOOKUP($I494,効果!$A:$B,COLUMN(効果!B$1),FALSE),
IF(_xlpm.v=0,"",_xlpm.v)
),"")</f>
        <v/>
      </c>
      <c r="L494" s="15" t="str">
        <f>IF(OR(COUNTIF(クラス!$A$1:$A$1031, $B494),$B494="",COUNTIF(スキル一覧!$A$1:$A$3500, $B494)), "", "存在しない")</f>
        <v/>
      </c>
      <c r="M494" s="2" t="str">
        <f>IF(COUNTIF($B$1:$C493, $B494), "", "存在しない")</f>
        <v>存在しない</v>
      </c>
      <c r="N494" s="2" t="str">
        <f>IF(AND(A494&lt;&gt;"",L494="存在しない",M494="存在しない"),IF(COUNTIF([1]クラス!$A$1:$A$1000, $B494),"",TRUE),"")</f>
        <v/>
      </c>
    </row>
    <row r="495" spans="1:14" hidden="1" outlineLevel="1" x14ac:dyDescent="0.4">
      <c r="A495" s="2">
        <v>6</v>
      </c>
      <c r="J495" s="6" t="str">
        <f>IFERROR(_xlfn.LET(_xlpm.v,
VLOOKUP($I495,効果!$A:$B,COLUMN(効果!B$1),FALSE),
IF(_xlpm.v=0,"",_xlpm.v)
),"")</f>
        <v/>
      </c>
      <c r="L495" s="15" t="str">
        <f>IF(OR(COUNTIF(クラス!$A$1:$A$1031,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7</v>
      </c>
      <c r="J496" s="6" t="str">
        <f>IFERROR(_xlfn.LET(_xlpm.v,
VLOOKUP($I496,効果!$A:$B,COLUMN(効果!B$1),FALSE),
IF(_xlpm.v=0,"",_xlpm.v)
),"")</f>
        <v/>
      </c>
      <c r="L496" s="15" t="str">
        <f>IF(OR(COUNTIF(クラス!$A$1:$A$1031, $B496),$B496="",COUNTIF(スキル一覧!$A$1:$A$3500, $B496)), "", "存在しない")</f>
        <v/>
      </c>
      <c r="M496" s="2" t="str">
        <f>IF(COUNTIF($B$1:$C495, $B496), "", "存在しない")</f>
        <v>存在しない</v>
      </c>
      <c r="N496" s="2" t="str">
        <f>IF(AND(A496&lt;&gt;"",L496="存在しない",M496="存在しない"),IF(COUNTIF([1]クラス!$A$1:$A$1000, $B496),"",TRUE),"")</f>
        <v/>
      </c>
    </row>
    <row r="497" spans="1:14" hidden="1" outlineLevel="1" x14ac:dyDescent="0.4">
      <c r="A497" s="2">
        <v>8</v>
      </c>
      <c r="J497" s="6" t="str">
        <f>IFERROR(_xlfn.LET(_xlpm.v,
VLOOKUP($I497,効果!$A:$B,COLUMN(効果!B$1),FALSE),
IF(_xlpm.v=0,"",_xlpm.v)
),"")</f>
        <v/>
      </c>
      <c r="L497" s="15" t="str">
        <f>IF(OR(COUNTIF(クラス!$A$1:$A$1031, $B497),$B497="",COUNTIF(スキル一覧!$A$1:$A$3500, $B497)), "", "存在しない")</f>
        <v/>
      </c>
      <c r="M497" s="2" t="str">
        <f>IF(COUNTIF($B$1:$C496, $B497), "", "存在しない")</f>
        <v>存在しない</v>
      </c>
      <c r="N497" s="2" t="str">
        <f>IF(AND(A497&lt;&gt;"",L497="存在しない",M497="存在しない"),IF(COUNTIF([1]クラス!$A$1:$A$1000, $B497),"",TRUE),"")</f>
        <v/>
      </c>
    </row>
    <row r="498" spans="1:14" hidden="1" outlineLevel="1" x14ac:dyDescent="0.4">
      <c r="A498" s="2">
        <v>9</v>
      </c>
      <c r="J498" s="6" t="str">
        <f>IFERROR(_xlfn.LET(_xlpm.v,
VLOOKUP($I498,効果!$A:$B,COLUMN(効果!B$1),FALSE),
IF(_xlpm.v=0,"",_xlpm.v)
),"")</f>
        <v/>
      </c>
      <c r="L498" s="15" t="str">
        <f>IF(OR(COUNTIF(クラス!$A$1:$A$1031,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10</v>
      </c>
      <c r="J499" s="6" t="str">
        <f>IFERROR(_xlfn.LET(_xlpm.v,
VLOOKUP($I499,効果!$A:$B,COLUMN(効果!B$1),FALSE),
IF(_xlpm.v=0,"",_xlpm.v)
),"")</f>
        <v/>
      </c>
      <c r="L499" s="15" t="str">
        <f>IF(OR(COUNTIF(クラス!$A$1:$A$1031,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J500" s="6" t="str">
        <f>IFERROR(_xlfn.LET(_xlpm.v,
VLOOKUP($I500,効果!$A:$B,COLUMN(効果!B$1),FALSE),
IF(_xlpm.v=0,"",_xlpm.v)
),"")</f>
        <v/>
      </c>
      <c r="L500" s="15" t="str">
        <f>IF(OR(COUNTIF(クラス!$A$1:$A$1031, $B500),$B500="",COUNTIF(スキル一覧!$A$1:$A$3500, $B500)), "", "存在しない")</f>
        <v/>
      </c>
      <c r="M500" s="2" t="str">
        <f>IF(COUNTIF($B$1:$C499, $B500), "", "存在しない")</f>
        <v>存在しない</v>
      </c>
      <c r="N500" s="2" t="str">
        <f>IF(AND(A500&lt;&gt;"",L500="存在しない",M500="存在しない"),IF(COUNTIF([1]クラス!$A$1:$A$1000, $B500),"",TRUE),"")</f>
        <v/>
      </c>
    </row>
    <row r="501" spans="1:14" collapsed="1" x14ac:dyDescent="0.4">
      <c r="J501" s="6" t="str">
        <f>IFERROR(_xlfn.LET(_xlpm.v,
VLOOKUP($I501,効果!$A:$B,COLUMN(効果!B$1),FALSE),
IF(_xlpm.v=0,"",_xlpm.v)
),"")</f>
        <v/>
      </c>
      <c r="L501" s="15" t="str">
        <f>IF(OR(COUNTIF(クラス!$A$1:$A$1031, $B501),$B501="",COUNTIF(スキル一覧!$A$1:$A$3500, $B501)), "", "存在しない")</f>
        <v/>
      </c>
      <c r="M501" s="2" t="str">
        <f>IF(COUNTIF($B$1:$C500, $B501), "", "存在しない")</f>
        <v>存在しない</v>
      </c>
      <c r="N501" s="2" t="str">
        <f>IF(AND(A501&lt;&gt;"",L501="存在しない",M501="存在しない"),IF(COUNTIF([1]クラス!$A$1:$A$1000, $B501),"",TRUE),"")</f>
        <v/>
      </c>
    </row>
    <row r="502" spans="1:14" x14ac:dyDescent="0.4">
      <c r="B502" s="2" t="s">
        <v>203</v>
      </c>
      <c r="J502" s="6" t="str">
        <f>IFERROR(_xlfn.LET(_xlpm.v,
VLOOKUP($I502,効果!$A:$B,COLUMN(効果!B$1),FALSE),
IF(_xlpm.v=0,"",_xlpm.v)
),"")</f>
        <v/>
      </c>
      <c r="L502" s="15" t="str">
        <f>IF(OR(COUNTIF(クラス!$A$1:$A$1031, $B502),$B502="",COUNTIF(スキル一覧!$A$1:$A$3500, $B502)), "", "存在しない")</f>
        <v/>
      </c>
      <c r="M502" s="2" t="str">
        <f>IF(COUNTIF($B$1:$C501, $B502), "", "存在しない")</f>
        <v>存在しない</v>
      </c>
      <c r="N502" s="2" t="str">
        <f>IF(AND(A502&lt;&gt;"",L502="存在しない",M502="存在しない"),IF(COUNTIF([1]クラス!$A$1:$A$1000, $B502),"",TRUE),"")</f>
        <v/>
      </c>
    </row>
    <row r="503" spans="1:14" hidden="1" outlineLevel="1" x14ac:dyDescent="0.4">
      <c r="A503" s="2">
        <v>1</v>
      </c>
      <c r="B503" s="2" t="s">
        <v>284</v>
      </c>
      <c r="J503" s="6" t="str">
        <f>IFERROR(_xlfn.LET(_xlpm.v,
VLOOKUP($I503,効果!$A:$B,COLUMN(効果!B$1),FALSE),
IF(_xlpm.v=0,"",_xlpm.v)
),"")</f>
        <v/>
      </c>
      <c r="L503" s="15" t="str">
        <f>IF(OR(COUNTIF(クラス!$A$1:$A$1031, $B503),$B503="",COUNTIF(スキル一覧!$A$1:$A$3500, $B503)), "", "存在しない")</f>
        <v/>
      </c>
      <c r="M503" s="2" t="str">
        <f>IF(COUNTIF($B$1:$C502, $B503), "", "存在しない")</f>
        <v/>
      </c>
      <c r="N503" s="2" t="str">
        <f>IF(AND(A503&lt;&gt;"",L503="存在しない",M503="存在しない"),IF(COUNTIF([1]クラス!$A$1:$A$1000, $B503),"",TRUE),"")</f>
        <v/>
      </c>
    </row>
    <row r="504" spans="1:14" hidden="1" outlineLevel="1" x14ac:dyDescent="0.4">
      <c r="A504" s="2">
        <v>2</v>
      </c>
      <c r="J504" s="6" t="str">
        <f>IFERROR(_xlfn.LET(_xlpm.v,
VLOOKUP($I504,効果!$A:$B,COLUMN(効果!B$1),FALSE),
IF(_xlpm.v=0,"",_xlpm.v)
),"")</f>
        <v/>
      </c>
      <c r="L504" s="15" t="str">
        <f>IF(OR(COUNTIF(クラス!$A$1:$A$1031,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3</v>
      </c>
      <c r="J505" s="6" t="str">
        <f>IFERROR(_xlfn.LET(_xlpm.v,
VLOOKUP($I505,効果!$A:$B,COLUMN(効果!B$1),FALSE),
IF(_xlpm.v=0,"",_xlpm.v)
),"")</f>
        <v/>
      </c>
      <c r="L505" s="15" t="str">
        <f>IF(OR(COUNTIF(クラス!$A$1:$A$1031, $B505),$B505="",COUNTIF(スキル一覧!$A$1:$A$3500, $B505)), "", "存在しない")</f>
        <v/>
      </c>
      <c r="M505" s="2" t="str">
        <f>IF(COUNTIF($B$1:$C504, $B505), "", "存在しない")</f>
        <v>存在しない</v>
      </c>
      <c r="N505" s="2" t="str">
        <f>IF(AND(A505&lt;&gt;"",L505="存在しない",M505="存在しない"),IF(COUNTIF([1]クラス!$A$1:$A$1000, $B505),"",TRUE),"")</f>
        <v/>
      </c>
    </row>
    <row r="506" spans="1:14" hidden="1" outlineLevel="1" x14ac:dyDescent="0.4">
      <c r="A506" s="2">
        <v>4</v>
      </c>
      <c r="J506" s="6" t="str">
        <f>IFERROR(_xlfn.LET(_xlpm.v,
VLOOKUP($I506,効果!$A:$B,COLUMN(効果!B$1),FALSE),
IF(_xlpm.v=0,"",_xlpm.v)
),"")</f>
        <v/>
      </c>
      <c r="L506" s="15" t="str">
        <f>IF(OR(COUNTIF(クラス!$A$1:$A$1031, $B506),$B506="",COUNTIF(スキル一覧!$A$1:$A$3500, $B506)), "", "存在しない")</f>
        <v/>
      </c>
      <c r="M506" s="2" t="str">
        <f>IF(COUNTIF($B$1:$C505, $B506), "", "存在しない")</f>
        <v>存在しない</v>
      </c>
      <c r="N506" s="2" t="str">
        <f>IF(AND(A506&lt;&gt;"",L506="存在しない",M506="存在しない"),IF(COUNTIF([1]クラス!$A$1:$A$1000, $B506),"",TRUE),"")</f>
        <v/>
      </c>
    </row>
    <row r="507" spans="1:14" hidden="1" outlineLevel="1" x14ac:dyDescent="0.4">
      <c r="A507" s="2">
        <v>5</v>
      </c>
      <c r="J507" s="6" t="str">
        <f>IFERROR(_xlfn.LET(_xlpm.v,
VLOOKUP($I507,効果!$A:$B,COLUMN(効果!B$1),FALSE),
IF(_xlpm.v=0,"",_xlpm.v)
),"")</f>
        <v/>
      </c>
      <c r="L507" s="15" t="str">
        <f>IF(OR(COUNTIF(クラス!$A$1:$A$1031, $B507),$B507="",COUNTIF(スキル一覧!$A$1:$A$3500, $B507)), "", "存在しない")</f>
        <v/>
      </c>
      <c r="M507" s="2" t="str">
        <f>IF(COUNTIF($B$1:$C506, $B507), "", "存在しない")</f>
        <v>存在しない</v>
      </c>
      <c r="N507" s="2" t="str">
        <f>IF(AND(A507&lt;&gt;"",L507="存在しない",M507="存在しない"),IF(COUNTIF([1]クラス!$A$1:$A$1000, $B507),"",TRUE),"")</f>
        <v/>
      </c>
    </row>
    <row r="508" spans="1:14" hidden="1" outlineLevel="1" x14ac:dyDescent="0.4">
      <c r="A508" s="2">
        <v>6</v>
      </c>
      <c r="J508" s="6" t="str">
        <f>IFERROR(_xlfn.LET(_xlpm.v,
VLOOKUP($I508,効果!$A:$B,COLUMN(効果!B$1),FALSE),
IF(_xlpm.v=0,"",_xlpm.v)
),"")</f>
        <v/>
      </c>
      <c r="L508" s="15" t="str">
        <f>IF(OR(COUNTIF(クラス!$A$1:$A$1031,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7</v>
      </c>
      <c r="J509" s="6" t="str">
        <f>IFERROR(_xlfn.LET(_xlpm.v,
VLOOKUP($I509,効果!$A:$B,COLUMN(効果!B$1),FALSE),
IF(_xlpm.v=0,"",_xlpm.v)
),"")</f>
        <v/>
      </c>
      <c r="L509" s="15" t="str">
        <f>IF(OR(COUNTIF(クラス!$A$1:$A$1031, $B509),$B509="",COUNTIF(スキル一覧!$A$1:$A$3500, $B509)), "", "存在しない")</f>
        <v/>
      </c>
      <c r="M509" s="2" t="str">
        <f>IF(COUNTIF($B$1:$C508, $B509), "", "存在しない")</f>
        <v>存在しない</v>
      </c>
      <c r="N509" s="2" t="str">
        <f>IF(AND(A509&lt;&gt;"",L509="存在しない",M509="存在しない"),IF(COUNTIF([1]クラス!$A$1:$A$1000, $B509),"",TRUE),"")</f>
        <v/>
      </c>
    </row>
    <row r="510" spans="1:14" hidden="1" outlineLevel="1" x14ac:dyDescent="0.4">
      <c r="A510" s="2">
        <v>8</v>
      </c>
      <c r="J510" s="6" t="str">
        <f>IFERROR(_xlfn.LET(_xlpm.v,
VLOOKUP($I510,効果!$A:$B,COLUMN(効果!B$1),FALSE),
IF(_xlpm.v=0,"",_xlpm.v)
),"")</f>
        <v/>
      </c>
      <c r="L510" s="15" t="str">
        <f>IF(OR(COUNTIF(クラス!$A$1:$A$1031, $B510),$B510="",COUNTIF(スキル一覧!$A$1:$A$3500, $B510)), "", "存在しない")</f>
        <v/>
      </c>
      <c r="M510" s="2" t="str">
        <f>IF(COUNTIF($B$1:$C509, $B510), "", "存在しない")</f>
        <v>存在しない</v>
      </c>
      <c r="N510" s="2" t="str">
        <f>IF(AND(A510&lt;&gt;"",L510="存在しない",M510="存在しない"),IF(COUNTIF([1]クラス!$A$1:$A$1000, $B510),"",TRUE),"")</f>
        <v/>
      </c>
    </row>
    <row r="511" spans="1:14" hidden="1" outlineLevel="1" x14ac:dyDescent="0.4">
      <c r="A511" s="2">
        <v>9</v>
      </c>
      <c r="J511" s="6" t="str">
        <f>IFERROR(_xlfn.LET(_xlpm.v,
VLOOKUP($I511,効果!$A:$B,COLUMN(効果!B$1),FALSE),
IF(_xlpm.v=0,"",_xlpm.v)
),"")</f>
        <v/>
      </c>
      <c r="L511" s="15" t="str">
        <f>IF(OR(COUNTIF(クラス!$A$1:$A$1031,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10</v>
      </c>
      <c r="J512" s="6" t="str">
        <f>IFERROR(_xlfn.LET(_xlpm.v,
VLOOKUP($I512,効果!$A:$B,COLUMN(効果!B$1),FALSE),
IF(_xlpm.v=0,"",_xlpm.v)
),"")</f>
        <v/>
      </c>
      <c r="L512" s="15" t="str">
        <f>IF(OR(COUNTIF(クラス!$A$1:$A$1031,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J513" s="6" t="str">
        <f>IFERROR(_xlfn.LET(_xlpm.v,
VLOOKUP($I513,効果!$A:$B,COLUMN(効果!B$1),FALSE),
IF(_xlpm.v=0,"",_xlpm.v)
),"")</f>
        <v/>
      </c>
      <c r="L513" s="15" t="str">
        <f>IF(OR(COUNTIF(クラス!$A$1:$A$1031, $B513),$B513="",COUNTIF(スキル一覧!$A$1:$A$3500, $B513)), "", "存在しない")</f>
        <v/>
      </c>
      <c r="M513" s="2" t="str">
        <f>IF(COUNTIF($B$1:$C512, $B513), "", "存在しない")</f>
        <v>存在しない</v>
      </c>
      <c r="N513" s="2" t="str">
        <f>IF(AND(A513&lt;&gt;"",L513="存在しない",M513="存在しない"),IF(COUNTIF([1]クラス!$A$1:$A$1000, $B513),"",TRUE),"")</f>
        <v/>
      </c>
    </row>
    <row r="514" spans="1:14" collapsed="1" x14ac:dyDescent="0.4">
      <c r="J514" s="6" t="str">
        <f>IFERROR(_xlfn.LET(_xlpm.v,
VLOOKUP($I514,効果!$A:$B,COLUMN(効果!B$1),FALSE),
IF(_xlpm.v=0,"",_xlpm.v)
),"")</f>
        <v/>
      </c>
      <c r="L514" s="15" t="str">
        <f>IF(OR(COUNTIF(クラス!$A$1:$A$1031, $B514),$B514="",COUNTIF(スキル一覧!$A$1:$A$3500, $B514)), "", "存在しない")</f>
        <v/>
      </c>
      <c r="M514" s="2" t="str">
        <f>IF(COUNTIF($B$1:$C513, $B514), "", "存在しない")</f>
        <v>存在しない</v>
      </c>
      <c r="N514" s="2" t="str">
        <f>IF(AND(A514&lt;&gt;"",L514="存在しない",M514="存在しない"),IF(COUNTIF([1]クラス!$A$1:$A$1000, $B514),"",TRUE),"")</f>
        <v/>
      </c>
    </row>
    <row r="515" spans="1:14" x14ac:dyDescent="0.4">
      <c r="J515" s="6" t="str">
        <f>IFERROR(_xlfn.LET(_xlpm.v,
VLOOKUP($I515,効果!$A:$B,COLUMN(効果!B$1),FALSE),
IF(_xlpm.v=0,"",_xlpm.v)
),"")</f>
        <v/>
      </c>
      <c r="L515" s="15" t="str">
        <f>IF(OR(COUNTIF(クラス!$A$1:$A$1031, $B515),$B515="",COUNTIF(スキル一覧!$A$1:$A$3500, $B515)), "", "存在しない")</f>
        <v/>
      </c>
      <c r="M515" s="2" t="str">
        <f>IF(COUNTIF($B$1:$C514, $B515), "", "存在しない")</f>
        <v>存在しない</v>
      </c>
      <c r="N515" s="2" t="str">
        <f>IF(AND(A515&lt;&gt;"",L515="存在しない",M515="存在しない"),IF(COUNTIF([1]クラス!$A$1:$A$1000, $B515),"",TRUE),"")</f>
        <v/>
      </c>
    </row>
    <row r="516" spans="1:14" ht="18.75" x14ac:dyDescent="0.4">
      <c r="B516" t="s">
        <v>864</v>
      </c>
      <c r="D516" s="7" t="s">
        <v>870</v>
      </c>
      <c r="E516" s="13" t="s">
        <v>871</v>
      </c>
      <c r="J516" s="6" t="str">
        <f>IFERROR(_xlfn.LET(_xlpm.v,
VLOOKUP($I516,効果!$A:$B,COLUMN(効果!B$1),FALSE),
IF(_xlpm.v=0,"",_xlpm.v)
),"")</f>
        <v/>
      </c>
      <c r="L516" s="15" t="str">
        <f>IF(OR(COUNTIF(クラス!$A$1:$A$1031, $B516),$B516="",COUNTIF(スキル一覧!$A$1:$A$3500, $B516)), "", "存在しない")</f>
        <v/>
      </c>
      <c r="M516" s="2" t="str">
        <f>IF(COUNTIF($B$1:$C515, $B516), "", "存在しない")</f>
        <v>存在しない</v>
      </c>
      <c r="N516" s="2" t="str">
        <f>IF(AND(A516&lt;&gt;"",L516="存在しない",M516="存在しない"),IF(COUNTIF([1]クラス!$A$1:$A$1000, $B516),"",TRUE),"")</f>
        <v/>
      </c>
    </row>
    <row r="517" spans="1:14" hidden="1" outlineLevel="1" x14ac:dyDescent="0.4">
      <c r="A517" s="2">
        <v>1</v>
      </c>
      <c r="B517" s="2" t="str">
        <f>D516&amp;"の適用"</f>
        <v>炎の適用</v>
      </c>
      <c r="D517" s="7"/>
      <c r="E517" s="13" t="s">
        <v>475</v>
      </c>
      <c r="H517" s="10" t="str">
        <f>D516&amp;"耐性+30"</f>
        <v>炎耐性+30</v>
      </c>
      <c r="J517" s="6" t="str">
        <f>IFERROR(_xlfn.LET(_xlpm.v,
VLOOKUP($I517,効果!$A:$B,COLUMN(効果!B$1),FALSE),
IF(_xlpm.v=0,"",_xlpm.v)
),"")</f>
        <v/>
      </c>
      <c r="L517" s="15" t="str">
        <f>IF(OR(COUNTIF(クラス!$A$1:$A$1031, $B517),$B517="",COUNTIF(スキル一覧!$A$1:$A$3500, $B517)), "", "存在しない")</f>
        <v>存在しない</v>
      </c>
      <c r="M517" s="2" t="str">
        <f>IF(COUNTIF($B$1:$C516, $B517), "", "存在しない")</f>
        <v>存在しない</v>
      </c>
      <c r="N517" s="2" t="e">
        <f>IF(AND(A517&lt;&gt;"",L517="存在しない",M517="存在しない"),IF(COUNTIF([1]クラス!$A$1:$A$1000, $B517),"",TRUE),"")</f>
        <v>#VALUE!</v>
      </c>
    </row>
    <row r="518" spans="1:14" hidden="1" outlineLevel="1" x14ac:dyDescent="0.4">
      <c r="A518" s="2">
        <v>2</v>
      </c>
      <c r="D518" s="7"/>
      <c r="J518" s="6" t="str">
        <f>IFERROR(_xlfn.LET(_xlpm.v,
VLOOKUP($I518,効果!$A:$B,COLUMN(効果!B$1),FALSE),
IF(_xlpm.v=0,"",_xlpm.v)
),"")</f>
        <v/>
      </c>
      <c r="L518" s="15" t="str">
        <f>IF(OR(COUNTIF(クラス!$A$1:$A$1031, $B518),$B518="",COUNTIF(スキル一覧!$A$1:$A$3500, $B518)), "", "存在しない")</f>
        <v/>
      </c>
      <c r="M518" s="2" t="str">
        <f>IF(COUNTIF($B$1:$C517, $B518), "", "存在しない")</f>
        <v>存在しない</v>
      </c>
      <c r="N518" s="2" t="str">
        <f>IF(AND(A518&lt;&gt;"",L518="存在しない",M518="存在しない"),IF(COUNTIF([1]クラス!$A$1:$A$1000, $B518),"",TRUE),"")</f>
        <v/>
      </c>
    </row>
    <row r="519" spans="1:14" ht="36" hidden="1" outlineLevel="1" x14ac:dyDescent="0.4">
      <c r="A519" s="2">
        <v>3</v>
      </c>
      <c r="B519" s="2" t="str">
        <f>D516&amp;"の体"</f>
        <v>炎の体</v>
      </c>
      <c r="D519" s="7"/>
      <c r="E519" s="13" t="s">
        <v>778</v>
      </c>
      <c r="F519" s="14">
        <v>5</v>
      </c>
      <c r="G519" s="19">
        <v>20</v>
      </c>
      <c r="H519" s="10" t="str">
        <f>"効果時間6t 攻撃手段:肉体 "&amp;D516&amp;"+15 判定:攻撃"</f>
        <v>効果時間6t 攻撃手段:肉体 炎+15 判定:攻撃</v>
      </c>
      <c r="J519" s="6" t="str">
        <f>IFERROR(_xlfn.LET(_xlpm.v,
VLOOKUP($I519,効果!$A:$B,COLUMN(効果!B$1),FALSE),
IF(_xlpm.v=0,"",_xlpm.v)
),"")</f>
        <v/>
      </c>
      <c r="L519" s="15" t="str">
        <f>IF(OR(COUNTIF(クラス!$A$1:$A$1031, $B519),$B519="",COUNTIF(スキル一覧!$A$1:$A$3500, $B519)), "", "存在しない")</f>
        <v>存在しない</v>
      </c>
      <c r="M519" s="2" t="str">
        <f>IF(COUNTIF($B$1:$C518, $B519), "", "存在しない")</f>
        <v>存在しない</v>
      </c>
      <c r="N519" s="2" t="e">
        <f>IF(AND(A519&lt;&gt;"",L519="存在しない",M519="存在しない"),IF(COUNTIF([1]クラス!$A$1:$A$1000, $B519),"",TRUE),"")</f>
        <v>#VALUE!</v>
      </c>
    </row>
    <row r="520" spans="1:14" hidden="1" outlineLevel="1" x14ac:dyDescent="0.4">
      <c r="A520" s="2">
        <v>4</v>
      </c>
      <c r="D520" s="7"/>
      <c r="J520" s="6" t="str">
        <f>IFERROR(_xlfn.LET(_xlpm.v,
VLOOKUP($I520,効果!$A:$B,COLUMN(効果!B$1),FALSE),
IF(_xlpm.v=0,"",_xlpm.v)
),"")</f>
        <v/>
      </c>
      <c r="L520" s="15" t="str">
        <f>IF(OR(COUNTIF(クラス!$A$1:$A$1031, $B520),$B520="",COUNTIF(スキル一覧!$A$1:$A$3500, $B520)), "", "存在しない")</f>
        <v/>
      </c>
      <c r="M520" s="2" t="str">
        <f>IF(COUNTIF($B$1:$C519, $B520), "", "存在しない")</f>
        <v>存在しない</v>
      </c>
      <c r="N520" s="2" t="str">
        <f>IF(AND(A520&lt;&gt;"",L520="存在しない",M520="存在しない"),IF(COUNTIF([1]クラス!$A$1:$A$1000, $B520),"",TRUE),"")</f>
        <v/>
      </c>
    </row>
    <row r="521" spans="1:14" hidden="1" outlineLevel="1" x14ac:dyDescent="0.4">
      <c r="A521" s="2">
        <v>5</v>
      </c>
      <c r="D521" s="7"/>
      <c r="E521" s="13" t="s">
        <v>475</v>
      </c>
      <c r="J521" s="6" t="str">
        <f>IFERROR(_xlfn.LET(_xlpm.v,
VLOOKUP($I521,効果!$A:$B,COLUMN(効果!B$1),FALSE),
IF(_xlpm.v=0,"",_xlpm.v)
),"")</f>
        <v/>
      </c>
      <c r="L521" s="15" t="str">
        <f>IF(OR(COUNTIF(クラス!$A$1:$A$1031, $B521),$B521="",COUNTIF(スキル一覧!$A$1:$A$3500, $B521)), "", "存在しない")</f>
        <v/>
      </c>
      <c r="M521" s="2" t="str">
        <f>IF(COUNTIF($B$1:$C520, $B521), "", "存在しない")</f>
        <v>存在しない</v>
      </c>
      <c r="N521" s="2" t="str">
        <f>IF(AND(A521&lt;&gt;"",L521="存在しない",M521="存在しない"),IF(COUNTIF([1]クラス!$A$1:$A$1000, $B521),"",TRUE),"")</f>
        <v/>
      </c>
    </row>
    <row r="522" spans="1:14" ht="36" hidden="1" outlineLevel="1" x14ac:dyDescent="0.4">
      <c r="A522" s="2">
        <v>6</v>
      </c>
      <c r="B522" s="2" t="str">
        <f>E516&amp;"突撃"</f>
        <v>火炎突撃</v>
      </c>
      <c r="D522" s="7" t="str">
        <f>D516</f>
        <v>炎</v>
      </c>
      <c r="E522" s="13" t="s">
        <v>778</v>
      </c>
      <c r="F522" s="14">
        <v>5</v>
      </c>
      <c r="G522" s="19">
        <v>60</v>
      </c>
      <c r="H522" s="10" t="str">
        <f>"攻撃手段:肉体 打撃+15 "&amp;D516&amp;"+20 追加威力:速度 判定:攻撃 溜め:1t CT:5t"</f>
        <v>攻撃手段:肉体 打撃+15 炎+20 追加威力:速度 判定:攻撃 溜め:1t CT:5t</v>
      </c>
      <c r="J522" s="6" t="str">
        <f>IFERROR(_xlfn.LET(_xlpm.v,
VLOOKUP($I522,効果!$A:$B,COLUMN(効果!B$1),FALSE),
IF(_xlpm.v=0,"",_xlpm.v)
),"")</f>
        <v/>
      </c>
      <c r="L522" s="15" t="str">
        <f>IF(OR(COUNTIF(クラス!$A$1:$A$1031, $B522),$B522="",COUNTIF(スキル一覧!$A$1:$A$3500, $B522)), "", "存在しない")</f>
        <v>存在しない</v>
      </c>
      <c r="M522" s="2" t="str">
        <f>IF(COUNTIF($B$1:$C521, $B522), "", "存在しない")</f>
        <v>存在しない</v>
      </c>
      <c r="N522" s="2" t="e">
        <f>IF(AND(A522&lt;&gt;"",L522="存在しない",M522="存在しない"),IF(COUNTIF([1]クラス!$A$1:$A$1000, $B522),"",TRUE),"")</f>
        <v>#VALUE!</v>
      </c>
    </row>
    <row r="523" spans="1:14" hidden="1" outlineLevel="1" x14ac:dyDescent="0.4">
      <c r="A523" s="2">
        <v>7</v>
      </c>
      <c r="D523" s="7"/>
      <c r="J523" s="6" t="str">
        <f>IFERROR(_xlfn.LET(_xlpm.v,
VLOOKUP($I523,効果!$A:$B,COLUMN(効果!B$1),FALSE),
IF(_xlpm.v=0,"",_xlpm.v)
),"")</f>
        <v/>
      </c>
      <c r="L523" s="15" t="str">
        <f>IF(OR(COUNTIF(クラス!$A$1:$A$1031, $B523),$B523="",COUNTIF(スキル一覧!$A$1:$A$3500, $B523)), "", "存在しない")</f>
        <v/>
      </c>
      <c r="M523" s="2" t="str">
        <f>IF(COUNTIF($B$1:$C522, $B523), "", "存在しない")</f>
        <v>存在しない</v>
      </c>
      <c r="N523" s="2" t="str">
        <f>IF(AND(A523&lt;&gt;"",L523="存在しない",M523="存在しない"),IF(COUNTIF([1]クラス!$A$1:$A$1000, $B523),"",TRUE),"")</f>
        <v/>
      </c>
    </row>
    <row r="524" spans="1:14" hidden="1" outlineLevel="1" x14ac:dyDescent="0.4">
      <c r="A524" s="2">
        <v>8</v>
      </c>
      <c r="D524" s="7"/>
      <c r="J524" s="6" t="str">
        <f>IFERROR(_xlfn.LET(_xlpm.v,
VLOOKUP($I524,効果!$A:$B,COLUMN(効果!B$1),FALSE),
IF(_xlpm.v=0,"",_xlpm.v)
),"")</f>
        <v/>
      </c>
      <c r="L524" s="15" t="str">
        <f>IF(OR(COUNTIF(クラス!$A$1:$A$1031,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9</v>
      </c>
      <c r="B525" s="2" t="str">
        <f>D516&amp;"強化"</f>
        <v>炎強化</v>
      </c>
      <c r="D525" s="7"/>
      <c r="E525" s="13" t="s">
        <v>475</v>
      </c>
      <c r="H525" s="10" t="str">
        <f>"条件系統:"&amp;D516&amp;" 全威力+10"</f>
        <v>条件系統:炎 全威力+10</v>
      </c>
      <c r="J525" s="6" t="str">
        <f>IFERROR(_xlfn.LET(_xlpm.v,
VLOOKUP($I525,効果!$A:$B,COLUMN(効果!B$1),FALSE),
IF(_xlpm.v=0,"",_xlpm.v)
),"")</f>
        <v/>
      </c>
      <c r="L525" s="15" t="str">
        <f>IF(OR(COUNTIF(クラス!$A$1:$A$1031, $B525),$B525="",COUNTIF(スキル一覧!$A$1:$A$3500, $B525)), "", "存在しない")</f>
        <v>存在しない</v>
      </c>
      <c r="M525" s="2" t="str">
        <f>IF(COUNTIF($B$1:$C524, $B525), "", "存在しない")</f>
        <v>存在しない</v>
      </c>
      <c r="N525" s="2" t="e">
        <f>IF(AND(A525&lt;&gt;"",L525="存在しない",M525="存在しない"),IF(COUNTIF([1]クラス!$A$1:$A$1000, $B525),"",TRUE),"")</f>
        <v>#VALUE!</v>
      </c>
    </row>
    <row r="526" spans="1:14" hidden="1" outlineLevel="1" x14ac:dyDescent="0.4">
      <c r="A526" s="2">
        <v>10</v>
      </c>
      <c r="B526" s="2" t="str">
        <f>D516&amp;"の唾"</f>
        <v>炎の唾</v>
      </c>
      <c r="D526" s="7" t="str">
        <f>D516</f>
        <v>炎</v>
      </c>
      <c r="E526" s="13" t="s">
        <v>778</v>
      </c>
      <c r="G526" s="19">
        <v>25</v>
      </c>
      <c r="H526" s="10" t="str">
        <f>"攻撃手段:吐息 "&amp;D516&amp;"+30 射程:2 判定:Lv"</f>
        <v>攻撃手段:吐息 炎+30 射程:2 判定:Lv</v>
      </c>
      <c r="J526" s="6" t="str">
        <f>IFERROR(_xlfn.LET(_xlpm.v,
VLOOKUP($I526,効果!$A:$B,COLUMN(効果!B$1),FALSE),
IF(_xlpm.v=0,"",_xlpm.v)
),"")</f>
        <v/>
      </c>
      <c r="L526" s="15" t="str">
        <f>IF(OR(COUNTIF(クラス!$A$1:$A$1031,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idden="1" outlineLevel="1" x14ac:dyDescent="0.4">
      <c r="J527" s="6" t="str">
        <f>IFERROR(_xlfn.LET(_xlpm.v,
VLOOKUP($I527,効果!$A:$B,COLUMN(効果!B$1),FALSE),
IF(_xlpm.v=0,"",_xlpm.v)
),"")</f>
        <v/>
      </c>
      <c r="L527" s="15" t="str">
        <f>IF(OR(COUNTIF(クラス!$A$1:$A$1031, $B527),$B527="",COUNTIF(スキル一覧!$A$1:$A$3500, $B527)), "", "存在しない")</f>
        <v/>
      </c>
      <c r="M527" s="2" t="str">
        <f>IF(COUNTIF($B$1:$C526, $B527), "", "存在しない")</f>
        <v>存在しない</v>
      </c>
      <c r="N527" s="2" t="str">
        <f>IF(AND(A527&lt;&gt;"",L527="存在しない",M527="存在しない"),IF(COUNTIF([1]クラス!$A$1:$A$1000, $B527),"",TRUE),"")</f>
        <v/>
      </c>
    </row>
    <row r="528" spans="1:14" collapsed="1" x14ac:dyDescent="0.4">
      <c r="J528" s="6" t="str">
        <f>IFERROR(_xlfn.LET(_xlpm.v,
VLOOKUP($I528,効果!$A:$B,COLUMN(効果!B$1),FALSE),
IF(_xlpm.v=0,"",_xlpm.v)
),"")</f>
        <v/>
      </c>
      <c r="L528" s="15" t="str">
        <f>IF(OR(COUNTIF(クラス!$A$1:$A$1031, $B528),$B528="",COUNTIF(スキル一覧!$A$1:$A$3500, $B528)), "", "存在しない")</f>
        <v/>
      </c>
      <c r="M528" s="2" t="str">
        <f>IF(COUNTIF($B$1:$C527, $B528), "", "存在しない")</f>
        <v>存在しない</v>
      </c>
      <c r="N528" s="2" t="str">
        <f>IF(AND(A528&lt;&gt;"",L528="存在しない",M528="存在しない"),IF(COUNTIF([1]クラス!$A$1:$A$1000, $B528),"",TRUE),"")</f>
        <v/>
      </c>
    </row>
    <row r="529" spans="1:14" ht="18.75" x14ac:dyDescent="0.4">
      <c r="B529" t="s">
        <v>865</v>
      </c>
      <c r="D529" s="2" t="s">
        <v>873</v>
      </c>
      <c r="E529" s="13" t="s">
        <v>874</v>
      </c>
      <c r="J529" s="6" t="str">
        <f>IFERROR(_xlfn.LET(_xlpm.v,
VLOOKUP($I529,効果!$A:$B,COLUMN(効果!B$1),FALSE),
IF(_xlpm.v=0,"",_xlpm.v)
),"")</f>
        <v/>
      </c>
      <c r="L529" s="15" t="str">
        <f>IF(OR(COUNTIF(クラス!$A$1:$A$1031, $B529),$B529="",COUNTIF(スキル一覧!$A$1:$A$3500, $B529)), "", "存在しない")</f>
        <v/>
      </c>
      <c r="M529" s="2" t="str">
        <f>IF(COUNTIF($B$1:$C528, $B529), "", "存在しない")</f>
        <v>存在しない</v>
      </c>
      <c r="N529" s="2" t="str">
        <f>IF(AND(A529&lt;&gt;"",L529="存在しない",M529="存在しない"),IF(COUNTIF([1]クラス!$A$1:$A$1000, $B529),"",TRUE),"")</f>
        <v/>
      </c>
    </row>
    <row r="530" spans="1:14" hidden="1" outlineLevel="1" x14ac:dyDescent="0.4">
      <c r="A530" s="2">
        <v>1</v>
      </c>
      <c r="B530" s="2" t="str">
        <f>D529&amp;"の適用"</f>
        <v>氷の適用</v>
      </c>
      <c r="D530" s="7"/>
      <c r="E530" s="13" t="s">
        <v>475</v>
      </c>
      <c r="H530" s="10" t="str">
        <f>D529&amp;"耐性+30"</f>
        <v>氷耐性+30</v>
      </c>
      <c r="J530" s="6" t="str">
        <f>IFERROR(_xlfn.LET(_xlpm.v,
VLOOKUP($I530,効果!$A:$B,COLUMN(効果!B$1),FALSE),
IF(_xlpm.v=0,"",_xlpm.v)
),"")</f>
        <v/>
      </c>
      <c r="L530" s="15" t="str">
        <f>IF(OR(COUNTIF(クラス!$A$1:$A$1031, $B530),$B530="",COUNTIF(スキル一覧!$A$1:$A$3500, $B530)), "", "存在しない")</f>
        <v>存在しない</v>
      </c>
      <c r="M530" s="2" t="str">
        <f>IF(COUNTIF($B$1:$C529, $B530), "", "存在しない")</f>
        <v>存在しない</v>
      </c>
      <c r="N530" s="2" t="e">
        <f>IF(AND(A530&lt;&gt;"",L530="存在しない",M530="存在しない"),IF(COUNTIF([1]クラス!$A$1:$A$1000, $B530),"",TRUE),"")</f>
        <v>#VALUE!</v>
      </c>
    </row>
    <row r="531" spans="1:14" hidden="1" outlineLevel="1" x14ac:dyDescent="0.4">
      <c r="A531" s="2">
        <v>2</v>
      </c>
      <c r="D531" s="7"/>
      <c r="J531" s="6" t="str">
        <f>IFERROR(_xlfn.LET(_xlpm.v,
VLOOKUP($I531,効果!$A:$B,COLUMN(効果!B$1),FALSE),
IF(_xlpm.v=0,"",_xlpm.v)
),"")</f>
        <v/>
      </c>
      <c r="L531" s="15" t="str">
        <f>IF(OR(COUNTIF(クラス!$A$1:$A$1031, $B531),$B531="",COUNTIF(スキル一覧!$A$1:$A$3500, $B531)), "", "存在しない")</f>
        <v/>
      </c>
      <c r="M531" s="2" t="str">
        <f>IF(COUNTIF($B$1:$C530, $B531), "", "存在しない")</f>
        <v>存在しない</v>
      </c>
      <c r="N531" s="2" t="str">
        <f>IF(AND(A531&lt;&gt;"",L531="存在しない",M531="存在しない"),IF(COUNTIF([1]クラス!$A$1:$A$1000, $B531),"",TRUE),"")</f>
        <v/>
      </c>
    </row>
    <row r="532" spans="1:14" ht="36" hidden="1" outlineLevel="1" x14ac:dyDescent="0.4">
      <c r="A532" s="2">
        <v>3</v>
      </c>
      <c r="B532" s="2" t="str">
        <f>D529&amp;"の体"</f>
        <v>氷の体</v>
      </c>
      <c r="D532" s="7"/>
      <c r="E532" s="13" t="s">
        <v>778</v>
      </c>
      <c r="F532" s="14">
        <v>5</v>
      </c>
      <c r="G532" s="19">
        <v>20</v>
      </c>
      <c r="H532" s="10" t="str">
        <f>"効果時間6t 攻撃手段:肉体 "&amp;D529&amp;"+15 判定:攻撃"</f>
        <v>効果時間6t 攻撃手段:肉体 氷+15 判定:攻撃</v>
      </c>
      <c r="J532" s="6" t="str">
        <f>IFERROR(_xlfn.LET(_xlpm.v,
VLOOKUP($I532,効果!$A:$B,COLUMN(効果!B$1),FALSE),
IF(_xlpm.v=0,"",_xlpm.v)
),"")</f>
        <v/>
      </c>
      <c r="L532" s="15" t="str">
        <f>IF(OR(COUNTIF(クラス!$A$1:$A$1031, $B532),$B532="",COUNTIF(スキル一覧!$A$1:$A$3500, $B532)), "", "存在しない")</f>
        <v>存在しない</v>
      </c>
      <c r="M532" s="2" t="str">
        <f>IF(COUNTIF($B$1:$C531, $B532), "", "存在しない")</f>
        <v>存在しない</v>
      </c>
      <c r="N532" s="2" t="e">
        <f>IF(AND(A532&lt;&gt;"",L532="存在しない",M532="存在しない"),IF(COUNTIF([1]クラス!$A$1:$A$1000, $B532),"",TRUE),"")</f>
        <v>#VALUE!</v>
      </c>
    </row>
    <row r="533" spans="1:14" hidden="1" outlineLevel="1" x14ac:dyDescent="0.4">
      <c r="A533" s="2">
        <v>4</v>
      </c>
      <c r="D533" s="7"/>
      <c r="J533" s="6" t="str">
        <f>IFERROR(_xlfn.LET(_xlpm.v,
VLOOKUP($I533,効果!$A:$B,COLUMN(効果!B$1),FALSE),
IF(_xlpm.v=0,"",_xlpm.v)
),"")</f>
        <v/>
      </c>
      <c r="L533" s="15" t="str">
        <f>IF(OR(COUNTIF(クラス!$A$1:$A$1031, $B533),$B533="",COUNTIF(スキル一覧!$A$1:$A$3500, $B533)), "", "存在しない")</f>
        <v/>
      </c>
      <c r="M533" s="2" t="str">
        <f>IF(COUNTIF($B$1:$C532, $B533), "", "存在しない")</f>
        <v>存在しない</v>
      </c>
      <c r="N533" s="2" t="str">
        <f>IF(AND(A533&lt;&gt;"",L533="存在しない",M533="存在しない"),IF(COUNTIF([1]クラス!$A$1:$A$1000, $B533),"",TRUE),"")</f>
        <v/>
      </c>
    </row>
    <row r="534" spans="1:14" hidden="1" outlineLevel="1" x14ac:dyDescent="0.4">
      <c r="A534" s="2">
        <v>5</v>
      </c>
      <c r="D534" s="7"/>
      <c r="E534" s="13" t="s">
        <v>475</v>
      </c>
      <c r="J534" s="6" t="str">
        <f>IFERROR(_xlfn.LET(_xlpm.v,
VLOOKUP($I534,効果!$A:$B,COLUMN(効果!B$1),FALSE),
IF(_xlpm.v=0,"",_xlpm.v)
),"")</f>
        <v/>
      </c>
      <c r="L534" s="15" t="str">
        <f>IF(OR(COUNTIF(クラス!$A$1:$A$1031, $B534),$B534="",COUNTIF(スキル一覧!$A$1:$A$3500, $B534)), "", "存在しない")</f>
        <v/>
      </c>
      <c r="M534" s="2" t="str">
        <f>IF(COUNTIF($B$1:$C533, $B534), "", "存在しない")</f>
        <v>存在しない</v>
      </c>
      <c r="N534" s="2" t="str">
        <f>IF(AND(A534&lt;&gt;"",L534="存在しない",M534="存在しない"),IF(COUNTIF([1]クラス!$A$1:$A$1000, $B534),"",TRUE),"")</f>
        <v/>
      </c>
    </row>
    <row r="535" spans="1:14" ht="36" hidden="1" outlineLevel="1" x14ac:dyDescent="0.4">
      <c r="A535" s="2">
        <v>6</v>
      </c>
      <c r="B535" s="2" t="str">
        <f>E529&amp;"突撃"</f>
        <v>氷結突撃</v>
      </c>
      <c r="D535" s="7" t="str">
        <f>D529</f>
        <v>氷</v>
      </c>
      <c r="E535" s="13" t="s">
        <v>778</v>
      </c>
      <c r="F535" s="14">
        <v>5</v>
      </c>
      <c r="G535" s="19">
        <v>60</v>
      </c>
      <c r="H535" s="10" t="str">
        <f>"攻撃手段:肉体 打撃+15 "&amp;D529&amp;"+20 追加威力:速度 判定:攻撃 溜め:1t CT:5t"</f>
        <v>攻撃手段:肉体 打撃+15 氷+20 追加威力:速度 判定:攻撃 溜め:1t CT:5t</v>
      </c>
      <c r="J535" s="6" t="str">
        <f>IFERROR(_xlfn.LET(_xlpm.v,
VLOOKUP($I535,効果!$A:$B,COLUMN(効果!B$1),FALSE),
IF(_xlpm.v=0,"",_xlpm.v)
),"")</f>
        <v/>
      </c>
      <c r="L535" s="15" t="str">
        <f>IF(OR(COUNTIF(クラス!$A$1:$A$1031, $B535),$B535="",COUNTIF(スキル一覧!$A$1:$A$3500, $B535)), "", "存在しない")</f>
        <v>存在しない</v>
      </c>
      <c r="M535" s="2" t="str">
        <f>IF(COUNTIF($B$1:$C534, $B535), "", "存在しない")</f>
        <v>存在しない</v>
      </c>
      <c r="N535" s="2" t="e">
        <f>IF(AND(A535&lt;&gt;"",L535="存在しない",M535="存在しない"),IF(COUNTIF([1]クラス!$A$1:$A$1000, $B535),"",TRUE),"")</f>
        <v>#VALUE!</v>
      </c>
    </row>
    <row r="536" spans="1:14" hidden="1" outlineLevel="1" x14ac:dyDescent="0.4">
      <c r="A536" s="2">
        <v>7</v>
      </c>
      <c r="D536" s="7"/>
      <c r="J536" s="6" t="str">
        <f>IFERROR(_xlfn.LET(_xlpm.v,
VLOOKUP($I536,効果!$A:$B,COLUMN(効果!B$1),FALSE),
IF(_xlpm.v=0,"",_xlpm.v)
),"")</f>
        <v/>
      </c>
      <c r="L536" s="15" t="str">
        <f>IF(OR(COUNTIF(クラス!$A$1:$A$1031, $B536),$B536="",COUNTIF(スキル一覧!$A$1:$A$3500, $B536)), "", "存在しない")</f>
        <v/>
      </c>
      <c r="M536" s="2" t="str">
        <f>IF(COUNTIF($B$1:$C535, $B536), "", "存在しない")</f>
        <v>存在しない</v>
      </c>
      <c r="N536" s="2" t="str">
        <f>IF(AND(A536&lt;&gt;"",L536="存在しない",M536="存在しない"),IF(COUNTIF([1]クラス!$A$1:$A$1000, $B536),"",TRUE),"")</f>
        <v/>
      </c>
    </row>
    <row r="537" spans="1:14" hidden="1" outlineLevel="1" x14ac:dyDescent="0.4">
      <c r="A537" s="2">
        <v>8</v>
      </c>
      <c r="D537" s="7"/>
      <c r="J537" s="6" t="str">
        <f>IFERROR(_xlfn.LET(_xlpm.v,
VLOOKUP($I537,効果!$A:$B,COLUMN(効果!B$1),FALSE),
IF(_xlpm.v=0,"",_xlpm.v)
),"")</f>
        <v/>
      </c>
      <c r="L537" s="15" t="str">
        <f>IF(OR(COUNTIF(クラス!$A$1:$A$1031,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9</v>
      </c>
      <c r="B538" s="2" t="str">
        <f>D529&amp;"強化"</f>
        <v>氷強化</v>
      </c>
      <c r="D538" s="7"/>
      <c r="E538" s="13" t="s">
        <v>475</v>
      </c>
      <c r="H538" s="10" t="str">
        <f>"条件系統:"&amp;D529&amp;" 全威力+10"</f>
        <v>条件系統:氷 全威力+10</v>
      </c>
      <c r="J538" s="6" t="str">
        <f>IFERROR(_xlfn.LET(_xlpm.v,
VLOOKUP($I538,効果!$A:$B,COLUMN(効果!B$1),FALSE),
IF(_xlpm.v=0,"",_xlpm.v)
),"")</f>
        <v/>
      </c>
      <c r="L538" s="15" t="str">
        <f>IF(OR(COUNTIF(クラス!$A$1:$A$1031, $B538),$B538="",COUNTIF(スキル一覧!$A$1:$A$3500, $B538)), "", "存在しない")</f>
        <v>存在しない</v>
      </c>
      <c r="M538" s="2" t="str">
        <f>IF(COUNTIF($B$1:$C537, $B538), "", "存在しない")</f>
        <v>存在しない</v>
      </c>
      <c r="N538" s="2" t="e">
        <f>IF(AND(A538&lt;&gt;"",L538="存在しない",M538="存在しない"),IF(COUNTIF([1]クラス!$A$1:$A$1000, $B538),"",TRUE),"")</f>
        <v>#VALUE!</v>
      </c>
    </row>
    <row r="539" spans="1:14" hidden="1" outlineLevel="1" x14ac:dyDescent="0.4">
      <c r="A539" s="2">
        <v>10</v>
      </c>
      <c r="B539" s="2" t="str">
        <f>D529&amp;"の唾"</f>
        <v>氷の唾</v>
      </c>
      <c r="D539" s="7" t="str">
        <f>D529</f>
        <v>氷</v>
      </c>
      <c r="E539" s="13" t="s">
        <v>778</v>
      </c>
      <c r="G539" s="19">
        <v>25</v>
      </c>
      <c r="H539" s="10" t="str">
        <f>"攻撃手段:吐息 "&amp;D529&amp;"+30 射程:2 判定:Lv"</f>
        <v>攻撃手段:吐息 氷+30 射程:2 判定:Lv</v>
      </c>
      <c r="J539" s="6" t="str">
        <f>IFERROR(_xlfn.LET(_xlpm.v,
VLOOKUP($I539,効果!$A:$B,COLUMN(効果!B$1),FALSE),
IF(_xlpm.v=0,"",_xlpm.v)
),"")</f>
        <v/>
      </c>
      <c r="L539" s="15" t="str">
        <f>IF(OR(COUNTIF(クラス!$A$1:$A$1031,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J540" s="6" t="str">
        <f>IFERROR(_xlfn.LET(_xlpm.v,
VLOOKUP($I540,効果!$A:$B,COLUMN(効果!B$1),FALSE),
IF(_xlpm.v=0,"",_xlpm.v)
),"")</f>
        <v/>
      </c>
      <c r="L540" s="15" t="str">
        <f>IF(OR(COUNTIF(クラス!$A$1:$A$1031, $B540),$B540="",COUNTIF(スキル一覧!$A$1:$A$3500, $B540)), "", "存在しない")</f>
        <v/>
      </c>
      <c r="M540" s="2" t="str">
        <f>IF(COUNTIF($B$1:$C539, $B540), "", "存在しない")</f>
        <v>存在しない</v>
      </c>
      <c r="N540" s="2" t="str">
        <f>IF(AND(A540&lt;&gt;"",L540="存在しない",M540="存在しない"),IF(COUNTIF([1]クラス!$A$1:$A$1000, $B540),"",TRUE),"")</f>
        <v/>
      </c>
    </row>
    <row r="541" spans="1:14" collapsed="1" x14ac:dyDescent="0.4">
      <c r="J541" s="6" t="str">
        <f>IFERROR(_xlfn.LET(_xlpm.v,
VLOOKUP($I541,効果!$A:$B,COLUMN(効果!B$1),FALSE),
IF(_xlpm.v=0,"",_xlpm.v)
),"")</f>
        <v/>
      </c>
      <c r="L541" s="15" t="str">
        <f>IF(OR(COUNTIF(クラス!$A$1:$A$1031, $B541),$B541="",COUNTIF(スキル一覧!$A$1:$A$3500, $B541)), "", "存在しない")</f>
        <v/>
      </c>
      <c r="M541" s="2" t="str">
        <f>IF(COUNTIF($B$1:$C540, $B541), "", "存在しない")</f>
        <v>存在しない</v>
      </c>
      <c r="N541" s="2" t="str">
        <f>IF(AND(A541&lt;&gt;"",L541="存在しない",M541="存在しない"),IF(COUNTIF([1]クラス!$A$1:$A$1000, $B541),"",TRUE),"")</f>
        <v/>
      </c>
    </row>
    <row r="542" spans="1:14" ht="18.75" x14ac:dyDescent="0.4">
      <c r="B542" t="s">
        <v>866</v>
      </c>
      <c r="D542" s="2" t="s">
        <v>894</v>
      </c>
      <c r="E542" s="13" t="s">
        <v>905</v>
      </c>
      <c r="J542" s="6" t="str">
        <f>IFERROR(_xlfn.LET(_xlpm.v,
VLOOKUP($I542,効果!$A:$B,COLUMN(効果!B$1),FALSE),
IF(_xlpm.v=0,"",_xlpm.v)
),"")</f>
        <v/>
      </c>
      <c r="L542" s="15" t="str">
        <f>IF(OR(COUNTIF(クラス!$A$1:$A$1031, $B542),$B542="",COUNTIF(スキル一覧!$A$1:$A$3500, $B542)), "", "存在しない")</f>
        <v/>
      </c>
      <c r="M542" s="2" t="str">
        <f>IF(COUNTIF($B$1:$C541, $B542), "", "存在しない")</f>
        <v>存在しない</v>
      </c>
      <c r="N542" s="2" t="str">
        <f>IF(AND(A542&lt;&gt;"",L542="存在しない",M542="存在しない"),IF(COUNTIF([1]クラス!$A$1:$A$1000, $B542),"",TRUE),"")</f>
        <v/>
      </c>
    </row>
    <row r="543" spans="1:14" hidden="1" outlineLevel="1" x14ac:dyDescent="0.4">
      <c r="A543" s="2">
        <v>1</v>
      </c>
      <c r="B543" s="2" t="s">
        <v>889</v>
      </c>
      <c r="D543" s="7"/>
      <c r="E543" s="13" t="s">
        <v>475</v>
      </c>
      <c r="H543" s="10" t="s">
        <v>893</v>
      </c>
      <c r="J543" s="6" t="str">
        <f>IFERROR(_xlfn.LET(_xlpm.v,
VLOOKUP($I543,効果!$A:$B,COLUMN(効果!B$1),FALSE),
IF(_xlpm.v=0,"",_xlpm.v)
),"")</f>
        <v/>
      </c>
      <c r="L543" s="15" t="str">
        <f>IF(OR(COUNTIF(クラス!$A$1:$A$1031, $B543),$B543="",COUNTIF(スキル一覧!$A$1:$A$3500, $B543)), "", "存在しない")</f>
        <v>存在しない</v>
      </c>
      <c r="M543" s="2" t="str">
        <f>IF(COUNTIF($B$1:$C542, $B543), "", "存在しない")</f>
        <v>存在しない</v>
      </c>
      <c r="N543" s="2" t="e">
        <f>IF(AND(A543&lt;&gt;"",L543="存在しない",M543="存在しない"),IF(COUNTIF([1]クラス!$A$1:$A$1000, $B543),"",TRUE),"")</f>
        <v>#VALUE!</v>
      </c>
    </row>
    <row r="544" spans="1:14" hidden="1" outlineLevel="1" x14ac:dyDescent="0.4">
      <c r="A544" s="2">
        <v>2</v>
      </c>
      <c r="D544" s="7"/>
      <c r="J544" s="6" t="str">
        <f>IFERROR(_xlfn.LET(_xlpm.v,
VLOOKUP($I544,効果!$A:$B,COLUMN(効果!B$1),FALSE),
IF(_xlpm.v=0,"",_xlpm.v)
),"")</f>
        <v/>
      </c>
      <c r="L544" s="15" t="str">
        <f>IF(OR(COUNTIF(クラス!$A$1:$A$1031, $B544),$B544="",COUNTIF(スキル一覧!$A$1:$A$3500, $B544)), "", "存在しない")</f>
        <v/>
      </c>
      <c r="M544" s="2" t="str">
        <f>IF(COUNTIF($B$1:$C543, $B544), "", "存在しない")</f>
        <v>存在しない</v>
      </c>
      <c r="N544" s="2" t="str">
        <f>IF(AND(A544&lt;&gt;"",L544="存在しない",M544="存在しない"),IF(COUNTIF([1]クラス!$A$1:$A$1000, $B544),"",TRUE),"")</f>
        <v/>
      </c>
    </row>
    <row r="545" spans="1:14" hidden="1" outlineLevel="1" x14ac:dyDescent="0.4">
      <c r="A545" s="2">
        <v>3</v>
      </c>
      <c r="B545" s="2" t="s">
        <v>890</v>
      </c>
      <c r="D545" s="7"/>
      <c r="E545" s="13" t="s">
        <v>778</v>
      </c>
      <c r="F545" s="14">
        <v>5</v>
      </c>
      <c r="G545" s="19">
        <v>20</v>
      </c>
      <c r="H545" s="10" t="s">
        <v>897</v>
      </c>
      <c r="I545" s="6" t="s">
        <v>278</v>
      </c>
      <c r="J545" s="6" t="str">
        <f>IFERROR(_xlfn.LET(_xlpm.v,
VLOOKUP($I545,効果!$A:$B,COLUMN(効果!B$1),FALSE),
IF(_xlpm.v=0,"",_xlpm.v)
),"")</f>
        <v>地形効果を無視する</v>
      </c>
      <c r="L545" s="15" t="str">
        <f>IF(OR(COUNTIF(クラス!$A$1:$A$1031, $B545),$B545="",COUNTIF(スキル一覧!$A$1:$A$3500, $B545)), "", "存在しない")</f>
        <v>存在しない</v>
      </c>
      <c r="M545" s="2" t="str">
        <f>IF(COUNTIF($B$1:$C544, $B545), "", "存在しない")</f>
        <v>存在しない</v>
      </c>
      <c r="N545" s="2" t="e">
        <f>IF(AND(A545&lt;&gt;"",L545="存在しない",M545="存在しない"),IF(COUNTIF([1]クラス!$A$1:$A$1000, $B545),"",TRUE),"")</f>
        <v>#VALUE!</v>
      </c>
    </row>
    <row r="546" spans="1:14" hidden="1" outlineLevel="1" x14ac:dyDescent="0.4">
      <c r="A546" s="2">
        <v>4</v>
      </c>
      <c r="D546" s="7"/>
      <c r="J546" s="6" t="str">
        <f>IFERROR(_xlfn.LET(_xlpm.v,
VLOOKUP($I546,効果!$A:$B,COLUMN(効果!B$1),FALSE),
IF(_xlpm.v=0,"",_xlpm.v)
),"")</f>
        <v/>
      </c>
      <c r="L546" s="15" t="str">
        <f>IF(OR(COUNTIF(クラス!$A$1:$A$1031, $B546),$B546="",COUNTIF(スキル一覧!$A$1:$A$3500, $B546)), "", "存在しない")</f>
        <v/>
      </c>
      <c r="M546" s="2" t="str">
        <f>IF(COUNTIF($B$1:$C545, $B546), "", "存在しない")</f>
        <v>存在しない</v>
      </c>
      <c r="N546" s="2" t="str">
        <f>IF(AND(A546&lt;&gt;"",L546="存在しない",M546="存在しない"),IF(COUNTIF([1]クラス!$A$1:$A$1000, $B546),"",TRUE),"")</f>
        <v/>
      </c>
    </row>
    <row r="547" spans="1:14" hidden="1" outlineLevel="1" x14ac:dyDescent="0.4">
      <c r="A547" s="2">
        <v>5</v>
      </c>
      <c r="D547" s="7"/>
      <c r="E547" s="13" t="s">
        <v>475</v>
      </c>
      <c r="J547" s="6" t="str">
        <f>IFERROR(_xlfn.LET(_xlpm.v,
VLOOKUP($I547,効果!$A:$B,COLUMN(効果!B$1),FALSE),
IF(_xlpm.v=0,"",_xlpm.v)
),"")</f>
        <v/>
      </c>
      <c r="L547" s="15" t="str">
        <f>IF(OR(COUNTIF(クラス!$A$1:$A$1031, $B547),$B547="",COUNTIF(スキル一覧!$A$1:$A$3500, $B547)), "", "存在しない")</f>
        <v/>
      </c>
      <c r="M547" s="2" t="str">
        <f>IF(COUNTIF($B$1:$C546, $B547), "", "存在しない")</f>
        <v>存在しない</v>
      </c>
      <c r="N547" s="2" t="str">
        <f>IF(AND(A547&lt;&gt;"",L547="存在しない",M547="存在しない"),IF(COUNTIF([1]クラス!$A$1:$A$1000, $B547),"",TRUE),"")</f>
        <v/>
      </c>
    </row>
    <row r="548" spans="1:14" ht="36" hidden="1" outlineLevel="1" x14ac:dyDescent="0.4">
      <c r="A548" s="2">
        <v>6</v>
      </c>
      <c r="B548" s="2" t="s">
        <v>906</v>
      </c>
      <c r="D548" s="7" t="s">
        <v>888</v>
      </c>
      <c r="E548" s="13" t="s">
        <v>778</v>
      </c>
      <c r="F548" s="14">
        <v>5</v>
      </c>
      <c r="G548" s="19">
        <v>60</v>
      </c>
      <c r="H548" s="10" t="s">
        <v>895</v>
      </c>
      <c r="J548" s="6" t="str">
        <f>IFERROR(_xlfn.LET(_xlpm.v,
VLOOKUP($I548,効果!$A:$B,COLUMN(効果!B$1),FALSE),
IF(_xlpm.v=0,"",_xlpm.v)
),"")</f>
        <v/>
      </c>
      <c r="L548" s="15" t="str">
        <f>IF(OR(COUNTIF(クラス!$A$1:$A$1031, $B548),$B548="",COUNTIF(スキル一覧!$A$1:$A$3500, $B548)), "", "存在しない")</f>
        <v>存在しない</v>
      </c>
      <c r="M548" s="2" t="str">
        <f>IF(COUNTIF($B$1:$C547, $B548), "", "存在しない")</f>
        <v>存在しない</v>
      </c>
      <c r="N548" s="2" t="e">
        <f>IF(AND(A548&lt;&gt;"",L548="存在しない",M548="存在しない"),IF(COUNTIF([1]クラス!$A$1:$A$1000, $B548),"",TRUE),"")</f>
        <v>#VALUE!</v>
      </c>
    </row>
    <row r="549" spans="1:14" hidden="1" outlineLevel="1" x14ac:dyDescent="0.4">
      <c r="A549" s="2">
        <v>7</v>
      </c>
      <c r="D549" s="7"/>
      <c r="J549" s="6" t="str">
        <f>IFERROR(_xlfn.LET(_xlpm.v,
VLOOKUP($I549,効果!$A:$B,COLUMN(効果!B$1),FALSE),
IF(_xlpm.v=0,"",_xlpm.v)
),"")</f>
        <v/>
      </c>
      <c r="L549" s="15" t="str">
        <f>IF(OR(COUNTIF(クラス!$A$1:$A$1031, $B549),$B549="",COUNTIF(スキル一覧!$A$1:$A$3500, $B549)), "", "存在しない")</f>
        <v/>
      </c>
      <c r="M549" s="2" t="str">
        <f>IF(COUNTIF($B$1:$C548, $B549), "", "存在しない")</f>
        <v>存在しない</v>
      </c>
      <c r="N549" s="2" t="str">
        <f>IF(AND(A549&lt;&gt;"",L549="存在しない",M549="存在しない"),IF(COUNTIF([1]クラス!$A$1:$A$1000, $B549),"",TRUE),"")</f>
        <v/>
      </c>
    </row>
    <row r="550" spans="1:14" hidden="1" outlineLevel="1" x14ac:dyDescent="0.4">
      <c r="A550" s="2">
        <v>8</v>
      </c>
      <c r="D550" s="7"/>
      <c r="J550" s="6" t="str">
        <f>IFERROR(_xlfn.LET(_xlpm.v,
VLOOKUP($I550,効果!$A:$B,COLUMN(効果!B$1),FALSE),
IF(_xlpm.v=0,"",_xlpm.v)
),"")</f>
        <v/>
      </c>
      <c r="L550" s="15" t="str">
        <f>IF(OR(COUNTIF(クラス!$A$1:$A$1031,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9</v>
      </c>
      <c r="B551" s="2" t="s">
        <v>891</v>
      </c>
      <c r="D551" s="7"/>
      <c r="E551" s="13" t="s">
        <v>475</v>
      </c>
      <c r="H551" s="10" t="str">
        <f>"条件系統:"&amp;"風"&amp;" 全威力+10"</f>
        <v>条件系統:風 全威力+10</v>
      </c>
      <c r="J551" s="6" t="str">
        <f>IFERROR(_xlfn.LET(_xlpm.v,
VLOOKUP($I551,効果!$A:$B,COLUMN(効果!B$1),FALSE),
IF(_xlpm.v=0,"",_xlpm.v)
),"")</f>
        <v/>
      </c>
      <c r="L551" s="15" t="str">
        <f>IF(OR(COUNTIF(クラス!$A$1:$A$1031, $B551),$B551="",COUNTIF(スキル一覧!$A$1:$A$3500, $B551)), "", "存在しない")</f>
        <v>存在しない</v>
      </c>
      <c r="M551" s="2" t="str">
        <f>IF(COUNTIF($B$1:$C550, $B551), "", "存在しない")</f>
        <v>存在しない</v>
      </c>
      <c r="N551" s="2" t="e">
        <f>IF(AND(A551&lt;&gt;"",L551="存在しない",M551="存在しない"),IF(COUNTIF([1]クラス!$A$1:$A$1000, $B551),"",TRUE),"")</f>
        <v>#VALUE!</v>
      </c>
    </row>
    <row r="552" spans="1:14" ht="36" hidden="1" outlineLevel="1" x14ac:dyDescent="0.4">
      <c r="A552" s="2">
        <v>10</v>
      </c>
      <c r="B552" s="2" t="s">
        <v>892</v>
      </c>
      <c r="D552" s="7" t="s">
        <v>888</v>
      </c>
      <c r="E552" s="13" t="s">
        <v>778</v>
      </c>
      <c r="G552" s="19">
        <v>25</v>
      </c>
      <c r="H552" s="10" t="str">
        <f>"攻撃手段:吐息 "&amp;D542&amp;"+30 射程:2 判定:Lv"</f>
        <v>攻撃手段:吐息 怯み+30 射程:2 判定:Lv</v>
      </c>
      <c r="I552" s="6" t="s">
        <v>425</v>
      </c>
      <c r="J552" s="6" t="str">
        <f>IFERROR(_xlfn.LET(_xlpm.v,
VLOOKUP($I552,効果!$A:$B,COLUMN(効果!B$1),FALSE),
IF(_xlpm.v=0,"",_xlpm.v)
),"")</f>
        <v>対象を後方へ移動させる</v>
      </c>
      <c r="L552" s="15" t="str">
        <f>IF(OR(COUNTIF(クラス!$A$1:$A$1031,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J553" s="6" t="str">
        <f>IFERROR(_xlfn.LET(_xlpm.v,
VLOOKUP($I553,効果!$A:$B,COLUMN(効果!B$1),FALSE),
IF(_xlpm.v=0,"",_xlpm.v)
),"")</f>
        <v/>
      </c>
      <c r="L553" s="15" t="str">
        <f>IF(OR(COUNTIF(クラス!$A$1:$A$1031, $B553),$B553="",COUNTIF(スキル一覧!$A$1:$A$3500, $B553)), "", "存在しない")</f>
        <v/>
      </c>
      <c r="M553" s="2" t="str">
        <f>IF(COUNTIF($B$1:$C552, $B553), "", "存在しない")</f>
        <v>存在しない</v>
      </c>
      <c r="N553" s="2" t="str">
        <f>IF(AND(A553&lt;&gt;"",L553="存在しない",M553="存在しない"),IF(COUNTIF([1]クラス!$A$1:$A$1000, $B553),"",TRUE),"")</f>
        <v/>
      </c>
    </row>
    <row r="554" spans="1:14" collapsed="1" x14ac:dyDescent="0.4">
      <c r="J554" s="6" t="str">
        <f>IFERROR(_xlfn.LET(_xlpm.v,
VLOOKUP($I554,効果!$A:$B,COLUMN(効果!B$1),FALSE),
IF(_xlpm.v=0,"",_xlpm.v)
),"")</f>
        <v/>
      </c>
      <c r="L554" s="15" t="str">
        <f>IF(OR(COUNTIF(クラス!$A$1:$A$1031, $B554),$B554="",COUNTIF(スキル一覧!$A$1:$A$3500, $B554)), "", "存在しない")</f>
        <v/>
      </c>
      <c r="M554" s="2" t="str">
        <f>IF(COUNTIF($B$1:$C553, $B554), "", "存在しない")</f>
        <v>存在しない</v>
      </c>
      <c r="N554" s="2" t="str">
        <f>IF(AND(A554&lt;&gt;"",L554="存在しない",M554="存在しない"),IF(COUNTIF([1]クラス!$A$1:$A$1000, $B554),"",TRUE),"")</f>
        <v/>
      </c>
    </row>
    <row r="555" spans="1:14" ht="18.75" x14ac:dyDescent="0.4">
      <c r="B555" t="s">
        <v>867</v>
      </c>
      <c r="D555" s="2" t="s">
        <v>875</v>
      </c>
      <c r="E555" s="13" t="s">
        <v>876</v>
      </c>
      <c r="J555" s="6" t="str">
        <f>IFERROR(_xlfn.LET(_xlpm.v,
VLOOKUP($I555,効果!$A:$B,COLUMN(効果!B$1),FALSE),
IF(_xlpm.v=0,"",_xlpm.v)
),"")</f>
        <v/>
      </c>
      <c r="L555" s="15" t="str">
        <f>IF(OR(COUNTIF(クラス!$A$1:$A$1031, $B555),$B555="",COUNTIF(スキル一覧!$A$1:$A$3500, $B555)), "", "存在しない")</f>
        <v/>
      </c>
      <c r="M555" s="2" t="str">
        <f>IF(COUNTIF($B$1:$C554, $B555), "", "存在しない")</f>
        <v>存在しない</v>
      </c>
      <c r="N555" s="2" t="str">
        <f>IF(AND(A555&lt;&gt;"",L555="存在しない",M555="存在しない"),IF(COUNTIF([1]クラス!$A$1:$A$1000, $B555),"",TRUE),"")</f>
        <v/>
      </c>
    </row>
    <row r="556" spans="1:14" hidden="1" outlineLevel="1" x14ac:dyDescent="0.4">
      <c r="A556" s="2">
        <v>1</v>
      </c>
      <c r="B556" s="2" t="str">
        <f>D555&amp;"の適用"</f>
        <v>雷の適用</v>
      </c>
      <c r="D556" s="7"/>
      <c r="E556" s="13" t="s">
        <v>475</v>
      </c>
      <c r="H556" s="10" t="str">
        <f>D555&amp;"耐性+30"</f>
        <v>雷耐性+30</v>
      </c>
      <c r="J556" s="6" t="str">
        <f>IFERROR(_xlfn.LET(_xlpm.v,
VLOOKUP($I556,効果!$A:$B,COLUMN(効果!B$1),FALSE),
IF(_xlpm.v=0,"",_xlpm.v)
),"")</f>
        <v/>
      </c>
      <c r="L556" s="15" t="str">
        <f>IF(OR(COUNTIF(クラス!$A$1:$A$1031, $B556),$B556="",COUNTIF(スキル一覧!$A$1:$A$3500, $B556)), "", "存在しない")</f>
        <v>存在しない</v>
      </c>
      <c r="M556" s="2" t="str">
        <f>IF(COUNTIF($B$1:$C555, $B556), "", "存在しない")</f>
        <v>存在しない</v>
      </c>
      <c r="N556" s="2" t="e">
        <f>IF(AND(A556&lt;&gt;"",L556="存在しない",M556="存在しない"),IF(COUNTIF([1]クラス!$A$1:$A$1000, $B556),"",TRUE),"")</f>
        <v>#VALUE!</v>
      </c>
    </row>
    <row r="557" spans="1:14" hidden="1" outlineLevel="1" x14ac:dyDescent="0.4">
      <c r="A557" s="2">
        <v>2</v>
      </c>
      <c r="D557" s="7"/>
      <c r="J557" s="6" t="str">
        <f>IFERROR(_xlfn.LET(_xlpm.v,
VLOOKUP($I557,効果!$A:$B,COLUMN(効果!B$1),FALSE),
IF(_xlpm.v=0,"",_xlpm.v)
),"")</f>
        <v/>
      </c>
      <c r="L557" s="15" t="str">
        <f>IF(OR(COUNTIF(クラス!$A$1:$A$1031, $B557),$B557="",COUNTIF(スキル一覧!$A$1:$A$3500, $B557)), "", "存在しない")</f>
        <v/>
      </c>
      <c r="M557" s="2" t="str">
        <f>IF(COUNTIF($B$1:$C556, $B557), "", "存在しない")</f>
        <v>存在しない</v>
      </c>
      <c r="N557" s="2" t="str">
        <f>IF(AND(A557&lt;&gt;"",L557="存在しない",M557="存在しない"),IF(COUNTIF([1]クラス!$A$1:$A$1000, $B557),"",TRUE),"")</f>
        <v/>
      </c>
    </row>
    <row r="558" spans="1:14" ht="36" hidden="1" outlineLevel="1" x14ac:dyDescent="0.4">
      <c r="A558" s="2">
        <v>3</v>
      </c>
      <c r="B558" s="2" t="str">
        <f>D555&amp;"の体"</f>
        <v>雷の体</v>
      </c>
      <c r="D558" s="7"/>
      <c r="E558" s="13" t="s">
        <v>778</v>
      </c>
      <c r="F558" s="14">
        <v>5</v>
      </c>
      <c r="G558" s="19">
        <v>20</v>
      </c>
      <c r="H558" s="10" t="str">
        <f>"効果時間6t 攻撃手段:肉体 "&amp;D555&amp;"+15 判定:攻撃"</f>
        <v>効果時間6t 攻撃手段:肉体 雷+15 判定:攻撃</v>
      </c>
      <c r="J558" s="6" t="str">
        <f>IFERROR(_xlfn.LET(_xlpm.v,
VLOOKUP($I558,効果!$A:$B,COLUMN(効果!B$1),FALSE),
IF(_xlpm.v=0,"",_xlpm.v)
),"")</f>
        <v/>
      </c>
      <c r="L558" s="15" t="str">
        <f>IF(OR(COUNTIF(クラス!$A$1:$A$1031, $B558),$B558="",COUNTIF(スキル一覧!$A$1:$A$3500, $B558)), "", "存在しない")</f>
        <v>存在しない</v>
      </c>
      <c r="M558" s="2" t="str">
        <f>IF(COUNTIF($B$1:$C557, $B558), "", "存在しない")</f>
        <v>存在しない</v>
      </c>
      <c r="N558" s="2" t="e">
        <f>IF(AND(A558&lt;&gt;"",L558="存在しない",M558="存在しない"),IF(COUNTIF([1]クラス!$A$1:$A$1000, $B558),"",TRUE),"")</f>
        <v>#VALUE!</v>
      </c>
    </row>
    <row r="559" spans="1:14" hidden="1" outlineLevel="1" x14ac:dyDescent="0.4">
      <c r="A559" s="2">
        <v>4</v>
      </c>
      <c r="D559" s="7"/>
      <c r="J559" s="6" t="str">
        <f>IFERROR(_xlfn.LET(_xlpm.v,
VLOOKUP($I559,効果!$A:$B,COLUMN(効果!B$1),FALSE),
IF(_xlpm.v=0,"",_xlpm.v)
),"")</f>
        <v/>
      </c>
      <c r="L559" s="15" t="str">
        <f>IF(OR(COUNTIF(クラス!$A$1:$A$1031, $B559),$B559="",COUNTIF(スキル一覧!$A$1:$A$3500, $B559)), "", "存在しない")</f>
        <v/>
      </c>
      <c r="M559" s="2" t="str">
        <f>IF(COUNTIF($B$1:$C558, $B559), "", "存在しない")</f>
        <v>存在しない</v>
      </c>
      <c r="N559" s="2" t="str">
        <f>IF(AND(A559&lt;&gt;"",L559="存在しない",M559="存在しない"),IF(COUNTIF([1]クラス!$A$1:$A$1000, $B559),"",TRUE),"")</f>
        <v/>
      </c>
    </row>
    <row r="560" spans="1:14" hidden="1" outlineLevel="1" x14ac:dyDescent="0.4">
      <c r="A560" s="2">
        <v>5</v>
      </c>
      <c r="D560" s="7"/>
      <c r="E560" s="13" t="s">
        <v>475</v>
      </c>
      <c r="J560" s="6" t="str">
        <f>IFERROR(_xlfn.LET(_xlpm.v,
VLOOKUP($I560,効果!$A:$B,COLUMN(効果!B$1),FALSE),
IF(_xlpm.v=0,"",_xlpm.v)
),"")</f>
        <v/>
      </c>
      <c r="L560" s="15" t="str">
        <f>IF(OR(COUNTIF(クラス!$A$1:$A$1031, $B560),$B560="",COUNTIF(スキル一覧!$A$1:$A$3500, $B560)), "", "存在しない")</f>
        <v/>
      </c>
      <c r="M560" s="2" t="str">
        <f>IF(COUNTIF($B$1:$C559, $B560), "", "存在しない")</f>
        <v>存在しない</v>
      </c>
      <c r="N560" s="2" t="str">
        <f>IF(AND(A560&lt;&gt;"",L560="存在しない",M560="存在しない"),IF(COUNTIF([1]クラス!$A$1:$A$1000, $B560),"",TRUE),"")</f>
        <v/>
      </c>
    </row>
    <row r="561" spans="1:14" ht="36" hidden="1" outlineLevel="1" x14ac:dyDescent="0.4">
      <c r="A561" s="2">
        <v>6</v>
      </c>
      <c r="B561" s="2" t="str">
        <f>E555&amp;"突撃"</f>
        <v>電撃突撃</v>
      </c>
      <c r="D561" s="7" t="str">
        <f>D555</f>
        <v>雷</v>
      </c>
      <c r="E561" s="13" t="s">
        <v>778</v>
      </c>
      <c r="F561" s="14">
        <v>5</v>
      </c>
      <c r="G561" s="19">
        <v>60</v>
      </c>
      <c r="H561" s="10" t="str">
        <f>"攻撃手段:肉体 打撃+15 "&amp;D555&amp;"+20 追加威力:速度 判定:攻撃 溜め:1t CT:5t"</f>
        <v>攻撃手段:肉体 打撃+15 雷+20 追加威力:速度 判定:攻撃 溜め:1t CT:5t</v>
      </c>
      <c r="J561" s="6" t="str">
        <f>IFERROR(_xlfn.LET(_xlpm.v,
VLOOKUP($I561,効果!$A:$B,COLUMN(効果!B$1),FALSE),
IF(_xlpm.v=0,"",_xlpm.v)
),"")</f>
        <v/>
      </c>
      <c r="L561" s="15" t="str">
        <f>IF(OR(COUNTIF(クラス!$A$1:$A$1031, $B561),$B561="",COUNTIF(スキル一覧!$A$1:$A$3500, $B561)), "", "存在しない")</f>
        <v>存在しない</v>
      </c>
      <c r="M561" s="2" t="str">
        <f>IF(COUNTIF($B$1:$C560, $B561), "", "存在しない")</f>
        <v>存在しない</v>
      </c>
      <c r="N561" s="2" t="e">
        <f>IF(AND(A561&lt;&gt;"",L561="存在しない",M561="存在しない"),IF(COUNTIF([1]クラス!$A$1:$A$1000, $B561),"",TRUE),"")</f>
        <v>#VALUE!</v>
      </c>
    </row>
    <row r="562" spans="1:14" hidden="1" outlineLevel="1" x14ac:dyDescent="0.4">
      <c r="A562" s="2">
        <v>7</v>
      </c>
      <c r="D562" s="7"/>
      <c r="J562" s="6" t="str">
        <f>IFERROR(_xlfn.LET(_xlpm.v,
VLOOKUP($I562,効果!$A:$B,COLUMN(効果!B$1),FALSE),
IF(_xlpm.v=0,"",_xlpm.v)
),"")</f>
        <v/>
      </c>
      <c r="L562" s="15" t="str">
        <f>IF(OR(COUNTIF(クラス!$A$1:$A$1031, $B562),$B562="",COUNTIF(スキル一覧!$A$1:$A$3500, $B562)), "", "存在しない")</f>
        <v/>
      </c>
      <c r="M562" s="2" t="str">
        <f>IF(COUNTIF($B$1:$C561, $B562), "", "存在しない")</f>
        <v>存在しない</v>
      </c>
      <c r="N562" s="2" t="str">
        <f>IF(AND(A562&lt;&gt;"",L562="存在しない",M562="存在しない"),IF(COUNTIF([1]クラス!$A$1:$A$1000, $B562),"",TRUE),"")</f>
        <v/>
      </c>
    </row>
    <row r="563" spans="1:14" hidden="1" outlineLevel="1" x14ac:dyDescent="0.4">
      <c r="A563" s="2">
        <v>8</v>
      </c>
      <c r="D563" s="7"/>
      <c r="J563" s="6" t="str">
        <f>IFERROR(_xlfn.LET(_xlpm.v,
VLOOKUP($I563,効果!$A:$B,COLUMN(効果!B$1),FALSE),
IF(_xlpm.v=0,"",_xlpm.v)
),"")</f>
        <v/>
      </c>
      <c r="L563" s="15" t="str">
        <f>IF(OR(COUNTIF(クラス!$A$1:$A$1031,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9</v>
      </c>
      <c r="B564" s="2" t="str">
        <f>D555&amp;"強化"</f>
        <v>雷強化</v>
      </c>
      <c r="D564" s="7"/>
      <c r="E564" s="13" t="s">
        <v>475</v>
      </c>
      <c r="H564" s="10" t="str">
        <f>"条件系統:"&amp;D555&amp;" 全威力+10"</f>
        <v>条件系統:雷 全威力+10</v>
      </c>
      <c r="J564" s="6" t="str">
        <f>IFERROR(_xlfn.LET(_xlpm.v,
VLOOKUP($I564,効果!$A:$B,COLUMN(効果!B$1),FALSE),
IF(_xlpm.v=0,"",_xlpm.v)
),"")</f>
        <v/>
      </c>
      <c r="L564" s="15" t="str">
        <f>IF(OR(COUNTIF(クラス!$A$1:$A$1031, $B564),$B564="",COUNTIF(スキル一覧!$A$1:$A$3500, $B564)), "", "存在しない")</f>
        <v>存在しない</v>
      </c>
      <c r="M564" s="2" t="str">
        <f>IF(COUNTIF($B$1:$C563, $B564), "", "存在しない")</f>
        <v>存在しない</v>
      </c>
      <c r="N564" s="2" t="e">
        <f>IF(AND(A564&lt;&gt;"",L564="存在しない",M564="存在しない"),IF(COUNTIF([1]クラス!$A$1:$A$1000, $B564),"",TRUE),"")</f>
        <v>#VALUE!</v>
      </c>
    </row>
    <row r="565" spans="1:14" hidden="1" outlineLevel="1" x14ac:dyDescent="0.4">
      <c r="A565" s="2">
        <v>10</v>
      </c>
      <c r="B565" s="2" t="str">
        <f>D555&amp;"の唾"</f>
        <v>雷の唾</v>
      </c>
      <c r="D565" s="7" t="str">
        <f>D555</f>
        <v>雷</v>
      </c>
      <c r="E565" s="13" t="s">
        <v>778</v>
      </c>
      <c r="G565" s="19">
        <v>25</v>
      </c>
      <c r="H565" s="10" t="str">
        <f>"攻撃手段:吐息 "&amp;D555&amp;"+30 射程:2 判定:Lv"</f>
        <v>攻撃手段:吐息 雷+30 射程:2 判定:Lv</v>
      </c>
      <c r="J565" s="6" t="str">
        <f>IFERROR(_xlfn.LET(_xlpm.v,
VLOOKUP($I565,効果!$A:$B,COLUMN(効果!B$1),FALSE),
IF(_xlpm.v=0,"",_xlpm.v)
),"")</f>
        <v/>
      </c>
      <c r="L565" s="15" t="str">
        <f>IF(OR(COUNTIF(クラス!$A$1:$A$1031,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idden="1" outlineLevel="1" x14ac:dyDescent="0.4">
      <c r="J566" s="6" t="str">
        <f>IFERROR(_xlfn.LET(_xlpm.v,
VLOOKUP($I566,効果!$A:$B,COLUMN(効果!B$1),FALSE),
IF(_xlpm.v=0,"",_xlpm.v)
),"")</f>
        <v/>
      </c>
      <c r="L566" s="15" t="str">
        <f>IF(OR(COUNTIF(クラス!$A$1:$A$1031, $B566),$B566="",COUNTIF(スキル一覧!$A$1:$A$3500, $B566)), "", "存在しない")</f>
        <v/>
      </c>
      <c r="M566" s="2" t="str">
        <f>IF(COUNTIF($B$1:$C565, $B566), "", "存在しない")</f>
        <v>存在しない</v>
      </c>
      <c r="N566" s="2" t="str">
        <f>IF(AND(A566&lt;&gt;"",L566="存在しない",M566="存在しない"),IF(COUNTIF([1]クラス!$A$1:$A$1000, $B566),"",TRUE),"")</f>
        <v/>
      </c>
    </row>
    <row r="567" spans="1:14" collapsed="1" x14ac:dyDescent="0.4">
      <c r="J567" s="6" t="str">
        <f>IFERROR(_xlfn.LET(_xlpm.v,
VLOOKUP($I567,効果!$A:$B,COLUMN(効果!B$1),FALSE),
IF(_xlpm.v=0,"",_xlpm.v)
),"")</f>
        <v/>
      </c>
      <c r="L567" s="15" t="str">
        <f>IF(OR(COUNTIF(クラス!$A$1:$A$1031, $B567),$B567="",COUNTIF(スキル一覧!$A$1:$A$3500, $B567)), "", "存在しない")</f>
        <v/>
      </c>
      <c r="M567" s="2" t="str">
        <f>IF(COUNTIF($B$1:$C566, $B567), "", "存在しない")</f>
        <v>存在しない</v>
      </c>
      <c r="N567" s="2" t="str">
        <f>IF(AND(A567&lt;&gt;"",L567="存在しない",M567="存在しない"),IF(COUNTIF([1]クラス!$A$1:$A$1000, $B567),"",TRUE),"")</f>
        <v/>
      </c>
    </row>
    <row r="568" spans="1:14" ht="18.75" x14ac:dyDescent="0.4">
      <c r="B568" t="s">
        <v>868</v>
      </c>
      <c r="D568" s="2" t="s">
        <v>877</v>
      </c>
      <c r="E568" s="13" t="s">
        <v>878</v>
      </c>
      <c r="J568" s="6" t="str">
        <f>IFERROR(_xlfn.LET(_xlpm.v,
VLOOKUP($I568,効果!$A:$B,COLUMN(効果!B$1),FALSE),
IF(_xlpm.v=0,"",_xlpm.v)
),"")</f>
        <v/>
      </c>
      <c r="L568" s="15" t="str">
        <f>IF(OR(COUNTIF(クラス!$A$1:$A$1031, $B568),$B568="",COUNTIF(スキル一覧!$A$1:$A$3500, $B568)), "", "存在しない")</f>
        <v/>
      </c>
      <c r="M568" s="2" t="str">
        <f>IF(COUNTIF($B$1:$C567, $B568), "", "存在しない")</f>
        <v>存在しない</v>
      </c>
      <c r="N568" s="2" t="str">
        <f>IF(AND(A568&lt;&gt;"",L568="存在しない",M568="存在しない"),IF(COUNTIF([1]クラス!$A$1:$A$1000, $B568),"",TRUE),"")</f>
        <v/>
      </c>
    </row>
    <row r="569" spans="1:14" hidden="1" outlineLevel="1" x14ac:dyDescent="0.4">
      <c r="A569" s="2">
        <v>1</v>
      </c>
      <c r="B569" s="2" t="str">
        <f>D568&amp;"の適用"</f>
        <v>毒の適用</v>
      </c>
      <c r="D569" s="7"/>
      <c r="E569" s="13" t="s">
        <v>475</v>
      </c>
      <c r="H569" s="10" t="str">
        <f>D568&amp;"耐性+30"</f>
        <v>毒耐性+30</v>
      </c>
      <c r="J569" s="6" t="str">
        <f>IFERROR(_xlfn.LET(_xlpm.v,
VLOOKUP($I569,効果!$A:$B,COLUMN(効果!B$1),FALSE),
IF(_xlpm.v=0,"",_xlpm.v)
),"")</f>
        <v/>
      </c>
      <c r="L569" s="15" t="str">
        <f>IF(OR(COUNTIF(クラス!$A$1:$A$1031, $B569),$B569="",COUNTIF(スキル一覧!$A$1:$A$3500, $B569)), "", "存在しない")</f>
        <v>存在しない</v>
      </c>
      <c r="M569" s="2" t="str">
        <f>IF(COUNTIF($B$1:$C568, $B569), "", "存在しない")</f>
        <v>存在しない</v>
      </c>
      <c r="N569" s="2" t="e">
        <f>IF(AND(A569&lt;&gt;"",L569="存在しない",M569="存在しない"),IF(COUNTIF([1]クラス!$A$1:$A$1000, $B569),"",TRUE),"")</f>
        <v>#VALUE!</v>
      </c>
    </row>
    <row r="570" spans="1:14" hidden="1" outlineLevel="1" x14ac:dyDescent="0.4">
      <c r="A570" s="2">
        <v>2</v>
      </c>
      <c r="D570" s="7"/>
      <c r="J570" s="6" t="str">
        <f>IFERROR(_xlfn.LET(_xlpm.v,
VLOOKUP($I570,効果!$A:$B,COLUMN(効果!B$1),FALSE),
IF(_xlpm.v=0,"",_xlpm.v)
),"")</f>
        <v/>
      </c>
      <c r="L570" s="15" t="str">
        <f>IF(OR(COUNTIF(クラス!$A$1:$A$1031, $B570),$B570="",COUNTIF(スキル一覧!$A$1:$A$3500, $B570)), "", "存在しない")</f>
        <v/>
      </c>
      <c r="M570" s="2" t="str">
        <f>IF(COUNTIF($B$1:$C569, $B570), "", "存在しない")</f>
        <v>存在しない</v>
      </c>
      <c r="N570" s="2" t="str">
        <f>IF(AND(A570&lt;&gt;"",L570="存在しない",M570="存在しない"),IF(COUNTIF([1]クラス!$A$1:$A$1000, $B570),"",TRUE),"")</f>
        <v/>
      </c>
    </row>
    <row r="571" spans="1:14" ht="36" hidden="1" outlineLevel="1" x14ac:dyDescent="0.4">
      <c r="A571" s="2">
        <v>3</v>
      </c>
      <c r="B571" s="2" t="str">
        <f>D568&amp;"の体"</f>
        <v>毒の体</v>
      </c>
      <c r="D571" s="7"/>
      <c r="E571" s="13" t="s">
        <v>778</v>
      </c>
      <c r="F571" s="14">
        <v>5</v>
      </c>
      <c r="G571" s="19">
        <v>20</v>
      </c>
      <c r="H571" s="10" t="str">
        <f>"効果時間6t 攻撃手段:肉体 "&amp;D568&amp;"+15 判定:攻撃"</f>
        <v>効果時間6t 攻撃手段:肉体 毒+15 判定:攻撃</v>
      </c>
      <c r="J571" s="6" t="str">
        <f>IFERROR(_xlfn.LET(_xlpm.v,
VLOOKUP($I571,効果!$A:$B,COLUMN(効果!B$1),FALSE),
IF(_xlpm.v=0,"",_xlpm.v)
),"")</f>
        <v/>
      </c>
      <c r="L571" s="15" t="str">
        <f>IF(OR(COUNTIF(クラス!$A$1:$A$1031, $B571),$B571="",COUNTIF(スキル一覧!$A$1:$A$3500, $B571)), "", "存在しない")</f>
        <v>存在しない</v>
      </c>
      <c r="M571" s="2" t="str">
        <f>IF(COUNTIF($B$1:$C570, $B571), "", "存在しない")</f>
        <v>存在しない</v>
      </c>
      <c r="N571" s="2" t="e">
        <f>IF(AND(A571&lt;&gt;"",L571="存在しない",M571="存在しない"),IF(COUNTIF([1]クラス!$A$1:$A$1000, $B571),"",TRUE),"")</f>
        <v>#VALUE!</v>
      </c>
    </row>
    <row r="572" spans="1:14" hidden="1" outlineLevel="1" x14ac:dyDescent="0.4">
      <c r="A572" s="2">
        <v>4</v>
      </c>
      <c r="D572" s="7"/>
      <c r="J572" s="6" t="str">
        <f>IFERROR(_xlfn.LET(_xlpm.v,
VLOOKUP($I572,効果!$A:$B,COLUMN(効果!B$1),FALSE),
IF(_xlpm.v=0,"",_xlpm.v)
),"")</f>
        <v/>
      </c>
      <c r="L572" s="15" t="str">
        <f>IF(OR(COUNTIF(クラス!$A$1:$A$1031,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5</v>
      </c>
      <c r="D573" s="7"/>
      <c r="E573" s="13" t="s">
        <v>475</v>
      </c>
      <c r="J573" s="6" t="str">
        <f>IFERROR(_xlfn.LET(_xlpm.v,
VLOOKUP($I573,効果!$A:$B,COLUMN(効果!B$1),FALSE),
IF(_xlpm.v=0,"",_xlpm.v)
),"")</f>
        <v/>
      </c>
      <c r="L573" s="15" t="str">
        <f>IF(OR(COUNTIF(クラス!$A$1:$A$1031, $B573),$B573="",COUNTIF(スキル一覧!$A$1:$A$3500, $B573)), "", "存在しない")</f>
        <v/>
      </c>
      <c r="M573" s="2" t="str">
        <f>IF(COUNTIF($B$1:$C572, $B573), "", "存在しない")</f>
        <v>存在しない</v>
      </c>
      <c r="N573" s="2" t="str">
        <f>IF(AND(A573&lt;&gt;"",L573="存在しない",M573="存在しない"),IF(COUNTIF([1]クラス!$A$1:$A$1000, $B573),"",TRUE),"")</f>
        <v/>
      </c>
    </row>
    <row r="574" spans="1:14" ht="36" hidden="1" outlineLevel="1" x14ac:dyDescent="0.4">
      <c r="A574" s="2">
        <v>6</v>
      </c>
      <c r="B574" s="2" t="str">
        <f>E568&amp;"突撃"</f>
        <v>腐蝕突撃</v>
      </c>
      <c r="D574" s="7" t="str">
        <f>D568</f>
        <v>毒</v>
      </c>
      <c r="E574" s="13" t="s">
        <v>778</v>
      </c>
      <c r="F574" s="14">
        <v>5</v>
      </c>
      <c r="G574" s="19">
        <v>60</v>
      </c>
      <c r="H574" s="10" t="str">
        <f>"攻撃手段:肉体 打撃+15 "&amp;D568&amp;"+20 追加威力:速度 判定:攻撃 溜め:1t CT:5t"</f>
        <v>攻撃手段:肉体 打撃+15 毒+20 追加威力:速度 判定:攻撃 溜め:1t CT:5t</v>
      </c>
      <c r="J574" s="6" t="str">
        <f>IFERROR(_xlfn.LET(_xlpm.v,
VLOOKUP($I574,効果!$A:$B,COLUMN(効果!B$1),FALSE),
IF(_xlpm.v=0,"",_xlpm.v)
),"")</f>
        <v/>
      </c>
      <c r="L574" s="15" t="str">
        <f>IF(OR(COUNTIF(クラス!$A$1:$A$1031, $B574),$B574="",COUNTIF(スキル一覧!$A$1:$A$3500, $B574)), "", "存在しない")</f>
        <v>存在しない</v>
      </c>
      <c r="M574" s="2" t="str">
        <f>IF(COUNTIF($B$1:$C573, $B574), "", "存在しない")</f>
        <v>存在しない</v>
      </c>
      <c r="N574" s="2" t="e">
        <f>IF(AND(A574&lt;&gt;"",L574="存在しない",M574="存在しない"),IF(COUNTIF([1]クラス!$A$1:$A$1000, $B574),"",TRUE),"")</f>
        <v>#VALUE!</v>
      </c>
    </row>
    <row r="575" spans="1:14" hidden="1" outlineLevel="1" x14ac:dyDescent="0.4">
      <c r="A575" s="2">
        <v>7</v>
      </c>
      <c r="D575" s="7"/>
      <c r="J575" s="6" t="str">
        <f>IFERROR(_xlfn.LET(_xlpm.v,
VLOOKUP($I575,効果!$A:$B,COLUMN(効果!B$1),FALSE),
IF(_xlpm.v=0,"",_xlpm.v)
),"")</f>
        <v/>
      </c>
      <c r="L575" s="15" t="str">
        <f>IF(OR(COUNTIF(クラス!$A$1:$A$1031, $B575),$B575="",COUNTIF(スキル一覧!$A$1:$A$3500, $B575)), "", "存在しない")</f>
        <v/>
      </c>
      <c r="M575" s="2" t="str">
        <f>IF(COUNTIF($B$1:$C574, $B575), "", "存在しない")</f>
        <v>存在しない</v>
      </c>
      <c r="N575" s="2" t="str">
        <f>IF(AND(A575&lt;&gt;"",L575="存在しない",M575="存在しない"),IF(COUNTIF([1]クラス!$A$1:$A$1000, $B575),"",TRUE),"")</f>
        <v/>
      </c>
    </row>
    <row r="576" spans="1:14" hidden="1" outlineLevel="1" x14ac:dyDescent="0.4">
      <c r="A576" s="2">
        <v>8</v>
      </c>
      <c r="D576" s="7"/>
      <c r="J576" s="6" t="str">
        <f>IFERROR(_xlfn.LET(_xlpm.v,
VLOOKUP($I576,効果!$A:$B,COLUMN(効果!B$1),FALSE),
IF(_xlpm.v=0,"",_xlpm.v)
),"")</f>
        <v/>
      </c>
      <c r="L576" s="15" t="str">
        <f>IF(OR(COUNTIF(クラス!$A$1:$A$1031, $B576),$B576="",COUNTIF(スキル一覧!$A$1:$A$3500, $B576)), "", "存在しない")</f>
        <v/>
      </c>
      <c r="M576" s="2" t="str">
        <f>IF(COUNTIF($B$1:$C575, $B576), "", "存在しない")</f>
        <v>存在しない</v>
      </c>
      <c r="N576" s="2" t="str">
        <f>IF(AND(A576&lt;&gt;"",L576="存在しない",M576="存在しない"),IF(COUNTIF([1]クラス!$A$1:$A$1000, $B576),"",TRUE),"")</f>
        <v/>
      </c>
    </row>
    <row r="577" spans="1:14" hidden="1" outlineLevel="1" x14ac:dyDescent="0.4">
      <c r="A577" s="2">
        <v>9</v>
      </c>
      <c r="B577" s="2" t="str">
        <f>D568&amp;"強化"</f>
        <v>毒強化</v>
      </c>
      <c r="D577" s="7"/>
      <c r="E577" s="13" t="s">
        <v>475</v>
      </c>
      <c r="H577" s="10" t="str">
        <f>"条件系統:"&amp;D568&amp;" 全威力+10"</f>
        <v>条件系統:毒 全威力+10</v>
      </c>
      <c r="J577" s="6" t="str">
        <f>IFERROR(_xlfn.LET(_xlpm.v,
VLOOKUP($I577,効果!$A:$B,COLUMN(効果!B$1),FALSE),
IF(_xlpm.v=0,"",_xlpm.v)
),"")</f>
        <v/>
      </c>
      <c r="L577" s="15" t="str">
        <f>IF(OR(COUNTIF(クラス!$A$1:$A$1031, $B577),$B577="",COUNTIF(スキル一覧!$A$1:$A$3500, $B577)), "", "存在しない")</f>
        <v>存在しない</v>
      </c>
      <c r="M577" s="2" t="str">
        <f>IF(COUNTIF($B$1:$C576, $B577), "", "存在しない")</f>
        <v>存在しない</v>
      </c>
      <c r="N577" s="2" t="e">
        <f>IF(AND(A577&lt;&gt;"",L577="存在しない",M577="存在しない"),IF(COUNTIF([1]クラス!$A$1:$A$1000, $B577),"",TRUE),"")</f>
        <v>#VALUE!</v>
      </c>
    </row>
    <row r="578" spans="1:14" hidden="1" outlineLevel="1" x14ac:dyDescent="0.4">
      <c r="A578" s="2">
        <v>10</v>
      </c>
      <c r="B578" s="2" t="str">
        <f>D568&amp;"の唾"</f>
        <v>毒の唾</v>
      </c>
      <c r="D578" s="7" t="str">
        <f>D568</f>
        <v>毒</v>
      </c>
      <c r="E578" s="13" t="s">
        <v>778</v>
      </c>
      <c r="G578" s="19">
        <v>25</v>
      </c>
      <c r="H578" s="10" t="str">
        <f>"攻撃手段:吐息 "&amp;D568&amp;"+30 射程:2 判定:Lv"</f>
        <v>攻撃手段:吐息 毒+30 射程:2 判定:Lv</v>
      </c>
      <c r="J578" s="6" t="str">
        <f>IFERROR(_xlfn.LET(_xlpm.v,
VLOOKUP($I578,効果!$A:$B,COLUMN(効果!B$1),FALSE),
IF(_xlpm.v=0,"",_xlpm.v)
),"")</f>
        <v/>
      </c>
      <c r="L578" s="15" t="str">
        <f>IF(OR(COUNTIF(クラス!$A$1:$A$1031,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J579" s="6" t="str">
        <f>IFERROR(_xlfn.LET(_xlpm.v,
VLOOKUP($I579,効果!$A:$B,COLUMN(効果!B$1),FALSE),
IF(_xlpm.v=0,"",_xlpm.v)
),"")</f>
        <v/>
      </c>
      <c r="L579" s="15" t="str">
        <f>IF(OR(COUNTIF(クラス!$A$1:$A$1031, $B579),$B579="",COUNTIF(スキル一覧!$A$1:$A$3500, $B579)), "", "存在しない")</f>
        <v/>
      </c>
      <c r="M579" s="2" t="str">
        <f>IF(COUNTIF($B$1:$C578, $B579), "", "存在しない")</f>
        <v>存在しない</v>
      </c>
      <c r="N579" s="2" t="str">
        <f>IF(AND(A579&lt;&gt;"",L579="存在しない",M579="存在しない"),IF(COUNTIF([1]クラス!$A$1:$A$1000, $B579),"",TRUE),"")</f>
        <v/>
      </c>
    </row>
    <row r="580" spans="1:14" collapsed="1" x14ac:dyDescent="0.4">
      <c r="J580" s="6" t="str">
        <f>IFERROR(_xlfn.LET(_xlpm.v,
VLOOKUP($I580,効果!$A:$B,COLUMN(効果!B$1),FALSE),
IF(_xlpm.v=0,"",_xlpm.v)
),"")</f>
        <v/>
      </c>
      <c r="L580" s="15" t="str">
        <f>IF(OR(COUNTIF(クラス!$A$1:$A$1031, $B580),$B580="",COUNTIF(スキル一覧!$A$1:$A$3500, $B580)), "", "存在しない")</f>
        <v/>
      </c>
      <c r="M580" s="2" t="str">
        <f>IF(COUNTIF($B$1:$C579, $B580), "", "存在しない")</f>
        <v>存在しない</v>
      </c>
      <c r="N580" s="2" t="str">
        <f>IF(AND(A580&lt;&gt;"",L580="存在しない",M580="存在しない"),IF(COUNTIF([1]クラス!$A$1:$A$1000, $B580),"",TRUE),"")</f>
        <v/>
      </c>
    </row>
    <row r="581" spans="1:14" ht="18.75" x14ac:dyDescent="0.4">
      <c r="B581" t="s">
        <v>869</v>
      </c>
      <c r="D581" s="2" t="s">
        <v>904</v>
      </c>
      <c r="J581" s="6" t="str">
        <f>IFERROR(_xlfn.LET(_xlpm.v,
VLOOKUP($I581,効果!$A:$B,COLUMN(効果!B$1),FALSE),
IF(_xlpm.v=0,"",_xlpm.v)
),"")</f>
        <v/>
      </c>
      <c r="L581" s="15" t="str">
        <f>IF(OR(COUNTIF(クラス!$A$1:$A$1031, $B581),$B581="",COUNTIF(スキル一覧!$A$1:$A$3500, $B581)), "", "存在しない")</f>
        <v/>
      </c>
      <c r="M581" s="2" t="str">
        <f>IF(COUNTIF($B$1:$C580, $B581), "", "存在しない")</f>
        <v>存在しない</v>
      </c>
      <c r="N581" s="2" t="str">
        <f>IF(AND(A581&lt;&gt;"",L581="存在しない",M581="存在しない"),IF(COUNTIF([1]クラス!$A$1:$A$1000, $B581),"",TRUE),"")</f>
        <v/>
      </c>
    </row>
    <row r="582" spans="1:14" hidden="1" outlineLevel="1" x14ac:dyDescent="0.4">
      <c r="A582" s="2">
        <v>1</v>
      </c>
      <c r="B582" s="2" t="s">
        <v>900</v>
      </c>
      <c r="D582" s="7"/>
      <c r="E582" s="13" t="s">
        <v>475</v>
      </c>
      <c r="H582" s="10" t="str">
        <f>D581&amp;"耐性+30"</f>
        <v>打撃耐性+30</v>
      </c>
      <c r="J582" s="6" t="str">
        <f>IFERROR(_xlfn.LET(_xlpm.v,
VLOOKUP($I582,効果!$A:$B,COLUMN(効果!B$1),FALSE),
IF(_xlpm.v=0,"",_xlpm.v)
),"")</f>
        <v/>
      </c>
      <c r="L582" s="15" t="str">
        <f>IF(OR(COUNTIF(クラス!$A$1:$A$1031, $B582),$B582="",COUNTIF(スキル一覧!$A$1:$A$3500, $B582)), "", "存在しない")</f>
        <v>存在しない</v>
      </c>
      <c r="M582" s="2" t="str">
        <f>IF(COUNTIF($B$1:$C581, $B582), "", "存在しない")</f>
        <v>存在しない</v>
      </c>
      <c r="N582" s="2" t="e">
        <f>IF(AND(A582&lt;&gt;"",L582="存在しない",M582="存在しない"),IF(COUNTIF([1]クラス!$A$1:$A$1000, $B582),"",TRUE),"")</f>
        <v>#VALUE!</v>
      </c>
    </row>
    <row r="583" spans="1:14" hidden="1" outlineLevel="1" x14ac:dyDescent="0.4">
      <c r="A583" s="2">
        <v>2</v>
      </c>
      <c r="D583" s="7"/>
      <c r="J583" s="6" t="str">
        <f>IFERROR(_xlfn.LET(_xlpm.v,
VLOOKUP($I583,効果!$A:$B,COLUMN(効果!B$1),FALSE),
IF(_xlpm.v=0,"",_xlpm.v)
),"")</f>
        <v/>
      </c>
      <c r="L583" s="15" t="str">
        <f>IF(OR(COUNTIF(クラス!$A$1:$A$1031, $B583),$B583="",COUNTIF(スキル一覧!$A$1:$A$3500, $B583)), "", "存在しない")</f>
        <v/>
      </c>
      <c r="M583" s="2" t="str">
        <f>IF(COUNTIF($B$1:$C582, $B583), "", "存在しない")</f>
        <v>存在しない</v>
      </c>
      <c r="N583" s="2" t="str">
        <f>IF(AND(A583&lt;&gt;"",L583="存在しない",M583="存在しない"),IF(COUNTIF([1]クラス!$A$1:$A$1000, $B583),"",TRUE),"")</f>
        <v/>
      </c>
    </row>
    <row r="584" spans="1:14" ht="36" hidden="1" outlineLevel="1" x14ac:dyDescent="0.4">
      <c r="A584" s="2">
        <v>3</v>
      </c>
      <c r="B584" s="2" t="s">
        <v>901</v>
      </c>
      <c r="D584" s="7"/>
      <c r="E584" s="13" t="s">
        <v>778</v>
      </c>
      <c r="F584" s="14">
        <v>5</v>
      </c>
      <c r="G584" s="19">
        <v>20</v>
      </c>
      <c r="H584" s="10" t="str">
        <f>"効果時間6t 攻撃手段:肉体 "&amp;D581&amp;"+15 判定:攻撃"</f>
        <v>効果時間6t 攻撃手段:肉体 打撃+15 判定:攻撃</v>
      </c>
      <c r="J584" s="6" t="str">
        <f>IFERROR(_xlfn.LET(_xlpm.v,
VLOOKUP($I584,効果!$A:$B,COLUMN(効果!B$1),FALSE),
IF(_xlpm.v=0,"",_xlpm.v)
),"")</f>
        <v/>
      </c>
      <c r="L584" s="15" t="str">
        <f>IF(OR(COUNTIF(クラス!$A$1:$A$1031, $B584),$B584="",COUNTIF(スキル一覧!$A$1:$A$3500, $B584)), "", "存在しない")</f>
        <v>存在しない</v>
      </c>
      <c r="M584" s="2" t="str">
        <f>IF(COUNTIF($B$1:$C583, $B584), "", "存在しない")</f>
        <v>存在しない</v>
      </c>
      <c r="N584" s="2" t="e">
        <f>IF(AND(A584&lt;&gt;"",L584="存在しない",M584="存在しない"),IF(COUNTIF([1]クラス!$A$1:$A$1000, $B584),"",TRUE),"")</f>
        <v>#VALUE!</v>
      </c>
    </row>
    <row r="585" spans="1:14" hidden="1" outlineLevel="1" x14ac:dyDescent="0.4">
      <c r="A585" s="2">
        <v>4</v>
      </c>
      <c r="D585" s="7"/>
      <c r="J585" s="6" t="str">
        <f>IFERROR(_xlfn.LET(_xlpm.v,
VLOOKUP($I585,効果!$A:$B,COLUMN(効果!B$1),FALSE),
IF(_xlpm.v=0,"",_xlpm.v)
),"")</f>
        <v/>
      </c>
      <c r="L585" s="15" t="str">
        <f>IF(OR(COUNTIF(クラス!$A$1:$A$1031, $B585),$B585="",COUNTIF(スキル一覧!$A$1:$A$3500, $B585)), "", "存在しない")</f>
        <v/>
      </c>
      <c r="M585" s="2" t="str">
        <f>IF(COUNTIF($B$1:$C584, $B585), "", "存在しない")</f>
        <v>存在しない</v>
      </c>
      <c r="N585" s="2" t="str">
        <f>IF(AND(A585&lt;&gt;"",L585="存在しない",M585="存在しない"),IF(COUNTIF([1]クラス!$A$1:$A$1000, $B585),"",TRUE),"")</f>
        <v/>
      </c>
    </row>
    <row r="586" spans="1:14" hidden="1" outlineLevel="1" x14ac:dyDescent="0.4">
      <c r="A586" s="2">
        <v>5</v>
      </c>
      <c r="D586" s="7"/>
      <c r="E586" s="13" t="s">
        <v>475</v>
      </c>
      <c r="J586" s="6" t="str">
        <f>IFERROR(_xlfn.LET(_xlpm.v,
VLOOKUP($I586,効果!$A:$B,COLUMN(効果!B$1),FALSE),
IF(_xlpm.v=0,"",_xlpm.v)
),"")</f>
        <v/>
      </c>
      <c r="L586" s="15" t="str">
        <f>IF(OR(COUNTIF(クラス!$A$1:$A$1031, $B586),$B586="",COUNTIF(スキル一覧!$A$1:$A$3500, $B586)), "", "存在しない")</f>
        <v/>
      </c>
      <c r="M586" s="2" t="str">
        <f>IF(COUNTIF($B$1:$C585, $B586), "", "存在しない")</f>
        <v>存在しない</v>
      </c>
      <c r="N586" s="2" t="str">
        <f>IF(AND(A586&lt;&gt;"",L586="存在しない",M586="存在しない"),IF(COUNTIF([1]クラス!$A$1:$A$1000, $B586),"",TRUE),"")</f>
        <v/>
      </c>
    </row>
    <row r="587" spans="1:14" ht="36" hidden="1" outlineLevel="1" x14ac:dyDescent="0.4">
      <c r="A587" s="2">
        <v>6</v>
      </c>
      <c r="B587" s="2" t="s">
        <v>776</v>
      </c>
      <c r="D587" s="7" t="s">
        <v>899</v>
      </c>
      <c r="E587" s="13" t="s">
        <v>778</v>
      </c>
      <c r="F587" s="14">
        <v>5</v>
      </c>
      <c r="G587" s="19">
        <v>60</v>
      </c>
      <c r="H587" s="10" t="str">
        <f>"攻撃手段:肉体 打撃+15 "&amp;D581&amp;"+20 追加威力:速度 判定:攻撃 溜め:1t CT:5t"</f>
        <v>攻撃手段:肉体 打撃+15 打撃+20 追加威力:速度 判定:攻撃 溜め:1t CT:5t</v>
      </c>
      <c r="J587" s="6" t="str">
        <f>IFERROR(_xlfn.LET(_xlpm.v,
VLOOKUP($I587,効果!$A:$B,COLUMN(効果!B$1),FALSE),
IF(_xlpm.v=0,"",_xlpm.v)
),"")</f>
        <v/>
      </c>
      <c r="L587" s="15" t="str">
        <f>IF(OR(COUNTIF(クラス!$A$1:$A$1031, $B587),$B587="",COUNTIF(スキル一覧!$A$1:$A$3500, $B587)), "", "存在しない")</f>
        <v>存在しない</v>
      </c>
      <c r="M587" s="2" t="str">
        <f>IF(COUNTIF($B$1:$C586, $B587), "", "存在しない")</f>
        <v/>
      </c>
      <c r="N587" s="2" t="str">
        <f>IF(AND(A587&lt;&gt;"",L587="存在しない",M587="存在しない"),IF(COUNTIF([1]クラス!$A$1:$A$1000, $B587),"",TRUE),"")</f>
        <v/>
      </c>
    </row>
    <row r="588" spans="1:14" hidden="1" outlineLevel="1" x14ac:dyDescent="0.4">
      <c r="A588" s="2">
        <v>7</v>
      </c>
      <c r="D588" s="7"/>
      <c r="J588" s="6" t="str">
        <f>IFERROR(_xlfn.LET(_xlpm.v,
VLOOKUP($I588,効果!$A:$B,COLUMN(効果!B$1),FALSE),
IF(_xlpm.v=0,"",_xlpm.v)
),"")</f>
        <v/>
      </c>
      <c r="L588" s="15" t="str">
        <f>IF(OR(COUNTIF(クラス!$A$1:$A$1031, $B588),$B588="",COUNTIF(スキル一覧!$A$1:$A$3500, $B588)), "", "存在しない")</f>
        <v/>
      </c>
      <c r="M588" s="2" t="str">
        <f>IF(COUNTIF($B$1:$C587, $B588), "", "存在しない")</f>
        <v>存在しない</v>
      </c>
      <c r="N588" s="2" t="str">
        <f>IF(AND(A588&lt;&gt;"",L588="存在しない",M588="存在しない"),IF(COUNTIF([1]クラス!$A$1:$A$1000, $B588),"",TRUE),"")</f>
        <v/>
      </c>
    </row>
    <row r="589" spans="1:14" hidden="1" outlineLevel="1" x14ac:dyDescent="0.4">
      <c r="A589" s="2">
        <v>8</v>
      </c>
      <c r="D589" s="7"/>
      <c r="J589" s="6" t="str">
        <f>IFERROR(_xlfn.LET(_xlpm.v,
VLOOKUP($I589,効果!$A:$B,COLUMN(効果!B$1),FALSE),
IF(_xlpm.v=0,"",_xlpm.v)
),"")</f>
        <v/>
      </c>
      <c r="L589" s="15" t="str">
        <f>IF(OR(COUNTIF(クラス!$A$1:$A$1031, $B589),$B589="",COUNTIF(スキル一覧!$A$1:$A$3500, $B589)), "", "存在しない")</f>
        <v/>
      </c>
      <c r="M589" s="2" t="str">
        <f>IF(COUNTIF($B$1:$C588, $B589), "", "存在しない")</f>
        <v>存在しない</v>
      </c>
      <c r="N589" s="2" t="str">
        <f>IF(AND(A589&lt;&gt;"",L589="存在しない",M589="存在しない"),IF(COUNTIF([1]クラス!$A$1:$A$1000, $B589),"",TRUE),"")</f>
        <v/>
      </c>
    </row>
    <row r="590" spans="1:14" hidden="1" outlineLevel="1" x14ac:dyDescent="0.4">
      <c r="A590" s="2">
        <v>9</v>
      </c>
      <c r="B590" s="2" t="s">
        <v>902</v>
      </c>
      <c r="D590" s="7"/>
      <c r="E590" s="13" t="s">
        <v>475</v>
      </c>
      <c r="H590" s="10" t="str">
        <f>"条件系統:"&amp;D581&amp;" 全威力+10"</f>
        <v>条件系統:打撃 全威力+10</v>
      </c>
      <c r="J590" s="6" t="str">
        <f>IFERROR(_xlfn.LET(_xlpm.v,
VLOOKUP($I590,効果!$A:$B,COLUMN(効果!B$1),FALSE),
IF(_xlpm.v=0,"",_xlpm.v)
),"")</f>
        <v/>
      </c>
      <c r="L590" s="15" t="str">
        <f>IF(OR(COUNTIF(クラス!$A$1:$A$1031, $B590),$B590="",COUNTIF(スキル一覧!$A$1:$A$3500, $B590)), "", "存在しない")</f>
        <v>存在しない</v>
      </c>
      <c r="M590" s="2" t="str">
        <f>IF(COUNTIF($B$1:$C589, $B590), "", "存在しない")</f>
        <v>存在しない</v>
      </c>
      <c r="N590" s="2" t="e">
        <f>IF(AND(A590&lt;&gt;"",L590="存在しない",M590="存在しない"),IF(COUNTIF([1]クラス!$A$1:$A$1000, $B590),"",TRUE),"")</f>
        <v>#VALUE!</v>
      </c>
    </row>
    <row r="591" spans="1:14" ht="36" hidden="1" outlineLevel="1" x14ac:dyDescent="0.4">
      <c r="A591" s="2">
        <v>10</v>
      </c>
      <c r="B591" s="2" t="s">
        <v>903</v>
      </c>
      <c r="D591" s="7" t="s">
        <v>899</v>
      </c>
      <c r="E591" s="13" t="s">
        <v>778</v>
      </c>
      <c r="G591" s="19">
        <v>25</v>
      </c>
      <c r="H591" s="10" t="str">
        <f>"攻撃手段:吐息 "&amp;D581&amp;"+30 射程:2 判定:Lv"</f>
        <v>攻撃手段:吐息 打撃+30 射程:2 判定:Lv</v>
      </c>
      <c r="I591" s="6" t="s">
        <v>425</v>
      </c>
      <c r="J591" s="6" t="str">
        <f>IFERROR(_xlfn.LET(_xlpm.v,
VLOOKUP($I591,効果!$A:$B,COLUMN(効果!B$1),FALSE),
IF(_xlpm.v=0,"",_xlpm.v)
),"")</f>
        <v>対象を後方へ移動させる</v>
      </c>
      <c r="L591" s="15" t="str">
        <f>IF(OR(COUNTIF(クラス!$A$1:$A$1031, $B591),$B591="",COUNTIF(スキル一覧!$A$1:$A$3500, $B591)), "", "存在しない")</f>
        <v>存在しない</v>
      </c>
      <c r="M591" s="2" t="str">
        <f>IF(COUNTIF($B$1:$C590, $B591), "", "存在しない")</f>
        <v>存在しない</v>
      </c>
      <c r="N591" s="2" t="e">
        <f>IF(AND(A591&lt;&gt;"",L591="存在しない",M591="存在しない"),IF(COUNTIF([1]クラス!$A$1:$A$1000, $B591),"",TRUE),"")</f>
        <v>#VALUE!</v>
      </c>
    </row>
    <row r="592" spans="1:14" hidden="1" outlineLevel="1" x14ac:dyDescent="0.4">
      <c r="J592" s="6" t="str">
        <f>IFERROR(_xlfn.LET(_xlpm.v,
VLOOKUP($I592,効果!$A:$B,COLUMN(効果!B$1),FALSE),
IF(_xlpm.v=0,"",_xlpm.v)
),"")</f>
        <v/>
      </c>
      <c r="L592" s="15" t="str">
        <f>IF(OR(COUNTIF(クラス!$A$1:$A$1031, $B592),$B592="",COUNTIF(スキル一覧!$A$1:$A$3500, $B592)), "", "存在しない")</f>
        <v/>
      </c>
      <c r="M592" s="2" t="str">
        <f>IF(COUNTIF($B$1:$C591, $B592), "", "存在しない")</f>
        <v>存在しない</v>
      </c>
      <c r="N592" s="2" t="str">
        <f>IF(AND(A592&lt;&gt;"",L592="存在しない",M592="存在しない"),IF(COUNTIF([1]クラス!$A$1:$A$1000, $B592),"",TRUE),"")</f>
        <v/>
      </c>
    </row>
    <row r="593" spans="1:14" collapsed="1" x14ac:dyDescent="0.4">
      <c r="J593" s="6" t="str">
        <f>IFERROR(_xlfn.LET(_xlpm.v,
VLOOKUP($I593,効果!$A:$B,COLUMN(効果!B$1),FALSE),
IF(_xlpm.v=0,"",_xlpm.v)
),"")</f>
        <v/>
      </c>
      <c r="L593" s="15" t="str">
        <f>IF(OR(COUNTIF(クラス!$A$1:$A$1031, $B593),$B593="",COUNTIF(スキル一覧!$A$1:$A$3500, $B593)), "", "存在しない")</f>
        <v/>
      </c>
      <c r="M593" s="2" t="str">
        <f>IF(COUNTIF($B$1:$C592, $B593), "", "存在しない")</f>
        <v>存在しない</v>
      </c>
      <c r="N593" s="2" t="str">
        <f>IF(AND(A593&lt;&gt;"",L593="存在しない",M593="存在しない"),IF(COUNTIF([1]クラス!$A$1:$A$1000, $B593),"",TRUE),"")</f>
        <v/>
      </c>
    </row>
    <row r="594" spans="1:14" x14ac:dyDescent="0.4">
      <c r="J594" s="6" t="str">
        <f>IFERROR(_xlfn.LET(_xlpm.v,
VLOOKUP($I594,効果!$A:$B,COLUMN(効果!B$1),FALSE),
IF(_xlpm.v=0,"",_xlpm.v)
),"")</f>
        <v/>
      </c>
      <c r="L594" s="15" t="str">
        <f>IF(OR(COUNTIF(クラス!$A$1:$A$1031, $B594),$B594="",COUNTIF(スキル一覧!$A$1:$A$3500, $B594)), "", "存在しない")</f>
        <v/>
      </c>
      <c r="M594" s="2" t="str">
        <f>IF(COUNTIF($B$1:$C593, $B594), "", "存在しない")</f>
        <v>存在しない</v>
      </c>
      <c r="N594" s="2" t="str">
        <f>IF(AND(A594&lt;&gt;"",L594="存在しない",M594="存在しない"),IF(COUNTIF([1]クラス!$A$1:$A$1000, $B594),"",TRUE),"")</f>
        <v/>
      </c>
    </row>
    <row r="595" spans="1:14" x14ac:dyDescent="0.4">
      <c r="B595" s="2" t="s">
        <v>822</v>
      </c>
      <c r="J595" s="6" t="str">
        <f>IFERROR(_xlfn.LET(_xlpm.v,
VLOOKUP($I595,効果!$A:$B,COLUMN(効果!B$1),FALSE),
IF(_xlpm.v=0,"",_xlpm.v)
),"")</f>
        <v/>
      </c>
      <c r="L595" s="15" t="str">
        <f>IF(OR(COUNTIF(クラス!$A$1:$A$1031, $B595),$B595="",COUNTIF(スキル一覧!$A$1:$A$3500, $B595)), "", "存在しない")</f>
        <v/>
      </c>
      <c r="M595" s="2" t="str">
        <f>IF(COUNTIF($B$1:$C594, $B595), "", "存在しない")</f>
        <v>存在しない</v>
      </c>
      <c r="N595" s="2" t="str">
        <f>IF(AND(A595&lt;&gt;"",L595="存在しない",M595="存在しない"),IF(COUNTIF([1]クラス!$A$1:$A$1000, $B595),"",TRUE),"")</f>
        <v/>
      </c>
    </row>
    <row r="596" spans="1:14" hidden="1" outlineLevel="1" x14ac:dyDescent="0.4">
      <c r="A596" s="2">
        <v>1</v>
      </c>
      <c r="B596" s="2" t="s">
        <v>110</v>
      </c>
      <c r="E596" s="13" t="s">
        <v>778</v>
      </c>
      <c r="J596" s="6" t="str">
        <f>IFERROR(_xlfn.LET(_xlpm.v,
VLOOKUP($I596,効果!$A:$B,COLUMN(効果!B$1),FALSE),
IF(_xlpm.v=0,"",_xlpm.v)
),"")</f>
        <v/>
      </c>
      <c r="L596" s="15" t="str">
        <f>IF(OR(COUNTIF(クラス!$A$1:$A$1031, $B596),$B596="",COUNTIF(スキル一覧!$A$1:$A$3500, $B596)), "", "存在しない")</f>
        <v/>
      </c>
      <c r="M596" s="2" t="str">
        <f>IF(COUNTIF($B$1:$C595, $B596), "", "存在しない")</f>
        <v/>
      </c>
      <c r="N596" s="2" t="str">
        <f>IF(AND(A596&lt;&gt;"",L596="存在しない",M596="存在しない"),IF(COUNTIF([1]クラス!$A$1:$A$1000, $B596),"",TRUE),"")</f>
        <v/>
      </c>
    </row>
    <row r="597" spans="1:14" hidden="1" outlineLevel="1" x14ac:dyDescent="0.4">
      <c r="A597" s="2">
        <v>2</v>
      </c>
      <c r="J597" s="6" t="str">
        <f>IFERROR(_xlfn.LET(_xlpm.v,
VLOOKUP($I597,効果!$A:$B,COLUMN(効果!B$1),FALSE),
IF(_xlpm.v=0,"",_xlpm.v)
),"")</f>
        <v/>
      </c>
      <c r="L597" s="15" t="str">
        <f>IF(OR(COUNTIF(クラス!$A$1:$A$1031, $B597),$B597="",COUNTIF(スキル一覧!$A$1:$A$3500, $B597)), "", "存在しない")</f>
        <v/>
      </c>
      <c r="M597" s="2" t="str">
        <f>IF(COUNTIF($B$1:$C596, $B597), "", "存在しない")</f>
        <v>存在しない</v>
      </c>
      <c r="N597" s="2" t="str">
        <f>IF(AND(A597&lt;&gt;"",L597="存在しない",M597="存在しない"),IF(COUNTIF([1]クラス!$A$1:$A$1000, $B597),"",TRUE),"")</f>
        <v/>
      </c>
    </row>
    <row r="598" spans="1:14" hidden="1" outlineLevel="1" x14ac:dyDescent="0.4">
      <c r="A598" s="2">
        <v>3</v>
      </c>
      <c r="B598" s="2" t="s">
        <v>879</v>
      </c>
      <c r="E598" s="13" t="s">
        <v>778</v>
      </c>
      <c r="J598" s="6" t="str">
        <f>IFERROR(_xlfn.LET(_xlpm.v,
VLOOKUP($I598,効果!$A:$B,COLUMN(効果!B$1),FALSE),
IF(_xlpm.v=0,"",_xlpm.v)
),"")</f>
        <v/>
      </c>
      <c r="L598" s="15" t="str">
        <f>IF(OR(COUNTIF(クラス!$A$1:$A$1031, $B598),$B598="",COUNTIF(スキル一覧!$A$1:$A$3500, $B598)), "", "存在しない")</f>
        <v/>
      </c>
      <c r="M598" s="2" t="str">
        <f>IF(COUNTIF($B$1:$C597, $B598), "", "存在しない")</f>
        <v/>
      </c>
      <c r="N598" s="2" t="str">
        <f>IF(AND(A598&lt;&gt;"",L598="存在しない",M598="存在しない"),IF(COUNTIF([1]クラス!$A$1:$A$1000, $B598),"",TRUE),"")</f>
        <v/>
      </c>
    </row>
    <row r="599" spans="1:14" hidden="1" outlineLevel="1" x14ac:dyDescent="0.4">
      <c r="A599" s="2">
        <v>4</v>
      </c>
      <c r="J599" s="6" t="str">
        <f>IFERROR(_xlfn.LET(_xlpm.v,
VLOOKUP($I599,効果!$A:$B,COLUMN(効果!B$1),FALSE),
IF(_xlpm.v=0,"",_xlpm.v)
),"")</f>
        <v/>
      </c>
      <c r="L599" s="15" t="str">
        <f>IF(OR(COUNTIF(クラス!$A$1:$A$1031, $B599),$B599="",COUNTIF(スキル一覧!$A$1:$A$3500, $B599)), "", "存在しない")</f>
        <v/>
      </c>
      <c r="M599" s="2" t="str">
        <f>IF(COUNTIF($B$1:$C598, $B599), "", "存在しない")</f>
        <v>存在しない</v>
      </c>
      <c r="N599" s="2" t="str">
        <f>IF(AND(A599&lt;&gt;"",L599="存在しない",M599="存在しない"),IF(COUNTIF([1]クラス!$A$1:$A$1000, $B599),"",TRUE),"")</f>
        <v/>
      </c>
    </row>
    <row r="600" spans="1:14" hidden="1" outlineLevel="1" x14ac:dyDescent="0.4">
      <c r="A600" s="2">
        <v>5</v>
      </c>
      <c r="B600" s="2" t="s">
        <v>884</v>
      </c>
      <c r="E600" s="13" t="s">
        <v>474</v>
      </c>
      <c r="H600" s="10" t="s">
        <v>885</v>
      </c>
      <c r="J600" s="6" t="str">
        <f>IFERROR(_xlfn.LET(_xlpm.v,
VLOOKUP($I600,効果!$A:$B,COLUMN(効果!B$1),FALSE),
IF(_xlpm.v=0,"",_xlpm.v)
),"")</f>
        <v/>
      </c>
      <c r="L600" s="15" t="str">
        <f>IF(OR(COUNTIF(クラス!$A$1:$A$1031, $B600),$B600="",COUNTIF(スキル一覧!$A$1:$A$3500, $B600)), "", "存在しない")</f>
        <v>存在しない</v>
      </c>
      <c r="M600" s="2" t="str">
        <f>IF(COUNTIF($B$1:$C599, $B600), "", "存在しない")</f>
        <v>存在しない</v>
      </c>
      <c r="N600" s="2" t="e">
        <f>IF(AND(A600&lt;&gt;"",L600="存在しない",M600="存在しない"),IF(COUNTIF([1]クラス!$A$1:$A$1000, $B600),"",TRUE),"")</f>
        <v>#VALUE!</v>
      </c>
    </row>
    <row r="601" spans="1:14" hidden="1" outlineLevel="1" x14ac:dyDescent="0.4">
      <c r="A601" s="2">
        <v>6</v>
      </c>
      <c r="B601" s="2" t="s">
        <v>881</v>
      </c>
      <c r="E601" s="13" t="s">
        <v>778</v>
      </c>
      <c r="G601" s="19">
        <v>20</v>
      </c>
      <c r="H601" s="10" t="s">
        <v>883</v>
      </c>
      <c r="J601" s="6" t="str">
        <f>IFERROR(_xlfn.LET(_xlpm.v,
VLOOKUP($I601,効果!$A:$B,COLUMN(効果!B$1),FALSE),
IF(_xlpm.v=0,"",_xlpm.v)
),"")</f>
        <v/>
      </c>
      <c r="L601" s="15" t="str">
        <f>IF(OR(COUNTIF(クラス!$A$1:$A$1031, $B601),$B601="",COUNTIF(スキル一覧!$A$1:$A$3500, $B601)), "", "存在しない")</f>
        <v>存在しない</v>
      </c>
      <c r="M601" s="2" t="str">
        <f>IF(COUNTIF($B$1:$C600, $B601), "", "存在しない")</f>
        <v/>
      </c>
      <c r="N601" s="2" t="str">
        <f>IF(AND(A601&lt;&gt;"",L601="存在しない",M601="存在しない"),IF(COUNTIF([1]クラス!$A$1:$A$1000, $B601),"",TRUE),"")</f>
        <v/>
      </c>
    </row>
    <row r="602" spans="1:14" hidden="1" outlineLevel="1" x14ac:dyDescent="0.4">
      <c r="A602" s="2">
        <v>7</v>
      </c>
      <c r="J602" s="6" t="str">
        <f>IFERROR(_xlfn.LET(_xlpm.v,
VLOOKUP($I602,効果!$A:$B,COLUMN(効果!B$1),FALSE),
IF(_xlpm.v=0,"",_xlpm.v)
),"")</f>
        <v/>
      </c>
      <c r="L602" s="15" t="str">
        <f>IF(OR(COUNTIF(クラス!$A$1:$A$1031, $B602),$B602="",COUNTIF(スキル一覧!$A$1:$A$3500, $B602)), "", "存在しない")</f>
        <v/>
      </c>
      <c r="M602" s="2" t="str">
        <f>IF(COUNTIF($B$1:$C601, $B602), "", "存在しない")</f>
        <v>存在しない</v>
      </c>
      <c r="N602" s="2" t="str">
        <f>IF(AND(A602&lt;&gt;"",L602="存在しない",M602="存在しない"),IF(COUNTIF([1]クラス!$A$1:$A$1000, $B602),"",TRUE),"")</f>
        <v/>
      </c>
    </row>
    <row r="603" spans="1:14" ht="36" hidden="1" outlineLevel="1" x14ac:dyDescent="0.4">
      <c r="A603" s="2">
        <v>8</v>
      </c>
      <c r="B603" s="2" t="s">
        <v>880</v>
      </c>
      <c r="E603" s="13" t="s">
        <v>778</v>
      </c>
      <c r="H603" s="10" t="s">
        <v>882</v>
      </c>
      <c r="J603" s="6" t="str">
        <f>IFERROR(_xlfn.LET(_xlpm.v,
VLOOKUP($I603,効果!$A:$B,COLUMN(効果!B$1),FALSE),
IF(_xlpm.v=0,"",_xlpm.v)
),"")</f>
        <v/>
      </c>
      <c r="L603" s="15" t="str">
        <f>IF(OR(COUNTIF(クラス!$A$1:$A$1031, $B603),$B603="",COUNTIF(スキル一覧!$A$1:$A$3500, $B603)), "", "存在しない")</f>
        <v>存在しない</v>
      </c>
      <c r="M603" s="2" t="str">
        <f>IF(COUNTIF($B$1:$C602, $B603), "", "存在しない")</f>
        <v>存在しない</v>
      </c>
      <c r="N603" s="2" t="e">
        <f>IF(AND(A603&lt;&gt;"",L603="存在しない",M603="存在しない"),IF(COUNTIF([1]クラス!$A$1:$A$1000, $B603),"",TRUE),"")</f>
        <v>#VALUE!</v>
      </c>
    </row>
    <row r="604" spans="1:14" hidden="1" outlineLevel="1" x14ac:dyDescent="0.4">
      <c r="A604" s="2">
        <v>9</v>
      </c>
      <c r="B604" s="2" t="s">
        <v>887</v>
      </c>
      <c r="E604" s="13" t="s">
        <v>474</v>
      </c>
      <c r="H604" s="10" t="s">
        <v>886</v>
      </c>
      <c r="J604" s="6" t="str">
        <f>IFERROR(_xlfn.LET(_xlpm.v,
VLOOKUP($I604,効果!$A:$B,COLUMN(効果!B$1),FALSE),
IF(_xlpm.v=0,"",_xlpm.v)
),"")</f>
        <v/>
      </c>
      <c r="L604" s="15" t="str">
        <f>IF(OR(COUNTIF(クラス!$A$1:$A$1031, $B604),$B604="",COUNTIF(スキル一覧!$A$1:$A$3500, $B604)), "", "存在しない")</f>
        <v>存在しない</v>
      </c>
      <c r="M604" s="2" t="str">
        <f>IF(COUNTIF($B$1:$C603, $B604), "", "存在しない")</f>
        <v>存在しない</v>
      </c>
      <c r="N604" s="2" t="e">
        <f>IF(AND(A604&lt;&gt;"",L604="存在しない",M604="存在しない"),IF(COUNTIF([1]クラス!$A$1:$A$1000, $B604),"",TRUE),"")</f>
        <v>#VALUE!</v>
      </c>
    </row>
    <row r="605" spans="1:14" hidden="1" outlineLevel="1" x14ac:dyDescent="0.4">
      <c r="A605" s="2">
        <v>10</v>
      </c>
      <c r="E605" s="13" t="s">
        <v>778</v>
      </c>
      <c r="G605" s="19">
        <v>20</v>
      </c>
      <c r="J605" s="6" t="str">
        <f>IFERROR(_xlfn.LET(_xlpm.v,
VLOOKUP($I605,効果!$A:$B,COLUMN(効果!B$1),FALSE),
IF(_xlpm.v=0,"",_xlpm.v)
),"")</f>
        <v/>
      </c>
      <c r="L605" s="15" t="str">
        <f>IF(OR(COUNTIF(クラス!$A$1:$A$1031, $B605),$B605="",COUNTIF(スキル一覧!$A$1:$A$3500, $B605)), "", "存在しない")</f>
        <v/>
      </c>
      <c r="M605" s="2" t="str">
        <f>IF(COUNTIF($B$1:$C604, $B605), "", "存在しない")</f>
        <v>存在しない</v>
      </c>
      <c r="N605" s="2" t="str">
        <f>IF(AND(A605&lt;&gt;"",L605="存在しない",M605="存在しない"),IF(COUNTIF([1]クラス!$A$1:$A$1000, $B605),"",TRUE),"")</f>
        <v/>
      </c>
    </row>
    <row r="606" spans="1:14" hidden="1" outlineLevel="1" x14ac:dyDescent="0.4">
      <c r="J606" s="6" t="str">
        <f>IFERROR(_xlfn.LET(_xlpm.v,
VLOOKUP($I606,効果!$A:$B,COLUMN(効果!B$1),FALSE),
IF(_xlpm.v=0,"",_xlpm.v)
),"")</f>
        <v/>
      </c>
      <c r="L606" s="15" t="str">
        <f>IF(OR(COUNTIF(クラス!$A$1:$A$1031, $B606),$B606="",COUNTIF(スキル一覧!$A$1:$A$3500, $B606)), "", "存在しない")</f>
        <v/>
      </c>
      <c r="M606" s="2" t="str">
        <f>IF(COUNTIF($B$1:$C605, $B606), "", "存在しない")</f>
        <v>存在しない</v>
      </c>
      <c r="N606" s="2" t="str">
        <f>IF(AND(A606&lt;&gt;"",L606="存在しない",M606="存在しない"),IF(COUNTIF([1]クラス!$A$1:$A$1000, $B606),"",TRUE),"")</f>
        <v/>
      </c>
    </row>
    <row r="607" spans="1:14" collapsed="1" x14ac:dyDescent="0.4">
      <c r="J607" s="6" t="str">
        <f>IFERROR(_xlfn.LET(_xlpm.v,
VLOOKUP($I607,効果!$A:$B,COLUMN(効果!B$1),FALSE),
IF(_xlpm.v=0,"",_xlpm.v)
),"")</f>
        <v/>
      </c>
      <c r="L607" s="15" t="str">
        <f>IF(OR(COUNTIF(クラス!$A$1:$A$1031, $B607),$B607="",COUNTIF(スキル一覧!$A$1:$A$3500, $B607)), "", "存在しない")</f>
        <v/>
      </c>
      <c r="M607" s="2" t="str">
        <f>IF(COUNTIF($B$1:$C606, $B607), "", "存在しない")</f>
        <v>存在しない</v>
      </c>
      <c r="N607" s="2" t="str">
        <f>IF(AND(A607&lt;&gt;"",L607="存在しない",M607="存在しない"),IF(COUNTIF([1]クラス!$A$1:$A$1000, $B607),"",TRUE),"")</f>
        <v/>
      </c>
    </row>
    <row r="608" spans="1:14" x14ac:dyDescent="0.4">
      <c r="J608" s="6" t="str">
        <f>IFERROR(_xlfn.LET(_xlpm.v,
VLOOKUP($I608,効果!$A:$B,COLUMN(効果!B$1),FALSE),
IF(_xlpm.v=0,"",_xlpm.v)
),"")</f>
        <v/>
      </c>
      <c r="L608" s="15" t="str">
        <f>IF(OR(COUNTIF(クラス!$A$1:$A$1031,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IF(OR(COUNTIF(クラス!$A$1:$A$1031,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IF(OR(COUNTIF(クラス!$A$1:$A$1031,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IF(OR(COUNTIF(クラス!$A$1:$A$1031,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IF(OR(COUNTIF(クラス!$A$1:$A$1031,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IF(OR(COUNTIF(クラス!$A$1:$A$1031,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IF(OR(COUNTIF(クラス!$A$1:$A$1031,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IF(OR(COUNTIF(クラス!$A$1:$A$1031,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IF(OR(COUNTIF(クラス!$A$1:$A$1031,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IF(OR(COUNTIF(クラス!$A$1:$A$1031,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IF(OR(COUNTIF(クラス!$A$1:$A$1031,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IF(OR(COUNTIF(クラス!$A$1:$A$1031,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IF(OR(COUNTIF(クラス!$A$1:$A$1031,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IF(OR(COUNTIF(クラス!$A$1:$A$1031,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IF(OR(COUNTIF(クラス!$A$1:$A$1031,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IF(OR(COUNTIF(クラス!$A$1:$A$1031,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IF(OR(COUNTIF(クラス!$A$1:$A$1031,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IF(OR(COUNTIF(クラス!$A$1:$A$1031,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IF(OR(COUNTIF(クラス!$A$1:$A$1031,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IF(OR(COUNTIF(クラス!$A$1:$A$1031,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IF(OR(COUNTIF(クラス!$A$1:$A$1031,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IF(OR(COUNTIF(クラス!$A$1:$A$1031,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IF(OR(COUNTIF(クラス!$A$1:$A$1031,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IF(OR(COUNTIF(クラス!$A$1:$A$1031,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IF(OR(COUNTIF(クラス!$A$1:$A$1031,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IF(OR(COUNTIF(クラス!$A$1:$A$1031,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IF(OR(COUNTIF(クラス!$A$1:$A$1031,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IF(OR(COUNTIF(クラス!$A$1:$A$1031,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IF(OR(COUNTIF(クラス!$A$1:$A$1031,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IF(OR(COUNTIF(クラス!$A$1:$A$1031,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IF(OR(COUNTIF(クラス!$A$1:$A$1031,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IF(OR(COUNTIF(クラス!$A$1:$A$1031,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IF(OR(COUNTIF(クラス!$A$1:$A$1031,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IF(OR(COUNTIF(クラス!$A$1:$A$1031,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IF(OR(COUNTIF(クラス!$A$1:$A$1031,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IF(OR(COUNTIF(クラス!$A$1:$A$1031,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IF(OR(COUNTIF(クラス!$A$1:$A$1031,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IF(OR(COUNTIF(クラス!$A$1:$A$1031,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IF(OR(COUNTIF(クラス!$A$1:$A$1031,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IF(OR(COUNTIF(クラス!$A$1:$A$1031,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IF(OR(COUNTIF(クラス!$A$1:$A$1031,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IF(OR(COUNTIF(クラス!$A$1:$A$1031,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IF(OR(COUNTIF(クラス!$A$1:$A$1031,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IF(OR(COUNTIF(クラス!$A$1:$A$1031,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IF(OR(COUNTIF(クラス!$A$1:$A$1031,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IF(OR(COUNTIF(クラス!$A$1:$A$1031,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IF(OR(COUNTIF(クラス!$A$1:$A$1031,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IF(OR(COUNTIF(クラス!$A$1:$A$1031,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IF(OR(COUNTIF(クラス!$A$1:$A$1031,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IF(OR(COUNTIF(クラス!$A$1:$A$1031,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IF(OR(COUNTIF(クラス!$A$1:$A$1031,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IF(OR(COUNTIF(クラス!$A$1:$A$1031,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IF(OR(COUNTIF(クラス!$A$1:$A$1031,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IF(OR(COUNTIF(クラス!$A$1:$A$1031,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IF(OR(COUNTIF(クラス!$A$1:$A$1031,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IF(OR(COUNTIF(クラス!$A$1:$A$1031,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IF(OR(COUNTIF(クラス!$A$1:$A$1031,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IF(OR(COUNTIF(クラス!$A$1:$A$1031,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IF(OR(COUNTIF(クラス!$A$1:$A$1031,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IF(OR(COUNTIF(クラス!$A$1:$A$1031,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IF(OR(COUNTIF(クラス!$A$1:$A$1031,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IF(OR(COUNTIF(クラス!$A$1:$A$1031,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c r="L670" s="15" t="str">
        <f>IF(OR(COUNTIF(クラス!$A$1:$A$1031, $B670),$B670="",COUNTIF(スキル一覧!$A$1:$A$3500, $B670)), "", "存在しない")</f>
        <v/>
      </c>
      <c r="M670" s="2" t="str">
        <f>IF(COUNTIF($B$1:$C669, $B670), "", "存在しない")</f>
        <v>存在しない</v>
      </c>
      <c r="N670" s="2" t="str">
        <f>IF(AND(A670&lt;&gt;"",L670="存在しない",M670="存在しない"),IF(COUNTIF([1]クラス!$A$1:$A$1000, $B670),"",TRUE),"")</f>
        <v/>
      </c>
    </row>
    <row r="671" spans="10:14" x14ac:dyDescent="0.4">
      <c r="J671" s="6" t="str">
        <f>IFERROR(_xlfn.LET(_xlpm.v,
VLOOKUP($I671,効果!$A:$B,COLUMN(効果!B$1),FALSE),
IF(_xlpm.v=0,"",_xlpm.v)
),"")</f>
        <v/>
      </c>
      <c r="L671" s="15" t="str">
        <f>IF(OR(COUNTIF(クラス!$A$1:$A$1031, $B671),$B671="",COUNTIF(スキル一覧!$A$1:$A$3500, $B671)), "", "存在しない")</f>
        <v/>
      </c>
      <c r="M671" s="2" t="str">
        <f>IF(COUNTIF($B$1:$C670, $B671), "", "存在しない")</f>
        <v>存在しない</v>
      </c>
      <c r="N671" s="2" t="str">
        <f>IF(AND(A671&lt;&gt;"",L671="存在しない",M671="存在しない"),IF(COUNTIF([1]クラス!$A$1:$A$1000, $B671),"",TRUE),"")</f>
        <v/>
      </c>
    </row>
    <row r="672" spans="10:14" x14ac:dyDescent="0.4">
      <c r="J672" s="6" t="str">
        <f>IFERROR(_xlfn.LET(_xlpm.v,
VLOOKUP($I672,効果!$A:$B,COLUMN(効果!B$1),FALSE),
IF(_xlpm.v=0,"",_xlpm.v)
),"")</f>
        <v/>
      </c>
      <c r="L672" s="15" t="str">
        <f>IF(OR(COUNTIF(クラス!$A$1:$A$1031, $B672),$B672="",COUNTIF(スキル一覧!$A$1:$A$3500, $B672)), "", "存在しない")</f>
        <v/>
      </c>
      <c r="M672" s="2" t="str">
        <f>IF(COUNTIF($B$1:$C671, $B672), "", "存在しない")</f>
        <v>存在しない</v>
      </c>
      <c r="N672" s="2" t="str">
        <f>IF(AND(A672&lt;&gt;"",L672="存在しない",M672="存在しない"),IF(COUNTIF([1]クラス!$A$1:$A$1000, $B672),"",TRUE),"")</f>
        <v/>
      </c>
    </row>
    <row r="673" spans="10:14" x14ac:dyDescent="0.4">
      <c r="J673" s="6" t="str">
        <f>IFERROR(_xlfn.LET(_xlpm.v,
VLOOKUP($I673,効果!$A:$B,COLUMN(効果!B$1),FALSE),
IF(_xlpm.v=0,"",_xlpm.v)
),"")</f>
        <v/>
      </c>
      <c r="L673" s="15" t="str">
        <f>IF(OR(COUNTIF(クラス!$A$1:$A$1031, $B673),$B673="",COUNTIF(スキル一覧!$A$1:$A$3500, $B673)), "", "存在しない")</f>
        <v/>
      </c>
      <c r="M673" s="2" t="str">
        <f>IF(COUNTIF($B$1:$C672, $B673), "", "存在しない")</f>
        <v>存在しない</v>
      </c>
      <c r="N673" s="2" t="str">
        <f>IF(AND(A673&lt;&gt;"",L673="存在しない",M673="存在しない"),IF(COUNTIF([1]クラス!$A$1:$A$1000, $B673),"",TRUE),"")</f>
        <v/>
      </c>
    </row>
    <row r="674" spans="10:14" x14ac:dyDescent="0.4">
      <c r="J674" s="6" t="str">
        <f>IFERROR(_xlfn.LET(_xlpm.v,
VLOOKUP($I674,効果!$A:$B,COLUMN(効果!B$1),FALSE),
IF(_xlpm.v=0,"",_xlpm.v)
),"")</f>
        <v/>
      </c>
      <c r="L674" s="15" t="str">
        <f>IF(OR(COUNTIF(クラス!$A$1:$A$1031, $B674),$B674="",COUNTIF(スキル一覧!$A$1:$A$3500, $B674)), "", "存在しない")</f>
        <v/>
      </c>
      <c r="M674" s="2" t="str">
        <f>IF(COUNTIF($B$1:$C673, $B674), "", "存在しない")</f>
        <v>存在しない</v>
      </c>
      <c r="N674" s="2" t="str">
        <f>IF(AND(A674&lt;&gt;"",L674="存在しない",M674="存在しない"),IF(COUNTIF([1]クラス!$A$1:$A$1000, $B674),"",TRUE),"")</f>
        <v/>
      </c>
    </row>
    <row r="675" spans="10:14" x14ac:dyDescent="0.4">
      <c r="J675" s="6" t="str">
        <f>IFERROR(_xlfn.LET(_xlpm.v,
VLOOKUP($I675,効果!$A:$B,COLUMN(効果!B$1),FALSE),
IF(_xlpm.v=0,"",_xlpm.v)
),"")</f>
        <v/>
      </c>
      <c r="L675" s="15" t="str">
        <f>IF(OR(COUNTIF(クラス!$A$1:$A$1031, $B675),$B675="",COUNTIF(スキル一覧!$A$1:$A$3500, $B675)), "", "存在しない")</f>
        <v/>
      </c>
      <c r="M675" s="2" t="str">
        <f>IF(COUNTIF($B$1:$C674, $B675), "", "存在しない")</f>
        <v>存在しない</v>
      </c>
      <c r="N675" s="2" t="str">
        <f>IF(AND(A675&lt;&gt;"",L675="存在しない",M675="存在しない"),IF(COUNTIF([1]クラス!$A$1:$A$1000, $B675),"",TRUE),"")</f>
        <v/>
      </c>
    </row>
    <row r="676" spans="10:14" x14ac:dyDescent="0.4">
      <c r="J676" s="6" t="str">
        <f>IFERROR(_xlfn.LET(_xlpm.v,
VLOOKUP($I676,効果!$A:$B,COLUMN(効果!B$1),FALSE),
IF(_xlpm.v=0,"",_xlpm.v)
),"")</f>
        <v/>
      </c>
      <c r="L676" s="15" t="str">
        <f>IF(OR(COUNTIF(クラス!$A$1:$A$1031, $B676),$B676="",COUNTIF(スキル一覧!$A$1:$A$3500, $B676)), "", "存在しない")</f>
        <v/>
      </c>
      <c r="M676" s="2" t="str">
        <f>IF(COUNTIF($B$1:$C675, $B676), "", "存在しない")</f>
        <v>存在しない</v>
      </c>
      <c r="N676" s="2" t="str">
        <f>IF(AND(A676&lt;&gt;"",L676="存在しない",M676="存在しない"),IF(COUNTIF([1]クラス!$A$1:$A$1000, $B676),"",TRUE),"")</f>
        <v/>
      </c>
    </row>
    <row r="677" spans="10:14" x14ac:dyDescent="0.4">
      <c r="J677" s="6" t="str">
        <f>IFERROR(_xlfn.LET(_xlpm.v,
VLOOKUP($I677,効果!$A:$B,COLUMN(効果!B$1),FALSE),
IF(_xlpm.v=0,"",_xlpm.v)
),"")</f>
        <v/>
      </c>
      <c r="L677" s="15" t="str">
        <f>IF(OR(COUNTIF(クラス!$A$1:$A$1031, $B677),$B677="",COUNTIF(スキル一覧!$A$1:$A$3500, $B677)), "", "存在しない")</f>
        <v/>
      </c>
      <c r="M677" s="2" t="str">
        <f>IF(COUNTIF($B$1:$C676, $B677), "", "存在しない")</f>
        <v>存在しない</v>
      </c>
      <c r="N677" s="2" t="str">
        <f>IF(AND(A677&lt;&gt;"",L677="存在しない",M677="存在しない"),IF(COUNTIF([1]クラス!$A$1:$A$1000, $B677),"",TRUE),"")</f>
        <v/>
      </c>
    </row>
    <row r="678" spans="10:14" x14ac:dyDescent="0.4">
      <c r="J678" s="6" t="str">
        <f>IFERROR(_xlfn.LET(_xlpm.v,
VLOOKUP($I678,効果!$A:$B,COLUMN(効果!B$1),FALSE),
IF(_xlpm.v=0,"",_xlpm.v)
),"")</f>
        <v/>
      </c>
      <c r="L678" s="15" t="str">
        <f>IF(OR(COUNTIF(クラス!$A$1:$A$1031, $B678),$B678="",COUNTIF(スキル一覧!$A$1:$A$3500, $B678)), "", "存在しない")</f>
        <v/>
      </c>
      <c r="M678" s="2" t="str">
        <f>IF(COUNTIF($B$1:$C677, $B678), "", "存在しない")</f>
        <v>存在しない</v>
      </c>
      <c r="N678" s="2" t="str">
        <f>IF(AND(A678&lt;&gt;"",L678="存在しない",M678="存在しない"),IF(COUNTIF([1]クラス!$A$1:$A$1000, $B678),"",TRUE),"")</f>
        <v/>
      </c>
    </row>
    <row r="679" spans="10:14" x14ac:dyDescent="0.4">
      <c r="J679" s="6" t="str">
        <f>IFERROR(_xlfn.LET(_xlpm.v,
VLOOKUP($I679,効果!$A:$B,COLUMN(効果!B$1),FALSE),
IF(_xlpm.v=0,"",_xlpm.v)
),"")</f>
        <v/>
      </c>
      <c r="L679" s="15" t="str">
        <f>IF(OR(COUNTIF(クラス!$A$1:$A$1031, $B679),$B679="",COUNTIF(スキル一覧!$A$1:$A$3500, $B679)), "", "存在しない")</f>
        <v/>
      </c>
      <c r="M679" s="2" t="str">
        <f>IF(COUNTIF($B$1:$C678, $B679), "", "存在しない")</f>
        <v>存在しない</v>
      </c>
      <c r="N679" s="2" t="str">
        <f>IF(AND(A679&lt;&gt;"",L679="存在しない",M679="存在しない"),IF(COUNTIF([1]クラス!$A$1:$A$1000, $B679),"",TRUE),"")</f>
        <v/>
      </c>
    </row>
    <row r="680" spans="10:14" x14ac:dyDescent="0.4">
      <c r="J680" s="6" t="str">
        <f>IFERROR(_xlfn.LET(_xlpm.v,
VLOOKUP($I680,効果!$A:$B,COLUMN(効果!B$1),FALSE),
IF(_xlpm.v=0,"",_xlpm.v)
),"")</f>
        <v/>
      </c>
      <c r="L680" s="15" t="str">
        <f>IF(OR(COUNTIF(クラス!$A$1:$A$1031, $B680),$B680="",COUNTIF(スキル一覧!$A$1:$A$3500, $B680)), "", "存在しない")</f>
        <v/>
      </c>
      <c r="M680" s="2" t="str">
        <f>IF(COUNTIF($B$1:$C679, $B680), "", "存在しない")</f>
        <v>存在しない</v>
      </c>
      <c r="N680" s="2" t="str">
        <f>IF(AND(A680&lt;&gt;"",L680="存在しない",M680="存在しない"),IF(COUNTIF([1]クラス!$A$1:$A$1000, $B680),"",TRUE),"")</f>
        <v/>
      </c>
    </row>
    <row r="681" spans="10:14" x14ac:dyDescent="0.4">
      <c r="J681" s="6" t="str">
        <f>IFERROR(_xlfn.LET(_xlpm.v,
VLOOKUP($I681,効果!$A:$B,COLUMN(効果!B$1),FALSE),
IF(_xlpm.v=0,"",_xlpm.v)
),"")</f>
        <v/>
      </c>
      <c r="L681" s="15" t="str">
        <f>IF(OR(COUNTIF(クラス!$A$1:$A$1031, $B681),$B681="",COUNTIF(スキル一覧!$A$1:$A$3500, $B681)), "", "存在しない")</f>
        <v/>
      </c>
      <c r="M681" s="2" t="str">
        <f>IF(COUNTIF($B$1:$C680, $B681), "", "存在しない")</f>
        <v>存在しない</v>
      </c>
      <c r="N681" s="2" t="str">
        <f>IF(AND(A681&lt;&gt;"",L681="存在しない",M681="存在しない"),IF(COUNTIF([1]クラス!$A$1:$A$1000, $B681),"",TRUE),"")</f>
        <v/>
      </c>
    </row>
    <row r="682" spans="10:14" x14ac:dyDescent="0.4">
      <c r="J682" s="6" t="str">
        <f>IFERROR(_xlfn.LET(_xlpm.v,
VLOOKUP($I682,効果!$A:$B,COLUMN(効果!B$1),FALSE),
IF(_xlpm.v=0,"",_xlpm.v)
),"")</f>
        <v/>
      </c>
      <c r="L682" s="15" t="str">
        <f>IF(OR(COUNTIF(クラス!$A$1:$A$1031, $B682),$B682="",COUNTIF(スキル一覧!$A$1:$A$3500, $B682)), "", "存在しない")</f>
        <v/>
      </c>
      <c r="M682" s="2" t="str">
        <f>IF(COUNTIF($B$1:$C681, $B682), "", "存在しない")</f>
        <v>存在しない</v>
      </c>
      <c r="N682" s="2" t="str">
        <f>IF(AND(A682&lt;&gt;"",L682="存在しない",M682="存在しない"),IF(COUNTIF([1]クラス!$A$1:$A$1000, $B682),"",TRUE),"")</f>
        <v/>
      </c>
    </row>
    <row r="683" spans="10:14" x14ac:dyDescent="0.4">
      <c r="J683" s="6" t="str">
        <f>IFERROR(_xlfn.LET(_xlpm.v,
VLOOKUP($I683,効果!$A:$B,COLUMN(効果!B$1),FALSE),
IF(_xlpm.v=0,"",_xlpm.v)
),"")</f>
        <v/>
      </c>
      <c r="L683" s="15" t="str">
        <f>IF(OR(COUNTIF(クラス!$A$1:$A$1031, $B683),$B683="",COUNTIF(スキル一覧!$A$1:$A$3500, $B683)), "", "存在しない")</f>
        <v/>
      </c>
      <c r="M683" s="2" t="str">
        <f>IF(COUNTIF($B$1:$C682, $B683), "", "存在しない")</f>
        <v>存在しない</v>
      </c>
      <c r="N683" s="2" t="str">
        <f>IF(AND(A683&lt;&gt;"",L683="存在しない",M683="存在しない"),IF(COUNTIF([1]クラス!$A$1:$A$1000, $B683),"",TRUE),"")</f>
        <v/>
      </c>
    </row>
    <row r="684" spans="10:14" x14ac:dyDescent="0.4">
      <c r="J684" s="6" t="str">
        <f>IFERROR(_xlfn.LET(_xlpm.v,
VLOOKUP($I684,効果!$A:$B,COLUMN(効果!B$1),FALSE),
IF(_xlpm.v=0,"",_xlpm.v)
),"")</f>
        <v/>
      </c>
      <c r="L684" s="15" t="str">
        <f>IF(OR(COUNTIF(クラス!$A$1:$A$1031, $B684),$B684="",COUNTIF(スキル一覧!$A$1:$A$3500, $B684)), "", "存在しない")</f>
        <v/>
      </c>
      <c r="M684" s="2" t="str">
        <f>IF(COUNTIF($B$1:$C683, $B684), "", "存在しない")</f>
        <v>存在しない</v>
      </c>
      <c r="N684" s="2" t="str">
        <f>IF(AND(A684&lt;&gt;"",L684="存在しない",M684="存在しない"),IF(COUNTIF([1]クラス!$A$1:$A$1000, $B684),"",TRUE),"")</f>
        <v/>
      </c>
    </row>
    <row r="685" spans="10:14" x14ac:dyDescent="0.4">
      <c r="J685" s="6" t="str">
        <f>IFERROR(_xlfn.LET(_xlpm.v,
VLOOKUP($I685,効果!$A:$B,COLUMN(効果!B$1),FALSE),
IF(_xlpm.v=0,"",_xlpm.v)
),"")</f>
        <v/>
      </c>
      <c r="L685" s="15" t="str">
        <f>IF(OR(COUNTIF(クラス!$A$1:$A$1031, $B685),$B685="",COUNTIF(スキル一覧!$A$1:$A$3500, $B685)), "", "存在しない")</f>
        <v/>
      </c>
      <c r="M685" s="2" t="str">
        <f>IF(COUNTIF($B$1:$C684, $B685), "", "存在しない")</f>
        <v>存在しない</v>
      </c>
      <c r="N685" s="2" t="str">
        <f>IF(AND(A685&lt;&gt;"",L685="存在しない",M685="存在しない"),IF(COUNTIF([1]クラス!$A$1:$A$1000, $B685),"",TRUE),"")</f>
        <v/>
      </c>
    </row>
    <row r="686" spans="10:14" x14ac:dyDescent="0.4">
      <c r="J686" s="6" t="str">
        <f>IFERROR(_xlfn.LET(_xlpm.v,
VLOOKUP($I686,効果!$A:$B,COLUMN(効果!B$1),FALSE),
IF(_xlpm.v=0,"",_xlpm.v)
),"")</f>
        <v/>
      </c>
      <c r="L686" s="15" t="str">
        <f>IF(OR(COUNTIF(クラス!$A$1:$A$1031, $B686),$B686="",COUNTIF(スキル一覧!$A$1:$A$3500, $B686)), "", "存在しない")</f>
        <v/>
      </c>
      <c r="M686" s="2" t="str">
        <f>IF(COUNTIF($B$1:$C685, $B686), "", "存在しない")</f>
        <v>存在しない</v>
      </c>
      <c r="N686" s="2" t="str">
        <f>IF(AND(A686&lt;&gt;"",L686="存在しない",M686="存在しない"),IF(COUNTIF([1]クラス!$A$1:$A$1000, $B686),"",TRUE),"")</f>
        <v/>
      </c>
    </row>
    <row r="687" spans="10:14" x14ac:dyDescent="0.4">
      <c r="J687" s="6" t="str">
        <f>IFERROR(_xlfn.LET(_xlpm.v,
VLOOKUP($I687,効果!$A:$B,COLUMN(効果!B$1),FALSE),
IF(_xlpm.v=0,"",_xlpm.v)
),"")</f>
        <v/>
      </c>
      <c r="L687" s="15" t="str">
        <f>IF(OR(COUNTIF(クラス!$A$1:$A$1031, $B687),$B687="",COUNTIF(スキル一覧!$A$1:$A$3500, $B687)), "", "存在しない")</f>
        <v/>
      </c>
      <c r="M687" s="2" t="str">
        <f>IF(COUNTIF($B$1:$C686, $B687), "", "存在しない")</f>
        <v>存在しない</v>
      </c>
      <c r="N687" s="2" t="str">
        <f>IF(AND(A687&lt;&gt;"",L687="存在しない",M687="存在しない"),IF(COUNTIF([1]クラス!$A$1:$A$1000, $B687),"",TRUE),"")</f>
        <v/>
      </c>
    </row>
    <row r="688" spans="10:14" x14ac:dyDescent="0.4">
      <c r="J688" s="6" t="str">
        <f>IFERROR(_xlfn.LET(_xlpm.v,
VLOOKUP($I688,効果!$A:$B,COLUMN(効果!B$1),FALSE),
IF(_xlpm.v=0,"",_xlpm.v)
),"")</f>
        <v/>
      </c>
      <c r="L688" s="15" t="str">
        <f>IF(OR(COUNTIF(クラス!$A$1:$A$1031, $B688),$B688="",COUNTIF(スキル一覧!$A$1:$A$3500, $B688)), "", "存在しない")</f>
        <v/>
      </c>
      <c r="M688" s="2" t="str">
        <f>IF(COUNTIF($B$1:$C687, $B688), "", "存在しない")</f>
        <v>存在しない</v>
      </c>
      <c r="N688" s="2" t="str">
        <f>IF(AND(A688&lt;&gt;"",L688="存在しない",M688="存在しない"),IF(COUNTIF([1]クラス!$A$1:$A$1000, $B688),"",TRUE),"")</f>
        <v/>
      </c>
    </row>
    <row r="689" spans="10:14" x14ac:dyDescent="0.4">
      <c r="J689" s="6" t="str">
        <f>IFERROR(_xlfn.LET(_xlpm.v,
VLOOKUP($I689,効果!$A:$B,COLUMN(効果!B$1),FALSE),
IF(_xlpm.v=0,"",_xlpm.v)
),"")</f>
        <v/>
      </c>
      <c r="L689" s="15" t="str">
        <f>IF(OR(COUNTIF(クラス!$A$1:$A$1031, $B689),$B689="",COUNTIF(スキル一覧!$A$1:$A$3500, $B689)), "", "存在しない")</f>
        <v/>
      </c>
      <c r="M689" s="2" t="str">
        <f>IF(COUNTIF($B$1:$C688, $B689), "", "存在しない")</f>
        <v>存在しない</v>
      </c>
      <c r="N689" s="2" t="str">
        <f>IF(AND(A689&lt;&gt;"",L689="存在しない",M689="存在しない"),IF(COUNTIF([1]クラス!$A$1:$A$1000, $B689),"",TRUE),"")</f>
        <v/>
      </c>
    </row>
    <row r="690" spans="10:14" x14ac:dyDescent="0.4">
      <c r="J690" s="6" t="str">
        <f>IFERROR(_xlfn.LET(_xlpm.v,
VLOOKUP($I690,効果!$A:$B,COLUMN(効果!B$1),FALSE),
IF(_xlpm.v=0,"",_xlpm.v)
),"")</f>
        <v/>
      </c>
      <c r="L690" s="15" t="str">
        <f>IF(OR(COUNTIF(クラス!$A$1:$A$1031, $B690),$B690="",COUNTIF(スキル一覧!$A$1:$A$3500, $B690)), "", "存在しない")</f>
        <v/>
      </c>
      <c r="M690" s="2" t="str">
        <f>IF(COUNTIF($B$1:$C689, $B690), "", "存在しない")</f>
        <v>存在しない</v>
      </c>
      <c r="N690" s="2" t="str">
        <f>IF(AND(A690&lt;&gt;"",L690="存在しない",M690="存在しない"),IF(COUNTIF([1]クラス!$A$1:$A$1000, $B690),"",TRUE),"")</f>
        <v/>
      </c>
    </row>
    <row r="691" spans="10:14" x14ac:dyDescent="0.4">
      <c r="J691" s="6" t="str">
        <f>IFERROR(_xlfn.LET(_xlpm.v,
VLOOKUP($I691,効果!$A:$B,COLUMN(効果!B$1),FALSE),
IF(_xlpm.v=0,"",_xlpm.v)
),"")</f>
        <v/>
      </c>
      <c r="L691" s="15" t="str">
        <f>IF(OR(COUNTIF(クラス!$A$1:$A$1031, $B691),$B691="",COUNTIF(スキル一覧!$A$1:$A$3500, $B691)), "", "存在しない")</f>
        <v/>
      </c>
      <c r="M691" s="2" t="str">
        <f>IF(COUNTIF($B$1:$C690, $B691), "", "存在しない")</f>
        <v>存在しない</v>
      </c>
      <c r="N691" s="2" t="str">
        <f>IF(AND(A691&lt;&gt;"",L691="存在しない",M691="存在しない"),IF(COUNTIF([1]クラス!$A$1:$A$1000, $B691),"",TRUE),"")</f>
        <v/>
      </c>
    </row>
    <row r="692" spans="10:14" x14ac:dyDescent="0.4">
      <c r="J692" s="6" t="str">
        <f>IFERROR(_xlfn.LET(_xlpm.v,
VLOOKUP($I692,効果!$A:$B,COLUMN(効果!B$1),FALSE),
IF(_xlpm.v=0,"",_xlpm.v)
),"")</f>
        <v/>
      </c>
      <c r="L692" s="15" t="str">
        <f>IF(OR(COUNTIF(クラス!$A$1:$A$1031, $B692),$B692="",COUNTIF(スキル一覧!$A$1:$A$3500, $B692)), "", "存在しない")</f>
        <v/>
      </c>
      <c r="M692" s="2" t="str">
        <f>IF(COUNTIF($B$1:$C691, $B692), "", "存在しない")</f>
        <v>存在しない</v>
      </c>
      <c r="N692" s="2" t="str">
        <f>IF(AND(A692&lt;&gt;"",L692="存在しない",M692="存在しない"),IF(COUNTIF([1]クラス!$A$1:$A$1000, $B692),"",TRUE),"")</f>
        <v/>
      </c>
    </row>
    <row r="693" spans="10:14" x14ac:dyDescent="0.4">
      <c r="J693" s="6" t="str">
        <f>IFERROR(_xlfn.LET(_xlpm.v,
VLOOKUP($I693,効果!$A:$B,COLUMN(効果!B$1),FALSE),
IF(_xlpm.v=0,"",_xlpm.v)
),"")</f>
        <v/>
      </c>
      <c r="L693" s="15" t="str">
        <f>IF(OR(COUNTIF(クラス!$A$1:$A$1031, $B693),$B693="",COUNTIF(スキル一覧!$A$1:$A$3500, $B693)), "", "存在しない")</f>
        <v/>
      </c>
      <c r="M693" s="2" t="str">
        <f>IF(COUNTIF($B$1:$C692, $B693), "", "存在しない")</f>
        <v>存在しない</v>
      </c>
      <c r="N693" s="2" t="str">
        <f>IF(AND(A693&lt;&gt;"",L693="存在しない",M693="存在しない"),IF(COUNTIF([1]クラス!$A$1:$A$1000, $B693),"",TRUE),"")</f>
        <v/>
      </c>
    </row>
    <row r="694" spans="10:14" x14ac:dyDescent="0.4">
      <c r="J694" s="6" t="str">
        <f>IFERROR(_xlfn.LET(_xlpm.v,
VLOOKUP($I694,効果!$A:$B,COLUMN(効果!B$1),FALSE),
IF(_xlpm.v=0,"",_xlpm.v)
),"")</f>
        <v/>
      </c>
      <c r="L694" s="15" t="str">
        <f>IF(OR(COUNTIF(クラス!$A$1:$A$1031, $B694),$B694="",COUNTIF(スキル一覧!$A$1:$A$3500, $B694)), "", "存在しない")</f>
        <v/>
      </c>
      <c r="M694" s="2" t="str">
        <f>IF(COUNTIF($B$1:$C693, $B694), "", "存在しない")</f>
        <v>存在しない</v>
      </c>
      <c r="N694" s="2" t="str">
        <f>IF(AND(A694&lt;&gt;"",L694="存在しない",M694="存在しない"),IF(COUNTIF([1]クラス!$A$1:$A$1000, $B694),"",TRUE),"")</f>
        <v/>
      </c>
    </row>
    <row r="695" spans="10:14" x14ac:dyDescent="0.4">
      <c r="J695" s="6" t="str">
        <f>IFERROR(_xlfn.LET(_xlpm.v,
VLOOKUP($I695,効果!$A:$B,COLUMN(効果!B$1),FALSE),
IF(_xlpm.v=0,"",_xlpm.v)
),"")</f>
        <v/>
      </c>
    </row>
    <row r="696" spans="10:14" x14ac:dyDescent="0.4">
      <c r="J696" s="6" t="str">
        <f>IFERROR(_xlfn.LET(_xlpm.v,
VLOOKUP($I696,効果!$A:$B,COLUMN(効果!B$1),FALSE),
IF(_xlpm.v=0,"",_xlpm.v)
),"")</f>
        <v/>
      </c>
    </row>
    <row r="697" spans="10:14" x14ac:dyDescent="0.4">
      <c r="J697" s="6" t="str">
        <f>IFERROR(_xlfn.LET(_xlpm.v,
VLOOKUP($I697,効果!$A:$B,COLUMN(効果!B$1),FALSE),
IF(_xlpm.v=0,"",_xlpm.v)
),"")</f>
        <v/>
      </c>
    </row>
    <row r="698" spans="10:14" x14ac:dyDescent="0.4">
      <c r="J698" s="6" t="str">
        <f>IFERROR(_xlfn.LET(_xlpm.v,
VLOOKUP($I698,効果!$A:$B,COLUMN(効果!B$1),FALSE),
IF(_xlpm.v=0,"",_xlpm.v)
),"")</f>
        <v/>
      </c>
    </row>
    <row r="699" spans="10:14" x14ac:dyDescent="0.4">
      <c r="J699" s="6" t="str">
        <f>IFERROR(_xlfn.LET(_xlpm.v,
VLOOKUP($I699,効果!$A:$B,COLUMN(効果!B$1),FALSE),
IF(_xlpm.v=0,"",_xlpm.v)
),"")</f>
        <v/>
      </c>
    </row>
    <row r="700" spans="10:14" x14ac:dyDescent="0.4">
      <c r="J700" s="6" t="str">
        <f>IFERROR(_xlfn.LET(_xlpm.v,
VLOOKUP($I700,効果!$A:$B,COLUMN(効果!B$1),FALSE),
IF(_xlpm.v=0,"",_xlpm.v)
),"")</f>
        <v/>
      </c>
    </row>
    <row r="701" spans="10:14" x14ac:dyDescent="0.4">
      <c r="J701" s="6" t="str">
        <f>IFERROR(_xlfn.LET(_xlpm.v,
VLOOKUP($I701,効果!$A:$B,COLUMN(効果!B$1),FALSE),
IF(_xlpm.v=0,"",_xlpm.v)
),"")</f>
        <v/>
      </c>
    </row>
    <row r="702" spans="10:14" x14ac:dyDescent="0.4">
      <c r="J702" s="6" t="str">
        <f>IFERROR(_xlfn.LET(_xlpm.v,
VLOOKUP($I702,効果!$A:$B,COLUMN(効果!B$1),FALSE),
IF(_xlpm.v=0,"",_xlpm.v)
),"")</f>
        <v/>
      </c>
    </row>
    <row r="703" spans="10:14" x14ac:dyDescent="0.4">
      <c r="J703" s="6" t="str">
        <f>IFERROR(_xlfn.LET(_xlpm.v,
VLOOKUP($I703,効果!$A:$B,COLUMN(効果!B$1),FALSE),
IF(_xlpm.v=0,"",_xlpm.v)
),"")</f>
        <v/>
      </c>
    </row>
    <row r="704" spans="10:14" x14ac:dyDescent="0.4">
      <c r="J704" s="6" t="str">
        <f>IFERROR(_xlfn.LET(_xlpm.v,
VLOOKUP($I704,効果!$A:$B,COLUMN(効果!B$1),FALSE),
IF(_xlpm.v=0,"",_xlpm.v)
),"")</f>
        <v/>
      </c>
    </row>
    <row r="705" spans="10:10" x14ac:dyDescent="0.4">
      <c r="J705" s="6" t="str">
        <f>IFERROR(_xlfn.LET(_xlpm.v,
VLOOKUP($I705,効果!$A:$B,COLUMN(効果!B$1),FALSE),
IF(_xlpm.v=0,"",_xlpm.v)
),"")</f>
        <v/>
      </c>
    </row>
    <row r="706" spans="10:10" x14ac:dyDescent="0.4">
      <c r="J706" s="6" t="str">
        <f>IFERROR(_xlfn.LET(_xlpm.v,
VLOOKUP($I706,効果!$A:$B,COLUMN(効果!B$1),FALSE),
IF(_xlpm.v=0,"",_xlpm.v)
),"")</f>
        <v/>
      </c>
    </row>
    <row r="707" spans="10:10" x14ac:dyDescent="0.4">
      <c r="J707" s="6" t="str">
        <f>IFERROR(_xlfn.LET(_xlpm.v,
VLOOKUP($I707,効果!$A:$B,COLUMN(効果!B$1),FALSE),
IF(_xlpm.v=0,"",_xlpm.v)
),"")</f>
        <v/>
      </c>
    </row>
    <row r="708" spans="10:10" x14ac:dyDescent="0.4">
      <c r="J708" s="6" t="str">
        <f>IFERROR(_xlfn.LET(_xlpm.v,
VLOOKUP($I708,効果!$A:$B,COLUMN(効果!B$1),FALSE),
IF(_xlpm.v=0,"",_xlpm.v)
),"")</f>
        <v/>
      </c>
    </row>
    <row r="709" spans="10:10" x14ac:dyDescent="0.4">
      <c r="J709" s="6" t="str">
        <f>IFERROR(_xlfn.LET(_xlpm.v,
VLOOKUP($I709,効果!$A:$B,COLUMN(効果!B$1),FALSE),
IF(_xlpm.v=0,"",_xlpm.v)
),"")</f>
        <v/>
      </c>
    </row>
    <row r="710" spans="10:10" x14ac:dyDescent="0.4">
      <c r="J710" s="6" t="str">
        <f>IFERROR(_xlfn.LET(_xlpm.v,
VLOOKUP($I710,効果!$A:$B,COLUMN(効果!B$1),FALSE),
IF(_xlpm.v=0,"",_xlpm.v)
),"")</f>
        <v/>
      </c>
    </row>
    <row r="711" spans="10:10" x14ac:dyDescent="0.4">
      <c r="J711" s="6" t="str">
        <f>IFERROR(_xlfn.LET(_xlpm.v,
VLOOKUP($I711,効果!$A:$B,COLUMN(効果!B$1),FALSE),
IF(_xlpm.v=0,"",_xlpm.v)
),"")</f>
        <v/>
      </c>
    </row>
    <row r="712" spans="10:10" x14ac:dyDescent="0.4">
      <c r="J712" s="6" t="str">
        <f>IFERROR(_xlfn.LET(_xlpm.v,
VLOOKUP($I712,効果!$A:$B,COLUMN(効果!B$1),FALSE),
IF(_xlpm.v=0,"",_xlpm.v)
),"")</f>
        <v/>
      </c>
    </row>
    <row r="713" spans="10:10" x14ac:dyDescent="0.4">
      <c r="J713" s="6" t="str">
        <f>IFERROR(_xlfn.LET(_xlpm.v,
VLOOKUP($I713,効果!$A:$B,COLUMN(効果!B$1),FALSE),
IF(_xlpm.v=0,"",_xlpm.v)
),"")</f>
        <v/>
      </c>
    </row>
    <row r="714" spans="10:10" x14ac:dyDescent="0.4">
      <c r="J714" s="6" t="str">
        <f>IFERROR(_xlfn.LET(_xlpm.v,
VLOOKUP($I714,効果!$A:$B,COLUMN(効果!B$1),FALSE),
IF(_xlpm.v=0,"",_xlpm.v)
),"")</f>
        <v/>
      </c>
    </row>
    <row r="715" spans="10:10" x14ac:dyDescent="0.4">
      <c r="J715" s="6" t="str">
        <f>IFERROR(_xlfn.LET(_xlpm.v,
VLOOKUP($I715,効果!$A:$B,COLUMN(効果!B$1),FALSE),
IF(_xlpm.v=0,"",_xlpm.v)
),"")</f>
        <v/>
      </c>
    </row>
    <row r="716" spans="10:10" x14ac:dyDescent="0.4">
      <c r="J716" s="6" t="str">
        <f>IFERROR(_xlfn.LET(_xlpm.v,
VLOOKUP($I716,効果!$A:$B,COLUMN(効果!B$1),FALSE),
IF(_xlpm.v=0,"",_xlpm.v)
),"")</f>
        <v/>
      </c>
    </row>
    <row r="717" spans="10:10" x14ac:dyDescent="0.4">
      <c r="J717" s="6" t="str">
        <f>IFERROR(_xlfn.LET(_xlpm.v,
VLOOKUP($I717,効果!$A:$B,COLUMN(効果!B$1),FALSE),
IF(_xlpm.v=0,"",_xlpm.v)
),"")</f>
        <v/>
      </c>
    </row>
    <row r="718" spans="10:10" x14ac:dyDescent="0.4">
      <c r="J718" s="6" t="str">
        <f>IFERROR(_xlfn.LET(_xlpm.v,
VLOOKUP($I718,効果!$A:$B,COLUMN(効果!B$1),FALSE),
IF(_xlpm.v=0,"",_xlpm.v)
),"")</f>
        <v/>
      </c>
    </row>
    <row r="719" spans="10:10" x14ac:dyDescent="0.4">
      <c r="J719" s="6" t="str">
        <f>IFERROR(_xlfn.LET(_xlpm.v,
VLOOKUP($I719,効果!$A:$B,COLUMN(効果!B$1),FALSE),
IF(_xlpm.v=0,"",_xlpm.v)
),"")</f>
        <v/>
      </c>
    </row>
    <row r="720" spans="10:10"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sheetData>
  <autoFilter ref="A4:T694"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5"/>
  <sheetViews>
    <sheetView workbookViewId="0">
      <pane xSplit="5" ySplit="17" topLeftCell="BV18" activePane="bottomRight" state="frozen"/>
      <selection pane="topRight" activeCell="F1" sqref="F1"/>
      <selection pane="bottomLeft" activeCell="A18" sqref="A18"/>
      <selection pane="bottomRight" activeCell="CC70" sqref="CC70"/>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hidden="1" customWidth="1" outlineLevel="1"/>
    <col min="58" max="58" width="6" style="36" hidden="1" customWidth="1" outlineLevel="1"/>
    <col min="59" max="59" width="7.625" hidden="1" customWidth="1" outlineLevel="1"/>
    <col min="60" max="60" width="6" style="36" hidden="1" customWidth="1" outlineLevel="1"/>
    <col min="61" max="61" width="7.625" hidden="1" customWidth="1" outlineLevel="1"/>
    <col min="62" max="62" width="6" style="36" hidden="1" customWidth="1" outlineLevel="1"/>
    <col min="63" max="63" width="9" collapsed="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942</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1057</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958</v>
      </c>
      <c r="BM1" s="10" t="s">
        <v>955</v>
      </c>
      <c r="BN1" s="53" t="s">
        <v>480</v>
      </c>
      <c r="BO1" s="53" t="s">
        <v>481</v>
      </c>
      <c r="BP1" s="53" t="s">
        <v>482</v>
      </c>
      <c r="BQ1" s="53" t="s">
        <v>483</v>
      </c>
      <c r="BR1" s="10" t="s">
        <v>957</v>
      </c>
      <c r="BS1" s="10" t="s">
        <v>960</v>
      </c>
      <c r="BU1" s="10" t="s">
        <v>965</v>
      </c>
      <c r="BV1" s="10" t="s">
        <v>967</v>
      </c>
      <c r="BW1" s="10" t="s">
        <v>968</v>
      </c>
      <c r="BX1" s="10" t="s">
        <v>966</v>
      </c>
      <c r="BY1" s="10" t="s">
        <v>969</v>
      </c>
      <c r="BZ1" s="10" t="s">
        <v>970</v>
      </c>
      <c r="CA1" s="10" t="s">
        <v>792</v>
      </c>
      <c r="CB1" s="10" t="s">
        <v>793</v>
      </c>
      <c r="CC1" s="10" t="s">
        <v>1049</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0" t="s">
        <v>233</v>
      </c>
      <c r="AE2" s="60"/>
      <c r="AF2" s="60"/>
      <c r="AG2" s="60"/>
      <c r="AH2" s="60"/>
      <c r="AI2" s="60"/>
      <c r="AJ2" s="60"/>
      <c r="AK2" s="60"/>
      <c r="AL2" s="60"/>
      <c r="AM2" s="60"/>
      <c r="AN2" s="60"/>
      <c r="AO2" s="60"/>
      <c r="AP2" s="60"/>
      <c r="AQ2" s="60"/>
      <c r="AR2" s="60"/>
      <c r="AS2" s="60"/>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0" t="s">
        <v>234</v>
      </c>
      <c r="AE3" s="60"/>
      <c r="AF3" s="60"/>
      <c r="AG3" s="60"/>
      <c r="AH3" s="60"/>
      <c r="AI3" s="60"/>
      <c r="AJ3" s="60"/>
      <c r="AK3" s="60"/>
      <c r="AL3" s="60"/>
      <c r="AM3" s="60"/>
      <c r="AN3" s="60"/>
      <c r="AO3" s="60"/>
      <c r="AP3" s="60"/>
      <c r="AQ3" s="60"/>
      <c r="AR3" s="60"/>
      <c r="AS3" s="60"/>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0" t="s">
        <v>235</v>
      </c>
      <c r="AE4" s="60"/>
      <c r="AF4" s="60"/>
      <c r="AG4" s="60"/>
      <c r="AH4" s="60"/>
      <c r="AI4" s="60"/>
      <c r="AJ4" s="60"/>
      <c r="AK4" s="60"/>
      <c r="AL4" s="60"/>
      <c r="AM4" s="60"/>
      <c r="AN4" s="60"/>
      <c r="AO4" s="60"/>
      <c r="AP4" s="60"/>
      <c r="AQ4" s="60"/>
      <c r="AR4" s="60"/>
      <c r="AS4" s="60"/>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0" t="s">
        <v>236</v>
      </c>
      <c r="AE5" s="60"/>
      <c r="AF5" s="60"/>
      <c r="AG5" s="60"/>
      <c r="AH5" s="60"/>
      <c r="AI5" s="60"/>
      <c r="AJ5" s="60"/>
      <c r="AK5" s="60"/>
      <c r="AL5" s="60"/>
      <c r="AM5" s="60"/>
      <c r="AN5" s="60"/>
      <c r="AO5" s="60"/>
      <c r="AP5" s="60"/>
      <c r="AQ5" s="60"/>
      <c r="AR5" s="60"/>
      <c r="AS5" s="60"/>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0" t="s">
        <v>237</v>
      </c>
      <c r="AE6" s="60"/>
      <c r="AF6" s="60"/>
      <c r="AG6" s="60"/>
      <c r="AH6" s="60"/>
      <c r="AI6" s="60"/>
      <c r="AJ6" s="60"/>
      <c r="AK6" s="60"/>
      <c r="AL6" s="60"/>
      <c r="AM6" s="60"/>
      <c r="AN6" s="60"/>
      <c r="AO6" s="60"/>
      <c r="AP6" s="60"/>
      <c r="AQ6" s="60"/>
      <c r="AR6" s="60"/>
      <c r="AS6" s="60"/>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59" t="s">
        <v>238</v>
      </c>
      <c r="AE7" s="59"/>
      <c r="AF7" s="59"/>
      <c r="AG7" s="59"/>
      <c r="AH7" s="59"/>
      <c r="AI7" s="59"/>
      <c r="AJ7" s="59"/>
      <c r="AK7" s="59"/>
      <c r="AL7" s="59"/>
      <c r="AM7" s="59"/>
      <c r="AN7" s="59"/>
      <c r="AO7" s="59"/>
      <c r="AP7" s="59"/>
      <c r="AQ7" s="59"/>
      <c r="AR7" s="59"/>
      <c r="AS7" s="59"/>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59" t="s">
        <v>239</v>
      </c>
      <c r="AE8" s="59"/>
      <c r="AF8" s="59"/>
      <c r="AG8" s="59"/>
      <c r="AH8" s="59"/>
      <c r="AI8" s="59"/>
      <c r="AJ8" s="59"/>
      <c r="AK8" s="59"/>
      <c r="AL8" s="59"/>
      <c r="AM8" s="59"/>
      <c r="AN8" s="59"/>
      <c r="AO8" s="59"/>
      <c r="AP8" s="59"/>
      <c r="AQ8" s="59"/>
      <c r="AR8" s="59"/>
      <c r="AS8" s="59"/>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2" t="s">
        <v>240</v>
      </c>
      <c r="AE9" s="62"/>
      <c r="AF9" s="62"/>
      <c r="AG9" s="62"/>
      <c r="AH9" s="62"/>
      <c r="AI9" s="62"/>
      <c r="AJ9" s="62"/>
      <c r="AK9" s="62"/>
      <c r="AL9" s="62"/>
      <c r="AM9" s="62"/>
      <c r="AN9" s="62"/>
      <c r="AO9" s="62"/>
      <c r="AP9" s="62"/>
      <c r="AQ9" s="62"/>
      <c r="AR9" s="62"/>
      <c r="AS9" s="62"/>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2" t="s">
        <v>241</v>
      </c>
      <c r="AE10" s="62"/>
      <c r="AF10" s="62"/>
      <c r="AG10" s="62"/>
      <c r="AH10" s="62"/>
      <c r="AI10" s="62"/>
      <c r="AJ10" s="62"/>
      <c r="AK10" s="62"/>
      <c r="AL10" s="62"/>
      <c r="AM10" s="62"/>
      <c r="AN10" s="62"/>
      <c r="AO10" s="62"/>
      <c r="AP10" s="62"/>
      <c r="AQ10" s="62"/>
      <c r="AR10" s="62"/>
      <c r="AS10" s="62"/>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2" t="s">
        <v>242</v>
      </c>
      <c r="AE11" s="62"/>
      <c r="AF11" s="62"/>
      <c r="AG11" s="62"/>
      <c r="AH11" s="62"/>
      <c r="AI11" s="62"/>
      <c r="AJ11" s="62"/>
      <c r="AK11" s="62"/>
      <c r="AL11" s="62"/>
      <c r="AM11" s="62"/>
      <c r="AN11" s="62"/>
      <c r="AO11" s="62"/>
      <c r="AP11" s="62"/>
      <c r="AQ11" s="62"/>
      <c r="AR11" s="62"/>
      <c r="AS11" s="62"/>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2" t="s">
        <v>243</v>
      </c>
      <c r="AE12" s="62"/>
      <c r="AF12" s="62"/>
      <c r="AG12" s="62"/>
      <c r="AH12" s="62"/>
      <c r="AI12" s="62"/>
      <c r="AJ12" s="62"/>
      <c r="AK12" s="62"/>
      <c r="AL12" s="62"/>
      <c r="AM12" s="62"/>
      <c r="AN12" s="62"/>
      <c r="AO12" s="62"/>
      <c r="AP12" s="62"/>
      <c r="AQ12" s="62"/>
      <c r="AR12" s="62"/>
      <c r="AS12" s="62"/>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61" t="s">
        <v>244</v>
      </c>
      <c r="AE13" s="61"/>
      <c r="AF13" s="61"/>
      <c r="AG13" s="61"/>
      <c r="AH13" s="61"/>
      <c r="AI13" s="61"/>
      <c r="AJ13" s="61"/>
      <c r="AK13" s="61"/>
      <c r="AL13" s="61"/>
      <c r="AM13" s="61"/>
      <c r="AN13" s="61"/>
      <c r="AO13" s="61"/>
      <c r="AP13" s="61"/>
      <c r="AQ13" s="61"/>
      <c r="AR13" s="61"/>
      <c r="AS13" s="61"/>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61" t="s">
        <v>245</v>
      </c>
      <c r="AE14" s="61"/>
      <c r="AF14" s="61"/>
      <c r="AG14" s="61"/>
      <c r="AH14" s="61"/>
      <c r="AI14" s="61"/>
      <c r="AJ14" s="61"/>
      <c r="AK14" s="61"/>
      <c r="AL14" s="61"/>
      <c r="AM14" s="61"/>
      <c r="AN14" s="61"/>
      <c r="AO14" s="61"/>
      <c r="AP14" s="61"/>
      <c r="AQ14" s="61"/>
      <c r="AR14" s="61"/>
      <c r="AS14" s="61"/>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1057</v>
      </c>
      <c r="AD15" s="61" t="s">
        <v>246</v>
      </c>
      <c r="AE15" s="61"/>
      <c r="AF15" s="61"/>
      <c r="AG15" s="61"/>
      <c r="AH15" s="61"/>
      <c r="AI15" s="61"/>
      <c r="AJ15" s="61"/>
      <c r="AK15" s="61"/>
      <c r="AL15" s="61"/>
      <c r="AM15" s="61"/>
      <c r="AN15" s="61"/>
      <c r="AO15" s="61"/>
      <c r="AP15" s="61"/>
      <c r="AQ15" s="61"/>
      <c r="AR15" s="61"/>
      <c r="AS15" s="61"/>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61" t="s">
        <v>247</v>
      </c>
      <c r="AE16" s="61"/>
      <c r="AF16" s="61"/>
      <c r="AG16" s="61"/>
      <c r="AH16" s="61"/>
      <c r="AI16" s="61"/>
      <c r="AJ16" s="61"/>
      <c r="AK16" s="61"/>
      <c r="AL16" s="61"/>
      <c r="AM16" s="61"/>
      <c r="AN16" s="61"/>
      <c r="AO16" s="61"/>
      <c r="AP16" s="61"/>
      <c r="AQ16" s="61"/>
      <c r="AR16" s="61"/>
      <c r="AS16" s="61"/>
      <c r="BD16" s="35"/>
      <c r="BF16" s="35"/>
      <c r="BH16" s="35"/>
      <c r="BJ16" s="35"/>
    </row>
    <row r="17" spans="1:81" collapsed="1" x14ac:dyDescent="0.4">
      <c r="BM17" s="3" t="s">
        <v>956</v>
      </c>
      <c r="BN17" s="53" t="s">
        <v>480</v>
      </c>
      <c r="BO17" s="53" t="s">
        <v>481</v>
      </c>
      <c r="BP17" s="53" t="s">
        <v>482</v>
      </c>
      <c r="BQ17" s="53" t="s">
        <v>483</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INDEX(CS!$B$1:$B$12815,MATCH($A18,CS!$B:$B,0)+COLUMN(A$1),1))</f>
        <v>エルフ</v>
      </c>
      <c r="AS18" t="str">
        <f>IF($A18="","", INDEX(CS!$B$1:$B$12815,MATCH($A18,CS!$B:$B,0)+COLUMN(B$1),1))</f>
        <v>ドワーフ</v>
      </c>
      <c r="AT18">
        <f>IF($A18="","", INDEX(CS!$B$1:$B$12815,MATCH($A18,CS!$B:$B,0)+COLUMN(C$1),1))</f>
        <v>0</v>
      </c>
      <c r="AU18" t="str">
        <f>IF($A18="","", INDEX(CS!$B$1:$B$12815,MATCH($A18,CS!$B:$B,0)+COLUMN(D$1),1))</f>
        <v>ビーストマン</v>
      </c>
      <c r="AV18">
        <f>IF($A18="","", INDEX(CS!$B$1:$B$12815,MATCH($A18,CS!$B:$B,0)+COLUMN(E$1),1))</f>
        <v>0</v>
      </c>
      <c r="AW18">
        <f>IF($A18="","", INDEX(CS!$B$1:$B$12815,MATCH($A18,CS!$B:$B,0)+COLUMN(F$1),1))</f>
        <v>0</v>
      </c>
      <c r="AX18">
        <f>IF($A18="","", INDEX(CS!$B$1:$B$12815,MATCH($A18,CS!$B:$B,0)+COLUMN(G$1),1))</f>
        <v>0</v>
      </c>
      <c r="AY18">
        <f>IF($A18="","", INDEX(CS!$B$1:$B$12815,MATCH($A18,CS!$B:$B,0)+COLUMN(H$1),1))</f>
        <v>0</v>
      </c>
      <c r="AZ18">
        <f>IF($A18="","", INDEX(CS!$B$1:$B$12815,MATCH($A18,CS!$B:$B,0)+COLUMN(I$1),1))</f>
        <v>0</v>
      </c>
      <c r="BA18">
        <f>IF($A18="","", INDEX(CS!$B$1:$B$12815,MATCH($A18,CS!$B:$B,0)+COLUMN(J$1),1))</f>
        <v>0</v>
      </c>
      <c r="BL18" t="s">
        <v>959</v>
      </c>
      <c r="BM18" s="53">
        <v>100</v>
      </c>
      <c r="BN18" s="52">
        <v>40</v>
      </c>
      <c r="BO18" s="52">
        <v>30</v>
      </c>
      <c r="BP18" s="52">
        <v>20</v>
      </c>
      <c r="BQ18" s="52">
        <v>10</v>
      </c>
      <c r="CC18" t="s">
        <v>1050</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INDEX(CS!$B$1:$B$12815,MATCH($A19,CS!$B:$B,0)+COLUMN(A$1),1))</f>
        <v>ドワーフ</v>
      </c>
      <c r="AS19">
        <f>IF($A19="","", INDEX(CS!$B$1:$B$12815,MATCH($A19,CS!$B:$B,0)+COLUMN(B$1),1))</f>
        <v>0</v>
      </c>
      <c r="AT19" t="str">
        <f>IF($A19="","", INDEX(CS!$B$1:$B$12815,MATCH($A19,CS!$B:$B,0)+COLUMN(C$1),1))</f>
        <v>ビーストマン</v>
      </c>
      <c r="AU19">
        <f>IF($A19="","", INDEX(CS!$B$1:$B$12815,MATCH($A19,CS!$B:$B,0)+COLUMN(D$1),1))</f>
        <v>0</v>
      </c>
      <c r="AV19">
        <f>IF($A19="","", INDEX(CS!$B$1:$B$12815,MATCH($A19,CS!$B:$B,0)+COLUMN(E$1),1))</f>
        <v>0</v>
      </c>
      <c r="AW19">
        <f>IF($A19="","", INDEX(CS!$B$1:$B$12815,MATCH($A19,CS!$B:$B,0)+COLUMN(F$1),1))</f>
        <v>0</v>
      </c>
      <c r="AX19">
        <f>IF($A19="","", INDEX(CS!$B$1:$B$12815,MATCH($A19,CS!$B:$B,0)+COLUMN(G$1),1))</f>
        <v>0</v>
      </c>
      <c r="AY19">
        <f>IF($A19="","", INDEX(CS!$B$1:$B$12815,MATCH($A19,CS!$B:$B,0)+COLUMN(H$1),1))</f>
        <v>0</v>
      </c>
      <c r="AZ19">
        <f>IF($A19="","", INDEX(CS!$B$1:$B$12815,MATCH($A19,CS!$B:$B,0)+COLUMN(I$1),1))</f>
        <v>0</v>
      </c>
      <c r="BA19">
        <f>IF($A19="","", INDEX(CS!$B$1:$B$12815,MATCH($A19,CS!$B:$B,0)+COLUMN(J$1),1))</f>
        <v>0</v>
      </c>
      <c r="BL19" t="s">
        <v>959</v>
      </c>
      <c r="BM19" s="53">
        <v>100</v>
      </c>
      <c r="BN19" s="52">
        <v>20</v>
      </c>
      <c r="BO19" s="52">
        <v>50</v>
      </c>
      <c r="BP19" s="52">
        <v>10</v>
      </c>
      <c r="BQ19" s="52">
        <v>20</v>
      </c>
      <c r="CC19" t="s">
        <v>931</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INDEX(CS!$B$1:$B$12815,MATCH($A20,CS!$B:$B,0)+COLUMN(A$1),1))</f>
        <v>0</v>
      </c>
      <c r="AS20" t="str">
        <f>IF($A20="","", INDEX(CS!$B$1:$B$12815,MATCH($A20,CS!$B:$B,0)+COLUMN(B$1),1))</f>
        <v>ビーストマン</v>
      </c>
      <c r="AT20">
        <f>IF($A20="","", INDEX(CS!$B$1:$B$12815,MATCH($A20,CS!$B:$B,0)+COLUMN(C$1),1))</f>
        <v>0</v>
      </c>
      <c r="AU20">
        <f>IF($A20="","", INDEX(CS!$B$1:$B$12815,MATCH($A20,CS!$B:$B,0)+COLUMN(D$1),1))</f>
        <v>0</v>
      </c>
      <c r="AV20">
        <f>IF($A20="","", INDEX(CS!$B$1:$B$12815,MATCH($A20,CS!$B:$B,0)+COLUMN(E$1),1))</f>
        <v>0</v>
      </c>
      <c r="AW20">
        <f>IF($A20="","", INDEX(CS!$B$1:$B$12815,MATCH($A20,CS!$B:$B,0)+COLUMN(F$1),1))</f>
        <v>0</v>
      </c>
      <c r="AX20">
        <f>IF($A20="","", INDEX(CS!$B$1:$B$12815,MATCH($A20,CS!$B:$B,0)+COLUMN(G$1),1))</f>
        <v>0</v>
      </c>
      <c r="AY20">
        <f>IF($A20="","", INDEX(CS!$B$1:$B$12815,MATCH($A20,CS!$B:$B,0)+COLUMN(H$1),1))</f>
        <v>0</v>
      </c>
      <c r="AZ20">
        <f>IF($A20="","", INDEX(CS!$B$1:$B$12815,MATCH($A20,CS!$B:$B,0)+COLUMN(I$1),1))</f>
        <v>0</v>
      </c>
      <c r="BA20">
        <f>IF($A20="","", INDEX(CS!$B$1:$B$12815,MATCH($A20,CS!$B:$B,0)+COLUMN(J$1),1))</f>
        <v>0</v>
      </c>
      <c r="BL20" t="s">
        <v>959</v>
      </c>
      <c r="BM20" s="53">
        <v>100</v>
      </c>
      <c r="BN20" s="52">
        <v>30</v>
      </c>
      <c r="BO20" s="52">
        <v>20</v>
      </c>
      <c r="BP20" s="52">
        <v>40</v>
      </c>
      <c r="BQ20" s="52">
        <v>10</v>
      </c>
      <c r="CC20" t="s">
        <v>1051</v>
      </c>
    </row>
    <row r="21" spans="1:81" x14ac:dyDescent="0.4">
      <c r="D21" t="str">
        <f t="shared" si="0"/>
        <v>0/0/0</v>
      </c>
      <c r="AR21" t="str">
        <f>IF($A21="","", INDEX(CS!$B$1:$B$12815,MATCH($A21,CS!$B:$B,0)+COLUMN(A$1),1))</f>
        <v/>
      </c>
      <c r="AS21" t="str">
        <f>IF($A21="","", INDEX(CS!$B$1:$B$12815,MATCH($A21,CS!$B:$B,0)+COLUMN(B$1),1))</f>
        <v/>
      </c>
      <c r="AT21" t="str">
        <f>IF($A21="","", INDEX(CS!$B$1:$B$12815,MATCH($A21,CS!$B:$B,0)+COLUMN(C$1),1))</f>
        <v/>
      </c>
      <c r="AU21" t="str">
        <f>IF($A21="","", INDEX(CS!$B$1:$B$12815,MATCH($A21,CS!$B:$B,0)+COLUMN(D$1),1))</f>
        <v/>
      </c>
      <c r="AV21" t="str">
        <f>IF($A21="","", INDEX(CS!$B$1:$B$12815,MATCH($A21,CS!$B:$B,0)+COLUMN(E$1),1))</f>
        <v/>
      </c>
      <c r="AW21" t="str">
        <f>IF($A21="","", INDEX(CS!$B$1:$B$12815,MATCH($A21,CS!$B:$B,0)+COLUMN(F$1),1))</f>
        <v/>
      </c>
      <c r="AX21" t="str">
        <f>IF($A21="","", INDEX(CS!$B$1:$B$12815,MATCH($A21,CS!$B:$B,0)+COLUMN(G$1),1))</f>
        <v/>
      </c>
      <c r="AY21" t="str">
        <f>IF($A21="","", INDEX(CS!$B$1:$B$12815,MATCH($A21,CS!$B:$B,0)+COLUMN(H$1),1))</f>
        <v/>
      </c>
      <c r="AZ21" t="str">
        <f>IF($A21="","", INDEX(CS!$B$1:$B$12815,MATCH($A21,CS!$B:$B,0)+COLUMN(I$1),1))</f>
        <v/>
      </c>
      <c r="BA21" t="str">
        <f>IF($A21="","", INDEX(CS!$B$1:$B$12815,MATCH($A21,CS!$B:$B,0)+COLUMN(J$1),1))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INDEX(CS!$B$1:$B$12815,MATCH($A22,CS!$B:$B,0)+COLUMN(A$1),1))</f>
        <v>0</v>
      </c>
      <c r="AS22">
        <f>IF($A22="","", INDEX(CS!$B$1:$B$12815,MATCH($A22,CS!$B:$B,0)+COLUMN(B$1),1))</f>
        <v>0</v>
      </c>
      <c r="AT22">
        <f>IF($A22="","", INDEX(CS!$B$1:$B$12815,MATCH($A22,CS!$B:$B,0)+COLUMN(C$1),1))</f>
        <v>0</v>
      </c>
      <c r="AU22">
        <f>IF($A22="","", INDEX(CS!$B$1:$B$12815,MATCH($A22,CS!$B:$B,0)+COLUMN(D$1),1))</f>
        <v>0</v>
      </c>
      <c r="AV22">
        <f>IF($A22="","", INDEX(CS!$B$1:$B$12815,MATCH($A22,CS!$B:$B,0)+COLUMN(E$1),1))</f>
        <v>0</v>
      </c>
      <c r="AW22">
        <f>IF($A22="","", INDEX(CS!$B$1:$B$12815,MATCH($A22,CS!$B:$B,0)+COLUMN(F$1),1))</f>
        <v>0</v>
      </c>
      <c r="AX22">
        <f>IF($A22="","", INDEX(CS!$B$1:$B$12815,MATCH($A22,CS!$B:$B,0)+COLUMN(G$1),1))</f>
        <v>0</v>
      </c>
      <c r="AY22">
        <f>IF($A22="","", INDEX(CS!$B$1:$B$12815,MATCH($A22,CS!$B:$B,0)+COLUMN(H$1),1))</f>
        <v>0</v>
      </c>
      <c r="AZ22">
        <f>IF($A22="","", INDEX(CS!$B$1:$B$12815,MATCH($A22,CS!$B:$B,0)+COLUMN(I$1),1))</f>
        <v>0</v>
      </c>
      <c r="BA22">
        <f>IF($A22="","", INDEX(CS!$B$1:$B$12815,MATCH($A22,CS!$B:$B,0)+COLUMN(J$1),1))</f>
        <v>0</v>
      </c>
      <c r="BL22" t="s">
        <v>959</v>
      </c>
      <c r="BM22" s="53">
        <v>110</v>
      </c>
      <c r="BN22" s="52">
        <v>20</v>
      </c>
      <c r="BO22" s="52">
        <v>20</v>
      </c>
      <c r="BP22" s="52">
        <v>50</v>
      </c>
      <c r="BQ22" s="52">
        <v>20</v>
      </c>
      <c r="CC22" t="s">
        <v>933</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INDEX(CS!$B$1:$B$12815,MATCH($A23,CS!$B:$B,0)+COLUMN(A$1),1))</f>
        <v>0</v>
      </c>
      <c r="AS23">
        <f>IF($A23="","", INDEX(CS!$B$1:$B$12815,MATCH($A23,CS!$B:$B,0)+COLUMN(B$1),1))</f>
        <v>0</v>
      </c>
      <c r="AT23">
        <f>IF($A23="","", INDEX(CS!$B$1:$B$12815,MATCH($A23,CS!$B:$B,0)+COLUMN(C$1),1))</f>
        <v>0</v>
      </c>
      <c r="AU23">
        <f>IF($A23="","", INDEX(CS!$B$1:$B$12815,MATCH($A23,CS!$B:$B,0)+COLUMN(D$1),1))</f>
        <v>0</v>
      </c>
      <c r="AV23">
        <f>IF($A23="","", INDEX(CS!$B$1:$B$12815,MATCH($A23,CS!$B:$B,0)+COLUMN(E$1),1))</f>
        <v>0</v>
      </c>
      <c r="AW23">
        <f>IF($A23="","", INDEX(CS!$B$1:$B$12815,MATCH($A23,CS!$B:$B,0)+COLUMN(F$1),1))</f>
        <v>0</v>
      </c>
      <c r="AX23">
        <f>IF($A23="","", INDEX(CS!$B$1:$B$12815,MATCH($A23,CS!$B:$B,0)+COLUMN(G$1),1))</f>
        <v>0</v>
      </c>
      <c r="AY23">
        <f>IF($A23="","", INDEX(CS!$B$1:$B$12815,MATCH($A23,CS!$B:$B,0)+COLUMN(H$1),1))</f>
        <v>0</v>
      </c>
      <c r="AZ23">
        <f>IF($A23="","", INDEX(CS!$B$1:$B$12815,MATCH($A23,CS!$B:$B,0)+COLUMN(I$1),1))</f>
        <v>0</v>
      </c>
      <c r="BA23">
        <f>IF($A23="","", INDEX(CS!$B$1:$B$12815,MATCH($A23,CS!$B:$B,0)+COLUMN(J$1),1))</f>
        <v>0</v>
      </c>
      <c r="BL23" t="s">
        <v>959</v>
      </c>
      <c r="BM23" s="53">
        <v>110</v>
      </c>
      <c r="BN23" s="52">
        <v>15</v>
      </c>
      <c r="BO23" s="52">
        <v>10</v>
      </c>
      <c r="BP23" s="52">
        <v>70</v>
      </c>
      <c r="BQ23" s="52">
        <v>15</v>
      </c>
      <c r="CC23" t="s">
        <v>934</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INDEX(CS!$B$1:$B$12815,MATCH($A24,CS!$B:$B,0)+COLUMN(A$1),1))</f>
        <v>0</v>
      </c>
      <c r="AS24">
        <f>IF($A24="","", INDEX(CS!$B$1:$B$12815,MATCH($A24,CS!$B:$B,0)+COLUMN(B$1),1))</f>
        <v>0</v>
      </c>
      <c r="AT24">
        <f>IF($A24="","", INDEX(CS!$B$1:$B$12815,MATCH($A24,CS!$B:$B,0)+COLUMN(C$1),1))</f>
        <v>0</v>
      </c>
      <c r="AU24">
        <f>IF($A24="","", INDEX(CS!$B$1:$B$12815,MATCH($A24,CS!$B:$B,0)+COLUMN(D$1),1))</f>
        <v>0</v>
      </c>
      <c r="AV24">
        <f>IF($A24="","", INDEX(CS!$B$1:$B$12815,MATCH($A24,CS!$B:$B,0)+COLUMN(E$1),1))</f>
        <v>0</v>
      </c>
      <c r="AW24">
        <f>IF($A24="","", INDEX(CS!$B$1:$B$12815,MATCH($A24,CS!$B:$B,0)+COLUMN(F$1),1))</f>
        <v>0</v>
      </c>
      <c r="AX24">
        <f>IF($A24="","", INDEX(CS!$B$1:$B$12815,MATCH($A24,CS!$B:$B,0)+COLUMN(G$1),1))</f>
        <v>0</v>
      </c>
      <c r="AY24">
        <f>IF($A24="","", INDEX(CS!$B$1:$B$12815,MATCH($A24,CS!$B:$B,0)+COLUMN(H$1),1))</f>
        <v>0</v>
      </c>
      <c r="AZ24">
        <f>IF($A24="","", INDEX(CS!$B$1:$B$12815,MATCH($A24,CS!$B:$B,0)+COLUMN(I$1),1))</f>
        <v>0</v>
      </c>
      <c r="BA24">
        <f>IF($A24="","", INDEX(CS!$B$1:$B$12815,MATCH($A24,CS!$B:$B,0)+COLUMN(J$1),1))</f>
        <v>0</v>
      </c>
      <c r="BL24" t="s">
        <v>959</v>
      </c>
      <c r="BM24" s="53">
        <v>200</v>
      </c>
      <c r="BN24" s="52">
        <v>40</v>
      </c>
      <c r="BO24" s="52">
        <v>10</v>
      </c>
      <c r="BP24" s="52">
        <v>100</v>
      </c>
      <c r="BQ24" s="52">
        <v>10</v>
      </c>
      <c r="CC24" t="s">
        <v>935</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INDEX(CS!$B$1:$B$12815,MATCH($A25,CS!$B:$B,0)+COLUMN(A$1),1))</f>
        <v>0</v>
      </c>
      <c r="AS25">
        <f>IF($A25="","", INDEX(CS!$B$1:$B$12815,MATCH($A25,CS!$B:$B,0)+COLUMN(B$1),1))</f>
        <v>0</v>
      </c>
      <c r="AT25">
        <f>IF($A25="","", INDEX(CS!$B$1:$B$12815,MATCH($A25,CS!$B:$B,0)+COLUMN(C$1),1))</f>
        <v>0</v>
      </c>
      <c r="AU25">
        <f>IF($A25="","", INDEX(CS!$B$1:$B$12815,MATCH($A25,CS!$B:$B,0)+COLUMN(D$1),1))</f>
        <v>0</v>
      </c>
      <c r="AV25">
        <f>IF($A25="","", INDEX(CS!$B$1:$B$12815,MATCH($A25,CS!$B:$B,0)+COLUMN(E$1),1))</f>
        <v>0</v>
      </c>
      <c r="AW25">
        <f>IF($A25="","", INDEX(CS!$B$1:$B$12815,MATCH($A25,CS!$B:$B,0)+COLUMN(F$1),1))</f>
        <v>0</v>
      </c>
      <c r="AX25">
        <f>IF($A25="","", INDEX(CS!$B$1:$B$12815,MATCH($A25,CS!$B:$B,0)+COLUMN(G$1),1))</f>
        <v>0</v>
      </c>
      <c r="AY25">
        <f>IF($A25="","", INDEX(CS!$B$1:$B$12815,MATCH($A25,CS!$B:$B,0)+COLUMN(H$1),1))</f>
        <v>0</v>
      </c>
      <c r="AZ25">
        <f>IF($A25="","", INDEX(CS!$B$1:$B$12815,MATCH($A25,CS!$B:$B,0)+COLUMN(I$1),1))</f>
        <v>0</v>
      </c>
      <c r="BA25">
        <f>IF($A25="","", INDEX(CS!$B$1:$B$12815,MATCH($A25,CS!$B:$B,0)+COLUMN(J$1),1))</f>
        <v>0</v>
      </c>
      <c r="BL25" t="s">
        <v>959</v>
      </c>
      <c r="BM25" s="53">
        <v>250</v>
      </c>
      <c r="BN25" s="52">
        <v>60</v>
      </c>
      <c r="BO25" s="52">
        <v>30</v>
      </c>
      <c r="BP25" s="52">
        <v>200</v>
      </c>
      <c r="BQ25" s="52">
        <v>30</v>
      </c>
      <c r="CC25" t="s">
        <v>936</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INDEX(CS!$B$1:$B$12815,MATCH($A26,CS!$B:$B,0)+COLUMN(A$1),1))</f>
        <v>0</v>
      </c>
      <c r="AS26">
        <f>IF($A26="","", INDEX(CS!$B$1:$B$12815,MATCH($A26,CS!$B:$B,0)+COLUMN(B$1),1))</f>
        <v>0</v>
      </c>
      <c r="AT26">
        <f>IF($A26="","", INDEX(CS!$B$1:$B$12815,MATCH($A26,CS!$B:$B,0)+COLUMN(C$1),1))</f>
        <v>0</v>
      </c>
      <c r="AU26">
        <f>IF($A26="","", INDEX(CS!$B$1:$B$12815,MATCH($A26,CS!$B:$B,0)+COLUMN(D$1),1))</f>
        <v>0</v>
      </c>
      <c r="AV26">
        <f>IF($A26="","", INDEX(CS!$B$1:$B$12815,MATCH($A26,CS!$B:$B,0)+COLUMN(E$1),1))</f>
        <v>0</v>
      </c>
      <c r="AW26">
        <f>IF($A26="","", INDEX(CS!$B$1:$B$12815,MATCH($A26,CS!$B:$B,0)+COLUMN(F$1),1))</f>
        <v>0</v>
      </c>
      <c r="AX26">
        <f>IF($A26="","", INDEX(CS!$B$1:$B$12815,MATCH($A26,CS!$B:$B,0)+COLUMN(G$1),1))</f>
        <v>0</v>
      </c>
      <c r="AY26">
        <f>IF($A26="","", INDEX(CS!$B$1:$B$12815,MATCH($A26,CS!$B:$B,0)+COLUMN(H$1),1))</f>
        <v>0</v>
      </c>
      <c r="AZ26">
        <f>IF($A26="","", INDEX(CS!$B$1:$B$12815,MATCH($A26,CS!$B:$B,0)+COLUMN(I$1),1))</f>
        <v>0</v>
      </c>
      <c r="BA26">
        <f>IF($A26="","", INDEX(CS!$B$1:$B$12815,MATCH($A26,CS!$B:$B,0)+COLUMN(J$1),1))</f>
        <v>0</v>
      </c>
      <c r="BL26" t="s">
        <v>959</v>
      </c>
      <c r="BM26" s="53">
        <v>70</v>
      </c>
      <c r="BN26" s="52">
        <v>30</v>
      </c>
      <c r="BO26" s="52">
        <v>20</v>
      </c>
      <c r="BP26" s="52">
        <v>10</v>
      </c>
      <c r="BQ26" s="52">
        <v>10</v>
      </c>
      <c r="CC26" t="s">
        <v>937</v>
      </c>
    </row>
    <row r="27" spans="1:81" x14ac:dyDescent="0.4">
      <c r="D27" t="str">
        <f t="shared" si="0"/>
        <v>0/0/0</v>
      </c>
      <c r="E27">
        <v>1</v>
      </c>
      <c r="AR27" t="str">
        <f>IF($A27="","", INDEX(CS!$B$1:$B$12815,MATCH($A27,CS!$B:$B,0)+COLUMN(A$1),1))</f>
        <v/>
      </c>
      <c r="AS27" t="str">
        <f>IF($A27="","", INDEX(CS!$B$1:$B$12815,MATCH($A27,CS!$B:$B,0)+COLUMN(B$1),1))</f>
        <v/>
      </c>
      <c r="AT27" t="str">
        <f>IF($A27="","", INDEX(CS!$B$1:$B$12815,MATCH($A27,CS!$B:$B,0)+COLUMN(C$1),1))</f>
        <v/>
      </c>
      <c r="AU27" t="str">
        <f>IF($A27="","", INDEX(CS!$B$1:$B$12815,MATCH($A27,CS!$B:$B,0)+COLUMN(D$1),1))</f>
        <v/>
      </c>
      <c r="AV27" t="str">
        <f>IF($A27="","", INDEX(CS!$B$1:$B$12815,MATCH($A27,CS!$B:$B,0)+COLUMN(E$1),1))</f>
        <v/>
      </c>
      <c r="AW27" t="str">
        <f>IF($A27="","", INDEX(CS!$B$1:$B$12815,MATCH($A27,CS!$B:$B,0)+COLUMN(F$1),1))</f>
        <v/>
      </c>
      <c r="AX27" t="str">
        <f>IF($A27="","", INDEX(CS!$B$1:$B$12815,MATCH($A27,CS!$B:$B,0)+COLUMN(G$1),1))</f>
        <v/>
      </c>
      <c r="AY27" t="str">
        <f>IF($A27="","", INDEX(CS!$B$1:$B$12815,MATCH($A27,CS!$B:$B,0)+COLUMN(H$1),1))</f>
        <v/>
      </c>
      <c r="AZ27" t="str">
        <f>IF($A27="","", INDEX(CS!$B$1:$B$12815,MATCH($A27,CS!$B:$B,0)+COLUMN(I$1),1))</f>
        <v/>
      </c>
      <c r="BA27" t="str">
        <f>IF($A27="","", INDEX(CS!$B$1:$B$12815,MATCH($A27,CS!$B:$B,0)+COLUMN(J$1),1))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INDEX(CS!$B$1:$B$12815,MATCH($A28,CS!$B:$B,0)+COLUMN(A$1),1))</f>
        <v>0</v>
      </c>
      <c r="AS28">
        <f>IF($A28="","", INDEX(CS!$B$1:$B$12815,MATCH($A28,CS!$B:$B,0)+COLUMN(B$1),1))</f>
        <v>0</v>
      </c>
      <c r="AT28">
        <f>IF($A28="","", INDEX(CS!$B$1:$B$12815,MATCH($A28,CS!$B:$B,0)+COLUMN(C$1),1))</f>
        <v>0</v>
      </c>
      <c r="AU28">
        <f>IF($A28="","", INDEX(CS!$B$1:$B$12815,MATCH($A28,CS!$B:$B,0)+COLUMN(D$1),1))</f>
        <v>0</v>
      </c>
      <c r="AV28">
        <f>IF($A28="","", INDEX(CS!$B$1:$B$12815,MATCH($A28,CS!$B:$B,0)+COLUMN(E$1),1))</f>
        <v>0</v>
      </c>
      <c r="AW28">
        <f>IF($A28="","", INDEX(CS!$B$1:$B$12815,MATCH($A28,CS!$B:$B,0)+COLUMN(F$1),1))</f>
        <v>0</v>
      </c>
      <c r="AX28">
        <f>IF($A28="","", INDEX(CS!$B$1:$B$12815,MATCH($A28,CS!$B:$B,0)+COLUMN(G$1),1))</f>
        <v>0</v>
      </c>
      <c r="AY28">
        <f>IF($A28="","", INDEX(CS!$B$1:$B$12815,MATCH($A28,CS!$B:$B,0)+COLUMN(H$1),1))</f>
        <v>0</v>
      </c>
      <c r="AZ28">
        <f>IF($A28="","", INDEX(CS!$B$1:$B$12815,MATCH($A28,CS!$B:$B,0)+COLUMN(I$1),1))</f>
        <v>0</v>
      </c>
      <c r="BA28">
        <f>IF($A28="","", INDEX(CS!$B$1:$B$12815,MATCH($A28,CS!$B:$B,0)+COLUMN(J$1),1))</f>
        <v>0</v>
      </c>
      <c r="BL28" t="s">
        <v>957</v>
      </c>
      <c r="BM28" s="53">
        <v>30</v>
      </c>
      <c r="BN28" s="52">
        <v>0</v>
      </c>
      <c r="BO28" s="52">
        <v>0</v>
      </c>
      <c r="BP28" s="52">
        <v>50</v>
      </c>
      <c r="BQ28" s="52">
        <v>25</v>
      </c>
      <c r="BR28" s="52">
        <v>10</v>
      </c>
      <c r="CC28" t="s">
        <v>938</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INDEX(CS!$B$1:$B$12815,MATCH($A29,CS!$B:$B,0)+COLUMN(A$1),1))</f>
        <v>0</v>
      </c>
      <c r="AS29">
        <f>IF($A29="","", INDEX(CS!$B$1:$B$12815,MATCH($A29,CS!$B:$B,0)+COLUMN(B$1),1))</f>
        <v>0</v>
      </c>
      <c r="AT29">
        <f>IF($A29="","", INDEX(CS!$B$1:$B$12815,MATCH($A29,CS!$B:$B,0)+COLUMN(C$1),1))</f>
        <v>0</v>
      </c>
      <c r="AU29">
        <f>IF($A29="","", INDEX(CS!$B$1:$B$12815,MATCH($A29,CS!$B:$B,0)+COLUMN(D$1),1))</f>
        <v>0</v>
      </c>
      <c r="AV29">
        <f>IF($A29="","", INDEX(CS!$B$1:$B$12815,MATCH($A29,CS!$B:$B,0)+COLUMN(E$1),1))</f>
        <v>0</v>
      </c>
      <c r="AW29">
        <f>IF($A29="","", INDEX(CS!$B$1:$B$12815,MATCH($A29,CS!$B:$B,0)+COLUMN(F$1),1))</f>
        <v>0</v>
      </c>
      <c r="AX29">
        <f>IF($A29="","", INDEX(CS!$B$1:$B$12815,MATCH($A29,CS!$B:$B,0)+COLUMN(G$1),1))</f>
        <v>0</v>
      </c>
      <c r="AY29">
        <f>IF($A29="","", INDEX(CS!$B$1:$B$12815,MATCH($A29,CS!$B:$B,0)+COLUMN(H$1),1))</f>
        <v>0</v>
      </c>
      <c r="AZ29">
        <f>IF($A29="","", INDEX(CS!$B$1:$B$12815,MATCH($A29,CS!$B:$B,0)+COLUMN(I$1),1))</f>
        <v>0</v>
      </c>
      <c r="BA29">
        <f>IF($A29="","", INDEX(CS!$B$1:$B$12815,MATCH($A29,CS!$B:$B,0)+COLUMN(J$1),1))</f>
        <v>0</v>
      </c>
      <c r="BL29" t="s">
        <v>957</v>
      </c>
      <c r="BM29" s="53">
        <v>30</v>
      </c>
      <c r="BN29" s="52">
        <v>10</v>
      </c>
      <c r="BO29" s="52">
        <v>30</v>
      </c>
      <c r="BP29" s="52">
        <v>10</v>
      </c>
      <c r="BQ29" s="52">
        <v>10</v>
      </c>
      <c r="BR29" s="52">
        <v>10</v>
      </c>
      <c r="CC29" t="s">
        <v>939</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INDEX(CS!$B$1:$B$12815,MATCH($A30,CS!$B:$B,0)+COLUMN(A$1),1))</f>
        <v>0</v>
      </c>
      <c r="AS30">
        <f>IF($A30="","", INDEX(CS!$B$1:$B$12815,MATCH($A30,CS!$B:$B,0)+COLUMN(B$1),1))</f>
        <v>0</v>
      </c>
      <c r="AT30">
        <f>IF($A30="","", INDEX(CS!$B$1:$B$12815,MATCH($A30,CS!$B:$B,0)+COLUMN(C$1),1))</f>
        <v>0</v>
      </c>
      <c r="AU30">
        <f>IF($A30="","", INDEX(CS!$B$1:$B$12815,MATCH($A30,CS!$B:$B,0)+COLUMN(D$1),1))</f>
        <v>0</v>
      </c>
      <c r="AV30">
        <f>IF($A30="","", INDEX(CS!$B$1:$B$12815,MATCH($A30,CS!$B:$B,0)+COLUMN(E$1),1))</f>
        <v>0</v>
      </c>
      <c r="AW30">
        <f>IF($A30="","", INDEX(CS!$B$1:$B$12815,MATCH($A30,CS!$B:$B,0)+COLUMN(F$1),1))</f>
        <v>0</v>
      </c>
      <c r="AX30">
        <f>IF($A30="","", INDEX(CS!$B$1:$B$12815,MATCH($A30,CS!$B:$B,0)+COLUMN(G$1),1))</f>
        <v>0</v>
      </c>
      <c r="AY30">
        <f>IF($A30="","", INDEX(CS!$B$1:$B$12815,MATCH($A30,CS!$B:$B,0)+COLUMN(H$1),1))</f>
        <v>0</v>
      </c>
      <c r="AZ30">
        <f>IF($A30="","", INDEX(CS!$B$1:$B$12815,MATCH($A30,CS!$B:$B,0)+COLUMN(I$1),1))</f>
        <v>0</v>
      </c>
      <c r="BA30">
        <f>IF($A30="","", INDEX(CS!$B$1:$B$12815,MATCH($A30,CS!$B:$B,0)+COLUMN(J$1),1))</f>
        <v>0</v>
      </c>
      <c r="BL30" t="s">
        <v>960</v>
      </c>
      <c r="BM30" s="53">
        <v>50</v>
      </c>
      <c r="BN30" s="52">
        <v>0</v>
      </c>
      <c r="BO30" s="52">
        <v>0</v>
      </c>
      <c r="BP30" s="52">
        <v>50</v>
      </c>
      <c r="BQ30" s="52">
        <v>25</v>
      </c>
      <c r="BR30" s="52">
        <v>0</v>
      </c>
      <c r="BS30" s="52">
        <v>50</v>
      </c>
      <c r="CC30" t="s">
        <v>940</v>
      </c>
    </row>
    <row r="31" spans="1:81" x14ac:dyDescent="0.4">
      <c r="C31" t="s">
        <v>62</v>
      </c>
      <c r="D31" t="str">
        <f t="shared" si="0"/>
        <v>0/0/0</v>
      </c>
      <c r="E31">
        <v>1</v>
      </c>
      <c r="AR31" t="str">
        <f>IF($A31="","", INDEX(CS!$B$1:$B$12815,MATCH($A31,CS!$B:$B,0)+COLUMN(A$1),1))</f>
        <v/>
      </c>
      <c r="AS31" t="str">
        <f>IF($A31="","", INDEX(CS!$B$1:$B$12815,MATCH($A31,CS!$B:$B,0)+COLUMN(B$1),1))</f>
        <v/>
      </c>
      <c r="AT31" t="str">
        <f>IF($A31="","", INDEX(CS!$B$1:$B$12815,MATCH($A31,CS!$B:$B,0)+COLUMN(C$1),1))</f>
        <v/>
      </c>
      <c r="AU31" t="str">
        <f>IF($A31="","", INDEX(CS!$B$1:$B$12815,MATCH($A31,CS!$B:$B,0)+COLUMN(D$1),1))</f>
        <v/>
      </c>
      <c r="AV31" t="str">
        <f>IF($A31="","", INDEX(CS!$B$1:$B$12815,MATCH($A31,CS!$B:$B,0)+COLUMN(E$1),1))</f>
        <v/>
      </c>
      <c r="AW31" t="str">
        <f>IF($A31="","", INDEX(CS!$B$1:$B$12815,MATCH($A31,CS!$B:$B,0)+COLUMN(F$1),1))</f>
        <v/>
      </c>
      <c r="AX31" t="str">
        <f>IF($A31="","", INDEX(CS!$B$1:$B$12815,MATCH($A31,CS!$B:$B,0)+COLUMN(G$1),1))</f>
        <v/>
      </c>
      <c r="AY31" t="str">
        <f>IF($A31="","", INDEX(CS!$B$1:$B$12815,MATCH($A31,CS!$B:$B,0)+COLUMN(H$1),1))</f>
        <v/>
      </c>
      <c r="AZ31" t="str">
        <f>IF($A31="","", INDEX(CS!$B$1:$B$12815,MATCH($A31,CS!$B:$B,0)+COLUMN(I$1),1))</f>
        <v/>
      </c>
      <c r="BA31" t="str">
        <f>IF($A31="","", INDEX(CS!$B$1:$B$12815,MATCH($A31,CS!$B:$B,0)+COLUMN(J$1),1))</f>
        <v/>
      </c>
      <c r="BM31" s="17"/>
      <c r="BN31" s="52"/>
      <c r="BO31" s="52"/>
      <c r="BP31" s="52"/>
      <c r="BQ31" s="52"/>
    </row>
    <row r="32" spans="1:81" x14ac:dyDescent="0.4">
      <c r="A32" t="s">
        <v>205</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INDEX(CS!$B$1:$B$12815,MATCH($A32,CS!$B:$B,0)+COLUMN(A$1),1))</f>
        <v>0</v>
      </c>
      <c r="AS32">
        <f>IF($A32="","", INDEX(CS!$B$1:$B$12815,MATCH($A32,CS!$B:$B,0)+COLUMN(B$1),1))</f>
        <v>0</v>
      </c>
      <c r="AT32">
        <f>IF($A32="","", INDEX(CS!$B$1:$B$12815,MATCH($A32,CS!$B:$B,0)+COLUMN(C$1),1))</f>
        <v>0</v>
      </c>
      <c r="AU32">
        <f>IF($A32="","", INDEX(CS!$B$1:$B$12815,MATCH($A32,CS!$B:$B,0)+COLUMN(D$1),1))</f>
        <v>0</v>
      </c>
      <c r="AV32">
        <f>IF($A32="","", INDEX(CS!$B$1:$B$12815,MATCH($A32,CS!$B:$B,0)+COLUMN(E$1),1))</f>
        <v>0</v>
      </c>
      <c r="AW32">
        <f>IF($A32="","", INDEX(CS!$B$1:$B$12815,MATCH($A32,CS!$B:$B,0)+COLUMN(F$1),1))</f>
        <v>0</v>
      </c>
      <c r="AX32">
        <f>IF($A32="","", INDEX(CS!$B$1:$B$12815,MATCH($A32,CS!$B:$B,0)+COLUMN(G$1),1))</f>
        <v>0</v>
      </c>
      <c r="AY32">
        <f>IF($A32="","", INDEX(CS!$B$1:$B$12815,MATCH($A32,CS!$B:$B,0)+COLUMN(H$1),1))</f>
        <v>0</v>
      </c>
      <c r="AZ32">
        <f>IF($A32="","", INDEX(CS!$B$1:$B$12815,MATCH($A32,CS!$B:$B,0)+COLUMN(I$1),1))</f>
        <v>0</v>
      </c>
      <c r="BA32">
        <f>IF($A32="","", INDEX(CS!$B$1:$B$12815,MATCH($A32,CS!$B:$B,0)+COLUMN(J$1),1))</f>
        <v>0</v>
      </c>
      <c r="BL32" t="s">
        <v>960</v>
      </c>
      <c r="BM32" s="53">
        <v>50</v>
      </c>
      <c r="BP32" s="52">
        <v>75</v>
      </c>
      <c r="CC32" t="s">
        <v>1052</v>
      </c>
    </row>
    <row r="33" spans="1:81" x14ac:dyDescent="0.4">
      <c r="A33" t="s">
        <v>206</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INDEX(CS!$B$1:$B$12815,MATCH($A33,CS!$B:$B,0)+COLUMN(A$1),1))</f>
        <v>0</v>
      </c>
      <c r="AS33">
        <f>IF($A33="","", INDEX(CS!$B$1:$B$12815,MATCH($A33,CS!$B:$B,0)+COLUMN(B$1),1))</f>
        <v>0</v>
      </c>
      <c r="AT33">
        <f>IF($A33="","", INDEX(CS!$B$1:$B$12815,MATCH($A33,CS!$B:$B,0)+COLUMN(C$1),1))</f>
        <v>0</v>
      </c>
      <c r="AU33">
        <f>IF($A33="","", INDEX(CS!$B$1:$B$12815,MATCH($A33,CS!$B:$B,0)+COLUMN(D$1),1))</f>
        <v>0</v>
      </c>
      <c r="AV33">
        <f>IF($A33="","", INDEX(CS!$B$1:$B$12815,MATCH($A33,CS!$B:$B,0)+COLUMN(E$1),1))</f>
        <v>0</v>
      </c>
      <c r="AW33">
        <f>IF($A33="","", INDEX(CS!$B$1:$B$12815,MATCH($A33,CS!$B:$B,0)+COLUMN(F$1),1))</f>
        <v>0</v>
      </c>
      <c r="AX33">
        <f>IF($A33="","", INDEX(CS!$B$1:$B$12815,MATCH($A33,CS!$B:$B,0)+COLUMN(G$1),1))</f>
        <v>0</v>
      </c>
      <c r="AY33">
        <f>IF($A33="","", INDEX(CS!$B$1:$B$12815,MATCH($A33,CS!$B:$B,0)+COLUMN(H$1),1))</f>
        <v>0</v>
      </c>
      <c r="AZ33">
        <f>IF($A33="","", INDEX(CS!$B$1:$B$12815,MATCH($A33,CS!$B:$B,0)+COLUMN(I$1),1))</f>
        <v>0</v>
      </c>
      <c r="BA33">
        <f>IF($A33="","", INDEX(CS!$B$1:$B$12815,MATCH($A33,CS!$B:$B,0)+COLUMN(J$1),1))</f>
        <v>0</v>
      </c>
      <c r="BL33" t="s">
        <v>960</v>
      </c>
      <c r="BM33" s="53">
        <v>50</v>
      </c>
      <c r="CC33" t="s">
        <v>1053</v>
      </c>
    </row>
    <row r="34" spans="1:81" x14ac:dyDescent="0.4">
      <c r="A34" t="s">
        <v>208</v>
      </c>
      <c r="C34" t="s">
        <v>62</v>
      </c>
      <c r="D34" t="str">
        <f t="shared" ref="D34:D91"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INDEX(CS!$B$1:$B$12815,MATCH($A34,CS!$B:$B,0)+COLUMN(A$1),1))</f>
        <v>0</v>
      </c>
      <c r="AS34">
        <f>IF($A34="","", INDEX(CS!$B$1:$B$12815,MATCH($A34,CS!$B:$B,0)+COLUMN(B$1),1))</f>
        <v>0</v>
      </c>
      <c r="AT34">
        <f>IF($A34="","", INDEX(CS!$B$1:$B$12815,MATCH($A34,CS!$B:$B,0)+COLUMN(C$1),1))</f>
        <v>0</v>
      </c>
      <c r="AU34">
        <f>IF($A34="","", INDEX(CS!$B$1:$B$12815,MATCH($A34,CS!$B:$B,0)+COLUMN(D$1),1))</f>
        <v>0</v>
      </c>
      <c r="AV34">
        <f>IF($A34="","", INDEX(CS!$B$1:$B$12815,MATCH($A34,CS!$B:$B,0)+COLUMN(E$1),1))</f>
        <v>0</v>
      </c>
      <c r="AW34">
        <f>IF($A34="","", INDEX(CS!$B$1:$B$12815,MATCH($A34,CS!$B:$B,0)+COLUMN(F$1),1))</f>
        <v>0</v>
      </c>
      <c r="AX34">
        <f>IF($A34="","", INDEX(CS!$B$1:$B$12815,MATCH($A34,CS!$B:$B,0)+COLUMN(G$1),1))</f>
        <v>0</v>
      </c>
      <c r="AY34">
        <f>IF($A34="","", INDEX(CS!$B$1:$B$12815,MATCH($A34,CS!$B:$B,0)+COLUMN(H$1),1))</f>
        <v>0</v>
      </c>
      <c r="AZ34">
        <f>IF($A34="","", INDEX(CS!$B$1:$B$12815,MATCH($A34,CS!$B:$B,0)+COLUMN(I$1),1))</f>
        <v>0</v>
      </c>
      <c r="BA34">
        <f>IF($A34="","", INDEX(CS!$B$1:$B$12815,MATCH($A34,CS!$B:$B,0)+COLUMN(J$1),1))</f>
        <v>0</v>
      </c>
      <c r="BL34" t="s">
        <v>957</v>
      </c>
      <c r="BM34" s="53">
        <v>25</v>
      </c>
      <c r="BR34">
        <v>25</v>
      </c>
      <c r="BX34" t="s">
        <v>971</v>
      </c>
      <c r="BY34" t="s">
        <v>971</v>
      </c>
      <c r="BZ34" t="s">
        <v>971</v>
      </c>
      <c r="CC34" t="s">
        <v>1054</v>
      </c>
    </row>
    <row r="35" spans="1:81" x14ac:dyDescent="0.4">
      <c r="C35" t="s">
        <v>62</v>
      </c>
      <c r="D35" t="str">
        <f t="shared" si="1"/>
        <v>0/0/0</v>
      </c>
      <c r="E35">
        <v>1</v>
      </c>
      <c r="AR35" t="str">
        <f>IF($A35="","", INDEX(CS!$B$1:$B$12815,MATCH($A35,CS!$B:$B,0)+COLUMN(A$1),1))</f>
        <v/>
      </c>
      <c r="AS35" t="str">
        <f>IF($A35="","", INDEX(CS!$B$1:$B$12815,MATCH($A35,CS!$B:$B,0)+COLUMN(B$1),1))</f>
        <v/>
      </c>
      <c r="AT35" t="str">
        <f>IF($A35="","", INDEX(CS!$B$1:$B$12815,MATCH($A35,CS!$B:$B,0)+COLUMN(C$1),1))</f>
        <v/>
      </c>
      <c r="AU35" t="str">
        <f>IF($A35="","", INDEX(CS!$B$1:$B$12815,MATCH($A35,CS!$B:$B,0)+COLUMN(D$1),1))</f>
        <v/>
      </c>
      <c r="AV35" t="str">
        <f>IF($A35="","", INDEX(CS!$B$1:$B$12815,MATCH($A35,CS!$B:$B,0)+COLUMN(E$1),1))</f>
        <v/>
      </c>
      <c r="AW35" t="str">
        <f>IF($A35="","", INDEX(CS!$B$1:$B$12815,MATCH($A35,CS!$B:$B,0)+COLUMN(F$1),1))</f>
        <v/>
      </c>
      <c r="AX35" t="str">
        <f>IF($A35="","", INDEX(CS!$B$1:$B$12815,MATCH($A35,CS!$B:$B,0)+COLUMN(G$1),1))</f>
        <v/>
      </c>
      <c r="AY35" t="str">
        <f>IF($A35="","", INDEX(CS!$B$1:$B$12815,MATCH($A35,CS!$B:$B,0)+COLUMN(H$1),1))</f>
        <v/>
      </c>
      <c r="AZ35" t="str">
        <f>IF($A35="","", INDEX(CS!$B$1:$B$12815,MATCH($A35,CS!$B:$B,0)+COLUMN(I$1),1))</f>
        <v/>
      </c>
      <c r="BA35" t="str">
        <f>IF($A35="","", INDEX(CS!$B$1:$B$12815,MATCH($A35,CS!$B:$B,0)+COLUMN(J$1),1))</f>
        <v/>
      </c>
    </row>
    <row r="36" spans="1:81" x14ac:dyDescent="0.4">
      <c r="C36" t="s">
        <v>62</v>
      </c>
      <c r="D36" t="str">
        <f t="shared" si="1"/>
        <v>0/0/0</v>
      </c>
      <c r="E36">
        <v>1</v>
      </c>
      <c r="AR36" t="str">
        <f>IF($A36="","", INDEX(CS!$B$1:$B$12815,MATCH($A36,CS!$B:$B,0)+COLUMN(A$1),1))</f>
        <v/>
      </c>
      <c r="AS36" t="str">
        <f>IF($A36="","", INDEX(CS!$B$1:$B$12815,MATCH($A36,CS!$B:$B,0)+COLUMN(B$1),1))</f>
        <v/>
      </c>
      <c r="AT36" t="str">
        <f>IF($A36="","", INDEX(CS!$B$1:$B$12815,MATCH($A36,CS!$B:$B,0)+COLUMN(C$1),1))</f>
        <v/>
      </c>
      <c r="AU36" t="str">
        <f>IF($A36="","", INDEX(CS!$B$1:$B$12815,MATCH($A36,CS!$B:$B,0)+COLUMN(D$1),1))</f>
        <v/>
      </c>
      <c r="AV36" t="str">
        <f>IF($A36="","", INDEX(CS!$B$1:$B$12815,MATCH($A36,CS!$B:$B,0)+COLUMN(E$1),1))</f>
        <v/>
      </c>
      <c r="AW36" t="str">
        <f>IF($A36="","", INDEX(CS!$B$1:$B$12815,MATCH($A36,CS!$B:$B,0)+COLUMN(F$1),1))</f>
        <v/>
      </c>
      <c r="AX36" t="str">
        <f>IF($A36="","", INDEX(CS!$B$1:$B$12815,MATCH($A36,CS!$B:$B,0)+COLUMN(G$1),1))</f>
        <v/>
      </c>
      <c r="AY36" t="str">
        <f>IF($A36="","", INDEX(CS!$B$1:$B$12815,MATCH($A36,CS!$B:$B,0)+COLUMN(H$1),1))</f>
        <v/>
      </c>
      <c r="AZ36" t="str">
        <f>IF($A36="","", INDEX(CS!$B$1:$B$12815,MATCH($A36,CS!$B:$B,0)+COLUMN(I$1),1))</f>
        <v/>
      </c>
      <c r="BA36" t="str">
        <f>IF($A36="","", INDEX(CS!$B$1:$B$12815,MATCH($A36,CS!$B:$B,0)+COLUMN(J$1),1))</f>
        <v/>
      </c>
    </row>
    <row r="37" spans="1:81" x14ac:dyDescent="0.4">
      <c r="C37" t="s">
        <v>62</v>
      </c>
      <c r="D37" t="str">
        <f t="shared" si="1"/>
        <v>0/0/0</v>
      </c>
      <c r="E37">
        <v>1</v>
      </c>
      <c r="AR37" t="str">
        <f>IF($A37="","", INDEX(CS!$B$1:$B$12815,MATCH($A37,CS!$B:$B,0)+COLUMN(A$1),1))</f>
        <v/>
      </c>
      <c r="AS37" t="str">
        <f>IF($A37="","", INDEX(CS!$B$1:$B$12815,MATCH($A37,CS!$B:$B,0)+COLUMN(B$1),1))</f>
        <v/>
      </c>
      <c r="AT37" t="str">
        <f>IF($A37="","", INDEX(CS!$B$1:$B$12815,MATCH($A37,CS!$B:$B,0)+COLUMN(C$1),1))</f>
        <v/>
      </c>
      <c r="AU37" t="str">
        <f>IF($A37="","", INDEX(CS!$B$1:$B$12815,MATCH($A37,CS!$B:$B,0)+COLUMN(D$1),1))</f>
        <v/>
      </c>
      <c r="AV37" t="str">
        <f>IF($A37="","", INDEX(CS!$B$1:$B$12815,MATCH($A37,CS!$B:$B,0)+COLUMN(E$1),1))</f>
        <v/>
      </c>
      <c r="AW37" t="str">
        <f>IF($A37="","", INDEX(CS!$B$1:$B$12815,MATCH($A37,CS!$B:$B,0)+COLUMN(F$1),1))</f>
        <v/>
      </c>
      <c r="AX37" t="str">
        <f>IF($A37="","", INDEX(CS!$B$1:$B$12815,MATCH($A37,CS!$B:$B,0)+COLUMN(G$1),1))</f>
        <v/>
      </c>
      <c r="AY37" t="str">
        <f>IF($A37="","", INDEX(CS!$B$1:$B$12815,MATCH($A37,CS!$B:$B,0)+COLUMN(H$1),1))</f>
        <v/>
      </c>
      <c r="AZ37" t="str">
        <f>IF($A37="","", INDEX(CS!$B$1:$B$12815,MATCH($A37,CS!$B:$B,0)+COLUMN(I$1),1))</f>
        <v/>
      </c>
      <c r="BA37" t="str">
        <f>IF($A37="","", INDEX(CS!$B$1:$B$12815,MATCH($A37,CS!$B:$B,0)+COLUMN(J$1),1))</f>
        <v/>
      </c>
    </row>
    <row r="38" spans="1:81" x14ac:dyDescent="0.4">
      <c r="C38" t="s">
        <v>62</v>
      </c>
      <c r="D38" t="str">
        <f t="shared" si="1"/>
        <v>0/0/0</v>
      </c>
      <c r="E38">
        <v>1</v>
      </c>
      <c r="AR38" t="str">
        <f>IF($A38="","", INDEX(CS!$B$1:$B$12815,MATCH($A38,CS!$B:$B,0)+COLUMN(A$1),1))</f>
        <v/>
      </c>
      <c r="AS38" t="str">
        <f>IF($A38="","", INDEX(CS!$B$1:$B$12815,MATCH($A38,CS!$B:$B,0)+COLUMN(B$1),1))</f>
        <v/>
      </c>
      <c r="AT38" t="str">
        <f>IF($A38="","", INDEX(CS!$B$1:$B$12815,MATCH($A38,CS!$B:$B,0)+COLUMN(C$1),1))</f>
        <v/>
      </c>
      <c r="AU38" t="str">
        <f>IF($A38="","", INDEX(CS!$B$1:$B$12815,MATCH($A38,CS!$B:$B,0)+COLUMN(D$1),1))</f>
        <v/>
      </c>
      <c r="AV38" t="str">
        <f>IF($A38="","", INDEX(CS!$B$1:$B$12815,MATCH($A38,CS!$B:$B,0)+COLUMN(E$1),1))</f>
        <v/>
      </c>
      <c r="AW38" t="str">
        <f>IF($A38="","", INDEX(CS!$B$1:$B$12815,MATCH($A38,CS!$B:$B,0)+COLUMN(F$1),1))</f>
        <v/>
      </c>
      <c r="AX38" t="str">
        <f>IF($A38="","", INDEX(CS!$B$1:$B$12815,MATCH($A38,CS!$B:$B,0)+COLUMN(G$1),1))</f>
        <v/>
      </c>
      <c r="AY38" t="str">
        <f>IF($A38="","", INDEX(CS!$B$1:$B$12815,MATCH($A38,CS!$B:$B,0)+COLUMN(H$1),1))</f>
        <v/>
      </c>
      <c r="AZ38" t="str">
        <f>IF($A38="","", INDEX(CS!$B$1:$B$12815,MATCH($A38,CS!$B:$B,0)+COLUMN(I$1),1))</f>
        <v/>
      </c>
      <c r="BA38" t="str">
        <f>IF($A38="","", INDEX(CS!$B$1:$B$12815,MATCH($A38,CS!$B:$B,0)+COLUMN(J$1),1))</f>
        <v/>
      </c>
    </row>
    <row r="39" spans="1:81" x14ac:dyDescent="0.4">
      <c r="C39" t="s">
        <v>62</v>
      </c>
      <c r="D39" t="str">
        <f t="shared" si="1"/>
        <v>0/0/0</v>
      </c>
      <c r="E39">
        <v>1</v>
      </c>
      <c r="AR39" t="str">
        <f>IF($A39="","", INDEX(CS!$B$1:$B$12815,MATCH($A39,CS!$B:$B,0)+COLUMN(A$1),1))</f>
        <v/>
      </c>
      <c r="AS39" t="str">
        <f>IF($A39="","", INDEX(CS!$B$1:$B$12815,MATCH($A39,CS!$B:$B,0)+COLUMN(B$1),1))</f>
        <v/>
      </c>
      <c r="AT39" t="str">
        <f>IF($A39="","", INDEX(CS!$B$1:$B$12815,MATCH($A39,CS!$B:$B,0)+COLUMN(C$1),1))</f>
        <v/>
      </c>
      <c r="AU39" t="str">
        <f>IF($A39="","", INDEX(CS!$B$1:$B$12815,MATCH($A39,CS!$B:$B,0)+COLUMN(D$1),1))</f>
        <v/>
      </c>
      <c r="AV39" t="str">
        <f>IF($A39="","", INDEX(CS!$B$1:$B$12815,MATCH($A39,CS!$B:$B,0)+COLUMN(E$1),1))</f>
        <v/>
      </c>
      <c r="AW39" t="str">
        <f>IF($A39="","", INDEX(CS!$B$1:$B$12815,MATCH($A39,CS!$B:$B,0)+COLUMN(F$1),1))</f>
        <v/>
      </c>
      <c r="AX39" t="str">
        <f>IF($A39="","", INDEX(CS!$B$1:$B$12815,MATCH($A39,CS!$B:$B,0)+COLUMN(G$1),1))</f>
        <v/>
      </c>
      <c r="AY39" t="str">
        <f>IF($A39="","", INDEX(CS!$B$1:$B$12815,MATCH($A39,CS!$B:$B,0)+COLUMN(H$1),1))</f>
        <v/>
      </c>
      <c r="AZ39" t="str">
        <f>IF($A39="","", INDEX(CS!$B$1:$B$12815,MATCH($A39,CS!$B:$B,0)+COLUMN(I$1),1))</f>
        <v/>
      </c>
      <c r="BA39" t="str">
        <f>IF($A39="","", INDEX(CS!$B$1:$B$12815,MATCH($A39,CS!$B:$B,0)+COLUMN(J$1),1))</f>
        <v/>
      </c>
    </row>
    <row r="40" spans="1:81" x14ac:dyDescent="0.4">
      <c r="C40" t="s">
        <v>62</v>
      </c>
      <c r="D40" t="str">
        <f t="shared" si="1"/>
        <v>0/0/0</v>
      </c>
      <c r="E40">
        <v>1</v>
      </c>
      <c r="AR40" t="str">
        <f>IF($A40="","", INDEX(CS!$B$1:$B$12815,MATCH($A40,CS!$B:$B,0)+COLUMN(A$1),1))</f>
        <v/>
      </c>
      <c r="AS40" t="str">
        <f>IF($A40="","", INDEX(CS!$B$1:$B$12815,MATCH($A40,CS!$B:$B,0)+COLUMN(B$1),1))</f>
        <v/>
      </c>
      <c r="AT40" t="str">
        <f>IF($A40="","", INDEX(CS!$B$1:$B$12815,MATCH($A40,CS!$B:$B,0)+COLUMN(C$1),1))</f>
        <v/>
      </c>
      <c r="AU40" t="str">
        <f>IF($A40="","", INDEX(CS!$B$1:$B$12815,MATCH($A40,CS!$B:$B,0)+COLUMN(D$1),1))</f>
        <v/>
      </c>
      <c r="AV40" t="str">
        <f>IF($A40="","", INDEX(CS!$B$1:$B$12815,MATCH($A40,CS!$B:$B,0)+COLUMN(E$1),1))</f>
        <v/>
      </c>
      <c r="AW40" t="str">
        <f>IF($A40="","", INDEX(CS!$B$1:$B$12815,MATCH($A40,CS!$B:$B,0)+COLUMN(F$1),1))</f>
        <v/>
      </c>
      <c r="AX40" t="str">
        <f>IF($A40="","", INDEX(CS!$B$1:$B$12815,MATCH($A40,CS!$B:$B,0)+COLUMN(G$1),1))</f>
        <v/>
      </c>
      <c r="AY40" t="str">
        <f>IF($A40="","", INDEX(CS!$B$1:$B$12815,MATCH($A40,CS!$B:$B,0)+COLUMN(H$1),1))</f>
        <v/>
      </c>
      <c r="AZ40" t="str">
        <f>IF($A40="","", INDEX(CS!$B$1:$B$12815,MATCH($A40,CS!$B:$B,0)+COLUMN(I$1),1))</f>
        <v/>
      </c>
      <c r="BA40" t="str">
        <f>IF($A40="","", INDEX(CS!$B$1:$B$12815,MATCH($A40,CS!$B:$B,0)+COLUMN(J$1),1))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INDEX(CS!$B$1:$B$12815,MATCH($A41,CS!$B:$B,0)+COLUMN(A$1),1))</f>
        <v>炎の拳</v>
      </c>
      <c r="AS41">
        <f>IF($A41="","", INDEX(CS!$B$1:$B$12815,MATCH($A41,CS!$B:$B,0)+COLUMN(B$1),1))</f>
        <v>0</v>
      </c>
      <c r="AT41" t="str">
        <f>IF($A41="","", INDEX(CS!$B$1:$B$12815,MATCH($A41,CS!$B:$B,0)+COLUMN(C$1),1))</f>
        <v>浮遊</v>
      </c>
      <c r="AU41">
        <f>IF($A41="","", INDEX(CS!$B$1:$B$12815,MATCH($A41,CS!$B:$B,0)+COLUMN(D$1),1))</f>
        <v>0</v>
      </c>
      <c r="AV41">
        <f>IF($A41="","", INDEX(CS!$B$1:$B$12815,MATCH($A41,CS!$B:$B,0)+COLUMN(E$1),1))</f>
        <v>0</v>
      </c>
      <c r="AW41" t="str">
        <f>IF($A41="","", INDEX(CS!$B$1:$B$12815,MATCH($A41,CS!$B:$B,0)+COLUMN(F$1),1))</f>
        <v>炎の魔力</v>
      </c>
      <c r="AX41">
        <f>IF($A41="","", INDEX(CS!$B$1:$B$12815,MATCH($A41,CS!$B:$B,0)+COLUMN(G$1),1))</f>
        <v>0</v>
      </c>
      <c r="AY41">
        <f>IF($A41="","", INDEX(CS!$B$1:$B$12815,MATCH($A41,CS!$B:$B,0)+COLUMN(H$1),1))</f>
        <v>0</v>
      </c>
      <c r="AZ41" t="str">
        <f>IF($A41="","", INDEX(CS!$B$1:$B$12815,MATCH($A41,CS!$B:$B,0)+COLUMN(I$1),1))</f>
        <v>炎の力</v>
      </c>
      <c r="BA41" t="str">
        <f>IF($A41="","", INDEX(CS!$B$1:$B$12815,MATCH($A41,CS!$B:$B,0)+COLUMN(J$1),1))</f>
        <v>炎の吐息</v>
      </c>
      <c r="BX41" t="s">
        <v>971</v>
      </c>
      <c r="BY41" t="s">
        <v>971</v>
      </c>
      <c r="BZ41" t="s">
        <v>971</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INDEX(CS!$B$1:$B$12815,MATCH($A42,CS!$B:$B,0)+COLUMN(A$1),1))</f>
        <v>氷の拳</v>
      </c>
      <c r="AS42">
        <f>IF($A42="","", INDEX(CS!$B$1:$B$12815,MATCH($A42,CS!$B:$B,0)+COLUMN(B$1),1))</f>
        <v>0</v>
      </c>
      <c r="AT42" t="str">
        <f>IF($A42="","", INDEX(CS!$B$1:$B$12815,MATCH($A42,CS!$B:$B,0)+COLUMN(C$1),1))</f>
        <v>浮遊</v>
      </c>
      <c r="AU42">
        <f>IF($A42="","", INDEX(CS!$B$1:$B$12815,MATCH($A42,CS!$B:$B,0)+COLUMN(D$1),1))</f>
        <v>0</v>
      </c>
      <c r="AV42">
        <f>IF($A42="","", INDEX(CS!$B$1:$B$12815,MATCH($A42,CS!$B:$B,0)+COLUMN(E$1),1))</f>
        <v>0</v>
      </c>
      <c r="AW42" t="str">
        <f>IF($A42="","", INDEX(CS!$B$1:$B$12815,MATCH($A42,CS!$B:$B,0)+COLUMN(F$1),1))</f>
        <v>氷の魔力</v>
      </c>
      <c r="AX42">
        <f>IF($A42="","", INDEX(CS!$B$1:$B$12815,MATCH($A42,CS!$B:$B,0)+COLUMN(G$1),1))</f>
        <v>0</v>
      </c>
      <c r="AY42">
        <f>IF($A42="","", INDEX(CS!$B$1:$B$12815,MATCH($A42,CS!$B:$B,0)+COLUMN(H$1),1))</f>
        <v>0</v>
      </c>
      <c r="AZ42" t="str">
        <f>IF($A42="","", INDEX(CS!$B$1:$B$12815,MATCH($A42,CS!$B:$B,0)+COLUMN(I$1),1))</f>
        <v>氷の力</v>
      </c>
      <c r="BA42" t="str">
        <f>IF($A42="","", INDEX(CS!$B$1:$B$12815,MATCH($A42,CS!$B:$B,0)+COLUMN(J$1),1))</f>
        <v>氷の吐息</v>
      </c>
      <c r="CC42" t="s">
        <v>67</v>
      </c>
    </row>
    <row r="43" spans="1:81" x14ac:dyDescent="0.4">
      <c r="A43" s="1" t="s">
        <v>909</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INDEX(CS!$B$1:$B$12815,MATCH($A43,CS!$B:$B,0)+COLUMN(A$1),1))</f>
        <v>水の拳</v>
      </c>
      <c r="AS43">
        <f>IF($A43="","", INDEX(CS!$B$1:$B$12815,MATCH($A43,CS!$B:$B,0)+COLUMN(B$1),1))</f>
        <v>0</v>
      </c>
      <c r="AT43" t="str">
        <f>IF($A43="","", INDEX(CS!$B$1:$B$12815,MATCH($A43,CS!$B:$B,0)+COLUMN(C$1),1))</f>
        <v>水の精霊</v>
      </c>
      <c r="AU43">
        <f>IF($A43="","", INDEX(CS!$B$1:$B$12815,MATCH($A43,CS!$B:$B,0)+COLUMN(D$1),1))</f>
        <v>0</v>
      </c>
      <c r="AV43">
        <f>IF($A43="","", INDEX(CS!$B$1:$B$12815,MATCH($A43,CS!$B:$B,0)+COLUMN(E$1),1))</f>
        <v>0</v>
      </c>
      <c r="AW43" t="str">
        <f>IF($A43="","", INDEX(CS!$B$1:$B$12815,MATCH($A43,CS!$B:$B,0)+COLUMN(F$1),1))</f>
        <v>水の魔力</v>
      </c>
      <c r="AX43">
        <f>IF($A43="","", INDEX(CS!$B$1:$B$12815,MATCH($A43,CS!$B:$B,0)+COLUMN(G$1),1))</f>
        <v>0</v>
      </c>
      <c r="AY43">
        <f>IF($A43="","", INDEX(CS!$B$1:$B$12815,MATCH($A43,CS!$B:$B,0)+COLUMN(H$1),1))</f>
        <v>0</v>
      </c>
      <c r="AZ43" t="str">
        <f>IF($A43="","", INDEX(CS!$B$1:$B$12815,MATCH($A43,CS!$B:$B,0)+COLUMN(I$1),1))</f>
        <v>水の力</v>
      </c>
      <c r="BA43" t="str">
        <f>IF($A43="","", INDEX(CS!$B$1:$B$12815,MATCH($A43,CS!$B:$B,0)+COLUMN(J$1),1))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INDEX(CS!$B$1:$B$12815,MATCH($A44,CS!$B:$B,0)+COLUMN(A$1),1))</f>
        <v>風の拳</v>
      </c>
      <c r="AS44">
        <f>IF($A44="","", INDEX(CS!$B$1:$B$12815,MATCH($A44,CS!$B:$B,0)+COLUMN(B$1),1))</f>
        <v>0</v>
      </c>
      <c r="AT44" t="str">
        <f>IF($A44="","", INDEX(CS!$B$1:$B$12815,MATCH($A44,CS!$B:$B,0)+COLUMN(C$1),1))</f>
        <v>浮遊</v>
      </c>
      <c r="AU44">
        <f>IF($A44="","", INDEX(CS!$B$1:$B$12815,MATCH($A44,CS!$B:$B,0)+COLUMN(D$1),1))</f>
        <v>0</v>
      </c>
      <c r="AV44">
        <f>IF($A44="","", INDEX(CS!$B$1:$B$12815,MATCH($A44,CS!$B:$B,0)+COLUMN(E$1),1))</f>
        <v>0</v>
      </c>
      <c r="AW44" t="str">
        <f>IF($A44="","", INDEX(CS!$B$1:$B$12815,MATCH($A44,CS!$B:$B,0)+COLUMN(F$1),1))</f>
        <v>風の魔力</v>
      </c>
      <c r="AX44">
        <f>IF($A44="","", INDEX(CS!$B$1:$B$12815,MATCH($A44,CS!$B:$B,0)+COLUMN(G$1),1))</f>
        <v>0</v>
      </c>
      <c r="AY44">
        <f>IF($A44="","", INDEX(CS!$B$1:$B$12815,MATCH($A44,CS!$B:$B,0)+COLUMN(H$1),1))</f>
        <v>0</v>
      </c>
      <c r="AZ44" t="str">
        <f>IF($A44="","", INDEX(CS!$B$1:$B$12815,MATCH($A44,CS!$B:$B,0)+COLUMN(I$1),1))</f>
        <v>風の力</v>
      </c>
      <c r="BA44" t="str">
        <f>IF($A44="","", INDEX(CS!$B$1:$B$12815,MATCH($A44,CS!$B:$B,0)+COLUMN(J$1),1))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INDEX(CS!$B$1:$B$12815,MATCH($A45,CS!$B:$B,0)+COLUMN(A$1),1))</f>
        <v>地の拳</v>
      </c>
      <c r="AS45">
        <f>IF($A45="","", INDEX(CS!$B$1:$B$12815,MATCH($A45,CS!$B:$B,0)+COLUMN(B$1),1))</f>
        <v>0</v>
      </c>
      <c r="AT45" t="str">
        <f>IF($A45="","", INDEX(CS!$B$1:$B$12815,MATCH($A45,CS!$B:$B,0)+COLUMN(C$1),1))</f>
        <v>浮遊</v>
      </c>
      <c r="AU45">
        <f>IF($A45="","", INDEX(CS!$B$1:$B$12815,MATCH($A45,CS!$B:$B,0)+COLUMN(D$1),1))</f>
        <v>0</v>
      </c>
      <c r="AV45">
        <f>IF($A45="","", INDEX(CS!$B$1:$B$12815,MATCH($A45,CS!$B:$B,0)+COLUMN(E$1),1))</f>
        <v>0</v>
      </c>
      <c r="AW45" t="str">
        <f>IF($A45="","", INDEX(CS!$B$1:$B$12815,MATCH($A45,CS!$B:$B,0)+COLUMN(F$1),1))</f>
        <v>地の魔力</v>
      </c>
      <c r="AX45">
        <f>IF($A45="","", INDEX(CS!$B$1:$B$12815,MATCH($A45,CS!$B:$B,0)+COLUMN(G$1),1))</f>
        <v>0</v>
      </c>
      <c r="AY45">
        <f>IF($A45="","", INDEX(CS!$B$1:$B$12815,MATCH($A45,CS!$B:$B,0)+COLUMN(H$1),1))</f>
        <v>0</v>
      </c>
      <c r="AZ45" t="str">
        <f>IF($A45="","", INDEX(CS!$B$1:$B$12815,MATCH($A45,CS!$B:$B,0)+COLUMN(I$1),1))</f>
        <v>地の力</v>
      </c>
      <c r="BA45" t="str">
        <f>IF($A45="","", INDEX(CS!$B$1:$B$12815,MATCH($A45,CS!$B:$B,0)+COLUMN(J$1),1))</f>
        <v>石礫の吐息</v>
      </c>
      <c r="CC45" t="s">
        <v>67</v>
      </c>
    </row>
    <row r="46" spans="1:81" x14ac:dyDescent="0.4">
      <c r="C46" t="s">
        <v>62</v>
      </c>
      <c r="D46" t="str">
        <f t="shared" si="1"/>
        <v>0/0/0</v>
      </c>
      <c r="E46">
        <v>1</v>
      </c>
      <c r="AR46" t="str">
        <f>IF($A46="","", INDEX(CS!$B$1:$B$12815,MATCH($A46,CS!$B:$B,0)+COLUMN(A$1),1))</f>
        <v/>
      </c>
      <c r="AS46" t="str">
        <f>IF($A46="","", INDEX(CS!$B$1:$B$12815,MATCH($A46,CS!$B:$B,0)+COLUMN(B$1),1))</f>
        <v/>
      </c>
      <c r="AT46" t="str">
        <f>IF($A46="","", INDEX(CS!$B$1:$B$12815,MATCH($A46,CS!$B:$B,0)+COLUMN(C$1),1))</f>
        <v/>
      </c>
      <c r="AU46" t="str">
        <f>IF($A46="","", INDEX(CS!$B$1:$B$12815,MATCH($A46,CS!$B:$B,0)+COLUMN(D$1),1))</f>
        <v/>
      </c>
      <c r="AV46" t="str">
        <f>IF($A46="","", INDEX(CS!$B$1:$B$12815,MATCH($A46,CS!$B:$B,0)+COLUMN(E$1),1))</f>
        <v/>
      </c>
      <c r="AW46" t="str">
        <f>IF($A46="","", INDEX(CS!$B$1:$B$12815,MATCH($A46,CS!$B:$B,0)+COLUMN(F$1),1))</f>
        <v/>
      </c>
      <c r="AX46" t="str">
        <f>IF($A46="","", INDEX(CS!$B$1:$B$12815,MATCH($A46,CS!$B:$B,0)+COLUMN(G$1),1))</f>
        <v/>
      </c>
      <c r="AY46" t="str">
        <f>IF($A46="","", INDEX(CS!$B$1:$B$12815,MATCH($A46,CS!$B:$B,0)+COLUMN(H$1),1))</f>
        <v/>
      </c>
      <c r="AZ46" t="str">
        <f>IF($A46="","", INDEX(CS!$B$1:$B$12815,MATCH($A46,CS!$B:$B,0)+COLUMN(I$1),1))</f>
        <v/>
      </c>
      <c r="BA46" t="str">
        <f>IF($A46="","", INDEX(CS!$B$1:$B$12815,MATCH($A46,CS!$B:$B,0)+COLUMN(J$1),1))</f>
        <v/>
      </c>
    </row>
    <row r="47" spans="1:81" x14ac:dyDescent="0.4">
      <c r="C47" t="s">
        <v>62</v>
      </c>
      <c r="D47" t="str">
        <f t="shared" si="1"/>
        <v>0/0/0</v>
      </c>
      <c r="E47">
        <v>1</v>
      </c>
      <c r="AR47" t="str">
        <f>IF($A47="","", INDEX(CS!$B$1:$B$12815,MATCH($A47,CS!$B:$B,0)+COLUMN(A$1),1))</f>
        <v/>
      </c>
      <c r="AS47" t="str">
        <f>IF($A47="","", INDEX(CS!$B$1:$B$12815,MATCH($A47,CS!$B:$B,0)+COLUMN(B$1),1))</f>
        <v/>
      </c>
      <c r="AT47" t="str">
        <f>IF($A47="","", INDEX(CS!$B$1:$B$12815,MATCH($A47,CS!$B:$B,0)+COLUMN(C$1),1))</f>
        <v/>
      </c>
      <c r="AU47" t="str">
        <f>IF($A47="","", INDEX(CS!$B$1:$B$12815,MATCH($A47,CS!$B:$B,0)+COLUMN(D$1),1))</f>
        <v/>
      </c>
      <c r="AV47" t="str">
        <f>IF($A47="","", INDEX(CS!$B$1:$B$12815,MATCH($A47,CS!$B:$B,0)+COLUMN(E$1),1))</f>
        <v/>
      </c>
      <c r="AW47" t="str">
        <f>IF($A47="","", INDEX(CS!$B$1:$B$12815,MATCH($A47,CS!$B:$B,0)+COLUMN(F$1),1))</f>
        <v/>
      </c>
      <c r="AX47" t="str">
        <f>IF($A47="","", INDEX(CS!$B$1:$B$12815,MATCH($A47,CS!$B:$B,0)+COLUMN(G$1),1))</f>
        <v/>
      </c>
      <c r="AY47" t="str">
        <f>IF($A47="","", INDEX(CS!$B$1:$B$12815,MATCH($A47,CS!$B:$B,0)+COLUMN(H$1),1))</f>
        <v/>
      </c>
      <c r="AZ47" t="str">
        <f>IF($A47="","", INDEX(CS!$B$1:$B$12815,MATCH($A47,CS!$B:$B,0)+COLUMN(I$1),1))</f>
        <v/>
      </c>
      <c r="BA47" t="str">
        <f>IF($A47="","", INDEX(CS!$B$1:$B$12815,MATCH($A47,CS!$B:$B,0)+COLUMN(J$1),1))</f>
        <v/>
      </c>
    </row>
    <row r="48" spans="1:81" x14ac:dyDescent="0.4">
      <c r="C48" t="s">
        <v>62</v>
      </c>
      <c r="D48" t="str">
        <f t="shared" si="1"/>
        <v>0/0/0</v>
      </c>
      <c r="E48">
        <v>1</v>
      </c>
      <c r="AR48" t="str">
        <f>IF($A48="","", INDEX(CS!$B$1:$B$12815,MATCH($A48,CS!$B:$B,0)+COLUMN(A$1),1))</f>
        <v/>
      </c>
      <c r="AS48" t="str">
        <f>IF($A48="","", INDEX(CS!$B$1:$B$12815,MATCH($A48,CS!$B:$B,0)+COLUMN(B$1),1))</f>
        <v/>
      </c>
      <c r="AT48" t="str">
        <f>IF($A48="","", INDEX(CS!$B$1:$B$12815,MATCH($A48,CS!$B:$B,0)+COLUMN(C$1),1))</f>
        <v/>
      </c>
      <c r="AU48" t="str">
        <f>IF($A48="","", INDEX(CS!$B$1:$B$12815,MATCH($A48,CS!$B:$B,0)+COLUMN(D$1),1))</f>
        <v/>
      </c>
      <c r="AV48" t="str">
        <f>IF($A48="","", INDEX(CS!$B$1:$B$12815,MATCH($A48,CS!$B:$B,0)+COLUMN(E$1),1))</f>
        <v/>
      </c>
      <c r="AW48" t="str">
        <f>IF($A48="","", INDEX(CS!$B$1:$B$12815,MATCH($A48,CS!$B:$B,0)+COLUMN(F$1),1))</f>
        <v/>
      </c>
      <c r="AX48" t="str">
        <f>IF($A48="","", INDEX(CS!$B$1:$B$12815,MATCH($A48,CS!$B:$B,0)+COLUMN(G$1),1))</f>
        <v/>
      </c>
      <c r="AY48" t="str">
        <f>IF($A48="","", INDEX(CS!$B$1:$B$12815,MATCH($A48,CS!$B:$B,0)+COLUMN(H$1),1))</f>
        <v/>
      </c>
      <c r="AZ48" t="str">
        <f>IF($A48="","", INDEX(CS!$B$1:$B$12815,MATCH($A48,CS!$B:$B,0)+COLUMN(I$1),1))</f>
        <v/>
      </c>
      <c r="BA48" t="str">
        <f>IF($A48="","", INDEX(CS!$B$1:$B$12815,MATCH($A48,CS!$B:$B,0)+COLUMN(J$1),1))</f>
        <v/>
      </c>
    </row>
    <row r="49" spans="1:81" x14ac:dyDescent="0.4">
      <c r="C49" t="s">
        <v>62</v>
      </c>
      <c r="D49" t="str">
        <f t="shared" si="1"/>
        <v>0/0/0</v>
      </c>
      <c r="E49">
        <v>1</v>
      </c>
      <c r="AR49" t="str">
        <f>IF($A49="","", INDEX(CS!$B$1:$B$12815,MATCH($A49,CS!$B:$B,0)+COLUMN(A$1),1))</f>
        <v/>
      </c>
      <c r="AS49" t="str">
        <f>IF($A49="","", INDEX(CS!$B$1:$B$12815,MATCH($A49,CS!$B:$B,0)+COLUMN(B$1),1))</f>
        <v/>
      </c>
      <c r="AT49" t="str">
        <f>IF($A49="","", INDEX(CS!$B$1:$B$12815,MATCH($A49,CS!$B:$B,0)+COLUMN(C$1),1))</f>
        <v/>
      </c>
      <c r="AU49" t="str">
        <f>IF($A49="","", INDEX(CS!$B$1:$B$12815,MATCH($A49,CS!$B:$B,0)+COLUMN(D$1),1))</f>
        <v/>
      </c>
      <c r="AV49" t="str">
        <f>IF($A49="","", INDEX(CS!$B$1:$B$12815,MATCH($A49,CS!$B:$B,0)+COLUMN(E$1),1))</f>
        <v/>
      </c>
      <c r="AW49" t="str">
        <f>IF($A49="","", INDEX(CS!$B$1:$B$12815,MATCH($A49,CS!$B:$B,0)+COLUMN(F$1),1))</f>
        <v/>
      </c>
      <c r="AX49" t="str">
        <f>IF($A49="","", INDEX(CS!$B$1:$B$12815,MATCH($A49,CS!$B:$B,0)+COLUMN(G$1),1))</f>
        <v/>
      </c>
      <c r="AY49" t="str">
        <f>IF($A49="","", INDEX(CS!$B$1:$B$12815,MATCH($A49,CS!$B:$B,0)+COLUMN(H$1),1))</f>
        <v/>
      </c>
      <c r="AZ49" t="str">
        <f>IF($A49="","", INDEX(CS!$B$1:$B$12815,MATCH($A49,CS!$B:$B,0)+COLUMN(I$1),1))</f>
        <v/>
      </c>
      <c r="BA49" t="str">
        <f>IF($A49="","", INDEX(CS!$B$1:$B$12815,MATCH($A49,CS!$B:$B,0)+COLUMN(J$1),1))</f>
        <v/>
      </c>
    </row>
    <row r="50" spans="1:81" x14ac:dyDescent="0.4">
      <c r="C50" t="s">
        <v>62</v>
      </c>
      <c r="D50" t="str">
        <f t="shared" si="1"/>
        <v>0/0/0</v>
      </c>
      <c r="E50">
        <v>1</v>
      </c>
      <c r="AR50" t="str">
        <f>IF($A50="","", INDEX(CS!$B$1:$B$12815,MATCH($A50,CS!$B:$B,0)+COLUMN(A$1),1))</f>
        <v/>
      </c>
      <c r="AS50" t="str">
        <f>IF($A50="","", INDEX(CS!$B$1:$B$12815,MATCH($A50,CS!$B:$B,0)+COLUMN(B$1),1))</f>
        <v/>
      </c>
      <c r="AT50" t="str">
        <f>IF($A50="","", INDEX(CS!$B$1:$B$12815,MATCH($A50,CS!$B:$B,0)+COLUMN(C$1),1))</f>
        <v/>
      </c>
      <c r="AU50" t="str">
        <f>IF($A50="","", INDEX(CS!$B$1:$B$12815,MATCH($A50,CS!$B:$B,0)+COLUMN(D$1),1))</f>
        <v/>
      </c>
      <c r="AV50" t="str">
        <f>IF($A50="","", INDEX(CS!$B$1:$B$12815,MATCH($A50,CS!$B:$B,0)+COLUMN(E$1),1))</f>
        <v/>
      </c>
      <c r="AW50" t="str">
        <f>IF($A50="","", INDEX(CS!$B$1:$B$12815,MATCH($A50,CS!$B:$B,0)+COLUMN(F$1),1))</f>
        <v/>
      </c>
      <c r="AX50" t="str">
        <f>IF($A50="","", INDEX(CS!$B$1:$B$12815,MATCH($A50,CS!$B:$B,0)+COLUMN(G$1),1))</f>
        <v/>
      </c>
      <c r="AY50" t="str">
        <f>IF($A50="","", INDEX(CS!$B$1:$B$12815,MATCH($A50,CS!$B:$B,0)+COLUMN(H$1),1))</f>
        <v/>
      </c>
      <c r="AZ50" t="str">
        <f>IF($A50="","", INDEX(CS!$B$1:$B$12815,MATCH($A50,CS!$B:$B,0)+COLUMN(I$1),1))</f>
        <v/>
      </c>
      <c r="BA50" t="str">
        <f>IF($A50="","", INDEX(CS!$B$1:$B$12815,MATCH($A50,CS!$B:$B,0)+COLUMN(J$1),1))</f>
        <v/>
      </c>
    </row>
    <row r="51" spans="1:81" x14ac:dyDescent="0.4">
      <c r="B51" t="s">
        <v>951</v>
      </c>
      <c r="D51" t="str">
        <f t="shared" si="1"/>
        <v>0/0/0</v>
      </c>
      <c r="E51">
        <v>1</v>
      </c>
      <c r="AR51" t="str">
        <f>IF($A51="","", INDEX(CS!$B$1:$B$12815,MATCH($A51,CS!$B:$B,0)+COLUMN(A$1),1))</f>
        <v/>
      </c>
      <c r="AS51" t="str">
        <f>IF($A51="","", INDEX(CS!$B$1:$B$12815,MATCH($A51,CS!$B:$B,0)+COLUMN(B$1),1))</f>
        <v/>
      </c>
      <c r="AT51" t="str">
        <f>IF($A51="","", INDEX(CS!$B$1:$B$12815,MATCH($A51,CS!$B:$B,0)+COLUMN(C$1),1))</f>
        <v/>
      </c>
      <c r="AU51" t="str">
        <f>IF($A51="","", INDEX(CS!$B$1:$B$12815,MATCH($A51,CS!$B:$B,0)+COLUMN(D$1),1))</f>
        <v/>
      </c>
      <c r="AV51" t="str">
        <f>IF($A51="","", INDEX(CS!$B$1:$B$12815,MATCH($A51,CS!$B:$B,0)+COLUMN(E$1),1))</f>
        <v/>
      </c>
      <c r="AW51" t="str">
        <f>IF($A51="","", INDEX(CS!$B$1:$B$12815,MATCH($A51,CS!$B:$B,0)+COLUMN(F$1),1))</f>
        <v/>
      </c>
      <c r="AX51" t="str">
        <f>IF($A51="","", INDEX(CS!$B$1:$B$12815,MATCH($A51,CS!$B:$B,0)+COLUMN(G$1),1))</f>
        <v/>
      </c>
      <c r="AY51" t="str">
        <f>IF($A51="","", INDEX(CS!$B$1:$B$12815,MATCH($A51,CS!$B:$B,0)+COLUMN(H$1),1))</f>
        <v/>
      </c>
      <c r="AZ51" t="str">
        <f>IF($A51="","", INDEX(CS!$B$1:$B$12815,MATCH($A51,CS!$B:$B,0)+COLUMN(I$1),1))</f>
        <v/>
      </c>
      <c r="BA51" t="str">
        <f>IF($A51="","", INDEX(CS!$B$1:$B$12815,MATCH($A51,CS!$B:$B,0)+COLUMN(J$1),1))</f>
        <v/>
      </c>
    </row>
    <row r="52" spans="1:81" x14ac:dyDescent="0.4">
      <c r="A52" t="s">
        <v>25</v>
      </c>
      <c r="B52" t="s">
        <v>27</v>
      </c>
      <c r="C52" t="s">
        <v>51</v>
      </c>
      <c r="D52" t="str">
        <f t="shared" ref="D52:D67" si="3">SUM(AC52:AQ52,F52:L52)&amp;"/"&amp;SUM(F52:L52)&amp;"/"&amp;SUM(AC52:AQ52)</f>
        <v>710/460/250</v>
      </c>
      <c r="E52">
        <v>1</v>
      </c>
      <c r="F52">
        <v>85</v>
      </c>
      <c r="G52">
        <v>90</v>
      </c>
      <c r="H52">
        <v>80</v>
      </c>
      <c r="I52" s="24">
        <v>25</v>
      </c>
      <c r="J52">
        <v>50</v>
      </c>
      <c r="K52">
        <v>55</v>
      </c>
      <c r="L52">
        <v>75</v>
      </c>
      <c r="AC52">
        <v>75</v>
      </c>
      <c r="AD52">
        <v>50</v>
      </c>
      <c r="AE52">
        <v>25</v>
      </c>
      <c r="AF52">
        <v>25</v>
      </c>
      <c r="AG52">
        <v>25</v>
      </c>
      <c r="AI52">
        <v>25</v>
      </c>
      <c r="AN52">
        <v>25</v>
      </c>
      <c r="AR52">
        <f>IF($A52="","", INDEX(CS!$B$1:$B$12815,MATCH($A52,CS!$B:$B,0)+COLUMN(A$1),1))</f>
        <v>0</v>
      </c>
      <c r="AS52" t="str">
        <f>IF($A52="","", INDEX(CS!$B$1:$B$12815,MATCH($A52,CS!$B:$B,0)+COLUMN(B$1),1))</f>
        <v>闘気撃</v>
      </c>
      <c r="AT52" t="str">
        <f>IF($A52="","", INDEX(CS!$B$1:$B$12815,MATCH($A52,CS!$B:$B,0)+COLUMN(C$1),1))</f>
        <v>武器の扱い</v>
      </c>
      <c r="AU52">
        <f>IF($A52="","", INDEX(CS!$B$1:$B$12815,MATCH($A52,CS!$B:$B,0)+COLUMN(D$1),1))</f>
        <v>0</v>
      </c>
      <c r="AV52" t="str">
        <f>IF($A52="","", INDEX(CS!$B$1:$B$12815,MATCH($A52,CS!$B:$B,0)+COLUMN(E$1),1))</f>
        <v>闘気守</v>
      </c>
      <c r="AW52">
        <f>IF($A52="","", INDEX(CS!$B$1:$B$12815,MATCH($A52,CS!$B:$B,0)+COLUMN(F$1),1))</f>
        <v>0</v>
      </c>
      <c r="AX52">
        <f>IF($A52="","", INDEX(CS!$B$1:$B$12815,MATCH($A52,CS!$B:$B,0)+COLUMN(G$1),1))</f>
        <v>0</v>
      </c>
      <c r="AY52" t="str">
        <f>IF($A52="","", INDEX(CS!$B$1:$B$12815,MATCH($A52,CS!$B:$B,0)+COLUMN(H$1),1))</f>
        <v>雄叫び</v>
      </c>
      <c r="AZ52" t="str">
        <f>IF($A52="","", INDEX(CS!$B$1:$B$12815,MATCH($A52,CS!$B:$B,0)+COLUMN(I$1),1))</f>
        <v>武器の攻め</v>
      </c>
      <c r="BA52" t="str">
        <f>IF($A52="","", INDEX(CS!$B$1:$B$12815,MATCH($A52,CS!$B:$B,0)+COLUMN(J$1),1))</f>
        <v>一閃撃</v>
      </c>
      <c r="BB52" t="s">
        <v>943</v>
      </c>
      <c r="CC52" t="s">
        <v>27</v>
      </c>
    </row>
    <row r="53" spans="1:81" outlineLevel="1" x14ac:dyDescent="0.4">
      <c r="A53" t="s">
        <v>185</v>
      </c>
      <c r="B53" t="s">
        <v>187</v>
      </c>
      <c r="C53" t="s">
        <v>51</v>
      </c>
      <c r="D53" t="str">
        <f t="shared" si="3"/>
        <v>710/460/250</v>
      </c>
      <c r="E53">
        <v>1</v>
      </c>
      <c r="F53">
        <v>85</v>
      </c>
      <c r="G53">
        <v>80</v>
      </c>
      <c r="H53">
        <v>90</v>
      </c>
      <c r="I53" s="24">
        <v>25</v>
      </c>
      <c r="J53">
        <v>55</v>
      </c>
      <c r="K53">
        <v>50</v>
      </c>
      <c r="L53">
        <v>75</v>
      </c>
      <c r="AC53">
        <v>100</v>
      </c>
      <c r="AE53">
        <v>25</v>
      </c>
      <c r="AF53">
        <v>25</v>
      </c>
      <c r="AG53">
        <v>25</v>
      </c>
      <c r="AI53">
        <v>25</v>
      </c>
      <c r="AN53">
        <v>50</v>
      </c>
      <c r="AR53">
        <f>IF($A53="","", INDEX(CS!$B$1:$B$12815,MATCH($A53,CS!$B:$B,0)+COLUMN(A$1),1))</f>
        <v>0</v>
      </c>
      <c r="AS53" t="str">
        <f>IF($A53="","", INDEX(CS!$B$1:$B$12815,MATCH($A53,CS!$B:$B,0)+COLUMN(B$1),1))</f>
        <v>闘気守</v>
      </c>
      <c r="AT53" t="str">
        <f>IF($A53="","", INDEX(CS!$B$1:$B$12815,MATCH($A53,CS!$B:$B,0)+COLUMN(C$1),1))</f>
        <v>武器の扱い</v>
      </c>
      <c r="AU53">
        <f>IF($A53="","", INDEX(CS!$B$1:$B$12815,MATCH($A53,CS!$B:$B,0)+COLUMN(D$1),1))</f>
        <v>0</v>
      </c>
      <c r="AV53" t="str">
        <f>IF($A53="","", INDEX(CS!$B$1:$B$12815,MATCH($A53,CS!$B:$B,0)+COLUMN(E$1),1))</f>
        <v>闘気撃</v>
      </c>
      <c r="AW53" t="str">
        <f>IF($A53="","", INDEX(CS!$B$1:$B$12815,MATCH($A53,CS!$B:$B,0)+COLUMN(F$1),1))</f>
        <v>反撃</v>
      </c>
      <c r="AX53">
        <f>IF($A53="","", INDEX(CS!$B$1:$B$12815,MATCH($A53,CS!$B:$B,0)+COLUMN(G$1),1))</f>
        <v>0</v>
      </c>
      <c r="AY53" t="str">
        <f>IF($A53="","", INDEX(CS!$B$1:$B$12815,MATCH($A53,CS!$B:$B,0)+COLUMN(H$1),1))</f>
        <v>雄叫び</v>
      </c>
      <c r="AZ53" t="str">
        <f>IF($A53="","", INDEX(CS!$B$1:$B$12815,MATCH($A53,CS!$B:$B,0)+COLUMN(I$1),1))</f>
        <v>武器の守り</v>
      </c>
      <c r="BA53" t="str">
        <f>IF($A53="","", INDEX(CS!$B$1:$B$12815,MATCH($A53,CS!$B:$B,0)+COLUMN(J$1),1))</f>
        <v>一閃撃</v>
      </c>
      <c r="BB53" t="s">
        <v>943</v>
      </c>
      <c r="CC53" t="s">
        <v>27</v>
      </c>
    </row>
    <row r="54" spans="1:81" outlineLevel="1" x14ac:dyDescent="0.4">
      <c r="A54" t="s">
        <v>186</v>
      </c>
      <c r="B54" t="s">
        <v>188</v>
      </c>
      <c r="C54" t="s">
        <v>51</v>
      </c>
      <c r="D54" t="str">
        <f t="shared" si="3"/>
        <v>710/460/250</v>
      </c>
      <c r="E54">
        <v>1</v>
      </c>
      <c r="F54">
        <v>85</v>
      </c>
      <c r="G54">
        <v>80</v>
      </c>
      <c r="H54">
        <v>55</v>
      </c>
      <c r="I54" s="24">
        <v>25</v>
      </c>
      <c r="J54">
        <v>50</v>
      </c>
      <c r="K54">
        <v>90</v>
      </c>
      <c r="L54">
        <v>75</v>
      </c>
      <c r="AC54">
        <v>50</v>
      </c>
      <c r="AD54">
        <v>50</v>
      </c>
      <c r="AE54">
        <v>25</v>
      </c>
      <c r="AF54">
        <v>50</v>
      </c>
      <c r="AG54">
        <v>25</v>
      </c>
      <c r="AI54">
        <v>25</v>
      </c>
      <c r="AN54">
        <v>25</v>
      </c>
      <c r="AR54">
        <f>IF($A54="","", INDEX(CS!$B$1:$B$12815,MATCH($A54,CS!$B:$B,0)+COLUMN(A$1),1))</f>
        <v>0</v>
      </c>
      <c r="AS54" t="str">
        <f>IF($A54="","", INDEX(CS!$B$1:$B$12815,MATCH($A54,CS!$B:$B,0)+COLUMN(B$1),1))</f>
        <v>闘気撃</v>
      </c>
      <c r="AT54" t="str">
        <f>IF($A54="","", INDEX(CS!$B$1:$B$12815,MATCH($A54,CS!$B:$B,0)+COLUMN(C$1),1))</f>
        <v>武器の扱い</v>
      </c>
      <c r="AU54">
        <f>IF($A54="","", INDEX(CS!$B$1:$B$12815,MATCH($A54,CS!$B:$B,0)+COLUMN(D$1),1))</f>
        <v>0</v>
      </c>
      <c r="AV54" t="str">
        <f>IF($A54="","", INDEX(CS!$B$1:$B$12815,MATCH($A54,CS!$B:$B,0)+COLUMN(E$1),1))</f>
        <v>闘気速</v>
      </c>
      <c r="AW54">
        <f>IF($A54="","", INDEX(CS!$B$1:$B$12815,MATCH($A54,CS!$B:$B,0)+COLUMN(F$1),1))</f>
        <v>0</v>
      </c>
      <c r="AX54">
        <f>IF($A54="","", INDEX(CS!$B$1:$B$12815,MATCH($A54,CS!$B:$B,0)+COLUMN(G$1),1))</f>
        <v>0</v>
      </c>
      <c r="AY54" t="str">
        <f>IF($A54="","", INDEX(CS!$B$1:$B$12815,MATCH($A54,CS!$B:$B,0)+COLUMN(H$1),1))</f>
        <v>雄叫び</v>
      </c>
      <c r="AZ54" t="str">
        <f>IF($A54="","", INDEX(CS!$B$1:$B$12815,MATCH($A54,CS!$B:$B,0)+COLUMN(I$1),1))</f>
        <v>武器の攻め</v>
      </c>
      <c r="BA54" t="str">
        <f>IF($A54="","", INDEX(CS!$B$1:$B$12815,MATCH($A54,CS!$B:$B,0)+COLUMN(J$1),1))</f>
        <v>一閃撃</v>
      </c>
      <c r="BB54" t="s">
        <v>943</v>
      </c>
      <c r="CC54" t="s">
        <v>27</v>
      </c>
    </row>
    <row r="55" spans="1:81" outlineLevel="1" x14ac:dyDescent="0.4">
      <c r="C55" t="s">
        <v>51</v>
      </c>
      <c r="D55" t="str">
        <f t="shared" si="3"/>
        <v>0/0/0</v>
      </c>
      <c r="E55">
        <v>1</v>
      </c>
      <c r="AR55" t="str">
        <f>IF($A55="","", INDEX(CS!$B$1:$B$12815,MATCH($A55,CS!$B:$B,0)+COLUMN(A$1),1))</f>
        <v/>
      </c>
      <c r="AS55" t="str">
        <f>IF($A55="","", INDEX(CS!$B$1:$B$12815,MATCH($A55,CS!$B:$B,0)+COLUMN(B$1),1))</f>
        <v/>
      </c>
      <c r="AT55" t="str">
        <f>IF($A55="","", INDEX(CS!$B$1:$B$12815,MATCH($A55,CS!$B:$B,0)+COLUMN(C$1),1))</f>
        <v/>
      </c>
      <c r="AU55" t="str">
        <f>IF($A55="","", INDEX(CS!$B$1:$B$12815,MATCH($A55,CS!$B:$B,0)+COLUMN(D$1),1))</f>
        <v/>
      </c>
      <c r="AV55" t="str">
        <f>IF($A55="","", INDEX(CS!$B$1:$B$12815,MATCH($A55,CS!$B:$B,0)+COLUMN(E$1),1))</f>
        <v/>
      </c>
      <c r="AW55" t="str">
        <f>IF($A55="","", INDEX(CS!$B$1:$B$12815,MATCH($A55,CS!$B:$B,0)+COLUMN(F$1),1))</f>
        <v/>
      </c>
      <c r="AX55" t="str">
        <f>IF($A55="","", INDEX(CS!$B$1:$B$12815,MATCH($A55,CS!$B:$B,0)+COLUMN(G$1),1))</f>
        <v/>
      </c>
      <c r="AY55" t="str">
        <f>IF($A55="","", INDEX(CS!$B$1:$B$12815,MATCH($A55,CS!$B:$B,0)+COLUMN(H$1),1))</f>
        <v/>
      </c>
      <c r="AZ55" t="str">
        <f>IF($A55="","", INDEX(CS!$B$1:$B$12815,MATCH($A55,CS!$B:$B,0)+COLUMN(I$1),1))</f>
        <v/>
      </c>
      <c r="BA55" t="str">
        <f>IF($A55="","", INDEX(CS!$B$1:$B$12815,MATCH($A55,CS!$B:$B,0)+COLUMN(J$1),1))</f>
        <v/>
      </c>
    </row>
    <row r="56" spans="1:81" outlineLevel="1" x14ac:dyDescent="0.4">
      <c r="A56" t="s">
        <v>255</v>
      </c>
      <c r="B56" t="s">
        <v>30</v>
      </c>
      <c r="C56" t="s">
        <v>51</v>
      </c>
      <c r="D56" t="str">
        <f t="shared" si="3"/>
        <v>710/445/265</v>
      </c>
      <c r="E56">
        <v>1</v>
      </c>
      <c r="F56">
        <v>75</v>
      </c>
      <c r="G56">
        <v>75</v>
      </c>
      <c r="H56">
        <v>50</v>
      </c>
      <c r="I56" s="24">
        <v>25</v>
      </c>
      <c r="J56">
        <v>50</v>
      </c>
      <c r="K56">
        <v>85</v>
      </c>
      <c r="L56">
        <v>85</v>
      </c>
      <c r="AD56">
        <v>25</v>
      </c>
      <c r="AF56">
        <v>50</v>
      </c>
      <c r="AG56">
        <v>25</v>
      </c>
      <c r="AH56">
        <v>90</v>
      </c>
      <c r="AI56">
        <v>75</v>
      </c>
      <c r="AR56">
        <f>IF($A56="","", INDEX(CS!$B$1:$B$12815,MATCH($A56,CS!$B:$B,0)+COLUMN(A$1),1))</f>
        <v>0</v>
      </c>
      <c r="AS56" t="str">
        <f>IF($A56="","", INDEX(CS!$B$1:$B$12815,MATCH($A56,CS!$B:$B,0)+COLUMN(B$1),1))</f>
        <v>急所撃</v>
      </c>
      <c r="AT56" t="str">
        <f>IF($A56="","", INDEX(CS!$B$1:$B$12815,MATCH($A56,CS!$B:$B,0)+COLUMN(C$1),1))</f>
        <v>隠密</v>
      </c>
      <c r="AU56">
        <f>IF($A56="","", INDEX(CS!$B$1:$B$12815,MATCH($A56,CS!$B:$B,0)+COLUMN(D$1),1))</f>
        <v>0</v>
      </c>
      <c r="AV56" t="str">
        <f>IF($A56="","", INDEX(CS!$B$1:$B$12815,MATCH($A56,CS!$B:$B,0)+COLUMN(E$1),1))</f>
        <v>痛撃</v>
      </c>
      <c r="AW56" t="str">
        <f>IF($A56="","", INDEX(CS!$B$1:$B$12815,MATCH($A56,CS!$B:$B,0)+COLUMN(F$1),1))</f>
        <v>罠技術</v>
      </c>
      <c r="AX56">
        <f>IF($A56="","", INDEX(CS!$B$1:$B$12815,MATCH($A56,CS!$B:$B,0)+COLUMN(G$1),1))</f>
        <v>0</v>
      </c>
      <c r="AY56" t="str">
        <f>IF($A56="","", INDEX(CS!$B$1:$B$12815,MATCH($A56,CS!$B:$B,0)+COLUMN(H$1),1))</f>
        <v>狙い</v>
      </c>
      <c r="AZ56">
        <f>IF($A56="","", INDEX(CS!$B$1:$B$12815,MATCH($A56,CS!$B:$B,0)+COLUMN(I$1),1))</f>
        <v>0</v>
      </c>
      <c r="BA56">
        <f>IF($A56="","", INDEX(CS!$B$1:$B$12815,MATCH($A56,CS!$B:$B,0)+COLUMN(J$1),1))</f>
        <v>0</v>
      </c>
      <c r="BB56" t="s">
        <v>943</v>
      </c>
      <c r="CC56" t="s">
        <v>1058</v>
      </c>
    </row>
    <row r="57" spans="1:81" outlineLevel="1" x14ac:dyDescent="0.4">
      <c r="A57" t="s">
        <v>32</v>
      </c>
      <c r="B57" t="s">
        <v>36</v>
      </c>
      <c r="C57" t="s">
        <v>51</v>
      </c>
      <c r="D57" t="str">
        <f t="shared" si="3"/>
        <v>710/460/250</v>
      </c>
      <c r="E57">
        <v>1</v>
      </c>
      <c r="F57">
        <v>75</v>
      </c>
      <c r="G57">
        <v>75</v>
      </c>
      <c r="H57">
        <v>75</v>
      </c>
      <c r="I57" s="24">
        <v>25</v>
      </c>
      <c r="J57">
        <v>50</v>
      </c>
      <c r="K57">
        <v>75</v>
      </c>
      <c r="L57">
        <v>85</v>
      </c>
      <c r="AF57">
        <v>50</v>
      </c>
      <c r="AG57">
        <v>35</v>
      </c>
      <c r="AH57">
        <v>75</v>
      </c>
      <c r="AI57">
        <v>90</v>
      </c>
      <c r="AR57">
        <f>IF($A57="","", INDEX(CS!$B$1:$B$12815,MATCH($A57,CS!$B:$B,0)+COLUMN(A$1),1))</f>
        <v>0</v>
      </c>
      <c r="AS57">
        <f>IF($A57="","", INDEX(CS!$B$1:$B$12815,MATCH($A57,CS!$B:$B,0)+COLUMN(B$1),1))</f>
        <v>0</v>
      </c>
      <c r="AT57">
        <f>IF($A57="","", INDEX(CS!$B$1:$B$12815,MATCH($A57,CS!$B:$B,0)+COLUMN(C$1),1))</f>
        <v>0</v>
      </c>
      <c r="AU57">
        <f>IF($A57="","", INDEX(CS!$B$1:$B$12815,MATCH($A57,CS!$B:$B,0)+COLUMN(D$1),1))</f>
        <v>0</v>
      </c>
      <c r="AV57">
        <f>IF($A57="","", INDEX(CS!$B$1:$B$12815,MATCH($A57,CS!$B:$B,0)+COLUMN(E$1),1))</f>
        <v>0</v>
      </c>
      <c r="AW57">
        <f>IF($A57="","", INDEX(CS!$B$1:$B$12815,MATCH($A57,CS!$B:$B,0)+COLUMN(F$1),1))</f>
        <v>0</v>
      </c>
      <c r="AX57">
        <f>IF($A57="","", INDEX(CS!$B$1:$B$12815,MATCH($A57,CS!$B:$B,0)+COLUMN(G$1),1))</f>
        <v>0</v>
      </c>
      <c r="AY57">
        <f>IF($A57="","", INDEX(CS!$B$1:$B$12815,MATCH($A57,CS!$B:$B,0)+COLUMN(H$1),1))</f>
        <v>0</v>
      </c>
      <c r="AZ57">
        <f>IF($A57="","", INDEX(CS!$B$1:$B$12815,MATCH($A57,CS!$B:$B,0)+COLUMN(I$1),1))</f>
        <v>0</v>
      </c>
      <c r="BA57">
        <f>IF($A57="","", INDEX(CS!$B$1:$B$12815,MATCH($A57,CS!$B:$B,0)+COLUMN(J$1),1))</f>
        <v>0</v>
      </c>
      <c r="BB57" t="s">
        <v>943</v>
      </c>
      <c r="CC57" t="s">
        <v>1058</v>
      </c>
    </row>
    <row r="58" spans="1:81" outlineLevel="1" x14ac:dyDescent="0.4">
      <c r="A58" t="s">
        <v>34</v>
      </c>
      <c r="B58" t="s">
        <v>35</v>
      </c>
      <c r="C58" t="s">
        <v>51</v>
      </c>
      <c r="D58" t="str">
        <f t="shared" si="3"/>
        <v>710/445/265</v>
      </c>
      <c r="E58">
        <v>1</v>
      </c>
      <c r="F58">
        <v>75</v>
      </c>
      <c r="G58">
        <v>75</v>
      </c>
      <c r="H58">
        <v>50</v>
      </c>
      <c r="I58" s="24">
        <v>25</v>
      </c>
      <c r="J58">
        <v>50</v>
      </c>
      <c r="K58">
        <v>85</v>
      </c>
      <c r="L58">
        <v>85</v>
      </c>
      <c r="AF58">
        <v>50</v>
      </c>
      <c r="AG58">
        <v>65</v>
      </c>
      <c r="AH58">
        <v>75</v>
      </c>
      <c r="AI58">
        <v>75</v>
      </c>
      <c r="AR58">
        <f>IF($A58="","", INDEX(CS!$B$1:$B$12815,MATCH($A58,CS!$B:$B,0)+COLUMN(A$1),1))</f>
        <v>0</v>
      </c>
      <c r="AS58">
        <f>IF($A58="","", INDEX(CS!$B$1:$B$12815,MATCH($A58,CS!$B:$B,0)+COLUMN(B$1),1))</f>
        <v>0</v>
      </c>
      <c r="AT58">
        <f>IF($A58="","", INDEX(CS!$B$1:$B$12815,MATCH($A58,CS!$B:$B,0)+COLUMN(C$1),1))</f>
        <v>0</v>
      </c>
      <c r="AU58">
        <f>IF($A58="","", INDEX(CS!$B$1:$B$12815,MATCH($A58,CS!$B:$B,0)+COLUMN(D$1),1))</f>
        <v>0</v>
      </c>
      <c r="AV58">
        <f>IF($A58="","", INDEX(CS!$B$1:$B$12815,MATCH($A58,CS!$B:$B,0)+COLUMN(E$1),1))</f>
        <v>0</v>
      </c>
      <c r="AW58">
        <f>IF($A58="","", INDEX(CS!$B$1:$B$12815,MATCH($A58,CS!$B:$B,0)+COLUMN(F$1),1))</f>
        <v>0</v>
      </c>
      <c r="AX58">
        <f>IF($A58="","", INDEX(CS!$B$1:$B$12815,MATCH($A58,CS!$B:$B,0)+COLUMN(G$1),1))</f>
        <v>0</v>
      </c>
      <c r="AY58">
        <f>IF($A58="","", INDEX(CS!$B$1:$B$12815,MATCH($A58,CS!$B:$B,0)+COLUMN(H$1),1))</f>
        <v>0</v>
      </c>
      <c r="AZ58">
        <f>IF($A58="","", INDEX(CS!$B$1:$B$12815,MATCH($A58,CS!$B:$B,0)+COLUMN(I$1),1))</f>
        <v>0</v>
      </c>
      <c r="BA58">
        <f>IF($A58="","", INDEX(CS!$B$1:$B$12815,MATCH($A58,CS!$B:$B,0)+COLUMN(J$1),1))</f>
        <v>0</v>
      </c>
      <c r="BB58" t="s">
        <v>943</v>
      </c>
      <c r="CC58" t="s">
        <v>1058</v>
      </c>
    </row>
    <row r="59" spans="1:81" outlineLevel="1" x14ac:dyDescent="0.4">
      <c r="C59" t="s">
        <v>51</v>
      </c>
      <c r="D59" t="str">
        <f t="shared" si="3"/>
        <v>0/0/0</v>
      </c>
      <c r="E59">
        <v>1</v>
      </c>
      <c r="AR59" t="str">
        <f>IF($A59="","", INDEX(CS!$B$1:$B$12815,MATCH($A59,CS!$B:$B,0)+COLUMN(A$1),1))</f>
        <v/>
      </c>
      <c r="AS59" t="str">
        <f>IF($A59="","", INDEX(CS!$B$1:$B$12815,MATCH($A59,CS!$B:$B,0)+COLUMN(B$1),1))</f>
        <v/>
      </c>
      <c r="AT59" t="str">
        <f>IF($A59="","", INDEX(CS!$B$1:$B$12815,MATCH($A59,CS!$B:$B,0)+COLUMN(C$1),1))</f>
        <v/>
      </c>
      <c r="AU59" t="str">
        <f>IF($A59="","", INDEX(CS!$B$1:$B$12815,MATCH($A59,CS!$B:$B,0)+COLUMN(D$1),1))</f>
        <v/>
      </c>
      <c r="AV59" t="str">
        <f>IF($A59="","", INDEX(CS!$B$1:$B$12815,MATCH($A59,CS!$B:$B,0)+COLUMN(E$1),1))</f>
        <v/>
      </c>
      <c r="AW59" t="str">
        <f>IF($A59="","", INDEX(CS!$B$1:$B$12815,MATCH($A59,CS!$B:$B,0)+COLUMN(F$1),1))</f>
        <v/>
      </c>
      <c r="AX59" t="str">
        <f>IF($A59="","", INDEX(CS!$B$1:$B$12815,MATCH($A59,CS!$B:$B,0)+COLUMN(G$1),1))</f>
        <v/>
      </c>
      <c r="AY59" t="str">
        <f>IF($A59="","", INDEX(CS!$B$1:$B$12815,MATCH($A59,CS!$B:$B,0)+COLUMN(H$1),1))</f>
        <v/>
      </c>
      <c r="AZ59" t="str">
        <f>IF($A59="","", INDEX(CS!$B$1:$B$12815,MATCH($A59,CS!$B:$B,0)+COLUMN(I$1),1))</f>
        <v/>
      </c>
      <c r="BA59" t="str">
        <f>IF($A59="","", INDEX(CS!$B$1:$B$12815,MATCH($A59,CS!$B:$B,0)+COLUMN(J$1),1))</f>
        <v/>
      </c>
    </row>
    <row r="60" spans="1:81" outlineLevel="1" x14ac:dyDescent="0.4">
      <c r="A60" t="s">
        <v>249</v>
      </c>
      <c r="B60" t="s">
        <v>252</v>
      </c>
      <c r="C60" t="s">
        <v>51</v>
      </c>
      <c r="D60" t="str">
        <f t="shared" si="3"/>
        <v>710/470/240</v>
      </c>
      <c r="E60">
        <v>1</v>
      </c>
      <c r="F60">
        <v>60</v>
      </c>
      <c r="G60">
        <v>50</v>
      </c>
      <c r="H60">
        <v>55</v>
      </c>
      <c r="I60" s="24">
        <v>90</v>
      </c>
      <c r="J60">
        <v>90</v>
      </c>
      <c r="K60">
        <v>50</v>
      </c>
      <c r="L60">
        <v>75</v>
      </c>
      <c r="AE60">
        <v>90</v>
      </c>
      <c r="AN60">
        <v>50</v>
      </c>
      <c r="AP60">
        <v>100</v>
      </c>
      <c r="AR60">
        <f>IF($A60="","", INDEX(CS!$B$1:$B$12815,MATCH($A60,CS!$B:$B,0)+COLUMN(A$1),1))</f>
        <v>0</v>
      </c>
      <c r="AS60">
        <f>IF($A60="","", INDEX(CS!$B$1:$B$12815,MATCH($A60,CS!$B:$B,0)+COLUMN(B$1),1))</f>
        <v>0</v>
      </c>
      <c r="AT60">
        <f>IF($A60="","", INDEX(CS!$B$1:$B$12815,MATCH($A60,CS!$B:$B,0)+COLUMN(C$1),1))</f>
        <v>0</v>
      </c>
      <c r="AU60">
        <f>IF($A60="","", INDEX(CS!$B$1:$B$12815,MATCH($A60,CS!$B:$B,0)+COLUMN(D$1),1))</f>
        <v>0</v>
      </c>
      <c r="AV60">
        <f>IF($A60="","", INDEX(CS!$B$1:$B$12815,MATCH($A60,CS!$B:$B,0)+COLUMN(E$1),1))</f>
        <v>0</v>
      </c>
      <c r="AW60">
        <f>IF($A60="","", INDEX(CS!$B$1:$B$12815,MATCH($A60,CS!$B:$B,0)+COLUMN(F$1),1))</f>
        <v>0</v>
      </c>
      <c r="AX60">
        <f>IF($A60="","", INDEX(CS!$B$1:$B$12815,MATCH($A60,CS!$B:$B,0)+COLUMN(G$1),1))</f>
        <v>0</v>
      </c>
      <c r="AY60">
        <f>IF($A60="","", INDEX(CS!$B$1:$B$12815,MATCH($A60,CS!$B:$B,0)+COLUMN(H$1),1))</f>
        <v>0</v>
      </c>
      <c r="AZ60">
        <f>IF($A60="","", INDEX(CS!$B$1:$B$12815,MATCH($A60,CS!$B:$B,0)+COLUMN(I$1),1))</f>
        <v>0</v>
      </c>
      <c r="BA60">
        <f>IF($A60="","", INDEX(CS!$B$1:$B$12815,MATCH($A60,CS!$B:$B,0)+COLUMN(J$1),1))</f>
        <v>0</v>
      </c>
      <c r="BB60" t="s">
        <v>943</v>
      </c>
      <c r="CC60" t="s">
        <v>252</v>
      </c>
    </row>
    <row r="61" spans="1:81" outlineLevel="1" x14ac:dyDescent="0.4">
      <c r="A61" t="s">
        <v>251</v>
      </c>
      <c r="B61" t="s">
        <v>253</v>
      </c>
      <c r="C61" t="s">
        <v>51</v>
      </c>
      <c r="D61" t="str">
        <f t="shared" si="3"/>
        <v>710/465/245</v>
      </c>
      <c r="E61">
        <v>1</v>
      </c>
      <c r="F61">
        <v>60</v>
      </c>
      <c r="G61">
        <v>50</v>
      </c>
      <c r="H61">
        <v>55</v>
      </c>
      <c r="I61" s="24">
        <v>85</v>
      </c>
      <c r="J61">
        <v>90</v>
      </c>
      <c r="K61">
        <v>50</v>
      </c>
      <c r="L61">
        <v>75</v>
      </c>
      <c r="AE61">
        <v>75</v>
      </c>
      <c r="AF61">
        <v>50</v>
      </c>
      <c r="AG61">
        <v>20</v>
      </c>
      <c r="AP61">
        <v>100</v>
      </c>
      <c r="AR61">
        <f>IF($A61="","", INDEX(CS!$B$1:$B$12815,MATCH($A61,CS!$B:$B,0)+COLUMN(A$1),1))</f>
        <v>0</v>
      </c>
      <c r="AS61">
        <f>IF($A61="","", INDEX(CS!$B$1:$B$12815,MATCH($A61,CS!$B:$B,0)+COLUMN(B$1),1))</f>
        <v>0</v>
      </c>
      <c r="AT61">
        <f>IF($A61="","", INDEX(CS!$B$1:$B$12815,MATCH($A61,CS!$B:$B,0)+COLUMN(C$1),1))</f>
        <v>0</v>
      </c>
      <c r="AU61">
        <f>IF($A61="","", INDEX(CS!$B$1:$B$12815,MATCH($A61,CS!$B:$B,0)+COLUMN(D$1),1))</f>
        <v>0</v>
      </c>
      <c r="AV61">
        <f>IF($A61="","", INDEX(CS!$B$1:$B$12815,MATCH($A61,CS!$B:$B,0)+COLUMN(E$1),1))</f>
        <v>0</v>
      </c>
      <c r="AW61">
        <f>IF($A61="","", INDEX(CS!$B$1:$B$12815,MATCH($A61,CS!$B:$B,0)+COLUMN(F$1),1))</f>
        <v>0</v>
      </c>
      <c r="AX61">
        <f>IF($A61="","", INDEX(CS!$B$1:$B$12815,MATCH($A61,CS!$B:$B,0)+COLUMN(G$1),1))</f>
        <v>0</v>
      </c>
      <c r="AY61">
        <f>IF($A61="","", INDEX(CS!$B$1:$B$12815,MATCH($A61,CS!$B:$B,0)+COLUMN(H$1),1))</f>
        <v>0</v>
      </c>
      <c r="AZ61">
        <f>IF($A61="","", INDEX(CS!$B$1:$B$12815,MATCH($A61,CS!$B:$B,0)+COLUMN(I$1),1))</f>
        <v>0</v>
      </c>
      <c r="BA61">
        <f>IF($A61="","", INDEX(CS!$B$1:$B$12815,MATCH($A61,CS!$B:$B,0)+COLUMN(J$1),1))</f>
        <v>0</v>
      </c>
      <c r="BB61" t="s">
        <v>943</v>
      </c>
      <c r="CC61" t="s">
        <v>252</v>
      </c>
    </row>
    <row r="62" spans="1:81" outlineLevel="1" x14ac:dyDescent="0.4">
      <c r="A62" t="s">
        <v>250</v>
      </c>
      <c r="B62" t="s">
        <v>254</v>
      </c>
      <c r="C62" t="s">
        <v>51</v>
      </c>
      <c r="D62" t="str">
        <f t="shared" si="3"/>
        <v>710/465/245</v>
      </c>
      <c r="E62">
        <v>1</v>
      </c>
      <c r="F62">
        <v>65</v>
      </c>
      <c r="G62">
        <v>55</v>
      </c>
      <c r="H62">
        <v>65</v>
      </c>
      <c r="I62" s="24">
        <v>85</v>
      </c>
      <c r="J62">
        <v>70</v>
      </c>
      <c r="K62">
        <v>50</v>
      </c>
      <c r="L62">
        <v>75</v>
      </c>
      <c r="AE62">
        <v>50</v>
      </c>
      <c r="AG62">
        <v>95</v>
      </c>
      <c r="AP62">
        <v>100</v>
      </c>
      <c r="AR62">
        <f>IF($A62="","", INDEX(CS!$B$1:$B$12815,MATCH($A62,CS!$B:$B,0)+COLUMN(A$1),1))</f>
        <v>0</v>
      </c>
      <c r="AS62">
        <f>IF($A62="","", INDEX(CS!$B$1:$B$12815,MATCH($A62,CS!$B:$B,0)+COLUMN(B$1),1))</f>
        <v>0</v>
      </c>
      <c r="AT62">
        <f>IF($A62="","", INDEX(CS!$B$1:$B$12815,MATCH($A62,CS!$B:$B,0)+COLUMN(C$1),1))</f>
        <v>0</v>
      </c>
      <c r="AU62">
        <f>IF($A62="","", INDEX(CS!$B$1:$B$12815,MATCH($A62,CS!$B:$B,0)+COLUMN(D$1),1))</f>
        <v>0</v>
      </c>
      <c r="AV62">
        <f>IF($A62="","", INDEX(CS!$B$1:$B$12815,MATCH($A62,CS!$B:$B,0)+COLUMN(E$1),1))</f>
        <v>0</v>
      </c>
      <c r="AW62">
        <f>IF($A62="","", INDEX(CS!$B$1:$B$12815,MATCH($A62,CS!$B:$B,0)+COLUMN(F$1),1))</f>
        <v>0</v>
      </c>
      <c r="AX62">
        <f>IF($A62="","", INDEX(CS!$B$1:$B$12815,MATCH($A62,CS!$B:$B,0)+COLUMN(G$1),1))</f>
        <v>0</v>
      </c>
      <c r="AY62">
        <f>IF($A62="","", INDEX(CS!$B$1:$B$12815,MATCH($A62,CS!$B:$B,0)+COLUMN(H$1),1))</f>
        <v>0</v>
      </c>
      <c r="AZ62">
        <f>IF($A62="","", INDEX(CS!$B$1:$B$12815,MATCH($A62,CS!$B:$B,0)+COLUMN(I$1),1))</f>
        <v>0</v>
      </c>
      <c r="BA62">
        <f>IF($A62="","", INDEX(CS!$B$1:$B$12815,MATCH($A62,CS!$B:$B,0)+COLUMN(J$1),1))</f>
        <v>0</v>
      </c>
      <c r="BB62" t="s">
        <v>943</v>
      </c>
      <c r="CC62" t="s">
        <v>252</v>
      </c>
    </row>
    <row r="63" spans="1:81" outlineLevel="1" x14ac:dyDescent="0.4">
      <c r="C63" t="s">
        <v>51</v>
      </c>
      <c r="D63" t="str">
        <f t="shared" si="3"/>
        <v>0/0/0</v>
      </c>
      <c r="E63">
        <v>1</v>
      </c>
      <c r="AR63" t="str">
        <f>IF($A63="","", INDEX(CS!$B$1:$B$12815,MATCH($A63,CS!$B:$B,0)+COLUMN(A$1),1))</f>
        <v/>
      </c>
      <c r="AS63" t="str">
        <f>IF($A63="","", INDEX(CS!$B$1:$B$12815,MATCH($A63,CS!$B:$B,0)+COLUMN(B$1),1))</f>
        <v/>
      </c>
      <c r="AT63" t="str">
        <f>IF($A63="","", INDEX(CS!$B$1:$B$12815,MATCH($A63,CS!$B:$B,0)+COLUMN(C$1),1))</f>
        <v/>
      </c>
      <c r="AU63" t="str">
        <f>IF($A63="","", INDEX(CS!$B$1:$B$12815,MATCH($A63,CS!$B:$B,0)+COLUMN(D$1),1))</f>
        <v/>
      </c>
      <c r="AV63" t="str">
        <f>IF($A63="","", INDEX(CS!$B$1:$B$12815,MATCH($A63,CS!$B:$B,0)+COLUMN(E$1),1))</f>
        <v/>
      </c>
      <c r="AW63" t="str">
        <f>IF($A63="","", INDEX(CS!$B$1:$B$12815,MATCH($A63,CS!$B:$B,0)+COLUMN(F$1),1))</f>
        <v/>
      </c>
      <c r="AX63" t="str">
        <f>IF($A63="","", INDEX(CS!$B$1:$B$12815,MATCH($A63,CS!$B:$B,0)+COLUMN(G$1),1))</f>
        <v/>
      </c>
      <c r="AY63" t="str">
        <f>IF($A63="","", INDEX(CS!$B$1:$B$12815,MATCH($A63,CS!$B:$B,0)+COLUMN(H$1),1))</f>
        <v/>
      </c>
      <c r="AZ63" t="str">
        <f>IF($A63="","", INDEX(CS!$B$1:$B$12815,MATCH($A63,CS!$B:$B,0)+COLUMN(I$1),1))</f>
        <v/>
      </c>
      <c r="BA63" t="str">
        <f>IF($A63="","", INDEX(CS!$B$1:$B$12815,MATCH($A63,CS!$B:$B,0)+COLUMN(J$1),1))</f>
        <v/>
      </c>
    </row>
    <row r="64" spans="1:81" outlineLevel="1" x14ac:dyDescent="0.4">
      <c r="A64" t="s">
        <v>38</v>
      </c>
      <c r="B64" t="s">
        <v>193</v>
      </c>
      <c r="C64" t="s">
        <v>51</v>
      </c>
      <c r="D64" t="str">
        <f t="shared" si="3"/>
        <v>710/485/225</v>
      </c>
      <c r="E64">
        <v>1</v>
      </c>
      <c r="F64">
        <v>75</v>
      </c>
      <c r="G64">
        <v>70</v>
      </c>
      <c r="H64">
        <v>70</v>
      </c>
      <c r="I64" s="24">
        <v>75</v>
      </c>
      <c r="J64">
        <v>70</v>
      </c>
      <c r="K64">
        <v>50</v>
      </c>
      <c r="L64">
        <v>75</v>
      </c>
      <c r="AE64">
        <v>75</v>
      </c>
      <c r="AN64">
        <v>50</v>
      </c>
      <c r="AQ64">
        <v>100</v>
      </c>
      <c r="AR64" t="str">
        <f>IF($A64="","", INDEX(CS!$B$1:$B$12815,MATCH($A64,CS!$B:$B,0)+COLUMN(A$1),1))</f>
        <v>光粒</v>
      </c>
      <c r="AS64" t="str">
        <f>IF($A64="","", INDEX(CS!$B$1:$B$12815,MATCH($A64,CS!$B:$B,0)+COLUMN(B$1),1))</f>
        <v>軽回復</v>
      </c>
      <c r="AT64">
        <f>IF($A64="","", INDEX(CS!$B$1:$B$12815,MATCH($A64,CS!$B:$B,0)+COLUMN(C$1),1))</f>
        <v>0</v>
      </c>
      <c r="AU64">
        <f>IF($A64="","", INDEX(CS!$B$1:$B$12815,MATCH($A64,CS!$B:$B,0)+COLUMN(D$1),1))</f>
        <v>0</v>
      </c>
      <c r="AV64">
        <f>IF($A64="","", INDEX(CS!$B$1:$B$12815,MATCH($A64,CS!$B:$B,0)+COLUMN(E$1),1))</f>
        <v>0</v>
      </c>
      <c r="AW64">
        <f>IF($A64="","", INDEX(CS!$B$1:$B$12815,MATCH($A64,CS!$B:$B,0)+COLUMN(F$1),1))</f>
        <v>0</v>
      </c>
      <c r="AX64">
        <f>IF($A64="","", INDEX(CS!$B$1:$B$12815,MATCH($A64,CS!$B:$B,0)+COLUMN(G$1),1))</f>
        <v>0</v>
      </c>
      <c r="AY64">
        <f>IF($A64="","", INDEX(CS!$B$1:$B$12815,MATCH($A64,CS!$B:$B,0)+COLUMN(H$1),1))</f>
        <v>0</v>
      </c>
      <c r="AZ64">
        <f>IF($A64="","", INDEX(CS!$B$1:$B$12815,MATCH($A64,CS!$B:$B,0)+COLUMN(I$1),1))</f>
        <v>0</v>
      </c>
      <c r="BA64">
        <f>IF($A64="","", INDEX(CS!$B$1:$B$12815,MATCH($A64,CS!$B:$B,0)+COLUMN(J$1),1))</f>
        <v>0</v>
      </c>
      <c r="BB64" t="s">
        <v>943</v>
      </c>
      <c r="CC64" t="s">
        <v>193</v>
      </c>
    </row>
    <row r="65" spans="1:81" outlineLevel="1" x14ac:dyDescent="0.4">
      <c r="A65" t="s">
        <v>40</v>
      </c>
      <c r="B65" t="s">
        <v>192</v>
      </c>
      <c r="C65" t="s">
        <v>51</v>
      </c>
      <c r="D65" t="str">
        <f t="shared" si="3"/>
        <v>710/485/225</v>
      </c>
      <c r="E65">
        <v>1</v>
      </c>
      <c r="F65">
        <v>85</v>
      </c>
      <c r="G65">
        <v>70</v>
      </c>
      <c r="H65">
        <v>85</v>
      </c>
      <c r="I65" s="24">
        <v>55</v>
      </c>
      <c r="J65">
        <v>60</v>
      </c>
      <c r="K65">
        <v>55</v>
      </c>
      <c r="L65">
        <v>75</v>
      </c>
      <c r="AC65">
        <v>50</v>
      </c>
      <c r="AE65">
        <v>50</v>
      </c>
      <c r="AN65">
        <v>50</v>
      </c>
      <c r="AQ65">
        <v>75</v>
      </c>
      <c r="AR65">
        <f>IF($A65="","", INDEX(CS!$B$1:$B$12815,MATCH($A65,CS!$B:$B,0)+COLUMN(A$1),1))</f>
        <v>0</v>
      </c>
      <c r="AS65">
        <f>IF($A65="","", INDEX(CS!$B$1:$B$12815,MATCH($A65,CS!$B:$B,0)+COLUMN(B$1),1))</f>
        <v>0</v>
      </c>
      <c r="AT65">
        <f>IF($A65="","", INDEX(CS!$B$1:$B$12815,MATCH($A65,CS!$B:$B,0)+COLUMN(C$1),1))</f>
        <v>0</v>
      </c>
      <c r="AU65">
        <f>IF($A65="","", INDEX(CS!$B$1:$B$12815,MATCH($A65,CS!$B:$B,0)+COLUMN(D$1),1))</f>
        <v>0</v>
      </c>
      <c r="AV65">
        <f>IF($A65="","", INDEX(CS!$B$1:$B$12815,MATCH($A65,CS!$B:$B,0)+COLUMN(E$1),1))</f>
        <v>0</v>
      </c>
      <c r="AW65">
        <f>IF($A65="","", INDEX(CS!$B$1:$B$12815,MATCH($A65,CS!$B:$B,0)+COLUMN(F$1),1))</f>
        <v>0</v>
      </c>
      <c r="AX65">
        <f>IF($A65="","", INDEX(CS!$B$1:$B$12815,MATCH($A65,CS!$B:$B,0)+COLUMN(G$1),1))</f>
        <v>0</v>
      </c>
      <c r="AY65">
        <f>IF($A65="","", INDEX(CS!$B$1:$B$12815,MATCH($A65,CS!$B:$B,0)+COLUMN(H$1),1))</f>
        <v>0</v>
      </c>
      <c r="AZ65">
        <f>IF($A65="","", INDEX(CS!$B$1:$B$12815,MATCH($A65,CS!$B:$B,0)+COLUMN(I$1),1))</f>
        <v>0</v>
      </c>
      <c r="BA65">
        <f>IF($A65="","", INDEX(CS!$B$1:$B$12815,MATCH($A65,CS!$B:$B,0)+COLUMN(J$1),1))</f>
        <v>0</v>
      </c>
      <c r="BB65" t="s">
        <v>943</v>
      </c>
      <c r="CC65" t="s">
        <v>193</v>
      </c>
    </row>
    <row r="66" spans="1:81" outlineLevel="1" x14ac:dyDescent="0.4">
      <c r="A66" t="s">
        <v>190</v>
      </c>
      <c r="B66" t="s">
        <v>191</v>
      </c>
      <c r="C66" t="s">
        <v>51</v>
      </c>
      <c r="D66" t="str">
        <f t="shared" si="3"/>
        <v>710/485/225</v>
      </c>
      <c r="E66">
        <v>1</v>
      </c>
      <c r="F66">
        <v>75</v>
      </c>
      <c r="G66">
        <v>65</v>
      </c>
      <c r="H66">
        <v>65</v>
      </c>
      <c r="I66" s="24">
        <v>85</v>
      </c>
      <c r="J66">
        <v>70</v>
      </c>
      <c r="K66">
        <v>50</v>
      </c>
      <c r="L66">
        <v>75</v>
      </c>
      <c r="AE66">
        <v>75</v>
      </c>
      <c r="AF66">
        <v>25</v>
      </c>
      <c r="AG66">
        <v>25</v>
      </c>
      <c r="AI66">
        <v>50</v>
      </c>
      <c r="AQ66">
        <v>50</v>
      </c>
      <c r="AR66" t="str">
        <f>IF($A66="","", INDEX(CS!$B$1:$B$12815,MATCH($A66,CS!$B:$B,0)+COLUMN(A$1),1))</f>
        <v>植物の絡み</v>
      </c>
      <c r="AS66">
        <f>IF($A66="","", INDEX(CS!$B$1:$B$12815,MATCH($A66,CS!$B:$B,0)+COLUMN(B$1),1))</f>
        <v>0</v>
      </c>
      <c r="AT66" t="str">
        <f>IF($A66="","", INDEX(CS!$B$1:$B$12815,MATCH($A66,CS!$B:$B,0)+COLUMN(C$1),1))</f>
        <v>森の歩み</v>
      </c>
      <c r="AU66">
        <f>IF($A66="","", INDEX(CS!$B$1:$B$12815,MATCH($A66,CS!$B:$B,0)+COLUMN(D$1),1))</f>
        <v>0</v>
      </c>
      <c r="AV66">
        <f>IF($A66="","", INDEX(CS!$B$1:$B$12815,MATCH($A66,CS!$B:$B,0)+COLUMN(E$1),1))</f>
        <v>0</v>
      </c>
      <c r="AW66">
        <f>IF($A66="","", INDEX(CS!$B$1:$B$12815,MATCH($A66,CS!$B:$B,0)+COLUMN(F$1),1))</f>
        <v>0</v>
      </c>
      <c r="AX66">
        <f>IF($A66="","", INDEX(CS!$B$1:$B$12815,MATCH($A66,CS!$B:$B,0)+COLUMN(G$1),1))</f>
        <v>0</v>
      </c>
      <c r="AY66">
        <f>IF($A66="","", INDEX(CS!$B$1:$B$12815,MATCH($A66,CS!$B:$B,0)+COLUMN(H$1),1))</f>
        <v>0</v>
      </c>
      <c r="AZ66">
        <f>IF($A66="","", INDEX(CS!$B$1:$B$12815,MATCH($A66,CS!$B:$B,0)+COLUMN(I$1),1))</f>
        <v>0</v>
      </c>
      <c r="BA66">
        <f>IF($A66="","", INDEX(CS!$B$1:$B$12815,MATCH($A66,CS!$B:$B,0)+COLUMN(J$1),1))</f>
        <v>0</v>
      </c>
      <c r="BB66" t="s">
        <v>943</v>
      </c>
      <c r="CC66" t="s">
        <v>193</v>
      </c>
    </row>
    <row r="67" spans="1:81" outlineLevel="1" x14ac:dyDescent="0.4">
      <c r="C67" t="s">
        <v>51</v>
      </c>
      <c r="D67" t="str">
        <f t="shared" si="3"/>
        <v>0/0/0</v>
      </c>
      <c r="E67">
        <v>1</v>
      </c>
      <c r="AR67" t="str">
        <f>IF($A67="","", INDEX(CS!$B$1:$B$12815,MATCH($A67,CS!$B:$B,0)+COLUMN(A$1),1))</f>
        <v/>
      </c>
      <c r="AS67" t="str">
        <f>IF($A67="","", INDEX(CS!$B$1:$B$12815,MATCH($A67,CS!$B:$B,0)+COLUMN(B$1),1))</f>
        <v/>
      </c>
      <c r="AT67" t="str">
        <f>IF($A67="","", INDEX(CS!$B$1:$B$12815,MATCH($A67,CS!$B:$B,0)+COLUMN(C$1),1))</f>
        <v/>
      </c>
      <c r="AU67" t="str">
        <f>IF($A67="","", INDEX(CS!$B$1:$B$12815,MATCH($A67,CS!$B:$B,0)+COLUMN(D$1),1))</f>
        <v/>
      </c>
      <c r="AV67" t="str">
        <f>IF($A67="","", INDEX(CS!$B$1:$B$12815,MATCH($A67,CS!$B:$B,0)+COLUMN(E$1),1))</f>
        <v/>
      </c>
      <c r="AW67" t="str">
        <f>IF($A67="","", INDEX(CS!$B$1:$B$12815,MATCH($A67,CS!$B:$B,0)+COLUMN(F$1),1))</f>
        <v/>
      </c>
      <c r="AX67" t="str">
        <f>IF($A67="","", INDEX(CS!$B$1:$B$12815,MATCH($A67,CS!$B:$B,0)+COLUMN(G$1),1))</f>
        <v/>
      </c>
      <c r="AY67" t="str">
        <f>IF($A67="","", INDEX(CS!$B$1:$B$12815,MATCH($A67,CS!$B:$B,0)+COLUMN(H$1),1))</f>
        <v/>
      </c>
      <c r="AZ67" t="str">
        <f>IF($A67="","", INDEX(CS!$B$1:$B$12815,MATCH($A67,CS!$B:$B,0)+COLUMN(I$1),1))</f>
        <v/>
      </c>
      <c r="BA67" t="str">
        <f>IF($A67="","", INDEX(CS!$B$1:$B$12815,MATCH($A67,CS!$B:$B,0)+COLUMN(J$1),1))</f>
        <v/>
      </c>
    </row>
    <row r="68" spans="1:81" x14ac:dyDescent="0.4">
      <c r="D68" t="str">
        <f t="shared" ref="D68" si="4">SUM(AC68:AQ68,F68:L68)&amp;"/"&amp;SUM(F68:L68)&amp;"/"&amp;SUM(AC68:AQ68)</f>
        <v>0/0/0</v>
      </c>
      <c r="AR68" t="str">
        <f>IF($A68="","", INDEX(CS!$B$1:$B$12815,MATCH($A68,CS!$B:$B,0)+COLUMN(A$1),1))</f>
        <v/>
      </c>
      <c r="AS68" t="str">
        <f>IF($A68="","", INDEX(CS!$B$1:$B$12815,MATCH($A68,CS!$B:$B,0)+COLUMN(B$1),1))</f>
        <v/>
      </c>
      <c r="AT68" t="str">
        <f>IF($A68="","", INDEX(CS!$B$1:$B$12815,MATCH($A68,CS!$B:$B,0)+COLUMN(C$1),1))</f>
        <v/>
      </c>
      <c r="AU68" t="str">
        <f>IF($A68="","", INDEX(CS!$B$1:$B$12815,MATCH($A68,CS!$B:$B,0)+COLUMN(D$1),1))</f>
        <v/>
      </c>
      <c r="AV68" t="str">
        <f>IF($A68="","", INDEX(CS!$B$1:$B$12815,MATCH($A68,CS!$B:$B,0)+COLUMN(E$1),1))</f>
        <v/>
      </c>
      <c r="AW68" t="str">
        <f>IF($A68="","", INDEX(CS!$B$1:$B$12815,MATCH($A68,CS!$B:$B,0)+COLUMN(F$1),1))</f>
        <v/>
      </c>
      <c r="AX68" t="str">
        <f>IF($A68="","", INDEX(CS!$B$1:$B$12815,MATCH($A68,CS!$B:$B,0)+COLUMN(G$1),1))</f>
        <v/>
      </c>
      <c r="AY68" t="str">
        <f>IF($A68="","", INDEX(CS!$B$1:$B$12815,MATCH($A68,CS!$B:$B,0)+COLUMN(H$1),1))</f>
        <v/>
      </c>
      <c r="AZ68" t="str">
        <f>IF($A68="","", INDEX(CS!$B$1:$B$12815,MATCH($A68,CS!$B:$B,0)+COLUMN(I$1),1))</f>
        <v/>
      </c>
      <c r="BA68" t="str">
        <f>IF($A68="","", INDEX(CS!$B$1:$B$12815,MATCH($A68,CS!$B:$B,0)+COLUMN(J$1),1))</f>
        <v/>
      </c>
    </row>
    <row r="69" spans="1:81" x14ac:dyDescent="0.4">
      <c r="B69" t="s">
        <v>952</v>
      </c>
      <c r="D69" t="str">
        <f t="shared" ref="D69" si="5">SUM(AC69:AQ69,F69:L69)&amp;"/"&amp;SUM(F69:L69)&amp;"/"&amp;SUM(AC69:AQ69)</f>
        <v>0/0/0</v>
      </c>
      <c r="E69">
        <v>1</v>
      </c>
      <c r="AR69" t="str">
        <f>IF($A69="","", INDEX(CS!$B$1:$B$12815,MATCH($A69,CS!$B:$B,0)+COLUMN(A$1),1))</f>
        <v/>
      </c>
      <c r="AS69" t="str">
        <f>IF($A69="","", INDEX(CS!$B$1:$B$12815,MATCH($A69,CS!$B:$B,0)+COLUMN(B$1),1))</f>
        <v/>
      </c>
      <c r="AT69" t="str">
        <f>IF($A69="","", INDEX(CS!$B$1:$B$12815,MATCH($A69,CS!$B:$B,0)+COLUMN(C$1),1))</f>
        <v/>
      </c>
      <c r="AU69" t="str">
        <f>IF($A69="","", INDEX(CS!$B$1:$B$12815,MATCH($A69,CS!$B:$B,0)+COLUMN(D$1),1))</f>
        <v/>
      </c>
      <c r="AV69" t="str">
        <f>IF($A69="","", INDEX(CS!$B$1:$B$12815,MATCH($A69,CS!$B:$B,0)+COLUMN(E$1),1))</f>
        <v/>
      </c>
      <c r="AW69" t="str">
        <f>IF($A69="","", INDEX(CS!$B$1:$B$12815,MATCH($A69,CS!$B:$B,0)+COLUMN(F$1),1))</f>
        <v/>
      </c>
      <c r="AX69" t="str">
        <f>IF($A69="","", INDEX(CS!$B$1:$B$12815,MATCH($A69,CS!$B:$B,0)+COLUMN(G$1),1))</f>
        <v/>
      </c>
      <c r="AY69" t="str">
        <f>IF($A69="","", INDEX(CS!$B$1:$B$12815,MATCH($A69,CS!$B:$B,0)+COLUMN(H$1),1))</f>
        <v/>
      </c>
      <c r="AZ69" t="str">
        <f>IF($A69="","", INDEX(CS!$B$1:$B$12815,MATCH($A69,CS!$B:$B,0)+COLUMN(I$1),1))</f>
        <v/>
      </c>
      <c r="BA69" t="str">
        <f>IF($A69="","", INDEX(CS!$B$1:$B$12815,MATCH($A69,CS!$B:$B,0)+COLUMN(J$1),1))</f>
        <v/>
      </c>
    </row>
    <row r="70" spans="1:81" outlineLevel="1" x14ac:dyDescent="0.4">
      <c r="A70" t="s">
        <v>953</v>
      </c>
      <c r="B70" t="s">
        <v>35</v>
      </c>
      <c r="C70" t="s">
        <v>51</v>
      </c>
      <c r="D70" t="str">
        <f>SUM(AC70:AQ70,F70:L70)&amp;"/"&amp;SUM(F70:L70)&amp;"/"&amp;SUM(AC70:AQ70)</f>
        <v>710/445/265</v>
      </c>
      <c r="E70">
        <v>1</v>
      </c>
      <c r="F70">
        <v>75</v>
      </c>
      <c r="G70">
        <v>75</v>
      </c>
      <c r="H70">
        <v>50</v>
      </c>
      <c r="I70" s="24">
        <v>25</v>
      </c>
      <c r="J70">
        <v>50</v>
      </c>
      <c r="K70">
        <v>85</v>
      </c>
      <c r="L70">
        <v>85</v>
      </c>
      <c r="AD70">
        <v>25</v>
      </c>
      <c r="AF70">
        <v>50</v>
      </c>
      <c r="AG70">
        <v>25</v>
      </c>
      <c r="AH70">
        <v>90</v>
      </c>
      <c r="AI70">
        <v>75</v>
      </c>
      <c r="AR70" t="e">
        <f>IF($A70="","", INDEX(CS!$B$1:$B$12815,MATCH($A70,CS!$B:$B,0)+COLUMN(A$1),1))</f>
        <v>#N/A</v>
      </c>
      <c r="AS70" t="e">
        <f>IF($A70="","", INDEX(CS!$B$1:$B$12815,MATCH($A70,CS!$B:$B,0)+COLUMN(B$1),1))</f>
        <v>#N/A</v>
      </c>
      <c r="AT70" t="e">
        <f>IF($A70="","", INDEX(CS!$B$1:$B$12815,MATCH($A70,CS!$B:$B,0)+COLUMN(C$1),1))</f>
        <v>#N/A</v>
      </c>
      <c r="AU70" t="e">
        <f>IF($A70="","", INDEX(CS!$B$1:$B$12815,MATCH($A70,CS!$B:$B,0)+COLUMN(D$1),1))</f>
        <v>#N/A</v>
      </c>
      <c r="AV70" t="e">
        <f>IF($A70="","", INDEX(CS!$B$1:$B$12815,MATCH($A70,CS!$B:$B,0)+COLUMN(E$1),1))</f>
        <v>#N/A</v>
      </c>
      <c r="AW70" t="e">
        <f>IF($A70="","", INDEX(CS!$B$1:$B$12815,MATCH($A70,CS!$B:$B,0)+COLUMN(F$1),1))</f>
        <v>#N/A</v>
      </c>
      <c r="AX70" t="e">
        <f>IF($A70="","", INDEX(CS!$B$1:$B$12815,MATCH($A70,CS!$B:$B,0)+COLUMN(G$1),1))</f>
        <v>#N/A</v>
      </c>
      <c r="AY70" t="e">
        <f>IF($A70="","", INDEX(CS!$B$1:$B$12815,MATCH($A70,CS!$B:$B,0)+COLUMN(H$1),1))</f>
        <v>#N/A</v>
      </c>
      <c r="AZ70" t="e">
        <f>IF($A70="","", INDEX(CS!$B$1:$B$12815,MATCH($A70,CS!$B:$B,0)+COLUMN(I$1),1))</f>
        <v>#N/A</v>
      </c>
      <c r="BA70" t="e">
        <f>IF($A70="","", INDEX(CS!$B$1:$B$12815,MATCH($A70,CS!$B:$B,0)+COLUMN(J$1),1))</f>
        <v>#N/A</v>
      </c>
      <c r="BC70" t="s">
        <v>954</v>
      </c>
      <c r="CC70" t="s">
        <v>1058</v>
      </c>
    </row>
    <row r="71" spans="1:81" outlineLevel="1" x14ac:dyDescent="0.4">
      <c r="C71" t="s">
        <v>51</v>
      </c>
      <c r="D71" t="str">
        <f>SUM(AC71:AQ71,F71:L71)&amp;"/"&amp;SUM(F71:L71)&amp;"/"&amp;SUM(AC71:AQ71)</f>
        <v>710/460/250</v>
      </c>
      <c r="E71">
        <v>1</v>
      </c>
      <c r="F71">
        <v>75</v>
      </c>
      <c r="G71">
        <v>75</v>
      </c>
      <c r="H71">
        <v>75</v>
      </c>
      <c r="I71" s="24">
        <v>25</v>
      </c>
      <c r="J71">
        <v>50</v>
      </c>
      <c r="K71">
        <v>75</v>
      </c>
      <c r="L71">
        <v>85</v>
      </c>
      <c r="AF71">
        <v>50</v>
      </c>
      <c r="AG71">
        <v>35</v>
      </c>
      <c r="AH71">
        <v>75</v>
      </c>
      <c r="AI71">
        <v>90</v>
      </c>
      <c r="AR71" t="str">
        <f>IF($A71="","", INDEX(CS!$B$1:$B$12815,MATCH($A71,CS!$B:$B,0)+COLUMN(A$1),1))</f>
        <v/>
      </c>
      <c r="AS71" t="str">
        <f>IF($A71="","", INDEX(CS!$B$1:$B$12815,MATCH($A71,CS!$B:$B,0)+COLUMN(B$1),1))</f>
        <v/>
      </c>
      <c r="AT71" t="str">
        <f>IF($A71="","", INDEX(CS!$B$1:$B$12815,MATCH($A71,CS!$B:$B,0)+COLUMN(C$1),1))</f>
        <v/>
      </c>
      <c r="AU71" t="str">
        <f>IF($A71="","", INDEX(CS!$B$1:$B$12815,MATCH($A71,CS!$B:$B,0)+COLUMN(D$1),1))</f>
        <v/>
      </c>
      <c r="AV71" t="str">
        <f>IF($A71="","", INDEX(CS!$B$1:$B$12815,MATCH($A71,CS!$B:$B,0)+COLUMN(E$1),1))</f>
        <v/>
      </c>
      <c r="AW71" t="str">
        <f>IF($A71="","", INDEX(CS!$B$1:$B$12815,MATCH($A71,CS!$B:$B,0)+COLUMN(F$1),1))</f>
        <v/>
      </c>
      <c r="AX71" t="str">
        <f>IF($A71="","", INDEX(CS!$B$1:$B$12815,MATCH($A71,CS!$B:$B,0)+COLUMN(G$1),1))</f>
        <v/>
      </c>
      <c r="AY71" t="str">
        <f>IF($A71="","", INDEX(CS!$B$1:$B$12815,MATCH($A71,CS!$B:$B,0)+COLUMN(H$1),1))</f>
        <v/>
      </c>
      <c r="AZ71" t="str">
        <f>IF($A71="","", INDEX(CS!$B$1:$B$12815,MATCH($A71,CS!$B:$B,0)+COLUMN(I$1),1))</f>
        <v/>
      </c>
      <c r="BA71" t="str">
        <f>IF($A71="","", INDEX(CS!$B$1:$B$12815,MATCH($A71,CS!$B:$B,0)+COLUMN(J$1),1))</f>
        <v/>
      </c>
    </row>
    <row r="72" spans="1:81" outlineLevel="1" x14ac:dyDescent="0.4">
      <c r="C72" t="s">
        <v>51</v>
      </c>
      <c r="D72" t="str">
        <f>SUM(AC72:AQ72,F72:L72)&amp;"/"&amp;SUM(F72:L72)&amp;"/"&amp;SUM(AC72:AQ72)</f>
        <v>710/445/265</v>
      </c>
      <c r="E72">
        <v>1</v>
      </c>
      <c r="F72">
        <v>75</v>
      </c>
      <c r="G72">
        <v>75</v>
      </c>
      <c r="H72">
        <v>50</v>
      </c>
      <c r="I72" s="24">
        <v>25</v>
      </c>
      <c r="J72">
        <v>50</v>
      </c>
      <c r="K72">
        <v>85</v>
      </c>
      <c r="L72">
        <v>85</v>
      </c>
      <c r="AF72">
        <v>50</v>
      </c>
      <c r="AG72">
        <v>65</v>
      </c>
      <c r="AH72">
        <v>75</v>
      </c>
      <c r="AI72">
        <v>75</v>
      </c>
      <c r="AR72" t="str">
        <f>IF($A72="","", INDEX(CS!$B$1:$B$12815,MATCH($A72,CS!$B:$B,0)+COLUMN(A$1),1))</f>
        <v/>
      </c>
      <c r="AS72" t="str">
        <f>IF($A72="","", INDEX(CS!$B$1:$B$12815,MATCH($A72,CS!$B:$B,0)+COLUMN(B$1),1))</f>
        <v/>
      </c>
      <c r="AT72" t="str">
        <f>IF($A72="","", INDEX(CS!$B$1:$B$12815,MATCH($A72,CS!$B:$B,0)+COLUMN(C$1),1))</f>
        <v/>
      </c>
      <c r="AU72" t="str">
        <f>IF($A72="","", INDEX(CS!$B$1:$B$12815,MATCH($A72,CS!$B:$B,0)+COLUMN(D$1),1))</f>
        <v/>
      </c>
      <c r="AV72" t="str">
        <f>IF($A72="","", INDEX(CS!$B$1:$B$12815,MATCH($A72,CS!$B:$B,0)+COLUMN(E$1),1))</f>
        <v/>
      </c>
      <c r="AW72" t="str">
        <f>IF($A72="","", INDEX(CS!$B$1:$B$12815,MATCH($A72,CS!$B:$B,0)+COLUMN(F$1),1))</f>
        <v/>
      </c>
      <c r="AX72" t="str">
        <f>IF($A72="","", INDEX(CS!$B$1:$B$12815,MATCH($A72,CS!$B:$B,0)+COLUMN(G$1),1))</f>
        <v/>
      </c>
      <c r="AY72" t="str">
        <f>IF($A72="","", INDEX(CS!$B$1:$B$12815,MATCH($A72,CS!$B:$B,0)+COLUMN(H$1),1))</f>
        <v/>
      </c>
      <c r="AZ72" t="str">
        <f>IF($A72="","", INDEX(CS!$B$1:$B$12815,MATCH($A72,CS!$B:$B,0)+COLUMN(I$1),1))</f>
        <v/>
      </c>
      <c r="BA72" t="str">
        <f>IF($A72="","", INDEX(CS!$B$1:$B$12815,MATCH($A72,CS!$B:$B,0)+COLUMN(J$1),1))</f>
        <v/>
      </c>
    </row>
    <row r="73" spans="1:81" outlineLevel="1" x14ac:dyDescent="0.4">
      <c r="C73" t="s">
        <v>51</v>
      </c>
      <c r="D73" t="str">
        <f>SUM(AC73:AQ73,F73:L73)&amp;"/"&amp;SUM(F73:L73)&amp;"/"&amp;SUM(AC73:AQ73)</f>
        <v>0/0/0</v>
      </c>
      <c r="E73">
        <v>1</v>
      </c>
      <c r="AR73" t="str">
        <f>IF($A73="","", INDEX(CS!$B$1:$B$12815,MATCH($A73,CS!$B:$B,0)+COLUMN(A$1),1))</f>
        <v/>
      </c>
      <c r="AS73" t="str">
        <f>IF($A73="","", INDEX(CS!$B$1:$B$12815,MATCH($A73,CS!$B:$B,0)+COLUMN(B$1),1))</f>
        <v/>
      </c>
      <c r="AT73" t="str">
        <f>IF($A73="","", INDEX(CS!$B$1:$B$12815,MATCH($A73,CS!$B:$B,0)+COLUMN(C$1),1))</f>
        <v/>
      </c>
      <c r="AU73" t="str">
        <f>IF($A73="","", INDEX(CS!$B$1:$B$12815,MATCH($A73,CS!$B:$B,0)+COLUMN(D$1),1))</f>
        <v/>
      </c>
      <c r="AV73" t="str">
        <f>IF($A73="","", INDEX(CS!$B$1:$B$12815,MATCH($A73,CS!$B:$B,0)+COLUMN(E$1),1))</f>
        <v/>
      </c>
      <c r="AW73" t="str">
        <f>IF($A73="","", INDEX(CS!$B$1:$B$12815,MATCH($A73,CS!$B:$B,0)+COLUMN(F$1),1))</f>
        <v/>
      </c>
      <c r="AX73" t="str">
        <f>IF($A73="","", INDEX(CS!$B$1:$B$12815,MATCH($A73,CS!$B:$B,0)+COLUMN(G$1),1))</f>
        <v/>
      </c>
      <c r="AY73" t="str">
        <f>IF($A73="","", INDEX(CS!$B$1:$B$12815,MATCH($A73,CS!$B:$B,0)+COLUMN(H$1),1))</f>
        <v/>
      </c>
      <c r="AZ73" t="str">
        <f>IF($A73="","", INDEX(CS!$B$1:$B$12815,MATCH($A73,CS!$B:$B,0)+COLUMN(I$1),1))</f>
        <v/>
      </c>
      <c r="BA73" t="str">
        <f>IF($A73="","", INDEX(CS!$B$1:$B$12815,MATCH($A73,CS!$B:$B,0)+COLUMN(J$1),1))</f>
        <v/>
      </c>
    </row>
    <row r="74" spans="1:81" x14ac:dyDescent="0.4">
      <c r="D74" t="str">
        <f t="shared" si="1"/>
        <v>0/0/0</v>
      </c>
      <c r="E74">
        <v>1</v>
      </c>
      <c r="AR74" t="str">
        <f>IF($A74="","", INDEX(CS!$B$1:$B$12815,MATCH($A74,CS!$B:$B,0)+COLUMN(A$1),1))</f>
        <v/>
      </c>
      <c r="AS74" t="str">
        <f>IF($A74="","", INDEX(CS!$B$1:$B$12815,MATCH($A74,CS!$B:$B,0)+COLUMN(B$1),1))</f>
        <v/>
      </c>
      <c r="AT74" t="str">
        <f>IF($A74="","", INDEX(CS!$B$1:$B$12815,MATCH($A74,CS!$B:$B,0)+COLUMN(C$1),1))</f>
        <v/>
      </c>
      <c r="AU74" t="str">
        <f>IF($A74="","", INDEX(CS!$B$1:$B$12815,MATCH($A74,CS!$B:$B,0)+COLUMN(D$1),1))</f>
        <v/>
      </c>
      <c r="AV74" t="str">
        <f>IF($A74="","", INDEX(CS!$B$1:$B$12815,MATCH($A74,CS!$B:$B,0)+COLUMN(E$1),1))</f>
        <v/>
      </c>
      <c r="AW74" t="str">
        <f>IF($A74="","", INDEX(CS!$B$1:$B$12815,MATCH($A74,CS!$B:$B,0)+COLUMN(F$1),1))</f>
        <v/>
      </c>
      <c r="AX74" t="str">
        <f>IF($A74="","", INDEX(CS!$B$1:$B$12815,MATCH($A74,CS!$B:$B,0)+COLUMN(G$1),1))</f>
        <v/>
      </c>
      <c r="AY74" t="str">
        <f>IF($A74="","", INDEX(CS!$B$1:$B$12815,MATCH($A74,CS!$B:$B,0)+COLUMN(H$1),1))</f>
        <v/>
      </c>
      <c r="AZ74" t="str">
        <f>IF($A74="","", INDEX(CS!$B$1:$B$12815,MATCH($A74,CS!$B:$B,0)+COLUMN(I$1),1))</f>
        <v/>
      </c>
      <c r="BA74" t="str">
        <f>IF($A74="","", INDEX(CS!$B$1:$B$12815,MATCH($A74,CS!$B:$B,0)+COLUMN(J$1),1))</f>
        <v/>
      </c>
    </row>
    <row r="75" spans="1:81" ht="20.25" customHeight="1" x14ac:dyDescent="0.4">
      <c r="D75" t="str">
        <f t="shared" si="1"/>
        <v>0/0/0</v>
      </c>
      <c r="E75">
        <v>1</v>
      </c>
      <c r="AR75" t="str">
        <f>IF($A75="","", INDEX(CS!$B$1:$B$12815,MATCH($A75,CS!$B:$B,0)+COLUMN(A$1),1))</f>
        <v/>
      </c>
      <c r="AS75" t="str">
        <f>IF($A75="","", INDEX(CS!$B$1:$B$12815,MATCH($A75,CS!$B:$B,0)+COLUMN(B$1),1))</f>
        <v/>
      </c>
      <c r="AT75" t="str">
        <f>IF($A75="","", INDEX(CS!$B$1:$B$12815,MATCH($A75,CS!$B:$B,0)+COLUMN(C$1),1))</f>
        <v/>
      </c>
      <c r="AU75" t="str">
        <f>IF($A75="","", INDEX(CS!$B$1:$B$12815,MATCH($A75,CS!$B:$B,0)+COLUMN(D$1),1))</f>
        <v/>
      </c>
      <c r="AV75" t="str">
        <f>IF($A75="","", INDEX(CS!$B$1:$B$12815,MATCH($A75,CS!$B:$B,0)+COLUMN(E$1),1))</f>
        <v/>
      </c>
      <c r="AW75" t="str">
        <f>IF($A75="","", INDEX(CS!$B$1:$B$12815,MATCH($A75,CS!$B:$B,0)+COLUMN(F$1),1))</f>
        <v/>
      </c>
      <c r="AX75" t="str">
        <f>IF($A75="","", INDEX(CS!$B$1:$B$12815,MATCH($A75,CS!$B:$B,0)+COLUMN(G$1),1))</f>
        <v/>
      </c>
      <c r="AY75" t="str">
        <f>IF($A75="","", INDEX(CS!$B$1:$B$12815,MATCH($A75,CS!$B:$B,0)+COLUMN(H$1),1))</f>
        <v/>
      </c>
      <c r="AZ75" t="str">
        <f>IF($A75="","", INDEX(CS!$B$1:$B$12815,MATCH($A75,CS!$B:$B,0)+COLUMN(I$1),1))</f>
        <v/>
      </c>
      <c r="BA75" t="str">
        <f>IF($A75="","", INDEX(CS!$B$1:$B$12815,MATCH($A75,CS!$B:$B,0)+COLUMN(J$1),1))</f>
        <v/>
      </c>
      <c r="BM75" s="53"/>
      <c r="BN75" s="53"/>
      <c r="BO75" s="53"/>
      <c r="BP75" s="53"/>
      <c r="BQ75" s="53"/>
    </row>
    <row r="76" spans="1:81" x14ac:dyDescent="0.4">
      <c r="A76" t="s">
        <v>198</v>
      </c>
      <c r="C76" t="s">
        <v>194</v>
      </c>
      <c r="D76" t="str">
        <f t="shared" si="1"/>
        <v>710/490/220</v>
      </c>
      <c r="E76">
        <v>1</v>
      </c>
      <c r="F76">
        <v>100</v>
      </c>
      <c r="G76">
        <v>90</v>
      </c>
      <c r="H76">
        <v>90</v>
      </c>
      <c r="I76" s="24">
        <v>0</v>
      </c>
      <c r="J76">
        <v>50</v>
      </c>
      <c r="K76">
        <v>80</v>
      </c>
      <c r="L76">
        <v>80</v>
      </c>
      <c r="M76">
        <v>230</v>
      </c>
      <c r="V76">
        <v>-35</v>
      </c>
      <c r="W76">
        <v>10</v>
      </c>
      <c r="Y76">
        <v>15</v>
      </c>
      <c r="Z76">
        <v>10</v>
      </c>
      <c r="AD76">
        <v>50</v>
      </c>
      <c r="AF76">
        <v>50</v>
      </c>
      <c r="AH76">
        <v>60</v>
      </c>
      <c r="AI76">
        <v>60</v>
      </c>
      <c r="AR76" t="str">
        <f>IF($A76="","", INDEX(CS!$B$1:$B$12815,MATCH($A76,CS!$B:$B,0)+COLUMN(A$1),1))</f>
        <v>爪</v>
      </c>
      <c r="AS76" t="str">
        <f>IF($A76="","", INDEX(CS!$B$1:$B$12815,MATCH($A76,CS!$B:$B,0)+COLUMN(B$1),1))</f>
        <v>牙</v>
      </c>
      <c r="AT76">
        <f>IF($A76="","", INDEX(CS!$B$1:$B$12815,MATCH($A76,CS!$B:$B,0)+COLUMN(C$1),1))</f>
        <v>0</v>
      </c>
      <c r="AU76">
        <f>IF($A76="","", INDEX(CS!$B$1:$B$12815,MATCH($A76,CS!$B:$B,0)+COLUMN(D$1),1))</f>
        <v>0</v>
      </c>
      <c r="AV76">
        <f>IF($A76="","", INDEX(CS!$B$1:$B$12815,MATCH($A76,CS!$B:$B,0)+COLUMN(E$1),1))</f>
        <v>0</v>
      </c>
      <c r="AW76">
        <f>IF($A76="","", INDEX(CS!$B$1:$B$12815,MATCH($A76,CS!$B:$B,0)+COLUMN(F$1),1))</f>
        <v>0</v>
      </c>
      <c r="AX76">
        <f>IF($A76="","", INDEX(CS!$B$1:$B$12815,MATCH($A76,CS!$B:$B,0)+COLUMN(G$1),1))</f>
        <v>0</v>
      </c>
      <c r="AY76">
        <f>IF($A76="","", INDEX(CS!$B$1:$B$12815,MATCH($A76,CS!$B:$B,0)+COLUMN(H$1),1))</f>
        <v>0</v>
      </c>
      <c r="AZ76">
        <f>IF($A76="","", INDEX(CS!$B$1:$B$12815,MATCH($A76,CS!$B:$B,0)+COLUMN(I$1),1))</f>
        <v>0</v>
      </c>
      <c r="BA76">
        <f>IF($A76="","", INDEX(CS!$B$1:$B$12815,MATCH($A76,CS!$B:$B,0)+COLUMN(J$1),1))</f>
        <v>0</v>
      </c>
      <c r="BL76" t="s">
        <v>959</v>
      </c>
      <c r="BM76" s="53">
        <v>120</v>
      </c>
      <c r="BN76" s="52">
        <v>10</v>
      </c>
      <c r="BO76" s="52">
        <v>10</v>
      </c>
      <c r="BP76" s="52">
        <v>90</v>
      </c>
      <c r="BQ76" s="52">
        <v>10</v>
      </c>
      <c r="BV76" t="s">
        <v>971</v>
      </c>
      <c r="BW76" t="s">
        <v>971</v>
      </c>
      <c r="BZ76" t="s">
        <v>971</v>
      </c>
      <c r="CC76" t="s">
        <v>194</v>
      </c>
    </row>
    <row r="77" spans="1:81" x14ac:dyDescent="0.4">
      <c r="A77" t="s">
        <v>195</v>
      </c>
      <c r="C77" t="s">
        <v>194</v>
      </c>
      <c r="D77" t="str">
        <f t="shared" si="1"/>
        <v>705/485/220</v>
      </c>
      <c r="E77">
        <v>1</v>
      </c>
      <c r="F77">
        <v>90</v>
      </c>
      <c r="G77">
        <v>85</v>
      </c>
      <c r="H77">
        <v>75</v>
      </c>
      <c r="I77" s="24">
        <v>0</v>
      </c>
      <c r="J77">
        <v>50</v>
      </c>
      <c r="K77">
        <v>100</v>
      </c>
      <c r="L77">
        <v>85</v>
      </c>
      <c r="M77">
        <v>175</v>
      </c>
      <c r="V77">
        <v>-35</v>
      </c>
      <c r="W77">
        <v>10</v>
      </c>
      <c r="Y77">
        <v>15</v>
      </c>
      <c r="Z77">
        <v>10</v>
      </c>
      <c r="AD77">
        <v>50</v>
      </c>
      <c r="AF77">
        <v>50</v>
      </c>
      <c r="AH77">
        <v>60</v>
      </c>
      <c r="AI77">
        <v>60</v>
      </c>
      <c r="AR77" t="str">
        <f>IF($A77="","", INDEX(CS!$B$1:$B$12815,MATCH($A77,CS!$B:$B,0)+COLUMN(A$1),1))</f>
        <v>爪</v>
      </c>
      <c r="AS77" t="str">
        <f>IF($A77="","", INDEX(CS!$B$1:$B$12815,MATCH($A77,CS!$B:$B,0)+COLUMN(B$1),1))</f>
        <v>牙</v>
      </c>
      <c r="AT77">
        <f>IF($A77="","", INDEX(CS!$B$1:$B$12815,MATCH($A77,CS!$B:$B,0)+COLUMN(C$1),1))</f>
        <v>0</v>
      </c>
      <c r="AU77">
        <f>IF($A77="","", INDEX(CS!$B$1:$B$12815,MATCH($A77,CS!$B:$B,0)+COLUMN(D$1),1))</f>
        <v>0</v>
      </c>
      <c r="AV77">
        <f>IF($A77="","", INDEX(CS!$B$1:$B$12815,MATCH($A77,CS!$B:$B,0)+COLUMN(E$1),1))</f>
        <v>0</v>
      </c>
      <c r="AW77">
        <f>IF($A77="","", INDEX(CS!$B$1:$B$12815,MATCH($A77,CS!$B:$B,0)+COLUMN(F$1),1))</f>
        <v>0</v>
      </c>
      <c r="AX77">
        <f>IF($A77="","", INDEX(CS!$B$1:$B$12815,MATCH($A77,CS!$B:$B,0)+COLUMN(G$1),1))</f>
        <v>0</v>
      </c>
      <c r="AY77">
        <f>IF($A77="","", INDEX(CS!$B$1:$B$12815,MATCH($A77,CS!$B:$B,0)+COLUMN(H$1),1))</f>
        <v>0</v>
      </c>
      <c r="AZ77">
        <f>IF($A77="","", INDEX(CS!$B$1:$B$12815,MATCH($A77,CS!$B:$B,0)+COLUMN(I$1),1))</f>
        <v>0</v>
      </c>
      <c r="BA77">
        <f>IF($A77="","", INDEX(CS!$B$1:$B$12815,MATCH($A77,CS!$B:$B,0)+COLUMN(J$1),1))</f>
        <v>0</v>
      </c>
      <c r="BL77" t="s">
        <v>959</v>
      </c>
      <c r="BM77" s="53">
        <v>110</v>
      </c>
      <c r="BN77" s="52">
        <v>10</v>
      </c>
      <c r="BO77" s="52">
        <v>10</v>
      </c>
      <c r="BP77" s="52">
        <v>80</v>
      </c>
      <c r="BQ77" s="52">
        <v>10</v>
      </c>
      <c r="BV77" t="s">
        <v>971</v>
      </c>
      <c r="BW77" t="s">
        <v>971</v>
      </c>
      <c r="BZ77" t="s">
        <v>971</v>
      </c>
      <c r="CC77" t="s">
        <v>194</v>
      </c>
    </row>
    <row r="78" spans="1:81" x14ac:dyDescent="0.4">
      <c r="A78" t="s">
        <v>196</v>
      </c>
      <c r="C78" t="s">
        <v>194</v>
      </c>
      <c r="D78" t="str">
        <f t="shared" si="1"/>
        <v>670/450/220</v>
      </c>
      <c r="E78">
        <v>1</v>
      </c>
      <c r="F78">
        <v>90</v>
      </c>
      <c r="G78">
        <v>85</v>
      </c>
      <c r="H78">
        <v>75</v>
      </c>
      <c r="I78" s="24">
        <v>0</v>
      </c>
      <c r="J78">
        <v>50</v>
      </c>
      <c r="K78">
        <v>75</v>
      </c>
      <c r="L78">
        <v>75</v>
      </c>
      <c r="M78">
        <v>150</v>
      </c>
      <c r="V78">
        <v>-35</v>
      </c>
      <c r="W78">
        <v>10</v>
      </c>
      <c r="Y78">
        <v>15</v>
      </c>
      <c r="Z78">
        <v>10</v>
      </c>
      <c r="AD78">
        <v>50</v>
      </c>
      <c r="AF78">
        <v>50</v>
      </c>
      <c r="AH78">
        <v>60</v>
      </c>
      <c r="AI78">
        <v>60</v>
      </c>
      <c r="AR78" t="str">
        <f>IF($A78="","", INDEX(CS!$B$1:$B$12815,MATCH($A78,CS!$B:$B,0)+COLUMN(A$1),1))</f>
        <v>牙</v>
      </c>
      <c r="AS78" t="str">
        <f>IF($A78="","", INDEX(CS!$B$1:$B$12815,MATCH($A78,CS!$B:$B,0)+COLUMN(B$1),1))</f>
        <v>尾</v>
      </c>
      <c r="AT78" t="str">
        <f>IF($A78="","", INDEX(CS!$B$1:$B$12815,MATCH($A78,CS!$B:$B,0)+COLUMN(C$1),1))</f>
        <v>尾の巻き付き</v>
      </c>
      <c r="AU78">
        <f>IF($A78="","", INDEX(CS!$B$1:$B$12815,MATCH($A78,CS!$B:$B,0)+COLUMN(D$1),1))</f>
        <v>0</v>
      </c>
      <c r="AV78">
        <f>IF($A78="","", INDEX(CS!$B$1:$B$12815,MATCH($A78,CS!$B:$B,0)+COLUMN(E$1),1))</f>
        <v>0</v>
      </c>
      <c r="AW78">
        <f>IF($A78="","", INDEX(CS!$B$1:$B$12815,MATCH($A78,CS!$B:$B,0)+COLUMN(F$1),1))</f>
        <v>0</v>
      </c>
      <c r="AX78">
        <f>IF($A78="","", INDEX(CS!$B$1:$B$12815,MATCH($A78,CS!$B:$B,0)+COLUMN(G$1),1))</f>
        <v>0</v>
      </c>
      <c r="AY78">
        <f>IF($A78="","", INDEX(CS!$B$1:$B$12815,MATCH($A78,CS!$B:$B,0)+COLUMN(H$1),1))</f>
        <v>0</v>
      </c>
      <c r="AZ78">
        <f>IF($A78="","", INDEX(CS!$B$1:$B$12815,MATCH($A78,CS!$B:$B,0)+COLUMN(I$1),1))</f>
        <v>0</v>
      </c>
      <c r="BA78">
        <f>IF($A78="","", INDEX(CS!$B$1:$B$12815,MATCH($A78,CS!$B:$B,0)+COLUMN(J$1),1))</f>
        <v>0</v>
      </c>
      <c r="BL78" t="s">
        <v>959</v>
      </c>
      <c r="BM78" s="53">
        <v>85</v>
      </c>
      <c r="BN78" s="52">
        <v>5</v>
      </c>
      <c r="BO78" s="52">
        <v>0</v>
      </c>
      <c r="BP78" s="52">
        <v>70</v>
      </c>
      <c r="BQ78" s="52">
        <v>10</v>
      </c>
      <c r="BV78" t="s">
        <v>971</v>
      </c>
      <c r="BW78" t="s">
        <v>971</v>
      </c>
      <c r="BX78" t="s">
        <v>971</v>
      </c>
      <c r="BZ78" t="s">
        <v>971</v>
      </c>
      <c r="CC78" t="s">
        <v>194</v>
      </c>
    </row>
    <row r="79" spans="1:81" x14ac:dyDescent="0.4">
      <c r="A79" t="s">
        <v>200</v>
      </c>
      <c r="C79" t="s">
        <v>194</v>
      </c>
      <c r="D79" t="str">
        <f t="shared" si="1"/>
        <v>695/475/220</v>
      </c>
      <c r="E79">
        <v>1</v>
      </c>
      <c r="F79">
        <v>75</v>
      </c>
      <c r="G79">
        <v>75</v>
      </c>
      <c r="H79">
        <v>75</v>
      </c>
      <c r="I79" s="24">
        <v>0</v>
      </c>
      <c r="J79">
        <v>50</v>
      </c>
      <c r="K79">
        <v>100</v>
      </c>
      <c r="L79">
        <v>100</v>
      </c>
      <c r="M79">
        <v>145</v>
      </c>
      <c r="V79">
        <v>-35</v>
      </c>
      <c r="W79">
        <v>10</v>
      </c>
      <c r="Y79">
        <v>15</v>
      </c>
      <c r="Z79">
        <v>10</v>
      </c>
      <c r="AD79">
        <v>50</v>
      </c>
      <c r="AF79">
        <v>50</v>
      </c>
      <c r="AH79">
        <v>60</v>
      </c>
      <c r="AI79">
        <v>60</v>
      </c>
      <c r="AR79" t="str">
        <f>IF($A79="","", INDEX(CS!$B$1:$B$12815,MATCH($A79,CS!$B:$B,0)+COLUMN(A$1),1))</f>
        <v>爪</v>
      </c>
      <c r="AS79" t="str">
        <f>IF($A79="","", INDEX(CS!$B$1:$B$12815,MATCH($A79,CS!$B:$B,0)+COLUMN(B$1),1))</f>
        <v>牙</v>
      </c>
      <c r="AT79">
        <f>IF($A79="","", INDEX(CS!$B$1:$B$12815,MATCH($A79,CS!$B:$B,0)+COLUMN(C$1),1))</f>
        <v>0</v>
      </c>
      <c r="AU79">
        <f>IF($A79="","", INDEX(CS!$B$1:$B$12815,MATCH($A79,CS!$B:$B,0)+COLUMN(D$1),1))</f>
        <v>0</v>
      </c>
      <c r="AV79">
        <f>IF($A79="","", INDEX(CS!$B$1:$B$12815,MATCH($A79,CS!$B:$B,0)+COLUMN(E$1),1))</f>
        <v>0</v>
      </c>
      <c r="AW79">
        <f>IF($A79="","", INDEX(CS!$B$1:$B$12815,MATCH($A79,CS!$B:$B,0)+COLUMN(F$1),1))</f>
        <v>0</v>
      </c>
      <c r="AX79">
        <f>IF($A79="","", INDEX(CS!$B$1:$B$12815,MATCH($A79,CS!$B:$B,0)+COLUMN(G$1),1))</f>
        <v>0</v>
      </c>
      <c r="AY79">
        <f>IF($A79="","", INDEX(CS!$B$1:$B$12815,MATCH($A79,CS!$B:$B,0)+COLUMN(H$1),1))</f>
        <v>0</v>
      </c>
      <c r="AZ79">
        <f>IF($A79="","", INDEX(CS!$B$1:$B$12815,MATCH($A79,CS!$B:$B,0)+COLUMN(I$1),1))</f>
        <v>0</v>
      </c>
      <c r="BA79">
        <f>IF($A79="","", INDEX(CS!$B$1:$B$12815,MATCH($A79,CS!$B:$B,0)+COLUMN(J$1),1))</f>
        <v>0</v>
      </c>
      <c r="BL79" t="s">
        <v>959</v>
      </c>
      <c r="BM79" s="53">
        <v>80</v>
      </c>
      <c r="BN79" s="52">
        <v>10</v>
      </c>
      <c r="BO79" s="52">
        <v>10</v>
      </c>
      <c r="BP79" s="52">
        <v>50</v>
      </c>
      <c r="BQ79" s="52">
        <v>10</v>
      </c>
      <c r="BV79" t="s">
        <v>971</v>
      </c>
      <c r="BW79" t="s">
        <v>971</v>
      </c>
      <c r="BZ79" t="s">
        <v>971</v>
      </c>
      <c r="CC79" t="s">
        <v>194</v>
      </c>
    </row>
    <row r="80" spans="1:81" x14ac:dyDescent="0.4">
      <c r="A80" t="s">
        <v>202</v>
      </c>
      <c r="C80" t="s">
        <v>194</v>
      </c>
      <c r="D80" t="str">
        <f t="shared" si="1"/>
        <v>710/490/220</v>
      </c>
      <c r="E80">
        <v>1</v>
      </c>
      <c r="F80">
        <v>100</v>
      </c>
      <c r="G80">
        <v>100</v>
      </c>
      <c r="H80">
        <v>90</v>
      </c>
      <c r="I80" s="24">
        <v>0</v>
      </c>
      <c r="J80">
        <v>50</v>
      </c>
      <c r="K80">
        <v>75</v>
      </c>
      <c r="L80">
        <v>75</v>
      </c>
      <c r="M80">
        <v>300</v>
      </c>
      <c r="V80">
        <v>-35</v>
      </c>
      <c r="W80">
        <v>10</v>
      </c>
      <c r="Y80">
        <v>15</v>
      </c>
      <c r="Z80">
        <v>10</v>
      </c>
      <c r="AD80">
        <v>50</v>
      </c>
      <c r="AF80">
        <v>50</v>
      </c>
      <c r="AH80">
        <v>60</v>
      </c>
      <c r="AI80">
        <v>60</v>
      </c>
      <c r="AR80" t="str">
        <f>IF($A80="","", INDEX(CS!$B$1:$B$12815,MATCH($A80,CS!$B:$B,0)+COLUMN(A$1),1))</f>
        <v>爪</v>
      </c>
      <c r="AS80" t="str">
        <f>IF($A80="","", INDEX(CS!$B$1:$B$12815,MATCH($A80,CS!$B:$B,0)+COLUMN(B$1),1))</f>
        <v>牙</v>
      </c>
      <c r="AT80">
        <f>IF($A80="","", INDEX(CS!$B$1:$B$12815,MATCH($A80,CS!$B:$B,0)+COLUMN(C$1),1))</f>
        <v>0</v>
      </c>
      <c r="AU80">
        <f>IF($A80="","", INDEX(CS!$B$1:$B$12815,MATCH($A80,CS!$B:$B,0)+COLUMN(D$1),1))</f>
        <v>0</v>
      </c>
      <c r="AV80">
        <f>IF($A80="","", INDEX(CS!$B$1:$B$12815,MATCH($A80,CS!$B:$B,0)+COLUMN(E$1),1))</f>
        <v>0</v>
      </c>
      <c r="AW80">
        <f>IF($A80="","", INDEX(CS!$B$1:$B$12815,MATCH($A80,CS!$B:$B,0)+COLUMN(F$1),1))</f>
        <v>0</v>
      </c>
      <c r="AX80">
        <f>IF($A80="","", INDEX(CS!$B$1:$B$12815,MATCH($A80,CS!$B:$B,0)+COLUMN(G$1),1))</f>
        <v>0</v>
      </c>
      <c r="AY80">
        <f>IF($A80="","", INDEX(CS!$B$1:$B$12815,MATCH($A80,CS!$B:$B,0)+COLUMN(H$1),1))</f>
        <v>0</v>
      </c>
      <c r="AZ80">
        <f>IF($A80="","", INDEX(CS!$B$1:$B$12815,MATCH($A80,CS!$B:$B,0)+COLUMN(I$1),1))</f>
        <v>0</v>
      </c>
      <c r="BA80">
        <f>IF($A80="","", INDEX(CS!$B$1:$B$12815,MATCH($A80,CS!$B:$B,0)+COLUMN(J$1),1))</f>
        <v>0</v>
      </c>
      <c r="BL80" t="s">
        <v>959</v>
      </c>
      <c r="BM80" s="53">
        <v>130</v>
      </c>
      <c r="BN80" s="52">
        <v>20</v>
      </c>
      <c r="BO80" s="52">
        <v>20</v>
      </c>
      <c r="BP80" s="52">
        <v>80</v>
      </c>
      <c r="BQ80" s="52">
        <v>10</v>
      </c>
      <c r="BV80" t="s">
        <v>971</v>
      </c>
      <c r="BW80" t="s">
        <v>971</v>
      </c>
      <c r="BZ80" t="s">
        <v>971</v>
      </c>
      <c r="CC80" t="s">
        <v>194</v>
      </c>
    </row>
    <row r="81" spans="1:81" x14ac:dyDescent="0.4">
      <c r="A81" t="s">
        <v>204</v>
      </c>
      <c r="C81" t="s">
        <v>194</v>
      </c>
      <c r="D81" t="str">
        <f t="shared" si="1"/>
        <v>705/485/220</v>
      </c>
      <c r="E81">
        <v>1</v>
      </c>
      <c r="F81">
        <v>100</v>
      </c>
      <c r="G81">
        <v>100</v>
      </c>
      <c r="H81">
        <v>90</v>
      </c>
      <c r="I81" s="24">
        <v>0</v>
      </c>
      <c r="J81">
        <v>50</v>
      </c>
      <c r="K81">
        <v>65</v>
      </c>
      <c r="L81">
        <v>80</v>
      </c>
      <c r="M81">
        <v>280</v>
      </c>
      <c r="V81">
        <v>-35</v>
      </c>
      <c r="W81">
        <v>10</v>
      </c>
      <c r="Y81">
        <v>15</v>
      </c>
      <c r="Z81">
        <v>10</v>
      </c>
      <c r="AD81">
        <v>50</v>
      </c>
      <c r="AF81">
        <v>50</v>
      </c>
      <c r="AH81">
        <v>60</v>
      </c>
      <c r="AI81">
        <v>60</v>
      </c>
      <c r="AR81" t="str">
        <f>IF($A81="","", INDEX(CS!$B$1:$B$12815,MATCH($A81,CS!$B:$B,0)+COLUMN(A$1),1))</f>
        <v>牙</v>
      </c>
      <c r="AS81">
        <f>IF($A81="","", INDEX(CS!$B$1:$B$12815,MATCH($A81,CS!$B:$B,0)+COLUMN(B$1),1))</f>
        <v>0</v>
      </c>
      <c r="AT81">
        <f>IF($A81="","", INDEX(CS!$B$1:$B$12815,MATCH($A81,CS!$B:$B,0)+COLUMN(C$1),1))</f>
        <v>0</v>
      </c>
      <c r="AU81">
        <f>IF($A81="","", INDEX(CS!$B$1:$B$12815,MATCH($A81,CS!$B:$B,0)+COLUMN(D$1),1))</f>
        <v>0</v>
      </c>
      <c r="AV81">
        <f>IF($A81="","", INDEX(CS!$B$1:$B$12815,MATCH($A81,CS!$B:$B,0)+COLUMN(E$1),1))</f>
        <v>0</v>
      </c>
      <c r="AW81">
        <f>IF($A81="","", INDEX(CS!$B$1:$B$12815,MATCH($A81,CS!$B:$B,0)+COLUMN(F$1),1))</f>
        <v>0</v>
      </c>
      <c r="AX81">
        <f>IF($A81="","", INDEX(CS!$B$1:$B$12815,MATCH($A81,CS!$B:$B,0)+COLUMN(G$1),1))</f>
        <v>0</v>
      </c>
      <c r="AY81">
        <f>IF($A81="","", INDEX(CS!$B$1:$B$12815,MATCH($A81,CS!$B:$B,0)+COLUMN(H$1),1))</f>
        <v>0</v>
      </c>
      <c r="AZ81">
        <f>IF($A81="","", INDEX(CS!$B$1:$B$12815,MATCH($A81,CS!$B:$B,0)+COLUMN(I$1),1))</f>
        <v>0</v>
      </c>
      <c r="BA81">
        <f>IF($A81="","", INDEX(CS!$B$1:$B$12815,MATCH($A81,CS!$B:$B,0)+COLUMN(J$1),1))</f>
        <v>0</v>
      </c>
      <c r="BL81" t="s">
        <v>959</v>
      </c>
      <c r="BM81" s="53">
        <v>130</v>
      </c>
      <c r="BN81" s="52">
        <v>10</v>
      </c>
      <c r="BO81" s="52">
        <v>0</v>
      </c>
      <c r="BP81" s="52">
        <v>90</v>
      </c>
      <c r="BQ81" s="52">
        <v>30</v>
      </c>
      <c r="BV81" t="s">
        <v>971</v>
      </c>
      <c r="BW81" t="s">
        <v>971</v>
      </c>
      <c r="BX81" t="s">
        <v>971</v>
      </c>
      <c r="BZ81" t="s">
        <v>971</v>
      </c>
      <c r="CC81" t="s">
        <v>194</v>
      </c>
    </row>
    <row r="82" spans="1:81" x14ac:dyDescent="0.4">
      <c r="C82" t="s">
        <v>194</v>
      </c>
      <c r="D82" t="str">
        <f t="shared" si="1"/>
        <v>0/0/0</v>
      </c>
      <c r="E82">
        <v>1</v>
      </c>
      <c r="AR82" t="str">
        <f>IF($A82="","", INDEX(CS!$B$1:$B$12815,MATCH($A82,CS!$B:$B,0)+COLUMN(A$1),1))</f>
        <v/>
      </c>
      <c r="AS82" t="str">
        <f>IF($A82="","", INDEX(CS!$B$1:$B$12815,MATCH($A82,CS!$B:$B,0)+COLUMN(B$1),1))</f>
        <v/>
      </c>
      <c r="AT82" t="str">
        <f>IF($A82="","", INDEX(CS!$B$1:$B$12815,MATCH($A82,CS!$B:$B,0)+COLUMN(C$1),1))</f>
        <v/>
      </c>
      <c r="AU82" t="str">
        <f>IF($A82="","", INDEX(CS!$B$1:$B$12815,MATCH($A82,CS!$B:$B,0)+COLUMN(D$1),1))</f>
        <v/>
      </c>
      <c r="AV82" t="str">
        <f>IF($A82="","", INDEX(CS!$B$1:$B$12815,MATCH($A82,CS!$B:$B,0)+COLUMN(E$1),1))</f>
        <v/>
      </c>
      <c r="AW82" t="str">
        <f>IF($A82="","", INDEX(CS!$B$1:$B$12815,MATCH($A82,CS!$B:$B,0)+COLUMN(F$1),1))</f>
        <v/>
      </c>
      <c r="AX82" t="str">
        <f>IF($A82="","", INDEX(CS!$B$1:$B$12815,MATCH($A82,CS!$B:$B,0)+COLUMN(G$1),1))</f>
        <v/>
      </c>
      <c r="AY82" t="str">
        <f>IF($A82="","", INDEX(CS!$B$1:$B$12815,MATCH($A82,CS!$B:$B,0)+COLUMN(H$1),1))</f>
        <v/>
      </c>
      <c r="AZ82" t="str">
        <f>IF($A82="","", INDEX(CS!$B$1:$B$12815,MATCH($A82,CS!$B:$B,0)+COLUMN(I$1),1))</f>
        <v/>
      </c>
      <c r="BA82" t="str">
        <f>IF($A82="","", INDEX(CS!$B$1:$B$12815,MATCH($A82,CS!$B:$B,0)+COLUMN(J$1),1))</f>
        <v/>
      </c>
    </row>
    <row r="83" spans="1:81" x14ac:dyDescent="0.4">
      <c r="C83" t="s">
        <v>194</v>
      </c>
      <c r="D83" t="str">
        <f t="shared" ref="D83:D86" si="6">SUM(AC83:AQ83,F83:L83)&amp;"/"&amp;SUM(F83:L83)&amp;"/"&amp;SUM(AC83:AQ83)</f>
        <v>0/0/0</v>
      </c>
      <c r="E83">
        <v>1</v>
      </c>
      <c r="AR83" t="str">
        <f>IF($A83="","", INDEX(CS!$B$1:$B$12815,MATCH($A83,CS!$B:$B,0)+COLUMN(A$1),1))</f>
        <v/>
      </c>
      <c r="AS83" t="str">
        <f>IF($A83="","", INDEX(CS!$B$1:$B$12815,MATCH($A83,CS!$B:$B,0)+COLUMN(B$1),1))</f>
        <v/>
      </c>
      <c r="AT83" t="str">
        <f>IF($A83="","", INDEX(CS!$B$1:$B$12815,MATCH($A83,CS!$B:$B,0)+COLUMN(C$1),1))</f>
        <v/>
      </c>
      <c r="AU83" t="str">
        <f>IF($A83="","", INDEX(CS!$B$1:$B$12815,MATCH($A83,CS!$B:$B,0)+COLUMN(D$1),1))</f>
        <v/>
      </c>
      <c r="AV83" t="str">
        <f>IF($A83="","", INDEX(CS!$B$1:$B$12815,MATCH($A83,CS!$B:$B,0)+COLUMN(E$1),1))</f>
        <v/>
      </c>
      <c r="AW83" t="str">
        <f>IF($A83="","", INDEX(CS!$B$1:$B$12815,MATCH($A83,CS!$B:$B,0)+COLUMN(F$1),1))</f>
        <v/>
      </c>
      <c r="AX83" t="str">
        <f>IF($A83="","", INDEX(CS!$B$1:$B$12815,MATCH($A83,CS!$B:$B,0)+COLUMN(G$1),1))</f>
        <v/>
      </c>
      <c r="AY83" t="str">
        <f>IF($A83="","", INDEX(CS!$B$1:$B$12815,MATCH($A83,CS!$B:$B,0)+COLUMN(H$1),1))</f>
        <v/>
      </c>
      <c r="AZ83" t="str">
        <f>IF($A83="","", INDEX(CS!$B$1:$B$12815,MATCH($A83,CS!$B:$B,0)+COLUMN(I$1),1))</f>
        <v/>
      </c>
      <c r="BA83" t="str">
        <f>IF($A83="","", INDEX(CS!$B$1:$B$12815,MATCH($A83,CS!$B:$B,0)+COLUMN(J$1),1))</f>
        <v/>
      </c>
    </row>
    <row r="84" spans="1:81" x14ac:dyDescent="0.4">
      <c r="A84" t="s">
        <v>864</v>
      </c>
      <c r="C84" t="s">
        <v>194</v>
      </c>
      <c r="D84" t="str">
        <f t="shared" si="6"/>
        <v>0/0/0</v>
      </c>
      <c r="E84">
        <v>1</v>
      </c>
      <c r="P84" s="17">
        <v>50</v>
      </c>
      <c r="Q84" s="17">
        <v>-30</v>
      </c>
      <c r="AR84" t="str">
        <f>IF($A84="","", INDEX(CS!$B$1:$B$12815,MATCH($A84,CS!$B:$B,0)+COLUMN(A$1),1))</f>
        <v>炎の適用</v>
      </c>
      <c r="AS84">
        <f>IF($A84="","", INDEX(CS!$B$1:$B$12815,MATCH($A84,CS!$B:$B,0)+COLUMN(B$1),1))</f>
        <v>0</v>
      </c>
      <c r="AT84" t="str">
        <f>IF($A84="","", INDEX(CS!$B$1:$B$12815,MATCH($A84,CS!$B:$B,0)+COLUMN(C$1),1))</f>
        <v>炎の体</v>
      </c>
      <c r="AU84">
        <f>IF($A84="","", INDEX(CS!$B$1:$B$12815,MATCH($A84,CS!$B:$B,0)+COLUMN(D$1),1))</f>
        <v>0</v>
      </c>
      <c r="AV84">
        <f>IF($A84="","", INDEX(CS!$B$1:$B$12815,MATCH($A84,CS!$B:$B,0)+COLUMN(E$1),1))</f>
        <v>0</v>
      </c>
      <c r="AW84" t="str">
        <f>IF($A84="","", INDEX(CS!$B$1:$B$12815,MATCH($A84,CS!$B:$B,0)+COLUMN(F$1),1))</f>
        <v>火炎突撃</v>
      </c>
      <c r="AX84">
        <f>IF($A84="","", INDEX(CS!$B$1:$B$12815,MATCH($A84,CS!$B:$B,0)+COLUMN(G$1),1))</f>
        <v>0</v>
      </c>
      <c r="AY84">
        <f>IF($A84="","", INDEX(CS!$B$1:$B$12815,MATCH($A84,CS!$B:$B,0)+COLUMN(H$1),1))</f>
        <v>0</v>
      </c>
      <c r="AZ84" t="str">
        <f>IF($A84="","", INDEX(CS!$B$1:$B$12815,MATCH($A84,CS!$B:$B,0)+COLUMN(I$1),1))</f>
        <v>炎強化</v>
      </c>
      <c r="BA84" t="str">
        <f>IF($A84="","", INDEX(CS!$B$1:$B$12815,MATCH($A84,CS!$B:$B,0)+COLUMN(J$1),1))</f>
        <v>炎の唾</v>
      </c>
      <c r="BB84" t="s">
        <v>944</v>
      </c>
      <c r="BC84" t="s">
        <v>194</v>
      </c>
      <c r="BD84" s="36" t="s">
        <v>944</v>
      </c>
    </row>
    <row r="85" spans="1:81" x14ac:dyDescent="0.4">
      <c r="A85" t="s">
        <v>865</v>
      </c>
      <c r="C85" t="s">
        <v>194</v>
      </c>
      <c r="D85" t="str">
        <f t="shared" si="6"/>
        <v>0/0/0</v>
      </c>
      <c r="E85">
        <v>1</v>
      </c>
      <c r="P85" s="17">
        <v>-30</v>
      </c>
      <c r="Q85" s="17">
        <v>50</v>
      </c>
      <c r="AR85" t="str">
        <f>IF($A85="","", INDEX(CS!$B$1:$B$12815,MATCH($A85,CS!$B:$B,0)+COLUMN(A$1),1))</f>
        <v>氷の適用</v>
      </c>
      <c r="AS85">
        <f>IF($A85="","", INDEX(CS!$B$1:$B$12815,MATCH($A85,CS!$B:$B,0)+COLUMN(B$1),1))</f>
        <v>0</v>
      </c>
      <c r="AT85" t="str">
        <f>IF($A85="","", INDEX(CS!$B$1:$B$12815,MATCH($A85,CS!$B:$B,0)+COLUMN(C$1),1))</f>
        <v>氷の体</v>
      </c>
      <c r="AU85">
        <f>IF($A85="","", INDEX(CS!$B$1:$B$12815,MATCH($A85,CS!$B:$B,0)+COLUMN(D$1),1))</f>
        <v>0</v>
      </c>
      <c r="AV85">
        <f>IF($A85="","", INDEX(CS!$B$1:$B$12815,MATCH($A85,CS!$B:$B,0)+COLUMN(E$1),1))</f>
        <v>0</v>
      </c>
      <c r="AW85" t="str">
        <f>IF($A85="","", INDEX(CS!$B$1:$B$12815,MATCH($A85,CS!$B:$B,0)+COLUMN(F$1),1))</f>
        <v>氷結突撃</v>
      </c>
      <c r="AX85">
        <f>IF($A85="","", INDEX(CS!$B$1:$B$12815,MATCH($A85,CS!$B:$B,0)+COLUMN(G$1),1))</f>
        <v>0</v>
      </c>
      <c r="AY85">
        <f>IF($A85="","", INDEX(CS!$B$1:$B$12815,MATCH($A85,CS!$B:$B,0)+COLUMN(H$1),1))</f>
        <v>0</v>
      </c>
      <c r="AZ85" t="str">
        <f>IF($A85="","", INDEX(CS!$B$1:$B$12815,MATCH($A85,CS!$B:$B,0)+COLUMN(I$1),1))</f>
        <v>氷強化</v>
      </c>
      <c r="BA85" t="str">
        <f>IF($A85="","", INDEX(CS!$B$1:$B$12815,MATCH($A85,CS!$B:$B,0)+COLUMN(J$1),1))</f>
        <v>氷の唾</v>
      </c>
      <c r="BB85" t="s">
        <v>944</v>
      </c>
      <c r="BC85" t="s">
        <v>194</v>
      </c>
      <c r="BD85" s="36" t="s">
        <v>945</v>
      </c>
    </row>
    <row r="86" spans="1:81" x14ac:dyDescent="0.4">
      <c r="A86" t="s">
        <v>866</v>
      </c>
      <c r="C86" t="s">
        <v>194</v>
      </c>
      <c r="D86" t="str">
        <f t="shared" si="6"/>
        <v>0/0/0</v>
      </c>
      <c r="E86">
        <v>1</v>
      </c>
      <c r="AR86" t="str">
        <f>IF($A86="","", INDEX(CS!$B$1:$B$12815,MATCH($A86,CS!$B:$B,0)+COLUMN(A$1),1))</f>
        <v>風の適用</v>
      </c>
      <c r="AS86">
        <f>IF($A86="","", INDEX(CS!$B$1:$B$12815,MATCH($A86,CS!$B:$B,0)+COLUMN(B$1),1))</f>
        <v>0</v>
      </c>
      <c r="AT86" t="str">
        <f>IF($A86="","", INDEX(CS!$B$1:$B$12815,MATCH($A86,CS!$B:$B,0)+COLUMN(C$1),1))</f>
        <v>風の体</v>
      </c>
      <c r="AU86">
        <f>IF($A86="","", INDEX(CS!$B$1:$B$12815,MATCH($A86,CS!$B:$B,0)+COLUMN(D$1),1))</f>
        <v>0</v>
      </c>
      <c r="AV86">
        <f>IF($A86="","", INDEX(CS!$B$1:$B$12815,MATCH($A86,CS!$B:$B,0)+COLUMN(E$1),1))</f>
        <v>0</v>
      </c>
      <c r="AW86" t="str">
        <f>IF($A86="","", INDEX(CS!$B$1:$B$12815,MATCH($A86,CS!$B:$B,0)+COLUMN(F$1),1))</f>
        <v>暴風突撃</v>
      </c>
      <c r="AX86">
        <f>IF($A86="","", INDEX(CS!$B$1:$B$12815,MATCH($A86,CS!$B:$B,0)+COLUMN(G$1),1))</f>
        <v>0</v>
      </c>
      <c r="AY86">
        <f>IF($A86="","", INDEX(CS!$B$1:$B$12815,MATCH($A86,CS!$B:$B,0)+COLUMN(H$1),1))</f>
        <v>0</v>
      </c>
      <c r="AZ86" t="str">
        <f>IF($A86="","", INDEX(CS!$B$1:$B$12815,MATCH($A86,CS!$B:$B,0)+COLUMN(I$1),1))</f>
        <v>風強化</v>
      </c>
      <c r="BA86" t="str">
        <f>IF($A86="","", INDEX(CS!$B$1:$B$12815,MATCH($A86,CS!$B:$B,0)+COLUMN(J$1),1))</f>
        <v>風の唾</v>
      </c>
      <c r="BB86" t="s">
        <v>944</v>
      </c>
      <c r="BC86" t="s">
        <v>194</v>
      </c>
      <c r="BD86" s="36" t="s">
        <v>946</v>
      </c>
    </row>
    <row r="87" spans="1:81" x14ac:dyDescent="0.4">
      <c r="A87" t="s">
        <v>867</v>
      </c>
      <c r="C87" t="s">
        <v>194</v>
      </c>
      <c r="D87" t="str">
        <f t="shared" si="1"/>
        <v>0/0/0</v>
      </c>
      <c r="E87">
        <v>1</v>
      </c>
      <c r="R87" s="17">
        <v>50</v>
      </c>
      <c r="AR87" t="str">
        <f>IF($A87="","", INDEX(CS!$B$1:$B$12815,MATCH($A87,CS!$B:$B,0)+COLUMN(A$1),1))</f>
        <v>雷の適用</v>
      </c>
      <c r="AS87">
        <f>IF($A87="","", INDEX(CS!$B$1:$B$12815,MATCH($A87,CS!$B:$B,0)+COLUMN(B$1),1))</f>
        <v>0</v>
      </c>
      <c r="AT87" t="str">
        <f>IF($A87="","", INDEX(CS!$B$1:$B$12815,MATCH($A87,CS!$B:$B,0)+COLUMN(C$1),1))</f>
        <v>雷の体</v>
      </c>
      <c r="AU87">
        <f>IF($A87="","", INDEX(CS!$B$1:$B$12815,MATCH($A87,CS!$B:$B,0)+COLUMN(D$1),1))</f>
        <v>0</v>
      </c>
      <c r="AV87">
        <f>IF($A87="","", INDEX(CS!$B$1:$B$12815,MATCH($A87,CS!$B:$B,0)+COLUMN(E$1),1))</f>
        <v>0</v>
      </c>
      <c r="AW87" t="str">
        <f>IF($A87="","", INDEX(CS!$B$1:$B$12815,MATCH($A87,CS!$B:$B,0)+COLUMN(F$1),1))</f>
        <v>電撃突撃</v>
      </c>
      <c r="AX87">
        <f>IF($A87="","", INDEX(CS!$B$1:$B$12815,MATCH($A87,CS!$B:$B,0)+COLUMN(G$1),1))</f>
        <v>0</v>
      </c>
      <c r="AY87">
        <f>IF($A87="","", INDEX(CS!$B$1:$B$12815,MATCH($A87,CS!$B:$B,0)+COLUMN(H$1),1))</f>
        <v>0</v>
      </c>
      <c r="AZ87" t="str">
        <f>IF($A87="","", INDEX(CS!$B$1:$B$12815,MATCH($A87,CS!$B:$B,0)+COLUMN(I$1),1))</f>
        <v>雷強化</v>
      </c>
      <c r="BA87" t="str">
        <f>IF($A87="","", INDEX(CS!$B$1:$B$12815,MATCH($A87,CS!$B:$B,0)+COLUMN(J$1),1))</f>
        <v>雷の唾</v>
      </c>
      <c r="BB87" t="s">
        <v>944</v>
      </c>
      <c r="BC87" t="s">
        <v>194</v>
      </c>
      <c r="BD87" s="36" t="s">
        <v>947</v>
      </c>
    </row>
    <row r="88" spans="1:81" x14ac:dyDescent="0.4">
      <c r="A88" t="s">
        <v>868</v>
      </c>
      <c r="C88" t="s">
        <v>194</v>
      </c>
      <c r="D88" t="str">
        <f t="shared" si="1"/>
        <v>0/0/0</v>
      </c>
      <c r="E88">
        <v>1</v>
      </c>
      <c r="S88" s="17">
        <v>50</v>
      </c>
      <c r="T88" s="17">
        <v>-30</v>
      </c>
      <c r="AR88" t="str">
        <f>IF($A88="","", INDEX(CS!$B$1:$B$12815,MATCH($A88,CS!$B:$B,0)+COLUMN(A$1),1))</f>
        <v>毒の適用</v>
      </c>
      <c r="AS88">
        <f>IF($A88="","", INDEX(CS!$B$1:$B$12815,MATCH($A88,CS!$B:$B,0)+COLUMN(B$1),1))</f>
        <v>0</v>
      </c>
      <c r="AT88" t="str">
        <f>IF($A88="","", INDEX(CS!$B$1:$B$12815,MATCH($A88,CS!$B:$B,0)+COLUMN(C$1),1))</f>
        <v>毒の体</v>
      </c>
      <c r="AU88">
        <f>IF($A88="","", INDEX(CS!$B$1:$B$12815,MATCH($A88,CS!$B:$B,0)+COLUMN(D$1),1))</f>
        <v>0</v>
      </c>
      <c r="AV88">
        <f>IF($A88="","", INDEX(CS!$B$1:$B$12815,MATCH($A88,CS!$B:$B,0)+COLUMN(E$1),1))</f>
        <v>0</v>
      </c>
      <c r="AW88" t="str">
        <f>IF($A88="","", INDEX(CS!$B$1:$B$12815,MATCH($A88,CS!$B:$B,0)+COLUMN(F$1),1))</f>
        <v>腐蝕突撃</v>
      </c>
      <c r="AX88">
        <f>IF($A88="","", INDEX(CS!$B$1:$B$12815,MATCH($A88,CS!$B:$B,0)+COLUMN(G$1),1))</f>
        <v>0</v>
      </c>
      <c r="AY88">
        <f>IF($A88="","", INDEX(CS!$B$1:$B$12815,MATCH($A88,CS!$B:$B,0)+COLUMN(H$1),1))</f>
        <v>0</v>
      </c>
      <c r="AZ88" t="str">
        <f>IF($A88="","", INDEX(CS!$B$1:$B$12815,MATCH($A88,CS!$B:$B,0)+COLUMN(I$1),1))</f>
        <v>毒強化</v>
      </c>
      <c r="BA88" t="str">
        <f>IF($A88="","", INDEX(CS!$B$1:$B$12815,MATCH($A88,CS!$B:$B,0)+COLUMN(J$1),1))</f>
        <v>毒の唾</v>
      </c>
      <c r="BB88" t="s">
        <v>944</v>
      </c>
      <c r="BC88" t="s">
        <v>194</v>
      </c>
      <c r="BD88" s="36" t="s">
        <v>948</v>
      </c>
    </row>
    <row r="89" spans="1:81" x14ac:dyDescent="0.4">
      <c r="A89" t="s">
        <v>869</v>
      </c>
      <c r="C89" t="s">
        <v>194</v>
      </c>
      <c r="D89" t="str">
        <f t="shared" si="1"/>
        <v>0/0/0</v>
      </c>
      <c r="E89">
        <v>1</v>
      </c>
      <c r="Q89" s="17">
        <v>30</v>
      </c>
      <c r="Y89">
        <v>30</v>
      </c>
      <c r="AR89" t="str">
        <f>IF($A89="","", INDEX(CS!$B$1:$B$12815,MATCH($A89,CS!$B:$B,0)+COLUMN(A$1),1))</f>
        <v>水の適用</v>
      </c>
      <c r="AS89">
        <f>IF($A89="","", INDEX(CS!$B$1:$B$12815,MATCH($A89,CS!$B:$B,0)+COLUMN(B$1),1))</f>
        <v>0</v>
      </c>
      <c r="AT89" t="str">
        <f>IF($A89="","", INDEX(CS!$B$1:$B$12815,MATCH($A89,CS!$B:$B,0)+COLUMN(C$1),1))</f>
        <v>水の体</v>
      </c>
      <c r="AU89">
        <f>IF($A89="","", INDEX(CS!$B$1:$B$12815,MATCH($A89,CS!$B:$B,0)+COLUMN(D$1),1))</f>
        <v>0</v>
      </c>
      <c r="AV89">
        <f>IF($A89="","", INDEX(CS!$B$1:$B$12815,MATCH($A89,CS!$B:$B,0)+COLUMN(E$1),1))</f>
        <v>0</v>
      </c>
      <c r="AW89" t="str">
        <f>IF($A89="","", INDEX(CS!$B$1:$B$12815,MATCH($A89,CS!$B:$B,0)+COLUMN(F$1),1))</f>
        <v>突撃</v>
      </c>
      <c r="AX89">
        <f>IF($A89="","", INDEX(CS!$B$1:$B$12815,MATCH($A89,CS!$B:$B,0)+COLUMN(G$1),1))</f>
        <v>0</v>
      </c>
      <c r="AY89">
        <f>IF($A89="","", INDEX(CS!$B$1:$B$12815,MATCH($A89,CS!$B:$B,0)+COLUMN(H$1),1))</f>
        <v>0</v>
      </c>
      <c r="AZ89" t="str">
        <f>IF($A89="","", INDEX(CS!$B$1:$B$12815,MATCH($A89,CS!$B:$B,0)+COLUMN(I$1),1))</f>
        <v>水強化</v>
      </c>
      <c r="BA89" t="str">
        <f>IF($A89="","", INDEX(CS!$B$1:$B$12815,MATCH($A89,CS!$B:$B,0)+COLUMN(J$1),1))</f>
        <v>水の唾</v>
      </c>
      <c r="BB89" t="s">
        <v>944</v>
      </c>
      <c r="BC89" t="s">
        <v>194</v>
      </c>
      <c r="BD89" s="36" t="s">
        <v>949</v>
      </c>
    </row>
    <row r="90" spans="1:81" x14ac:dyDescent="0.4">
      <c r="C90" t="s">
        <v>194</v>
      </c>
      <c r="D90" t="str">
        <f t="shared" si="1"/>
        <v>0/0/0</v>
      </c>
      <c r="E90">
        <v>1</v>
      </c>
      <c r="AR90" t="str">
        <f>IF($A90="","", INDEX(CS!$B$1:$B$12815,MATCH($A90,CS!$B:$B,0)+COLUMN(A$1),1))</f>
        <v/>
      </c>
      <c r="AS90" t="str">
        <f>IF($A90="","", INDEX(CS!$B$1:$B$12815,MATCH($A90,CS!$B:$B,0)+COLUMN(B$1),1))</f>
        <v/>
      </c>
      <c r="AT90" t="str">
        <f>IF($A90="","", INDEX(CS!$B$1:$B$12815,MATCH($A90,CS!$B:$B,0)+COLUMN(C$1),1))</f>
        <v/>
      </c>
      <c r="AU90" t="str">
        <f>IF($A90="","", INDEX(CS!$B$1:$B$12815,MATCH($A90,CS!$B:$B,0)+COLUMN(D$1),1))</f>
        <v/>
      </c>
      <c r="AV90" t="str">
        <f>IF($A90="","", INDEX(CS!$B$1:$B$12815,MATCH($A90,CS!$B:$B,0)+COLUMN(E$1),1))</f>
        <v/>
      </c>
      <c r="AW90" t="str">
        <f>IF($A90="","", INDEX(CS!$B$1:$B$12815,MATCH($A90,CS!$B:$B,0)+COLUMN(F$1),1))</f>
        <v/>
      </c>
      <c r="AX90" t="str">
        <f>IF($A90="","", INDEX(CS!$B$1:$B$12815,MATCH($A90,CS!$B:$B,0)+COLUMN(G$1),1))</f>
        <v/>
      </c>
      <c r="AY90" t="str">
        <f>IF($A90="","", INDEX(CS!$B$1:$B$12815,MATCH($A90,CS!$B:$B,0)+COLUMN(H$1),1))</f>
        <v/>
      </c>
      <c r="AZ90" t="str">
        <f>IF($A90="","", INDEX(CS!$B$1:$B$12815,MATCH($A90,CS!$B:$B,0)+COLUMN(I$1),1))</f>
        <v/>
      </c>
      <c r="BA90" t="str">
        <f>IF($A90="","", INDEX(CS!$B$1:$B$12815,MATCH($A90,CS!$B:$B,0)+COLUMN(J$1),1))</f>
        <v/>
      </c>
    </row>
    <row r="91" spans="1:81" x14ac:dyDescent="0.4">
      <c r="C91" t="s">
        <v>194</v>
      </c>
      <c r="D91" t="str">
        <f t="shared" si="1"/>
        <v>0/0/0</v>
      </c>
      <c r="E91">
        <v>1</v>
      </c>
      <c r="AR91" t="str">
        <f>IF($A91="","", INDEX(CS!$B$1:$B$12815,MATCH($A91,CS!$B:$B,0)+COLUMN(A$1),1))</f>
        <v/>
      </c>
      <c r="AS91" t="str">
        <f>IF($A91="","", INDEX(CS!$B$1:$B$12815,MATCH($A91,CS!$B:$B,0)+COLUMN(B$1),1))</f>
        <v/>
      </c>
      <c r="AT91" t="str">
        <f>IF($A91="","", INDEX(CS!$B$1:$B$12815,MATCH($A91,CS!$B:$B,0)+COLUMN(C$1),1))</f>
        <v/>
      </c>
      <c r="AU91" t="str">
        <f>IF($A91="","", INDEX(CS!$B$1:$B$12815,MATCH($A91,CS!$B:$B,0)+COLUMN(D$1),1))</f>
        <v/>
      </c>
      <c r="AV91" t="str">
        <f>IF($A91="","", INDEX(CS!$B$1:$B$12815,MATCH($A91,CS!$B:$B,0)+COLUMN(E$1),1))</f>
        <v/>
      </c>
      <c r="AW91" t="str">
        <f>IF($A91="","", INDEX(CS!$B$1:$B$12815,MATCH($A91,CS!$B:$B,0)+COLUMN(F$1),1))</f>
        <v/>
      </c>
      <c r="AX91" t="str">
        <f>IF($A91="","", INDEX(CS!$B$1:$B$12815,MATCH($A91,CS!$B:$B,0)+COLUMN(G$1),1))</f>
        <v/>
      </c>
      <c r="AY91" t="str">
        <f>IF($A91="","", INDEX(CS!$B$1:$B$12815,MATCH($A91,CS!$B:$B,0)+COLUMN(H$1),1))</f>
        <v/>
      </c>
      <c r="AZ91" t="str">
        <f>IF($A91="","", INDEX(CS!$B$1:$B$12815,MATCH($A91,CS!$B:$B,0)+COLUMN(I$1),1))</f>
        <v/>
      </c>
      <c r="BA91" t="str">
        <f>IF($A91="","", INDEX(CS!$B$1:$B$12815,MATCH($A91,CS!$B:$B,0)+COLUMN(J$1),1))</f>
        <v/>
      </c>
      <c r="BM91" s="53"/>
      <c r="BN91" s="53"/>
      <c r="BO91" s="53"/>
      <c r="BP91" s="53"/>
      <c r="BQ91" s="53"/>
    </row>
    <row r="92" spans="1:81" x14ac:dyDescent="0.4">
      <c r="A92" t="s">
        <v>907</v>
      </c>
      <c r="C92" t="s">
        <v>194</v>
      </c>
      <c r="D92" t="str">
        <f t="shared" ref="D92:D155" si="7">SUM(AC92:AQ92,F92:L92)&amp;"/"&amp;SUM(F92:L92)&amp;"/"&amp;SUM(AC92:AQ92)</f>
        <v>505/505/0</v>
      </c>
      <c r="E92">
        <v>1</v>
      </c>
      <c r="F92">
        <v>100</v>
      </c>
      <c r="G92">
        <v>85</v>
      </c>
      <c r="H92">
        <v>70</v>
      </c>
      <c r="I92" s="24">
        <v>50</v>
      </c>
      <c r="J92">
        <v>50</v>
      </c>
      <c r="K92">
        <v>75</v>
      </c>
      <c r="L92">
        <v>75</v>
      </c>
      <c r="M92">
        <v>250</v>
      </c>
      <c r="N92" s="17">
        <v>5</v>
      </c>
      <c r="O92" s="17">
        <v>5</v>
      </c>
      <c r="S92" s="17">
        <v>5</v>
      </c>
      <c r="V92">
        <v>-15</v>
      </c>
      <c r="W92">
        <v>5</v>
      </c>
      <c r="X92">
        <v>5</v>
      </c>
      <c r="AR92" t="str">
        <f>IF($A92="","", INDEX(CS!$B$1:$B$12815,MATCH($A92,CS!$B:$B,0)+COLUMN(A$1),1))</f>
        <v>爪</v>
      </c>
      <c r="AS92">
        <f>IF($A92="","", INDEX(CS!$B$1:$B$12815,MATCH($A92,CS!$B:$B,0)+COLUMN(B$1),1))</f>
        <v>0</v>
      </c>
      <c r="AT92" t="str">
        <f>IF($A92="","", INDEX(CS!$B$1:$B$12815,MATCH($A92,CS!$B:$B,0)+COLUMN(C$1),1))</f>
        <v>翼</v>
      </c>
      <c r="AU92">
        <f>IF($A92="","", INDEX(CS!$B$1:$B$12815,MATCH($A92,CS!$B:$B,0)+COLUMN(D$1),1))</f>
        <v>0</v>
      </c>
      <c r="AV92" t="str">
        <f>IF($A92="","", INDEX(CS!$B$1:$B$12815,MATCH($A92,CS!$B:$B,0)+COLUMN(E$1),1))</f>
        <v>威圧</v>
      </c>
      <c r="AW92" t="str">
        <f>IF($A92="","", INDEX(CS!$B$1:$B$12815,MATCH($A92,CS!$B:$B,0)+COLUMN(F$1),1))</f>
        <v>毒の唾</v>
      </c>
      <c r="AX92">
        <f>IF($A92="","", INDEX(CS!$B$1:$B$12815,MATCH($A92,CS!$B:$B,0)+COLUMN(G$1),1))</f>
        <v>0</v>
      </c>
      <c r="AY92" t="str">
        <f>IF($A92="","", INDEX(CS!$B$1:$B$12815,MATCH($A92,CS!$B:$B,0)+COLUMN(H$1),1))</f>
        <v>毒の尾</v>
      </c>
      <c r="AZ92" t="str">
        <f>IF($A92="","", INDEX(CS!$B$1:$B$12815,MATCH($A92,CS!$B:$B,0)+COLUMN(I$1),1))</f>
        <v>外皮</v>
      </c>
      <c r="BA92">
        <f>IF($A92="","", INDEX(CS!$B$1:$B$12815,MATCH($A92,CS!$B:$B,0)+COLUMN(J$1),1))</f>
        <v>0</v>
      </c>
      <c r="BM92" s="53">
        <v>200</v>
      </c>
      <c r="BN92" s="52">
        <v>0</v>
      </c>
      <c r="BO92" s="52">
        <v>0</v>
      </c>
      <c r="BP92" s="52">
        <v>180</v>
      </c>
      <c r="BQ92" s="52">
        <v>20</v>
      </c>
      <c r="BV92" t="s">
        <v>971</v>
      </c>
      <c r="BW92" t="s">
        <v>971</v>
      </c>
      <c r="BX92" t="s">
        <v>971</v>
      </c>
      <c r="BY92" t="s">
        <v>971</v>
      </c>
      <c r="BZ92" t="s">
        <v>971</v>
      </c>
      <c r="CC92" t="s">
        <v>1055</v>
      </c>
    </row>
    <row r="93" spans="1:81" x14ac:dyDescent="0.4">
      <c r="C93" t="s">
        <v>194</v>
      </c>
      <c r="D93" t="str">
        <f t="shared" si="7"/>
        <v>0/0/0</v>
      </c>
      <c r="E93">
        <v>1</v>
      </c>
      <c r="AR93" t="str">
        <f>IF($A93="","", INDEX(CS!$B$1:$B$12815,MATCH($A93,CS!$B:$B,0)+COLUMN(A$1),1))</f>
        <v/>
      </c>
      <c r="AS93" t="str">
        <f>IF($A93="","", INDEX(CS!$B$1:$B$12815,MATCH($A93,CS!$B:$B,0)+COLUMN(B$1),1))</f>
        <v/>
      </c>
      <c r="AT93" t="str">
        <f>IF($A93="","", INDEX(CS!$B$1:$B$12815,MATCH($A93,CS!$B:$B,0)+COLUMN(C$1),1))</f>
        <v/>
      </c>
      <c r="AU93" t="str">
        <f>IF($A93="","", INDEX(CS!$B$1:$B$12815,MATCH($A93,CS!$B:$B,0)+COLUMN(D$1),1))</f>
        <v/>
      </c>
      <c r="AV93" t="str">
        <f>IF($A93="","", INDEX(CS!$B$1:$B$12815,MATCH($A93,CS!$B:$B,0)+COLUMN(E$1),1))</f>
        <v/>
      </c>
      <c r="AW93" t="str">
        <f>IF($A93="","", INDEX(CS!$B$1:$B$12815,MATCH($A93,CS!$B:$B,0)+COLUMN(F$1),1))</f>
        <v/>
      </c>
      <c r="AX93" t="str">
        <f>IF($A93="","", INDEX(CS!$B$1:$B$12815,MATCH($A93,CS!$B:$B,0)+COLUMN(G$1),1))</f>
        <v/>
      </c>
      <c r="AY93" t="str">
        <f>IF($A93="","", INDEX(CS!$B$1:$B$12815,MATCH($A93,CS!$B:$B,0)+COLUMN(H$1),1))</f>
        <v/>
      </c>
      <c r="AZ93" t="str">
        <f>IF($A93="","", INDEX(CS!$B$1:$B$12815,MATCH($A93,CS!$B:$B,0)+COLUMN(I$1),1))</f>
        <v/>
      </c>
      <c r="BA93" t="str">
        <f>IF($A93="","", INDEX(CS!$B$1:$B$12815,MATCH($A93,CS!$B:$B,0)+COLUMN(J$1),1))</f>
        <v/>
      </c>
    </row>
    <row r="94" spans="1:81" x14ac:dyDescent="0.4">
      <c r="C94" t="s">
        <v>194</v>
      </c>
      <c r="D94" t="str">
        <f t="shared" si="7"/>
        <v>0/0/0</v>
      </c>
      <c r="E94">
        <v>1</v>
      </c>
      <c r="AR94" t="str">
        <f>IF($A94="","", INDEX(CS!$B$1:$B$12815,MATCH($A94,CS!$B:$B,0)+COLUMN(A$1),1))</f>
        <v/>
      </c>
      <c r="AS94" t="str">
        <f>IF($A94="","", INDEX(CS!$B$1:$B$12815,MATCH($A94,CS!$B:$B,0)+COLUMN(B$1),1))</f>
        <v/>
      </c>
      <c r="AT94" t="str">
        <f>IF($A94="","", INDEX(CS!$B$1:$B$12815,MATCH($A94,CS!$B:$B,0)+COLUMN(C$1),1))</f>
        <v/>
      </c>
      <c r="AU94" t="str">
        <f>IF($A94="","", INDEX(CS!$B$1:$B$12815,MATCH($A94,CS!$B:$B,0)+COLUMN(D$1),1))</f>
        <v/>
      </c>
      <c r="AV94" t="str">
        <f>IF($A94="","", INDEX(CS!$B$1:$B$12815,MATCH($A94,CS!$B:$B,0)+COLUMN(E$1),1))</f>
        <v/>
      </c>
      <c r="AW94" t="str">
        <f>IF($A94="","", INDEX(CS!$B$1:$B$12815,MATCH($A94,CS!$B:$B,0)+COLUMN(F$1),1))</f>
        <v/>
      </c>
      <c r="AX94" t="str">
        <f>IF($A94="","", INDEX(CS!$B$1:$B$12815,MATCH($A94,CS!$B:$B,0)+COLUMN(G$1),1))</f>
        <v/>
      </c>
      <c r="AY94" t="str">
        <f>IF($A94="","", INDEX(CS!$B$1:$B$12815,MATCH($A94,CS!$B:$B,0)+COLUMN(H$1),1))</f>
        <v/>
      </c>
      <c r="AZ94" t="str">
        <f>IF($A94="","", INDEX(CS!$B$1:$B$12815,MATCH($A94,CS!$B:$B,0)+COLUMN(I$1),1))</f>
        <v/>
      </c>
      <c r="BA94" t="str">
        <f>IF($A94="","", INDEX(CS!$B$1:$B$12815,MATCH($A94,CS!$B:$B,0)+COLUMN(J$1),1))</f>
        <v/>
      </c>
    </row>
    <row r="95" spans="1:81" x14ac:dyDescent="0.4">
      <c r="C95" t="s">
        <v>194</v>
      </c>
      <c r="D95" t="str">
        <f t="shared" si="7"/>
        <v>0/0/0</v>
      </c>
      <c r="E95">
        <v>1</v>
      </c>
      <c r="AR95" t="str">
        <f>IF($A95="","", INDEX(CS!$B$1:$B$12815,MATCH($A95,CS!$B:$B,0)+COLUMN(A$1),1))</f>
        <v/>
      </c>
      <c r="AS95" t="str">
        <f>IF($A95="","", INDEX(CS!$B$1:$B$12815,MATCH($A95,CS!$B:$B,0)+COLUMN(B$1),1))</f>
        <v/>
      </c>
      <c r="AT95" t="str">
        <f>IF($A95="","", INDEX(CS!$B$1:$B$12815,MATCH($A95,CS!$B:$B,0)+COLUMN(C$1),1))</f>
        <v/>
      </c>
      <c r="AU95" t="str">
        <f>IF($A95="","", INDEX(CS!$B$1:$B$12815,MATCH($A95,CS!$B:$B,0)+COLUMN(D$1),1))</f>
        <v/>
      </c>
      <c r="AV95" t="str">
        <f>IF($A95="","", INDEX(CS!$B$1:$B$12815,MATCH($A95,CS!$B:$B,0)+COLUMN(E$1),1))</f>
        <v/>
      </c>
      <c r="AW95" t="str">
        <f>IF($A95="","", INDEX(CS!$B$1:$B$12815,MATCH($A95,CS!$B:$B,0)+COLUMN(F$1),1))</f>
        <v/>
      </c>
      <c r="AX95" t="str">
        <f>IF($A95="","", INDEX(CS!$B$1:$B$12815,MATCH($A95,CS!$B:$B,0)+COLUMN(G$1),1))</f>
        <v/>
      </c>
      <c r="AY95" t="str">
        <f>IF($A95="","", INDEX(CS!$B$1:$B$12815,MATCH($A95,CS!$B:$B,0)+COLUMN(H$1),1))</f>
        <v/>
      </c>
      <c r="AZ95" t="str">
        <f>IF($A95="","", INDEX(CS!$B$1:$B$12815,MATCH($A95,CS!$B:$B,0)+COLUMN(I$1),1))</f>
        <v/>
      </c>
      <c r="BA95" t="str">
        <f>IF($A95="","", INDEX(CS!$B$1:$B$12815,MATCH($A95,CS!$B:$B,0)+COLUMN(J$1),1))</f>
        <v/>
      </c>
    </row>
    <row r="96" spans="1:81" x14ac:dyDescent="0.4">
      <c r="C96" t="s">
        <v>194</v>
      </c>
      <c r="D96" t="str">
        <f t="shared" si="7"/>
        <v>0/0/0</v>
      </c>
      <c r="E96">
        <v>1</v>
      </c>
      <c r="AR96" t="str">
        <f>IF($A96="","", INDEX(CS!$B$1:$B$12815,MATCH($A96,CS!$B:$B,0)+COLUMN(A$1),1))</f>
        <v/>
      </c>
      <c r="AS96" t="str">
        <f>IF($A96="","", INDEX(CS!$B$1:$B$12815,MATCH($A96,CS!$B:$B,0)+COLUMN(B$1),1))</f>
        <v/>
      </c>
      <c r="AT96" t="str">
        <f>IF($A96="","", INDEX(CS!$B$1:$B$12815,MATCH($A96,CS!$B:$B,0)+COLUMN(C$1),1))</f>
        <v/>
      </c>
      <c r="AU96" t="str">
        <f>IF($A96="","", INDEX(CS!$B$1:$B$12815,MATCH($A96,CS!$B:$B,0)+COLUMN(D$1),1))</f>
        <v/>
      </c>
      <c r="AV96" t="str">
        <f>IF($A96="","", INDEX(CS!$B$1:$B$12815,MATCH($A96,CS!$B:$B,0)+COLUMN(E$1),1))</f>
        <v/>
      </c>
      <c r="AW96" t="str">
        <f>IF($A96="","", INDEX(CS!$B$1:$B$12815,MATCH($A96,CS!$B:$B,0)+COLUMN(F$1),1))</f>
        <v/>
      </c>
      <c r="AX96" t="str">
        <f>IF($A96="","", INDEX(CS!$B$1:$B$12815,MATCH($A96,CS!$B:$B,0)+COLUMN(G$1),1))</f>
        <v/>
      </c>
      <c r="AY96" t="str">
        <f>IF($A96="","", INDEX(CS!$B$1:$B$12815,MATCH($A96,CS!$B:$B,0)+COLUMN(H$1),1))</f>
        <v/>
      </c>
      <c r="AZ96" t="str">
        <f>IF($A96="","", INDEX(CS!$B$1:$B$12815,MATCH($A96,CS!$B:$B,0)+COLUMN(I$1),1))</f>
        <v/>
      </c>
      <c r="BA96" t="str">
        <f>IF($A96="","", INDEX(CS!$B$1:$B$12815,MATCH($A96,CS!$B:$B,0)+COLUMN(J$1),1))</f>
        <v/>
      </c>
    </row>
    <row r="97" spans="3:53" x14ac:dyDescent="0.4">
      <c r="C97" t="s">
        <v>194</v>
      </c>
      <c r="D97" t="str">
        <f t="shared" si="7"/>
        <v>0/0/0</v>
      </c>
      <c r="E97">
        <v>1</v>
      </c>
      <c r="AR97" t="str">
        <f>IF($A97="","", INDEX(CS!$B$1:$B$12815,MATCH($A97,CS!$B:$B,0)+COLUMN(A$1),1))</f>
        <v/>
      </c>
      <c r="AS97" t="str">
        <f>IF($A97="","", INDEX(CS!$B$1:$B$12815,MATCH($A97,CS!$B:$B,0)+COLUMN(B$1),1))</f>
        <v/>
      </c>
      <c r="AT97" t="str">
        <f>IF($A97="","", INDEX(CS!$B$1:$B$12815,MATCH($A97,CS!$B:$B,0)+COLUMN(C$1),1))</f>
        <v/>
      </c>
      <c r="AU97" t="str">
        <f>IF($A97="","", INDEX(CS!$B$1:$B$12815,MATCH($A97,CS!$B:$B,0)+COLUMN(D$1),1))</f>
        <v/>
      </c>
      <c r="AV97" t="str">
        <f>IF($A97="","", INDEX(CS!$B$1:$B$12815,MATCH($A97,CS!$B:$B,0)+COLUMN(E$1),1))</f>
        <v/>
      </c>
      <c r="AW97" t="str">
        <f>IF($A97="","", INDEX(CS!$B$1:$B$12815,MATCH($A97,CS!$B:$B,0)+COLUMN(F$1),1))</f>
        <v/>
      </c>
      <c r="AX97" t="str">
        <f>IF($A97="","", INDEX(CS!$B$1:$B$12815,MATCH($A97,CS!$B:$B,0)+COLUMN(G$1),1))</f>
        <v/>
      </c>
      <c r="AY97" t="str">
        <f>IF($A97="","", INDEX(CS!$B$1:$B$12815,MATCH($A97,CS!$B:$B,0)+COLUMN(H$1),1))</f>
        <v/>
      </c>
      <c r="AZ97" t="str">
        <f>IF($A97="","", INDEX(CS!$B$1:$B$12815,MATCH($A97,CS!$B:$B,0)+COLUMN(I$1),1))</f>
        <v/>
      </c>
      <c r="BA97" t="str">
        <f>IF($A97="","", INDEX(CS!$B$1:$B$12815,MATCH($A97,CS!$B:$B,0)+COLUMN(J$1),1))</f>
        <v/>
      </c>
    </row>
    <row r="98" spans="3:53" x14ac:dyDescent="0.4">
      <c r="C98" t="s">
        <v>194</v>
      </c>
      <c r="D98" t="str">
        <f t="shared" si="7"/>
        <v>0/0/0</v>
      </c>
      <c r="E98">
        <v>1</v>
      </c>
      <c r="AR98" t="str">
        <f>IF($A98="","", INDEX(CS!$B$1:$B$12815,MATCH($A98,CS!$B:$B,0)+COLUMN(A$1),1))</f>
        <v/>
      </c>
      <c r="AS98" t="str">
        <f>IF($A98="","", INDEX(CS!$B$1:$B$12815,MATCH($A98,CS!$B:$B,0)+COLUMN(B$1),1))</f>
        <v/>
      </c>
      <c r="AT98" t="str">
        <f>IF($A98="","", INDEX(CS!$B$1:$B$12815,MATCH($A98,CS!$B:$B,0)+COLUMN(C$1),1))</f>
        <v/>
      </c>
      <c r="AU98" t="str">
        <f>IF($A98="","", INDEX(CS!$B$1:$B$12815,MATCH($A98,CS!$B:$B,0)+COLUMN(D$1),1))</f>
        <v/>
      </c>
      <c r="AV98" t="str">
        <f>IF($A98="","", INDEX(CS!$B$1:$B$12815,MATCH($A98,CS!$B:$B,0)+COLUMN(E$1),1))</f>
        <v/>
      </c>
      <c r="AW98" t="str">
        <f>IF($A98="","", INDEX(CS!$B$1:$B$12815,MATCH($A98,CS!$B:$B,0)+COLUMN(F$1),1))</f>
        <v/>
      </c>
      <c r="AX98" t="str">
        <f>IF($A98="","", INDEX(CS!$B$1:$B$12815,MATCH($A98,CS!$B:$B,0)+COLUMN(G$1),1))</f>
        <v/>
      </c>
      <c r="AY98" t="str">
        <f>IF($A98="","", INDEX(CS!$B$1:$B$12815,MATCH($A98,CS!$B:$B,0)+COLUMN(H$1),1))</f>
        <v/>
      </c>
      <c r="AZ98" t="str">
        <f>IF($A98="","", INDEX(CS!$B$1:$B$12815,MATCH($A98,CS!$B:$B,0)+COLUMN(I$1),1))</f>
        <v/>
      </c>
      <c r="BA98" t="str">
        <f>IF($A98="","", INDEX(CS!$B$1:$B$12815,MATCH($A98,CS!$B:$B,0)+COLUMN(J$1),1))</f>
        <v/>
      </c>
    </row>
    <row r="99" spans="3:53" x14ac:dyDescent="0.4">
      <c r="C99" t="s">
        <v>194</v>
      </c>
      <c r="D99" t="str">
        <f t="shared" si="7"/>
        <v>0/0/0</v>
      </c>
      <c r="E99">
        <v>1</v>
      </c>
      <c r="AR99" t="str">
        <f>IF($A99="","", INDEX(CS!$B$1:$B$12815,MATCH($A99,CS!$B:$B,0)+COLUMN(A$1),1))</f>
        <v/>
      </c>
      <c r="AS99" t="str">
        <f>IF($A99="","", INDEX(CS!$B$1:$B$12815,MATCH($A99,CS!$B:$B,0)+COLUMN(B$1),1))</f>
        <v/>
      </c>
      <c r="AT99" t="str">
        <f>IF($A99="","", INDEX(CS!$B$1:$B$12815,MATCH($A99,CS!$B:$B,0)+COLUMN(C$1),1))</f>
        <v/>
      </c>
      <c r="AU99" t="str">
        <f>IF($A99="","", INDEX(CS!$B$1:$B$12815,MATCH($A99,CS!$B:$B,0)+COLUMN(D$1),1))</f>
        <v/>
      </c>
      <c r="AV99" t="str">
        <f>IF($A99="","", INDEX(CS!$B$1:$B$12815,MATCH($A99,CS!$B:$B,0)+COLUMN(E$1),1))</f>
        <v/>
      </c>
      <c r="AW99" t="str">
        <f>IF($A99="","", INDEX(CS!$B$1:$B$12815,MATCH($A99,CS!$B:$B,0)+COLUMN(F$1),1))</f>
        <v/>
      </c>
      <c r="AX99" t="str">
        <f>IF($A99="","", INDEX(CS!$B$1:$B$12815,MATCH($A99,CS!$B:$B,0)+COLUMN(G$1),1))</f>
        <v/>
      </c>
      <c r="AY99" t="str">
        <f>IF($A99="","", INDEX(CS!$B$1:$B$12815,MATCH($A99,CS!$B:$B,0)+COLUMN(H$1),1))</f>
        <v/>
      </c>
      <c r="AZ99" t="str">
        <f>IF($A99="","", INDEX(CS!$B$1:$B$12815,MATCH($A99,CS!$B:$B,0)+COLUMN(I$1),1))</f>
        <v/>
      </c>
      <c r="BA99" t="str">
        <f>IF($A99="","", INDEX(CS!$B$1:$B$12815,MATCH($A99,CS!$B:$B,0)+COLUMN(J$1),1))</f>
        <v/>
      </c>
    </row>
    <row r="100" spans="3:53" x14ac:dyDescent="0.4">
      <c r="C100" t="s">
        <v>194</v>
      </c>
      <c r="D100" t="str">
        <f t="shared" si="7"/>
        <v>0/0/0</v>
      </c>
      <c r="E100">
        <v>1</v>
      </c>
      <c r="AR100" t="str">
        <f>IF($A100="","", INDEX(CS!$B$1:$B$12815,MATCH($A100,CS!$B:$B,0)+COLUMN(A$1),1))</f>
        <v/>
      </c>
      <c r="AS100" t="str">
        <f>IF($A100="","", INDEX(CS!$B$1:$B$12815,MATCH($A100,CS!$B:$B,0)+COLUMN(B$1),1))</f>
        <v/>
      </c>
      <c r="AT100" t="str">
        <f>IF($A100="","", INDEX(CS!$B$1:$B$12815,MATCH($A100,CS!$B:$B,0)+COLUMN(C$1),1))</f>
        <v/>
      </c>
      <c r="AU100" t="str">
        <f>IF($A100="","", INDEX(CS!$B$1:$B$12815,MATCH($A100,CS!$B:$B,0)+COLUMN(D$1),1))</f>
        <v/>
      </c>
      <c r="AV100" t="str">
        <f>IF($A100="","", INDEX(CS!$B$1:$B$12815,MATCH($A100,CS!$B:$B,0)+COLUMN(E$1),1))</f>
        <v/>
      </c>
      <c r="AW100" t="str">
        <f>IF($A100="","", INDEX(CS!$B$1:$B$12815,MATCH($A100,CS!$B:$B,0)+COLUMN(F$1),1))</f>
        <v/>
      </c>
      <c r="AX100" t="str">
        <f>IF($A100="","", INDEX(CS!$B$1:$B$12815,MATCH($A100,CS!$B:$B,0)+COLUMN(G$1),1))</f>
        <v/>
      </c>
      <c r="AY100" t="str">
        <f>IF($A100="","", INDEX(CS!$B$1:$B$12815,MATCH($A100,CS!$B:$B,0)+COLUMN(H$1),1))</f>
        <v/>
      </c>
      <c r="AZ100" t="str">
        <f>IF($A100="","", INDEX(CS!$B$1:$B$12815,MATCH($A100,CS!$B:$B,0)+COLUMN(I$1),1))</f>
        <v/>
      </c>
      <c r="BA100" t="str">
        <f>IF($A100="","", INDEX(CS!$B$1:$B$12815,MATCH($A100,CS!$B:$B,0)+COLUMN(J$1),1))</f>
        <v/>
      </c>
    </row>
    <row r="101" spans="3:53" x14ac:dyDescent="0.4">
      <c r="C101" t="s">
        <v>194</v>
      </c>
      <c r="D101" t="str">
        <f t="shared" si="7"/>
        <v>0/0/0</v>
      </c>
      <c r="E101">
        <v>1</v>
      </c>
      <c r="AR101" t="str">
        <f>IF($A101="","", INDEX(CS!$B$1:$B$12815,MATCH($A101,CS!$B:$B,0)+COLUMN(A$1),1))</f>
        <v/>
      </c>
      <c r="AS101" t="str">
        <f>IF($A101="","", INDEX(CS!$B$1:$B$12815,MATCH($A101,CS!$B:$B,0)+COLUMN(B$1),1))</f>
        <v/>
      </c>
      <c r="AT101" t="str">
        <f>IF($A101="","", INDEX(CS!$B$1:$B$12815,MATCH($A101,CS!$B:$B,0)+COLUMN(C$1),1))</f>
        <v/>
      </c>
      <c r="AU101" t="str">
        <f>IF($A101="","", INDEX(CS!$B$1:$B$12815,MATCH($A101,CS!$B:$B,0)+COLUMN(D$1),1))</f>
        <v/>
      </c>
      <c r="AV101" t="str">
        <f>IF($A101="","", INDEX(CS!$B$1:$B$12815,MATCH($A101,CS!$B:$B,0)+COLUMN(E$1),1))</f>
        <v/>
      </c>
      <c r="AW101" t="str">
        <f>IF($A101="","", INDEX(CS!$B$1:$B$12815,MATCH($A101,CS!$B:$B,0)+COLUMN(F$1),1))</f>
        <v/>
      </c>
      <c r="AX101" t="str">
        <f>IF($A101="","", INDEX(CS!$B$1:$B$12815,MATCH($A101,CS!$B:$B,0)+COLUMN(G$1),1))</f>
        <v/>
      </c>
      <c r="AY101" t="str">
        <f>IF($A101="","", INDEX(CS!$B$1:$B$12815,MATCH($A101,CS!$B:$B,0)+COLUMN(H$1),1))</f>
        <v/>
      </c>
      <c r="AZ101" t="str">
        <f>IF($A101="","", INDEX(CS!$B$1:$B$12815,MATCH($A101,CS!$B:$B,0)+COLUMN(I$1),1))</f>
        <v/>
      </c>
      <c r="BA101" t="str">
        <f>IF($A101="","", INDEX(CS!$B$1:$B$12815,MATCH($A101,CS!$B:$B,0)+COLUMN(J$1),1))</f>
        <v/>
      </c>
    </row>
    <row r="102" spans="3:53" x14ac:dyDescent="0.4">
      <c r="C102" t="s">
        <v>194</v>
      </c>
      <c r="D102" t="str">
        <f t="shared" si="7"/>
        <v>0/0/0</v>
      </c>
      <c r="E102">
        <v>1</v>
      </c>
      <c r="AR102" t="str">
        <f>IF($A102="","", INDEX(CS!$B$1:$B$12815,MATCH($A102,CS!$B:$B,0)+COLUMN(A$1),1))</f>
        <v/>
      </c>
      <c r="AS102" t="str">
        <f>IF($A102="","", INDEX(CS!$B$1:$B$12815,MATCH($A102,CS!$B:$B,0)+COLUMN(B$1),1))</f>
        <v/>
      </c>
      <c r="AT102" t="str">
        <f>IF($A102="","", INDEX(CS!$B$1:$B$12815,MATCH($A102,CS!$B:$B,0)+COLUMN(C$1),1))</f>
        <v/>
      </c>
      <c r="AU102" t="str">
        <f>IF($A102="","", INDEX(CS!$B$1:$B$12815,MATCH($A102,CS!$B:$B,0)+COLUMN(D$1),1))</f>
        <v/>
      </c>
      <c r="AV102" t="str">
        <f>IF($A102="","", INDEX(CS!$B$1:$B$12815,MATCH($A102,CS!$B:$B,0)+COLUMN(E$1),1))</f>
        <v/>
      </c>
      <c r="AW102" t="str">
        <f>IF($A102="","", INDEX(CS!$B$1:$B$12815,MATCH($A102,CS!$B:$B,0)+COLUMN(F$1),1))</f>
        <v/>
      </c>
      <c r="AX102" t="str">
        <f>IF($A102="","", INDEX(CS!$B$1:$B$12815,MATCH($A102,CS!$B:$B,0)+COLUMN(G$1),1))</f>
        <v/>
      </c>
      <c r="AY102" t="str">
        <f>IF($A102="","", INDEX(CS!$B$1:$B$12815,MATCH($A102,CS!$B:$B,0)+COLUMN(H$1),1))</f>
        <v/>
      </c>
      <c r="AZ102" t="str">
        <f>IF($A102="","", INDEX(CS!$B$1:$B$12815,MATCH($A102,CS!$B:$B,0)+COLUMN(I$1),1))</f>
        <v/>
      </c>
      <c r="BA102" t="str">
        <f>IF($A102="","", INDEX(CS!$B$1:$B$12815,MATCH($A102,CS!$B:$B,0)+COLUMN(J$1),1))</f>
        <v/>
      </c>
    </row>
    <row r="103" spans="3:53" x14ac:dyDescent="0.4">
      <c r="C103" t="s">
        <v>194</v>
      </c>
      <c r="D103" t="str">
        <f t="shared" si="7"/>
        <v>0/0/0</v>
      </c>
      <c r="E103">
        <v>1</v>
      </c>
      <c r="AR103" t="str">
        <f>IF($A103="","", INDEX(CS!$B$1:$B$12815,MATCH($A103,CS!$B:$B,0)+COLUMN(A$1),1))</f>
        <v/>
      </c>
      <c r="AS103" t="str">
        <f>IF($A103="","", INDEX(CS!$B$1:$B$12815,MATCH($A103,CS!$B:$B,0)+COLUMN(B$1),1))</f>
        <v/>
      </c>
      <c r="AT103" t="str">
        <f>IF($A103="","", INDEX(CS!$B$1:$B$12815,MATCH($A103,CS!$B:$B,0)+COLUMN(C$1),1))</f>
        <v/>
      </c>
      <c r="AU103" t="str">
        <f>IF($A103="","", INDEX(CS!$B$1:$B$12815,MATCH($A103,CS!$B:$B,0)+COLUMN(D$1),1))</f>
        <v/>
      </c>
      <c r="AV103" t="str">
        <f>IF($A103="","", INDEX(CS!$B$1:$B$12815,MATCH($A103,CS!$B:$B,0)+COLUMN(E$1),1))</f>
        <v/>
      </c>
      <c r="AW103" t="str">
        <f>IF($A103="","", INDEX(CS!$B$1:$B$12815,MATCH($A103,CS!$B:$B,0)+COLUMN(F$1),1))</f>
        <v/>
      </c>
      <c r="AX103" t="str">
        <f>IF($A103="","", INDEX(CS!$B$1:$B$12815,MATCH($A103,CS!$B:$B,0)+COLUMN(G$1),1))</f>
        <v/>
      </c>
      <c r="AY103" t="str">
        <f>IF($A103="","", INDEX(CS!$B$1:$B$12815,MATCH($A103,CS!$B:$B,0)+COLUMN(H$1),1))</f>
        <v/>
      </c>
      <c r="AZ103" t="str">
        <f>IF($A103="","", INDEX(CS!$B$1:$B$12815,MATCH($A103,CS!$B:$B,0)+COLUMN(I$1),1))</f>
        <v/>
      </c>
      <c r="BA103" t="str">
        <f>IF($A103="","", INDEX(CS!$B$1:$B$12815,MATCH($A103,CS!$B:$B,0)+COLUMN(J$1),1))</f>
        <v/>
      </c>
    </row>
    <row r="104" spans="3:53" x14ac:dyDescent="0.4">
      <c r="C104" t="s">
        <v>194</v>
      </c>
      <c r="D104" t="str">
        <f t="shared" si="7"/>
        <v>0/0/0</v>
      </c>
      <c r="E104">
        <v>1</v>
      </c>
      <c r="AR104" t="str">
        <f>IF($A104="","", INDEX(CS!$B$1:$B$12815,MATCH($A104,CS!$B:$B,0)+COLUMN(A$1),1))</f>
        <v/>
      </c>
      <c r="AS104" t="str">
        <f>IF($A104="","", INDEX(CS!$B$1:$B$12815,MATCH($A104,CS!$B:$B,0)+COLUMN(B$1),1))</f>
        <v/>
      </c>
      <c r="AT104" t="str">
        <f>IF($A104="","", INDEX(CS!$B$1:$B$12815,MATCH($A104,CS!$B:$B,0)+COLUMN(C$1),1))</f>
        <v/>
      </c>
      <c r="AU104" t="str">
        <f>IF($A104="","", INDEX(CS!$B$1:$B$12815,MATCH($A104,CS!$B:$B,0)+COLUMN(D$1),1))</f>
        <v/>
      </c>
      <c r="AV104" t="str">
        <f>IF($A104="","", INDEX(CS!$B$1:$B$12815,MATCH($A104,CS!$B:$B,0)+COLUMN(E$1),1))</f>
        <v/>
      </c>
      <c r="AW104" t="str">
        <f>IF($A104="","", INDEX(CS!$B$1:$B$12815,MATCH($A104,CS!$B:$B,0)+COLUMN(F$1),1))</f>
        <v/>
      </c>
      <c r="AX104" t="str">
        <f>IF($A104="","", INDEX(CS!$B$1:$B$12815,MATCH($A104,CS!$B:$B,0)+COLUMN(G$1),1))</f>
        <v/>
      </c>
      <c r="AY104" t="str">
        <f>IF($A104="","", INDEX(CS!$B$1:$B$12815,MATCH($A104,CS!$B:$B,0)+COLUMN(H$1),1))</f>
        <v/>
      </c>
      <c r="AZ104" t="str">
        <f>IF($A104="","", INDEX(CS!$B$1:$B$12815,MATCH($A104,CS!$B:$B,0)+COLUMN(I$1),1))</f>
        <v/>
      </c>
      <c r="BA104" t="str">
        <f>IF($A104="","", INDEX(CS!$B$1:$B$12815,MATCH($A104,CS!$B:$B,0)+COLUMN(J$1),1))</f>
        <v/>
      </c>
    </row>
    <row r="105" spans="3:53" x14ac:dyDescent="0.4">
      <c r="C105" t="s">
        <v>194</v>
      </c>
      <c r="D105" t="str">
        <f t="shared" si="7"/>
        <v>0/0/0</v>
      </c>
      <c r="E105">
        <v>1</v>
      </c>
      <c r="AR105" t="str">
        <f>IF($A105="","", INDEX(CS!$B$1:$B$12815,MATCH($A105,CS!$B:$B,0)+COLUMN(A$1),1))</f>
        <v/>
      </c>
      <c r="AS105" t="str">
        <f>IF($A105="","", INDEX(CS!$B$1:$B$12815,MATCH($A105,CS!$B:$B,0)+COLUMN(B$1),1))</f>
        <v/>
      </c>
      <c r="AT105" t="str">
        <f>IF($A105="","", INDEX(CS!$B$1:$B$12815,MATCH($A105,CS!$B:$B,0)+COLUMN(C$1),1))</f>
        <v/>
      </c>
      <c r="AU105" t="str">
        <f>IF($A105="","", INDEX(CS!$B$1:$B$12815,MATCH($A105,CS!$B:$B,0)+COLUMN(D$1),1))</f>
        <v/>
      </c>
      <c r="AV105" t="str">
        <f>IF($A105="","", INDEX(CS!$B$1:$B$12815,MATCH($A105,CS!$B:$B,0)+COLUMN(E$1),1))</f>
        <v/>
      </c>
      <c r="AW105" t="str">
        <f>IF($A105="","", INDEX(CS!$B$1:$B$12815,MATCH($A105,CS!$B:$B,0)+COLUMN(F$1),1))</f>
        <v/>
      </c>
      <c r="AX105" t="str">
        <f>IF($A105="","", INDEX(CS!$B$1:$B$12815,MATCH($A105,CS!$B:$B,0)+COLUMN(G$1),1))</f>
        <v/>
      </c>
      <c r="AY105" t="str">
        <f>IF($A105="","", INDEX(CS!$B$1:$B$12815,MATCH($A105,CS!$B:$B,0)+COLUMN(H$1),1))</f>
        <v/>
      </c>
      <c r="AZ105" t="str">
        <f>IF($A105="","", INDEX(CS!$B$1:$B$12815,MATCH($A105,CS!$B:$B,0)+COLUMN(I$1),1))</f>
        <v/>
      </c>
      <c r="BA105" t="str">
        <f>IF($A105="","", INDEX(CS!$B$1:$B$12815,MATCH($A105,CS!$B:$B,0)+COLUMN(J$1),1))</f>
        <v/>
      </c>
    </row>
    <row r="106" spans="3:53" x14ac:dyDescent="0.4">
      <c r="C106" t="s">
        <v>194</v>
      </c>
      <c r="D106" t="str">
        <f t="shared" si="7"/>
        <v>0/0/0</v>
      </c>
      <c r="E106">
        <v>1</v>
      </c>
      <c r="AR106" t="str">
        <f>IF($A106="","", INDEX(CS!$B$1:$B$12815,MATCH($A106,CS!$B:$B,0)+COLUMN(A$1),1))</f>
        <v/>
      </c>
      <c r="AS106" t="str">
        <f>IF($A106="","", INDEX(CS!$B$1:$B$12815,MATCH($A106,CS!$B:$B,0)+COLUMN(B$1),1))</f>
        <v/>
      </c>
      <c r="AT106" t="str">
        <f>IF($A106="","", INDEX(CS!$B$1:$B$12815,MATCH($A106,CS!$B:$B,0)+COLUMN(C$1),1))</f>
        <v/>
      </c>
      <c r="AU106" t="str">
        <f>IF($A106="","", INDEX(CS!$B$1:$B$12815,MATCH($A106,CS!$B:$B,0)+COLUMN(D$1),1))</f>
        <v/>
      </c>
      <c r="AV106" t="str">
        <f>IF($A106="","", INDEX(CS!$B$1:$B$12815,MATCH($A106,CS!$B:$B,0)+COLUMN(E$1),1))</f>
        <v/>
      </c>
      <c r="AW106" t="str">
        <f>IF($A106="","", INDEX(CS!$B$1:$B$12815,MATCH($A106,CS!$B:$B,0)+COLUMN(F$1),1))</f>
        <v/>
      </c>
      <c r="AX106" t="str">
        <f>IF($A106="","", INDEX(CS!$B$1:$B$12815,MATCH($A106,CS!$B:$B,0)+COLUMN(G$1),1))</f>
        <v/>
      </c>
      <c r="AY106" t="str">
        <f>IF($A106="","", INDEX(CS!$B$1:$B$12815,MATCH($A106,CS!$B:$B,0)+COLUMN(H$1),1))</f>
        <v/>
      </c>
      <c r="AZ106" t="str">
        <f>IF($A106="","", INDEX(CS!$B$1:$B$12815,MATCH($A106,CS!$B:$B,0)+COLUMN(I$1),1))</f>
        <v/>
      </c>
      <c r="BA106" t="str">
        <f>IF($A106="","", INDEX(CS!$B$1:$B$12815,MATCH($A106,CS!$B:$B,0)+COLUMN(J$1),1))</f>
        <v/>
      </c>
    </row>
    <row r="107" spans="3:53" x14ac:dyDescent="0.4">
      <c r="C107" t="s">
        <v>194</v>
      </c>
      <c r="D107" t="str">
        <f t="shared" si="7"/>
        <v>0/0/0</v>
      </c>
      <c r="E107">
        <v>1</v>
      </c>
      <c r="AR107" t="str">
        <f>IF($A107="","", INDEX(CS!$B$1:$B$12815,MATCH($A107,CS!$B:$B,0)+COLUMN(A$1),1))</f>
        <v/>
      </c>
      <c r="AS107" t="str">
        <f>IF($A107="","", INDEX(CS!$B$1:$B$12815,MATCH($A107,CS!$B:$B,0)+COLUMN(B$1),1))</f>
        <v/>
      </c>
      <c r="AT107" t="str">
        <f>IF($A107="","", INDEX(CS!$B$1:$B$12815,MATCH($A107,CS!$B:$B,0)+COLUMN(C$1),1))</f>
        <v/>
      </c>
      <c r="AU107" t="str">
        <f>IF($A107="","", INDEX(CS!$B$1:$B$12815,MATCH($A107,CS!$B:$B,0)+COLUMN(D$1),1))</f>
        <v/>
      </c>
      <c r="AV107" t="str">
        <f>IF($A107="","", INDEX(CS!$B$1:$B$12815,MATCH($A107,CS!$B:$B,0)+COLUMN(E$1),1))</f>
        <v/>
      </c>
      <c r="AW107" t="str">
        <f>IF($A107="","", INDEX(CS!$B$1:$B$12815,MATCH($A107,CS!$B:$B,0)+COLUMN(F$1),1))</f>
        <v/>
      </c>
      <c r="AX107" t="str">
        <f>IF($A107="","", INDEX(CS!$B$1:$B$12815,MATCH($A107,CS!$B:$B,0)+COLUMN(G$1),1))</f>
        <v/>
      </c>
      <c r="AY107" t="str">
        <f>IF($A107="","", INDEX(CS!$B$1:$B$12815,MATCH($A107,CS!$B:$B,0)+COLUMN(H$1),1))</f>
        <v/>
      </c>
      <c r="AZ107" t="str">
        <f>IF($A107="","", INDEX(CS!$B$1:$B$12815,MATCH($A107,CS!$B:$B,0)+COLUMN(I$1),1))</f>
        <v/>
      </c>
      <c r="BA107" t="str">
        <f>IF($A107="","", INDEX(CS!$B$1:$B$12815,MATCH($A107,CS!$B:$B,0)+COLUMN(J$1),1))</f>
        <v/>
      </c>
    </row>
    <row r="108" spans="3:53" x14ac:dyDescent="0.4">
      <c r="C108" t="s">
        <v>194</v>
      </c>
      <c r="D108" t="str">
        <f t="shared" si="7"/>
        <v>0/0/0</v>
      </c>
      <c r="E108">
        <v>1</v>
      </c>
      <c r="AR108" t="str">
        <f>IF($A108="","", INDEX(CS!$B$1:$B$12815,MATCH($A108,CS!$B:$B,0)+COLUMN(A$1),1))</f>
        <v/>
      </c>
      <c r="AS108" t="str">
        <f>IF($A108="","", INDEX(CS!$B$1:$B$12815,MATCH($A108,CS!$B:$B,0)+COLUMN(B$1),1))</f>
        <v/>
      </c>
      <c r="AT108" t="str">
        <f>IF($A108="","", INDEX(CS!$B$1:$B$12815,MATCH($A108,CS!$B:$B,0)+COLUMN(C$1),1))</f>
        <v/>
      </c>
      <c r="AU108" t="str">
        <f>IF($A108="","", INDEX(CS!$B$1:$B$12815,MATCH($A108,CS!$B:$B,0)+COLUMN(D$1),1))</f>
        <v/>
      </c>
      <c r="AV108" t="str">
        <f>IF($A108="","", INDEX(CS!$B$1:$B$12815,MATCH($A108,CS!$B:$B,0)+COLUMN(E$1),1))</f>
        <v/>
      </c>
      <c r="AW108" t="str">
        <f>IF($A108="","", INDEX(CS!$B$1:$B$12815,MATCH($A108,CS!$B:$B,0)+COLUMN(F$1),1))</f>
        <v/>
      </c>
      <c r="AX108" t="str">
        <f>IF($A108="","", INDEX(CS!$B$1:$B$12815,MATCH($A108,CS!$B:$B,0)+COLUMN(G$1),1))</f>
        <v/>
      </c>
      <c r="AY108" t="str">
        <f>IF($A108="","", INDEX(CS!$B$1:$B$12815,MATCH($A108,CS!$B:$B,0)+COLUMN(H$1),1))</f>
        <v/>
      </c>
      <c r="AZ108" t="str">
        <f>IF($A108="","", INDEX(CS!$B$1:$B$12815,MATCH($A108,CS!$B:$B,0)+COLUMN(I$1),1))</f>
        <v/>
      </c>
      <c r="BA108" t="str">
        <f>IF($A108="","", INDEX(CS!$B$1:$B$12815,MATCH($A108,CS!$B:$B,0)+COLUMN(J$1),1))</f>
        <v/>
      </c>
    </row>
    <row r="109" spans="3:53" x14ac:dyDescent="0.4">
      <c r="C109" t="s">
        <v>194</v>
      </c>
      <c r="D109" t="str">
        <f t="shared" si="7"/>
        <v>0/0/0</v>
      </c>
      <c r="E109">
        <v>1</v>
      </c>
      <c r="AR109" t="str">
        <f>IF($A109="","", INDEX(CS!$B$1:$B$12815,MATCH($A109,CS!$B:$B,0)+COLUMN(A$1),1))</f>
        <v/>
      </c>
      <c r="AS109" t="str">
        <f>IF($A109="","", INDEX(CS!$B$1:$B$12815,MATCH($A109,CS!$B:$B,0)+COLUMN(B$1),1))</f>
        <v/>
      </c>
      <c r="AT109" t="str">
        <f>IF($A109="","", INDEX(CS!$B$1:$B$12815,MATCH($A109,CS!$B:$B,0)+COLUMN(C$1),1))</f>
        <v/>
      </c>
      <c r="AU109" t="str">
        <f>IF($A109="","", INDEX(CS!$B$1:$B$12815,MATCH($A109,CS!$B:$B,0)+COLUMN(D$1),1))</f>
        <v/>
      </c>
      <c r="AV109" t="str">
        <f>IF($A109="","", INDEX(CS!$B$1:$B$12815,MATCH($A109,CS!$B:$B,0)+COLUMN(E$1),1))</f>
        <v/>
      </c>
      <c r="AW109" t="str">
        <f>IF($A109="","", INDEX(CS!$B$1:$B$12815,MATCH($A109,CS!$B:$B,0)+COLUMN(F$1),1))</f>
        <v/>
      </c>
      <c r="AX109" t="str">
        <f>IF($A109="","", INDEX(CS!$B$1:$B$12815,MATCH($A109,CS!$B:$B,0)+COLUMN(G$1),1))</f>
        <v/>
      </c>
      <c r="AY109" t="str">
        <f>IF($A109="","", INDEX(CS!$B$1:$B$12815,MATCH($A109,CS!$B:$B,0)+COLUMN(H$1),1))</f>
        <v/>
      </c>
      <c r="AZ109" t="str">
        <f>IF($A109="","", INDEX(CS!$B$1:$B$12815,MATCH($A109,CS!$B:$B,0)+COLUMN(I$1),1))</f>
        <v/>
      </c>
      <c r="BA109" t="str">
        <f>IF($A109="","", INDEX(CS!$B$1:$B$12815,MATCH($A109,CS!$B:$B,0)+COLUMN(J$1),1))</f>
        <v/>
      </c>
    </row>
    <row r="110" spans="3:53" x14ac:dyDescent="0.4">
      <c r="C110" t="s">
        <v>194</v>
      </c>
      <c r="D110" t="str">
        <f t="shared" si="7"/>
        <v>0/0/0</v>
      </c>
      <c r="E110">
        <v>1</v>
      </c>
      <c r="AR110" t="str">
        <f>IF($A110="","", INDEX(CS!$B$1:$B$12815,MATCH($A110,CS!$B:$B,0)+COLUMN(A$1),1))</f>
        <v/>
      </c>
      <c r="AS110" t="str">
        <f>IF($A110="","", INDEX(CS!$B$1:$B$12815,MATCH($A110,CS!$B:$B,0)+COLUMN(B$1),1))</f>
        <v/>
      </c>
      <c r="AT110" t="str">
        <f>IF($A110="","", INDEX(CS!$B$1:$B$12815,MATCH($A110,CS!$B:$B,0)+COLUMN(C$1),1))</f>
        <v/>
      </c>
      <c r="AU110" t="str">
        <f>IF($A110="","", INDEX(CS!$B$1:$B$12815,MATCH($A110,CS!$B:$B,0)+COLUMN(D$1),1))</f>
        <v/>
      </c>
      <c r="AV110" t="str">
        <f>IF($A110="","", INDEX(CS!$B$1:$B$12815,MATCH($A110,CS!$B:$B,0)+COLUMN(E$1),1))</f>
        <v/>
      </c>
      <c r="AW110" t="str">
        <f>IF($A110="","", INDEX(CS!$B$1:$B$12815,MATCH($A110,CS!$B:$B,0)+COLUMN(F$1),1))</f>
        <v/>
      </c>
      <c r="AX110" t="str">
        <f>IF($A110="","", INDEX(CS!$B$1:$B$12815,MATCH($A110,CS!$B:$B,0)+COLUMN(G$1),1))</f>
        <v/>
      </c>
      <c r="AY110" t="str">
        <f>IF($A110="","", INDEX(CS!$B$1:$B$12815,MATCH($A110,CS!$B:$B,0)+COLUMN(H$1),1))</f>
        <v/>
      </c>
      <c r="AZ110" t="str">
        <f>IF($A110="","", INDEX(CS!$B$1:$B$12815,MATCH($A110,CS!$B:$B,0)+COLUMN(I$1),1))</f>
        <v/>
      </c>
      <c r="BA110" t="str">
        <f>IF($A110="","", INDEX(CS!$B$1:$B$12815,MATCH($A110,CS!$B:$B,0)+COLUMN(J$1),1))</f>
        <v/>
      </c>
    </row>
    <row r="111" spans="3:53" x14ac:dyDescent="0.4">
      <c r="C111" t="s">
        <v>194</v>
      </c>
      <c r="D111" t="str">
        <f t="shared" si="7"/>
        <v>0/0/0</v>
      </c>
      <c r="E111">
        <v>1</v>
      </c>
      <c r="AR111" t="str">
        <f>IF($A111="","", INDEX(CS!$B$1:$B$12815,MATCH($A111,CS!$B:$B,0)+COLUMN(A$1),1))</f>
        <v/>
      </c>
      <c r="AS111" t="str">
        <f>IF($A111="","", INDEX(CS!$B$1:$B$12815,MATCH($A111,CS!$B:$B,0)+COLUMN(B$1),1))</f>
        <v/>
      </c>
      <c r="AT111" t="str">
        <f>IF($A111="","", INDEX(CS!$B$1:$B$12815,MATCH($A111,CS!$B:$B,0)+COLUMN(C$1),1))</f>
        <v/>
      </c>
      <c r="AU111" t="str">
        <f>IF($A111="","", INDEX(CS!$B$1:$B$12815,MATCH($A111,CS!$B:$B,0)+COLUMN(D$1),1))</f>
        <v/>
      </c>
      <c r="AV111" t="str">
        <f>IF($A111="","", INDEX(CS!$B$1:$B$12815,MATCH($A111,CS!$B:$B,0)+COLUMN(E$1),1))</f>
        <v/>
      </c>
      <c r="AW111" t="str">
        <f>IF($A111="","", INDEX(CS!$B$1:$B$12815,MATCH($A111,CS!$B:$B,0)+COLUMN(F$1),1))</f>
        <v/>
      </c>
      <c r="AX111" t="str">
        <f>IF($A111="","", INDEX(CS!$B$1:$B$12815,MATCH($A111,CS!$B:$B,0)+COLUMN(G$1),1))</f>
        <v/>
      </c>
      <c r="AY111" t="str">
        <f>IF($A111="","", INDEX(CS!$B$1:$B$12815,MATCH($A111,CS!$B:$B,0)+COLUMN(H$1),1))</f>
        <v/>
      </c>
      <c r="AZ111" t="str">
        <f>IF($A111="","", INDEX(CS!$B$1:$B$12815,MATCH($A111,CS!$B:$B,0)+COLUMN(I$1),1))</f>
        <v/>
      </c>
      <c r="BA111" t="str">
        <f>IF($A111="","", INDEX(CS!$B$1:$B$12815,MATCH($A111,CS!$B:$B,0)+COLUMN(J$1),1))</f>
        <v/>
      </c>
    </row>
    <row r="112" spans="3:53" x14ac:dyDescent="0.4">
      <c r="C112" t="s">
        <v>194</v>
      </c>
      <c r="D112" t="str">
        <f t="shared" si="7"/>
        <v>0/0/0</v>
      </c>
      <c r="E112">
        <v>1</v>
      </c>
      <c r="AR112" t="str">
        <f>IF($A112="","", INDEX(CS!$B$1:$B$12815,MATCH($A112,CS!$B:$B,0)+COLUMN(A$1),1))</f>
        <v/>
      </c>
      <c r="AS112" t="str">
        <f>IF($A112="","", INDEX(CS!$B$1:$B$12815,MATCH($A112,CS!$B:$B,0)+COLUMN(B$1),1))</f>
        <v/>
      </c>
      <c r="AT112" t="str">
        <f>IF($A112="","", INDEX(CS!$B$1:$B$12815,MATCH($A112,CS!$B:$B,0)+COLUMN(C$1),1))</f>
        <v/>
      </c>
      <c r="AU112" t="str">
        <f>IF($A112="","", INDEX(CS!$B$1:$B$12815,MATCH($A112,CS!$B:$B,0)+COLUMN(D$1),1))</f>
        <v/>
      </c>
      <c r="AV112" t="str">
        <f>IF($A112="","", INDEX(CS!$B$1:$B$12815,MATCH($A112,CS!$B:$B,0)+COLUMN(E$1),1))</f>
        <v/>
      </c>
      <c r="AW112" t="str">
        <f>IF($A112="","", INDEX(CS!$B$1:$B$12815,MATCH($A112,CS!$B:$B,0)+COLUMN(F$1),1))</f>
        <v/>
      </c>
      <c r="AX112" t="str">
        <f>IF($A112="","", INDEX(CS!$B$1:$B$12815,MATCH($A112,CS!$B:$B,0)+COLUMN(G$1),1))</f>
        <v/>
      </c>
      <c r="AY112" t="str">
        <f>IF($A112="","", INDEX(CS!$B$1:$B$12815,MATCH($A112,CS!$B:$B,0)+COLUMN(H$1),1))</f>
        <v/>
      </c>
      <c r="AZ112" t="str">
        <f>IF($A112="","", INDEX(CS!$B$1:$B$12815,MATCH($A112,CS!$B:$B,0)+COLUMN(I$1),1))</f>
        <v/>
      </c>
      <c r="BA112" t="str">
        <f>IF($A112="","", INDEX(CS!$B$1:$B$12815,MATCH($A112,CS!$B:$B,0)+COLUMN(J$1),1))</f>
        <v/>
      </c>
    </row>
    <row r="113" spans="3:53" x14ac:dyDescent="0.4">
      <c r="C113" t="s">
        <v>194</v>
      </c>
      <c r="D113" t="str">
        <f t="shared" si="7"/>
        <v>0/0/0</v>
      </c>
      <c r="E113">
        <v>1</v>
      </c>
      <c r="AR113" t="str">
        <f>IF($A113="","", INDEX(CS!$B$1:$B$12815,MATCH($A113,CS!$B:$B,0)+COLUMN(A$1),1))</f>
        <v/>
      </c>
      <c r="AS113" t="str">
        <f>IF($A113="","", INDEX(CS!$B$1:$B$12815,MATCH($A113,CS!$B:$B,0)+COLUMN(B$1),1))</f>
        <v/>
      </c>
      <c r="AT113" t="str">
        <f>IF($A113="","", INDEX(CS!$B$1:$B$12815,MATCH($A113,CS!$B:$B,0)+COLUMN(C$1),1))</f>
        <v/>
      </c>
      <c r="AU113" t="str">
        <f>IF($A113="","", INDEX(CS!$B$1:$B$12815,MATCH($A113,CS!$B:$B,0)+COLUMN(D$1),1))</f>
        <v/>
      </c>
      <c r="AV113" t="str">
        <f>IF($A113="","", INDEX(CS!$B$1:$B$12815,MATCH($A113,CS!$B:$B,0)+COLUMN(E$1),1))</f>
        <v/>
      </c>
      <c r="AW113" t="str">
        <f>IF($A113="","", INDEX(CS!$B$1:$B$12815,MATCH($A113,CS!$B:$B,0)+COLUMN(F$1),1))</f>
        <v/>
      </c>
      <c r="AX113" t="str">
        <f>IF($A113="","", INDEX(CS!$B$1:$B$12815,MATCH($A113,CS!$B:$B,0)+COLUMN(G$1),1))</f>
        <v/>
      </c>
      <c r="AY113" t="str">
        <f>IF($A113="","", INDEX(CS!$B$1:$B$12815,MATCH($A113,CS!$B:$B,0)+COLUMN(H$1),1))</f>
        <v/>
      </c>
      <c r="AZ113" t="str">
        <f>IF($A113="","", INDEX(CS!$B$1:$B$12815,MATCH($A113,CS!$B:$B,0)+COLUMN(I$1),1))</f>
        <v/>
      </c>
      <c r="BA113" t="str">
        <f>IF($A113="","", INDEX(CS!$B$1:$B$12815,MATCH($A113,CS!$B:$B,0)+COLUMN(J$1),1))</f>
        <v/>
      </c>
    </row>
    <row r="114" spans="3:53" x14ac:dyDescent="0.4">
      <c r="C114" t="s">
        <v>194</v>
      </c>
      <c r="D114" t="str">
        <f t="shared" si="7"/>
        <v>0/0/0</v>
      </c>
      <c r="E114">
        <v>1</v>
      </c>
      <c r="AR114" t="str">
        <f>IF($A114="","", INDEX(CS!$B$1:$B$12815,MATCH($A114,CS!$B:$B,0)+COLUMN(A$1),1))</f>
        <v/>
      </c>
      <c r="AS114" t="str">
        <f>IF($A114="","", INDEX(CS!$B$1:$B$12815,MATCH($A114,CS!$B:$B,0)+COLUMN(B$1),1))</f>
        <v/>
      </c>
      <c r="AT114" t="str">
        <f>IF($A114="","", INDEX(CS!$B$1:$B$12815,MATCH($A114,CS!$B:$B,0)+COLUMN(C$1),1))</f>
        <v/>
      </c>
      <c r="AU114" t="str">
        <f>IF($A114="","", INDEX(CS!$B$1:$B$12815,MATCH($A114,CS!$B:$B,0)+COLUMN(D$1),1))</f>
        <v/>
      </c>
      <c r="AV114" t="str">
        <f>IF($A114="","", INDEX(CS!$B$1:$B$12815,MATCH($A114,CS!$B:$B,0)+COLUMN(E$1),1))</f>
        <v/>
      </c>
      <c r="AW114" t="str">
        <f>IF($A114="","", INDEX(CS!$B$1:$B$12815,MATCH($A114,CS!$B:$B,0)+COLUMN(F$1),1))</f>
        <v/>
      </c>
      <c r="AX114" t="str">
        <f>IF($A114="","", INDEX(CS!$B$1:$B$12815,MATCH($A114,CS!$B:$B,0)+COLUMN(G$1),1))</f>
        <v/>
      </c>
      <c r="AY114" t="str">
        <f>IF($A114="","", INDEX(CS!$B$1:$B$12815,MATCH($A114,CS!$B:$B,0)+COLUMN(H$1),1))</f>
        <v/>
      </c>
      <c r="AZ114" t="str">
        <f>IF($A114="","", INDEX(CS!$B$1:$B$12815,MATCH($A114,CS!$B:$B,0)+COLUMN(I$1),1))</f>
        <v/>
      </c>
      <c r="BA114" t="str">
        <f>IF($A114="","", INDEX(CS!$B$1:$B$12815,MATCH($A114,CS!$B:$B,0)+COLUMN(J$1),1))</f>
        <v/>
      </c>
    </row>
    <row r="115" spans="3:53" x14ac:dyDescent="0.4">
      <c r="C115" t="s">
        <v>194</v>
      </c>
      <c r="D115" t="str">
        <f t="shared" si="7"/>
        <v>0/0/0</v>
      </c>
      <c r="E115">
        <v>1</v>
      </c>
      <c r="AR115" t="str">
        <f>IF($A115="","", INDEX(CS!$B$1:$B$12815,MATCH($A115,CS!$B:$B,0)+COLUMN(A$1),1))</f>
        <v/>
      </c>
      <c r="AS115" t="str">
        <f>IF($A115="","", INDEX(CS!$B$1:$B$12815,MATCH($A115,CS!$B:$B,0)+COLUMN(B$1),1))</f>
        <v/>
      </c>
      <c r="AT115" t="str">
        <f>IF($A115="","", INDEX(CS!$B$1:$B$12815,MATCH($A115,CS!$B:$B,0)+COLUMN(C$1),1))</f>
        <v/>
      </c>
      <c r="AU115" t="str">
        <f>IF($A115="","", INDEX(CS!$B$1:$B$12815,MATCH($A115,CS!$B:$B,0)+COLUMN(D$1),1))</f>
        <v/>
      </c>
      <c r="AV115" t="str">
        <f>IF($A115="","", INDEX(CS!$B$1:$B$12815,MATCH($A115,CS!$B:$B,0)+COLUMN(E$1),1))</f>
        <v/>
      </c>
      <c r="AW115" t="str">
        <f>IF($A115="","", INDEX(CS!$B$1:$B$12815,MATCH($A115,CS!$B:$B,0)+COLUMN(F$1),1))</f>
        <v/>
      </c>
      <c r="AX115" t="str">
        <f>IF($A115="","", INDEX(CS!$B$1:$B$12815,MATCH($A115,CS!$B:$B,0)+COLUMN(G$1),1))</f>
        <v/>
      </c>
      <c r="AY115" t="str">
        <f>IF($A115="","", INDEX(CS!$B$1:$B$12815,MATCH($A115,CS!$B:$B,0)+COLUMN(H$1),1))</f>
        <v/>
      </c>
      <c r="AZ115" t="str">
        <f>IF($A115="","", INDEX(CS!$B$1:$B$12815,MATCH($A115,CS!$B:$B,0)+COLUMN(I$1),1))</f>
        <v/>
      </c>
      <c r="BA115" t="str">
        <f>IF($A115="","", INDEX(CS!$B$1:$B$12815,MATCH($A115,CS!$B:$B,0)+COLUMN(J$1),1))</f>
        <v/>
      </c>
    </row>
    <row r="116" spans="3:53" x14ac:dyDescent="0.4">
      <c r="C116" t="s">
        <v>194</v>
      </c>
      <c r="D116" t="str">
        <f t="shared" si="7"/>
        <v>0/0/0</v>
      </c>
      <c r="E116">
        <v>1</v>
      </c>
      <c r="AR116" t="str">
        <f>IF($A116="","", INDEX(CS!$B$1:$B$12815,MATCH($A116,CS!$B:$B,0)+COLUMN(A$1),1))</f>
        <v/>
      </c>
      <c r="AS116" t="str">
        <f>IF($A116="","", INDEX(CS!$B$1:$B$12815,MATCH($A116,CS!$B:$B,0)+COLUMN(B$1),1))</f>
        <v/>
      </c>
      <c r="AT116" t="str">
        <f>IF($A116="","", INDEX(CS!$B$1:$B$12815,MATCH($A116,CS!$B:$B,0)+COLUMN(C$1),1))</f>
        <v/>
      </c>
      <c r="AU116" t="str">
        <f>IF($A116="","", INDEX(CS!$B$1:$B$12815,MATCH($A116,CS!$B:$B,0)+COLUMN(D$1),1))</f>
        <v/>
      </c>
      <c r="AV116" t="str">
        <f>IF($A116="","", INDEX(CS!$B$1:$B$12815,MATCH($A116,CS!$B:$B,0)+COLUMN(E$1),1))</f>
        <v/>
      </c>
      <c r="AW116" t="str">
        <f>IF($A116="","", INDEX(CS!$B$1:$B$12815,MATCH($A116,CS!$B:$B,0)+COLUMN(F$1),1))</f>
        <v/>
      </c>
      <c r="AX116" t="str">
        <f>IF($A116="","", INDEX(CS!$B$1:$B$12815,MATCH($A116,CS!$B:$B,0)+COLUMN(G$1),1))</f>
        <v/>
      </c>
      <c r="AY116" t="str">
        <f>IF($A116="","", INDEX(CS!$B$1:$B$12815,MATCH($A116,CS!$B:$B,0)+COLUMN(H$1),1))</f>
        <v/>
      </c>
      <c r="AZ116" t="str">
        <f>IF($A116="","", INDEX(CS!$B$1:$B$12815,MATCH($A116,CS!$B:$B,0)+COLUMN(I$1),1))</f>
        <v/>
      </c>
      <c r="BA116" t="str">
        <f>IF($A116="","", INDEX(CS!$B$1:$B$12815,MATCH($A116,CS!$B:$B,0)+COLUMN(J$1),1))</f>
        <v/>
      </c>
    </row>
    <row r="117" spans="3:53" x14ac:dyDescent="0.4">
      <c r="C117" t="s">
        <v>194</v>
      </c>
      <c r="D117" t="str">
        <f t="shared" si="7"/>
        <v>0/0/0</v>
      </c>
      <c r="E117">
        <v>1</v>
      </c>
      <c r="AR117" t="str">
        <f>IF($A117="","", INDEX(CS!$B$1:$B$12815,MATCH($A117,CS!$B:$B,0)+COLUMN(A$1),1))</f>
        <v/>
      </c>
      <c r="AS117" t="str">
        <f>IF($A117="","", INDEX(CS!$B$1:$B$12815,MATCH($A117,CS!$B:$B,0)+COLUMN(B$1),1))</f>
        <v/>
      </c>
      <c r="AT117" t="str">
        <f>IF($A117="","", INDEX(CS!$B$1:$B$12815,MATCH($A117,CS!$B:$B,0)+COLUMN(C$1),1))</f>
        <v/>
      </c>
      <c r="AU117" t="str">
        <f>IF($A117="","", INDEX(CS!$B$1:$B$12815,MATCH($A117,CS!$B:$B,0)+COLUMN(D$1),1))</f>
        <v/>
      </c>
      <c r="AV117" t="str">
        <f>IF($A117="","", INDEX(CS!$B$1:$B$12815,MATCH($A117,CS!$B:$B,0)+COLUMN(E$1),1))</f>
        <v/>
      </c>
      <c r="AW117" t="str">
        <f>IF($A117="","", INDEX(CS!$B$1:$B$12815,MATCH($A117,CS!$B:$B,0)+COLUMN(F$1),1))</f>
        <v/>
      </c>
      <c r="AX117" t="str">
        <f>IF($A117="","", INDEX(CS!$B$1:$B$12815,MATCH($A117,CS!$B:$B,0)+COLUMN(G$1),1))</f>
        <v/>
      </c>
      <c r="AY117" t="str">
        <f>IF($A117="","", INDEX(CS!$B$1:$B$12815,MATCH($A117,CS!$B:$B,0)+COLUMN(H$1),1))</f>
        <v/>
      </c>
      <c r="AZ117" t="str">
        <f>IF($A117="","", INDEX(CS!$B$1:$B$12815,MATCH($A117,CS!$B:$B,0)+COLUMN(I$1),1))</f>
        <v/>
      </c>
      <c r="BA117" t="str">
        <f>IF($A117="","", INDEX(CS!$B$1:$B$12815,MATCH($A117,CS!$B:$B,0)+COLUMN(J$1),1))</f>
        <v/>
      </c>
    </row>
    <row r="118" spans="3:53" x14ac:dyDescent="0.4">
      <c r="C118" t="s">
        <v>194</v>
      </c>
      <c r="D118" t="str">
        <f t="shared" si="7"/>
        <v>0/0/0</v>
      </c>
      <c r="E118">
        <v>1</v>
      </c>
      <c r="AR118" t="str">
        <f>IF($A118="","", INDEX(CS!$B$1:$B$12815,MATCH($A118,CS!$B:$B,0)+COLUMN(A$1),1))</f>
        <v/>
      </c>
      <c r="AS118" t="str">
        <f>IF($A118="","", INDEX(CS!$B$1:$B$12815,MATCH($A118,CS!$B:$B,0)+COLUMN(B$1),1))</f>
        <v/>
      </c>
      <c r="AT118" t="str">
        <f>IF($A118="","", INDEX(CS!$B$1:$B$12815,MATCH($A118,CS!$B:$B,0)+COLUMN(C$1),1))</f>
        <v/>
      </c>
      <c r="AU118" t="str">
        <f>IF($A118="","", INDEX(CS!$B$1:$B$12815,MATCH($A118,CS!$B:$B,0)+COLUMN(D$1),1))</f>
        <v/>
      </c>
      <c r="AV118" t="str">
        <f>IF($A118="","", INDEX(CS!$B$1:$B$12815,MATCH($A118,CS!$B:$B,0)+COLUMN(E$1),1))</f>
        <v/>
      </c>
      <c r="AW118" t="str">
        <f>IF($A118="","", INDEX(CS!$B$1:$B$12815,MATCH($A118,CS!$B:$B,0)+COLUMN(F$1),1))</f>
        <v/>
      </c>
      <c r="AX118" t="str">
        <f>IF($A118="","", INDEX(CS!$B$1:$B$12815,MATCH($A118,CS!$B:$B,0)+COLUMN(G$1),1))</f>
        <v/>
      </c>
      <c r="AY118" t="str">
        <f>IF($A118="","", INDEX(CS!$B$1:$B$12815,MATCH($A118,CS!$B:$B,0)+COLUMN(H$1),1))</f>
        <v/>
      </c>
      <c r="AZ118" t="str">
        <f>IF($A118="","", INDEX(CS!$B$1:$B$12815,MATCH($A118,CS!$B:$B,0)+COLUMN(I$1),1))</f>
        <v/>
      </c>
      <c r="BA118" t="str">
        <f>IF($A118="","", INDEX(CS!$B$1:$B$12815,MATCH($A118,CS!$B:$B,0)+COLUMN(J$1),1))</f>
        <v/>
      </c>
    </row>
    <row r="119" spans="3:53" x14ac:dyDescent="0.4">
      <c r="C119" t="s">
        <v>194</v>
      </c>
      <c r="D119" t="str">
        <f t="shared" si="7"/>
        <v>0/0/0</v>
      </c>
      <c r="E119">
        <v>1</v>
      </c>
      <c r="AR119" t="str">
        <f>IF($A119="","", INDEX(CS!$B$1:$B$12815,MATCH($A119,CS!$B:$B,0)+COLUMN(A$1),1))</f>
        <v/>
      </c>
      <c r="AS119" t="str">
        <f>IF($A119="","", INDEX(CS!$B$1:$B$12815,MATCH($A119,CS!$B:$B,0)+COLUMN(B$1),1))</f>
        <v/>
      </c>
      <c r="AT119" t="str">
        <f>IF($A119="","", INDEX(CS!$B$1:$B$12815,MATCH($A119,CS!$B:$B,0)+COLUMN(C$1),1))</f>
        <v/>
      </c>
      <c r="AU119" t="str">
        <f>IF($A119="","", INDEX(CS!$B$1:$B$12815,MATCH($A119,CS!$B:$B,0)+COLUMN(D$1),1))</f>
        <v/>
      </c>
      <c r="AV119" t="str">
        <f>IF($A119="","", INDEX(CS!$B$1:$B$12815,MATCH($A119,CS!$B:$B,0)+COLUMN(E$1),1))</f>
        <v/>
      </c>
      <c r="AW119" t="str">
        <f>IF($A119="","", INDEX(CS!$B$1:$B$12815,MATCH($A119,CS!$B:$B,0)+COLUMN(F$1),1))</f>
        <v/>
      </c>
      <c r="AX119" t="str">
        <f>IF($A119="","", INDEX(CS!$B$1:$B$12815,MATCH($A119,CS!$B:$B,0)+COLUMN(G$1),1))</f>
        <v/>
      </c>
      <c r="AY119" t="str">
        <f>IF($A119="","", INDEX(CS!$B$1:$B$12815,MATCH($A119,CS!$B:$B,0)+COLUMN(H$1),1))</f>
        <v/>
      </c>
      <c r="AZ119" t="str">
        <f>IF($A119="","", INDEX(CS!$B$1:$B$12815,MATCH($A119,CS!$B:$B,0)+COLUMN(I$1),1))</f>
        <v/>
      </c>
      <c r="BA119" t="str">
        <f>IF($A119="","", INDEX(CS!$B$1:$B$12815,MATCH($A119,CS!$B:$B,0)+COLUMN(J$1),1))</f>
        <v/>
      </c>
    </row>
    <row r="120" spans="3:53" x14ac:dyDescent="0.4">
      <c r="C120" t="s">
        <v>194</v>
      </c>
      <c r="D120" t="str">
        <f t="shared" si="7"/>
        <v>0/0/0</v>
      </c>
      <c r="E120">
        <v>1</v>
      </c>
      <c r="AR120" t="str">
        <f>IF($A120="","", INDEX(CS!$B$1:$B$12815,MATCH($A120,CS!$B:$B,0)+COLUMN(A$1),1))</f>
        <v/>
      </c>
      <c r="AS120" t="str">
        <f>IF($A120="","", INDEX(CS!$B$1:$B$12815,MATCH($A120,CS!$B:$B,0)+COLUMN(B$1),1))</f>
        <v/>
      </c>
      <c r="AT120" t="str">
        <f>IF($A120="","", INDEX(CS!$B$1:$B$12815,MATCH($A120,CS!$B:$B,0)+COLUMN(C$1),1))</f>
        <v/>
      </c>
      <c r="AU120" t="str">
        <f>IF($A120="","", INDEX(CS!$B$1:$B$12815,MATCH($A120,CS!$B:$B,0)+COLUMN(D$1),1))</f>
        <v/>
      </c>
      <c r="AV120" t="str">
        <f>IF($A120="","", INDEX(CS!$B$1:$B$12815,MATCH($A120,CS!$B:$B,0)+COLUMN(E$1),1))</f>
        <v/>
      </c>
      <c r="AW120" t="str">
        <f>IF($A120="","", INDEX(CS!$B$1:$B$12815,MATCH($A120,CS!$B:$B,0)+COLUMN(F$1),1))</f>
        <v/>
      </c>
      <c r="AX120" t="str">
        <f>IF($A120="","", INDEX(CS!$B$1:$B$12815,MATCH($A120,CS!$B:$B,0)+COLUMN(G$1),1))</f>
        <v/>
      </c>
      <c r="AY120" t="str">
        <f>IF($A120="","", INDEX(CS!$B$1:$B$12815,MATCH($A120,CS!$B:$B,0)+COLUMN(H$1),1))</f>
        <v/>
      </c>
      <c r="AZ120" t="str">
        <f>IF($A120="","", INDEX(CS!$B$1:$B$12815,MATCH($A120,CS!$B:$B,0)+COLUMN(I$1),1))</f>
        <v/>
      </c>
      <c r="BA120" t="str">
        <f>IF($A120="","", INDEX(CS!$B$1:$B$12815,MATCH($A120,CS!$B:$B,0)+COLUMN(J$1),1))</f>
        <v/>
      </c>
    </row>
    <row r="121" spans="3:53" x14ac:dyDescent="0.4">
      <c r="C121" t="s">
        <v>194</v>
      </c>
      <c r="D121" t="str">
        <f t="shared" si="7"/>
        <v>0/0/0</v>
      </c>
      <c r="E121">
        <v>1</v>
      </c>
      <c r="AR121" t="str">
        <f>IF($A121="","", INDEX(CS!$B$1:$B$12815,MATCH($A121,CS!$B:$B,0)+COLUMN(A$1),1))</f>
        <v/>
      </c>
      <c r="AS121" t="str">
        <f>IF($A121="","", INDEX(CS!$B$1:$B$12815,MATCH($A121,CS!$B:$B,0)+COLUMN(B$1),1))</f>
        <v/>
      </c>
      <c r="AT121" t="str">
        <f>IF($A121="","", INDEX(CS!$B$1:$B$12815,MATCH($A121,CS!$B:$B,0)+COLUMN(C$1),1))</f>
        <v/>
      </c>
      <c r="AU121" t="str">
        <f>IF($A121="","", INDEX(CS!$B$1:$B$12815,MATCH($A121,CS!$B:$B,0)+COLUMN(D$1),1))</f>
        <v/>
      </c>
      <c r="AV121" t="str">
        <f>IF($A121="","", INDEX(CS!$B$1:$B$12815,MATCH($A121,CS!$B:$B,0)+COLUMN(E$1),1))</f>
        <v/>
      </c>
      <c r="AW121" t="str">
        <f>IF($A121="","", INDEX(CS!$B$1:$B$12815,MATCH($A121,CS!$B:$B,0)+COLUMN(F$1),1))</f>
        <v/>
      </c>
      <c r="AX121" t="str">
        <f>IF($A121="","", INDEX(CS!$B$1:$B$12815,MATCH($A121,CS!$B:$B,0)+COLUMN(G$1),1))</f>
        <v/>
      </c>
      <c r="AY121" t="str">
        <f>IF($A121="","", INDEX(CS!$B$1:$B$12815,MATCH($A121,CS!$B:$B,0)+COLUMN(H$1),1))</f>
        <v/>
      </c>
      <c r="AZ121" t="str">
        <f>IF($A121="","", INDEX(CS!$B$1:$B$12815,MATCH($A121,CS!$B:$B,0)+COLUMN(I$1),1))</f>
        <v/>
      </c>
      <c r="BA121" t="str">
        <f>IF($A121="","", INDEX(CS!$B$1:$B$12815,MATCH($A121,CS!$B:$B,0)+COLUMN(J$1),1))</f>
        <v/>
      </c>
    </row>
    <row r="122" spans="3:53" x14ac:dyDescent="0.4">
      <c r="C122" t="s">
        <v>194</v>
      </c>
      <c r="D122" t="str">
        <f t="shared" si="7"/>
        <v>0/0/0</v>
      </c>
      <c r="E122">
        <v>1</v>
      </c>
      <c r="AR122" t="str">
        <f>IF($A122="","", INDEX(CS!$B$1:$B$12815,MATCH($A122,CS!$B:$B,0)+COLUMN(A$1),1))</f>
        <v/>
      </c>
      <c r="AS122" t="str">
        <f>IF($A122="","", INDEX(CS!$B$1:$B$12815,MATCH($A122,CS!$B:$B,0)+COLUMN(B$1),1))</f>
        <v/>
      </c>
      <c r="AT122" t="str">
        <f>IF($A122="","", INDEX(CS!$B$1:$B$12815,MATCH($A122,CS!$B:$B,0)+COLUMN(C$1),1))</f>
        <v/>
      </c>
      <c r="AU122" t="str">
        <f>IF($A122="","", INDEX(CS!$B$1:$B$12815,MATCH($A122,CS!$B:$B,0)+COLUMN(D$1),1))</f>
        <v/>
      </c>
      <c r="AV122" t="str">
        <f>IF($A122="","", INDEX(CS!$B$1:$B$12815,MATCH($A122,CS!$B:$B,0)+COLUMN(E$1),1))</f>
        <v/>
      </c>
      <c r="AW122" t="str">
        <f>IF($A122="","", INDEX(CS!$B$1:$B$12815,MATCH($A122,CS!$B:$B,0)+COLUMN(F$1),1))</f>
        <v/>
      </c>
      <c r="AX122" t="str">
        <f>IF($A122="","", INDEX(CS!$B$1:$B$12815,MATCH($A122,CS!$B:$B,0)+COLUMN(G$1),1))</f>
        <v/>
      </c>
      <c r="AY122" t="str">
        <f>IF($A122="","", INDEX(CS!$B$1:$B$12815,MATCH($A122,CS!$B:$B,0)+COLUMN(H$1),1))</f>
        <v/>
      </c>
      <c r="AZ122" t="str">
        <f>IF($A122="","", INDEX(CS!$B$1:$B$12815,MATCH($A122,CS!$B:$B,0)+COLUMN(I$1),1))</f>
        <v/>
      </c>
      <c r="BA122" t="str">
        <f>IF($A122="","", INDEX(CS!$B$1:$B$12815,MATCH($A122,CS!$B:$B,0)+COLUMN(J$1),1))</f>
        <v/>
      </c>
    </row>
    <row r="123" spans="3:53" x14ac:dyDescent="0.4">
      <c r="C123" t="s">
        <v>194</v>
      </c>
      <c r="D123" t="str">
        <f t="shared" si="7"/>
        <v>0/0/0</v>
      </c>
      <c r="E123">
        <v>1</v>
      </c>
      <c r="AR123" t="str">
        <f>IF($A123="","", INDEX(CS!$B$1:$B$12815,MATCH($A123,CS!$B:$B,0)+COLUMN(A$1),1))</f>
        <v/>
      </c>
      <c r="AS123" t="str">
        <f>IF($A123="","", INDEX(CS!$B$1:$B$12815,MATCH($A123,CS!$B:$B,0)+COLUMN(B$1),1))</f>
        <v/>
      </c>
      <c r="AT123" t="str">
        <f>IF($A123="","", INDEX(CS!$B$1:$B$12815,MATCH($A123,CS!$B:$B,0)+COLUMN(C$1),1))</f>
        <v/>
      </c>
      <c r="AU123" t="str">
        <f>IF($A123="","", INDEX(CS!$B$1:$B$12815,MATCH($A123,CS!$B:$B,0)+COLUMN(D$1),1))</f>
        <v/>
      </c>
      <c r="AV123" t="str">
        <f>IF($A123="","", INDEX(CS!$B$1:$B$12815,MATCH($A123,CS!$B:$B,0)+COLUMN(E$1),1))</f>
        <v/>
      </c>
      <c r="AW123" t="str">
        <f>IF($A123="","", INDEX(CS!$B$1:$B$12815,MATCH($A123,CS!$B:$B,0)+COLUMN(F$1),1))</f>
        <v/>
      </c>
      <c r="AX123" t="str">
        <f>IF($A123="","", INDEX(CS!$B$1:$B$12815,MATCH($A123,CS!$B:$B,0)+COLUMN(G$1),1))</f>
        <v/>
      </c>
      <c r="AY123" t="str">
        <f>IF($A123="","", INDEX(CS!$B$1:$B$12815,MATCH($A123,CS!$B:$B,0)+COLUMN(H$1),1))</f>
        <v/>
      </c>
      <c r="AZ123" t="str">
        <f>IF($A123="","", INDEX(CS!$B$1:$B$12815,MATCH($A123,CS!$B:$B,0)+COLUMN(I$1),1))</f>
        <v/>
      </c>
      <c r="BA123" t="str">
        <f>IF($A123="","", INDEX(CS!$B$1:$B$12815,MATCH($A123,CS!$B:$B,0)+COLUMN(J$1),1))</f>
        <v/>
      </c>
    </row>
    <row r="124" spans="3:53" x14ac:dyDescent="0.4">
      <c r="C124" t="s">
        <v>194</v>
      </c>
      <c r="D124" t="str">
        <f t="shared" si="7"/>
        <v>0/0/0</v>
      </c>
      <c r="E124">
        <v>1</v>
      </c>
      <c r="AR124" t="str">
        <f>IF($A124="","", INDEX(CS!$B$1:$B$12815,MATCH($A124,CS!$B:$B,0)+COLUMN(A$1),1))</f>
        <v/>
      </c>
      <c r="AS124" t="str">
        <f>IF($A124="","", INDEX(CS!$B$1:$B$12815,MATCH($A124,CS!$B:$B,0)+COLUMN(B$1),1))</f>
        <v/>
      </c>
      <c r="AT124" t="str">
        <f>IF($A124="","", INDEX(CS!$B$1:$B$12815,MATCH($A124,CS!$B:$B,0)+COLUMN(C$1),1))</f>
        <v/>
      </c>
      <c r="AU124" t="str">
        <f>IF($A124="","", INDEX(CS!$B$1:$B$12815,MATCH($A124,CS!$B:$B,0)+COLUMN(D$1),1))</f>
        <v/>
      </c>
      <c r="AV124" t="str">
        <f>IF($A124="","", INDEX(CS!$B$1:$B$12815,MATCH($A124,CS!$B:$B,0)+COLUMN(E$1),1))</f>
        <v/>
      </c>
      <c r="AW124" t="str">
        <f>IF($A124="","", INDEX(CS!$B$1:$B$12815,MATCH($A124,CS!$B:$B,0)+COLUMN(F$1),1))</f>
        <v/>
      </c>
      <c r="AX124" t="str">
        <f>IF($A124="","", INDEX(CS!$B$1:$B$12815,MATCH($A124,CS!$B:$B,0)+COLUMN(G$1),1))</f>
        <v/>
      </c>
      <c r="AY124" t="str">
        <f>IF($A124="","", INDEX(CS!$B$1:$B$12815,MATCH($A124,CS!$B:$B,0)+COLUMN(H$1),1))</f>
        <v/>
      </c>
      <c r="AZ124" t="str">
        <f>IF($A124="","", INDEX(CS!$B$1:$B$12815,MATCH($A124,CS!$B:$B,0)+COLUMN(I$1),1))</f>
        <v/>
      </c>
      <c r="BA124" t="str">
        <f>IF($A124="","", INDEX(CS!$B$1:$B$12815,MATCH($A124,CS!$B:$B,0)+COLUMN(J$1),1))</f>
        <v/>
      </c>
    </row>
    <row r="125" spans="3:53" x14ac:dyDescent="0.4">
      <c r="C125" t="s">
        <v>194</v>
      </c>
      <c r="D125" t="str">
        <f t="shared" si="7"/>
        <v>0/0/0</v>
      </c>
      <c r="E125">
        <v>1</v>
      </c>
      <c r="AR125" t="str">
        <f>IF($A125="","", INDEX(CS!$B$1:$B$12815,MATCH($A125,CS!$B:$B,0)+COLUMN(A$1),1))</f>
        <v/>
      </c>
      <c r="AS125" t="str">
        <f>IF($A125="","", INDEX(CS!$B$1:$B$12815,MATCH($A125,CS!$B:$B,0)+COLUMN(B$1),1))</f>
        <v/>
      </c>
      <c r="AT125" t="str">
        <f>IF($A125="","", INDEX(CS!$B$1:$B$12815,MATCH($A125,CS!$B:$B,0)+COLUMN(C$1),1))</f>
        <v/>
      </c>
      <c r="AU125" t="str">
        <f>IF($A125="","", INDEX(CS!$B$1:$B$12815,MATCH($A125,CS!$B:$B,0)+COLUMN(D$1),1))</f>
        <v/>
      </c>
      <c r="AV125" t="str">
        <f>IF($A125="","", INDEX(CS!$B$1:$B$12815,MATCH($A125,CS!$B:$B,0)+COLUMN(E$1),1))</f>
        <v/>
      </c>
      <c r="AW125" t="str">
        <f>IF($A125="","", INDEX(CS!$B$1:$B$12815,MATCH($A125,CS!$B:$B,0)+COLUMN(F$1),1))</f>
        <v/>
      </c>
      <c r="AX125" t="str">
        <f>IF($A125="","", INDEX(CS!$B$1:$B$12815,MATCH($A125,CS!$B:$B,0)+COLUMN(G$1),1))</f>
        <v/>
      </c>
      <c r="AY125" t="str">
        <f>IF($A125="","", INDEX(CS!$B$1:$B$12815,MATCH($A125,CS!$B:$B,0)+COLUMN(H$1),1))</f>
        <v/>
      </c>
      <c r="AZ125" t="str">
        <f>IF($A125="","", INDEX(CS!$B$1:$B$12815,MATCH($A125,CS!$B:$B,0)+COLUMN(I$1),1))</f>
        <v/>
      </c>
      <c r="BA125" t="str">
        <f>IF($A125="","", INDEX(CS!$B$1:$B$12815,MATCH($A125,CS!$B:$B,0)+COLUMN(J$1),1))</f>
        <v/>
      </c>
    </row>
    <row r="126" spans="3:53" x14ac:dyDescent="0.4">
      <c r="C126" t="s">
        <v>194</v>
      </c>
      <c r="D126" t="str">
        <f t="shared" si="7"/>
        <v>0/0/0</v>
      </c>
      <c r="E126">
        <v>1</v>
      </c>
      <c r="AR126" t="str">
        <f>IF($A126="","", INDEX(CS!$B$1:$B$12815,MATCH($A126,CS!$B:$B,0)+COLUMN(A$1),1))</f>
        <v/>
      </c>
      <c r="AS126" t="str">
        <f>IF($A126="","", INDEX(CS!$B$1:$B$12815,MATCH($A126,CS!$B:$B,0)+COLUMN(B$1),1))</f>
        <v/>
      </c>
      <c r="AT126" t="str">
        <f>IF($A126="","", INDEX(CS!$B$1:$B$12815,MATCH($A126,CS!$B:$B,0)+COLUMN(C$1),1))</f>
        <v/>
      </c>
      <c r="AU126" t="str">
        <f>IF($A126="","", INDEX(CS!$B$1:$B$12815,MATCH($A126,CS!$B:$B,0)+COLUMN(D$1),1))</f>
        <v/>
      </c>
      <c r="AV126" t="str">
        <f>IF($A126="","", INDEX(CS!$B$1:$B$12815,MATCH($A126,CS!$B:$B,0)+COLUMN(E$1),1))</f>
        <v/>
      </c>
      <c r="AW126" t="str">
        <f>IF($A126="","", INDEX(CS!$B$1:$B$12815,MATCH($A126,CS!$B:$B,0)+COLUMN(F$1),1))</f>
        <v/>
      </c>
      <c r="AX126" t="str">
        <f>IF($A126="","", INDEX(CS!$B$1:$B$12815,MATCH($A126,CS!$B:$B,0)+COLUMN(G$1),1))</f>
        <v/>
      </c>
      <c r="AY126" t="str">
        <f>IF($A126="","", INDEX(CS!$B$1:$B$12815,MATCH($A126,CS!$B:$B,0)+COLUMN(H$1),1))</f>
        <v/>
      </c>
      <c r="AZ126" t="str">
        <f>IF($A126="","", INDEX(CS!$B$1:$B$12815,MATCH($A126,CS!$B:$B,0)+COLUMN(I$1),1))</f>
        <v/>
      </c>
      <c r="BA126" t="str">
        <f>IF($A126="","", INDEX(CS!$B$1:$B$12815,MATCH($A126,CS!$B:$B,0)+COLUMN(J$1),1))</f>
        <v/>
      </c>
    </row>
    <row r="127" spans="3:53" x14ac:dyDescent="0.4">
      <c r="C127" t="s">
        <v>194</v>
      </c>
      <c r="D127" t="str">
        <f t="shared" si="7"/>
        <v>0/0/0</v>
      </c>
      <c r="E127">
        <v>1</v>
      </c>
      <c r="AR127" t="str">
        <f>IF($A127="","", INDEX(CS!$B$1:$B$12815,MATCH($A127,CS!$B:$B,0)+COLUMN(A$1),1))</f>
        <v/>
      </c>
      <c r="AS127" t="str">
        <f>IF($A127="","", INDEX(CS!$B$1:$B$12815,MATCH($A127,CS!$B:$B,0)+COLUMN(B$1),1))</f>
        <v/>
      </c>
      <c r="AT127" t="str">
        <f>IF($A127="","", INDEX(CS!$B$1:$B$12815,MATCH($A127,CS!$B:$B,0)+COLUMN(C$1),1))</f>
        <v/>
      </c>
      <c r="AU127" t="str">
        <f>IF($A127="","", INDEX(CS!$B$1:$B$12815,MATCH($A127,CS!$B:$B,0)+COLUMN(D$1),1))</f>
        <v/>
      </c>
      <c r="AV127" t="str">
        <f>IF($A127="","", INDEX(CS!$B$1:$B$12815,MATCH($A127,CS!$B:$B,0)+COLUMN(E$1),1))</f>
        <v/>
      </c>
      <c r="AW127" t="str">
        <f>IF($A127="","", INDEX(CS!$B$1:$B$12815,MATCH($A127,CS!$B:$B,0)+COLUMN(F$1),1))</f>
        <v/>
      </c>
      <c r="AX127" t="str">
        <f>IF($A127="","", INDEX(CS!$B$1:$B$12815,MATCH($A127,CS!$B:$B,0)+COLUMN(G$1),1))</f>
        <v/>
      </c>
      <c r="AY127" t="str">
        <f>IF($A127="","", INDEX(CS!$B$1:$B$12815,MATCH($A127,CS!$B:$B,0)+COLUMN(H$1),1))</f>
        <v/>
      </c>
      <c r="AZ127" t="str">
        <f>IF($A127="","", INDEX(CS!$B$1:$B$12815,MATCH($A127,CS!$B:$B,0)+COLUMN(I$1),1))</f>
        <v/>
      </c>
      <c r="BA127" t="str">
        <f>IF($A127="","", INDEX(CS!$B$1:$B$12815,MATCH($A127,CS!$B:$B,0)+COLUMN(J$1),1))</f>
        <v/>
      </c>
    </row>
    <row r="128" spans="3:53" x14ac:dyDescent="0.4">
      <c r="C128" t="s">
        <v>194</v>
      </c>
      <c r="D128" t="str">
        <f t="shared" si="7"/>
        <v>0/0/0</v>
      </c>
      <c r="E128">
        <v>1</v>
      </c>
      <c r="AR128" t="str">
        <f>IF($A128="","", INDEX(CS!$B$1:$B$12815,MATCH($A128,CS!$B:$B,0)+COLUMN(A$1),1))</f>
        <v/>
      </c>
      <c r="AS128" t="str">
        <f>IF($A128="","", INDEX(CS!$B$1:$B$12815,MATCH($A128,CS!$B:$B,0)+COLUMN(B$1),1))</f>
        <v/>
      </c>
      <c r="AT128" t="str">
        <f>IF($A128="","", INDEX(CS!$B$1:$B$12815,MATCH($A128,CS!$B:$B,0)+COLUMN(C$1),1))</f>
        <v/>
      </c>
      <c r="AU128" t="str">
        <f>IF($A128="","", INDEX(CS!$B$1:$B$12815,MATCH($A128,CS!$B:$B,0)+COLUMN(D$1),1))</f>
        <v/>
      </c>
      <c r="AV128" t="str">
        <f>IF($A128="","", INDEX(CS!$B$1:$B$12815,MATCH($A128,CS!$B:$B,0)+COLUMN(E$1),1))</f>
        <v/>
      </c>
      <c r="AW128" t="str">
        <f>IF($A128="","", INDEX(CS!$B$1:$B$12815,MATCH($A128,CS!$B:$B,0)+COLUMN(F$1),1))</f>
        <v/>
      </c>
      <c r="AX128" t="str">
        <f>IF($A128="","", INDEX(CS!$B$1:$B$12815,MATCH($A128,CS!$B:$B,0)+COLUMN(G$1),1))</f>
        <v/>
      </c>
      <c r="AY128" t="str">
        <f>IF($A128="","", INDEX(CS!$B$1:$B$12815,MATCH($A128,CS!$B:$B,0)+COLUMN(H$1),1))</f>
        <v/>
      </c>
      <c r="AZ128" t="str">
        <f>IF($A128="","", INDEX(CS!$B$1:$B$12815,MATCH($A128,CS!$B:$B,0)+COLUMN(I$1),1))</f>
        <v/>
      </c>
      <c r="BA128" t="str">
        <f>IF($A128="","", INDEX(CS!$B$1:$B$12815,MATCH($A128,CS!$B:$B,0)+COLUMN(J$1),1))</f>
        <v/>
      </c>
    </row>
    <row r="129" spans="3:53" x14ac:dyDescent="0.4">
      <c r="C129" t="s">
        <v>194</v>
      </c>
      <c r="D129" t="str">
        <f t="shared" si="7"/>
        <v>0/0/0</v>
      </c>
      <c r="E129">
        <v>1</v>
      </c>
      <c r="AR129" t="str">
        <f>IF($A129="","", INDEX(CS!$B$1:$B$12815,MATCH($A129,CS!$B:$B,0)+COLUMN(A$1),1))</f>
        <v/>
      </c>
      <c r="AS129" t="str">
        <f>IF($A129="","", INDEX(CS!$B$1:$B$12815,MATCH($A129,CS!$B:$B,0)+COLUMN(B$1),1))</f>
        <v/>
      </c>
      <c r="AT129" t="str">
        <f>IF($A129="","", INDEX(CS!$B$1:$B$12815,MATCH($A129,CS!$B:$B,0)+COLUMN(C$1),1))</f>
        <v/>
      </c>
      <c r="AU129" t="str">
        <f>IF($A129="","", INDEX(CS!$B$1:$B$12815,MATCH($A129,CS!$B:$B,0)+COLUMN(D$1),1))</f>
        <v/>
      </c>
      <c r="AV129" t="str">
        <f>IF($A129="","", INDEX(CS!$B$1:$B$12815,MATCH($A129,CS!$B:$B,0)+COLUMN(E$1),1))</f>
        <v/>
      </c>
      <c r="AW129" t="str">
        <f>IF($A129="","", INDEX(CS!$B$1:$B$12815,MATCH($A129,CS!$B:$B,0)+COLUMN(F$1),1))</f>
        <v/>
      </c>
      <c r="AX129" t="str">
        <f>IF($A129="","", INDEX(CS!$B$1:$B$12815,MATCH($A129,CS!$B:$B,0)+COLUMN(G$1),1))</f>
        <v/>
      </c>
      <c r="AY129" t="str">
        <f>IF($A129="","", INDEX(CS!$B$1:$B$12815,MATCH($A129,CS!$B:$B,0)+COLUMN(H$1),1))</f>
        <v/>
      </c>
      <c r="AZ129" t="str">
        <f>IF($A129="","", INDEX(CS!$B$1:$B$12815,MATCH($A129,CS!$B:$B,0)+COLUMN(I$1),1))</f>
        <v/>
      </c>
      <c r="BA129" t="str">
        <f>IF($A129="","", INDEX(CS!$B$1:$B$12815,MATCH($A129,CS!$B:$B,0)+COLUMN(J$1),1))</f>
        <v/>
      </c>
    </row>
    <row r="130" spans="3:53" x14ac:dyDescent="0.4">
      <c r="C130" t="s">
        <v>194</v>
      </c>
      <c r="D130" t="str">
        <f t="shared" si="7"/>
        <v>0/0/0</v>
      </c>
      <c r="E130">
        <v>1</v>
      </c>
      <c r="AR130" t="str">
        <f>IF($A130="","", INDEX(CS!$B$1:$B$12815,MATCH($A130,CS!$B:$B,0)+COLUMN(A$1),1))</f>
        <v/>
      </c>
      <c r="AS130" t="str">
        <f>IF($A130="","", INDEX(CS!$B$1:$B$12815,MATCH($A130,CS!$B:$B,0)+COLUMN(B$1),1))</f>
        <v/>
      </c>
      <c r="AT130" t="str">
        <f>IF($A130="","", INDEX(CS!$B$1:$B$12815,MATCH($A130,CS!$B:$B,0)+COLUMN(C$1),1))</f>
        <v/>
      </c>
      <c r="AU130" t="str">
        <f>IF($A130="","", INDEX(CS!$B$1:$B$12815,MATCH($A130,CS!$B:$B,0)+COLUMN(D$1),1))</f>
        <v/>
      </c>
      <c r="AV130" t="str">
        <f>IF($A130="","", INDEX(CS!$B$1:$B$12815,MATCH($A130,CS!$B:$B,0)+COLUMN(E$1),1))</f>
        <v/>
      </c>
      <c r="AW130" t="str">
        <f>IF($A130="","", INDEX(CS!$B$1:$B$12815,MATCH($A130,CS!$B:$B,0)+COLUMN(F$1),1))</f>
        <v/>
      </c>
      <c r="AX130" t="str">
        <f>IF($A130="","", INDEX(CS!$B$1:$B$12815,MATCH($A130,CS!$B:$B,0)+COLUMN(G$1),1))</f>
        <v/>
      </c>
      <c r="AY130" t="str">
        <f>IF($A130="","", INDEX(CS!$B$1:$B$12815,MATCH($A130,CS!$B:$B,0)+COLUMN(H$1),1))</f>
        <v/>
      </c>
      <c r="AZ130" t="str">
        <f>IF($A130="","", INDEX(CS!$B$1:$B$12815,MATCH($A130,CS!$B:$B,0)+COLUMN(I$1),1))</f>
        <v/>
      </c>
      <c r="BA130" t="str">
        <f>IF($A130="","", INDEX(CS!$B$1:$B$12815,MATCH($A130,CS!$B:$B,0)+COLUMN(J$1),1))</f>
        <v/>
      </c>
    </row>
    <row r="131" spans="3:53" x14ac:dyDescent="0.4">
      <c r="C131" t="s">
        <v>194</v>
      </c>
      <c r="D131" t="str">
        <f t="shared" si="7"/>
        <v>0/0/0</v>
      </c>
      <c r="E131">
        <v>1</v>
      </c>
      <c r="AR131" t="str">
        <f>IF($A131="","", INDEX(CS!$B$1:$B$12815,MATCH($A131,CS!$B:$B,0)+COLUMN(A$1),1))</f>
        <v/>
      </c>
      <c r="AS131" t="str">
        <f>IF($A131="","", INDEX(CS!$B$1:$B$12815,MATCH($A131,CS!$B:$B,0)+COLUMN(B$1),1))</f>
        <v/>
      </c>
      <c r="AT131" t="str">
        <f>IF($A131="","", INDEX(CS!$B$1:$B$12815,MATCH($A131,CS!$B:$B,0)+COLUMN(C$1),1))</f>
        <v/>
      </c>
      <c r="AU131" t="str">
        <f>IF($A131="","", INDEX(CS!$B$1:$B$12815,MATCH($A131,CS!$B:$B,0)+COLUMN(D$1),1))</f>
        <v/>
      </c>
      <c r="AV131" t="str">
        <f>IF($A131="","", INDEX(CS!$B$1:$B$12815,MATCH($A131,CS!$B:$B,0)+COLUMN(E$1),1))</f>
        <v/>
      </c>
      <c r="AW131" t="str">
        <f>IF($A131="","", INDEX(CS!$B$1:$B$12815,MATCH($A131,CS!$B:$B,0)+COLUMN(F$1),1))</f>
        <v/>
      </c>
      <c r="AX131" t="str">
        <f>IF($A131="","", INDEX(CS!$B$1:$B$12815,MATCH($A131,CS!$B:$B,0)+COLUMN(G$1),1))</f>
        <v/>
      </c>
      <c r="AY131" t="str">
        <f>IF($A131="","", INDEX(CS!$B$1:$B$12815,MATCH($A131,CS!$B:$B,0)+COLUMN(H$1),1))</f>
        <v/>
      </c>
      <c r="AZ131" t="str">
        <f>IF($A131="","", INDEX(CS!$B$1:$B$12815,MATCH($A131,CS!$B:$B,0)+COLUMN(I$1),1))</f>
        <v/>
      </c>
      <c r="BA131" t="str">
        <f>IF($A131="","", INDEX(CS!$B$1:$B$12815,MATCH($A131,CS!$B:$B,0)+COLUMN(J$1),1))</f>
        <v/>
      </c>
    </row>
    <row r="132" spans="3:53" x14ac:dyDescent="0.4">
      <c r="C132" t="s">
        <v>194</v>
      </c>
      <c r="D132" t="str">
        <f t="shared" si="7"/>
        <v>0/0/0</v>
      </c>
      <c r="E132">
        <v>1</v>
      </c>
      <c r="AR132" t="str">
        <f>IF($A132="","", INDEX(CS!$B$1:$B$12815,MATCH($A132,CS!$B:$B,0)+COLUMN(A$1),1))</f>
        <v/>
      </c>
      <c r="AS132" t="str">
        <f>IF($A132="","", INDEX(CS!$B$1:$B$12815,MATCH($A132,CS!$B:$B,0)+COLUMN(B$1),1))</f>
        <v/>
      </c>
      <c r="AT132" t="str">
        <f>IF($A132="","", INDEX(CS!$B$1:$B$12815,MATCH($A132,CS!$B:$B,0)+COLUMN(C$1),1))</f>
        <v/>
      </c>
      <c r="AU132" t="str">
        <f>IF($A132="","", INDEX(CS!$B$1:$B$12815,MATCH($A132,CS!$B:$B,0)+COLUMN(D$1),1))</f>
        <v/>
      </c>
      <c r="AV132" t="str">
        <f>IF($A132="","", INDEX(CS!$B$1:$B$12815,MATCH($A132,CS!$B:$B,0)+COLUMN(E$1),1))</f>
        <v/>
      </c>
      <c r="AW132" t="str">
        <f>IF($A132="","", INDEX(CS!$B$1:$B$12815,MATCH($A132,CS!$B:$B,0)+COLUMN(F$1),1))</f>
        <v/>
      </c>
      <c r="AX132" t="str">
        <f>IF($A132="","", INDEX(CS!$B$1:$B$12815,MATCH($A132,CS!$B:$B,0)+COLUMN(G$1),1))</f>
        <v/>
      </c>
      <c r="AY132" t="str">
        <f>IF($A132="","", INDEX(CS!$B$1:$B$12815,MATCH($A132,CS!$B:$B,0)+COLUMN(H$1),1))</f>
        <v/>
      </c>
      <c r="AZ132" t="str">
        <f>IF($A132="","", INDEX(CS!$B$1:$B$12815,MATCH($A132,CS!$B:$B,0)+COLUMN(I$1),1))</f>
        <v/>
      </c>
      <c r="BA132" t="str">
        <f>IF($A132="","", INDEX(CS!$B$1:$B$12815,MATCH($A132,CS!$B:$B,0)+COLUMN(J$1),1))</f>
        <v/>
      </c>
    </row>
    <row r="133" spans="3:53" x14ac:dyDescent="0.4">
      <c r="C133" t="s">
        <v>194</v>
      </c>
      <c r="D133" t="str">
        <f t="shared" si="7"/>
        <v>0/0/0</v>
      </c>
      <c r="E133">
        <v>1</v>
      </c>
      <c r="AR133" t="str">
        <f>IF($A133="","", INDEX(CS!$B$1:$B$12815,MATCH($A133,CS!$B:$B,0)+COLUMN(A$1),1))</f>
        <v/>
      </c>
      <c r="AS133" t="str">
        <f>IF($A133="","", INDEX(CS!$B$1:$B$12815,MATCH($A133,CS!$B:$B,0)+COLUMN(B$1),1))</f>
        <v/>
      </c>
      <c r="AT133" t="str">
        <f>IF($A133="","", INDEX(CS!$B$1:$B$12815,MATCH($A133,CS!$B:$B,0)+COLUMN(C$1),1))</f>
        <v/>
      </c>
      <c r="AU133" t="str">
        <f>IF($A133="","", INDEX(CS!$B$1:$B$12815,MATCH($A133,CS!$B:$B,0)+COLUMN(D$1),1))</f>
        <v/>
      </c>
      <c r="AV133" t="str">
        <f>IF($A133="","", INDEX(CS!$B$1:$B$12815,MATCH($A133,CS!$B:$B,0)+COLUMN(E$1),1))</f>
        <v/>
      </c>
      <c r="AW133" t="str">
        <f>IF($A133="","", INDEX(CS!$B$1:$B$12815,MATCH($A133,CS!$B:$B,0)+COLUMN(F$1),1))</f>
        <v/>
      </c>
      <c r="AX133" t="str">
        <f>IF($A133="","", INDEX(CS!$B$1:$B$12815,MATCH($A133,CS!$B:$B,0)+COLUMN(G$1),1))</f>
        <v/>
      </c>
      <c r="AY133" t="str">
        <f>IF($A133="","", INDEX(CS!$B$1:$B$12815,MATCH($A133,CS!$B:$B,0)+COLUMN(H$1),1))</f>
        <v/>
      </c>
      <c r="AZ133" t="str">
        <f>IF($A133="","", INDEX(CS!$B$1:$B$12815,MATCH($A133,CS!$B:$B,0)+COLUMN(I$1),1))</f>
        <v/>
      </c>
      <c r="BA133" t="str">
        <f>IF($A133="","", INDEX(CS!$B$1:$B$12815,MATCH($A133,CS!$B:$B,0)+COLUMN(J$1),1))</f>
        <v/>
      </c>
    </row>
    <row r="134" spans="3:53" x14ac:dyDescent="0.4">
      <c r="C134" t="s">
        <v>194</v>
      </c>
      <c r="D134" t="str">
        <f t="shared" si="7"/>
        <v>0/0/0</v>
      </c>
      <c r="E134">
        <v>1</v>
      </c>
      <c r="AR134" t="str">
        <f>IF($A134="","", INDEX(CS!$B$1:$B$12815,MATCH($A134,CS!$B:$B,0)+COLUMN(A$1),1))</f>
        <v/>
      </c>
      <c r="AS134" t="str">
        <f>IF($A134="","", INDEX(CS!$B$1:$B$12815,MATCH($A134,CS!$B:$B,0)+COLUMN(B$1),1))</f>
        <v/>
      </c>
      <c r="AT134" t="str">
        <f>IF($A134="","", INDEX(CS!$B$1:$B$12815,MATCH($A134,CS!$B:$B,0)+COLUMN(C$1),1))</f>
        <v/>
      </c>
      <c r="AU134" t="str">
        <f>IF($A134="","", INDEX(CS!$B$1:$B$12815,MATCH($A134,CS!$B:$B,0)+COLUMN(D$1),1))</f>
        <v/>
      </c>
      <c r="AV134" t="str">
        <f>IF($A134="","", INDEX(CS!$B$1:$B$12815,MATCH($A134,CS!$B:$B,0)+COLUMN(E$1),1))</f>
        <v/>
      </c>
      <c r="AW134" t="str">
        <f>IF($A134="","", INDEX(CS!$B$1:$B$12815,MATCH($A134,CS!$B:$B,0)+COLUMN(F$1),1))</f>
        <v/>
      </c>
      <c r="AX134" t="str">
        <f>IF($A134="","", INDEX(CS!$B$1:$B$12815,MATCH($A134,CS!$B:$B,0)+COLUMN(G$1),1))</f>
        <v/>
      </c>
      <c r="AY134" t="str">
        <f>IF($A134="","", INDEX(CS!$B$1:$B$12815,MATCH($A134,CS!$B:$B,0)+COLUMN(H$1),1))</f>
        <v/>
      </c>
      <c r="AZ134" t="str">
        <f>IF($A134="","", INDEX(CS!$B$1:$B$12815,MATCH($A134,CS!$B:$B,0)+COLUMN(I$1),1))</f>
        <v/>
      </c>
      <c r="BA134" t="str">
        <f>IF($A134="","", INDEX(CS!$B$1:$B$12815,MATCH($A134,CS!$B:$B,0)+COLUMN(J$1),1))</f>
        <v/>
      </c>
    </row>
    <row r="135" spans="3:53" x14ac:dyDescent="0.4">
      <c r="C135" t="s">
        <v>194</v>
      </c>
      <c r="D135" t="str">
        <f t="shared" si="7"/>
        <v>0/0/0</v>
      </c>
      <c r="E135">
        <v>1</v>
      </c>
      <c r="AR135" t="str">
        <f>IF($A135="","", INDEX(CS!$B$1:$B$12815,MATCH($A135,CS!$B:$B,0)+COLUMN(A$1),1))</f>
        <v/>
      </c>
      <c r="AS135" t="str">
        <f>IF($A135="","", INDEX(CS!$B$1:$B$12815,MATCH($A135,CS!$B:$B,0)+COLUMN(B$1),1))</f>
        <v/>
      </c>
      <c r="AT135" t="str">
        <f>IF($A135="","", INDEX(CS!$B$1:$B$12815,MATCH($A135,CS!$B:$B,0)+COLUMN(C$1),1))</f>
        <v/>
      </c>
      <c r="AU135" t="str">
        <f>IF($A135="","", INDEX(CS!$B$1:$B$12815,MATCH($A135,CS!$B:$B,0)+COLUMN(D$1),1))</f>
        <v/>
      </c>
      <c r="AV135" t="str">
        <f>IF($A135="","", INDEX(CS!$B$1:$B$12815,MATCH($A135,CS!$B:$B,0)+COLUMN(E$1),1))</f>
        <v/>
      </c>
      <c r="AW135" t="str">
        <f>IF($A135="","", INDEX(CS!$B$1:$B$12815,MATCH($A135,CS!$B:$B,0)+COLUMN(F$1),1))</f>
        <v/>
      </c>
      <c r="AX135" t="str">
        <f>IF($A135="","", INDEX(CS!$B$1:$B$12815,MATCH($A135,CS!$B:$B,0)+COLUMN(G$1),1))</f>
        <v/>
      </c>
      <c r="AY135" t="str">
        <f>IF($A135="","", INDEX(CS!$B$1:$B$12815,MATCH($A135,CS!$B:$B,0)+COLUMN(H$1),1))</f>
        <v/>
      </c>
      <c r="AZ135" t="str">
        <f>IF($A135="","", INDEX(CS!$B$1:$B$12815,MATCH($A135,CS!$B:$B,0)+COLUMN(I$1),1))</f>
        <v/>
      </c>
      <c r="BA135" t="str">
        <f>IF($A135="","", INDEX(CS!$B$1:$B$12815,MATCH($A135,CS!$B:$B,0)+COLUMN(J$1),1))</f>
        <v/>
      </c>
    </row>
    <row r="136" spans="3:53" x14ac:dyDescent="0.4">
      <c r="C136" t="s">
        <v>194</v>
      </c>
      <c r="D136" t="str">
        <f t="shared" si="7"/>
        <v>0/0/0</v>
      </c>
      <c r="E136">
        <v>1</v>
      </c>
      <c r="AR136" t="str">
        <f>IF($A136="","", INDEX(CS!$B$1:$B$12815,MATCH($A136,CS!$B:$B,0)+COLUMN(A$1),1))</f>
        <v/>
      </c>
      <c r="AS136" t="str">
        <f>IF($A136="","", INDEX(CS!$B$1:$B$12815,MATCH($A136,CS!$B:$B,0)+COLUMN(B$1),1))</f>
        <v/>
      </c>
      <c r="AT136" t="str">
        <f>IF($A136="","", INDEX(CS!$B$1:$B$12815,MATCH($A136,CS!$B:$B,0)+COLUMN(C$1),1))</f>
        <v/>
      </c>
      <c r="AU136" t="str">
        <f>IF($A136="","", INDEX(CS!$B$1:$B$12815,MATCH($A136,CS!$B:$B,0)+COLUMN(D$1),1))</f>
        <v/>
      </c>
      <c r="AV136" t="str">
        <f>IF($A136="","", INDEX(CS!$B$1:$B$12815,MATCH($A136,CS!$B:$B,0)+COLUMN(E$1),1))</f>
        <v/>
      </c>
      <c r="AW136" t="str">
        <f>IF($A136="","", INDEX(CS!$B$1:$B$12815,MATCH($A136,CS!$B:$B,0)+COLUMN(F$1),1))</f>
        <v/>
      </c>
      <c r="AX136" t="str">
        <f>IF($A136="","", INDEX(CS!$B$1:$B$12815,MATCH($A136,CS!$B:$B,0)+COLUMN(G$1),1))</f>
        <v/>
      </c>
      <c r="AY136" t="str">
        <f>IF($A136="","", INDEX(CS!$B$1:$B$12815,MATCH($A136,CS!$B:$B,0)+COLUMN(H$1),1))</f>
        <v/>
      </c>
      <c r="AZ136" t="str">
        <f>IF($A136="","", INDEX(CS!$B$1:$B$12815,MATCH($A136,CS!$B:$B,0)+COLUMN(I$1),1))</f>
        <v/>
      </c>
      <c r="BA136" t="str">
        <f>IF($A136="","", INDEX(CS!$B$1:$B$12815,MATCH($A136,CS!$B:$B,0)+COLUMN(J$1),1))</f>
        <v/>
      </c>
    </row>
    <row r="137" spans="3:53" x14ac:dyDescent="0.4">
      <c r="C137" t="s">
        <v>194</v>
      </c>
      <c r="D137" t="str">
        <f t="shared" si="7"/>
        <v>0/0/0</v>
      </c>
      <c r="E137">
        <v>1</v>
      </c>
      <c r="AR137" t="str">
        <f>IF($A137="","", INDEX(CS!$B$1:$B$12815,MATCH($A137,CS!$B:$B,0)+COLUMN(A$1),1))</f>
        <v/>
      </c>
      <c r="AS137" t="str">
        <f>IF($A137="","", INDEX(CS!$B$1:$B$12815,MATCH($A137,CS!$B:$B,0)+COLUMN(B$1),1))</f>
        <v/>
      </c>
      <c r="AT137" t="str">
        <f>IF($A137="","", INDEX(CS!$B$1:$B$12815,MATCH($A137,CS!$B:$B,0)+COLUMN(C$1),1))</f>
        <v/>
      </c>
      <c r="AU137" t="str">
        <f>IF($A137="","", INDEX(CS!$B$1:$B$12815,MATCH($A137,CS!$B:$B,0)+COLUMN(D$1),1))</f>
        <v/>
      </c>
      <c r="AV137" t="str">
        <f>IF($A137="","", INDEX(CS!$B$1:$B$12815,MATCH($A137,CS!$B:$B,0)+COLUMN(E$1),1))</f>
        <v/>
      </c>
      <c r="AW137" t="str">
        <f>IF($A137="","", INDEX(CS!$B$1:$B$12815,MATCH($A137,CS!$B:$B,0)+COLUMN(F$1),1))</f>
        <v/>
      </c>
      <c r="AX137" t="str">
        <f>IF($A137="","", INDEX(CS!$B$1:$B$12815,MATCH($A137,CS!$B:$B,0)+COLUMN(G$1),1))</f>
        <v/>
      </c>
      <c r="AY137" t="str">
        <f>IF($A137="","", INDEX(CS!$B$1:$B$12815,MATCH($A137,CS!$B:$B,0)+COLUMN(H$1),1))</f>
        <v/>
      </c>
      <c r="AZ137" t="str">
        <f>IF($A137="","", INDEX(CS!$B$1:$B$12815,MATCH($A137,CS!$B:$B,0)+COLUMN(I$1),1))</f>
        <v/>
      </c>
      <c r="BA137" t="str">
        <f>IF($A137="","", INDEX(CS!$B$1:$B$12815,MATCH($A137,CS!$B:$B,0)+COLUMN(J$1),1))</f>
        <v/>
      </c>
    </row>
    <row r="138" spans="3:53" x14ac:dyDescent="0.4">
      <c r="C138" t="s">
        <v>194</v>
      </c>
      <c r="D138" t="str">
        <f t="shared" si="7"/>
        <v>0/0/0</v>
      </c>
      <c r="E138">
        <v>1</v>
      </c>
      <c r="AR138" t="str">
        <f>IF($A138="","", INDEX(CS!$B$1:$B$12815,MATCH($A138,CS!$B:$B,0)+COLUMN(A$1),1))</f>
        <v/>
      </c>
      <c r="AS138" t="str">
        <f>IF($A138="","", INDEX(CS!$B$1:$B$12815,MATCH($A138,CS!$B:$B,0)+COLUMN(B$1),1))</f>
        <v/>
      </c>
      <c r="AT138" t="str">
        <f>IF($A138="","", INDEX(CS!$B$1:$B$12815,MATCH($A138,CS!$B:$B,0)+COLUMN(C$1),1))</f>
        <v/>
      </c>
      <c r="AU138" t="str">
        <f>IF($A138="","", INDEX(CS!$B$1:$B$12815,MATCH($A138,CS!$B:$B,0)+COLUMN(D$1),1))</f>
        <v/>
      </c>
      <c r="AV138" t="str">
        <f>IF($A138="","", INDEX(CS!$B$1:$B$12815,MATCH($A138,CS!$B:$B,0)+COLUMN(E$1),1))</f>
        <v/>
      </c>
      <c r="AW138" t="str">
        <f>IF($A138="","", INDEX(CS!$B$1:$B$12815,MATCH($A138,CS!$B:$B,0)+COLUMN(F$1),1))</f>
        <v/>
      </c>
      <c r="AX138" t="str">
        <f>IF($A138="","", INDEX(CS!$B$1:$B$12815,MATCH($A138,CS!$B:$B,0)+COLUMN(G$1),1))</f>
        <v/>
      </c>
      <c r="AY138" t="str">
        <f>IF($A138="","", INDEX(CS!$B$1:$B$12815,MATCH($A138,CS!$B:$B,0)+COLUMN(H$1),1))</f>
        <v/>
      </c>
      <c r="AZ138" t="str">
        <f>IF($A138="","", INDEX(CS!$B$1:$B$12815,MATCH($A138,CS!$B:$B,0)+COLUMN(I$1),1))</f>
        <v/>
      </c>
      <c r="BA138" t="str">
        <f>IF($A138="","", INDEX(CS!$B$1:$B$12815,MATCH($A138,CS!$B:$B,0)+COLUMN(J$1),1))</f>
        <v/>
      </c>
    </row>
    <row r="139" spans="3:53" x14ac:dyDescent="0.4">
      <c r="C139" t="s">
        <v>194</v>
      </c>
      <c r="D139" t="str">
        <f t="shared" si="7"/>
        <v>0/0/0</v>
      </c>
      <c r="E139">
        <v>1</v>
      </c>
      <c r="AR139" t="str">
        <f>IF($A139="","", INDEX(CS!$B$1:$B$12815,MATCH($A139,CS!$B:$B,0)+COLUMN(A$1),1))</f>
        <v/>
      </c>
      <c r="AS139" t="str">
        <f>IF($A139="","", INDEX(CS!$B$1:$B$12815,MATCH($A139,CS!$B:$B,0)+COLUMN(B$1),1))</f>
        <v/>
      </c>
      <c r="AT139" t="str">
        <f>IF($A139="","", INDEX(CS!$B$1:$B$12815,MATCH($A139,CS!$B:$B,0)+COLUMN(C$1),1))</f>
        <v/>
      </c>
      <c r="AU139" t="str">
        <f>IF($A139="","", INDEX(CS!$B$1:$B$12815,MATCH($A139,CS!$B:$B,0)+COLUMN(D$1),1))</f>
        <v/>
      </c>
      <c r="AV139" t="str">
        <f>IF($A139="","", INDEX(CS!$B$1:$B$12815,MATCH($A139,CS!$B:$B,0)+COLUMN(E$1),1))</f>
        <v/>
      </c>
      <c r="AW139" t="str">
        <f>IF($A139="","", INDEX(CS!$B$1:$B$12815,MATCH($A139,CS!$B:$B,0)+COLUMN(F$1),1))</f>
        <v/>
      </c>
      <c r="AX139" t="str">
        <f>IF($A139="","", INDEX(CS!$B$1:$B$12815,MATCH($A139,CS!$B:$B,0)+COLUMN(G$1),1))</f>
        <v/>
      </c>
      <c r="AY139" t="str">
        <f>IF($A139="","", INDEX(CS!$B$1:$B$12815,MATCH($A139,CS!$B:$B,0)+COLUMN(H$1),1))</f>
        <v/>
      </c>
      <c r="AZ139" t="str">
        <f>IF($A139="","", INDEX(CS!$B$1:$B$12815,MATCH($A139,CS!$B:$B,0)+COLUMN(I$1),1))</f>
        <v/>
      </c>
      <c r="BA139" t="str">
        <f>IF($A139="","", INDEX(CS!$B$1:$B$12815,MATCH($A139,CS!$B:$B,0)+COLUMN(J$1),1))</f>
        <v/>
      </c>
    </row>
    <row r="140" spans="3:53" x14ac:dyDescent="0.4">
      <c r="C140" t="s">
        <v>194</v>
      </c>
      <c r="D140" t="str">
        <f t="shared" si="7"/>
        <v>0/0/0</v>
      </c>
      <c r="E140">
        <v>1</v>
      </c>
      <c r="AR140" t="str">
        <f>IF($A140="","", INDEX(CS!$B$1:$B$12815,MATCH($A140,CS!$B:$B,0)+COLUMN(A$1),1))</f>
        <v/>
      </c>
      <c r="AS140" t="str">
        <f>IF($A140="","", INDEX(CS!$B$1:$B$12815,MATCH($A140,CS!$B:$B,0)+COLUMN(B$1),1))</f>
        <v/>
      </c>
      <c r="AT140" t="str">
        <f>IF($A140="","", INDEX(CS!$B$1:$B$12815,MATCH($A140,CS!$B:$B,0)+COLUMN(C$1),1))</f>
        <v/>
      </c>
      <c r="AU140" t="str">
        <f>IF($A140="","", INDEX(CS!$B$1:$B$12815,MATCH($A140,CS!$B:$B,0)+COLUMN(D$1),1))</f>
        <v/>
      </c>
      <c r="AV140" t="str">
        <f>IF($A140="","", INDEX(CS!$B$1:$B$12815,MATCH($A140,CS!$B:$B,0)+COLUMN(E$1),1))</f>
        <v/>
      </c>
      <c r="AW140" t="str">
        <f>IF($A140="","", INDEX(CS!$B$1:$B$12815,MATCH($A140,CS!$B:$B,0)+COLUMN(F$1),1))</f>
        <v/>
      </c>
      <c r="AX140" t="str">
        <f>IF($A140="","", INDEX(CS!$B$1:$B$12815,MATCH($A140,CS!$B:$B,0)+COLUMN(G$1),1))</f>
        <v/>
      </c>
      <c r="AY140" t="str">
        <f>IF($A140="","", INDEX(CS!$B$1:$B$12815,MATCH($A140,CS!$B:$B,0)+COLUMN(H$1),1))</f>
        <v/>
      </c>
      <c r="AZ140" t="str">
        <f>IF($A140="","", INDEX(CS!$B$1:$B$12815,MATCH($A140,CS!$B:$B,0)+COLUMN(I$1),1))</f>
        <v/>
      </c>
      <c r="BA140" t="str">
        <f>IF($A140="","", INDEX(CS!$B$1:$B$12815,MATCH($A140,CS!$B:$B,0)+COLUMN(J$1),1))</f>
        <v/>
      </c>
    </row>
    <row r="141" spans="3:53" x14ac:dyDescent="0.4">
      <c r="C141" t="s">
        <v>194</v>
      </c>
      <c r="D141" t="str">
        <f t="shared" si="7"/>
        <v>0/0/0</v>
      </c>
      <c r="E141">
        <v>1</v>
      </c>
      <c r="AR141" t="str">
        <f>IF($A141="","", INDEX(CS!$B$1:$B$12815,MATCH($A141,CS!$B:$B,0)+COLUMN(A$1),1))</f>
        <v/>
      </c>
      <c r="AS141" t="str">
        <f>IF($A141="","", INDEX(CS!$B$1:$B$12815,MATCH($A141,CS!$B:$B,0)+COLUMN(B$1),1))</f>
        <v/>
      </c>
      <c r="AT141" t="str">
        <f>IF($A141="","", INDEX(CS!$B$1:$B$12815,MATCH($A141,CS!$B:$B,0)+COLUMN(C$1),1))</f>
        <v/>
      </c>
      <c r="AU141" t="str">
        <f>IF($A141="","", INDEX(CS!$B$1:$B$12815,MATCH($A141,CS!$B:$B,0)+COLUMN(D$1),1))</f>
        <v/>
      </c>
      <c r="AV141" t="str">
        <f>IF($A141="","", INDEX(CS!$B$1:$B$12815,MATCH($A141,CS!$B:$B,0)+COLUMN(E$1),1))</f>
        <v/>
      </c>
      <c r="AW141" t="str">
        <f>IF($A141="","", INDEX(CS!$B$1:$B$12815,MATCH($A141,CS!$B:$B,0)+COLUMN(F$1),1))</f>
        <v/>
      </c>
      <c r="AX141" t="str">
        <f>IF($A141="","", INDEX(CS!$B$1:$B$12815,MATCH($A141,CS!$B:$B,0)+COLUMN(G$1),1))</f>
        <v/>
      </c>
      <c r="AY141" t="str">
        <f>IF($A141="","", INDEX(CS!$B$1:$B$12815,MATCH($A141,CS!$B:$B,0)+COLUMN(H$1),1))</f>
        <v/>
      </c>
      <c r="AZ141" t="str">
        <f>IF($A141="","", INDEX(CS!$B$1:$B$12815,MATCH($A141,CS!$B:$B,0)+COLUMN(I$1),1))</f>
        <v/>
      </c>
      <c r="BA141" t="str">
        <f>IF($A141="","", INDEX(CS!$B$1:$B$12815,MATCH($A141,CS!$B:$B,0)+COLUMN(J$1),1))</f>
        <v/>
      </c>
    </row>
    <row r="142" spans="3:53" x14ac:dyDescent="0.4">
      <c r="C142" t="s">
        <v>194</v>
      </c>
      <c r="D142" t="str">
        <f t="shared" si="7"/>
        <v>0/0/0</v>
      </c>
      <c r="E142">
        <v>1</v>
      </c>
      <c r="AR142" t="str">
        <f>IF($A142="","", INDEX(CS!$B$1:$B$12815,MATCH($A142,CS!$B:$B,0)+COLUMN(A$1),1))</f>
        <v/>
      </c>
      <c r="AS142" t="str">
        <f>IF($A142="","", INDEX(CS!$B$1:$B$12815,MATCH($A142,CS!$B:$B,0)+COLUMN(B$1),1))</f>
        <v/>
      </c>
      <c r="AT142" t="str">
        <f>IF($A142="","", INDEX(CS!$B$1:$B$12815,MATCH($A142,CS!$B:$B,0)+COLUMN(C$1),1))</f>
        <v/>
      </c>
      <c r="AU142" t="str">
        <f>IF($A142="","", INDEX(CS!$B$1:$B$12815,MATCH($A142,CS!$B:$B,0)+COLUMN(D$1),1))</f>
        <v/>
      </c>
      <c r="AV142" t="str">
        <f>IF($A142="","", INDEX(CS!$B$1:$B$12815,MATCH($A142,CS!$B:$B,0)+COLUMN(E$1),1))</f>
        <v/>
      </c>
      <c r="AW142" t="str">
        <f>IF($A142="","", INDEX(CS!$B$1:$B$12815,MATCH($A142,CS!$B:$B,0)+COLUMN(F$1),1))</f>
        <v/>
      </c>
      <c r="AX142" t="str">
        <f>IF($A142="","", INDEX(CS!$B$1:$B$12815,MATCH($A142,CS!$B:$B,0)+COLUMN(G$1),1))</f>
        <v/>
      </c>
      <c r="AY142" t="str">
        <f>IF($A142="","", INDEX(CS!$B$1:$B$12815,MATCH($A142,CS!$B:$B,0)+COLUMN(H$1),1))</f>
        <v/>
      </c>
      <c r="AZ142" t="str">
        <f>IF($A142="","", INDEX(CS!$B$1:$B$12815,MATCH($A142,CS!$B:$B,0)+COLUMN(I$1),1))</f>
        <v/>
      </c>
      <c r="BA142" t="str">
        <f>IF($A142="","", INDEX(CS!$B$1:$B$12815,MATCH($A142,CS!$B:$B,0)+COLUMN(J$1),1))</f>
        <v/>
      </c>
    </row>
    <row r="143" spans="3:53" x14ac:dyDescent="0.4">
      <c r="C143" t="s">
        <v>194</v>
      </c>
      <c r="D143" t="str">
        <f t="shared" si="7"/>
        <v>0/0/0</v>
      </c>
      <c r="E143">
        <v>1</v>
      </c>
      <c r="AR143" t="str">
        <f>IF($A143="","", INDEX(CS!$B$1:$B$12815,MATCH($A143,CS!$B:$B,0)+COLUMN(A$1),1))</f>
        <v/>
      </c>
      <c r="AS143" t="str">
        <f>IF($A143="","", INDEX(CS!$B$1:$B$12815,MATCH($A143,CS!$B:$B,0)+COLUMN(B$1),1))</f>
        <v/>
      </c>
      <c r="AT143" t="str">
        <f>IF($A143="","", INDEX(CS!$B$1:$B$12815,MATCH($A143,CS!$B:$B,0)+COLUMN(C$1),1))</f>
        <v/>
      </c>
      <c r="AU143" t="str">
        <f>IF($A143="","", INDEX(CS!$B$1:$B$12815,MATCH($A143,CS!$B:$B,0)+COLUMN(D$1),1))</f>
        <v/>
      </c>
      <c r="AV143" t="str">
        <f>IF($A143="","", INDEX(CS!$B$1:$B$12815,MATCH($A143,CS!$B:$B,0)+COLUMN(E$1),1))</f>
        <v/>
      </c>
      <c r="AW143" t="str">
        <f>IF($A143="","", INDEX(CS!$B$1:$B$12815,MATCH($A143,CS!$B:$B,0)+COLUMN(F$1),1))</f>
        <v/>
      </c>
      <c r="AX143" t="str">
        <f>IF($A143="","", INDEX(CS!$B$1:$B$12815,MATCH($A143,CS!$B:$B,0)+COLUMN(G$1),1))</f>
        <v/>
      </c>
      <c r="AY143" t="str">
        <f>IF($A143="","", INDEX(CS!$B$1:$B$12815,MATCH($A143,CS!$B:$B,0)+COLUMN(H$1),1))</f>
        <v/>
      </c>
      <c r="AZ143" t="str">
        <f>IF($A143="","", INDEX(CS!$B$1:$B$12815,MATCH($A143,CS!$B:$B,0)+COLUMN(I$1),1))</f>
        <v/>
      </c>
      <c r="BA143" t="str">
        <f>IF($A143="","", INDEX(CS!$B$1:$B$12815,MATCH($A143,CS!$B:$B,0)+COLUMN(J$1),1))</f>
        <v/>
      </c>
    </row>
    <row r="144" spans="3:53" x14ac:dyDescent="0.4">
      <c r="C144" t="s">
        <v>194</v>
      </c>
      <c r="D144" t="str">
        <f t="shared" si="7"/>
        <v>0/0/0</v>
      </c>
      <c r="E144">
        <v>1</v>
      </c>
      <c r="AR144" t="str">
        <f>IF($A144="","", INDEX(CS!$B$1:$B$12815,MATCH($A144,CS!$B:$B,0)+COLUMN(A$1),1))</f>
        <v/>
      </c>
      <c r="AS144" t="str">
        <f>IF($A144="","", INDEX(CS!$B$1:$B$12815,MATCH($A144,CS!$B:$B,0)+COLUMN(B$1),1))</f>
        <v/>
      </c>
      <c r="AT144" t="str">
        <f>IF($A144="","", INDEX(CS!$B$1:$B$12815,MATCH($A144,CS!$B:$B,0)+COLUMN(C$1),1))</f>
        <v/>
      </c>
      <c r="AU144" t="str">
        <f>IF($A144="","", INDEX(CS!$B$1:$B$12815,MATCH($A144,CS!$B:$B,0)+COLUMN(D$1),1))</f>
        <v/>
      </c>
      <c r="AV144" t="str">
        <f>IF($A144="","", INDEX(CS!$B$1:$B$12815,MATCH($A144,CS!$B:$B,0)+COLUMN(E$1),1))</f>
        <v/>
      </c>
      <c r="AW144" t="str">
        <f>IF($A144="","", INDEX(CS!$B$1:$B$12815,MATCH($A144,CS!$B:$B,0)+COLUMN(F$1),1))</f>
        <v/>
      </c>
      <c r="AX144" t="str">
        <f>IF($A144="","", INDEX(CS!$B$1:$B$12815,MATCH($A144,CS!$B:$B,0)+COLUMN(G$1),1))</f>
        <v/>
      </c>
      <c r="AY144" t="str">
        <f>IF($A144="","", INDEX(CS!$B$1:$B$12815,MATCH($A144,CS!$B:$B,0)+COLUMN(H$1),1))</f>
        <v/>
      </c>
      <c r="AZ144" t="str">
        <f>IF($A144="","", INDEX(CS!$B$1:$B$12815,MATCH($A144,CS!$B:$B,0)+COLUMN(I$1),1))</f>
        <v/>
      </c>
      <c r="BA144" t="str">
        <f>IF($A144="","", INDEX(CS!$B$1:$B$12815,MATCH($A144,CS!$B:$B,0)+COLUMN(J$1),1))</f>
        <v/>
      </c>
    </row>
    <row r="145" spans="3:53" x14ac:dyDescent="0.4">
      <c r="C145" t="s">
        <v>194</v>
      </c>
      <c r="D145" t="str">
        <f t="shared" si="7"/>
        <v>0/0/0</v>
      </c>
      <c r="E145">
        <v>1</v>
      </c>
      <c r="AR145" t="str">
        <f>IF($A145="","", INDEX(CS!$B$1:$B$12815,MATCH($A145,CS!$B:$B,0)+COLUMN(A$1),1))</f>
        <v/>
      </c>
      <c r="AS145" t="str">
        <f>IF($A145="","", INDEX(CS!$B$1:$B$12815,MATCH($A145,CS!$B:$B,0)+COLUMN(B$1),1))</f>
        <v/>
      </c>
      <c r="AT145" t="str">
        <f>IF($A145="","", INDEX(CS!$B$1:$B$12815,MATCH($A145,CS!$B:$B,0)+COLUMN(C$1),1))</f>
        <v/>
      </c>
      <c r="AU145" t="str">
        <f>IF($A145="","", INDEX(CS!$B$1:$B$12815,MATCH($A145,CS!$B:$B,0)+COLUMN(D$1),1))</f>
        <v/>
      </c>
      <c r="AV145" t="str">
        <f>IF($A145="","", INDEX(CS!$B$1:$B$12815,MATCH($A145,CS!$B:$B,0)+COLUMN(E$1),1))</f>
        <v/>
      </c>
      <c r="AW145" t="str">
        <f>IF($A145="","", INDEX(CS!$B$1:$B$12815,MATCH($A145,CS!$B:$B,0)+COLUMN(F$1),1))</f>
        <v/>
      </c>
      <c r="AX145" t="str">
        <f>IF($A145="","", INDEX(CS!$B$1:$B$12815,MATCH($A145,CS!$B:$B,0)+COLUMN(G$1),1))</f>
        <v/>
      </c>
      <c r="AY145" t="str">
        <f>IF($A145="","", INDEX(CS!$B$1:$B$12815,MATCH($A145,CS!$B:$B,0)+COLUMN(H$1),1))</f>
        <v/>
      </c>
      <c r="AZ145" t="str">
        <f>IF($A145="","", INDEX(CS!$B$1:$B$12815,MATCH($A145,CS!$B:$B,0)+COLUMN(I$1),1))</f>
        <v/>
      </c>
      <c r="BA145" t="str">
        <f>IF($A145="","", INDEX(CS!$B$1:$B$12815,MATCH($A145,CS!$B:$B,0)+COLUMN(J$1),1))</f>
        <v/>
      </c>
    </row>
    <row r="146" spans="3:53" x14ac:dyDescent="0.4">
      <c r="C146" t="s">
        <v>194</v>
      </c>
      <c r="D146" t="str">
        <f t="shared" si="7"/>
        <v>0/0/0</v>
      </c>
      <c r="E146">
        <v>1</v>
      </c>
      <c r="AR146" t="str">
        <f>IF($A146="","", INDEX(CS!$B$1:$B$12815,MATCH($A146,CS!$B:$B,0)+COLUMN(A$1),1))</f>
        <v/>
      </c>
      <c r="AS146" t="str">
        <f>IF($A146="","", INDEX(CS!$B$1:$B$12815,MATCH($A146,CS!$B:$B,0)+COLUMN(B$1),1))</f>
        <v/>
      </c>
      <c r="AT146" t="str">
        <f>IF($A146="","", INDEX(CS!$B$1:$B$12815,MATCH($A146,CS!$B:$B,0)+COLUMN(C$1),1))</f>
        <v/>
      </c>
      <c r="AU146" t="str">
        <f>IF($A146="","", INDEX(CS!$B$1:$B$12815,MATCH($A146,CS!$B:$B,0)+COLUMN(D$1),1))</f>
        <v/>
      </c>
      <c r="AV146" t="str">
        <f>IF($A146="","", INDEX(CS!$B$1:$B$12815,MATCH($A146,CS!$B:$B,0)+COLUMN(E$1),1))</f>
        <v/>
      </c>
      <c r="AW146" t="str">
        <f>IF($A146="","", INDEX(CS!$B$1:$B$12815,MATCH($A146,CS!$B:$B,0)+COLUMN(F$1),1))</f>
        <v/>
      </c>
      <c r="AX146" t="str">
        <f>IF($A146="","", INDEX(CS!$B$1:$B$12815,MATCH($A146,CS!$B:$B,0)+COLUMN(G$1),1))</f>
        <v/>
      </c>
      <c r="AY146" t="str">
        <f>IF($A146="","", INDEX(CS!$B$1:$B$12815,MATCH($A146,CS!$B:$B,0)+COLUMN(H$1),1))</f>
        <v/>
      </c>
      <c r="AZ146" t="str">
        <f>IF($A146="","", INDEX(CS!$B$1:$B$12815,MATCH($A146,CS!$B:$B,0)+COLUMN(I$1),1))</f>
        <v/>
      </c>
      <c r="BA146" t="str">
        <f>IF($A146="","", INDEX(CS!$B$1:$B$12815,MATCH($A146,CS!$B:$B,0)+COLUMN(J$1),1))</f>
        <v/>
      </c>
    </row>
    <row r="147" spans="3:53" x14ac:dyDescent="0.4">
      <c r="C147" t="s">
        <v>194</v>
      </c>
      <c r="D147" t="str">
        <f t="shared" si="7"/>
        <v>0/0/0</v>
      </c>
      <c r="E147">
        <v>1</v>
      </c>
      <c r="AR147" t="str">
        <f>IF($A147="","", INDEX(CS!$B$1:$B$12815,MATCH($A147,CS!$B:$B,0)+COLUMN(A$1),1))</f>
        <v/>
      </c>
      <c r="AS147" t="str">
        <f>IF($A147="","", INDEX(CS!$B$1:$B$12815,MATCH($A147,CS!$B:$B,0)+COLUMN(B$1),1))</f>
        <v/>
      </c>
      <c r="AT147" t="str">
        <f>IF($A147="","", INDEX(CS!$B$1:$B$12815,MATCH($A147,CS!$B:$B,0)+COLUMN(C$1),1))</f>
        <v/>
      </c>
      <c r="AU147" t="str">
        <f>IF($A147="","", INDEX(CS!$B$1:$B$12815,MATCH($A147,CS!$B:$B,0)+COLUMN(D$1),1))</f>
        <v/>
      </c>
      <c r="AV147" t="str">
        <f>IF($A147="","", INDEX(CS!$B$1:$B$12815,MATCH($A147,CS!$B:$B,0)+COLUMN(E$1),1))</f>
        <v/>
      </c>
      <c r="AW147" t="str">
        <f>IF($A147="","", INDEX(CS!$B$1:$B$12815,MATCH($A147,CS!$B:$B,0)+COLUMN(F$1),1))</f>
        <v/>
      </c>
      <c r="AX147" t="str">
        <f>IF($A147="","", INDEX(CS!$B$1:$B$12815,MATCH($A147,CS!$B:$B,0)+COLUMN(G$1),1))</f>
        <v/>
      </c>
      <c r="AY147" t="str">
        <f>IF($A147="","", INDEX(CS!$B$1:$B$12815,MATCH($A147,CS!$B:$B,0)+COLUMN(H$1),1))</f>
        <v/>
      </c>
      <c r="AZ147" t="str">
        <f>IF($A147="","", INDEX(CS!$B$1:$B$12815,MATCH($A147,CS!$B:$B,0)+COLUMN(I$1),1))</f>
        <v/>
      </c>
      <c r="BA147" t="str">
        <f>IF($A147="","", INDEX(CS!$B$1:$B$12815,MATCH($A147,CS!$B:$B,0)+COLUMN(J$1),1))</f>
        <v/>
      </c>
    </row>
    <row r="148" spans="3:53" x14ac:dyDescent="0.4">
      <c r="C148" t="s">
        <v>194</v>
      </c>
      <c r="D148" t="str">
        <f t="shared" si="7"/>
        <v>0/0/0</v>
      </c>
      <c r="E148">
        <v>1</v>
      </c>
      <c r="AR148" t="str">
        <f>IF($A148="","", INDEX(CS!$B$1:$B$12815,MATCH($A148,CS!$B:$B,0)+COLUMN(A$1),1))</f>
        <v/>
      </c>
      <c r="AS148" t="str">
        <f>IF($A148="","", INDEX(CS!$B$1:$B$12815,MATCH($A148,CS!$B:$B,0)+COLUMN(B$1),1))</f>
        <v/>
      </c>
      <c r="AT148" t="str">
        <f>IF($A148="","", INDEX(CS!$B$1:$B$12815,MATCH($A148,CS!$B:$B,0)+COLUMN(C$1),1))</f>
        <v/>
      </c>
      <c r="AU148" t="str">
        <f>IF($A148="","", INDEX(CS!$B$1:$B$12815,MATCH($A148,CS!$B:$B,0)+COLUMN(D$1),1))</f>
        <v/>
      </c>
      <c r="AV148" t="str">
        <f>IF($A148="","", INDEX(CS!$B$1:$B$12815,MATCH($A148,CS!$B:$B,0)+COLUMN(E$1),1))</f>
        <v/>
      </c>
      <c r="AW148" t="str">
        <f>IF($A148="","", INDEX(CS!$B$1:$B$12815,MATCH($A148,CS!$B:$B,0)+COLUMN(F$1),1))</f>
        <v/>
      </c>
      <c r="AX148" t="str">
        <f>IF($A148="","", INDEX(CS!$B$1:$B$12815,MATCH($A148,CS!$B:$B,0)+COLUMN(G$1),1))</f>
        <v/>
      </c>
      <c r="AY148" t="str">
        <f>IF($A148="","", INDEX(CS!$B$1:$B$12815,MATCH($A148,CS!$B:$B,0)+COLUMN(H$1),1))</f>
        <v/>
      </c>
      <c r="AZ148" t="str">
        <f>IF($A148="","", INDEX(CS!$B$1:$B$12815,MATCH($A148,CS!$B:$B,0)+COLUMN(I$1),1))</f>
        <v/>
      </c>
      <c r="BA148" t="str">
        <f>IF($A148="","", INDEX(CS!$B$1:$B$12815,MATCH($A148,CS!$B:$B,0)+COLUMN(J$1),1))</f>
        <v/>
      </c>
    </row>
    <row r="149" spans="3:53" x14ac:dyDescent="0.4">
      <c r="C149" t="s">
        <v>194</v>
      </c>
      <c r="D149" t="str">
        <f t="shared" si="7"/>
        <v>0/0/0</v>
      </c>
      <c r="E149">
        <v>1</v>
      </c>
      <c r="AR149" t="str">
        <f>IF($A149="","", INDEX(CS!$B$1:$B$12815,MATCH($A149,CS!$B:$B,0)+COLUMN(A$1),1))</f>
        <v/>
      </c>
      <c r="AS149" t="str">
        <f>IF($A149="","", INDEX(CS!$B$1:$B$12815,MATCH($A149,CS!$B:$B,0)+COLUMN(B$1),1))</f>
        <v/>
      </c>
      <c r="AT149" t="str">
        <f>IF($A149="","", INDEX(CS!$B$1:$B$12815,MATCH($A149,CS!$B:$B,0)+COLUMN(C$1),1))</f>
        <v/>
      </c>
      <c r="AU149" t="str">
        <f>IF($A149="","", INDEX(CS!$B$1:$B$12815,MATCH($A149,CS!$B:$B,0)+COLUMN(D$1),1))</f>
        <v/>
      </c>
      <c r="AV149" t="str">
        <f>IF($A149="","", INDEX(CS!$B$1:$B$12815,MATCH($A149,CS!$B:$B,0)+COLUMN(E$1),1))</f>
        <v/>
      </c>
      <c r="AW149" t="str">
        <f>IF($A149="","", INDEX(CS!$B$1:$B$12815,MATCH($A149,CS!$B:$B,0)+COLUMN(F$1),1))</f>
        <v/>
      </c>
      <c r="AX149" t="str">
        <f>IF($A149="","", INDEX(CS!$B$1:$B$12815,MATCH($A149,CS!$B:$B,0)+COLUMN(G$1),1))</f>
        <v/>
      </c>
      <c r="AY149" t="str">
        <f>IF($A149="","", INDEX(CS!$B$1:$B$12815,MATCH($A149,CS!$B:$B,0)+COLUMN(H$1),1))</f>
        <v/>
      </c>
      <c r="AZ149" t="str">
        <f>IF($A149="","", INDEX(CS!$B$1:$B$12815,MATCH($A149,CS!$B:$B,0)+COLUMN(I$1),1))</f>
        <v/>
      </c>
      <c r="BA149" t="str">
        <f>IF($A149="","", INDEX(CS!$B$1:$B$12815,MATCH($A149,CS!$B:$B,0)+COLUMN(J$1),1))</f>
        <v/>
      </c>
    </row>
    <row r="150" spans="3:53" x14ac:dyDescent="0.4">
      <c r="C150" t="s">
        <v>194</v>
      </c>
      <c r="D150" t="str">
        <f t="shared" si="7"/>
        <v>0/0/0</v>
      </c>
      <c r="E150">
        <v>1</v>
      </c>
      <c r="AR150" t="str">
        <f>IF($A150="","", INDEX(CS!$B$1:$B$12815,MATCH($A150,CS!$B:$B,0)+COLUMN(A$1),1))</f>
        <v/>
      </c>
      <c r="AS150" t="str">
        <f>IF($A150="","", INDEX(CS!$B$1:$B$12815,MATCH($A150,CS!$B:$B,0)+COLUMN(B$1),1))</f>
        <v/>
      </c>
      <c r="AT150" t="str">
        <f>IF($A150="","", INDEX(CS!$B$1:$B$12815,MATCH($A150,CS!$B:$B,0)+COLUMN(C$1),1))</f>
        <v/>
      </c>
      <c r="AU150" t="str">
        <f>IF($A150="","", INDEX(CS!$B$1:$B$12815,MATCH($A150,CS!$B:$B,0)+COLUMN(D$1),1))</f>
        <v/>
      </c>
      <c r="AV150" t="str">
        <f>IF($A150="","", INDEX(CS!$B$1:$B$12815,MATCH($A150,CS!$B:$B,0)+COLUMN(E$1),1))</f>
        <v/>
      </c>
      <c r="AW150" t="str">
        <f>IF($A150="","", INDEX(CS!$B$1:$B$12815,MATCH($A150,CS!$B:$B,0)+COLUMN(F$1),1))</f>
        <v/>
      </c>
      <c r="AX150" t="str">
        <f>IF($A150="","", INDEX(CS!$B$1:$B$12815,MATCH($A150,CS!$B:$B,0)+COLUMN(G$1),1))</f>
        <v/>
      </c>
      <c r="AY150" t="str">
        <f>IF($A150="","", INDEX(CS!$B$1:$B$12815,MATCH($A150,CS!$B:$B,0)+COLUMN(H$1),1))</f>
        <v/>
      </c>
      <c r="AZ150" t="str">
        <f>IF($A150="","", INDEX(CS!$B$1:$B$12815,MATCH($A150,CS!$B:$B,0)+COLUMN(I$1),1))</f>
        <v/>
      </c>
      <c r="BA150" t="str">
        <f>IF($A150="","", INDEX(CS!$B$1:$B$12815,MATCH($A150,CS!$B:$B,0)+COLUMN(J$1),1))</f>
        <v/>
      </c>
    </row>
    <row r="151" spans="3:53" x14ac:dyDescent="0.4">
      <c r="C151" t="s">
        <v>194</v>
      </c>
      <c r="D151" t="str">
        <f t="shared" si="7"/>
        <v>0/0/0</v>
      </c>
      <c r="E151">
        <v>1</v>
      </c>
      <c r="AR151" t="str">
        <f>IF($A151="","", INDEX(CS!$B$1:$B$12815,MATCH($A151,CS!$B:$B,0)+COLUMN(A$1),1))</f>
        <v/>
      </c>
      <c r="AS151" t="str">
        <f>IF($A151="","", INDEX(CS!$B$1:$B$12815,MATCH($A151,CS!$B:$B,0)+COLUMN(B$1),1))</f>
        <v/>
      </c>
      <c r="AT151" t="str">
        <f>IF($A151="","", INDEX(CS!$B$1:$B$12815,MATCH($A151,CS!$B:$B,0)+COLUMN(C$1),1))</f>
        <v/>
      </c>
      <c r="AU151" t="str">
        <f>IF($A151="","", INDEX(CS!$B$1:$B$12815,MATCH($A151,CS!$B:$B,0)+COLUMN(D$1),1))</f>
        <v/>
      </c>
      <c r="AV151" t="str">
        <f>IF($A151="","", INDEX(CS!$B$1:$B$12815,MATCH($A151,CS!$B:$B,0)+COLUMN(E$1),1))</f>
        <v/>
      </c>
      <c r="AW151" t="str">
        <f>IF($A151="","", INDEX(CS!$B$1:$B$12815,MATCH($A151,CS!$B:$B,0)+COLUMN(F$1),1))</f>
        <v/>
      </c>
      <c r="AX151" t="str">
        <f>IF($A151="","", INDEX(CS!$B$1:$B$12815,MATCH($A151,CS!$B:$B,0)+COLUMN(G$1),1))</f>
        <v/>
      </c>
      <c r="AY151" t="str">
        <f>IF($A151="","", INDEX(CS!$B$1:$B$12815,MATCH($A151,CS!$B:$B,0)+COLUMN(H$1),1))</f>
        <v/>
      </c>
      <c r="AZ151" t="str">
        <f>IF($A151="","", INDEX(CS!$B$1:$B$12815,MATCH($A151,CS!$B:$B,0)+COLUMN(I$1),1))</f>
        <v/>
      </c>
      <c r="BA151" t="str">
        <f>IF($A151="","", INDEX(CS!$B$1:$B$12815,MATCH($A151,CS!$B:$B,0)+COLUMN(J$1),1))</f>
        <v/>
      </c>
    </row>
    <row r="152" spans="3:53" x14ac:dyDescent="0.4">
      <c r="C152" t="s">
        <v>194</v>
      </c>
      <c r="D152" t="str">
        <f t="shared" si="7"/>
        <v>0/0/0</v>
      </c>
      <c r="E152">
        <v>1</v>
      </c>
      <c r="AR152" t="str">
        <f>IF($A152="","", INDEX(CS!$B$1:$B$12815,MATCH($A152,CS!$B:$B,0)+COLUMN(A$1),1))</f>
        <v/>
      </c>
      <c r="AS152" t="str">
        <f>IF($A152="","", INDEX(CS!$B$1:$B$12815,MATCH($A152,CS!$B:$B,0)+COLUMN(B$1),1))</f>
        <v/>
      </c>
      <c r="AT152" t="str">
        <f>IF($A152="","", INDEX(CS!$B$1:$B$12815,MATCH($A152,CS!$B:$B,0)+COLUMN(C$1),1))</f>
        <v/>
      </c>
      <c r="AU152" t="str">
        <f>IF($A152="","", INDEX(CS!$B$1:$B$12815,MATCH($A152,CS!$B:$B,0)+COLUMN(D$1),1))</f>
        <v/>
      </c>
      <c r="AV152" t="str">
        <f>IF($A152="","", INDEX(CS!$B$1:$B$12815,MATCH($A152,CS!$B:$B,0)+COLUMN(E$1),1))</f>
        <v/>
      </c>
      <c r="AW152" t="str">
        <f>IF($A152="","", INDEX(CS!$B$1:$B$12815,MATCH($A152,CS!$B:$B,0)+COLUMN(F$1),1))</f>
        <v/>
      </c>
      <c r="AX152" t="str">
        <f>IF($A152="","", INDEX(CS!$B$1:$B$12815,MATCH($A152,CS!$B:$B,0)+COLUMN(G$1),1))</f>
        <v/>
      </c>
      <c r="AY152" t="str">
        <f>IF($A152="","", INDEX(CS!$B$1:$B$12815,MATCH($A152,CS!$B:$B,0)+COLUMN(H$1),1))</f>
        <v/>
      </c>
      <c r="AZ152" t="str">
        <f>IF($A152="","", INDEX(CS!$B$1:$B$12815,MATCH($A152,CS!$B:$B,0)+COLUMN(I$1),1))</f>
        <v/>
      </c>
      <c r="BA152" t="str">
        <f>IF($A152="","", INDEX(CS!$B$1:$B$12815,MATCH($A152,CS!$B:$B,0)+COLUMN(J$1),1))</f>
        <v/>
      </c>
    </row>
    <row r="153" spans="3:53" x14ac:dyDescent="0.4">
      <c r="C153" t="s">
        <v>194</v>
      </c>
      <c r="D153" t="str">
        <f t="shared" si="7"/>
        <v>0/0/0</v>
      </c>
      <c r="E153">
        <v>1</v>
      </c>
      <c r="AR153" t="str">
        <f>IF($A153="","", INDEX(CS!$B$1:$B$12815,MATCH($A153,CS!$B:$B,0)+COLUMN(A$1),1))</f>
        <v/>
      </c>
      <c r="AS153" t="str">
        <f>IF($A153="","", INDEX(CS!$B$1:$B$12815,MATCH($A153,CS!$B:$B,0)+COLUMN(B$1),1))</f>
        <v/>
      </c>
      <c r="AT153" t="str">
        <f>IF($A153="","", INDEX(CS!$B$1:$B$12815,MATCH($A153,CS!$B:$B,0)+COLUMN(C$1),1))</f>
        <v/>
      </c>
      <c r="AU153" t="str">
        <f>IF($A153="","", INDEX(CS!$B$1:$B$12815,MATCH($A153,CS!$B:$B,0)+COLUMN(D$1),1))</f>
        <v/>
      </c>
      <c r="AV153" t="str">
        <f>IF($A153="","", INDEX(CS!$B$1:$B$12815,MATCH($A153,CS!$B:$B,0)+COLUMN(E$1),1))</f>
        <v/>
      </c>
      <c r="AW153" t="str">
        <f>IF($A153="","", INDEX(CS!$B$1:$B$12815,MATCH($A153,CS!$B:$B,0)+COLUMN(F$1),1))</f>
        <v/>
      </c>
      <c r="AX153" t="str">
        <f>IF($A153="","", INDEX(CS!$B$1:$B$12815,MATCH($A153,CS!$B:$B,0)+COLUMN(G$1),1))</f>
        <v/>
      </c>
      <c r="AY153" t="str">
        <f>IF($A153="","", INDEX(CS!$B$1:$B$12815,MATCH($A153,CS!$B:$B,0)+COLUMN(H$1),1))</f>
        <v/>
      </c>
      <c r="AZ153" t="str">
        <f>IF($A153="","", INDEX(CS!$B$1:$B$12815,MATCH($A153,CS!$B:$B,0)+COLUMN(I$1),1))</f>
        <v/>
      </c>
      <c r="BA153" t="str">
        <f>IF($A153="","", INDEX(CS!$B$1:$B$12815,MATCH($A153,CS!$B:$B,0)+COLUMN(J$1),1))</f>
        <v/>
      </c>
    </row>
    <row r="154" spans="3:53" x14ac:dyDescent="0.4">
      <c r="C154" t="s">
        <v>194</v>
      </c>
      <c r="D154" t="str">
        <f t="shared" si="7"/>
        <v>0/0/0</v>
      </c>
      <c r="E154">
        <v>1</v>
      </c>
      <c r="AR154" t="str">
        <f>IF($A154="","", INDEX(CS!$B$1:$B$12815,MATCH($A154,CS!$B:$B,0)+COLUMN(A$1),1))</f>
        <v/>
      </c>
      <c r="AS154" t="str">
        <f>IF($A154="","", INDEX(CS!$B$1:$B$12815,MATCH($A154,CS!$B:$B,0)+COLUMN(B$1),1))</f>
        <v/>
      </c>
      <c r="AT154" t="str">
        <f>IF($A154="","", INDEX(CS!$B$1:$B$12815,MATCH($A154,CS!$B:$B,0)+COLUMN(C$1),1))</f>
        <v/>
      </c>
      <c r="AU154" t="str">
        <f>IF($A154="","", INDEX(CS!$B$1:$B$12815,MATCH($A154,CS!$B:$B,0)+COLUMN(D$1),1))</f>
        <v/>
      </c>
      <c r="AV154" t="str">
        <f>IF($A154="","", INDEX(CS!$B$1:$B$12815,MATCH($A154,CS!$B:$B,0)+COLUMN(E$1),1))</f>
        <v/>
      </c>
      <c r="AW154" t="str">
        <f>IF($A154="","", INDEX(CS!$B$1:$B$12815,MATCH($A154,CS!$B:$B,0)+COLUMN(F$1),1))</f>
        <v/>
      </c>
      <c r="AX154" t="str">
        <f>IF($A154="","", INDEX(CS!$B$1:$B$12815,MATCH($A154,CS!$B:$B,0)+COLUMN(G$1),1))</f>
        <v/>
      </c>
      <c r="AY154" t="str">
        <f>IF($A154="","", INDEX(CS!$B$1:$B$12815,MATCH($A154,CS!$B:$B,0)+COLUMN(H$1),1))</f>
        <v/>
      </c>
      <c r="AZ154" t="str">
        <f>IF($A154="","", INDEX(CS!$B$1:$B$12815,MATCH($A154,CS!$B:$B,0)+COLUMN(I$1),1))</f>
        <v/>
      </c>
      <c r="BA154" t="str">
        <f>IF($A154="","", INDEX(CS!$B$1:$B$12815,MATCH($A154,CS!$B:$B,0)+COLUMN(J$1),1))</f>
        <v/>
      </c>
    </row>
    <row r="155" spans="3:53" x14ac:dyDescent="0.4">
      <c r="C155" t="s">
        <v>194</v>
      </c>
      <c r="D155" t="str">
        <f t="shared" si="7"/>
        <v>0/0/0</v>
      </c>
      <c r="E155">
        <v>1</v>
      </c>
      <c r="AR155" t="str">
        <f>IF($A155="","", INDEX(CS!$B$1:$B$12815,MATCH($A155,CS!$B:$B,0)+COLUMN(A$1),1))</f>
        <v/>
      </c>
      <c r="AS155" t="str">
        <f>IF($A155="","", INDEX(CS!$B$1:$B$12815,MATCH($A155,CS!$B:$B,0)+COLUMN(B$1),1))</f>
        <v/>
      </c>
      <c r="AT155" t="str">
        <f>IF($A155="","", INDEX(CS!$B$1:$B$12815,MATCH($A155,CS!$B:$B,0)+COLUMN(C$1),1))</f>
        <v/>
      </c>
      <c r="AU155" t="str">
        <f>IF($A155="","", INDEX(CS!$B$1:$B$12815,MATCH($A155,CS!$B:$B,0)+COLUMN(D$1),1))</f>
        <v/>
      </c>
      <c r="AV155" t="str">
        <f>IF($A155="","", INDEX(CS!$B$1:$B$12815,MATCH($A155,CS!$B:$B,0)+COLUMN(E$1),1))</f>
        <v/>
      </c>
      <c r="AW155" t="str">
        <f>IF($A155="","", INDEX(CS!$B$1:$B$12815,MATCH($A155,CS!$B:$B,0)+COLUMN(F$1),1))</f>
        <v/>
      </c>
      <c r="AX155" t="str">
        <f>IF($A155="","", INDEX(CS!$B$1:$B$12815,MATCH($A155,CS!$B:$B,0)+COLUMN(G$1),1))</f>
        <v/>
      </c>
      <c r="AY155" t="str">
        <f>IF($A155="","", INDEX(CS!$B$1:$B$12815,MATCH($A155,CS!$B:$B,0)+COLUMN(H$1),1))</f>
        <v/>
      </c>
      <c r="AZ155" t="str">
        <f>IF($A155="","", INDEX(CS!$B$1:$B$12815,MATCH($A155,CS!$B:$B,0)+COLUMN(I$1),1))</f>
        <v/>
      </c>
      <c r="BA155" t="str">
        <f>IF($A155="","", INDEX(CS!$B$1:$B$12815,MATCH($A155,CS!$B:$B,0)+COLUMN(J$1),1))</f>
        <v/>
      </c>
    </row>
    <row r="156" spans="3:53" x14ac:dyDescent="0.4">
      <c r="C156" t="s">
        <v>194</v>
      </c>
      <c r="D156" t="str">
        <f t="shared" ref="D156:D215" si="8">SUM(AC156:AQ156,F156:L156)&amp;"/"&amp;SUM(F156:L156)&amp;"/"&amp;SUM(AC156:AQ156)</f>
        <v>0/0/0</v>
      </c>
      <c r="E156">
        <v>1</v>
      </c>
      <c r="AR156" t="str">
        <f>IF($A156="","", INDEX(CS!$B$1:$B$12815,MATCH($A156,CS!$B:$B,0)+COLUMN(A$1),1))</f>
        <v/>
      </c>
      <c r="AS156" t="str">
        <f>IF($A156="","", INDEX(CS!$B$1:$B$12815,MATCH($A156,CS!$B:$B,0)+COLUMN(B$1),1))</f>
        <v/>
      </c>
      <c r="AT156" t="str">
        <f>IF($A156="","", INDEX(CS!$B$1:$B$12815,MATCH($A156,CS!$B:$B,0)+COLUMN(C$1),1))</f>
        <v/>
      </c>
      <c r="AU156" t="str">
        <f>IF($A156="","", INDEX(CS!$B$1:$B$12815,MATCH($A156,CS!$B:$B,0)+COLUMN(D$1),1))</f>
        <v/>
      </c>
      <c r="AV156" t="str">
        <f>IF($A156="","", INDEX(CS!$B$1:$B$12815,MATCH($A156,CS!$B:$B,0)+COLUMN(E$1),1))</f>
        <v/>
      </c>
      <c r="AW156" t="str">
        <f>IF($A156="","", INDEX(CS!$B$1:$B$12815,MATCH($A156,CS!$B:$B,0)+COLUMN(F$1),1))</f>
        <v/>
      </c>
      <c r="AX156" t="str">
        <f>IF($A156="","", INDEX(CS!$B$1:$B$12815,MATCH($A156,CS!$B:$B,0)+COLUMN(G$1),1))</f>
        <v/>
      </c>
      <c r="AY156" t="str">
        <f>IF($A156="","", INDEX(CS!$B$1:$B$12815,MATCH($A156,CS!$B:$B,0)+COLUMN(H$1),1))</f>
        <v/>
      </c>
      <c r="AZ156" t="str">
        <f>IF($A156="","", INDEX(CS!$B$1:$B$12815,MATCH($A156,CS!$B:$B,0)+COLUMN(I$1),1))</f>
        <v/>
      </c>
      <c r="BA156" t="str">
        <f>IF($A156="","", INDEX(CS!$B$1:$B$12815,MATCH($A156,CS!$B:$B,0)+COLUMN(J$1),1))</f>
        <v/>
      </c>
    </row>
    <row r="157" spans="3:53" x14ac:dyDescent="0.4">
      <c r="C157" t="s">
        <v>194</v>
      </c>
      <c r="D157" t="str">
        <f t="shared" si="8"/>
        <v>0/0/0</v>
      </c>
      <c r="E157">
        <v>1</v>
      </c>
      <c r="AR157" t="str">
        <f>IF($A157="","", INDEX(CS!$B$1:$B$12815,MATCH($A157,CS!$B:$B,0)+COLUMN(A$1),1))</f>
        <v/>
      </c>
      <c r="AS157" t="str">
        <f>IF($A157="","", INDEX(CS!$B$1:$B$12815,MATCH($A157,CS!$B:$B,0)+COLUMN(B$1),1))</f>
        <v/>
      </c>
      <c r="AT157" t="str">
        <f>IF($A157="","", INDEX(CS!$B$1:$B$12815,MATCH($A157,CS!$B:$B,0)+COLUMN(C$1),1))</f>
        <v/>
      </c>
      <c r="AU157" t="str">
        <f>IF($A157="","", INDEX(CS!$B$1:$B$12815,MATCH($A157,CS!$B:$B,0)+COLUMN(D$1),1))</f>
        <v/>
      </c>
      <c r="AV157" t="str">
        <f>IF($A157="","", INDEX(CS!$B$1:$B$12815,MATCH($A157,CS!$B:$B,0)+COLUMN(E$1),1))</f>
        <v/>
      </c>
      <c r="AW157" t="str">
        <f>IF($A157="","", INDEX(CS!$B$1:$B$12815,MATCH($A157,CS!$B:$B,0)+COLUMN(F$1),1))</f>
        <v/>
      </c>
      <c r="AX157" t="str">
        <f>IF($A157="","", INDEX(CS!$B$1:$B$12815,MATCH($A157,CS!$B:$B,0)+COLUMN(G$1),1))</f>
        <v/>
      </c>
      <c r="AY157" t="str">
        <f>IF($A157="","", INDEX(CS!$B$1:$B$12815,MATCH($A157,CS!$B:$B,0)+COLUMN(H$1),1))</f>
        <v/>
      </c>
      <c r="AZ157" t="str">
        <f>IF($A157="","", INDEX(CS!$B$1:$B$12815,MATCH($A157,CS!$B:$B,0)+COLUMN(I$1),1))</f>
        <v/>
      </c>
      <c r="BA157" t="str">
        <f>IF($A157="","", INDEX(CS!$B$1:$B$12815,MATCH($A157,CS!$B:$B,0)+COLUMN(J$1),1))</f>
        <v/>
      </c>
    </row>
    <row r="158" spans="3:53" x14ac:dyDescent="0.4">
      <c r="C158" t="s">
        <v>194</v>
      </c>
      <c r="D158" t="str">
        <f t="shared" si="8"/>
        <v>0/0/0</v>
      </c>
      <c r="E158">
        <v>1</v>
      </c>
      <c r="AR158" t="str">
        <f>IF($A158="","", INDEX(CS!$B$1:$B$12815,MATCH($A158,CS!$B:$B,0)+COLUMN(A$1),1))</f>
        <v/>
      </c>
      <c r="AS158" t="str">
        <f>IF($A158="","", INDEX(CS!$B$1:$B$12815,MATCH($A158,CS!$B:$B,0)+COLUMN(B$1),1))</f>
        <v/>
      </c>
      <c r="AT158" t="str">
        <f>IF($A158="","", INDEX(CS!$B$1:$B$12815,MATCH($A158,CS!$B:$B,0)+COLUMN(C$1),1))</f>
        <v/>
      </c>
      <c r="AU158" t="str">
        <f>IF($A158="","", INDEX(CS!$B$1:$B$12815,MATCH($A158,CS!$B:$B,0)+COLUMN(D$1),1))</f>
        <v/>
      </c>
      <c r="AV158" t="str">
        <f>IF($A158="","", INDEX(CS!$B$1:$B$12815,MATCH($A158,CS!$B:$B,0)+COLUMN(E$1),1))</f>
        <v/>
      </c>
      <c r="AW158" t="str">
        <f>IF($A158="","", INDEX(CS!$B$1:$B$12815,MATCH($A158,CS!$B:$B,0)+COLUMN(F$1),1))</f>
        <v/>
      </c>
      <c r="AX158" t="str">
        <f>IF($A158="","", INDEX(CS!$B$1:$B$12815,MATCH($A158,CS!$B:$B,0)+COLUMN(G$1),1))</f>
        <v/>
      </c>
      <c r="AY158" t="str">
        <f>IF($A158="","", INDEX(CS!$B$1:$B$12815,MATCH($A158,CS!$B:$B,0)+COLUMN(H$1),1))</f>
        <v/>
      </c>
      <c r="AZ158" t="str">
        <f>IF($A158="","", INDEX(CS!$B$1:$B$12815,MATCH($A158,CS!$B:$B,0)+COLUMN(I$1),1))</f>
        <v/>
      </c>
      <c r="BA158" t="str">
        <f>IF($A158="","", INDEX(CS!$B$1:$B$12815,MATCH($A158,CS!$B:$B,0)+COLUMN(J$1),1))</f>
        <v/>
      </c>
    </row>
    <row r="159" spans="3:53" x14ac:dyDescent="0.4">
      <c r="C159" t="s">
        <v>194</v>
      </c>
      <c r="D159" t="str">
        <f t="shared" si="8"/>
        <v>0/0/0</v>
      </c>
      <c r="E159">
        <v>1</v>
      </c>
      <c r="AR159" t="str">
        <f>IF($A159="","", INDEX(CS!$B$1:$B$12815,MATCH($A159,CS!$B:$B,0)+COLUMN(A$1),1))</f>
        <v/>
      </c>
      <c r="AS159" t="str">
        <f>IF($A159="","", INDEX(CS!$B$1:$B$12815,MATCH($A159,CS!$B:$B,0)+COLUMN(B$1),1))</f>
        <v/>
      </c>
      <c r="AT159" t="str">
        <f>IF($A159="","", INDEX(CS!$B$1:$B$12815,MATCH($A159,CS!$B:$B,0)+COLUMN(C$1),1))</f>
        <v/>
      </c>
      <c r="AU159" t="str">
        <f>IF($A159="","", INDEX(CS!$B$1:$B$12815,MATCH($A159,CS!$B:$B,0)+COLUMN(D$1),1))</f>
        <v/>
      </c>
      <c r="AV159" t="str">
        <f>IF($A159="","", INDEX(CS!$B$1:$B$12815,MATCH($A159,CS!$B:$B,0)+COLUMN(E$1),1))</f>
        <v/>
      </c>
      <c r="AW159" t="str">
        <f>IF($A159="","", INDEX(CS!$B$1:$B$12815,MATCH($A159,CS!$B:$B,0)+COLUMN(F$1),1))</f>
        <v/>
      </c>
      <c r="AX159" t="str">
        <f>IF($A159="","", INDEX(CS!$B$1:$B$12815,MATCH($A159,CS!$B:$B,0)+COLUMN(G$1),1))</f>
        <v/>
      </c>
      <c r="AY159" t="str">
        <f>IF($A159="","", INDEX(CS!$B$1:$B$12815,MATCH($A159,CS!$B:$B,0)+COLUMN(H$1),1))</f>
        <v/>
      </c>
      <c r="AZ159" t="str">
        <f>IF($A159="","", INDEX(CS!$B$1:$B$12815,MATCH($A159,CS!$B:$B,0)+COLUMN(I$1),1))</f>
        <v/>
      </c>
      <c r="BA159" t="str">
        <f>IF($A159="","", INDEX(CS!$B$1:$B$12815,MATCH($A159,CS!$B:$B,0)+COLUMN(J$1),1))</f>
        <v/>
      </c>
    </row>
    <row r="160" spans="3:53" x14ac:dyDescent="0.4">
      <c r="C160" t="s">
        <v>194</v>
      </c>
      <c r="D160" t="str">
        <f t="shared" si="8"/>
        <v>0/0/0</v>
      </c>
      <c r="E160">
        <v>1</v>
      </c>
      <c r="AR160" t="str">
        <f>IF($A160="","", INDEX(CS!$B$1:$B$12815,MATCH($A160,CS!$B:$B,0)+COLUMN(A$1),1))</f>
        <v/>
      </c>
      <c r="AS160" t="str">
        <f>IF($A160="","", INDEX(CS!$B$1:$B$12815,MATCH($A160,CS!$B:$B,0)+COLUMN(B$1),1))</f>
        <v/>
      </c>
      <c r="AT160" t="str">
        <f>IF($A160="","", INDEX(CS!$B$1:$B$12815,MATCH($A160,CS!$B:$B,0)+COLUMN(C$1),1))</f>
        <v/>
      </c>
      <c r="AU160" t="str">
        <f>IF($A160="","", INDEX(CS!$B$1:$B$12815,MATCH($A160,CS!$B:$B,0)+COLUMN(D$1),1))</f>
        <v/>
      </c>
      <c r="AV160" t="str">
        <f>IF($A160="","", INDEX(CS!$B$1:$B$12815,MATCH($A160,CS!$B:$B,0)+COLUMN(E$1),1))</f>
        <v/>
      </c>
      <c r="AW160" t="str">
        <f>IF($A160="","", INDEX(CS!$B$1:$B$12815,MATCH($A160,CS!$B:$B,0)+COLUMN(F$1),1))</f>
        <v/>
      </c>
      <c r="AX160" t="str">
        <f>IF($A160="","", INDEX(CS!$B$1:$B$12815,MATCH($A160,CS!$B:$B,0)+COLUMN(G$1),1))</f>
        <v/>
      </c>
      <c r="AY160" t="str">
        <f>IF($A160="","", INDEX(CS!$B$1:$B$12815,MATCH($A160,CS!$B:$B,0)+COLUMN(H$1),1))</f>
        <v/>
      </c>
      <c r="AZ160" t="str">
        <f>IF($A160="","", INDEX(CS!$B$1:$B$12815,MATCH($A160,CS!$B:$B,0)+COLUMN(I$1),1))</f>
        <v/>
      </c>
      <c r="BA160" t="str">
        <f>IF($A160="","", INDEX(CS!$B$1:$B$12815,MATCH($A160,CS!$B:$B,0)+COLUMN(J$1),1))</f>
        <v/>
      </c>
    </row>
    <row r="161" spans="3:53" x14ac:dyDescent="0.4">
      <c r="C161" t="s">
        <v>194</v>
      </c>
      <c r="D161" t="str">
        <f t="shared" si="8"/>
        <v>0/0/0</v>
      </c>
      <c r="E161">
        <v>1</v>
      </c>
      <c r="AR161" t="str">
        <f>IF($A161="","", INDEX(CS!$B$1:$B$12815,MATCH($A161,CS!$B:$B,0)+COLUMN(A$1),1))</f>
        <v/>
      </c>
      <c r="AS161" t="str">
        <f>IF($A161="","", INDEX(CS!$B$1:$B$12815,MATCH($A161,CS!$B:$B,0)+COLUMN(B$1),1))</f>
        <v/>
      </c>
      <c r="AT161" t="str">
        <f>IF($A161="","", INDEX(CS!$B$1:$B$12815,MATCH($A161,CS!$B:$B,0)+COLUMN(C$1),1))</f>
        <v/>
      </c>
      <c r="AU161" t="str">
        <f>IF($A161="","", INDEX(CS!$B$1:$B$12815,MATCH($A161,CS!$B:$B,0)+COLUMN(D$1),1))</f>
        <v/>
      </c>
      <c r="AV161" t="str">
        <f>IF($A161="","", INDEX(CS!$B$1:$B$12815,MATCH($A161,CS!$B:$B,0)+COLUMN(E$1),1))</f>
        <v/>
      </c>
      <c r="AW161" t="str">
        <f>IF($A161="","", INDEX(CS!$B$1:$B$12815,MATCH($A161,CS!$B:$B,0)+COLUMN(F$1),1))</f>
        <v/>
      </c>
      <c r="AX161" t="str">
        <f>IF($A161="","", INDEX(CS!$B$1:$B$12815,MATCH($A161,CS!$B:$B,0)+COLUMN(G$1),1))</f>
        <v/>
      </c>
      <c r="AY161" t="str">
        <f>IF($A161="","", INDEX(CS!$B$1:$B$12815,MATCH($A161,CS!$B:$B,0)+COLUMN(H$1),1))</f>
        <v/>
      </c>
      <c r="AZ161" t="str">
        <f>IF($A161="","", INDEX(CS!$B$1:$B$12815,MATCH($A161,CS!$B:$B,0)+COLUMN(I$1),1))</f>
        <v/>
      </c>
      <c r="BA161" t="str">
        <f>IF($A161="","", INDEX(CS!$B$1:$B$12815,MATCH($A161,CS!$B:$B,0)+COLUMN(J$1),1))</f>
        <v/>
      </c>
    </row>
    <row r="162" spans="3:53" x14ac:dyDescent="0.4">
      <c r="C162" t="s">
        <v>194</v>
      </c>
      <c r="D162" t="str">
        <f t="shared" si="8"/>
        <v>0/0/0</v>
      </c>
      <c r="E162">
        <v>1</v>
      </c>
      <c r="AR162" t="str">
        <f>IF($A162="","", INDEX(CS!$B$1:$B$12815,MATCH($A162,CS!$B:$B,0)+COLUMN(A$1),1))</f>
        <v/>
      </c>
      <c r="AS162" t="str">
        <f>IF($A162="","", INDEX(CS!$B$1:$B$12815,MATCH($A162,CS!$B:$B,0)+COLUMN(B$1),1))</f>
        <v/>
      </c>
      <c r="AT162" t="str">
        <f>IF($A162="","", INDEX(CS!$B$1:$B$12815,MATCH($A162,CS!$B:$B,0)+COLUMN(C$1),1))</f>
        <v/>
      </c>
      <c r="AU162" t="str">
        <f>IF($A162="","", INDEX(CS!$B$1:$B$12815,MATCH($A162,CS!$B:$B,0)+COLUMN(D$1),1))</f>
        <v/>
      </c>
      <c r="AV162" t="str">
        <f>IF($A162="","", INDEX(CS!$B$1:$B$12815,MATCH($A162,CS!$B:$B,0)+COLUMN(E$1),1))</f>
        <v/>
      </c>
      <c r="AW162" t="str">
        <f>IF($A162="","", INDEX(CS!$B$1:$B$12815,MATCH($A162,CS!$B:$B,0)+COLUMN(F$1),1))</f>
        <v/>
      </c>
      <c r="AX162" t="str">
        <f>IF($A162="","", INDEX(CS!$B$1:$B$12815,MATCH($A162,CS!$B:$B,0)+COLUMN(G$1),1))</f>
        <v/>
      </c>
      <c r="AY162" t="str">
        <f>IF($A162="","", INDEX(CS!$B$1:$B$12815,MATCH($A162,CS!$B:$B,0)+COLUMN(H$1),1))</f>
        <v/>
      </c>
      <c r="AZ162" t="str">
        <f>IF($A162="","", INDEX(CS!$B$1:$B$12815,MATCH($A162,CS!$B:$B,0)+COLUMN(I$1),1))</f>
        <v/>
      </c>
      <c r="BA162" t="str">
        <f>IF($A162="","", INDEX(CS!$B$1:$B$12815,MATCH($A162,CS!$B:$B,0)+COLUMN(J$1),1))</f>
        <v/>
      </c>
    </row>
    <row r="163" spans="3:53" x14ac:dyDescent="0.4">
      <c r="C163" t="s">
        <v>194</v>
      </c>
      <c r="D163" t="str">
        <f t="shared" si="8"/>
        <v>0/0/0</v>
      </c>
      <c r="E163">
        <v>1</v>
      </c>
      <c r="AR163" t="str">
        <f>IF($A163="","", INDEX(CS!$B$1:$B$12815,MATCH($A163,CS!$B:$B,0)+COLUMN(A$1),1))</f>
        <v/>
      </c>
      <c r="AS163" t="str">
        <f>IF($A163="","", INDEX(CS!$B$1:$B$12815,MATCH($A163,CS!$B:$B,0)+COLUMN(B$1),1))</f>
        <v/>
      </c>
      <c r="AT163" t="str">
        <f>IF($A163="","", INDEX(CS!$B$1:$B$12815,MATCH($A163,CS!$B:$B,0)+COLUMN(C$1),1))</f>
        <v/>
      </c>
      <c r="AU163" t="str">
        <f>IF($A163="","", INDEX(CS!$B$1:$B$12815,MATCH($A163,CS!$B:$B,0)+COLUMN(D$1),1))</f>
        <v/>
      </c>
      <c r="AV163" t="str">
        <f>IF($A163="","", INDEX(CS!$B$1:$B$12815,MATCH($A163,CS!$B:$B,0)+COLUMN(E$1),1))</f>
        <v/>
      </c>
      <c r="AW163" t="str">
        <f>IF($A163="","", INDEX(CS!$B$1:$B$12815,MATCH($A163,CS!$B:$B,0)+COLUMN(F$1),1))</f>
        <v/>
      </c>
      <c r="AX163" t="str">
        <f>IF($A163="","", INDEX(CS!$B$1:$B$12815,MATCH($A163,CS!$B:$B,0)+COLUMN(G$1),1))</f>
        <v/>
      </c>
      <c r="AY163" t="str">
        <f>IF($A163="","", INDEX(CS!$B$1:$B$12815,MATCH($A163,CS!$B:$B,0)+COLUMN(H$1),1))</f>
        <v/>
      </c>
      <c r="AZ163" t="str">
        <f>IF($A163="","", INDEX(CS!$B$1:$B$12815,MATCH($A163,CS!$B:$B,0)+COLUMN(I$1),1))</f>
        <v/>
      </c>
      <c r="BA163" t="str">
        <f>IF($A163="","", INDEX(CS!$B$1:$B$12815,MATCH($A163,CS!$B:$B,0)+COLUMN(J$1),1))</f>
        <v/>
      </c>
    </row>
    <row r="164" spans="3:53" x14ac:dyDescent="0.4">
      <c r="C164" t="s">
        <v>194</v>
      </c>
      <c r="D164" t="str">
        <f t="shared" si="8"/>
        <v>0/0/0</v>
      </c>
      <c r="E164">
        <v>1</v>
      </c>
      <c r="AR164" t="str">
        <f>IF($A164="","", INDEX(CS!$B$1:$B$12815,MATCH($A164,CS!$B:$B,0)+COLUMN(A$1),1))</f>
        <v/>
      </c>
      <c r="AS164" t="str">
        <f>IF($A164="","", INDEX(CS!$B$1:$B$12815,MATCH($A164,CS!$B:$B,0)+COLUMN(B$1),1))</f>
        <v/>
      </c>
      <c r="AT164" t="str">
        <f>IF($A164="","", INDEX(CS!$B$1:$B$12815,MATCH($A164,CS!$B:$B,0)+COLUMN(C$1),1))</f>
        <v/>
      </c>
      <c r="AU164" t="str">
        <f>IF($A164="","", INDEX(CS!$B$1:$B$12815,MATCH($A164,CS!$B:$B,0)+COLUMN(D$1),1))</f>
        <v/>
      </c>
      <c r="AV164" t="str">
        <f>IF($A164="","", INDEX(CS!$B$1:$B$12815,MATCH($A164,CS!$B:$B,0)+COLUMN(E$1),1))</f>
        <v/>
      </c>
      <c r="AW164" t="str">
        <f>IF($A164="","", INDEX(CS!$B$1:$B$12815,MATCH($A164,CS!$B:$B,0)+COLUMN(F$1),1))</f>
        <v/>
      </c>
      <c r="AX164" t="str">
        <f>IF($A164="","", INDEX(CS!$B$1:$B$12815,MATCH($A164,CS!$B:$B,0)+COLUMN(G$1),1))</f>
        <v/>
      </c>
      <c r="AY164" t="str">
        <f>IF($A164="","", INDEX(CS!$B$1:$B$12815,MATCH($A164,CS!$B:$B,0)+COLUMN(H$1),1))</f>
        <v/>
      </c>
      <c r="AZ164" t="str">
        <f>IF($A164="","", INDEX(CS!$B$1:$B$12815,MATCH($A164,CS!$B:$B,0)+COLUMN(I$1),1))</f>
        <v/>
      </c>
      <c r="BA164" t="str">
        <f>IF($A164="","", INDEX(CS!$B$1:$B$12815,MATCH($A164,CS!$B:$B,0)+COLUMN(J$1),1))</f>
        <v/>
      </c>
    </row>
    <row r="165" spans="3:53" x14ac:dyDescent="0.4">
      <c r="C165" t="s">
        <v>194</v>
      </c>
      <c r="D165" t="str">
        <f t="shared" si="8"/>
        <v>0/0/0</v>
      </c>
      <c r="E165">
        <v>1</v>
      </c>
      <c r="AR165" t="str">
        <f>IF($A165="","", INDEX(CS!$B$1:$B$12815,MATCH($A165,CS!$B:$B,0)+COLUMN(A$1),1))</f>
        <v/>
      </c>
      <c r="AS165" t="str">
        <f>IF($A165="","", INDEX(CS!$B$1:$B$12815,MATCH($A165,CS!$B:$B,0)+COLUMN(B$1),1))</f>
        <v/>
      </c>
      <c r="AT165" t="str">
        <f>IF($A165="","", INDEX(CS!$B$1:$B$12815,MATCH($A165,CS!$B:$B,0)+COLUMN(C$1),1))</f>
        <v/>
      </c>
      <c r="AU165" t="str">
        <f>IF($A165="","", INDEX(CS!$B$1:$B$12815,MATCH($A165,CS!$B:$B,0)+COLUMN(D$1),1))</f>
        <v/>
      </c>
      <c r="AV165" t="str">
        <f>IF($A165="","", INDEX(CS!$B$1:$B$12815,MATCH($A165,CS!$B:$B,0)+COLUMN(E$1),1))</f>
        <v/>
      </c>
      <c r="AW165" t="str">
        <f>IF($A165="","", INDEX(CS!$B$1:$B$12815,MATCH($A165,CS!$B:$B,0)+COLUMN(F$1),1))</f>
        <v/>
      </c>
      <c r="AX165" t="str">
        <f>IF($A165="","", INDEX(CS!$B$1:$B$12815,MATCH($A165,CS!$B:$B,0)+COLUMN(G$1),1))</f>
        <v/>
      </c>
      <c r="AY165" t="str">
        <f>IF($A165="","", INDEX(CS!$B$1:$B$12815,MATCH($A165,CS!$B:$B,0)+COLUMN(H$1),1))</f>
        <v/>
      </c>
      <c r="AZ165" t="str">
        <f>IF($A165="","", INDEX(CS!$B$1:$B$12815,MATCH($A165,CS!$B:$B,0)+COLUMN(I$1),1))</f>
        <v/>
      </c>
      <c r="BA165" t="str">
        <f>IF($A165="","", INDEX(CS!$B$1:$B$12815,MATCH($A165,CS!$B:$B,0)+COLUMN(J$1),1))</f>
        <v/>
      </c>
    </row>
    <row r="166" spans="3:53" x14ac:dyDescent="0.4">
      <c r="C166" t="s">
        <v>194</v>
      </c>
      <c r="D166" t="str">
        <f t="shared" si="8"/>
        <v>0/0/0</v>
      </c>
      <c r="E166">
        <v>1</v>
      </c>
      <c r="AR166" t="str">
        <f>IF($A166="","", INDEX(CS!$B$1:$B$12815,MATCH($A166,CS!$B:$B,0)+COLUMN(A$1),1))</f>
        <v/>
      </c>
      <c r="AS166" t="str">
        <f>IF($A166="","", INDEX(CS!$B$1:$B$12815,MATCH($A166,CS!$B:$B,0)+COLUMN(B$1),1))</f>
        <v/>
      </c>
      <c r="AT166" t="str">
        <f>IF($A166="","", INDEX(CS!$B$1:$B$12815,MATCH($A166,CS!$B:$B,0)+COLUMN(C$1),1))</f>
        <v/>
      </c>
      <c r="AU166" t="str">
        <f>IF($A166="","", INDEX(CS!$B$1:$B$12815,MATCH($A166,CS!$B:$B,0)+COLUMN(D$1),1))</f>
        <v/>
      </c>
      <c r="AV166" t="str">
        <f>IF($A166="","", INDEX(CS!$B$1:$B$12815,MATCH($A166,CS!$B:$B,0)+COLUMN(E$1),1))</f>
        <v/>
      </c>
      <c r="AW166" t="str">
        <f>IF($A166="","", INDEX(CS!$B$1:$B$12815,MATCH($A166,CS!$B:$B,0)+COLUMN(F$1),1))</f>
        <v/>
      </c>
      <c r="AX166" t="str">
        <f>IF($A166="","", INDEX(CS!$B$1:$B$12815,MATCH($A166,CS!$B:$B,0)+COLUMN(G$1),1))</f>
        <v/>
      </c>
      <c r="AY166" t="str">
        <f>IF($A166="","", INDEX(CS!$B$1:$B$12815,MATCH($A166,CS!$B:$B,0)+COLUMN(H$1),1))</f>
        <v/>
      </c>
      <c r="AZ166" t="str">
        <f>IF($A166="","", INDEX(CS!$B$1:$B$12815,MATCH($A166,CS!$B:$B,0)+COLUMN(I$1),1))</f>
        <v/>
      </c>
      <c r="BA166" t="str">
        <f>IF($A166="","", INDEX(CS!$B$1:$B$12815,MATCH($A166,CS!$B:$B,0)+COLUMN(J$1),1))</f>
        <v/>
      </c>
    </row>
    <row r="167" spans="3:53" x14ac:dyDescent="0.4">
      <c r="C167" t="s">
        <v>194</v>
      </c>
      <c r="D167" t="str">
        <f t="shared" si="8"/>
        <v>0/0/0</v>
      </c>
      <c r="E167">
        <v>1</v>
      </c>
      <c r="AR167" t="str">
        <f>IF($A167="","", INDEX(CS!$B$1:$B$12815,MATCH($A167,CS!$B:$B,0)+COLUMN(A$1),1))</f>
        <v/>
      </c>
      <c r="AS167" t="str">
        <f>IF($A167="","", INDEX(CS!$B$1:$B$12815,MATCH($A167,CS!$B:$B,0)+COLUMN(B$1),1))</f>
        <v/>
      </c>
      <c r="AT167" t="str">
        <f>IF($A167="","", INDEX(CS!$B$1:$B$12815,MATCH($A167,CS!$B:$B,0)+COLUMN(C$1),1))</f>
        <v/>
      </c>
      <c r="AU167" t="str">
        <f>IF($A167="","", INDEX(CS!$B$1:$B$12815,MATCH($A167,CS!$B:$B,0)+COLUMN(D$1),1))</f>
        <v/>
      </c>
      <c r="AV167" t="str">
        <f>IF($A167="","", INDEX(CS!$B$1:$B$12815,MATCH($A167,CS!$B:$B,0)+COLUMN(E$1),1))</f>
        <v/>
      </c>
      <c r="AW167" t="str">
        <f>IF($A167="","", INDEX(CS!$B$1:$B$12815,MATCH($A167,CS!$B:$B,0)+COLUMN(F$1),1))</f>
        <v/>
      </c>
      <c r="AX167" t="str">
        <f>IF($A167="","", INDEX(CS!$B$1:$B$12815,MATCH($A167,CS!$B:$B,0)+COLUMN(G$1),1))</f>
        <v/>
      </c>
      <c r="AY167" t="str">
        <f>IF($A167="","", INDEX(CS!$B$1:$B$12815,MATCH($A167,CS!$B:$B,0)+COLUMN(H$1),1))</f>
        <v/>
      </c>
      <c r="AZ167" t="str">
        <f>IF($A167="","", INDEX(CS!$B$1:$B$12815,MATCH($A167,CS!$B:$B,0)+COLUMN(I$1),1))</f>
        <v/>
      </c>
      <c r="BA167" t="str">
        <f>IF($A167="","", INDEX(CS!$B$1:$B$12815,MATCH($A167,CS!$B:$B,0)+COLUMN(J$1),1))</f>
        <v/>
      </c>
    </row>
    <row r="168" spans="3:53" x14ac:dyDescent="0.4">
      <c r="C168" t="s">
        <v>194</v>
      </c>
      <c r="D168" t="str">
        <f t="shared" si="8"/>
        <v>0/0/0</v>
      </c>
      <c r="E168">
        <v>1</v>
      </c>
      <c r="AR168" t="str">
        <f>IF($A168="","", INDEX(CS!$B$1:$B$12815,MATCH($A168,CS!$B:$B,0)+COLUMN(A$1),1))</f>
        <v/>
      </c>
      <c r="AS168" t="str">
        <f>IF($A168="","", INDEX(CS!$B$1:$B$12815,MATCH($A168,CS!$B:$B,0)+COLUMN(B$1),1))</f>
        <v/>
      </c>
      <c r="AT168" t="str">
        <f>IF($A168="","", INDEX(CS!$B$1:$B$12815,MATCH($A168,CS!$B:$B,0)+COLUMN(C$1),1))</f>
        <v/>
      </c>
      <c r="AU168" t="str">
        <f>IF($A168="","", INDEX(CS!$B$1:$B$12815,MATCH($A168,CS!$B:$B,0)+COLUMN(D$1),1))</f>
        <v/>
      </c>
      <c r="AV168" t="str">
        <f>IF($A168="","", INDEX(CS!$B$1:$B$12815,MATCH($A168,CS!$B:$B,0)+COLUMN(E$1),1))</f>
        <v/>
      </c>
      <c r="AW168" t="str">
        <f>IF($A168="","", INDEX(CS!$B$1:$B$12815,MATCH($A168,CS!$B:$B,0)+COLUMN(F$1),1))</f>
        <v/>
      </c>
      <c r="AX168" t="str">
        <f>IF($A168="","", INDEX(CS!$B$1:$B$12815,MATCH($A168,CS!$B:$B,0)+COLUMN(G$1),1))</f>
        <v/>
      </c>
      <c r="AY168" t="str">
        <f>IF($A168="","", INDEX(CS!$B$1:$B$12815,MATCH($A168,CS!$B:$B,0)+COLUMN(H$1),1))</f>
        <v/>
      </c>
      <c r="AZ168" t="str">
        <f>IF($A168="","", INDEX(CS!$B$1:$B$12815,MATCH($A168,CS!$B:$B,0)+COLUMN(I$1),1))</f>
        <v/>
      </c>
      <c r="BA168" t="str">
        <f>IF($A168="","", INDEX(CS!$B$1:$B$12815,MATCH($A168,CS!$B:$B,0)+COLUMN(J$1),1))</f>
        <v/>
      </c>
    </row>
    <row r="169" spans="3:53" x14ac:dyDescent="0.4">
      <c r="C169" t="s">
        <v>194</v>
      </c>
      <c r="D169" t="str">
        <f t="shared" si="8"/>
        <v>0/0/0</v>
      </c>
      <c r="E169">
        <v>1</v>
      </c>
      <c r="AR169" t="str">
        <f>IF($A169="","", INDEX(CS!$B$1:$B$12815,MATCH($A169,CS!$B:$B,0)+COLUMN(A$1),1))</f>
        <v/>
      </c>
      <c r="AS169" t="str">
        <f>IF($A169="","", INDEX(CS!$B$1:$B$12815,MATCH($A169,CS!$B:$B,0)+COLUMN(B$1),1))</f>
        <v/>
      </c>
      <c r="AT169" t="str">
        <f>IF($A169="","", INDEX(CS!$B$1:$B$12815,MATCH($A169,CS!$B:$B,0)+COLUMN(C$1),1))</f>
        <v/>
      </c>
      <c r="AU169" t="str">
        <f>IF($A169="","", INDEX(CS!$B$1:$B$12815,MATCH($A169,CS!$B:$B,0)+COLUMN(D$1),1))</f>
        <v/>
      </c>
      <c r="AV169" t="str">
        <f>IF($A169="","", INDEX(CS!$B$1:$B$12815,MATCH($A169,CS!$B:$B,0)+COLUMN(E$1),1))</f>
        <v/>
      </c>
      <c r="AW169" t="str">
        <f>IF($A169="","", INDEX(CS!$B$1:$B$12815,MATCH($A169,CS!$B:$B,0)+COLUMN(F$1),1))</f>
        <v/>
      </c>
      <c r="AX169" t="str">
        <f>IF($A169="","", INDEX(CS!$B$1:$B$12815,MATCH($A169,CS!$B:$B,0)+COLUMN(G$1),1))</f>
        <v/>
      </c>
      <c r="AY169" t="str">
        <f>IF($A169="","", INDEX(CS!$B$1:$B$12815,MATCH($A169,CS!$B:$B,0)+COLUMN(H$1),1))</f>
        <v/>
      </c>
      <c r="AZ169" t="str">
        <f>IF($A169="","", INDEX(CS!$B$1:$B$12815,MATCH($A169,CS!$B:$B,0)+COLUMN(I$1),1))</f>
        <v/>
      </c>
      <c r="BA169" t="str">
        <f>IF($A169="","", INDEX(CS!$B$1:$B$12815,MATCH($A169,CS!$B:$B,0)+COLUMN(J$1),1))</f>
        <v/>
      </c>
    </row>
    <row r="170" spans="3:53" x14ac:dyDescent="0.4">
      <c r="C170" t="s">
        <v>194</v>
      </c>
      <c r="D170" t="str">
        <f t="shared" si="8"/>
        <v>0/0/0</v>
      </c>
      <c r="E170">
        <v>1</v>
      </c>
      <c r="AR170" t="str">
        <f>IF($A170="","", INDEX(CS!$B$1:$B$12815,MATCH($A170,CS!$B:$B,0)+COLUMN(A$1),1))</f>
        <v/>
      </c>
      <c r="AS170" t="str">
        <f>IF($A170="","", INDEX(CS!$B$1:$B$12815,MATCH($A170,CS!$B:$B,0)+COLUMN(B$1),1))</f>
        <v/>
      </c>
      <c r="AT170" t="str">
        <f>IF($A170="","", INDEX(CS!$B$1:$B$12815,MATCH($A170,CS!$B:$B,0)+COLUMN(C$1),1))</f>
        <v/>
      </c>
      <c r="AU170" t="str">
        <f>IF($A170="","", INDEX(CS!$B$1:$B$12815,MATCH($A170,CS!$B:$B,0)+COLUMN(D$1),1))</f>
        <v/>
      </c>
      <c r="AV170" t="str">
        <f>IF($A170="","", INDEX(CS!$B$1:$B$12815,MATCH($A170,CS!$B:$B,0)+COLUMN(E$1),1))</f>
        <v/>
      </c>
      <c r="AW170" t="str">
        <f>IF($A170="","", INDEX(CS!$B$1:$B$12815,MATCH($A170,CS!$B:$B,0)+COLUMN(F$1),1))</f>
        <v/>
      </c>
      <c r="AX170" t="str">
        <f>IF($A170="","", INDEX(CS!$B$1:$B$12815,MATCH($A170,CS!$B:$B,0)+COLUMN(G$1),1))</f>
        <v/>
      </c>
      <c r="AY170" t="str">
        <f>IF($A170="","", INDEX(CS!$B$1:$B$12815,MATCH($A170,CS!$B:$B,0)+COLUMN(H$1),1))</f>
        <v/>
      </c>
      <c r="AZ170" t="str">
        <f>IF($A170="","", INDEX(CS!$B$1:$B$12815,MATCH($A170,CS!$B:$B,0)+COLUMN(I$1),1))</f>
        <v/>
      </c>
      <c r="BA170" t="str">
        <f>IF($A170="","", INDEX(CS!$B$1:$B$12815,MATCH($A170,CS!$B:$B,0)+COLUMN(J$1),1))</f>
        <v/>
      </c>
    </row>
    <row r="171" spans="3:53" x14ac:dyDescent="0.4">
      <c r="C171" t="s">
        <v>194</v>
      </c>
      <c r="D171" t="str">
        <f t="shared" si="8"/>
        <v>0/0/0</v>
      </c>
      <c r="E171">
        <v>1</v>
      </c>
      <c r="AR171" t="str">
        <f>IF($A171="","", INDEX(CS!$B$1:$B$12815,MATCH($A171,CS!$B:$B,0)+COLUMN(A$1),1))</f>
        <v/>
      </c>
      <c r="AS171" t="str">
        <f>IF($A171="","", INDEX(CS!$B$1:$B$12815,MATCH($A171,CS!$B:$B,0)+COLUMN(B$1),1))</f>
        <v/>
      </c>
      <c r="AT171" t="str">
        <f>IF($A171="","", INDEX(CS!$B$1:$B$12815,MATCH($A171,CS!$B:$B,0)+COLUMN(C$1),1))</f>
        <v/>
      </c>
      <c r="AU171" t="str">
        <f>IF($A171="","", INDEX(CS!$B$1:$B$12815,MATCH($A171,CS!$B:$B,0)+COLUMN(D$1),1))</f>
        <v/>
      </c>
      <c r="AV171" t="str">
        <f>IF($A171="","", INDEX(CS!$B$1:$B$12815,MATCH($A171,CS!$B:$B,0)+COLUMN(E$1),1))</f>
        <v/>
      </c>
      <c r="AW171" t="str">
        <f>IF($A171="","", INDEX(CS!$B$1:$B$12815,MATCH($A171,CS!$B:$B,0)+COLUMN(F$1),1))</f>
        <v/>
      </c>
      <c r="AX171" t="str">
        <f>IF($A171="","", INDEX(CS!$B$1:$B$12815,MATCH($A171,CS!$B:$B,0)+COLUMN(G$1),1))</f>
        <v/>
      </c>
      <c r="AY171" t="str">
        <f>IF($A171="","", INDEX(CS!$B$1:$B$12815,MATCH($A171,CS!$B:$B,0)+COLUMN(H$1),1))</f>
        <v/>
      </c>
      <c r="AZ171" t="str">
        <f>IF($A171="","", INDEX(CS!$B$1:$B$12815,MATCH($A171,CS!$B:$B,0)+COLUMN(I$1),1))</f>
        <v/>
      </c>
      <c r="BA171" t="str">
        <f>IF($A171="","", INDEX(CS!$B$1:$B$12815,MATCH($A171,CS!$B:$B,0)+COLUMN(J$1),1))</f>
        <v/>
      </c>
    </row>
    <row r="172" spans="3:53" x14ac:dyDescent="0.4">
      <c r="C172" t="s">
        <v>194</v>
      </c>
      <c r="D172" t="str">
        <f t="shared" si="8"/>
        <v>0/0/0</v>
      </c>
      <c r="E172">
        <v>1</v>
      </c>
      <c r="AR172" t="str">
        <f>IF($A172="","", INDEX(CS!$B$1:$B$12815,MATCH($A172,CS!$B:$B,0)+COLUMN(A$1),1))</f>
        <v/>
      </c>
      <c r="AS172" t="str">
        <f>IF($A172="","", INDEX(CS!$B$1:$B$12815,MATCH($A172,CS!$B:$B,0)+COLUMN(B$1),1))</f>
        <v/>
      </c>
      <c r="AT172" t="str">
        <f>IF($A172="","", INDEX(CS!$B$1:$B$12815,MATCH($A172,CS!$B:$B,0)+COLUMN(C$1),1))</f>
        <v/>
      </c>
      <c r="AU172" t="str">
        <f>IF($A172="","", INDEX(CS!$B$1:$B$12815,MATCH($A172,CS!$B:$B,0)+COLUMN(D$1),1))</f>
        <v/>
      </c>
      <c r="AV172" t="str">
        <f>IF($A172="","", INDEX(CS!$B$1:$B$12815,MATCH($A172,CS!$B:$B,0)+COLUMN(E$1),1))</f>
        <v/>
      </c>
      <c r="AW172" t="str">
        <f>IF($A172="","", INDEX(CS!$B$1:$B$12815,MATCH($A172,CS!$B:$B,0)+COLUMN(F$1),1))</f>
        <v/>
      </c>
      <c r="AX172" t="str">
        <f>IF($A172="","", INDEX(CS!$B$1:$B$12815,MATCH($A172,CS!$B:$B,0)+COLUMN(G$1),1))</f>
        <v/>
      </c>
      <c r="AY172" t="str">
        <f>IF($A172="","", INDEX(CS!$B$1:$B$12815,MATCH($A172,CS!$B:$B,0)+COLUMN(H$1),1))</f>
        <v/>
      </c>
      <c r="AZ172" t="str">
        <f>IF($A172="","", INDEX(CS!$B$1:$B$12815,MATCH($A172,CS!$B:$B,0)+COLUMN(I$1),1))</f>
        <v/>
      </c>
      <c r="BA172" t="str">
        <f>IF($A172="","", INDEX(CS!$B$1:$B$12815,MATCH($A172,CS!$B:$B,0)+COLUMN(J$1),1))</f>
        <v/>
      </c>
    </row>
    <row r="173" spans="3:53" x14ac:dyDescent="0.4">
      <c r="C173" t="s">
        <v>194</v>
      </c>
      <c r="D173" t="str">
        <f t="shared" si="8"/>
        <v>0/0/0</v>
      </c>
      <c r="E173">
        <v>1</v>
      </c>
      <c r="AR173" t="str">
        <f>IF($A173="","", INDEX(CS!$B$1:$B$12815,MATCH($A173,CS!$B:$B,0)+COLUMN(A$1),1))</f>
        <v/>
      </c>
      <c r="AS173" t="str">
        <f>IF($A173="","", INDEX(CS!$B$1:$B$12815,MATCH($A173,CS!$B:$B,0)+COLUMN(B$1),1))</f>
        <v/>
      </c>
      <c r="AT173" t="str">
        <f>IF($A173="","", INDEX(CS!$B$1:$B$12815,MATCH($A173,CS!$B:$B,0)+COLUMN(C$1),1))</f>
        <v/>
      </c>
      <c r="AU173" t="str">
        <f>IF($A173="","", INDEX(CS!$B$1:$B$12815,MATCH($A173,CS!$B:$B,0)+COLUMN(D$1),1))</f>
        <v/>
      </c>
      <c r="AV173" t="str">
        <f>IF($A173="","", INDEX(CS!$B$1:$B$12815,MATCH($A173,CS!$B:$B,0)+COLUMN(E$1),1))</f>
        <v/>
      </c>
      <c r="AW173" t="str">
        <f>IF($A173="","", INDEX(CS!$B$1:$B$12815,MATCH($A173,CS!$B:$B,0)+COLUMN(F$1),1))</f>
        <v/>
      </c>
      <c r="AX173" t="str">
        <f>IF($A173="","", INDEX(CS!$B$1:$B$12815,MATCH($A173,CS!$B:$B,0)+COLUMN(G$1),1))</f>
        <v/>
      </c>
      <c r="AY173" t="str">
        <f>IF($A173="","", INDEX(CS!$B$1:$B$12815,MATCH($A173,CS!$B:$B,0)+COLUMN(H$1),1))</f>
        <v/>
      </c>
      <c r="AZ173" t="str">
        <f>IF($A173="","", INDEX(CS!$B$1:$B$12815,MATCH($A173,CS!$B:$B,0)+COLUMN(I$1),1))</f>
        <v/>
      </c>
      <c r="BA173" t="str">
        <f>IF($A173="","", INDEX(CS!$B$1:$B$12815,MATCH($A173,CS!$B:$B,0)+COLUMN(J$1),1))</f>
        <v/>
      </c>
    </row>
    <row r="174" spans="3:53" x14ac:dyDescent="0.4">
      <c r="C174" t="s">
        <v>194</v>
      </c>
      <c r="D174" t="str">
        <f t="shared" si="8"/>
        <v>0/0/0</v>
      </c>
      <c r="E174">
        <v>1</v>
      </c>
      <c r="AR174" t="str">
        <f>IF($A174="","", INDEX(CS!$B$1:$B$12815,MATCH($A174,CS!$B:$B,0)+COLUMN(A$1),1))</f>
        <v/>
      </c>
      <c r="AS174" t="str">
        <f>IF($A174="","", INDEX(CS!$B$1:$B$12815,MATCH($A174,CS!$B:$B,0)+COLUMN(B$1),1))</f>
        <v/>
      </c>
      <c r="AT174" t="str">
        <f>IF($A174="","", INDEX(CS!$B$1:$B$12815,MATCH($A174,CS!$B:$B,0)+COLUMN(C$1),1))</f>
        <v/>
      </c>
      <c r="AU174" t="str">
        <f>IF($A174="","", INDEX(CS!$B$1:$B$12815,MATCH($A174,CS!$B:$B,0)+COLUMN(D$1),1))</f>
        <v/>
      </c>
      <c r="AV174" t="str">
        <f>IF($A174="","", INDEX(CS!$B$1:$B$12815,MATCH($A174,CS!$B:$B,0)+COLUMN(E$1),1))</f>
        <v/>
      </c>
      <c r="AW174" t="str">
        <f>IF($A174="","", INDEX(CS!$B$1:$B$12815,MATCH($A174,CS!$B:$B,0)+COLUMN(F$1),1))</f>
        <v/>
      </c>
      <c r="AX174" t="str">
        <f>IF($A174="","", INDEX(CS!$B$1:$B$12815,MATCH($A174,CS!$B:$B,0)+COLUMN(G$1),1))</f>
        <v/>
      </c>
      <c r="AY174" t="str">
        <f>IF($A174="","", INDEX(CS!$B$1:$B$12815,MATCH($A174,CS!$B:$B,0)+COLUMN(H$1),1))</f>
        <v/>
      </c>
      <c r="AZ174" t="str">
        <f>IF($A174="","", INDEX(CS!$B$1:$B$12815,MATCH($A174,CS!$B:$B,0)+COLUMN(I$1),1))</f>
        <v/>
      </c>
      <c r="BA174" t="str">
        <f>IF($A174="","", INDEX(CS!$B$1:$B$12815,MATCH($A174,CS!$B:$B,0)+COLUMN(J$1),1))</f>
        <v/>
      </c>
    </row>
    <row r="175" spans="3:53" x14ac:dyDescent="0.4">
      <c r="C175" t="s">
        <v>194</v>
      </c>
      <c r="D175" t="str">
        <f t="shared" si="8"/>
        <v>0/0/0</v>
      </c>
      <c r="E175">
        <v>1</v>
      </c>
      <c r="AR175" t="str">
        <f>IF($A175="","", INDEX(CS!$B$1:$B$12815,MATCH($A175,CS!$B:$B,0)+COLUMN(A$1),1))</f>
        <v/>
      </c>
      <c r="AS175" t="str">
        <f>IF($A175="","", INDEX(CS!$B$1:$B$12815,MATCH($A175,CS!$B:$B,0)+COLUMN(B$1),1))</f>
        <v/>
      </c>
      <c r="AT175" t="str">
        <f>IF($A175="","", INDEX(CS!$B$1:$B$12815,MATCH($A175,CS!$B:$B,0)+COLUMN(C$1),1))</f>
        <v/>
      </c>
      <c r="AU175" t="str">
        <f>IF($A175="","", INDEX(CS!$B$1:$B$12815,MATCH($A175,CS!$B:$B,0)+COLUMN(D$1),1))</f>
        <v/>
      </c>
      <c r="AV175" t="str">
        <f>IF($A175="","", INDEX(CS!$B$1:$B$12815,MATCH($A175,CS!$B:$B,0)+COLUMN(E$1),1))</f>
        <v/>
      </c>
      <c r="AW175" t="str">
        <f>IF($A175="","", INDEX(CS!$B$1:$B$12815,MATCH($A175,CS!$B:$B,0)+COLUMN(F$1),1))</f>
        <v/>
      </c>
      <c r="AX175" t="str">
        <f>IF($A175="","", INDEX(CS!$B$1:$B$12815,MATCH($A175,CS!$B:$B,0)+COLUMN(G$1),1))</f>
        <v/>
      </c>
      <c r="AY175" t="str">
        <f>IF($A175="","", INDEX(CS!$B$1:$B$12815,MATCH($A175,CS!$B:$B,0)+COLUMN(H$1),1))</f>
        <v/>
      </c>
      <c r="AZ175" t="str">
        <f>IF($A175="","", INDEX(CS!$B$1:$B$12815,MATCH($A175,CS!$B:$B,0)+COLUMN(I$1),1))</f>
        <v/>
      </c>
      <c r="BA175" t="str">
        <f>IF($A175="","", INDEX(CS!$B$1:$B$12815,MATCH($A175,CS!$B:$B,0)+COLUMN(J$1),1))</f>
        <v/>
      </c>
    </row>
    <row r="176" spans="3:53" x14ac:dyDescent="0.4">
      <c r="C176" t="s">
        <v>194</v>
      </c>
      <c r="D176" t="str">
        <f t="shared" si="8"/>
        <v>0/0/0</v>
      </c>
      <c r="E176">
        <v>1</v>
      </c>
      <c r="AR176" t="str">
        <f>IF($A176="","", INDEX(CS!$B$1:$B$12815,MATCH($A176,CS!$B:$B,0)+COLUMN(A$1),1))</f>
        <v/>
      </c>
      <c r="AS176" t="str">
        <f>IF($A176="","", INDEX(CS!$B$1:$B$12815,MATCH($A176,CS!$B:$B,0)+COLUMN(B$1),1))</f>
        <v/>
      </c>
      <c r="AT176" t="str">
        <f>IF($A176="","", INDEX(CS!$B$1:$B$12815,MATCH($A176,CS!$B:$B,0)+COLUMN(C$1),1))</f>
        <v/>
      </c>
      <c r="AU176" t="str">
        <f>IF($A176="","", INDEX(CS!$B$1:$B$12815,MATCH($A176,CS!$B:$B,0)+COLUMN(D$1),1))</f>
        <v/>
      </c>
      <c r="AV176" t="str">
        <f>IF($A176="","", INDEX(CS!$B$1:$B$12815,MATCH($A176,CS!$B:$B,0)+COLUMN(E$1),1))</f>
        <v/>
      </c>
      <c r="AW176" t="str">
        <f>IF($A176="","", INDEX(CS!$B$1:$B$12815,MATCH($A176,CS!$B:$B,0)+COLUMN(F$1),1))</f>
        <v/>
      </c>
      <c r="AX176" t="str">
        <f>IF($A176="","", INDEX(CS!$B$1:$B$12815,MATCH($A176,CS!$B:$B,0)+COLUMN(G$1),1))</f>
        <v/>
      </c>
      <c r="AY176" t="str">
        <f>IF($A176="","", INDEX(CS!$B$1:$B$12815,MATCH($A176,CS!$B:$B,0)+COLUMN(H$1),1))</f>
        <v/>
      </c>
      <c r="AZ176" t="str">
        <f>IF($A176="","", INDEX(CS!$B$1:$B$12815,MATCH($A176,CS!$B:$B,0)+COLUMN(I$1),1))</f>
        <v/>
      </c>
      <c r="BA176" t="str">
        <f>IF($A176="","", INDEX(CS!$B$1:$B$12815,MATCH($A176,CS!$B:$B,0)+COLUMN(J$1),1))</f>
        <v/>
      </c>
    </row>
    <row r="177" spans="3:53" x14ac:dyDescent="0.4">
      <c r="C177" t="s">
        <v>194</v>
      </c>
      <c r="D177" t="str">
        <f t="shared" si="8"/>
        <v>0/0/0</v>
      </c>
      <c r="E177">
        <v>1</v>
      </c>
      <c r="AR177" t="str">
        <f>IF($A177="","", INDEX(CS!$B$1:$B$12815,MATCH($A177,CS!$B:$B,0)+COLUMN(A$1),1))</f>
        <v/>
      </c>
      <c r="AS177" t="str">
        <f>IF($A177="","", INDEX(CS!$B$1:$B$12815,MATCH($A177,CS!$B:$B,0)+COLUMN(B$1),1))</f>
        <v/>
      </c>
      <c r="AT177" t="str">
        <f>IF($A177="","", INDEX(CS!$B$1:$B$12815,MATCH($A177,CS!$B:$B,0)+COLUMN(C$1),1))</f>
        <v/>
      </c>
      <c r="AU177" t="str">
        <f>IF($A177="","", INDEX(CS!$B$1:$B$12815,MATCH($A177,CS!$B:$B,0)+COLUMN(D$1),1))</f>
        <v/>
      </c>
      <c r="AV177" t="str">
        <f>IF($A177="","", INDEX(CS!$B$1:$B$12815,MATCH($A177,CS!$B:$B,0)+COLUMN(E$1),1))</f>
        <v/>
      </c>
      <c r="AW177" t="str">
        <f>IF($A177="","", INDEX(CS!$B$1:$B$12815,MATCH($A177,CS!$B:$B,0)+COLUMN(F$1),1))</f>
        <v/>
      </c>
      <c r="AX177" t="str">
        <f>IF($A177="","", INDEX(CS!$B$1:$B$12815,MATCH($A177,CS!$B:$B,0)+COLUMN(G$1),1))</f>
        <v/>
      </c>
      <c r="AY177" t="str">
        <f>IF($A177="","", INDEX(CS!$B$1:$B$12815,MATCH($A177,CS!$B:$B,0)+COLUMN(H$1),1))</f>
        <v/>
      </c>
      <c r="AZ177" t="str">
        <f>IF($A177="","", INDEX(CS!$B$1:$B$12815,MATCH($A177,CS!$B:$B,0)+COLUMN(I$1),1))</f>
        <v/>
      </c>
      <c r="BA177" t="str">
        <f>IF($A177="","", INDEX(CS!$B$1:$B$12815,MATCH($A177,CS!$B:$B,0)+COLUMN(J$1),1))</f>
        <v/>
      </c>
    </row>
    <row r="178" spans="3:53" x14ac:dyDescent="0.4">
      <c r="C178" t="s">
        <v>194</v>
      </c>
      <c r="D178" t="str">
        <f t="shared" si="8"/>
        <v>0/0/0</v>
      </c>
      <c r="E178">
        <v>1</v>
      </c>
      <c r="AR178" t="str">
        <f>IF($A178="","", INDEX(CS!$B$1:$B$12815,MATCH($A178,CS!$B:$B,0)+COLUMN(A$1),1))</f>
        <v/>
      </c>
      <c r="AS178" t="str">
        <f>IF($A178="","", INDEX(CS!$B$1:$B$12815,MATCH($A178,CS!$B:$B,0)+COLUMN(B$1),1))</f>
        <v/>
      </c>
      <c r="AT178" t="str">
        <f>IF($A178="","", INDEX(CS!$B$1:$B$12815,MATCH($A178,CS!$B:$B,0)+COLUMN(C$1),1))</f>
        <v/>
      </c>
      <c r="AU178" t="str">
        <f>IF($A178="","", INDEX(CS!$B$1:$B$12815,MATCH($A178,CS!$B:$B,0)+COLUMN(D$1),1))</f>
        <v/>
      </c>
      <c r="AV178" t="str">
        <f>IF($A178="","", INDEX(CS!$B$1:$B$12815,MATCH($A178,CS!$B:$B,0)+COLUMN(E$1),1))</f>
        <v/>
      </c>
      <c r="AW178" t="str">
        <f>IF($A178="","", INDEX(CS!$B$1:$B$12815,MATCH($A178,CS!$B:$B,0)+COLUMN(F$1),1))</f>
        <v/>
      </c>
      <c r="AX178" t="str">
        <f>IF($A178="","", INDEX(CS!$B$1:$B$12815,MATCH($A178,CS!$B:$B,0)+COLUMN(G$1),1))</f>
        <v/>
      </c>
      <c r="AY178" t="str">
        <f>IF($A178="","", INDEX(CS!$B$1:$B$12815,MATCH($A178,CS!$B:$B,0)+COLUMN(H$1),1))</f>
        <v/>
      </c>
      <c r="AZ178" t="str">
        <f>IF($A178="","", INDEX(CS!$B$1:$B$12815,MATCH($A178,CS!$B:$B,0)+COLUMN(I$1),1))</f>
        <v/>
      </c>
      <c r="BA178" t="str">
        <f>IF($A178="","", INDEX(CS!$B$1:$B$12815,MATCH($A178,CS!$B:$B,0)+COLUMN(J$1),1))</f>
        <v/>
      </c>
    </row>
    <row r="179" spans="3:53" x14ac:dyDescent="0.4">
      <c r="C179" t="s">
        <v>194</v>
      </c>
      <c r="D179" t="str">
        <f t="shared" si="8"/>
        <v>0/0/0</v>
      </c>
      <c r="E179">
        <v>1</v>
      </c>
      <c r="AR179" t="str">
        <f>IF($A179="","", INDEX(CS!$B$1:$B$12815,MATCH($A179,CS!$B:$B,0)+COLUMN(A$1),1))</f>
        <v/>
      </c>
      <c r="AS179" t="str">
        <f>IF($A179="","", INDEX(CS!$B$1:$B$12815,MATCH($A179,CS!$B:$B,0)+COLUMN(B$1),1))</f>
        <v/>
      </c>
      <c r="AT179" t="str">
        <f>IF($A179="","", INDEX(CS!$B$1:$B$12815,MATCH($A179,CS!$B:$B,0)+COLUMN(C$1),1))</f>
        <v/>
      </c>
      <c r="AU179" t="str">
        <f>IF($A179="","", INDEX(CS!$B$1:$B$12815,MATCH($A179,CS!$B:$B,0)+COLUMN(D$1),1))</f>
        <v/>
      </c>
      <c r="AV179" t="str">
        <f>IF($A179="","", INDEX(CS!$B$1:$B$12815,MATCH($A179,CS!$B:$B,0)+COLUMN(E$1),1))</f>
        <v/>
      </c>
      <c r="AW179" t="str">
        <f>IF($A179="","", INDEX(CS!$B$1:$B$12815,MATCH($A179,CS!$B:$B,0)+COLUMN(F$1),1))</f>
        <v/>
      </c>
      <c r="AX179" t="str">
        <f>IF($A179="","", INDEX(CS!$B$1:$B$12815,MATCH($A179,CS!$B:$B,0)+COLUMN(G$1),1))</f>
        <v/>
      </c>
      <c r="AY179" t="str">
        <f>IF($A179="","", INDEX(CS!$B$1:$B$12815,MATCH($A179,CS!$B:$B,0)+COLUMN(H$1),1))</f>
        <v/>
      </c>
      <c r="AZ179" t="str">
        <f>IF($A179="","", INDEX(CS!$B$1:$B$12815,MATCH($A179,CS!$B:$B,0)+COLUMN(I$1),1))</f>
        <v/>
      </c>
      <c r="BA179" t="str">
        <f>IF($A179="","", INDEX(CS!$B$1:$B$12815,MATCH($A179,CS!$B:$B,0)+COLUMN(J$1),1))</f>
        <v/>
      </c>
    </row>
    <row r="180" spans="3:53" x14ac:dyDescent="0.4">
      <c r="C180" t="s">
        <v>194</v>
      </c>
      <c r="D180" t="str">
        <f t="shared" si="8"/>
        <v>0/0/0</v>
      </c>
      <c r="E180">
        <v>1</v>
      </c>
      <c r="AR180" t="str">
        <f>IF($A180="","", INDEX(CS!$B$1:$B$12815,MATCH($A180,CS!$B:$B,0)+COLUMN(A$1),1))</f>
        <v/>
      </c>
      <c r="AS180" t="str">
        <f>IF($A180="","", INDEX(CS!$B$1:$B$12815,MATCH($A180,CS!$B:$B,0)+COLUMN(B$1),1))</f>
        <v/>
      </c>
      <c r="AT180" t="str">
        <f>IF($A180="","", INDEX(CS!$B$1:$B$12815,MATCH($A180,CS!$B:$B,0)+COLUMN(C$1),1))</f>
        <v/>
      </c>
      <c r="AU180" t="str">
        <f>IF($A180="","", INDEX(CS!$B$1:$B$12815,MATCH($A180,CS!$B:$B,0)+COLUMN(D$1),1))</f>
        <v/>
      </c>
      <c r="AV180" t="str">
        <f>IF($A180="","", INDEX(CS!$B$1:$B$12815,MATCH($A180,CS!$B:$B,0)+COLUMN(E$1),1))</f>
        <v/>
      </c>
      <c r="AW180" t="str">
        <f>IF($A180="","", INDEX(CS!$B$1:$B$12815,MATCH($A180,CS!$B:$B,0)+COLUMN(F$1),1))</f>
        <v/>
      </c>
      <c r="AX180" t="str">
        <f>IF($A180="","", INDEX(CS!$B$1:$B$12815,MATCH($A180,CS!$B:$B,0)+COLUMN(G$1),1))</f>
        <v/>
      </c>
      <c r="AY180" t="str">
        <f>IF($A180="","", INDEX(CS!$B$1:$B$12815,MATCH($A180,CS!$B:$B,0)+COLUMN(H$1),1))</f>
        <v/>
      </c>
      <c r="AZ180" t="str">
        <f>IF($A180="","", INDEX(CS!$B$1:$B$12815,MATCH($A180,CS!$B:$B,0)+COLUMN(I$1),1))</f>
        <v/>
      </c>
      <c r="BA180" t="str">
        <f>IF($A180="","", INDEX(CS!$B$1:$B$12815,MATCH($A180,CS!$B:$B,0)+COLUMN(J$1),1))</f>
        <v/>
      </c>
    </row>
    <row r="181" spans="3:53" x14ac:dyDescent="0.4">
      <c r="C181" t="s">
        <v>194</v>
      </c>
      <c r="D181" t="str">
        <f t="shared" si="8"/>
        <v>0/0/0</v>
      </c>
      <c r="E181">
        <v>1</v>
      </c>
      <c r="AR181" t="str">
        <f>IF($A181="","", INDEX(CS!$B$1:$B$12815,MATCH($A181,CS!$B:$B,0)+COLUMN(A$1),1))</f>
        <v/>
      </c>
      <c r="AS181" t="str">
        <f>IF($A181="","", INDEX(CS!$B$1:$B$12815,MATCH($A181,CS!$B:$B,0)+COLUMN(B$1),1))</f>
        <v/>
      </c>
      <c r="AT181" t="str">
        <f>IF($A181="","", INDEX(CS!$B$1:$B$12815,MATCH($A181,CS!$B:$B,0)+COLUMN(C$1),1))</f>
        <v/>
      </c>
      <c r="AU181" t="str">
        <f>IF($A181="","", INDEX(CS!$B$1:$B$12815,MATCH($A181,CS!$B:$B,0)+COLUMN(D$1),1))</f>
        <v/>
      </c>
      <c r="AV181" t="str">
        <f>IF($A181="","", INDEX(CS!$B$1:$B$12815,MATCH($A181,CS!$B:$B,0)+COLUMN(E$1),1))</f>
        <v/>
      </c>
      <c r="AW181" t="str">
        <f>IF($A181="","", INDEX(CS!$B$1:$B$12815,MATCH($A181,CS!$B:$B,0)+COLUMN(F$1),1))</f>
        <v/>
      </c>
      <c r="AX181" t="str">
        <f>IF($A181="","", INDEX(CS!$B$1:$B$12815,MATCH($A181,CS!$B:$B,0)+COLUMN(G$1),1))</f>
        <v/>
      </c>
      <c r="AY181" t="str">
        <f>IF($A181="","", INDEX(CS!$B$1:$B$12815,MATCH($A181,CS!$B:$B,0)+COLUMN(H$1),1))</f>
        <v/>
      </c>
      <c r="AZ181" t="str">
        <f>IF($A181="","", INDEX(CS!$B$1:$B$12815,MATCH($A181,CS!$B:$B,0)+COLUMN(I$1),1))</f>
        <v/>
      </c>
      <c r="BA181" t="str">
        <f>IF($A181="","", INDEX(CS!$B$1:$B$12815,MATCH($A181,CS!$B:$B,0)+COLUMN(J$1),1))</f>
        <v/>
      </c>
    </row>
    <row r="182" spans="3:53" x14ac:dyDescent="0.4">
      <c r="C182" t="s">
        <v>194</v>
      </c>
      <c r="D182" t="str">
        <f t="shared" si="8"/>
        <v>0/0/0</v>
      </c>
      <c r="E182">
        <v>1</v>
      </c>
      <c r="AR182" t="str">
        <f>IF($A182="","", INDEX(CS!$B$1:$B$12815,MATCH($A182,CS!$B:$B,0)+COLUMN(A$1),1))</f>
        <v/>
      </c>
      <c r="AS182" t="str">
        <f>IF($A182="","", INDEX(CS!$B$1:$B$12815,MATCH($A182,CS!$B:$B,0)+COLUMN(B$1),1))</f>
        <v/>
      </c>
      <c r="AT182" t="str">
        <f>IF($A182="","", INDEX(CS!$B$1:$B$12815,MATCH($A182,CS!$B:$B,0)+COLUMN(C$1),1))</f>
        <v/>
      </c>
      <c r="AU182" t="str">
        <f>IF($A182="","", INDEX(CS!$B$1:$B$12815,MATCH($A182,CS!$B:$B,0)+COLUMN(D$1),1))</f>
        <v/>
      </c>
      <c r="AV182" t="str">
        <f>IF($A182="","", INDEX(CS!$B$1:$B$12815,MATCH($A182,CS!$B:$B,0)+COLUMN(E$1),1))</f>
        <v/>
      </c>
      <c r="AW182" t="str">
        <f>IF($A182="","", INDEX(CS!$B$1:$B$12815,MATCH($A182,CS!$B:$B,0)+COLUMN(F$1),1))</f>
        <v/>
      </c>
      <c r="AX182" t="str">
        <f>IF($A182="","", INDEX(CS!$B$1:$B$12815,MATCH($A182,CS!$B:$B,0)+COLUMN(G$1),1))</f>
        <v/>
      </c>
      <c r="AY182" t="str">
        <f>IF($A182="","", INDEX(CS!$B$1:$B$12815,MATCH($A182,CS!$B:$B,0)+COLUMN(H$1),1))</f>
        <v/>
      </c>
      <c r="AZ182" t="str">
        <f>IF($A182="","", INDEX(CS!$B$1:$B$12815,MATCH($A182,CS!$B:$B,0)+COLUMN(I$1),1))</f>
        <v/>
      </c>
      <c r="BA182" t="str">
        <f>IF($A182="","", INDEX(CS!$B$1:$B$12815,MATCH($A182,CS!$B:$B,0)+COLUMN(J$1),1))</f>
        <v/>
      </c>
    </row>
    <row r="183" spans="3:53" x14ac:dyDescent="0.4">
      <c r="C183" t="s">
        <v>194</v>
      </c>
      <c r="D183" t="str">
        <f t="shared" si="8"/>
        <v>0/0/0</v>
      </c>
      <c r="E183">
        <v>1</v>
      </c>
      <c r="AR183" t="str">
        <f>IF($A183="","", INDEX(CS!$B$1:$B$12815,MATCH($A183,CS!$B:$B,0)+COLUMN(A$1),1))</f>
        <v/>
      </c>
      <c r="AS183" t="str">
        <f>IF($A183="","", INDEX(CS!$B$1:$B$12815,MATCH($A183,CS!$B:$B,0)+COLUMN(B$1),1))</f>
        <v/>
      </c>
      <c r="AT183" t="str">
        <f>IF($A183="","", INDEX(CS!$B$1:$B$12815,MATCH($A183,CS!$B:$B,0)+COLUMN(C$1),1))</f>
        <v/>
      </c>
      <c r="AU183" t="str">
        <f>IF($A183="","", INDEX(CS!$B$1:$B$12815,MATCH($A183,CS!$B:$B,0)+COLUMN(D$1),1))</f>
        <v/>
      </c>
      <c r="AV183" t="str">
        <f>IF($A183="","", INDEX(CS!$B$1:$B$12815,MATCH($A183,CS!$B:$B,0)+COLUMN(E$1),1))</f>
        <v/>
      </c>
      <c r="AW183" t="str">
        <f>IF($A183="","", INDEX(CS!$B$1:$B$12815,MATCH($A183,CS!$B:$B,0)+COLUMN(F$1),1))</f>
        <v/>
      </c>
      <c r="AX183" t="str">
        <f>IF($A183="","", INDEX(CS!$B$1:$B$12815,MATCH($A183,CS!$B:$B,0)+COLUMN(G$1),1))</f>
        <v/>
      </c>
      <c r="AY183" t="str">
        <f>IF($A183="","", INDEX(CS!$B$1:$B$12815,MATCH($A183,CS!$B:$B,0)+COLUMN(H$1),1))</f>
        <v/>
      </c>
      <c r="AZ183" t="str">
        <f>IF($A183="","", INDEX(CS!$B$1:$B$12815,MATCH($A183,CS!$B:$B,0)+COLUMN(I$1),1))</f>
        <v/>
      </c>
      <c r="BA183" t="str">
        <f>IF($A183="","", INDEX(CS!$B$1:$B$12815,MATCH($A183,CS!$B:$B,0)+COLUMN(J$1),1))</f>
        <v/>
      </c>
    </row>
    <row r="184" spans="3:53" x14ac:dyDescent="0.4">
      <c r="C184" t="s">
        <v>194</v>
      </c>
      <c r="D184" t="str">
        <f t="shared" si="8"/>
        <v>0/0/0</v>
      </c>
      <c r="E184">
        <v>1</v>
      </c>
      <c r="AR184" t="str">
        <f>IF($A184="","", INDEX(CS!$B$1:$B$12815,MATCH($A184,CS!$B:$B,0)+COLUMN(A$1),1))</f>
        <v/>
      </c>
      <c r="AS184" t="str">
        <f>IF($A184="","", INDEX(CS!$B$1:$B$12815,MATCH($A184,CS!$B:$B,0)+COLUMN(B$1),1))</f>
        <v/>
      </c>
      <c r="AT184" t="str">
        <f>IF($A184="","", INDEX(CS!$B$1:$B$12815,MATCH($A184,CS!$B:$B,0)+COLUMN(C$1),1))</f>
        <v/>
      </c>
      <c r="AU184" t="str">
        <f>IF($A184="","", INDEX(CS!$B$1:$B$12815,MATCH($A184,CS!$B:$B,0)+COLUMN(D$1),1))</f>
        <v/>
      </c>
      <c r="AV184" t="str">
        <f>IF($A184="","", INDEX(CS!$B$1:$B$12815,MATCH($A184,CS!$B:$B,0)+COLUMN(E$1),1))</f>
        <v/>
      </c>
      <c r="AW184" t="str">
        <f>IF($A184="","", INDEX(CS!$B$1:$B$12815,MATCH($A184,CS!$B:$B,0)+COLUMN(F$1),1))</f>
        <v/>
      </c>
      <c r="AX184" t="str">
        <f>IF($A184="","", INDEX(CS!$B$1:$B$12815,MATCH($A184,CS!$B:$B,0)+COLUMN(G$1),1))</f>
        <v/>
      </c>
      <c r="AY184" t="str">
        <f>IF($A184="","", INDEX(CS!$B$1:$B$12815,MATCH($A184,CS!$B:$B,0)+COLUMN(H$1),1))</f>
        <v/>
      </c>
      <c r="AZ184" t="str">
        <f>IF($A184="","", INDEX(CS!$B$1:$B$12815,MATCH($A184,CS!$B:$B,0)+COLUMN(I$1),1))</f>
        <v/>
      </c>
      <c r="BA184" t="str">
        <f>IF($A184="","", INDEX(CS!$B$1:$B$12815,MATCH($A184,CS!$B:$B,0)+COLUMN(J$1),1))</f>
        <v/>
      </c>
    </row>
    <row r="185" spans="3:53" x14ac:dyDescent="0.4">
      <c r="C185" t="s">
        <v>194</v>
      </c>
      <c r="D185" t="str">
        <f t="shared" si="8"/>
        <v>0/0/0</v>
      </c>
      <c r="E185">
        <v>1</v>
      </c>
      <c r="AR185" t="str">
        <f>IF($A185="","", INDEX(CS!$B$1:$B$12815,MATCH($A185,CS!$B:$B,0)+COLUMN(A$1),1))</f>
        <v/>
      </c>
      <c r="AS185" t="str">
        <f>IF($A185="","", INDEX(CS!$B$1:$B$12815,MATCH($A185,CS!$B:$B,0)+COLUMN(B$1),1))</f>
        <v/>
      </c>
      <c r="AT185" t="str">
        <f>IF($A185="","", INDEX(CS!$B$1:$B$12815,MATCH($A185,CS!$B:$B,0)+COLUMN(C$1),1))</f>
        <v/>
      </c>
      <c r="AU185" t="str">
        <f>IF($A185="","", INDEX(CS!$B$1:$B$12815,MATCH($A185,CS!$B:$B,0)+COLUMN(D$1),1))</f>
        <v/>
      </c>
      <c r="AV185" t="str">
        <f>IF($A185="","", INDEX(CS!$B$1:$B$12815,MATCH($A185,CS!$B:$B,0)+COLUMN(E$1),1))</f>
        <v/>
      </c>
      <c r="AW185" t="str">
        <f>IF($A185="","", INDEX(CS!$B$1:$B$12815,MATCH($A185,CS!$B:$B,0)+COLUMN(F$1),1))</f>
        <v/>
      </c>
      <c r="AX185" t="str">
        <f>IF($A185="","", INDEX(CS!$B$1:$B$12815,MATCH($A185,CS!$B:$B,0)+COLUMN(G$1),1))</f>
        <v/>
      </c>
      <c r="AY185" t="str">
        <f>IF($A185="","", INDEX(CS!$B$1:$B$12815,MATCH($A185,CS!$B:$B,0)+COLUMN(H$1),1))</f>
        <v/>
      </c>
      <c r="AZ185" t="str">
        <f>IF($A185="","", INDEX(CS!$B$1:$B$12815,MATCH($A185,CS!$B:$B,0)+COLUMN(I$1),1))</f>
        <v/>
      </c>
      <c r="BA185" t="str">
        <f>IF($A185="","", INDEX(CS!$B$1:$B$12815,MATCH($A185,CS!$B:$B,0)+COLUMN(J$1),1))</f>
        <v/>
      </c>
    </row>
    <row r="186" spans="3:53" x14ac:dyDescent="0.4">
      <c r="C186" t="s">
        <v>194</v>
      </c>
      <c r="D186" t="str">
        <f t="shared" si="8"/>
        <v>0/0/0</v>
      </c>
      <c r="E186">
        <v>1</v>
      </c>
      <c r="AR186" t="str">
        <f>IF($A186="","", INDEX(CS!$B$1:$B$12815,MATCH($A186,CS!$B:$B,0)+COLUMN(A$1),1))</f>
        <v/>
      </c>
      <c r="AS186" t="str">
        <f>IF($A186="","", INDEX(CS!$B$1:$B$12815,MATCH($A186,CS!$B:$B,0)+COLUMN(B$1),1))</f>
        <v/>
      </c>
      <c r="AT186" t="str">
        <f>IF($A186="","", INDEX(CS!$B$1:$B$12815,MATCH($A186,CS!$B:$B,0)+COLUMN(C$1),1))</f>
        <v/>
      </c>
      <c r="AU186" t="str">
        <f>IF($A186="","", INDEX(CS!$B$1:$B$12815,MATCH($A186,CS!$B:$B,0)+COLUMN(D$1),1))</f>
        <v/>
      </c>
      <c r="AV186" t="str">
        <f>IF($A186="","", INDEX(CS!$B$1:$B$12815,MATCH($A186,CS!$B:$B,0)+COLUMN(E$1),1))</f>
        <v/>
      </c>
      <c r="AW186" t="str">
        <f>IF($A186="","", INDEX(CS!$B$1:$B$12815,MATCH($A186,CS!$B:$B,0)+COLUMN(F$1),1))</f>
        <v/>
      </c>
      <c r="AX186" t="str">
        <f>IF($A186="","", INDEX(CS!$B$1:$B$12815,MATCH($A186,CS!$B:$B,0)+COLUMN(G$1),1))</f>
        <v/>
      </c>
      <c r="AY186" t="str">
        <f>IF($A186="","", INDEX(CS!$B$1:$B$12815,MATCH($A186,CS!$B:$B,0)+COLUMN(H$1),1))</f>
        <v/>
      </c>
      <c r="AZ186" t="str">
        <f>IF($A186="","", INDEX(CS!$B$1:$B$12815,MATCH($A186,CS!$B:$B,0)+COLUMN(I$1),1))</f>
        <v/>
      </c>
      <c r="BA186" t="str">
        <f>IF($A186="","", INDEX(CS!$B$1:$B$12815,MATCH($A186,CS!$B:$B,0)+COLUMN(J$1),1))</f>
        <v/>
      </c>
    </row>
    <row r="187" spans="3:53" x14ac:dyDescent="0.4">
      <c r="C187" t="s">
        <v>194</v>
      </c>
      <c r="D187" t="str">
        <f t="shared" si="8"/>
        <v>0/0/0</v>
      </c>
      <c r="E187">
        <v>1</v>
      </c>
      <c r="AR187" t="str">
        <f>IF($A187="","", INDEX(CS!$B$1:$B$12815,MATCH($A187,CS!$B:$B,0)+COLUMN(A$1),1))</f>
        <v/>
      </c>
      <c r="AS187" t="str">
        <f>IF($A187="","", INDEX(CS!$B$1:$B$12815,MATCH($A187,CS!$B:$B,0)+COLUMN(B$1),1))</f>
        <v/>
      </c>
      <c r="AT187" t="str">
        <f>IF($A187="","", INDEX(CS!$B$1:$B$12815,MATCH($A187,CS!$B:$B,0)+COLUMN(C$1),1))</f>
        <v/>
      </c>
      <c r="AU187" t="str">
        <f>IF($A187="","", INDEX(CS!$B$1:$B$12815,MATCH($A187,CS!$B:$B,0)+COLUMN(D$1),1))</f>
        <v/>
      </c>
      <c r="AV187" t="str">
        <f>IF($A187="","", INDEX(CS!$B$1:$B$12815,MATCH($A187,CS!$B:$B,0)+COLUMN(E$1),1))</f>
        <v/>
      </c>
      <c r="AW187" t="str">
        <f>IF($A187="","", INDEX(CS!$B$1:$B$12815,MATCH($A187,CS!$B:$B,0)+COLUMN(F$1),1))</f>
        <v/>
      </c>
      <c r="AX187" t="str">
        <f>IF($A187="","", INDEX(CS!$B$1:$B$12815,MATCH($A187,CS!$B:$B,0)+COLUMN(G$1),1))</f>
        <v/>
      </c>
      <c r="AY187" t="str">
        <f>IF($A187="","", INDEX(CS!$B$1:$B$12815,MATCH($A187,CS!$B:$B,0)+COLUMN(H$1),1))</f>
        <v/>
      </c>
      <c r="AZ187" t="str">
        <f>IF($A187="","", INDEX(CS!$B$1:$B$12815,MATCH($A187,CS!$B:$B,0)+COLUMN(I$1),1))</f>
        <v/>
      </c>
      <c r="BA187" t="str">
        <f>IF($A187="","", INDEX(CS!$B$1:$B$12815,MATCH($A187,CS!$B:$B,0)+COLUMN(J$1),1))</f>
        <v/>
      </c>
    </row>
    <row r="188" spans="3:53" x14ac:dyDescent="0.4">
      <c r="C188" t="s">
        <v>194</v>
      </c>
      <c r="D188" t="str">
        <f t="shared" si="8"/>
        <v>0/0/0</v>
      </c>
      <c r="E188">
        <v>1</v>
      </c>
      <c r="AR188" t="str">
        <f>IF($A188="","", INDEX(CS!$B$1:$B$12815,MATCH($A188,CS!$B:$B,0)+COLUMN(A$1),1))</f>
        <v/>
      </c>
      <c r="AS188" t="str">
        <f>IF($A188="","", INDEX(CS!$B$1:$B$12815,MATCH($A188,CS!$B:$B,0)+COLUMN(B$1),1))</f>
        <v/>
      </c>
      <c r="AT188" t="str">
        <f>IF($A188="","", INDEX(CS!$B$1:$B$12815,MATCH($A188,CS!$B:$B,0)+COLUMN(C$1),1))</f>
        <v/>
      </c>
      <c r="AU188" t="str">
        <f>IF($A188="","", INDEX(CS!$B$1:$B$12815,MATCH($A188,CS!$B:$B,0)+COLUMN(D$1),1))</f>
        <v/>
      </c>
      <c r="AV188" t="str">
        <f>IF($A188="","", INDEX(CS!$B$1:$B$12815,MATCH($A188,CS!$B:$B,0)+COLUMN(E$1),1))</f>
        <v/>
      </c>
      <c r="AW188" t="str">
        <f>IF($A188="","", INDEX(CS!$B$1:$B$12815,MATCH($A188,CS!$B:$B,0)+COLUMN(F$1),1))</f>
        <v/>
      </c>
      <c r="AX188" t="str">
        <f>IF($A188="","", INDEX(CS!$B$1:$B$12815,MATCH($A188,CS!$B:$B,0)+COLUMN(G$1),1))</f>
        <v/>
      </c>
      <c r="AY188" t="str">
        <f>IF($A188="","", INDEX(CS!$B$1:$B$12815,MATCH($A188,CS!$B:$B,0)+COLUMN(H$1),1))</f>
        <v/>
      </c>
      <c r="AZ188" t="str">
        <f>IF($A188="","", INDEX(CS!$B$1:$B$12815,MATCH($A188,CS!$B:$B,0)+COLUMN(I$1),1))</f>
        <v/>
      </c>
      <c r="BA188" t="str">
        <f>IF($A188="","", INDEX(CS!$B$1:$B$12815,MATCH($A188,CS!$B:$B,0)+COLUMN(J$1),1))</f>
        <v/>
      </c>
    </row>
    <row r="189" spans="3:53" x14ac:dyDescent="0.4">
      <c r="C189" t="s">
        <v>194</v>
      </c>
      <c r="D189" t="str">
        <f t="shared" si="8"/>
        <v>0/0/0</v>
      </c>
      <c r="E189">
        <v>1</v>
      </c>
      <c r="AR189" t="str">
        <f>IF($A189="","", INDEX(CS!$B$1:$B$12815,MATCH($A189,CS!$B:$B,0)+COLUMN(A$1),1))</f>
        <v/>
      </c>
      <c r="AS189" t="str">
        <f>IF($A189="","", INDEX(CS!$B$1:$B$12815,MATCH($A189,CS!$B:$B,0)+COLUMN(B$1),1))</f>
        <v/>
      </c>
      <c r="AT189" t="str">
        <f>IF($A189="","", INDEX(CS!$B$1:$B$12815,MATCH($A189,CS!$B:$B,0)+COLUMN(C$1),1))</f>
        <v/>
      </c>
      <c r="AU189" t="str">
        <f>IF($A189="","", INDEX(CS!$B$1:$B$12815,MATCH($A189,CS!$B:$B,0)+COLUMN(D$1),1))</f>
        <v/>
      </c>
      <c r="AV189" t="str">
        <f>IF($A189="","", INDEX(CS!$B$1:$B$12815,MATCH($A189,CS!$B:$B,0)+COLUMN(E$1),1))</f>
        <v/>
      </c>
      <c r="AW189" t="str">
        <f>IF($A189="","", INDEX(CS!$B$1:$B$12815,MATCH($A189,CS!$B:$B,0)+COLUMN(F$1),1))</f>
        <v/>
      </c>
      <c r="AX189" t="str">
        <f>IF($A189="","", INDEX(CS!$B$1:$B$12815,MATCH($A189,CS!$B:$B,0)+COLUMN(G$1),1))</f>
        <v/>
      </c>
      <c r="AY189" t="str">
        <f>IF($A189="","", INDEX(CS!$B$1:$B$12815,MATCH($A189,CS!$B:$B,0)+COLUMN(H$1),1))</f>
        <v/>
      </c>
      <c r="AZ189" t="str">
        <f>IF($A189="","", INDEX(CS!$B$1:$B$12815,MATCH($A189,CS!$B:$B,0)+COLUMN(I$1),1))</f>
        <v/>
      </c>
      <c r="BA189" t="str">
        <f>IF($A189="","", INDEX(CS!$B$1:$B$12815,MATCH($A189,CS!$B:$B,0)+COLUMN(J$1),1))</f>
        <v/>
      </c>
    </row>
    <row r="190" spans="3:53" x14ac:dyDescent="0.4">
      <c r="C190" t="s">
        <v>194</v>
      </c>
      <c r="D190" t="str">
        <f t="shared" si="8"/>
        <v>0/0/0</v>
      </c>
      <c r="E190">
        <v>1</v>
      </c>
      <c r="AR190" t="str">
        <f>IF($A190="","", INDEX(CS!$B$1:$B$12815,MATCH($A190,CS!$B:$B,0)+COLUMN(A$1),1))</f>
        <v/>
      </c>
      <c r="AS190" t="str">
        <f>IF($A190="","", INDEX(CS!$B$1:$B$12815,MATCH($A190,CS!$B:$B,0)+COLUMN(B$1),1))</f>
        <v/>
      </c>
      <c r="AT190" t="str">
        <f>IF($A190="","", INDEX(CS!$B$1:$B$12815,MATCH($A190,CS!$B:$B,0)+COLUMN(C$1),1))</f>
        <v/>
      </c>
      <c r="AU190" t="str">
        <f>IF($A190="","", INDEX(CS!$B$1:$B$12815,MATCH($A190,CS!$B:$B,0)+COLUMN(D$1),1))</f>
        <v/>
      </c>
      <c r="AV190" t="str">
        <f>IF($A190="","", INDEX(CS!$B$1:$B$12815,MATCH($A190,CS!$B:$B,0)+COLUMN(E$1),1))</f>
        <v/>
      </c>
      <c r="AW190" t="str">
        <f>IF($A190="","", INDEX(CS!$B$1:$B$12815,MATCH($A190,CS!$B:$B,0)+COLUMN(F$1),1))</f>
        <v/>
      </c>
      <c r="AX190" t="str">
        <f>IF($A190="","", INDEX(CS!$B$1:$B$12815,MATCH($A190,CS!$B:$B,0)+COLUMN(G$1),1))</f>
        <v/>
      </c>
      <c r="AY190" t="str">
        <f>IF($A190="","", INDEX(CS!$B$1:$B$12815,MATCH($A190,CS!$B:$B,0)+COLUMN(H$1),1))</f>
        <v/>
      </c>
      <c r="AZ190" t="str">
        <f>IF($A190="","", INDEX(CS!$B$1:$B$12815,MATCH($A190,CS!$B:$B,0)+COLUMN(I$1),1))</f>
        <v/>
      </c>
      <c r="BA190" t="str">
        <f>IF($A190="","", INDEX(CS!$B$1:$B$12815,MATCH($A190,CS!$B:$B,0)+COLUMN(J$1),1))</f>
        <v/>
      </c>
    </row>
    <row r="191" spans="3:53" x14ac:dyDescent="0.4">
      <c r="C191" t="s">
        <v>194</v>
      </c>
      <c r="D191" t="str">
        <f t="shared" si="8"/>
        <v>0/0/0</v>
      </c>
      <c r="E191">
        <v>1</v>
      </c>
      <c r="AR191" t="str">
        <f>IF($A191="","", INDEX(CS!$B$1:$B$12815,MATCH($A191,CS!$B:$B,0)+COLUMN(A$1),1))</f>
        <v/>
      </c>
      <c r="AS191" t="str">
        <f>IF($A191="","", INDEX(CS!$B$1:$B$12815,MATCH($A191,CS!$B:$B,0)+COLUMN(B$1),1))</f>
        <v/>
      </c>
      <c r="AT191" t="str">
        <f>IF($A191="","", INDEX(CS!$B$1:$B$12815,MATCH($A191,CS!$B:$B,0)+COLUMN(C$1),1))</f>
        <v/>
      </c>
      <c r="AU191" t="str">
        <f>IF($A191="","", INDEX(CS!$B$1:$B$12815,MATCH($A191,CS!$B:$B,0)+COLUMN(D$1),1))</f>
        <v/>
      </c>
      <c r="AV191" t="str">
        <f>IF($A191="","", INDEX(CS!$B$1:$B$12815,MATCH($A191,CS!$B:$B,0)+COLUMN(E$1),1))</f>
        <v/>
      </c>
      <c r="AW191" t="str">
        <f>IF($A191="","", INDEX(CS!$B$1:$B$12815,MATCH($A191,CS!$B:$B,0)+COLUMN(F$1),1))</f>
        <v/>
      </c>
      <c r="AX191" t="str">
        <f>IF($A191="","", INDEX(CS!$B$1:$B$12815,MATCH($A191,CS!$B:$B,0)+COLUMN(G$1),1))</f>
        <v/>
      </c>
      <c r="AY191" t="str">
        <f>IF($A191="","", INDEX(CS!$B$1:$B$12815,MATCH($A191,CS!$B:$B,0)+COLUMN(H$1),1))</f>
        <v/>
      </c>
      <c r="AZ191" t="str">
        <f>IF($A191="","", INDEX(CS!$B$1:$B$12815,MATCH($A191,CS!$B:$B,0)+COLUMN(I$1),1))</f>
        <v/>
      </c>
      <c r="BA191" t="str">
        <f>IF($A191="","", INDEX(CS!$B$1:$B$12815,MATCH($A191,CS!$B:$B,0)+COLUMN(J$1),1))</f>
        <v/>
      </c>
    </row>
    <row r="192" spans="3:53" x14ac:dyDescent="0.4">
      <c r="C192" t="s">
        <v>194</v>
      </c>
      <c r="D192" t="str">
        <f t="shared" si="8"/>
        <v>0/0/0</v>
      </c>
      <c r="E192">
        <v>1</v>
      </c>
      <c r="AR192" t="str">
        <f>IF($A192="","", INDEX(CS!$B$1:$B$12815,MATCH($A192,CS!$B:$B,0)+COLUMN(A$1),1))</f>
        <v/>
      </c>
      <c r="AS192" t="str">
        <f>IF($A192="","", INDEX(CS!$B$1:$B$12815,MATCH($A192,CS!$B:$B,0)+COLUMN(B$1),1))</f>
        <v/>
      </c>
      <c r="AT192" t="str">
        <f>IF($A192="","", INDEX(CS!$B$1:$B$12815,MATCH($A192,CS!$B:$B,0)+COLUMN(C$1),1))</f>
        <v/>
      </c>
      <c r="AU192" t="str">
        <f>IF($A192="","", INDEX(CS!$B$1:$B$12815,MATCH($A192,CS!$B:$B,0)+COLUMN(D$1),1))</f>
        <v/>
      </c>
      <c r="AV192" t="str">
        <f>IF($A192="","", INDEX(CS!$B$1:$B$12815,MATCH($A192,CS!$B:$B,0)+COLUMN(E$1),1))</f>
        <v/>
      </c>
      <c r="AW192" t="str">
        <f>IF($A192="","", INDEX(CS!$B$1:$B$12815,MATCH($A192,CS!$B:$B,0)+COLUMN(F$1),1))</f>
        <v/>
      </c>
      <c r="AX192" t="str">
        <f>IF($A192="","", INDEX(CS!$B$1:$B$12815,MATCH($A192,CS!$B:$B,0)+COLUMN(G$1),1))</f>
        <v/>
      </c>
      <c r="AY192" t="str">
        <f>IF($A192="","", INDEX(CS!$B$1:$B$12815,MATCH($A192,CS!$B:$B,0)+COLUMN(H$1),1))</f>
        <v/>
      </c>
      <c r="AZ192" t="str">
        <f>IF($A192="","", INDEX(CS!$B$1:$B$12815,MATCH($A192,CS!$B:$B,0)+COLUMN(I$1),1))</f>
        <v/>
      </c>
      <c r="BA192" t="str">
        <f>IF($A192="","", INDEX(CS!$B$1:$B$12815,MATCH($A192,CS!$B:$B,0)+COLUMN(J$1),1))</f>
        <v/>
      </c>
    </row>
    <row r="193" spans="3:53" x14ac:dyDescent="0.4">
      <c r="C193" t="s">
        <v>194</v>
      </c>
      <c r="D193" t="str">
        <f t="shared" si="8"/>
        <v>0/0/0</v>
      </c>
      <c r="E193">
        <v>1</v>
      </c>
      <c r="AR193" t="str">
        <f>IF($A193="","", INDEX(CS!$B$1:$B$12815,MATCH($A193,CS!$B:$B,0)+COLUMN(A$1),1))</f>
        <v/>
      </c>
      <c r="AS193" t="str">
        <f>IF($A193="","", INDEX(CS!$B$1:$B$12815,MATCH($A193,CS!$B:$B,0)+COLUMN(B$1),1))</f>
        <v/>
      </c>
      <c r="AT193" t="str">
        <f>IF($A193="","", INDEX(CS!$B$1:$B$12815,MATCH($A193,CS!$B:$B,0)+COLUMN(C$1),1))</f>
        <v/>
      </c>
      <c r="AU193" t="str">
        <f>IF($A193="","", INDEX(CS!$B$1:$B$12815,MATCH($A193,CS!$B:$B,0)+COLUMN(D$1),1))</f>
        <v/>
      </c>
      <c r="AV193" t="str">
        <f>IF($A193="","", INDEX(CS!$B$1:$B$12815,MATCH($A193,CS!$B:$B,0)+COLUMN(E$1),1))</f>
        <v/>
      </c>
      <c r="AW193" t="str">
        <f>IF($A193="","", INDEX(CS!$B$1:$B$12815,MATCH($A193,CS!$B:$B,0)+COLUMN(F$1),1))</f>
        <v/>
      </c>
      <c r="AX193" t="str">
        <f>IF($A193="","", INDEX(CS!$B$1:$B$12815,MATCH($A193,CS!$B:$B,0)+COLUMN(G$1),1))</f>
        <v/>
      </c>
      <c r="AY193" t="str">
        <f>IF($A193="","", INDEX(CS!$B$1:$B$12815,MATCH($A193,CS!$B:$B,0)+COLUMN(H$1),1))</f>
        <v/>
      </c>
      <c r="AZ193" t="str">
        <f>IF($A193="","", INDEX(CS!$B$1:$B$12815,MATCH($A193,CS!$B:$B,0)+COLUMN(I$1),1))</f>
        <v/>
      </c>
      <c r="BA193" t="str">
        <f>IF($A193="","", INDEX(CS!$B$1:$B$12815,MATCH($A193,CS!$B:$B,0)+COLUMN(J$1),1))</f>
        <v/>
      </c>
    </row>
    <row r="194" spans="3:53" x14ac:dyDescent="0.4">
      <c r="C194" t="s">
        <v>194</v>
      </c>
      <c r="D194" t="str">
        <f t="shared" si="8"/>
        <v>0/0/0</v>
      </c>
      <c r="E194">
        <v>1</v>
      </c>
      <c r="AR194" t="str">
        <f>IF($A194="","", INDEX(CS!$B$1:$B$12815,MATCH($A194,CS!$B:$B,0)+COLUMN(A$1),1))</f>
        <v/>
      </c>
      <c r="AS194" t="str">
        <f>IF($A194="","", INDEX(CS!$B$1:$B$12815,MATCH($A194,CS!$B:$B,0)+COLUMN(B$1),1))</f>
        <v/>
      </c>
      <c r="AT194" t="str">
        <f>IF($A194="","", INDEX(CS!$B$1:$B$12815,MATCH($A194,CS!$B:$B,0)+COLUMN(C$1),1))</f>
        <v/>
      </c>
      <c r="AU194" t="str">
        <f>IF($A194="","", INDEX(CS!$B$1:$B$12815,MATCH($A194,CS!$B:$B,0)+COLUMN(D$1),1))</f>
        <v/>
      </c>
      <c r="AV194" t="str">
        <f>IF($A194="","", INDEX(CS!$B$1:$B$12815,MATCH($A194,CS!$B:$B,0)+COLUMN(E$1),1))</f>
        <v/>
      </c>
      <c r="AW194" t="str">
        <f>IF($A194="","", INDEX(CS!$B$1:$B$12815,MATCH($A194,CS!$B:$B,0)+COLUMN(F$1),1))</f>
        <v/>
      </c>
      <c r="AX194" t="str">
        <f>IF($A194="","", INDEX(CS!$B$1:$B$12815,MATCH($A194,CS!$B:$B,0)+COLUMN(G$1),1))</f>
        <v/>
      </c>
      <c r="AY194" t="str">
        <f>IF($A194="","", INDEX(CS!$B$1:$B$12815,MATCH($A194,CS!$B:$B,0)+COLUMN(H$1),1))</f>
        <v/>
      </c>
      <c r="AZ194" t="str">
        <f>IF($A194="","", INDEX(CS!$B$1:$B$12815,MATCH($A194,CS!$B:$B,0)+COLUMN(I$1),1))</f>
        <v/>
      </c>
      <c r="BA194" t="str">
        <f>IF($A194="","", INDEX(CS!$B$1:$B$12815,MATCH($A194,CS!$B:$B,0)+COLUMN(J$1),1))</f>
        <v/>
      </c>
    </row>
    <row r="195" spans="3:53" x14ac:dyDescent="0.4">
      <c r="C195" t="s">
        <v>194</v>
      </c>
      <c r="D195" t="str">
        <f t="shared" si="8"/>
        <v>0/0/0</v>
      </c>
      <c r="E195">
        <v>1</v>
      </c>
      <c r="AR195" t="str">
        <f>IF($A195="","", INDEX(CS!$B$1:$B$12815,MATCH($A195,CS!$B:$B,0)+COLUMN(A$1),1))</f>
        <v/>
      </c>
      <c r="AS195" t="str">
        <f>IF($A195="","", INDEX(CS!$B$1:$B$12815,MATCH($A195,CS!$B:$B,0)+COLUMN(B$1),1))</f>
        <v/>
      </c>
      <c r="AT195" t="str">
        <f>IF($A195="","", INDEX(CS!$B$1:$B$12815,MATCH($A195,CS!$B:$B,0)+COLUMN(C$1),1))</f>
        <v/>
      </c>
      <c r="AU195" t="str">
        <f>IF($A195="","", INDEX(CS!$B$1:$B$12815,MATCH($A195,CS!$B:$B,0)+COLUMN(D$1),1))</f>
        <v/>
      </c>
      <c r="AV195" t="str">
        <f>IF($A195="","", INDEX(CS!$B$1:$B$12815,MATCH($A195,CS!$B:$B,0)+COLUMN(E$1),1))</f>
        <v/>
      </c>
      <c r="AW195" t="str">
        <f>IF($A195="","", INDEX(CS!$B$1:$B$12815,MATCH($A195,CS!$B:$B,0)+COLUMN(F$1),1))</f>
        <v/>
      </c>
      <c r="AX195" t="str">
        <f>IF($A195="","", INDEX(CS!$B$1:$B$12815,MATCH($A195,CS!$B:$B,0)+COLUMN(G$1),1))</f>
        <v/>
      </c>
      <c r="AY195" t="str">
        <f>IF($A195="","", INDEX(CS!$B$1:$B$12815,MATCH($A195,CS!$B:$B,0)+COLUMN(H$1),1))</f>
        <v/>
      </c>
      <c r="AZ195" t="str">
        <f>IF($A195="","", INDEX(CS!$B$1:$B$12815,MATCH($A195,CS!$B:$B,0)+COLUMN(I$1),1))</f>
        <v/>
      </c>
      <c r="BA195" t="str">
        <f>IF($A195="","", INDEX(CS!$B$1:$B$12815,MATCH($A195,CS!$B:$B,0)+COLUMN(J$1),1))</f>
        <v/>
      </c>
    </row>
    <row r="196" spans="3:53" x14ac:dyDescent="0.4">
      <c r="C196" t="s">
        <v>194</v>
      </c>
      <c r="D196" t="str">
        <f t="shared" si="8"/>
        <v>0/0/0</v>
      </c>
      <c r="E196">
        <v>1</v>
      </c>
      <c r="AR196" t="str">
        <f>IF($A196="","", INDEX(CS!$B$1:$B$12815,MATCH($A196,CS!$B:$B,0)+COLUMN(A$1),1))</f>
        <v/>
      </c>
      <c r="AS196" t="str">
        <f>IF($A196="","", INDEX(CS!$B$1:$B$12815,MATCH($A196,CS!$B:$B,0)+COLUMN(B$1),1))</f>
        <v/>
      </c>
      <c r="AT196" t="str">
        <f>IF($A196="","", INDEX(CS!$B$1:$B$12815,MATCH($A196,CS!$B:$B,0)+COLUMN(C$1),1))</f>
        <v/>
      </c>
      <c r="AU196" t="str">
        <f>IF($A196="","", INDEX(CS!$B$1:$B$12815,MATCH($A196,CS!$B:$B,0)+COLUMN(D$1),1))</f>
        <v/>
      </c>
      <c r="AV196" t="str">
        <f>IF($A196="","", INDEX(CS!$B$1:$B$12815,MATCH($A196,CS!$B:$B,0)+COLUMN(E$1),1))</f>
        <v/>
      </c>
      <c r="AW196" t="str">
        <f>IF($A196="","", INDEX(CS!$B$1:$B$12815,MATCH($A196,CS!$B:$B,0)+COLUMN(F$1),1))</f>
        <v/>
      </c>
      <c r="AX196" t="str">
        <f>IF($A196="","", INDEX(CS!$B$1:$B$12815,MATCH($A196,CS!$B:$B,0)+COLUMN(G$1),1))</f>
        <v/>
      </c>
      <c r="AY196" t="str">
        <f>IF($A196="","", INDEX(CS!$B$1:$B$12815,MATCH($A196,CS!$B:$B,0)+COLUMN(H$1),1))</f>
        <v/>
      </c>
      <c r="AZ196" t="str">
        <f>IF($A196="","", INDEX(CS!$B$1:$B$12815,MATCH($A196,CS!$B:$B,0)+COLUMN(I$1),1))</f>
        <v/>
      </c>
      <c r="BA196" t="str">
        <f>IF($A196="","", INDEX(CS!$B$1:$B$12815,MATCH($A196,CS!$B:$B,0)+COLUMN(J$1),1))</f>
        <v/>
      </c>
    </row>
    <row r="197" spans="3:53" x14ac:dyDescent="0.4">
      <c r="C197" t="s">
        <v>194</v>
      </c>
      <c r="D197" t="str">
        <f t="shared" si="8"/>
        <v>0/0/0</v>
      </c>
      <c r="E197">
        <v>1</v>
      </c>
      <c r="AR197" t="str">
        <f>IF($A197="","", INDEX(CS!$B$1:$B$12815,MATCH($A197,CS!$B:$B,0)+COLUMN(A$1),1))</f>
        <v/>
      </c>
      <c r="AS197" t="str">
        <f>IF($A197="","", INDEX(CS!$B$1:$B$12815,MATCH($A197,CS!$B:$B,0)+COLUMN(B$1),1))</f>
        <v/>
      </c>
      <c r="AT197" t="str">
        <f>IF($A197="","", INDEX(CS!$B$1:$B$12815,MATCH($A197,CS!$B:$B,0)+COLUMN(C$1),1))</f>
        <v/>
      </c>
      <c r="AU197" t="str">
        <f>IF($A197="","", INDEX(CS!$B$1:$B$12815,MATCH($A197,CS!$B:$B,0)+COLUMN(D$1),1))</f>
        <v/>
      </c>
      <c r="AV197" t="str">
        <f>IF($A197="","", INDEX(CS!$B$1:$B$12815,MATCH($A197,CS!$B:$B,0)+COLUMN(E$1),1))</f>
        <v/>
      </c>
      <c r="AW197" t="str">
        <f>IF($A197="","", INDEX(CS!$B$1:$B$12815,MATCH($A197,CS!$B:$B,0)+COLUMN(F$1),1))</f>
        <v/>
      </c>
      <c r="AX197" t="str">
        <f>IF($A197="","", INDEX(CS!$B$1:$B$12815,MATCH($A197,CS!$B:$B,0)+COLUMN(G$1),1))</f>
        <v/>
      </c>
      <c r="AY197" t="str">
        <f>IF($A197="","", INDEX(CS!$B$1:$B$12815,MATCH($A197,CS!$B:$B,0)+COLUMN(H$1),1))</f>
        <v/>
      </c>
      <c r="AZ197" t="str">
        <f>IF($A197="","", INDEX(CS!$B$1:$B$12815,MATCH($A197,CS!$B:$B,0)+COLUMN(I$1),1))</f>
        <v/>
      </c>
      <c r="BA197" t="str">
        <f>IF($A197="","", INDEX(CS!$B$1:$B$12815,MATCH($A197,CS!$B:$B,0)+COLUMN(J$1),1))</f>
        <v/>
      </c>
    </row>
    <row r="198" spans="3:53" x14ac:dyDescent="0.4">
      <c r="C198" t="s">
        <v>194</v>
      </c>
      <c r="D198" t="str">
        <f t="shared" si="8"/>
        <v>0/0/0</v>
      </c>
      <c r="E198">
        <v>1</v>
      </c>
      <c r="AR198" t="str">
        <f>IF($A198="","", INDEX(CS!$B$1:$B$12815,MATCH($A198,CS!$B:$B,0)+COLUMN(A$1),1))</f>
        <v/>
      </c>
      <c r="AS198" t="str">
        <f>IF($A198="","", INDEX(CS!$B$1:$B$12815,MATCH($A198,CS!$B:$B,0)+COLUMN(B$1),1))</f>
        <v/>
      </c>
      <c r="AT198" t="str">
        <f>IF($A198="","", INDEX(CS!$B$1:$B$12815,MATCH($A198,CS!$B:$B,0)+COLUMN(C$1),1))</f>
        <v/>
      </c>
      <c r="AU198" t="str">
        <f>IF($A198="","", INDEX(CS!$B$1:$B$12815,MATCH($A198,CS!$B:$B,0)+COLUMN(D$1),1))</f>
        <v/>
      </c>
      <c r="AV198" t="str">
        <f>IF($A198="","", INDEX(CS!$B$1:$B$12815,MATCH($A198,CS!$B:$B,0)+COLUMN(E$1),1))</f>
        <v/>
      </c>
      <c r="AW198" t="str">
        <f>IF($A198="","", INDEX(CS!$B$1:$B$12815,MATCH($A198,CS!$B:$B,0)+COLUMN(F$1),1))</f>
        <v/>
      </c>
      <c r="AX198" t="str">
        <f>IF($A198="","", INDEX(CS!$B$1:$B$12815,MATCH($A198,CS!$B:$B,0)+COLUMN(G$1),1))</f>
        <v/>
      </c>
      <c r="AY198" t="str">
        <f>IF($A198="","", INDEX(CS!$B$1:$B$12815,MATCH($A198,CS!$B:$B,0)+COLUMN(H$1),1))</f>
        <v/>
      </c>
      <c r="AZ198" t="str">
        <f>IF($A198="","", INDEX(CS!$B$1:$B$12815,MATCH($A198,CS!$B:$B,0)+COLUMN(I$1),1))</f>
        <v/>
      </c>
      <c r="BA198" t="str">
        <f>IF($A198="","", INDEX(CS!$B$1:$B$12815,MATCH($A198,CS!$B:$B,0)+COLUMN(J$1),1))</f>
        <v/>
      </c>
    </row>
    <row r="199" spans="3:53" x14ac:dyDescent="0.4">
      <c r="C199" t="s">
        <v>194</v>
      </c>
      <c r="D199" t="str">
        <f t="shared" si="8"/>
        <v>0/0/0</v>
      </c>
      <c r="E199">
        <v>1</v>
      </c>
      <c r="AR199" t="str">
        <f>IF($A199="","", INDEX(CS!$B$1:$B$12815,MATCH($A199,CS!$B:$B,0)+COLUMN(A$1),1))</f>
        <v/>
      </c>
      <c r="AS199" t="str">
        <f>IF($A199="","", INDEX(CS!$B$1:$B$12815,MATCH($A199,CS!$B:$B,0)+COLUMN(B$1),1))</f>
        <v/>
      </c>
      <c r="AT199" t="str">
        <f>IF($A199="","", INDEX(CS!$B$1:$B$12815,MATCH($A199,CS!$B:$B,0)+COLUMN(C$1),1))</f>
        <v/>
      </c>
      <c r="AU199" t="str">
        <f>IF($A199="","", INDEX(CS!$B$1:$B$12815,MATCH($A199,CS!$B:$B,0)+COLUMN(D$1),1))</f>
        <v/>
      </c>
      <c r="AV199" t="str">
        <f>IF($A199="","", INDEX(CS!$B$1:$B$12815,MATCH($A199,CS!$B:$B,0)+COLUMN(E$1),1))</f>
        <v/>
      </c>
      <c r="AW199" t="str">
        <f>IF($A199="","", INDEX(CS!$B$1:$B$12815,MATCH($A199,CS!$B:$B,0)+COLUMN(F$1),1))</f>
        <v/>
      </c>
      <c r="AX199" t="str">
        <f>IF($A199="","", INDEX(CS!$B$1:$B$12815,MATCH($A199,CS!$B:$B,0)+COLUMN(G$1),1))</f>
        <v/>
      </c>
      <c r="AY199" t="str">
        <f>IF($A199="","", INDEX(CS!$B$1:$B$12815,MATCH($A199,CS!$B:$B,0)+COLUMN(H$1),1))</f>
        <v/>
      </c>
      <c r="AZ199" t="str">
        <f>IF($A199="","", INDEX(CS!$B$1:$B$12815,MATCH($A199,CS!$B:$B,0)+COLUMN(I$1),1))</f>
        <v/>
      </c>
      <c r="BA199" t="str">
        <f>IF($A199="","", INDEX(CS!$B$1:$B$12815,MATCH($A199,CS!$B:$B,0)+COLUMN(J$1),1))</f>
        <v/>
      </c>
    </row>
    <row r="200" spans="3:53" x14ac:dyDescent="0.4">
      <c r="C200" t="s">
        <v>194</v>
      </c>
      <c r="D200" t="str">
        <f t="shared" si="8"/>
        <v>0/0/0</v>
      </c>
      <c r="E200">
        <v>1</v>
      </c>
      <c r="AR200" t="str">
        <f>IF($A200="","", INDEX(CS!$B$1:$B$12815,MATCH($A200,CS!$B:$B,0)+COLUMN(A$1),1))</f>
        <v/>
      </c>
      <c r="AS200" t="str">
        <f>IF($A200="","", INDEX(CS!$B$1:$B$12815,MATCH($A200,CS!$B:$B,0)+COLUMN(B$1),1))</f>
        <v/>
      </c>
      <c r="AT200" t="str">
        <f>IF($A200="","", INDEX(CS!$B$1:$B$12815,MATCH($A200,CS!$B:$B,0)+COLUMN(C$1),1))</f>
        <v/>
      </c>
      <c r="AU200" t="str">
        <f>IF($A200="","", INDEX(CS!$B$1:$B$12815,MATCH($A200,CS!$B:$B,0)+COLUMN(D$1),1))</f>
        <v/>
      </c>
      <c r="AV200" t="str">
        <f>IF($A200="","", INDEX(CS!$B$1:$B$12815,MATCH($A200,CS!$B:$B,0)+COLUMN(E$1),1))</f>
        <v/>
      </c>
      <c r="AW200" t="str">
        <f>IF($A200="","", INDEX(CS!$B$1:$B$12815,MATCH($A200,CS!$B:$B,0)+COLUMN(F$1),1))</f>
        <v/>
      </c>
      <c r="AX200" t="str">
        <f>IF($A200="","", INDEX(CS!$B$1:$B$12815,MATCH($A200,CS!$B:$B,0)+COLUMN(G$1),1))</f>
        <v/>
      </c>
      <c r="AY200" t="str">
        <f>IF($A200="","", INDEX(CS!$B$1:$B$12815,MATCH($A200,CS!$B:$B,0)+COLUMN(H$1),1))</f>
        <v/>
      </c>
      <c r="AZ200" t="str">
        <f>IF($A200="","", INDEX(CS!$B$1:$B$12815,MATCH($A200,CS!$B:$B,0)+COLUMN(I$1),1))</f>
        <v/>
      </c>
      <c r="BA200" t="str">
        <f>IF($A200="","", INDEX(CS!$B$1:$B$12815,MATCH($A200,CS!$B:$B,0)+COLUMN(J$1),1))</f>
        <v/>
      </c>
    </row>
    <row r="201" spans="3:53" x14ac:dyDescent="0.4">
      <c r="C201" t="s">
        <v>194</v>
      </c>
      <c r="D201" t="str">
        <f t="shared" si="8"/>
        <v>0/0/0</v>
      </c>
      <c r="E201">
        <v>1</v>
      </c>
      <c r="AR201" t="str">
        <f>IF($A201="","", INDEX(CS!$B$1:$B$12815,MATCH($A201,CS!$B:$B,0)+COLUMN(A$1),1))</f>
        <v/>
      </c>
      <c r="AS201" t="str">
        <f>IF($A201="","", INDEX(CS!$B$1:$B$12815,MATCH($A201,CS!$B:$B,0)+COLUMN(B$1),1))</f>
        <v/>
      </c>
      <c r="AT201" t="str">
        <f>IF($A201="","", INDEX(CS!$B$1:$B$12815,MATCH($A201,CS!$B:$B,0)+COLUMN(C$1),1))</f>
        <v/>
      </c>
      <c r="AU201" t="str">
        <f>IF($A201="","", INDEX(CS!$B$1:$B$12815,MATCH($A201,CS!$B:$B,0)+COLUMN(D$1),1))</f>
        <v/>
      </c>
      <c r="AV201" t="str">
        <f>IF($A201="","", INDEX(CS!$B$1:$B$12815,MATCH($A201,CS!$B:$B,0)+COLUMN(E$1),1))</f>
        <v/>
      </c>
      <c r="AW201" t="str">
        <f>IF($A201="","", INDEX(CS!$B$1:$B$12815,MATCH($A201,CS!$B:$B,0)+COLUMN(F$1),1))</f>
        <v/>
      </c>
      <c r="AX201" t="str">
        <f>IF($A201="","", INDEX(CS!$B$1:$B$12815,MATCH($A201,CS!$B:$B,0)+COLUMN(G$1),1))</f>
        <v/>
      </c>
      <c r="AY201" t="str">
        <f>IF($A201="","", INDEX(CS!$B$1:$B$12815,MATCH($A201,CS!$B:$B,0)+COLUMN(H$1),1))</f>
        <v/>
      </c>
      <c r="AZ201" t="str">
        <f>IF($A201="","", INDEX(CS!$B$1:$B$12815,MATCH($A201,CS!$B:$B,0)+COLUMN(I$1),1))</f>
        <v/>
      </c>
      <c r="BA201" t="str">
        <f>IF($A201="","", INDEX(CS!$B$1:$B$12815,MATCH($A201,CS!$B:$B,0)+COLUMN(J$1),1))</f>
        <v/>
      </c>
    </row>
    <row r="202" spans="3:53" x14ac:dyDescent="0.4">
      <c r="C202" t="s">
        <v>194</v>
      </c>
      <c r="D202" t="str">
        <f t="shared" si="8"/>
        <v>0/0/0</v>
      </c>
      <c r="E202">
        <v>1</v>
      </c>
      <c r="AR202" t="str">
        <f>IF($A202="","", INDEX(CS!$B$1:$B$12815,MATCH($A202,CS!$B:$B,0)+COLUMN(A$1),1))</f>
        <v/>
      </c>
      <c r="AS202" t="str">
        <f>IF($A202="","", INDEX(CS!$B$1:$B$12815,MATCH($A202,CS!$B:$B,0)+COLUMN(B$1),1))</f>
        <v/>
      </c>
      <c r="AT202" t="str">
        <f>IF($A202="","", INDEX(CS!$B$1:$B$12815,MATCH($A202,CS!$B:$B,0)+COLUMN(C$1),1))</f>
        <v/>
      </c>
      <c r="AU202" t="str">
        <f>IF($A202="","", INDEX(CS!$B$1:$B$12815,MATCH($A202,CS!$B:$B,0)+COLUMN(D$1),1))</f>
        <v/>
      </c>
      <c r="AV202" t="str">
        <f>IF($A202="","", INDEX(CS!$B$1:$B$12815,MATCH($A202,CS!$B:$B,0)+COLUMN(E$1),1))</f>
        <v/>
      </c>
      <c r="AW202" t="str">
        <f>IF($A202="","", INDEX(CS!$B$1:$B$12815,MATCH($A202,CS!$B:$B,0)+COLUMN(F$1),1))</f>
        <v/>
      </c>
      <c r="AX202" t="str">
        <f>IF($A202="","", INDEX(CS!$B$1:$B$12815,MATCH($A202,CS!$B:$B,0)+COLUMN(G$1),1))</f>
        <v/>
      </c>
      <c r="AY202" t="str">
        <f>IF($A202="","", INDEX(CS!$B$1:$B$12815,MATCH($A202,CS!$B:$B,0)+COLUMN(H$1),1))</f>
        <v/>
      </c>
      <c r="AZ202" t="str">
        <f>IF($A202="","", INDEX(CS!$B$1:$B$12815,MATCH($A202,CS!$B:$B,0)+COLUMN(I$1),1))</f>
        <v/>
      </c>
      <c r="BA202" t="str">
        <f>IF($A202="","", INDEX(CS!$B$1:$B$12815,MATCH($A202,CS!$B:$B,0)+COLUMN(J$1),1))</f>
        <v/>
      </c>
    </row>
    <row r="203" spans="3:53" x14ac:dyDescent="0.4">
      <c r="C203" t="s">
        <v>194</v>
      </c>
      <c r="D203" t="str">
        <f t="shared" si="8"/>
        <v>0/0/0</v>
      </c>
      <c r="E203">
        <v>1</v>
      </c>
      <c r="AR203" t="str">
        <f>IF($A203="","", INDEX(CS!$B$1:$B$12815,MATCH($A203,CS!$B:$B,0)+COLUMN(A$1),1))</f>
        <v/>
      </c>
      <c r="AS203" t="str">
        <f>IF($A203="","", INDEX(CS!$B$1:$B$12815,MATCH($A203,CS!$B:$B,0)+COLUMN(B$1),1))</f>
        <v/>
      </c>
      <c r="AT203" t="str">
        <f>IF($A203="","", INDEX(CS!$B$1:$B$12815,MATCH($A203,CS!$B:$B,0)+COLUMN(C$1),1))</f>
        <v/>
      </c>
      <c r="AU203" t="str">
        <f>IF($A203="","", INDEX(CS!$B$1:$B$12815,MATCH($A203,CS!$B:$B,0)+COLUMN(D$1),1))</f>
        <v/>
      </c>
      <c r="AV203" t="str">
        <f>IF($A203="","", INDEX(CS!$B$1:$B$12815,MATCH($A203,CS!$B:$B,0)+COLUMN(E$1),1))</f>
        <v/>
      </c>
      <c r="AW203" t="str">
        <f>IF($A203="","", INDEX(CS!$B$1:$B$12815,MATCH($A203,CS!$B:$B,0)+COLUMN(F$1),1))</f>
        <v/>
      </c>
      <c r="AX203" t="str">
        <f>IF($A203="","", INDEX(CS!$B$1:$B$12815,MATCH($A203,CS!$B:$B,0)+COLUMN(G$1),1))</f>
        <v/>
      </c>
      <c r="AY203" t="str">
        <f>IF($A203="","", INDEX(CS!$B$1:$B$12815,MATCH($A203,CS!$B:$B,0)+COLUMN(H$1),1))</f>
        <v/>
      </c>
      <c r="AZ203" t="str">
        <f>IF($A203="","", INDEX(CS!$B$1:$B$12815,MATCH($A203,CS!$B:$B,0)+COLUMN(I$1),1))</f>
        <v/>
      </c>
      <c r="BA203" t="str">
        <f>IF($A203="","", INDEX(CS!$B$1:$B$12815,MATCH($A203,CS!$B:$B,0)+COLUMN(J$1),1))</f>
        <v/>
      </c>
    </row>
    <row r="204" spans="3:53" x14ac:dyDescent="0.4">
      <c r="C204" t="s">
        <v>194</v>
      </c>
      <c r="D204" t="str">
        <f t="shared" si="8"/>
        <v>0/0/0</v>
      </c>
      <c r="E204">
        <v>1</v>
      </c>
      <c r="AR204" t="str">
        <f>IF($A204="","", INDEX(CS!$B$1:$B$12815,MATCH($A204,CS!$B:$B,0)+COLUMN(A$1),1))</f>
        <v/>
      </c>
      <c r="AS204" t="str">
        <f>IF($A204="","", INDEX(CS!$B$1:$B$12815,MATCH($A204,CS!$B:$B,0)+COLUMN(B$1),1))</f>
        <v/>
      </c>
      <c r="AT204" t="str">
        <f>IF($A204="","", INDEX(CS!$B$1:$B$12815,MATCH($A204,CS!$B:$B,0)+COLUMN(C$1),1))</f>
        <v/>
      </c>
      <c r="AU204" t="str">
        <f>IF($A204="","", INDEX(CS!$B$1:$B$12815,MATCH($A204,CS!$B:$B,0)+COLUMN(D$1),1))</f>
        <v/>
      </c>
      <c r="AV204" t="str">
        <f>IF($A204="","", INDEX(CS!$B$1:$B$12815,MATCH($A204,CS!$B:$B,0)+COLUMN(E$1),1))</f>
        <v/>
      </c>
      <c r="AW204" t="str">
        <f>IF($A204="","", INDEX(CS!$B$1:$B$12815,MATCH($A204,CS!$B:$B,0)+COLUMN(F$1),1))</f>
        <v/>
      </c>
      <c r="AX204" t="str">
        <f>IF($A204="","", INDEX(CS!$B$1:$B$12815,MATCH($A204,CS!$B:$B,0)+COLUMN(G$1),1))</f>
        <v/>
      </c>
      <c r="AY204" t="str">
        <f>IF($A204="","", INDEX(CS!$B$1:$B$12815,MATCH($A204,CS!$B:$B,0)+COLUMN(H$1),1))</f>
        <v/>
      </c>
      <c r="AZ204" t="str">
        <f>IF($A204="","", INDEX(CS!$B$1:$B$12815,MATCH($A204,CS!$B:$B,0)+COLUMN(I$1),1))</f>
        <v/>
      </c>
      <c r="BA204" t="str">
        <f>IF($A204="","", INDEX(CS!$B$1:$B$12815,MATCH($A204,CS!$B:$B,0)+COLUMN(J$1),1))</f>
        <v/>
      </c>
    </row>
    <row r="205" spans="3:53" x14ac:dyDescent="0.4">
      <c r="C205" t="s">
        <v>194</v>
      </c>
      <c r="D205" t="str">
        <f t="shared" si="8"/>
        <v>0/0/0</v>
      </c>
      <c r="E205">
        <v>1</v>
      </c>
      <c r="AR205" t="str">
        <f>IF($A205="","", INDEX(CS!$B$1:$B$12815,MATCH($A205,CS!$B:$B,0)+COLUMN(A$1),1))</f>
        <v/>
      </c>
      <c r="AS205" t="str">
        <f>IF($A205="","", INDEX(CS!$B$1:$B$12815,MATCH($A205,CS!$B:$B,0)+COLUMN(B$1),1))</f>
        <v/>
      </c>
      <c r="AT205" t="str">
        <f>IF($A205="","", INDEX(CS!$B$1:$B$12815,MATCH($A205,CS!$B:$B,0)+COLUMN(C$1),1))</f>
        <v/>
      </c>
      <c r="AU205" t="str">
        <f>IF($A205="","", INDEX(CS!$B$1:$B$12815,MATCH($A205,CS!$B:$B,0)+COLUMN(D$1),1))</f>
        <v/>
      </c>
      <c r="AV205" t="str">
        <f>IF($A205="","", INDEX(CS!$B$1:$B$12815,MATCH($A205,CS!$B:$B,0)+COLUMN(E$1),1))</f>
        <v/>
      </c>
      <c r="AW205" t="str">
        <f>IF($A205="","", INDEX(CS!$B$1:$B$12815,MATCH($A205,CS!$B:$B,0)+COLUMN(F$1),1))</f>
        <v/>
      </c>
      <c r="AX205" t="str">
        <f>IF($A205="","", INDEX(CS!$B$1:$B$12815,MATCH($A205,CS!$B:$B,0)+COLUMN(G$1),1))</f>
        <v/>
      </c>
      <c r="AY205" t="str">
        <f>IF($A205="","", INDEX(CS!$B$1:$B$12815,MATCH($A205,CS!$B:$B,0)+COLUMN(H$1),1))</f>
        <v/>
      </c>
      <c r="AZ205" t="str">
        <f>IF($A205="","", INDEX(CS!$B$1:$B$12815,MATCH($A205,CS!$B:$B,0)+COLUMN(I$1),1))</f>
        <v/>
      </c>
      <c r="BA205" t="str">
        <f>IF($A205="","", INDEX(CS!$B$1:$B$12815,MATCH($A205,CS!$B:$B,0)+COLUMN(J$1),1))</f>
        <v/>
      </c>
    </row>
    <row r="206" spans="3:53" x14ac:dyDescent="0.4">
      <c r="C206" t="s">
        <v>194</v>
      </c>
      <c r="D206" t="str">
        <f t="shared" si="8"/>
        <v>0/0/0</v>
      </c>
      <c r="E206">
        <v>1</v>
      </c>
      <c r="AR206" t="str">
        <f>IF($A206="","", INDEX(CS!$B$1:$B$12815,MATCH($A206,CS!$B:$B,0)+COLUMN(A$1),1))</f>
        <v/>
      </c>
      <c r="AS206" t="str">
        <f>IF($A206="","", INDEX(CS!$B$1:$B$12815,MATCH($A206,CS!$B:$B,0)+COLUMN(B$1),1))</f>
        <v/>
      </c>
      <c r="AT206" t="str">
        <f>IF($A206="","", INDEX(CS!$B$1:$B$12815,MATCH($A206,CS!$B:$B,0)+COLUMN(C$1),1))</f>
        <v/>
      </c>
      <c r="AU206" t="str">
        <f>IF($A206="","", INDEX(CS!$B$1:$B$12815,MATCH($A206,CS!$B:$B,0)+COLUMN(D$1),1))</f>
        <v/>
      </c>
      <c r="AV206" t="str">
        <f>IF($A206="","", INDEX(CS!$B$1:$B$12815,MATCH($A206,CS!$B:$B,0)+COLUMN(E$1),1))</f>
        <v/>
      </c>
      <c r="AW206" t="str">
        <f>IF($A206="","", INDEX(CS!$B$1:$B$12815,MATCH($A206,CS!$B:$B,0)+COLUMN(F$1),1))</f>
        <v/>
      </c>
      <c r="AX206" t="str">
        <f>IF($A206="","", INDEX(CS!$B$1:$B$12815,MATCH($A206,CS!$B:$B,0)+COLUMN(G$1),1))</f>
        <v/>
      </c>
      <c r="AY206" t="str">
        <f>IF($A206="","", INDEX(CS!$B$1:$B$12815,MATCH($A206,CS!$B:$B,0)+COLUMN(H$1),1))</f>
        <v/>
      </c>
      <c r="AZ206" t="str">
        <f>IF($A206="","", INDEX(CS!$B$1:$B$12815,MATCH($A206,CS!$B:$B,0)+COLUMN(I$1),1))</f>
        <v/>
      </c>
      <c r="BA206" t="str">
        <f>IF($A206="","", INDEX(CS!$B$1:$B$12815,MATCH($A206,CS!$B:$B,0)+COLUMN(J$1),1))</f>
        <v/>
      </c>
    </row>
    <row r="207" spans="3:53" x14ac:dyDescent="0.4">
      <c r="C207" t="s">
        <v>194</v>
      </c>
      <c r="D207" t="str">
        <f t="shared" si="8"/>
        <v>0/0/0</v>
      </c>
      <c r="E207">
        <v>1</v>
      </c>
      <c r="AR207" t="str">
        <f>IF($A207="","", INDEX(CS!$B$1:$B$12815,MATCH($A207,CS!$B:$B,0)+COLUMN(A$1),1))</f>
        <v/>
      </c>
      <c r="AS207" t="str">
        <f>IF($A207="","", INDEX(CS!$B$1:$B$12815,MATCH($A207,CS!$B:$B,0)+COLUMN(B$1),1))</f>
        <v/>
      </c>
      <c r="AT207" t="str">
        <f>IF($A207="","", INDEX(CS!$B$1:$B$12815,MATCH($A207,CS!$B:$B,0)+COLUMN(C$1),1))</f>
        <v/>
      </c>
      <c r="AU207" t="str">
        <f>IF($A207="","", INDEX(CS!$B$1:$B$12815,MATCH($A207,CS!$B:$B,0)+COLUMN(D$1),1))</f>
        <v/>
      </c>
      <c r="AV207" t="str">
        <f>IF($A207="","", INDEX(CS!$B$1:$B$12815,MATCH($A207,CS!$B:$B,0)+COLUMN(E$1),1))</f>
        <v/>
      </c>
      <c r="AW207" t="str">
        <f>IF($A207="","", INDEX(CS!$B$1:$B$12815,MATCH($A207,CS!$B:$B,0)+COLUMN(F$1),1))</f>
        <v/>
      </c>
      <c r="AX207" t="str">
        <f>IF($A207="","", INDEX(CS!$B$1:$B$12815,MATCH($A207,CS!$B:$B,0)+COLUMN(G$1),1))</f>
        <v/>
      </c>
      <c r="AY207" t="str">
        <f>IF($A207="","", INDEX(CS!$B$1:$B$12815,MATCH($A207,CS!$B:$B,0)+COLUMN(H$1),1))</f>
        <v/>
      </c>
      <c r="AZ207" t="str">
        <f>IF($A207="","", INDEX(CS!$B$1:$B$12815,MATCH($A207,CS!$B:$B,0)+COLUMN(I$1),1))</f>
        <v/>
      </c>
      <c r="BA207" t="str">
        <f>IF($A207="","", INDEX(CS!$B$1:$B$12815,MATCH($A207,CS!$B:$B,0)+COLUMN(J$1),1))</f>
        <v/>
      </c>
    </row>
    <row r="208" spans="3:53" x14ac:dyDescent="0.4">
      <c r="C208" t="s">
        <v>194</v>
      </c>
      <c r="D208" t="str">
        <f t="shared" si="8"/>
        <v>0/0/0</v>
      </c>
      <c r="E208">
        <v>1</v>
      </c>
      <c r="AR208" t="str">
        <f>IF($A208="","", INDEX(CS!$B$1:$B$12815,MATCH($A208,CS!$B:$B,0)+COLUMN(A$1),1))</f>
        <v/>
      </c>
      <c r="AS208" t="str">
        <f>IF($A208="","", INDEX(CS!$B$1:$B$12815,MATCH($A208,CS!$B:$B,0)+COLUMN(B$1),1))</f>
        <v/>
      </c>
      <c r="AT208" t="str">
        <f>IF($A208="","", INDEX(CS!$B$1:$B$12815,MATCH($A208,CS!$B:$B,0)+COLUMN(C$1),1))</f>
        <v/>
      </c>
      <c r="AU208" t="str">
        <f>IF($A208="","", INDEX(CS!$B$1:$B$12815,MATCH($A208,CS!$B:$B,0)+COLUMN(D$1),1))</f>
        <v/>
      </c>
      <c r="AV208" t="str">
        <f>IF($A208="","", INDEX(CS!$B$1:$B$12815,MATCH($A208,CS!$B:$B,0)+COLUMN(E$1),1))</f>
        <v/>
      </c>
      <c r="AW208" t="str">
        <f>IF($A208="","", INDEX(CS!$B$1:$B$12815,MATCH($A208,CS!$B:$B,0)+COLUMN(F$1),1))</f>
        <v/>
      </c>
      <c r="AX208" t="str">
        <f>IF($A208="","", INDEX(CS!$B$1:$B$12815,MATCH($A208,CS!$B:$B,0)+COLUMN(G$1),1))</f>
        <v/>
      </c>
      <c r="AY208" t="str">
        <f>IF($A208="","", INDEX(CS!$B$1:$B$12815,MATCH($A208,CS!$B:$B,0)+COLUMN(H$1),1))</f>
        <v/>
      </c>
      <c r="AZ208" t="str">
        <f>IF($A208="","", INDEX(CS!$B$1:$B$12815,MATCH($A208,CS!$B:$B,0)+COLUMN(I$1),1))</f>
        <v/>
      </c>
      <c r="BA208" t="str">
        <f>IF($A208="","", INDEX(CS!$B$1:$B$12815,MATCH($A208,CS!$B:$B,0)+COLUMN(J$1),1))</f>
        <v/>
      </c>
    </row>
    <row r="209" spans="3:53" x14ac:dyDescent="0.4">
      <c r="C209" t="s">
        <v>194</v>
      </c>
      <c r="D209" t="str">
        <f t="shared" si="8"/>
        <v>0/0/0</v>
      </c>
      <c r="E209">
        <v>1</v>
      </c>
      <c r="AR209" t="str">
        <f>IF($A209="","", INDEX(CS!$B$1:$B$12815,MATCH($A209,CS!$B:$B,0)+COLUMN(A$1),1))</f>
        <v/>
      </c>
      <c r="AS209" t="str">
        <f>IF($A209="","", INDEX(CS!$B$1:$B$12815,MATCH($A209,CS!$B:$B,0)+COLUMN(B$1),1))</f>
        <v/>
      </c>
      <c r="AT209" t="str">
        <f>IF($A209="","", INDEX(CS!$B$1:$B$12815,MATCH($A209,CS!$B:$B,0)+COLUMN(C$1),1))</f>
        <v/>
      </c>
      <c r="AU209" t="str">
        <f>IF($A209="","", INDEX(CS!$B$1:$B$12815,MATCH($A209,CS!$B:$B,0)+COLUMN(D$1),1))</f>
        <v/>
      </c>
      <c r="AV209" t="str">
        <f>IF($A209="","", INDEX(CS!$B$1:$B$12815,MATCH($A209,CS!$B:$B,0)+COLUMN(E$1),1))</f>
        <v/>
      </c>
      <c r="AW209" t="str">
        <f>IF($A209="","", INDEX(CS!$B$1:$B$12815,MATCH($A209,CS!$B:$B,0)+COLUMN(F$1),1))</f>
        <v/>
      </c>
      <c r="AX209" t="str">
        <f>IF($A209="","", INDEX(CS!$B$1:$B$12815,MATCH($A209,CS!$B:$B,0)+COLUMN(G$1),1))</f>
        <v/>
      </c>
      <c r="AY209" t="str">
        <f>IF($A209="","", INDEX(CS!$B$1:$B$12815,MATCH($A209,CS!$B:$B,0)+COLUMN(H$1),1))</f>
        <v/>
      </c>
      <c r="AZ209" t="str">
        <f>IF($A209="","", INDEX(CS!$B$1:$B$12815,MATCH($A209,CS!$B:$B,0)+COLUMN(I$1),1))</f>
        <v/>
      </c>
      <c r="BA209" t="str">
        <f>IF($A209="","", INDEX(CS!$B$1:$B$12815,MATCH($A209,CS!$B:$B,0)+COLUMN(J$1),1))</f>
        <v/>
      </c>
    </row>
    <row r="210" spans="3:53" x14ac:dyDescent="0.4">
      <c r="C210" t="s">
        <v>194</v>
      </c>
      <c r="D210" t="str">
        <f t="shared" si="8"/>
        <v>0/0/0</v>
      </c>
      <c r="E210">
        <v>1</v>
      </c>
      <c r="AR210" t="str">
        <f>IF($A210="","", INDEX(CS!$B$1:$B$12815,MATCH($A210,CS!$B:$B,0)+COLUMN(A$1),1))</f>
        <v/>
      </c>
      <c r="AS210" t="str">
        <f>IF($A210="","", INDEX(CS!$B$1:$B$12815,MATCH($A210,CS!$B:$B,0)+COLUMN(B$1),1))</f>
        <v/>
      </c>
      <c r="AT210" t="str">
        <f>IF($A210="","", INDEX(CS!$B$1:$B$12815,MATCH($A210,CS!$B:$B,0)+COLUMN(C$1),1))</f>
        <v/>
      </c>
      <c r="AU210" t="str">
        <f>IF($A210="","", INDEX(CS!$B$1:$B$12815,MATCH($A210,CS!$B:$B,0)+COLUMN(D$1),1))</f>
        <v/>
      </c>
      <c r="AV210" t="str">
        <f>IF($A210="","", INDEX(CS!$B$1:$B$12815,MATCH($A210,CS!$B:$B,0)+COLUMN(E$1),1))</f>
        <v/>
      </c>
      <c r="AW210" t="str">
        <f>IF($A210="","", INDEX(CS!$B$1:$B$12815,MATCH($A210,CS!$B:$B,0)+COLUMN(F$1),1))</f>
        <v/>
      </c>
      <c r="AX210" t="str">
        <f>IF($A210="","", INDEX(CS!$B$1:$B$12815,MATCH($A210,CS!$B:$B,0)+COLUMN(G$1),1))</f>
        <v/>
      </c>
      <c r="AY210" t="str">
        <f>IF($A210="","", INDEX(CS!$B$1:$B$12815,MATCH($A210,CS!$B:$B,0)+COLUMN(H$1),1))</f>
        <v/>
      </c>
      <c r="AZ210" t="str">
        <f>IF($A210="","", INDEX(CS!$B$1:$B$12815,MATCH($A210,CS!$B:$B,0)+COLUMN(I$1),1))</f>
        <v/>
      </c>
      <c r="BA210" t="str">
        <f>IF($A210="","", INDEX(CS!$B$1:$B$12815,MATCH($A210,CS!$B:$B,0)+COLUMN(J$1),1))</f>
        <v/>
      </c>
    </row>
    <row r="211" spans="3:53" x14ac:dyDescent="0.4">
      <c r="C211" t="s">
        <v>194</v>
      </c>
      <c r="D211" t="str">
        <f t="shared" si="8"/>
        <v>0/0/0</v>
      </c>
      <c r="E211">
        <v>1</v>
      </c>
      <c r="AR211" t="str">
        <f>IF($A211="","", INDEX(CS!$B$1:$B$12815,MATCH($A211,CS!$B:$B,0)+COLUMN(A$1),1))</f>
        <v/>
      </c>
      <c r="AS211" t="str">
        <f>IF($A211="","", INDEX(CS!$B$1:$B$12815,MATCH($A211,CS!$B:$B,0)+COLUMN(B$1),1))</f>
        <v/>
      </c>
      <c r="AT211" t="str">
        <f>IF($A211="","", INDEX(CS!$B$1:$B$12815,MATCH($A211,CS!$B:$B,0)+COLUMN(C$1),1))</f>
        <v/>
      </c>
      <c r="AU211" t="str">
        <f>IF($A211="","", INDEX(CS!$B$1:$B$12815,MATCH($A211,CS!$B:$B,0)+COLUMN(D$1),1))</f>
        <v/>
      </c>
      <c r="AV211" t="str">
        <f>IF($A211="","", INDEX(CS!$B$1:$B$12815,MATCH($A211,CS!$B:$B,0)+COLUMN(E$1),1))</f>
        <v/>
      </c>
      <c r="AW211" t="str">
        <f>IF($A211="","", INDEX(CS!$B$1:$B$12815,MATCH($A211,CS!$B:$B,0)+COLUMN(F$1),1))</f>
        <v/>
      </c>
      <c r="AX211" t="str">
        <f>IF($A211="","", INDEX(CS!$B$1:$B$12815,MATCH($A211,CS!$B:$B,0)+COLUMN(G$1),1))</f>
        <v/>
      </c>
      <c r="AY211" t="str">
        <f>IF($A211="","", INDEX(CS!$B$1:$B$12815,MATCH($A211,CS!$B:$B,0)+COLUMN(H$1),1))</f>
        <v/>
      </c>
      <c r="AZ211" t="str">
        <f>IF($A211="","", INDEX(CS!$B$1:$B$12815,MATCH($A211,CS!$B:$B,0)+COLUMN(I$1),1))</f>
        <v/>
      </c>
      <c r="BA211" t="str">
        <f>IF($A211="","", INDEX(CS!$B$1:$B$12815,MATCH($A211,CS!$B:$B,0)+COLUMN(J$1),1))</f>
        <v/>
      </c>
    </row>
    <row r="212" spans="3:53" x14ac:dyDescent="0.4">
      <c r="C212" t="s">
        <v>194</v>
      </c>
      <c r="D212" t="str">
        <f t="shared" si="8"/>
        <v>0/0/0</v>
      </c>
      <c r="E212">
        <v>1</v>
      </c>
      <c r="AR212" t="str">
        <f>IF($A212="","", INDEX(CS!$B$1:$B$12815,MATCH($A212,CS!$B:$B,0)+COLUMN(A$1),1))</f>
        <v/>
      </c>
      <c r="AS212" t="str">
        <f>IF($A212="","", INDEX(CS!$B$1:$B$12815,MATCH($A212,CS!$B:$B,0)+COLUMN(B$1),1))</f>
        <v/>
      </c>
      <c r="AT212" t="str">
        <f>IF($A212="","", INDEX(CS!$B$1:$B$12815,MATCH($A212,CS!$B:$B,0)+COLUMN(C$1),1))</f>
        <v/>
      </c>
      <c r="AU212" t="str">
        <f>IF($A212="","", INDEX(CS!$B$1:$B$12815,MATCH($A212,CS!$B:$B,0)+COLUMN(D$1),1))</f>
        <v/>
      </c>
      <c r="AV212" t="str">
        <f>IF($A212="","", INDEX(CS!$B$1:$B$12815,MATCH($A212,CS!$B:$B,0)+COLUMN(E$1),1))</f>
        <v/>
      </c>
      <c r="AW212" t="str">
        <f>IF($A212="","", INDEX(CS!$B$1:$B$12815,MATCH($A212,CS!$B:$B,0)+COLUMN(F$1),1))</f>
        <v/>
      </c>
      <c r="AX212" t="str">
        <f>IF($A212="","", INDEX(CS!$B$1:$B$12815,MATCH($A212,CS!$B:$B,0)+COLUMN(G$1),1))</f>
        <v/>
      </c>
      <c r="AY212" t="str">
        <f>IF($A212="","", INDEX(CS!$B$1:$B$12815,MATCH($A212,CS!$B:$B,0)+COLUMN(H$1),1))</f>
        <v/>
      </c>
      <c r="AZ212" t="str">
        <f>IF($A212="","", INDEX(CS!$B$1:$B$12815,MATCH($A212,CS!$B:$B,0)+COLUMN(I$1),1))</f>
        <v/>
      </c>
      <c r="BA212" t="str">
        <f>IF($A212="","", INDEX(CS!$B$1:$B$12815,MATCH($A212,CS!$B:$B,0)+COLUMN(J$1),1))</f>
        <v/>
      </c>
    </row>
    <row r="213" spans="3:53" x14ac:dyDescent="0.4">
      <c r="C213" t="s">
        <v>194</v>
      </c>
      <c r="D213" t="str">
        <f t="shared" si="8"/>
        <v>0/0/0</v>
      </c>
      <c r="E213">
        <v>1</v>
      </c>
      <c r="AR213" t="str">
        <f>IF($A213="","", INDEX(CS!$B$1:$B$12815,MATCH($A213,CS!$B:$B,0)+COLUMN(A$1),1))</f>
        <v/>
      </c>
      <c r="AS213" t="str">
        <f>IF($A213="","", INDEX(CS!$B$1:$B$12815,MATCH($A213,CS!$B:$B,0)+COLUMN(B$1),1))</f>
        <v/>
      </c>
      <c r="AT213" t="str">
        <f>IF($A213="","", INDEX(CS!$B$1:$B$12815,MATCH($A213,CS!$B:$B,0)+COLUMN(C$1),1))</f>
        <v/>
      </c>
      <c r="AU213" t="str">
        <f>IF($A213="","", INDEX(CS!$B$1:$B$12815,MATCH($A213,CS!$B:$B,0)+COLUMN(D$1),1))</f>
        <v/>
      </c>
      <c r="AV213" t="str">
        <f>IF($A213="","", INDEX(CS!$B$1:$B$12815,MATCH($A213,CS!$B:$B,0)+COLUMN(E$1),1))</f>
        <v/>
      </c>
      <c r="AW213" t="str">
        <f>IF($A213="","", INDEX(CS!$B$1:$B$12815,MATCH($A213,CS!$B:$B,0)+COLUMN(F$1),1))</f>
        <v/>
      </c>
      <c r="AX213" t="str">
        <f>IF($A213="","", INDEX(CS!$B$1:$B$12815,MATCH($A213,CS!$B:$B,0)+COLUMN(G$1),1))</f>
        <v/>
      </c>
      <c r="AY213" t="str">
        <f>IF($A213="","", INDEX(CS!$B$1:$B$12815,MATCH($A213,CS!$B:$B,0)+COLUMN(H$1),1))</f>
        <v/>
      </c>
      <c r="AZ213" t="str">
        <f>IF($A213="","", INDEX(CS!$B$1:$B$12815,MATCH($A213,CS!$B:$B,0)+COLUMN(I$1),1))</f>
        <v/>
      </c>
      <c r="BA213" t="str">
        <f>IF($A213="","", INDEX(CS!$B$1:$B$12815,MATCH($A213,CS!$B:$B,0)+COLUMN(J$1),1))</f>
        <v/>
      </c>
    </row>
    <row r="214" spans="3:53" x14ac:dyDescent="0.4">
      <c r="C214" t="s">
        <v>194</v>
      </c>
      <c r="D214" t="str">
        <f t="shared" si="8"/>
        <v>0/0/0</v>
      </c>
      <c r="E214">
        <v>1</v>
      </c>
      <c r="AR214" t="str">
        <f>IF($A214="","", INDEX(CS!$B$1:$B$12815,MATCH($A214,CS!$B:$B,0)+COLUMN(A$1),1))</f>
        <v/>
      </c>
      <c r="AS214" t="str">
        <f>IF($A214="","", INDEX(CS!$B$1:$B$12815,MATCH($A214,CS!$B:$B,0)+COLUMN(B$1),1))</f>
        <v/>
      </c>
      <c r="AT214" t="str">
        <f>IF($A214="","", INDEX(CS!$B$1:$B$12815,MATCH($A214,CS!$B:$B,0)+COLUMN(C$1),1))</f>
        <v/>
      </c>
      <c r="AU214" t="str">
        <f>IF($A214="","", INDEX(CS!$B$1:$B$12815,MATCH($A214,CS!$B:$B,0)+COLUMN(D$1),1))</f>
        <v/>
      </c>
      <c r="AV214" t="str">
        <f>IF($A214="","", INDEX(CS!$B$1:$B$12815,MATCH($A214,CS!$B:$B,0)+COLUMN(E$1),1))</f>
        <v/>
      </c>
      <c r="AW214" t="str">
        <f>IF($A214="","", INDEX(CS!$B$1:$B$12815,MATCH($A214,CS!$B:$B,0)+COLUMN(F$1),1))</f>
        <v/>
      </c>
      <c r="AX214" t="str">
        <f>IF($A214="","", INDEX(CS!$B$1:$B$12815,MATCH($A214,CS!$B:$B,0)+COLUMN(G$1),1))</f>
        <v/>
      </c>
      <c r="AY214" t="str">
        <f>IF($A214="","", INDEX(CS!$B$1:$B$12815,MATCH($A214,CS!$B:$B,0)+COLUMN(H$1),1))</f>
        <v/>
      </c>
      <c r="AZ214" t="str">
        <f>IF($A214="","", INDEX(CS!$B$1:$B$12815,MATCH($A214,CS!$B:$B,0)+COLUMN(I$1),1))</f>
        <v/>
      </c>
      <c r="BA214" t="str">
        <f>IF($A214="","", INDEX(CS!$B$1:$B$12815,MATCH($A214,CS!$B:$B,0)+COLUMN(J$1),1))</f>
        <v/>
      </c>
    </row>
    <row r="215" spans="3:53" x14ac:dyDescent="0.4">
      <c r="C215" t="s">
        <v>194</v>
      </c>
      <c r="D215" t="str">
        <f t="shared" si="8"/>
        <v>0/0/0</v>
      </c>
      <c r="E215">
        <v>1</v>
      </c>
      <c r="AR215" t="str">
        <f>IF($A215="","", INDEX(CS!$B$1:$B$12815,MATCH($A215,CS!$B:$B,0)+COLUMN(A$1),1))</f>
        <v/>
      </c>
      <c r="AS215" t="str">
        <f>IF($A215="","", INDEX(CS!$B$1:$B$12815,MATCH($A215,CS!$B:$B,0)+COLUMN(B$1),1))</f>
        <v/>
      </c>
      <c r="AT215" t="str">
        <f>IF($A215="","", INDEX(CS!$B$1:$B$12815,MATCH($A215,CS!$B:$B,0)+COLUMN(C$1),1))</f>
        <v/>
      </c>
      <c r="AU215" t="str">
        <f>IF($A215="","", INDEX(CS!$B$1:$B$12815,MATCH($A215,CS!$B:$B,0)+COLUMN(D$1),1))</f>
        <v/>
      </c>
      <c r="AV215" t="str">
        <f>IF($A215="","", INDEX(CS!$B$1:$B$12815,MATCH($A215,CS!$B:$B,0)+COLUMN(E$1),1))</f>
        <v/>
      </c>
      <c r="AW215" t="str">
        <f>IF($A215="","", INDEX(CS!$B$1:$B$12815,MATCH($A215,CS!$B:$B,0)+COLUMN(F$1),1))</f>
        <v/>
      </c>
      <c r="AX215" t="str">
        <f>IF($A215="","", INDEX(CS!$B$1:$B$12815,MATCH($A215,CS!$B:$B,0)+COLUMN(G$1),1))</f>
        <v/>
      </c>
      <c r="AY215" t="str">
        <f>IF($A215="","", INDEX(CS!$B$1:$B$12815,MATCH($A215,CS!$B:$B,0)+COLUMN(H$1),1))</f>
        <v/>
      </c>
      <c r="AZ215" t="str">
        <f>IF($A215="","", INDEX(CS!$B$1:$B$12815,MATCH($A215,CS!$B:$B,0)+COLUMN(I$1),1))</f>
        <v/>
      </c>
      <c r="BA215" t="str">
        <f>IF($A215="","", INDEX(CS!$B$1:$B$12815,MATCH($A215,CS!$B:$B,0)+COLUMN(J$1),1))</f>
        <v/>
      </c>
    </row>
  </sheetData>
  <mergeCells count="15">
    <mergeCell ref="AD14:AS14"/>
    <mergeCell ref="AD15:AS15"/>
    <mergeCell ref="AD16:AS16"/>
    <mergeCell ref="AD8:AS8"/>
    <mergeCell ref="AD9:AS9"/>
    <mergeCell ref="AD10:AS10"/>
    <mergeCell ref="AD11:AS11"/>
    <mergeCell ref="AD12:AS12"/>
    <mergeCell ref="AD13:AS13"/>
    <mergeCell ref="AD7:AS7"/>
    <mergeCell ref="AD2:AS2"/>
    <mergeCell ref="AD3:AS3"/>
    <mergeCell ref="AD4:AS4"/>
    <mergeCell ref="AD5:AS5"/>
    <mergeCell ref="AD6:AS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E12"/>
  <sheetViews>
    <sheetView workbookViewId="0"/>
  </sheetViews>
  <sheetFormatPr defaultRowHeight="18.75" x14ac:dyDescent="0.4"/>
  <cols>
    <col min="1" max="1" width="7.125" bestFit="1" customWidth="1"/>
    <col min="2" max="2" width="15" bestFit="1" customWidth="1"/>
    <col min="3" max="3" width="8.5" customWidth="1"/>
    <col min="4" max="4" width="5.625" customWidth="1"/>
  </cols>
  <sheetData>
    <row r="1" spans="1:5" x14ac:dyDescent="0.4">
      <c r="A1" t="s">
        <v>908</v>
      </c>
      <c r="B1" t="s">
        <v>941</v>
      </c>
      <c r="C1" t="s">
        <v>950</v>
      </c>
      <c r="D1" t="s">
        <v>1037</v>
      </c>
      <c r="E1" t="s">
        <v>1038</v>
      </c>
    </row>
    <row r="2" spans="1:5" x14ac:dyDescent="0.4">
      <c r="A2" t="s">
        <v>930</v>
      </c>
      <c r="B2" t="s">
        <v>55</v>
      </c>
      <c r="C2">
        <v>50</v>
      </c>
      <c r="D2" t="s">
        <v>1040</v>
      </c>
      <c r="E2">
        <v>0</v>
      </c>
    </row>
    <row r="3" spans="1:5" x14ac:dyDescent="0.4">
      <c r="A3" t="s">
        <v>931</v>
      </c>
      <c r="B3" t="s">
        <v>57</v>
      </c>
      <c r="C3">
        <v>50</v>
      </c>
      <c r="D3" t="s">
        <v>1039</v>
      </c>
      <c r="E3">
        <v>0</v>
      </c>
    </row>
    <row r="4" spans="1:5" x14ac:dyDescent="0.4">
      <c r="A4" t="s">
        <v>932</v>
      </c>
      <c r="B4" t="s">
        <v>59</v>
      </c>
      <c r="C4">
        <v>50</v>
      </c>
      <c r="D4" t="s">
        <v>1041</v>
      </c>
      <c r="E4">
        <v>1</v>
      </c>
    </row>
    <row r="5" spans="1:5" x14ac:dyDescent="0.4">
      <c r="A5" t="s">
        <v>933</v>
      </c>
      <c r="B5" t="s">
        <v>53</v>
      </c>
      <c r="C5">
        <v>60</v>
      </c>
      <c r="D5" t="s">
        <v>1040</v>
      </c>
      <c r="E5">
        <v>1</v>
      </c>
    </row>
    <row r="6" spans="1:5" x14ac:dyDescent="0.4">
      <c r="A6" t="s">
        <v>934</v>
      </c>
      <c r="B6" t="s">
        <v>64</v>
      </c>
      <c r="C6">
        <v>15</v>
      </c>
      <c r="D6" t="s">
        <v>1045</v>
      </c>
      <c r="E6">
        <v>1</v>
      </c>
    </row>
    <row r="7" spans="1:5" x14ac:dyDescent="0.4">
      <c r="A7" t="s">
        <v>935</v>
      </c>
      <c r="B7" t="s">
        <v>42</v>
      </c>
      <c r="C7">
        <v>12</v>
      </c>
      <c r="D7" t="s">
        <v>1042</v>
      </c>
      <c r="E7">
        <v>1</v>
      </c>
    </row>
    <row r="8" spans="1:5" x14ac:dyDescent="0.4">
      <c r="A8" t="s">
        <v>936</v>
      </c>
      <c r="B8" t="s">
        <v>66</v>
      </c>
      <c r="C8">
        <v>4</v>
      </c>
      <c r="D8" t="s">
        <v>1044</v>
      </c>
      <c r="E8">
        <v>2</v>
      </c>
    </row>
    <row r="9" spans="1:5" x14ac:dyDescent="0.4">
      <c r="A9" t="s">
        <v>937</v>
      </c>
      <c r="B9" t="s">
        <v>44</v>
      </c>
      <c r="C9">
        <v>90</v>
      </c>
      <c r="D9" t="s">
        <v>1043</v>
      </c>
      <c r="E9">
        <v>0</v>
      </c>
    </row>
    <row r="10" spans="1:5" x14ac:dyDescent="0.4">
      <c r="A10" t="s">
        <v>938</v>
      </c>
      <c r="B10" t="s">
        <v>46</v>
      </c>
      <c r="C10">
        <v>5</v>
      </c>
      <c r="D10" t="s">
        <v>1047</v>
      </c>
      <c r="E10">
        <v>3</v>
      </c>
    </row>
    <row r="11" spans="1:5" x14ac:dyDescent="0.4">
      <c r="A11" t="s">
        <v>939</v>
      </c>
      <c r="B11" t="s">
        <v>48</v>
      </c>
      <c r="C11">
        <v>5</v>
      </c>
      <c r="D11" t="s">
        <v>1046</v>
      </c>
      <c r="E11">
        <v>3</v>
      </c>
    </row>
    <row r="12" spans="1:5" x14ac:dyDescent="0.4">
      <c r="A12" t="s">
        <v>940</v>
      </c>
      <c r="B12" t="s">
        <v>50</v>
      </c>
      <c r="C12">
        <v>3</v>
      </c>
      <c r="D12" t="s">
        <v>1048</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1004</v>
      </c>
      <c r="B12" s="17" t="s">
        <v>243</v>
      </c>
    </row>
    <row r="13" spans="1:2" ht="37.5" x14ac:dyDescent="0.4">
      <c r="A13" t="s">
        <v>231</v>
      </c>
      <c r="B13" s="17" t="s">
        <v>244</v>
      </c>
    </row>
    <row r="14" spans="1:2" ht="37.5" x14ac:dyDescent="0.4">
      <c r="A14" t="s">
        <v>5</v>
      </c>
      <c r="B14" s="17" t="s">
        <v>245</v>
      </c>
    </row>
    <row r="15" spans="1:2" ht="37.5" x14ac:dyDescent="0.4">
      <c r="A15" t="s">
        <v>1057</v>
      </c>
      <c r="B15" s="17" t="s">
        <v>1000</v>
      </c>
    </row>
    <row r="16" spans="1:2" ht="37.5" x14ac:dyDescent="0.4">
      <c r="A16" t="s">
        <v>6</v>
      </c>
      <c r="B16" s="17" t="s">
        <v>999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workbookViewId="0">
      <selection activeCell="G17" sqref="G17"/>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711</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1057</v>
      </c>
      <c r="BA1" s="29" t="s">
        <v>6</v>
      </c>
      <c r="BB1" s="20" t="s">
        <v>146</v>
      </c>
      <c r="BC1" s="20" t="s">
        <v>178</v>
      </c>
      <c r="BD1" s="20" t="s">
        <v>712</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872</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workbookViewId="0"/>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479</v>
      </c>
      <c r="B1" s="46" t="s">
        <v>666</v>
      </c>
      <c r="C1" s="47" t="s">
        <v>1035</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1007</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1057</v>
      </c>
      <c r="AX1" s="29" t="s">
        <v>6</v>
      </c>
      <c r="AZ1" s="3" t="s">
        <v>479</v>
      </c>
    </row>
    <row r="2" spans="1:52" ht="27" x14ac:dyDescent="0.4">
      <c r="A2" s="48" t="s">
        <v>504</v>
      </c>
      <c r="B2" s="46" t="s">
        <v>798</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504</v>
      </c>
    </row>
    <row r="3" spans="1:52" ht="27" x14ac:dyDescent="0.4">
      <c r="A3" s="48" t="s">
        <v>505</v>
      </c>
      <c r="B3" s="46" t="s">
        <v>1001</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505</v>
      </c>
    </row>
    <row r="4" spans="1:52" ht="27" x14ac:dyDescent="0.4">
      <c r="A4" s="48" t="s">
        <v>506</v>
      </c>
      <c r="B4" s="46" t="s">
        <v>813</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506</v>
      </c>
    </row>
    <row r="5" spans="1:52" ht="27" x14ac:dyDescent="0.4">
      <c r="A5" s="48" t="s">
        <v>507</v>
      </c>
      <c r="B5" s="46" t="s">
        <v>814</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507</v>
      </c>
    </row>
    <row r="6" spans="1:52" ht="27" x14ac:dyDescent="0.4">
      <c r="A6" s="48" t="s">
        <v>508</v>
      </c>
      <c r="B6" s="46" t="s">
        <v>799</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508</v>
      </c>
    </row>
    <row r="7" spans="1:52" ht="27" x14ac:dyDescent="0.4">
      <c r="A7" s="48" t="s">
        <v>509</v>
      </c>
      <c r="B7" s="46" t="s">
        <v>800</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509</v>
      </c>
    </row>
    <row r="8" spans="1:52" ht="27" x14ac:dyDescent="0.4">
      <c r="A8" s="48" t="s">
        <v>510</v>
      </c>
      <c r="B8" s="46" t="s">
        <v>801</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510</v>
      </c>
    </row>
    <row r="9" spans="1:52" ht="27" x14ac:dyDescent="0.4">
      <c r="A9" s="48" t="s">
        <v>511</v>
      </c>
      <c r="B9" s="46" t="s">
        <v>802</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511</v>
      </c>
    </row>
    <row r="10" spans="1:52" ht="27" x14ac:dyDescent="0.4">
      <c r="A10" s="48" t="s">
        <v>512</v>
      </c>
      <c r="B10" s="46" t="s">
        <v>803</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512</v>
      </c>
    </row>
    <row r="11" spans="1:52" ht="27" x14ac:dyDescent="0.4">
      <c r="A11" s="48" t="s">
        <v>1056</v>
      </c>
      <c r="B11" s="46" t="s">
        <v>804</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513</v>
      </c>
    </row>
    <row r="12" spans="1:52" ht="27" x14ac:dyDescent="0.4">
      <c r="A12" s="48" t="s">
        <v>514</v>
      </c>
      <c r="B12" s="46" t="s">
        <v>805</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514</v>
      </c>
    </row>
    <row r="13" spans="1:52" ht="27" x14ac:dyDescent="0.4">
      <c r="A13" s="48" t="s">
        <v>515</v>
      </c>
      <c r="B13" s="46" t="s">
        <v>806</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515</v>
      </c>
    </row>
    <row r="14" spans="1:52" ht="27" x14ac:dyDescent="0.4">
      <c r="A14" s="48" t="s">
        <v>516</v>
      </c>
      <c r="B14" s="46" t="s">
        <v>807</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516</v>
      </c>
    </row>
    <row r="15" spans="1:52" ht="27" x14ac:dyDescent="0.4">
      <c r="A15" s="48" t="s">
        <v>786</v>
      </c>
      <c r="B15" s="46" t="s">
        <v>1036</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786</v>
      </c>
    </row>
    <row r="16" spans="1:52" ht="54" x14ac:dyDescent="0.4">
      <c r="A16" s="48" t="s">
        <v>928</v>
      </c>
      <c r="B16" s="46" t="s">
        <v>929</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1002</v>
      </c>
    </row>
    <row r="18" spans="1:41" ht="27" x14ac:dyDescent="0.4">
      <c r="A18" s="49" t="s">
        <v>600</v>
      </c>
      <c r="B18" s="50" t="s">
        <v>808</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809</v>
      </c>
      <c r="B19" s="46" t="s">
        <v>810</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811</v>
      </c>
      <c r="B20" s="46" t="s">
        <v>812</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selection activeCell="A35" sqref="A35:XFD35"/>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6" x14ac:dyDescent="0.4">
      <c r="A1" s="10" t="s">
        <v>787</v>
      </c>
      <c r="B1" s="10" t="s">
        <v>788</v>
      </c>
      <c r="C1" s="2" t="s">
        <v>923</v>
      </c>
      <c r="D1" s="2" t="s">
        <v>908</v>
      </c>
      <c r="E1" s="2" t="s">
        <v>863</v>
      </c>
      <c r="F1" s="51" t="s">
        <v>790</v>
      </c>
      <c r="G1" s="51" t="s">
        <v>789</v>
      </c>
      <c r="H1" s="51" t="s">
        <v>924</v>
      </c>
      <c r="I1" s="10" t="s">
        <v>791</v>
      </c>
      <c r="J1" s="10" t="s">
        <v>316</v>
      </c>
      <c r="K1" s="10" t="s">
        <v>797</v>
      </c>
      <c r="L1" s="10" t="s">
        <v>794</v>
      </c>
      <c r="M1" s="10" t="s">
        <v>795</v>
      </c>
      <c r="N1" s="10" t="s">
        <v>796</v>
      </c>
      <c r="O1" s="10" t="s">
        <v>792</v>
      </c>
      <c r="P1" s="10" t="s">
        <v>793</v>
      </c>
    </row>
    <row r="2" spans="1:16" x14ac:dyDescent="0.4">
      <c r="A2" s="2">
        <v>1</v>
      </c>
      <c r="B2" s="10">
        <v>2</v>
      </c>
      <c r="C2">
        <v>3</v>
      </c>
      <c r="E2" s="10">
        <v>4</v>
      </c>
      <c r="F2">
        <v>5</v>
      </c>
      <c r="G2" s="10">
        <v>6</v>
      </c>
      <c r="H2">
        <v>5</v>
      </c>
      <c r="I2">
        <v>7</v>
      </c>
      <c r="J2" s="10">
        <v>8</v>
      </c>
      <c r="K2">
        <v>9</v>
      </c>
      <c r="L2" s="10">
        <v>10</v>
      </c>
      <c r="M2">
        <v>11</v>
      </c>
      <c r="N2" s="10">
        <v>12</v>
      </c>
      <c r="O2">
        <v>13</v>
      </c>
      <c r="P2" s="10">
        <v>14</v>
      </c>
    </row>
    <row r="3" spans="1:16" x14ac:dyDescent="0.4">
      <c r="A3" s="2" t="s">
        <v>504</v>
      </c>
      <c r="B3" s="10" t="s">
        <v>199</v>
      </c>
      <c r="C3" t="str">
        <f>_xlfn.LET(
 _xlpm.dOK,COUNTIF(クラス!A:A,D3)&gt;0,
 _xlpm.eOK,COUNTIF(クラス!A:A,E3)&gt;0,
 IF(_xlpm.dOK,"○","×") &amp; IF(_xlpm.eOK,"○","×")
)</f>
        <v>○×</v>
      </c>
      <c r="D3" t="s">
        <v>200</v>
      </c>
      <c r="F3">
        <v>5</v>
      </c>
      <c r="G3">
        <v>8</v>
      </c>
    </row>
    <row r="4" spans="1:16" outlineLevel="1" x14ac:dyDescent="0.4">
      <c r="A4" s="2" t="s">
        <v>504</v>
      </c>
      <c r="B4" s="10" t="s">
        <v>196</v>
      </c>
      <c r="C4" t="str">
        <f>_xlfn.LET(
 _xlpm.dOK,COUNTIF(クラス!A:A,D4)&gt;0,
 _xlpm.eOK,COUNTIF(クラス!A:A,E4)&gt;0,
 IF(_xlpm.dOK,"○","×") &amp; IF(_xlpm.eOK,"○","×")
)</f>
        <v>○×</v>
      </c>
      <c r="D4" t="s">
        <v>196</v>
      </c>
      <c r="F4">
        <v>4</v>
      </c>
      <c r="G4">
        <v>7</v>
      </c>
    </row>
    <row r="5" spans="1:16" outlineLevel="1" x14ac:dyDescent="0.4">
      <c r="A5" s="2" t="s">
        <v>504</v>
      </c>
      <c r="B5" s="10" t="s">
        <v>815</v>
      </c>
      <c r="C5" t="str">
        <f>_xlfn.LET(
 _xlpm.dOK,COUNTIF(クラス!A:A,D5)&gt;0,
 _xlpm.eOK,COUNTIF(クラス!A:A,E5)&gt;0,
 IF(_xlpm.dOK,"○","×") &amp; IF(_xlpm.eOK,"○","×")
)</f>
        <v>××</v>
      </c>
    </row>
    <row r="6" spans="1:16" outlineLevel="1" x14ac:dyDescent="0.4">
      <c r="A6" s="2" t="s">
        <v>504</v>
      </c>
      <c r="B6" s="10" t="s">
        <v>816</v>
      </c>
      <c r="C6" t="str">
        <f>_xlfn.LET(
 _xlpm.dOK,COUNTIF(クラス!A:A,D6)&gt;0,
 _xlpm.eOK,COUNTIF(クラス!A:A,E6)&gt;0,
 IF(_xlpm.dOK,"○","×") &amp; IF(_xlpm.eOK,"○","×")
)</f>
        <v>××</v>
      </c>
    </row>
    <row r="7" spans="1:16" outlineLevel="1" x14ac:dyDescent="0.4">
      <c r="A7" s="2" t="s">
        <v>504</v>
      </c>
      <c r="B7" s="10" t="s">
        <v>817</v>
      </c>
      <c r="C7" t="str">
        <f>_xlfn.LET(
 _xlpm.dOK,COUNTIF(クラス!A:A,D7)&gt;0,
 _xlpm.eOK,COUNTIF(クラス!A:A,E7)&gt;0,
 IF(_xlpm.dOK,"○","×") &amp; IF(_xlpm.eOK,"○","×")
)</f>
        <v>××</v>
      </c>
    </row>
    <row r="8" spans="1:16" ht="36" outlineLevel="1" x14ac:dyDescent="0.4">
      <c r="A8" s="2" t="s">
        <v>504</v>
      </c>
      <c r="B8" s="10" t="s">
        <v>818</v>
      </c>
      <c r="C8" t="str">
        <f>_xlfn.LET(
 _xlpm.dOK,COUNTIF(クラス!A:A,D8)&gt;0,
 _xlpm.eOK,COUNTIF(クラス!A:A,E8)&gt;0,
 IF(_xlpm.dOK,"○","×") &amp; IF(_xlpm.eOK,"○","×")
)</f>
        <v>××</v>
      </c>
    </row>
    <row r="9" spans="1:16" outlineLevel="1" x14ac:dyDescent="0.4">
      <c r="A9" s="2" t="s">
        <v>504</v>
      </c>
      <c r="B9" s="10" t="s">
        <v>822</v>
      </c>
      <c r="C9" t="str">
        <f>_xlfn.LET(
 _xlpm.dOK,COUNTIF(クラス!A:A,D9)&gt;0,
 _xlpm.eOK,COUNTIF(クラス!A:A,E9)&gt;0,
 IF(_xlpm.dOK,"○","×") &amp; IF(_xlpm.eOK,"○","×")
)</f>
        <v>○×</v>
      </c>
      <c r="D9" t="s">
        <v>907</v>
      </c>
      <c r="F9">
        <v>15</v>
      </c>
      <c r="G9">
        <v>20</v>
      </c>
    </row>
    <row r="10" spans="1:16" outlineLevel="1" x14ac:dyDescent="0.4">
      <c r="C10" t="str">
        <f>_xlfn.LET(
 _xlpm.dOK,COUNTIF(クラス!A:A,D10)&gt;0,
 _xlpm.eOK,COUNTIF(クラス!A:A,E10)&gt;0,
 IF(_xlpm.dOK,"○","×") &amp; IF(_xlpm.eOK,"○","×")
)</f>
        <v>××</v>
      </c>
    </row>
    <row r="11" spans="1:16" outlineLevel="1" x14ac:dyDescent="0.4">
      <c r="A11" s="2" t="s">
        <v>511</v>
      </c>
      <c r="B11" s="10" t="s">
        <v>841</v>
      </c>
      <c r="C11" t="str">
        <f>_xlfn.LET(
 _xlpm.dOK,COUNTIF(クラス!A:A,D11)&gt;0,
 _xlpm.eOK,COUNTIF(クラス!A:A,E11)&gt;0,
 IF(_xlpm.dOK,"○","×") &amp; IF(_xlpm.eOK,"○","×")
)</f>
        <v>××</v>
      </c>
    </row>
    <row r="12" spans="1:16" outlineLevel="1" x14ac:dyDescent="0.4">
      <c r="A12" s="2" t="s">
        <v>511</v>
      </c>
      <c r="B12" s="10" t="s">
        <v>842</v>
      </c>
      <c r="C12" t="str">
        <f>_xlfn.LET(
 _xlpm.dOK,COUNTIF(クラス!A:A,D12)&gt;0,
 _xlpm.eOK,COUNTIF(クラス!A:A,E12)&gt;0,
 IF(_xlpm.dOK,"○","×") &amp; IF(_xlpm.eOK,"○","×")
)</f>
        <v>××</v>
      </c>
    </row>
    <row r="13" spans="1:16" outlineLevel="1" x14ac:dyDescent="0.4">
      <c r="A13" s="2" t="s">
        <v>511</v>
      </c>
      <c r="B13" s="10" t="s">
        <v>843</v>
      </c>
      <c r="C13" t="str">
        <f>_xlfn.LET(
 _xlpm.dOK,COUNTIF(クラス!A:A,D13)&gt;0,
 _xlpm.eOK,COUNTIF(クラス!A:A,E13)&gt;0,
 IF(_xlpm.dOK,"○","×") &amp; IF(_xlpm.eOK,"○","×")
)</f>
        <v>××</v>
      </c>
    </row>
    <row r="14" spans="1:16" outlineLevel="1" x14ac:dyDescent="0.4">
      <c r="A14" s="2" t="s">
        <v>511</v>
      </c>
      <c r="B14" s="10" t="s">
        <v>844</v>
      </c>
      <c r="C14" t="str">
        <f>_xlfn.LET(
 _xlpm.dOK,COUNTIF(クラス!A:A,D14)&gt;0,
 _xlpm.eOK,COUNTIF(クラス!A:A,E14)&gt;0,
 IF(_xlpm.dOK,"○","×") &amp; IF(_xlpm.eOK,"○","×")
)</f>
        <v>××</v>
      </c>
    </row>
    <row r="15" spans="1:16" ht="36" outlineLevel="1" x14ac:dyDescent="0.4">
      <c r="A15" s="2" t="s">
        <v>511</v>
      </c>
      <c r="B15" s="10" t="s">
        <v>845</v>
      </c>
      <c r="C15" t="str">
        <f>_xlfn.LET(
 _xlpm.dOK,COUNTIF(クラス!A:A,D15)&gt;0,
 _xlpm.eOK,COUNTIF(クラス!A:A,E15)&gt;0,
 IF(_xlpm.dOK,"○","×") &amp; IF(_xlpm.eOK,"○","×")
)</f>
        <v>××</v>
      </c>
    </row>
    <row r="16" spans="1:16" outlineLevel="1" x14ac:dyDescent="0.4">
      <c r="A16" s="2" t="s">
        <v>511</v>
      </c>
      <c r="B16" s="10" t="s">
        <v>846</v>
      </c>
      <c r="C16" t="str">
        <f>_xlfn.LET(
 _xlpm.dOK,COUNTIF(クラス!A:A,D16)&gt;0,
 _xlpm.eOK,COUNTIF(クラス!A:A,E16)&gt;0,
 IF(_xlpm.dOK,"○","×") &amp; IF(_xlpm.eOK,"○","×")
)</f>
        <v>××</v>
      </c>
    </row>
    <row r="17" spans="1:7" ht="36" outlineLevel="1" x14ac:dyDescent="0.4">
      <c r="A17" s="2" t="s">
        <v>511</v>
      </c>
      <c r="B17" s="10" t="s">
        <v>847</v>
      </c>
      <c r="C17" t="str">
        <f>_xlfn.LET(
 _xlpm.dOK,COUNTIF(クラス!A:A,D17)&gt;0,
 _xlpm.eOK,COUNTIF(クラス!A:A,E17)&gt;0,
 IF(_xlpm.dOK,"○","×") &amp; IF(_xlpm.eOK,"○","×")
)</f>
        <v>××</v>
      </c>
    </row>
    <row r="18" spans="1:7" outlineLevel="1" x14ac:dyDescent="0.4">
      <c r="A18" s="2" t="s">
        <v>511</v>
      </c>
      <c r="B18" s="10" t="s">
        <v>848</v>
      </c>
      <c r="C18" t="str">
        <f>_xlfn.LET(
 _xlpm.dOK,COUNTIF(クラス!A:A,D18)&gt;0,
 _xlpm.eOK,COUNTIF(クラス!A:A,E18)&gt;0,
 IF(_xlpm.dOK,"○","×") &amp; IF(_xlpm.eOK,"○","×")
)</f>
        <v>××</v>
      </c>
    </row>
    <row r="19" spans="1:7" outlineLevel="1" x14ac:dyDescent="0.4">
      <c r="A19" s="2" t="s">
        <v>511</v>
      </c>
      <c r="B19" s="10" t="s">
        <v>849</v>
      </c>
      <c r="C19" t="str">
        <f>_xlfn.LET(
 _xlpm.dOK,COUNTIF(クラス!A:A,D19)&gt;0,
 _xlpm.eOK,COUNTIF(クラス!A:A,E19)&gt;0,
 IF(_xlpm.dOK,"○","×") &amp; IF(_xlpm.eOK,"○","×")
)</f>
        <v>××</v>
      </c>
    </row>
    <row r="20" spans="1:7" outlineLevel="1" x14ac:dyDescent="0.4">
      <c r="C20" t="str">
        <f>_xlfn.LET(
 _xlpm.dOK,COUNTIF(クラス!A:A,D20)&gt;0,
 _xlpm.eOK,COUNTIF(クラス!A:A,E20)&gt;0,
 IF(_xlpm.dOK,"○","×") &amp; IF(_xlpm.eOK,"○","×")
)</f>
        <v>××</v>
      </c>
    </row>
    <row r="21" spans="1:7" x14ac:dyDescent="0.4">
      <c r="C21" t="str">
        <f>_xlfn.LET(
 _xlpm.dOK,COUNTIF(クラス!A:A,D21)&gt;0,
 _xlpm.eOK,COUNTIF(クラス!A:A,E21)&gt;0,
 IF(_xlpm.dOK,"○","×") &amp; IF(_xlpm.eOK,"○","×")
)</f>
        <v>××</v>
      </c>
    </row>
    <row r="22" spans="1:7" x14ac:dyDescent="0.4">
      <c r="A22" s="2" t="s">
        <v>505</v>
      </c>
      <c r="B22" s="10" t="s">
        <v>823</v>
      </c>
      <c r="C22" t="str">
        <f>_xlfn.LET(
 _xlpm.dOK,COUNTIF(クラス!A:A,D22)&gt;0,
 _xlpm.eOK,COUNTIF(クラス!A:A,E22)&gt;0,
 IF(_xlpm.dOK,"○","×") &amp; IF(_xlpm.eOK,"○","×")
)</f>
        <v>××</v>
      </c>
    </row>
    <row r="23" spans="1:7" outlineLevel="1" x14ac:dyDescent="0.4">
      <c r="A23" s="2" t="s">
        <v>505</v>
      </c>
      <c r="B23" s="10" t="s">
        <v>824</v>
      </c>
      <c r="C23" t="str">
        <f>_xlfn.LET(
 _xlpm.dOK,COUNTIF(クラス!A:A,D23)&gt;0,
 _xlpm.eOK,COUNTIF(クラス!A:A,E23)&gt;0,
 IF(_xlpm.dOK,"○","×") &amp; IF(_xlpm.eOK,"○","×")
)</f>
        <v>××</v>
      </c>
    </row>
    <row r="24" spans="1:7" outlineLevel="1" x14ac:dyDescent="0.4">
      <c r="A24" s="2" t="s">
        <v>505</v>
      </c>
      <c r="B24" s="10" t="s">
        <v>825</v>
      </c>
      <c r="C24" t="str">
        <f>_xlfn.LET(
 _xlpm.dOK,COUNTIF(クラス!A:A,D24)&gt;0,
 _xlpm.eOK,COUNTIF(クラス!A:A,E24)&gt;0,
 IF(_xlpm.dOK,"○","×") &amp; IF(_xlpm.eOK,"○","×")
)</f>
        <v>○○</v>
      </c>
      <c r="D24" t="s">
        <v>202</v>
      </c>
      <c r="E24" t="s">
        <v>866</v>
      </c>
      <c r="F24">
        <v>15</v>
      </c>
      <c r="G24">
        <v>25</v>
      </c>
    </row>
    <row r="25" spans="1:7" outlineLevel="1" x14ac:dyDescent="0.4">
      <c r="A25" s="2" t="s">
        <v>505</v>
      </c>
      <c r="B25" s="10" t="s">
        <v>826</v>
      </c>
      <c r="C25" t="str">
        <f>_xlfn.LET(
 _xlpm.dOK,COUNTIF(クラス!A:A,D25)&gt;0,
 _xlpm.eOK,COUNTIF(クラス!A:A,E25)&gt;0,
 IF(_xlpm.dOK,"○","×") &amp; IF(_xlpm.eOK,"○","×")
)</f>
        <v>××</v>
      </c>
    </row>
    <row r="26" spans="1:7" ht="36" outlineLevel="1" x14ac:dyDescent="0.4">
      <c r="A26" s="2" t="s">
        <v>505</v>
      </c>
      <c r="B26" s="10" t="s">
        <v>827</v>
      </c>
      <c r="C26" t="str">
        <f>_xlfn.LET(
 _xlpm.dOK,COUNTIF(クラス!A:A,D26)&gt;0,
 _xlpm.eOK,COUNTIF(クラス!A:A,E26)&gt;0,
 IF(_xlpm.dOK,"○","×") &amp; IF(_xlpm.eOK,"○","×")
)</f>
        <v>××</v>
      </c>
    </row>
    <row r="27" spans="1:7" outlineLevel="1" x14ac:dyDescent="0.4">
      <c r="A27" s="2" t="s">
        <v>505</v>
      </c>
      <c r="B27" s="10" t="s">
        <v>828</v>
      </c>
      <c r="C27" t="str">
        <f>_xlfn.LET(
 _xlpm.dOK,COUNTIF(クラス!A:A,D27)&gt;0,
 _xlpm.eOK,COUNTIF(クラス!A:A,E27)&gt;0,
 IF(_xlpm.dOK,"○","×") &amp; IF(_xlpm.eOK,"○","×")
)</f>
        <v>××</v>
      </c>
    </row>
    <row r="28" spans="1:7" outlineLevel="1" x14ac:dyDescent="0.4">
      <c r="A28" s="2" t="s">
        <v>505</v>
      </c>
      <c r="B28" s="10" t="s">
        <v>829</v>
      </c>
      <c r="C28" t="str">
        <f>_xlfn.LET(
 _xlpm.dOK,COUNTIF(クラス!A:A,D28)&gt;0,
 _xlpm.eOK,COUNTIF(クラス!A:A,E28)&gt;0,
 IF(_xlpm.dOK,"○","×") &amp; IF(_xlpm.eOK,"○","×")
)</f>
        <v>××</v>
      </c>
    </row>
    <row r="29" spans="1:7" ht="36" outlineLevel="1" x14ac:dyDescent="0.4">
      <c r="A29" s="2" t="s">
        <v>505</v>
      </c>
      <c r="B29" s="10" t="s">
        <v>830</v>
      </c>
      <c r="C29" t="str">
        <f>_xlfn.LET(
 _xlpm.dOK,COUNTIF(クラス!A:A,D29)&gt;0,
 _xlpm.eOK,COUNTIF(クラス!A:A,E29)&gt;0,
 IF(_xlpm.dOK,"○","×") &amp; IF(_xlpm.eOK,"○","×")
)</f>
        <v>××</v>
      </c>
    </row>
    <row r="30" spans="1:7" outlineLevel="1" x14ac:dyDescent="0.4">
      <c r="A30" s="2" t="s">
        <v>505</v>
      </c>
      <c r="B30" s="10" t="s">
        <v>198</v>
      </c>
      <c r="C30" t="str">
        <f>_xlfn.LET(
 _xlpm.dOK,COUNTIF(クラス!A:A,D30)&gt;0,
 _xlpm.eOK,COUNTIF(クラス!A:A,E30)&gt;0,
 IF(_xlpm.dOK,"○","×") &amp; IF(_xlpm.eOK,"○","×")
)</f>
        <v>○×</v>
      </c>
      <c r="D30" t="s">
        <v>198</v>
      </c>
      <c r="F30">
        <v>9</v>
      </c>
      <c r="G30">
        <v>15</v>
      </c>
    </row>
    <row r="31" spans="1:7" outlineLevel="1" x14ac:dyDescent="0.4">
      <c r="A31" s="2" t="s">
        <v>505</v>
      </c>
      <c r="B31" s="10" t="s">
        <v>195</v>
      </c>
      <c r="C31" t="str">
        <f>_xlfn.LET(
 _xlpm.dOK,COUNTIF(クラス!A:A,D31)&gt;0,
 _xlpm.eOK,COUNTIF(クラス!A:A,E31)&gt;0,
 IF(_xlpm.dOK,"○","×") &amp; IF(_xlpm.eOK,"○","×")
)</f>
        <v>○×</v>
      </c>
      <c r="D31" t="s">
        <v>195</v>
      </c>
      <c r="F31">
        <v>9</v>
      </c>
      <c r="G31">
        <v>15</v>
      </c>
    </row>
    <row r="32" spans="1:7" outlineLevel="1" x14ac:dyDescent="0.4">
      <c r="C32" t="str">
        <f>_xlfn.LET(
 _xlpm.dOK,COUNTIF(クラス!A:A,D32)&gt;0,
 _xlpm.eOK,COUNTIF(クラス!A:A,E32)&gt;0,
 IF(_xlpm.dOK,"○","×") &amp; IF(_xlpm.eOK,"○","×")
)</f>
        <v>××</v>
      </c>
    </row>
    <row r="33" spans="1:8" ht="36" outlineLevel="1" x14ac:dyDescent="0.4">
      <c r="A33" s="2" t="s">
        <v>512</v>
      </c>
      <c r="B33" s="10" t="s">
        <v>850</v>
      </c>
      <c r="C33" t="str">
        <f>_xlfn.LET(
 _xlpm.dOK,COUNTIF(クラス!A:A,D33)&gt;0,
 _xlpm.eOK,COUNTIF(クラス!A:A,E33)&gt;0,
 IF(_xlpm.dOK,"○","×") &amp; IF(_xlpm.eOK,"○","×")
)</f>
        <v>××</v>
      </c>
    </row>
    <row r="34" spans="1:8" ht="36" outlineLevel="1" x14ac:dyDescent="0.4">
      <c r="A34" s="2" t="s">
        <v>512</v>
      </c>
      <c r="B34" s="10" t="s">
        <v>827</v>
      </c>
      <c r="C34" t="str">
        <f>_xlfn.LET(
 _xlpm.dOK,COUNTIF(クラス!A:A,D34)&gt;0,
 _xlpm.eOK,COUNTIF(クラス!A:A,E34)&gt;0,
 IF(_xlpm.dOK,"○","×") &amp; IF(_xlpm.eOK,"○","×")
)</f>
        <v>××</v>
      </c>
    </row>
    <row r="35" spans="1:8" ht="36" outlineLevel="1" x14ac:dyDescent="0.4">
      <c r="A35" s="2" t="s">
        <v>512</v>
      </c>
      <c r="B35" s="10" t="s">
        <v>839</v>
      </c>
      <c r="C35" t="str">
        <f>_xlfn.LET(
 _xlpm.dOK,COUNTIF(クラス!A:A,D35)&gt;0,
 _xlpm.eOK,COUNTIF(クラス!A:A,E35)&gt;0,
 IF(_xlpm.dOK,"○","×") &amp; IF(_xlpm.eOK,"○","×")
)</f>
        <v>××</v>
      </c>
    </row>
    <row r="36" spans="1:8" outlineLevel="1" x14ac:dyDescent="0.4">
      <c r="A36" s="2" t="s">
        <v>512</v>
      </c>
      <c r="B36" s="10" t="s">
        <v>851</v>
      </c>
      <c r="C36" t="str">
        <f>_xlfn.LET(
 _xlpm.dOK,COUNTIF(クラス!A:A,D36)&gt;0,
 _xlpm.eOK,COUNTIF(クラス!A:A,E36)&gt;0,
 IF(_xlpm.dOK,"○","×") &amp; IF(_xlpm.eOK,"○","×")
)</f>
        <v>××</v>
      </c>
    </row>
    <row r="37" spans="1:8" outlineLevel="1" x14ac:dyDescent="0.4">
      <c r="A37" s="2" t="s">
        <v>512</v>
      </c>
      <c r="B37" s="10" t="s">
        <v>838</v>
      </c>
      <c r="C37" t="str">
        <f>_xlfn.LET(
 _xlpm.dOK,COUNTIF(クラス!A:A,D37)&gt;0,
 _xlpm.eOK,COUNTIF(クラス!A:A,E37)&gt;0,
 IF(_xlpm.dOK,"○","×") &amp; IF(_xlpm.eOK,"○","×")
)</f>
        <v>××</v>
      </c>
    </row>
    <row r="38" spans="1:8" outlineLevel="1" x14ac:dyDescent="0.4">
      <c r="A38" s="2" t="s">
        <v>512</v>
      </c>
      <c r="B38" s="10" t="s">
        <v>852</v>
      </c>
      <c r="C38" t="str">
        <f>_xlfn.LET(
 _xlpm.dOK,COUNTIF(クラス!A:A,D38)&gt;0,
 _xlpm.eOK,COUNTIF(クラス!A:A,E38)&gt;0,
 IF(_xlpm.dOK,"○","×") &amp; IF(_xlpm.eOK,"○","×")
)</f>
        <v>××</v>
      </c>
    </row>
    <row r="39" spans="1:8" ht="36" outlineLevel="1" x14ac:dyDescent="0.4">
      <c r="A39" s="2" t="s">
        <v>512</v>
      </c>
      <c r="B39" s="10" t="s">
        <v>853</v>
      </c>
      <c r="C39" t="str">
        <f>_xlfn.LET(
 _xlpm.dOK,COUNTIF(クラス!A:A,D39)&gt;0,
 _xlpm.eOK,COUNTIF(クラス!A:A,E39)&gt;0,
 IF(_xlpm.dOK,"○","×") &amp; IF(_xlpm.eOK,"○","×")
)</f>
        <v>××</v>
      </c>
    </row>
    <row r="40" spans="1:8" outlineLevel="1" x14ac:dyDescent="0.4">
      <c r="C40" t="str">
        <f>_xlfn.LET(
 _xlpm.dOK,COUNTIF(クラス!A:A,D40)&gt;0,
 _xlpm.eOK,COUNTIF(クラス!A:A,E40)&gt;0,
 IF(_xlpm.dOK,"○","×") &amp; IF(_xlpm.eOK,"○","×")
)</f>
        <v>××</v>
      </c>
    </row>
    <row r="41" spans="1:8" x14ac:dyDescent="0.4">
      <c r="C41" t="str">
        <f>_xlfn.LET(
 _xlpm.dOK,COUNTIF(クラス!A:A,D41)&gt;0,
 _xlpm.eOK,COUNTIF(クラス!A:A,E41)&gt;0,
 IF(_xlpm.dOK,"○","×") &amp; IF(_xlpm.eOK,"○","×")
)</f>
        <v>××</v>
      </c>
    </row>
    <row r="42" spans="1:8" x14ac:dyDescent="0.4">
      <c r="A42" s="2" t="s">
        <v>507</v>
      </c>
      <c r="B42" s="10" t="s">
        <v>820</v>
      </c>
      <c r="C42" t="str">
        <f>_xlfn.LET(
 _xlpm.dOK,COUNTIF(クラス!A:A,D42)&gt;0,
 _xlpm.eOK,COUNTIF(クラス!A:A,E42)&gt;0,
 IF(_xlpm.dOK,"○","×") &amp; IF(_xlpm.eOK,"○","×")
)</f>
        <v>××</v>
      </c>
    </row>
    <row r="43" spans="1:8" outlineLevel="1" x14ac:dyDescent="0.4">
      <c r="A43" s="2" t="s">
        <v>507</v>
      </c>
      <c r="B43" s="10" t="s">
        <v>200</v>
      </c>
      <c r="C43" t="str">
        <f>_xlfn.LET(
 _xlpm.dOK,COUNTIF(クラス!A:A,D43)&gt;0,
 _xlpm.eOK,COUNTIF(クラス!A:A,E43)&gt;0,
 IF(_xlpm.dOK,"○","×") &amp; IF(_xlpm.eOK,"○","×")
)</f>
        <v>○×</v>
      </c>
      <c r="D43" t="s">
        <v>200</v>
      </c>
      <c r="F43">
        <v>10</v>
      </c>
      <c r="G43">
        <v>15</v>
      </c>
      <c r="H43" t="s">
        <v>926</v>
      </c>
    </row>
    <row r="44" spans="1:8" ht="54" outlineLevel="1" x14ac:dyDescent="0.4">
      <c r="A44" s="2" t="s">
        <v>507</v>
      </c>
      <c r="B44" s="10" t="s">
        <v>75</v>
      </c>
      <c r="C44" t="str">
        <f>_xlfn.LET(
 _xlpm.dOK,COUNTIF(クラス!A:A,D44)&gt;0,
 _xlpm.eOK,COUNTIF(クラス!A:A,E44)&gt;0,
 IF(_xlpm.dOK,"○","×") &amp; IF(_xlpm.eOK,"○","×")
)</f>
        <v>○×</v>
      </c>
      <c r="D44" s="10" t="s">
        <v>75</v>
      </c>
      <c r="F44">
        <v>7</v>
      </c>
      <c r="G44">
        <v>12</v>
      </c>
    </row>
    <row r="45" spans="1:8" outlineLevel="1" x14ac:dyDescent="0.4">
      <c r="A45" s="2" t="s">
        <v>507</v>
      </c>
      <c r="B45" s="10" t="s">
        <v>821</v>
      </c>
      <c r="C45" t="str">
        <f>_xlfn.LET(
 _xlpm.dOK,COUNTIF(クラス!A:A,D45)&gt;0,
 _xlpm.eOK,COUNTIF(クラス!A:A,E45)&gt;0,
 IF(_xlpm.dOK,"○","×") &amp; IF(_xlpm.eOK,"○","×")
)</f>
        <v>××</v>
      </c>
    </row>
    <row r="46" spans="1:8" outlineLevel="1" x14ac:dyDescent="0.4">
      <c r="A46" s="2" t="s">
        <v>507</v>
      </c>
      <c r="B46" s="10" t="s">
        <v>816</v>
      </c>
      <c r="C46" t="str">
        <f>_xlfn.LET(
 _xlpm.dOK,COUNTIF(クラス!A:A,D46)&gt;0,
 _xlpm.eOK,COUNTIF(クラス!A:A,E46)&gt;0,
 IF(_xlpm.dOK,"○","×") &amp; IF(_xlpm.eOK,"○","×")
)</f>
        <v>××</v>
      </c>
    </row>
    <row r="47" spans="1:8" ht="36" outlineLevel="1" x14ac:dyDescent="0.4">
      <c r="A47" s="2" t="s">
        <v>507</v>
      </c>
      <c r="B47" s="10" t="s">
        <v>819</v>
      </c>
      <c r="C47" t="str">
        <f>_xlfn.LET(
 _xlpm.dOK,COUNTIF(クラス!A:A,D47)&gt;0,
 _xlpm.eOK,COUNTIF(クラス!A:A,E47)&gt;0,
 IF(_xlpm.dOK,"○","×") &amp; IF(_xlpm.eOK,"○","×")
)</f>
        <v>××</v>
      </c>
    </row>
    <row r="48" spans="1:8" outlineLevel="1" x14ac:dyDescent="0.4">
      <c r="A48" s="2" t="s">
        <v>507</v>
      </c>
      <c r="B48" s="10" t="s">
        <v>817</v>
      </c>
      <c r="C48" t="str">
        <f>_xlfn.LET(
 _xlpm.dOK,COUNTIF(クラス!A:A,D48)&gt;0,
 _xlpm.eOK,COUNTIF(クラス!A:A,E48)&gt;0,
 IF(_xlpm.dOK,"○","×") &amp; IF(_xlpm.eOK,"○","×")
)</f>
        <v>××</v>
      </c>
    </row>
    <row r="49" spans="1:8" outlineLevel="1" x14ac:dyDescent="0.4">
      <c r="A49" s="2" t="s">
        <v>507</v>
      </c>
      <c r="B49" s="10" t="s">
        <v>822</v>
      </c>
      <c r="C49" t="str">
        <f>_xlfn.LET(
 _xlpm.dOK,COUNTIF(クラス!A:A,D49)&gt;0,
 _xlpm.eOK,COUNTIF(クラス!A:A,E49)&gt;0,
 IF(_xlpm.dOK,"○","×") &amp; IF(_xlpm.eOK,"○","×")
)</f>
        <v>○×</v>
      </c>
      <c r="D49" t="s">
        <v>907</v>
      </c>
      <c r="F49">
        <v>15</v>
      </c>
      <c r="G49">
        <v>20</v>
      </c>
      <c r="H49" t="s">
        <v>925</v>
      </c>
    </row>
    <row r="50" spans="1:8" outlineLevel="1" x14ac:dyDescent="0.4">
      <c r="C50" t="str">
        <f>_xlfn.LET(
 _xlpm.dOK,COUNTIF(クラス!A:A,D50)&gt;0,
 _xlpm.eOK,COUNTIF(クラス!A:A,E50)&gt;0,
 IF(_xlpm.dOK,"○","×") &amp; IF(_xlpm.eOK,"○","×")
)</f>
        <v>××</v>
      </c>
    </row>
    <row r="51" spans="1:8" outlineLevel="1" x14ac:dyDescent="0.4">
      <c r="A51" s="2" t="s">
        <v>506</v>
      </c>
      <c r="B51" s="10" t="s">
        <v>921</v>
      </c>
      <c r="C51" t="str">
        <f>_xlfn.LET(
 _xlpm.dOK,COUNTIF(クラス!A:A,D51)&gt;0,
 _xlpm.eOK,COUNTIF(クラス!A:A,E51)&gt;0,
 IF(_xlpm.dOK,"○","×") &amp; IF(_xlpm.eOK,"○","×")
)</f>
        <v>○○</v>
      </c>
      <c r="D51" t="s">
        <v>200</v>
      </c>
      <c r="E51" t="s">
        <v>867</v>
      </c>
      <c r="F51">
        <v>15</v>
      </c>
      <c r="G51">
        <v>25</v>
      </c>
    </row>
    <row r="52" spans="1:8" ht="54" outlineLevel="1" x14ac:dyDescent="0.4">
      <c r="A52" s="2" t="s">
        <v>506</v>
      </c>
      <c r="B52" s="10" t="s">
        <v>75</v>
      </c>
      <c r="C52" t="str">
        <f>_xlfn.LET(
 _xlpm.dOK,COUNTIF(クラス!A:A,D52)&gt;0,
 _xlpm.eOK,COUNTIF(クラス!A:A,E52)&gt;0,
 IF(_xlpm.dOK,"○","×") &amp; IF(_xlpm.eOK,"○","×")
)</f>
        <v>○×</v>
      </c>
      <c r="D52" s="10" t="s">
        <v>75</v>
      </c>
      <c r="F52">
        <v>15</v>
      </c>
      <c r="G52">
        <v>20</v>
      </c>
      <c r="H52" t="s">
        <v>927</v>
      </c>
    </row>
    <row r="53" spans="1:8" outlineLevel="1" x14ac:dyDescent="0.4">
      <c r="A53" s="2" t="s">
        <v>506</v>
      </c>
      <c r="B53" s="10" t="s">
        <v>922</v>
      </c>
      <c r="C53" t="str">
        <f>_xlfn.LET(
 _xlpm.dOK,COUNTIF(クラス!A:A,D53)&gt;0,
 _xlpm.eOK,COUNTIF(クラス!A:A,E53)&gt;0,
 IF(_xlpm.dOK,"○","×") &amp; IF(_xlpm.eOK,"○","×")
)</f>
        <v>○○</v>
      </c>
      <c r="D53" t="s">
        <v>202</v>
      </c>
      <c r="E53" t="s">
        <v>75</v>
      </c>
      <c r="F53">
        <v>25</v>
      </c>
      <c r="G53">
        <v>30</v>
      </c>
    </row>
    <row r="54" spans="1:8" ht="36" outlineLevel="1" x14ac:dyDescent="0.4">
      <c r="A54" s="2" t="s">
        <v>506</v>
      </c>
      <c r="B54" s="10" t="s">
        <v>831</v>
      </c>
      <c r="C54" t="str">
        <f>_xlfn.LET(
 _xlpm.dOK,COUNTIF(クラス!A:A,D54)&gt;0,
 _xlpm.eOK,COUNTIF(クラス!A:A,E54)&gt;0,
 IF(_xlpm.dOK,"○","×") &amp; IF(_xlpm.eOK,"○","×")
)</f>
        <v>××</v>
      </c>
    </row>
    <row r="55" spans="1:8" ht="36" outlineLevel="1" x14ac:dyDescent="0.4">
      <c r="A55" s="2" t="s">
        <v>506</v>
      </c>
      <c r="B55" s="10" t="s">
        <v>832</v>
      </c>
      <c r="C55" t="str">
        <f>_xlfn.LET(
 _xlpm.dOK,COUNTIF(クラス!A:A,D55)&gt;0,
 _xlpm.eOK,COUNTIF(クラス!A:A,E55)&gt;0,
 IF(_xlpm.dOK,"○","×") &amp; IF(_xlpm.eOK,"○","×")
)</f>
        <v>××</v>
      </c>
    </row>
    <row r="56" spans="1:8" outlineLevel="1" x14ac:dyDescent="0.4">
      <c r="A56" s="2" t="s">
        <v>506</v>
      </c>
      <c r="B56" s="10" t="s">
        <v>833</v>
      </c>
      <c r="C56" t="str">
        <f>_xlfn.LET(
 _xlpm.dOK,COUNTIF(クラス!A:A,D56)&gt;0,
 _xlpm.eOK,COUNTIF(クラス!A:A,E56)&gt;0,
 IF(_xlpm.dOK,"○","×") &amp; IF(_xlpm.eOK,"○","×")
)</f>
        <v>××</v>
      </c>
    </row>
    <row r="57" spans="1:8" outlineLevel="1" x14ac:dyDescent="0.4">
      <c r="A57" s="2" t="s">
        <v>506</v>
      </c>
      <c r="B57" s="10" t="s">
        <v>834</v>
      </c>
      <c r="C57" t="str">
        <f>_xlfn.LET(
 _xlpm.dOK,COUNTIF(クラス!A:A,D57)&gt;0,
 _xlpm.eOK,COUNTIF(クラス!A:A,E57)&gt;0,
 IF(_xlpm.dOK,"○","×") &amp; IF(_xlpm.eOK,"○","×")
)</f>
        <v>××</v>
      </c>
    </row>
    <row r="58" spans="1:8" outlineLevel="1" x14ac:dyDescent="0.4">
      <c r="A58" s="2" t="s">
        <v>506</v>
      </c>
      <c r="B58" s="10" t="s">
        <v>835</v>
      </c>
      <c r="C58" t="str">
        <f>_xlfn.LET(
 _xlpm.dOK,COUNTIF(クラス!A:A,D58)&gt;0,
 _xlpm.eOK,COUNTIF(クラス!A:A,E58)&gt;0,
 IF(_xlpm.dOK,"○","×") &amp; IF(_xlpm.eOK,"○","×")
)</f>
        <v>××</v>
      </c>
    </row>
    <row r="59" spans="1:8" outlineLevel="1" x14ac:dyDescent="0.4">
      <c r="A59" s="2" t="s">
        <v>506</v>
      </c>
      <c r="B59" s="10" t="s">
        <v>836</v>
      </c>
      <c r="C59" t="str">
        <f>_xlfn.LET(
 _xlpm.dOK,COUNTIF(クラス!A:A,D59)&gt;0,
 _xlpm.eOK,COUNTIF(クラス!A:A,E59)&gt;0,
 IF(_xlpm.dOK,"○","×") &amp; IF(_xlpm.eOK,"○","×")
)</f>
        <v>××</v>
      </c>
    </row>
    <row r="60" spans="1:8" outlineLevel="1" x14ac:dyDescent="0.4">
      <c r="C60" t="str">
        <f>_xlfn.LET(
 _xlpm.dOK,COUNTIF(クラス!A:A,D60)&gt;0,
 _xlpm.eOK,COUNTIF(クラス!A:A,E60)&gt;0,
 IF(_xlpm.dOK,"○","×") &amp; IF(_xlpm.eOK,"○","×")
)</f>
        <v>××</v>
      </c>
    </row>
    <row r="61" spans="1:8" x14ac:dyDescent="0.4">
      <c r="C61" t="str">
        <f>_xlfn.LET(
 _xlpm.dOK,COUNTIF(クラス!A:A,D61)&gt;0,
 _xlpm.eOK,COUNTIF(クラス!A:A,E61)&gt;0,
 IF(_xlpm.dOK,"○","×") &amp; IF(_xlpm.eOK,"○","×")
)</f>
        <v>××</v>
      </c>
    </row>
    <row r="62" spans="1:8" x14ac:dyDescent="0.4">
      <c r="A62" s="2" t="s">
        <v>513</v>
      </c>
      <c r="B62" s="10" t="s">
        <v>833</v>
      </c>
      <c r="C62" t="str">
        <f>_xlfn.LET(
 _xlpm.dOK,COUNTIF(クラス!A:A,D62)&gt;0,
 _xlpm.eOK,COUNTIF(クラス!A:A,E62)&gt;0,
 IF(_xlpm.dOK,"○","×") &amp; IF(_xlpm.eOK,"○","×")
)</f>
        <v>××</v>
      </c>
    </row>
    <row r="63" spans="1:8" hidden="1" outlineLevel="1" x14ac:dyDescent="0.4">
      <c r="A63" s="2" t="s">
        <v>513</v>
      </c>
      <c r="B63" s="10" t="s">
        <v>822</v>
      </c>
      <c r="C63" t="str">
        <f>_xlfn.LET(
 _xlpm.dOK,COUNTIF(クラス!A:A,D63)&gt;0,
 _xlpm.eOK,COUNTIF(クラス!A:A,E63)&gt;0,
 IF(_xlpm.dOK,"○","×") &amp; IF(_xlpm.eOK,"○","×")
)</f>
        <v>××</v>
      </c>
    </row>
    <row r="64" spans="1:8" hidden="1" outlineLevel="1" x14ac:dyDescent="0.4">
      <c r="A64" s="2" t="s">
        <v>513</v>
      </c>
      <c r="B64" s="10" t="s">
        <v>817</v>
      </c>
      <c r="C64" t="str">
        <f>_xlfn.LET(
 _xlpm.dOK,COUNTIF(クラス!A:A,D64)&gt;0,
 _xlpm.eOK,COUNTIF(クラス!A:A,E64)&gt;0,
 IF(_xlpm.dOK,"○","×") &amp; IF(_xlpm.eOK,"○","×")
)</f>
        <v>××</v>
      </c>
    </row>
    <row r="65" spans="1:7" ht="36" hidden="1" outlineLevel="1" x14ac:dyDescent="0.4">
      <c r="A65" s="2" t="s">
        <v>513</v>
      </c>
      <c r="B65" s="10" t="s">
        <v>831</v>
      </c>
      <c r="C65" t="str">
        <f>_xlfn.LET(
 _xlpm.dOK,COUNTIF(クラス!A:A,D65)&gt;0,
 _xlpm.eOK,COUNTIF(クラス!A:A,E65)&gt;0,
 IF(_xlpm.dOK,"○","×") &amp; IF(_xlpm.eOK,"○","×")
)</f>
        <v>××</v>
      </c>
    </row>
    <row r="66" spans="1:7" hidden="1" outlineLevel="1" x14ac:dyDescent="0.4">
      <c r="A66" s="2" t="s">
        <v>513</v>
      </c>
      <c r="B66" s="10" t="s">
        <v>854</v>
      </c>
      <c r="C66" t="str">
        <f>_xlfn.LET(
 _xlpm.dOK,COUNTIF(クラス!A:A,D66)&gt;0,
 _xlpm.eOK,COUNTIF(クラス!A:A,E66)&gt;0,
 IF(_xlpm.dOK,"○","×") &amp; IF(_xlpm.eOK,"○","×")
)</f>
        <v>××</v>
      </c>
    </row>
    <row r="67" spans="1:7" hidden="1" outlineLevel="1" x14ac:dyDescent="0.4">
      <c r="C67" t="str">
        <f>_xlfn.LET(
 _xlpm.dOK,COUNTIF(クラス!A:A,D67)&gt;0,
 _xlpm.eOK,COUNTIF(クラス!A:A,E67)&gt;0,
 IF(_xlpm.dOK,"○","×") &amp; IF(_xlpm.eOK,"○","×")
)</f>
        <v>××</v>
      </c>
    </row>
    <row r="68" spans="1:7" hidden="1" outlineLevel="1" x14ac:dyDescent="0.4">
      <c r="A68" s="2" t="s">
        <v>514</v>
      </c>
      <c r="B68" s="10" t="s">
        <v>855</v>
      </c>
      <c r="C68" t="str">
        <f>_xlfn.LET(
 _xlpm.dOK,COUNTIF(クラス!A:A,D68)&gt;0,
 _xlpm.eOK,COUNTIF(クラス!A:A,E68)&gt;0,
 IF(_xlpm.dOK,"○","×") &amp; IF(_xlpm.eOK,"○","×")
)</f>
        <v>××</v>
      </c>
    </row>
    <row r="69" spans="1:7" ht="36" hidden="1" outlineLevel="1" x14ac:dyDescent="0.4">
      <c r="A69" s="2" t="s">
        <v>514</v>
      </c>
      <c r="B69" s="10" t="s">
        <v>856</v>
      </c>
      <c r="C69" t="str">
        <f>_xlfn.LET(
 _xlpm.dOK,COUNTIF(クラス!A:A,D69)&gt;0,
 _xlpm.eOK,COUNTIF(クラス!A:A,E69)&gt;0,
 IF(_xlpm.dOK,"○","×") &amp; IF(_xlpm.eOK,"○","×")
)</f>
        <v>××</v>
      </c>
    </row>
    <row r="70" spans="1:7" hidden="1" outlineLevel="1" x14ac:dyDescent="0.4">
      <c r="A70" s="2" t="s">
        <v>514</v>
      </c>
      <c r="B70" s="10" t="s">
        <v>815</v>
      </c>
      <c r="C70" t="str">
        <f>_xlfn.LET(
 _xlpm.dOK,COUNTIF(クラス!A:A,D70)&gt;0,
 _xlpm.eOK,COUNTIF(クラス!A:A,E70)&gt;0,
 IF(_xlpm.dOK,"○","×") &amp; IF(_xlpm.eOK,"○","×")
)</f>
        <v>××</v>
      </c>
    </row>
    <row r="71" spans="1:7" hidden="1" outlineLevel="1" x14ac:dyDescent="0.4">
      <c r="A71" s="2" t="s">
        <v>514</v>
      </c>
      <c r="B71" s="10" t="s">
        <v>833</v>
      </c>
      <c r="C71" t="str">
        <f>_xlfn.LET(
 _xlpm.dOK,COUNTIF(クラス!A:A,D71)&gt;0,
 _xlpm.eOK,COUNTIF(クラス!A:A,E71)&gt;0,
 IF(_xlpm.dOK,"○","×") &amp; IF(_xlpm.eOK,"○","×")
)</f>
        <v>××</v>
      </c>
    </row>
    <row r="72" spans="1:7" hidden="1" outlineLevel="1" x14ac:dyDescent="0.4">
      <c r="A72" s="2" t="s">
        <v>514</v>
      </c>
      <c r="B72" s="10" t="s">
        <v>836</v>
      </c>
      <c r="C72" t="str">
        <f>_xlfn.LET(
 _xlpm.dOK,COUNTIF(クラス!A:A,D72)&gt;0,
 _xlpm.eOK,COUNTIF(クラス!A:A,E72)&gt;0,
 IF(_xlpm.dOK,"○","×") &amp; IF(_xlpm.eOK,"○","×")
)</f>
        <v>××</v>
      </c>
    </row>
    <row r="73" spans="1:7" hidden="1" outlineLevel="1" x14ac:dyDescent="0.4">
      <c r="A73" s="2" t="s">
        <v>514</v>
      </c>
      <c r="B73" s="10" t="s">
        <v>844</v>
      </c>
      <c r="C73" t="str">
        <f>_xlfn.LET(
 _xlpm.dOK,COUNTIF(クラス!A:A,D73)&gt;0,
 _xlpm.eOK,COUNTIF(クラス!A:A,E73)&gt;0,
 IF(_xlpm.dOK,"○","×") &amp; IF(_xlpm.eOK,"○","×")
)</f>
        <v>××</v>
      </c>
    </row>
    <row r="74" spans="1:7" hidden="1" outlineLevel="1" x14ac:dyDescent="0.4">
      <c r="C74" t="str">
        <f>_xlfn.LET(
 _xlpm.dOK,COUNTIF(クラス!A:A,D74)&gt;0,
 _xlpm.eOK,COUNTIF(クラス!A:A,E74)&gt;0,
 IF(_xlpm.dOK,"○","×") &amp; IF(_xlpm.eOK,"○","×")
)</f>
        <v>××</v>
      </c>
    </row>
    <row r="75" spans="1:7" collapsed="1" x14ac:dyDescent="0.4">
      <c r="C75" t="str">
        <f>_xlfn.LET(
 _xlpm.dOK,COUNTIF(クラス!A:A,D75)&gt;0,
 _xlpm.eOK,COUNTIF(クラス!A:A,E75)&gt;0,
 IF(_xlpm.dOK,"○","×") &amp; IF(_xlpm.eOK,"○","×")
)</f>
        <v>××</v>
      </c>
    </row>
    <row r="76" spans="1:7" ht="36" x14ac:dyDescent="0.4">
      <c r="A76" s="2" t="s">
        <v>508</v>
      </c>
      <c r="B76" s="10" t="s">
        <v>837</v>
      </c>
      <c r="C76" t="str">
        <f>_xlfn.LET(
 _xlpm.dOK,COUNTIF(クラス!A:A,D76)&gt;0,
 _xlpm.eOK,COUNTIF(クラス!A:A,E76)&gt;0,
 IF(_xlpm.dOK,"○","×") &amp; IF(_xlpm.eOK,"○","×")
)</f>
        <v>○×</v>
      </c>
      <c r="D76" t="s">
        <v>909</v>
      </c>
      <c r="F76">
        <v>5</v>
      </c>
      <c r="G76">
        <v>10</v>
      </c>
    </row>
    <row r="77" spans="1:7" ht="36" outlineLevel="1" x14ac:dyDescent="0.4">
      <c r="A77" s="2" t="s">
        <v>508</v>
      </c>
      <c r="B77" s="10" t="s">
        <v>920</v>
      </c>
      <c r="C77" t="str">
        <f>_xlfn.LET(
 _xlpm.dOK,COUNTIF(クラス!A:A,D77)&gt;0,
 _xlpm.eOK,COUNTIF(クラス!A:A,E77)&gt;0,
 IF(_xlpm.dOK,"○","×") &amp; IF(_xlpm.eOK,"○","×")
)</f>
        <v>○○</v>
      </c>
      <c r="D77" t="s">
        <v>196</v>
      </c>
      <c r="E77" t="s">
        <v>868</v>
      </c>
      <c r="F77">
        <v>7</v>
      </c>
      <c r="G77">
        <v>10</v>
      </c>
    </row>
    <row r="78" spans="1:7" outlineLevel="1" x14ac:dyDescent="0.4">
      <c r="C78" t="str">
        <f>_xlfn.LET(
 _xlpm.dOK,COUNTIF(クラス!A:A,D78)&gt;0,
 _xlpm.eOK,COUNTIF(クラス!A:A,E78)&gt;0,
 IF(_xlpm.dOK,"○","×") &amp; IF(_xlpm.eOK,"○","×")
)</f>
        <v>××</v>
      </c>
    </row>
    <row r="79" spans="1:7" ht="36" outlineLevel="1" x14ac:dyDescent="0.4">
      <c r="A79" s="2" t="s">
        <v>509</v>
      </c>
      <c r="B79" s="10" t="s">
        <v>837</v>
      </c>
      <c r="C79" t="str">
        <f>_xlfn.LET(
 _xlpm.dOK,COUNTIF(クラス!A:A,D79)&gt;0,
 _xlpm.eOK,COUNTIF(クラス!A:A,E79)&gt;0,
 IF(_xlpm.dOK,"○","×") &amp; IF(_xlpm.eOK,"○","×")
)</f>
        <v>○×</v>
      </c>
      <c r="D79" t="s">
        <v>909</v>
      </c>
      <c r="F79">
        <v>15</v>
      </c>
      <c r="G79">
        <v>30</v>
      </c>
    </row>
    <row r="80" spans="1:7" outlineLevel="1" x14ac:dyDescent="0.4">
      <c r="A80" s="2" t="s">
        <v>509</v>
      </c>
      <c r="B80" s="10" t="s">
        <v>840</v>
      </c>
      <c r="C80" t="str">
        <f>_xlfn.LET(
 _xlpm.dOK,COUNTIF(クラス!A:A,D80)&gt;0,
 _xlpm.eOK,COUNTIF(クラス!A:A,E80)&gt;0,
 IF(_xlpm.dOK,"○","×") &amp; IF(_xlpm.eOK,"○","×")
)</f>
        <v>○○</v>
      </c>
      <c r="D80" t="s">
        <v>196</v>
      </c>
      <c r="E80" t="s">
        <v>869</v>
      </c>
      <c r="F80">
        <v>15</v>
      </c>
      <c r="G80">
        <v>20</v>
      </c>
    </row>
    <row r="81" spans="1:7" outlineLevel="1" x14ac:dyDescent="0.4">
      <c r="C81" t="str">
        <f>_xlfn.LET(
 _xlpm.dOK,COUNTIF(クラス!A:A,D81)&gt;0,
 _xlpm.eOK,COUNTIF(クラス!A:A,E81)&gt;0,
 IF(_xlpm.dOK,"○","×") &amp; IF(_xlpm.eOK,"○","×")
)</f>
        <v>××</v>
      </c>
    </row>
    <row r="82" spans="1:7" outlineLevel="1" x14ac:dyDescent="0.4">
      <c r="A82" s="2" t="s">
        <v>510</v>
      </c>
      <c r="B82" s="10" t="s">
        <v>840</v>
      </c>
      <c r="C82" t="str">
        <f>_xlfn.LET(
 _xlpm.dOK,COUNTIF(クラス!A:A,D82)&gt;0,
 _xlpm.eOK,COUNTIF(クラス!A:A,E82)&gt;0,
 IF(_xlpm.dOK,"○","×") &amp; IF(_xlpm.eOK,"○","×")
)</f>
        <v>○○</v>
      </c>
      <c r="D82" t="s">
        <v>196</v>
      </c>
      <c r="E82" t="s">
        <v>869</v>
      </c>
      <c r="F82">
        <v>5</v>
      </c>
      <c r="G82">
        <v>20</v>
      </c>
    </row>
    <row r="83" spans="1:7" ht="36" outlineLevel="1" x14ac:dyDescent="0.4">
      <c r="A83" s="2" t="s">
        <v>510</v>
      </c>
      <c r="B83" s="10" t="s">
        <v>837</v>
      </c>
      <c r="C83" t="str">
        <f>_xlfn.LET(
 _xlpm.dOK,COUNTIF(クラス!A:A,D83)&gt;0,
 _xlpm.eOK,COUNTIF(クラス!A:A,E83)&gt;0,
 IF(_xlpm.dOK,"○","×") &amp; IF(_xlpm.eOK,"○","×")
)</f>
        <v>○×</v>
      </c>
      <c r="D83" t="s">
        <v>909</v>
      </c>
      <c r="F83">
        <v>15</v>
      </c>
      <c r="G83">
        <v>30</v>
      </c>
    </row>
    <row r="84" spans="1:7" outlineLevel="1" x14ac:dyDescent="0.4">
      <c r="C84" t="str">
        <f>_xlfn.LET(
 _xlpm.dOK,COUNTIF(クラス!A:A,D84)&gt;0,
 _xlpm.eOK,COUNTIF(クラス!A:A,E84)&gt;0,
 IF(_xlpm.dOK,"○","×") &amp; IF(_xlpm.eOK,"○","×")
)</f>
        <v>××</v>
      </c>
    </row>
    <row r="85" spans="1:7" x14ac:dyDescent="0.4">
      <c r="C85" t="str">
        <f>_xlfn.LET(
 _xlpm.dOK,COUNTIF(クラス!A:A,D85)&gt;0,
 _xlpm.eOK,COUNTIF(クラス!A:A,E85)&gt;0,
 IF(_xlpm.dOK,"○","×") &amp; IF(_xlpm.eOK,"○","×")
)</f>
        <v>××</v>
      </c>
    </row>
    <row r="86" spans="1:7" x14ac:dyDescent="0.4">
      <c r="A86" s="2" t="s">
        <v>516</v>
      </c>
      <c r="B86" s="10" t="s">
        <v>834</v>
      </c>
      <c r="C86" t="str">
        <f>_xlfn.LET(
 _xlpm.dOK,COUNTIF(クラス!A:A,D86)&gt;0,
 _xlpm.eOK,COUNTIF(クラス!A:A,E86)&gt;0,
 IF(_xlpm.dOK,"○","×") &amp; IF(_xlpm.eOK,"○","×")
)</f>
        <v>××</v>
      </c>
    </row>
    <row r="87" spans="1:7" ht="72" hidden="1" outlineLevel="1" x14ac:dyDescent="0.4">
      <c r="A87" s="2" t="s">
        <v>516</v>
      </c>
      <c r="B87" s="10" t="s">
        <v>858</v>
      </c>
      <c r="C87" t="str">
        <f>_xlfn.LET(
 _xlpm.dOK,COUNTIF(クラス!A:A,D87)&gt;0,
 _xlpm.eOK,COUNTIF(クラス!A:A,E87)&gt;0,
 IF(_xlpm.dOK,"○","×") &amp; IF(_xlpm.eOK,"○","×")
)</f>
        <v>○×</v>
      </c>
      <c r="D87" s="10" t="s">
        <v>69</v>
      </c>
      <c r="F87">
        <v>15</v>
      </c>
      <c r="G87">
        <v>30</v>
      </c>
    </row>
    <row r="88" spans="1:7" hidden="1" outlineLevel="1" x14ac:dyDescent="0.4">
      <c r="A88" s="2" t="s">
        <v>516</v>
      </c>
      <c r="B88" s="10" t="s">
        <v>859</v>
      </c>
      <c r="C88" t="str">
        <f>_xlfn.LET(
 _xlpm.dOK,COUNTIF(クラス!A:A,D88)&gt;0,
 _xlpm.eOK,COUNTIF(クラス!A:A,E88)&gt;0,
 IF(_xlpm.dOK,"○","×") &amp; IF(_xlpm.eOK,"○","×")
)</f>
        <v>××</v>
      </c>
    </row>
    <row r="89" spans="1:7" hidden="1" outlineLevel="1" x14ac:dyDescent="0.4">
      <c r="C89" t="str">
        <f>_xlfn.LET(
 _xlpm.dOK,COUNTIF(クラス!A:A,D89)&gt;0,
 _xlpm.eOK,COUNTIF(クラス!A:A,E89)&gt;0,
 IF(_xlpm.dOK,"○","×") &amp; IF(_xlpm.eOK,"○","×")
)</f>
        <v>××</v>
      </c>
    </row>
    <row r="90" spans="1:7" hidden="1" outlineLevel="1" x14ac:dyDescent="0.4">
      <c r="C90" t="str">
        <f>_xlfn.LET(
 _xlpm.dOK,COUNTIF(クラス!A:A,D90)&gt;0,
 _xlpm.eOK,COUNTIF(クラス!A:A,E90)&gt;0,
 IF(_xlpm.dOK,"○","×") &amp; IF(_xlpm.eOK,"○","×")
)</f>
        <v>××</v>
      </c>
    </row>
    <row r="91" spans="1:7" ht="72" hidden="1" outlineLevel="1" x14ac:dyDescent="0.4">
      <c r="A91" s="2" t="s">
        <v>786</v>
      </c>
      <c r="B91" s="10" t="s">
        <v>858</v>
      </c>
      <c r="C91" t="str">
        <f>_xlfn.LET(
 _xlpm.dOK,COUNTIF(クラス!A:A,D91)&gt;0,
 _xlpm.eOK,COUNTIF(クラス!A:A,E91)&gt;0,
 IF(_xlpm.dOK,"○","×") &amp; IF(_xlpm.eOK,"○","×")
)</f>
        <v>○×</v>
      </c>
      <c r="D91" s="10" t="s">
        <v>69</v>
      </c>
      <c r="F91">
        <v>10</v>
      </c>
      <c r="G91">
        <v>15</v>
      </c>
    </row>
    <row r="92" spans="1:7" ht="36" hidden="1" outlineLevel="1" x14ac:dyDescent="0.4">
      <c r="A92" s="2" t="s">
        <v>786</v>
      </c>
      <c r="B92" s="10" t="s">
        <v>860</v>
      </c>
      <c r="C92" t="str">
        <f>_xlfn.LET(
 _xlpm.dOK,COUNTIF(クラス!A:A,D92)&gt;0,
 _xlpm.eOK,COUNTIF(クラス!A:A,E92)&gt;0,
 IF(_xlpm.dOK,"○","×") &amp; IF(_xlpm.eOK,"○","×")
)</f>
        <v>××</v>
      </c>
    </row>
    <row r="93" spans="1:7" hidden="1" outlineLevel="1" x14ac:dyDescent="0.4">
      <c r="A93" s="2" t="s">
        <v>786</v>
      </c>
      <c r="B93" s="10" t="s">
        <v>861</v>
      </c>
      <c r="C93" t="str">
        <f>_xlfn.LET(
 _xlpm.dOK,COUNTIF(クラス!A:A,D93)&gt;0,
 _xlpm.eOK,COUNTIF(クラス!A:A,E93)&gt;0,
 IF(_xlpm.dOK,"○","×") &amp; IF(_xlpm.eOK,"○","×")
)</f>
        <v>××</v>
      </c>
    </row>
    <row r="94" spans="1:7" hidden="1" outlineLevel="1" x14ac:dyDescent="0.4">
      <c r="C94" t="str">
        <f>_xlfn.LET(
 _xlpm.dOK,COUNTIF(クラス!A:A,D94)&gt;0,
 _xlpm.eOK,COUNTIF(クラス!A:A,E94)&gt;0,
 IF(_xlpm.dOK,"○","×") &amp; IF(_xlpm.eOK,"○","×")
)</f>
        <v>××</v>
      </c>
    </row>
    <row r="95" spans="1:7" collapsed="1" x14ac:dyDescent="0.4">
      <c r="C95" t="str">
        <f>_xlfn.LET(
 _xlpm.dOK,COUNTIF(クラス!A:A,D95)&gt;0,
 _xlpm.eOK,COUNTIF(クラス!A:A,E95)&gt;0,
 IF(_xlpm.dOK,"○","×") &amp; IF(_xlpm.eOK,"○","×")
)</f>
        <v>××</v>
      </c>
    </row>
    <row r="96" spans="1:7" ht="36" x14ac:dyDescent="0.4">
      <c r="A96" s="2" t="s">
        <v>515</v>
      </c>
      <c r="B96" s="10" t="s">
        <v>832</v>
      </c>
      <c r="C96" t="str">
        <f>_xlfn.LET(
 _xlpm.dOK,COUNTIF(クラス!A:A,D96)&gt;0,
 _xlpm.eOK,COUNTIF(クラス!A:A,E96)&gt;0,
 IF(_xlpm.dOK,"○","×") &amp; IF(_xlpm.eOK,"○","×")
)</f>
        <v>××</v>
      </c>
    </row>
    <row r="97" spans="1:7" hidden="1" outlineLevel="1" x14ac:dyDescent="0.4">
      <c r="A97" s="2" t="s">
        <v>515</v>
      </c>
      <c r="B97" s="10" t="s">
        <v>857</v>
      </c>
      <c r="C97" t="str">
        <f>_xlfn.LET(
 _xlpm.dOK,COUNTIF(クラス!A:A,D97)&gt;0,
 _xlpm.eOK,COUNTIF(クラス!A:A,E97)&gt;0,
 IF(_xlpm.dOK,"○","×") &amp; IF(_xlpm.eOK,"○","×")
)</f>
        <v>××</v>
      </c>
    </row>
    <row r="98" spans="1:7" ht="36" hidden="1" outlineLevel="1" x14ac:dyDescent="0.4">
      <c r="A98" s="2" t="s">
        <v>515</v>
      </c>
      <c r="B98" s="10" t="s">
        <v>862</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workbookViewId="0">
      <selection activeCell="C12" sqref="C12"/>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996</v>
      </c>
      <c r="B1" t="s">
        <v>665</v>
      </c>
      <c r="C1" s="17" t="s">
        <v>666</v>
      </c>
      <c r="D1" t="s">
        <v>1020</v>
      </c>
    </row>
    <row r="2" spans="1:4" x14ac:dyDescent="0.4">
      <c r="A2" t="s">
        <v>620</v>
      </c>
      <c r="B2" t="s">
        <v>667</v>
      </c>
      <c r="C2" s="17" t="s">
        <v>668</v>
      </c>
    </row>
    <row r="3" spans="1:4" ht="37.5" x14ac:dyDescent="0.4">
      <c r="A3" t="s">
        <v>621</v>
      </c>
      <c r="B3" t="s">
        <v>667</v>
      </c>
      <c r="C3" s="17" t="s">
        <v>669</v>
      </c>
    </row>
    <row r="4" spans="1:4" x14ac:dyDescent="0.4">
      <c r="A4" t="s">
        <v>1016</v>
      </c>
      <c r="B4" t="s">
        <v>670</v>
      </c>
      <c r="C4" s="17" t="s">
        <v>1021</v>
      </c>
      <c r="D4" t="s">
        <v>230</v>
      </c>
    </row>
    <row r="5" spans="1:4" ht="37.5" x14ac:dyDescent="0.4">
      <c r="A5" t="s">
        <v>623</v>
      </c>
      <c r="B5" t="s">
        <v>670</v>
      </c>
      <c r="C5" s="17" t="s">
        <v>671</v>
      </c>
      <c r="D5" t="s">
        <v>1057</v>
      </c>
    </row>
    <row r="6" spans="1:4" ht="37.5" x14ac:dyDescent="0.4">
      <c r="A6" t="s">
        <v>624</v>
      </c>
      <c r="B6" t="s">
        <v>670</v>
      </c>
      <c r="C6" s="17" t="s">
        <v>672</v>
      </c>
      <c r="D6" t="s">
        <v>6</v>
      </c>
    </row>
    <row r="7" spans="1:4" ht="37.5" x14ac:dyDescent="0.4">
      <c r="A7" t="s">
        <v>622</v>
      </c>
      <c r="B7" t="s">
        <v>670</v>
      </c>
      <c r="C7" s="17" t="s">
        <v>1018</v>
      </c>
      <c r="D7" t="s">
        <v>0</v>
      </c>
    </row>
    <row r="8" spans="1:4" ht="37.5" x14ac:dyDescent="0.4">
      <c r="A8" t="s">
        <v>1017</v>
      </c>
      <c r="B8" t="s">
        <v>670</v>
      </c>
      <c r="C8" s="17" t="s">
        <v>1019</v>
      </c>
      <c r="D8" t="s">
        <v>231</v>
      </c>
    </row>
    <row r="9" spans="1:4" x14ac:dyDescent="0.4">
      <c r="A9" t="s">
        <v>625</v>
      </c>
      <c r="B9" t="s">
        <v>625</v>
      </c>
      <c r="C9" s="17" t="s">
        <v>673</v>
      </c>
    </row>
    <row r="10" spans="1:4" x14ac:dyDescent="0.4">
      <c r="A10" t="s">
        <v>626</v>
      </c>
      <c r="B10" t="s">
        <v>625</v>
      </c>
      <c r="C10" s="17" t="s">
        <v>674</v>
      </c>
    </row>
    <row r="11" spans="1:4" x14ac:dyDescent="0.4">
      <c r="A11" t="s">
        <v>627</v>
      </c>
      <c r="B11" t="s">
        <v>675</v>
      </c>
      <c r="C11" s="17" t="s">
        <v>676</v>
      </c>
    </row>
    <row r="12" spans="1:4" ht="37.5" x14ac:dyDescent="0.4">
      <c r="A12" t="s">
        <v>628</v>
      </c>
      <c r="B12" t="s">
        <v>677</v>
      </c>
      <c r="C12" s="17" t="s">
        <v>1003</v>
      </c>
    </row>
    <row r="13" spans="1:4" x14ac:dyDescent="0.4">
      <c r="A13" t="s">
        <v>630</v>
      </c>
      <c r="B13" t="s">
        <v>680</v>
      </c>
      <c r="C13" s="17" t="s">
        <v>681</v>
      </c>
    </row>
    <row r="14" spans="1:4" ht="37.5" x14ac:dyDescent="0.4">
      <c r="A14" t="s">
        <v>633</v>
      </c>
      <c r="B14" t="s">
        <v>696</v>
      </c>
      <c r="C14" s="17" t="s">
        <v>997</v>
      </c>
    </row>
    <row r="15" spans="1:4" x14ac:dyDescent="0.4">
      <c r="A15" t="s">
        <v>629</v>
      </c>
      <c r="B15" t="s">
        <v>678</v>
      </c>
      <c r="C15" s="17" t="s">
        <v>679</v>
      </c>
    </row>
    <row r="16" spans="1:4" ht="37.5" x14ac:dyDescent="0.4">
      <c r="A16" t="s">
        <v>779</v>
      </c>
      <c r="B16" t="s">
        <v>678</v>
      </c>
      <c r="C16" s="17" t="s">
        <v>780</v>
      </c>
    </row>
    <row r="17" spans="1:3" x14ac:dyDescent="0.4">
      <c r="A17" t="s">
        <v>634</v>
      </c>
      <c r="B17" t="s">
        <v>697</v>
      </c>
      <c r="C17" s="17" t="s">
        <v>698</v>
      </c>
    </row>
    <row r="18" spans="1:3" x14ac:dyDescent="0.4">
      <c r="A18" t="s">
        <v>781</v>
      </c>
    </row>
    <row r="19" spans="1:3" x14ac:dyDescent="0.4">
      <c r="A19" s="43" t="s">
        <v>480</v>
      </c>
      <c r="B19" t="s">
        <v>631</v>
      </c>
      <c r="C19" s="17" t="s">
        <v>682</v>
      </c>
    </row>
    <row r="20" spans="1:3" x14ac:dyDescent="0.4">
      <c r="A20" s="43" t="s">
        <v>481</v>
      </c>
      <c r="B20" t="s">
        <v>631</v>
      </c>
      <c r="C20" s="17" t="s">
        <v>683</v>
      </c>
    </row>
    <row r="21" spans="1:3" x14ac:dyDescent="0.4">
      <c r="A21" s="43" t="s">
        <v>482</v>
      </c>
      <c r="B21" t="s">
        <v>631</v>
      </c>
      <c r="C21" s="17" t="s">
        <v>684</v>
      </c>
    </row>
    <row r="22" spans="1:3" x14ac:dyDescent="0.4">
      <c r="A22" s="43" t="s">
        <v>483</v>
      </c>
      <c r="B22" t="s">
        <v>631</v>
      </c>
      <c r="C22" s="17" t="s">
        <v>685</v>
      </c>
    </row>
    <row r="23" spans="1:3" x14ac:dyDescent="0.4">
      <c r="A23" s="42" t="s">
        <v>484</v>
      </c>
      <c r="B23" t="s">
        <v>484</v>
      </c>
      <c r="C23" s="17" t="s">
        <v>686</v>
      </c>
    </row>
    <row r="24" spans="1:3" x14ac:dyDescent="0.4">
      <c r="A24" s="42" t="s">
        <v>485</v>
      </c>
      <c r="B24" t="s">
        <v>484</v>
      </c>
      <c r="C24" s="17" t="s">
        <v>687</v>
      </c>
    </row>
    <row r="25" spans="1:3" x14ac:dyDescent="0.4">
      <c r="A25" s="42" t="s">
        <v>486</v>
      </c>
      <c r="B25" t="s">
        <v>484</v>
      </c>
      <c r="C25" s="17" t="s">
        <v>688</v>
      </c>
    </row>
    <row r="26" spans="1:3" x14ac:dyDescent="0.4">
      <c r="A26" s="44" t="s">
        <v>487</v>
      </c>
      <c r="B26" t="s">
        <v>487</v>
      </c>
      <c r="C26" s="17" t="s">
        <v>689</v>
      </c>
    </row>
    <row r="27" spans="1:3" x14ac:dyDescent="0.4">
      <c r="A27" s="44" t="s">
        <v>488</v>
      </c>
      <c r="B27" t="s">
        <v>1013</v>
      </c>
      <c r="C27" s="17" t="s">
        <v>690</v>
      </c>
    </row>
    <row r="28" spans="1:3" x14ac:dyDescent="0.4">
      <c r="A28" s="44" t="s">
        <v>489</v>
      </c>
      <c r="B28" t="s">
        <v>632</v>
      </c>
      <c r="C28" s="17" t="s">
        <v>1030</v>
      </c>
    </row>
    <row r="29" spans="1:3" x14ac:dyDescent="0.4">
      <c r="A29" s="44" t="s">
        <v>490</v>
      </c>
      <c r="B29" t="s">
        <v>632</v>
      </c>
      <c r="C29" s="17" t="s">
        <v>691</v>
      </c>
    </row>
    <row r="30" spans="1:3" x14ac:dyDescent="0.4">
      <c r="A30" s="44" t="s">
        <v>491</v>
      </c>
      <c r="B30" t="s">
        <v>632</v>
      </c>
      <c r="C30" s="17" t="s">
        <v>692</v>
      </c>
    </row>
    <row r="31" spans="1:3" x14ac:dyDescent="0.4">
      <c r="A31" s="36" t="s">
        <v>492</v>
      </c>
      <c r="B31" t="s">
        <v>1012</v>
      </c>
      <c r="C31" s="17" t="s">
        <v>693</v>
      </c>
    </row>
    <row r="32" spans="1:3" x14ac:dyDescent="0.4">
      <c r="A32" s="36" t="s">
        <v>493</v>
      </c>
      <c r="B32" t="s">
        <v>635</v>
      </c>
      <c r="C32" s="17" t="s">
        <v>694</v>
      </c>
    </row>
    <row r="33" spans="1:3" x14ac:dyDescent="0.4">
      <c r="A33" s="36" t="s">
        <v>494</v>
      </c>
      <c r="B33" t="s">
        <v>494</v>
      </c>
      <c r="C33" s="17" t="s">
        <v>695</v>
      </c>
    </row>
    <row r="34" spans="1:3" x14ac:dyDescent="0.4">
      <c r="A34" s="56" t="s">
        <v>960</v>
      </c>
      <c r="B34" t="s">
        <v>1031</v>
      </c>
      <c r="C34" s="17" t="s">
        <v>1032</v>
      </c>
    </row>
    <row r="35" spans="1:3" x14ac:dyDescent="0.4">
      <c r="A35" s="56" t="s">
        <v>957</v>
      </c>
      <c r="B35" t="s">
        <v>1031</v>
      </c>
      <c r="C35" s="17" t="s">
        <v>1033</v>
      </c>
    </row>
    <row r="36" spans="1:3" x14ac:dyDescent="0.4">
      <c r="A36" t="s">
        <v>961</v>
      </c>
    </row>
    <row r="37" spans="1:3" x14ac:dyDescent="0.4">
      <c r="A37" s="36" t="s">
        <v>962</v>
      </c>
    </row>
    <row r="38" spans="1:3" x14ac:dyDescent="0.4">
      <c r="A38" s="36" t="s">
        <v>963</v>
      </c>
    </row>
    <row r="39" spans="1:3" x14ac:dyDescent="0.4">
      <c r="A39" s="36" t="s">
        <v>964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779</v>
      </c>
      <c r="E1" t="s">
        <v>783</v>
      </c>
      <c r="F1" t="s">
        <v>784</v>
      </c>
      <c r="G1" t="s">
        <v>785</v>
      </c>
      <c r="H1" t="s">
        <v>520</v>
      </c>
      <c r="I1" t="s">
        <v>521</v>
      </c>
    </row>
    <row r="2" spans="1:9" x14ac:dyDescent="0.4">
      <c r="A2" s="45" t="s">
        <v>636</v>
      </c>
      <c r="B2" t="s">
        <v>637</v>
      </c>
      <c r="C2" t="s">
        <v>638</v>
      </c>
      <c r="D2" s="39">
        <v>-0.15</v>
      </c>
      <c r="H2" t="s">
        <v>782</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517</v>
      </c>
      <c r="B1" t="s">
        <v>518</v>
      </c>
      <c r="C1" t="s">
        <v>519</v>
      </c>
      <c r="D1" t="s">
        <v>520</v>
      </c>
      <c r="E1" t="s">
        <v>521</v>
      </c>
    </row>
    <row r="2" spans="1:5" x14ac:dyDescent="0.4">
      <c r="A2" t="s">
        <v>6</v>
      </c>
      <c r="B2" t="s">
        <v>650</v>
      </c>
      <c r="C2" t="s">
        <v>651</v>
      </c>
      <c r="D2" t="s">
        <v>652</v>
      </c>
      <c r="E2" t="s">
        <v>653</v>
      </c>
    </row>
    <row r="3" spans="1:5" x14ac:dyDescent="0.4">
      <c r="A3" t="s">
        <v>6</v>
      </c>
      <c r="B3" t="s">
        <v>654</v>
      </c>
      <c r="C3" t="s">
        <v>651</v>
      </c>
      <c r="D3" t="s">
        <v>652</v>
      </c>
      <c r="E3" t="s">
        <v>653</v>
      </c>
    </row>
    <row r="4" spans="1:5" x14ac:dyDescent="0.4">
      <c r="A4" t="s">
        <v>6</v>
      </c>
      <c r="B4" t="s">
        <v>655</v>
      </c>
      <c r="C4" t="s">
        <v>651</v>
      </c>
      <c r="D4" t="s">
        <v>652</v>
      </c>
      <c r="E4" t="s">
        <v>653</v>
      </c>
    </row>
    <row r="5" spans="1:5" x14ac:dyDescent="0.4">
      <c r="A5" t="s">
        <v>6</v>
      </c>
      <c r="B5" t="s">
        <v>656</v>
      </c>
      <c r="C5" t="s">
        <v>651</v>
      </c>
      <c r="D5" t="s">
        <v>652</v>
      </c>
      <c r="E5" t="s">
        <v>653</v>
      </c>
    </row>
    <row r="6" spans="1:5" x14ac:dyDescent="0.4">
      <c r="A6" t="s">
        <v>6</v>
      </c>
      <c r="B6" t="s">
        <v>657</v>
      </c>
      <c r="C6" t="s">
        <v>651</v>
      </c>
      <c r="D6" t="s">
        <v>652</v>
      </c>
      <c r="E6" t="s">
        <v>653</v>
      </c>
    </row>
    <row r="7" spans="1:5" x14ac:dyDescent="0.4">
      <c r="A7" t="s">
        <v>6</v>
      </c>
      <c r="B7" t="s">
        <v>658</v>
      </c>
      <c r="C7" t="s">
        <v>651</v>
      </c>
      <c r="D7" t="s">
        <v>652</v>
      </c>
      <c r="E7" t="s">
        <v>653</v>
      </c>
    </row>
    <row r="8" spans="1:5" x14ac:dyDescent="0.4">
      <c r="A8" t="s">
        <v>6</v>
      </c>
      <c r="B8" t="s">
        <v>659</v>
      </c>
      <c r="C8" t="s">
        <v>651</v>
      </c>
      <c r="D8" t="s">
        <v>652</v>
      </c>
      <c r="E8" t="s">
        <v>653</v>
      </c>
    </row>
    <row r="9" spans="1:5" x14ac:dyDescent="0.4">
      <c r="A9" t="s">
        <v>6</v>
      </c>
      <c r="B9" t="s">
        <v>660</v>
      </c>
      <c r="C9" t="s">
        <v>651</v>
      </c>
      <c r="D9" t="s">
        <v>652</v>
      </c>
      <c r="E9" t="s">
        <v>653</v>
      </c>
    </row>
    <row r="10" spans="1:5" x14ac:dyDescent="0.4">
      <c r="A10" t="s">
        <v>6</v>
      </c>
      <c r="B10" t="s">
        <v>661</v>
      </c>
      <c r="C10" t="s">
        <v>651</v>
      </c>
      <c r="D10" t="s">
        <v>652</v>
      </c>
      <c r="E10" t="s">
        <v>653</v>
      </c>
    </row>
    <row r="11" spans="1:5" x14ac:dyDescent="0.4">
      <c r="A11" t="s">
        <v>6</v>
      </c>
      <c r="B11" t="s">
        <v>662</v>
      </c>
      <c r="C11" t="s">
        <v>651</v>
      </c>
      <c r="D11" t="s">
        <v>652</v>
      </c>
      <c r="E11" t="s">
        <v>653</v>
      </c>
    </row>
    <row r="12" spans="1:5" x14ac:dyDescent="0.4">
      <c r="A12" t="s">
        <v>6</v>
      </c>
      <c r="B12" t="s">
        <v>664</v>
      </c>
      <c r="C12" t="s">
        <v>651</v>
      </c>
      <c r="D12" t="s">
        <v>652</v>
      </c>
      <c r="E12" t="s">
        <v>653</v>
      </c>
    </row>
    <row r="13" spans="1:5" x14ac:dyDescent="0.4">
      <c r="A13" t="s">
        <v>6</v>
      </c>
      <c r="B13" t="s">
        <v>663</v>
      </c>
      <c r="C13" t="s">
        <v>651</v>
      </c>
      <c r="D13" t="s">
        <v>652</v>
      </c>
      <c r="E13"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27"/>
  <sheetViews>
    <sheetView workbookViewId="0"/>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704</v>
      </c>
      <c r="B1" t="s">
        <v>972</v>
      </c>
      <c r="C1" t="s">
        <v>709</v>
      </c>
      <c r="D1" t="s">
        <v>708</v>
      </c>
      <c r="E1" t="s">
        <v>710</v>
      </c>
      <c r="F1" t="s">
        <v>176</v>
      </c>
      <c r="G1" t="s">
        <v>713</v>
      </c>
      <c r="H1" t="s">
        <v>155</v>
      </c>
      <c r="I1" t="s">
        <v>156</v>
      </c>
      <c r="J1" t="s">
        <v>162</v>
      </c>
      <c r="K1" t="s">
        <v>977</v>
      </c>
      <c r="L1" t="s">
        <v>986</v>
      </c>
      <c r="M1" t="s">
        <v>715</v>
      </c>
      <c r="N1" t="s">
        <v>716</v>
      </c>
      <c r="O1" t="s">
        <v>717</v>
      </c>
      <c r="P1" t="s">
        <v>718</v>
      </c>
      <c r="Q1" t="s">
        <v>994</v>
      </c>
      <c r="R1" s="53" t="s">
        <v>995</v>
      </c>
      <c r="S1" s="53" t="s">
        <v>484</v>
      </c>
    </row>
    <row r="2" spans="1:19" x14ac:dyDescent="0.4">
      <c r="A2" t="s">
        <v>699</v>
      </c>
      <c r="B2" t="s">
        <v>973</v>
      </c>
      <c r="C2">
        <v>-20</v>
      </c>
      <c r="D2">
        <v>0</v>
      </c>
      <c r="E2">
        <v>25</v>
      </c>
      <c r="F2">
        <v>20</v>
      </c>
      <c r="H2">
        <v>10</v>
      </c>
      <c r="I2">
        <v>135</v>
      </c>
      <c r="M2" t="s">
        <v>714</v>
      </c>
      <c r="N2" t="s">
        <v>719</v>
      </c>
      <c r="O2" t="s">
        <v>720</v>
      </c>
      <c r="Q2">
        <v>1</v>
      </c>
      <c r="R2" s="52">
        <v>0.5</v>
      </c>
      <c r="S2" s="52">
        <v>0</v>
      </c>
    </row>
    <row r="3" spans="1:19" x14ac:dyDescent="0.4">
      <c r="A3" t="s">
        <v>721</v>
      </c>
      <c r="B3" t="s">
        <v>973</v>
      </c>
      <c r="C3">
        <v>-10</v>
      </c>
      <c r="D3">
        <v>0</v>
      </c>
      <c r="E3">
        <v>35</v>
      </c>
      <c r="F3">
        <v>25</v>
      </c>
      <c r="H3">
        <v>10</v>
      </c>
      <c r="I3">
        <v>135</v>
      </c>
      <c r="M3" t="s">
        <v>724</v>
      </c>
      <c r="N3" t="s">
        <v>720</v>
      </c>
      <c r="Q3">
        <v>1.25</v>
      </c>
      <c r="R3" s="52">
        <v>1</v>
      </c>
      <c r="S3" s="52">
        <v>0.1</v>
      </c>
    </row>
    <row r="4" spans="1:19" x14ac:dyDescent="0.4">
      <c r="A4" t="s">
        <v>722</v>
      </c>
      <c r="B4" t="s">
        <v>973</v>
      </c>
      <c r="C4">
        <v>0</v>
      </c>
      <c r="D4">
        <v>0</v>
      </c>
      <c r="E4">
        <v>40</v>
      </c>
      <c r="F4">
        <v>25</v>
      </c>
      <c r="H4">
        <v>10</v>
      </c>
      <c r="I4">
        <v>135</v>
      </c>
      <c r="M4" t="s">
        <v>724</v>
      </c>
      <c r="Q4">
        <v>1.5</v>
      </c>
      <c r="R4" s="52">
        <v>1.4</v>
      </c>
      <c r="S4" s="52">
        <v>0.1</v>
      </c>
    </row>
    <row r="5" spans="1:19" x14ac:dyDescent="0.4">
      <c r="A5" t="s">
        <v>700</v>
      </c>
      <c r="B5" t="s">
        <v>973</v>
      </c>
      <c r="C5">
        <v>0</v>
      </c>
      <c r="D5">
        <v>0</v>
      </c>
      <c r="E5">
        <v>45</v>
      </c>
      <c r="F5">
        <v>25</v>
      </c>
      <c r="H5">
        <v>10</v>
      </c>
      <c r="I5">
        <v>135</v>
      </c>
      <c r="M5" t="s">
        <v>723</v>
      </c>
      <c r="Q5">
        <v>1.25</v>
      </c>
      <c r="R5" s="52">
        <v>0.6</v>
      </c>
      <c r="S5" s="52">
        <v>1.2</v>
      </c>
    </row>
    <row r="6" spans="1:19" x14ac:dyDescent="0.4">
      <c r="A6" t="s">
        <v>701</v>
      </c>
      <c r="B6" t="s">
        <v>973</v>
      </c>
      <c r="C6">
        <v>10</v>
      </c>
      <c r="D6">
        <v>0</v>
      </c>
      <c r="E6">
        <v>45</v>
      </c>
      <c r="F6">
        <v>25</v>
      </c>
      <c r="H6">
        <v>10</v>
      </c>
      <c r="I6">
        <v>125</v>
      </c>
      <c r="M6" t="s">
        <v>723</v>
      </c>
      <c r="Q6">
        <v>1.25</v>
      </c>
      <c r="R6" s="52">
        <v>1.2</v>
      </c>
      <c r="S6" s="52">
        <v>0.4</v>
      </c>
    </row>
    <row r="7" spans="1:19" x14ac:dyDescent="0.4">
      <c r="A7" t="s">
        <v>705</v>
      </c>
      <c r="B7" t="s">
        <v>973</v>
      </c>
      <c r="C7">
        <v>-10</v>
      </c>
      <c r="D7">
        <v>0</v>
      </c>
      <c r="E7">
        <v>35</v>
      </c>
      <c r="F7">
        <v>25</v>
      </c>
      <c r="H7">
        <v>10</v>
      </c>
      <c r="I7">
        <v>125</v>
      </c>
      <c r="M7" t="s">
        <v>140</v>
      </c>
      <c r="Q7">
        <v>1</v>
      </c>
      <c r="R7" s="52">
        <v>0</v>
      </c>
      <c r="S7" s="52">
        <v>1</v>
      </c>
    </row>
    <row r="8" spans="1:19" x14ac:dyDescent="0.4">
      <c r="A8" t="s">
        <v>706</v>
      </c>
      <c r="B8" t="s">
        <v>973</v>
      </c>
      <c r="C8">
        <v>10</v>
      </c>
      <c r="D8">
        <v>0</v>
      </c>
      <c r="E8">
        <v>45</v>
      </c>
      <c r="F8">
        <v>25</v>
      </c>
      <c r="H8">
        <v>10</v>
      </c>
      <c r="I8">
        <v>125</v>
      </c>
      <c r="M8" t="s">
        <v>140</v>
      </c>
      <c r="Q8">
        <v>1.5</v>
      </c>
      <c r="R8" s="52">
        <v>1.6</v>
      </c>
      <c r="S8" s="52">
        <v>0.2</v>
      </c>
    </row>
    <row r="9" spans="1:19" x14ac:dyDescent="0.4">
      <c r="A9" t="s">
        <v>702</v>
      </c>
      <c r="B9" t="s">
        <v>973</v>
      </c>
      <c r="C9">
        <v>25</v>
      </c>
      <c r="D9">
        <v>0</v>
      </c>
      <c r="E9">
        <v>30</v>
      </c>
      <c r="F9">
        <v>25</v>
      </c>
      <c r="G9">
        <v>40</v>
      </c>
      <c r="H9">
        <v>10</v>
      </c>
      <c r="I9">
        <v>135</v>
      </c>
      <c r="J9">
        <v>4</v>
      </c>
      <c r="Q9">
        <v>1.25</v>
      </c>
      <c r="R9" s="52">
        <v>0.2</v>
      </c>
      <c r="S9" s="52">
        <v>1.4</v>
      </c>
    </row>
    <row r="10" spans="1:19" x14ac:dyDescent="0.4">
      <c r="A10" t="s">
        <v>707</v>
      </c>
      <c r="B10" t="s">
        <v>973</v>
      </c>
      <c r="C10">
        <v>-20</v>
      </c>
      <c r="D10">
        <v>0</v>
      </c>
      <c r="E10">
        <v>10</v>
      </c>
      <c r="F10">
        <v>25</v>
      </c>
      <c r="G10">
        <v>40</v>
      </c>
      <c r="H10">
        <v>10</v>
      </c>
      <c r="I10">
        <v>140</v>
      </c>
      <c r="J10">
        <v>4</v>
      </c>
      <c r="M10" t="s">
        <v>725</v>
      </c>
      <c r="Q10">
        <v>2</v>
      </c>
      <c r="R10" s="52">
        <v>2</v>
      </c>
      <c r="S10" s="52">
        <v>0.3</v>
      </c>
    </row>
    <row r="11" spans="1:19" x14ac:dyDescent="0.4">
      <c r="A11" t="s">
        <v>703</v>
      </c>
      <c r="B11" t="s">
        <v>973</v>
      </c>
      <c r="C11">
        <v>0</v>
      </c>
      <c r="D11">
        <v>-15</v>
      </c>
      <c r="E11">
        <v>30</v>
      </c>
      <c r="F11">
        <v>25</v>
      </c>
      <c r="H11">
        <v>10</v>
      </c>
      <c r="I11">
        <v>120</v>
      </c>
      <c r="M11" t="s">
        <v>987</v>
      </c>
      <c r="Q11">
        <v>2</v>
      </c>
      <c r="R11" s="52">
        <v>0.1</v>
      </c>
      <c r="S11" s="52">
        <v>1.3</v>
      </c>
    </row>
    <row r="13" spans="1:19" x14ac:dyDescent="0.4">
      <c r="A13" t="s">
        <v>726</v>
      </c>
      <c r="B13" t="s">
        <v>973</v>
      </c>
      <c r="C13">
        <v>0</v>
      </c>
      <c r="E13">
        <v>20</v>
      </c>
      <c r="F13">
        <v>35</v>
      </c>
      <c r="H13">
        <v>10</v>
      </c>
      <c r="I13">
        <v>120</v>
      </c>
      <c r="Q13">
        <v>1</v>
      </c>
      <c r="R13" s="52">
        <v>0.6</v>
      </c>
      <c r="S13" s="52">
        <v>0.8</v>
      </c>
    </row>
    <row r="14" spans="1:19" x14ac:dyDescent="0.4">
      <c r="A14" t="s">
        <v>727</v>
      </c>
      <c r="B14" t="s">
        <v>973</v>
      </c>
      <c r="C14">
        <v>10</v>
      </c>
      <c r="E14">
        <v>25</v>
      </c>
      <c r="F14">
        <v>45</v>
      </c>
      <c r="H14">
        <v>10</v>
      </c>
      <c r="I14">
        <v>120</v>
      </c>
      <c r="Q14">
        <v>1.5</v>
      </c>
      <c r="R14" s="52">
        <v>1</v>
      </c>
      <c r="S14" s="52">
        <v>1.2</v>
      </c>
    </row>
    <row r="15" spans="1:19" x14ac:dyDescent="0.4">
      <c r="R15" s="52">
        <v>0.2</v>
      </c>
      <c r="S15" s="52">
        <v>0</v>
      </c>
    </row>
    <row r="16" spans="1:19" x14ac:dyDescent="0.4">
      <c r="A16" t="s">
        <v>975</v>
      </c>
      <c r="B16" t="s">
        <v>966</v>
      </c>
      <c r="L16">
        <v>3</v>
      </c>
      <c r="M16" t="s">
        <v>987</v>
      </c>
      <c r="Q16">
        <v>1</v>
      </c>
      <c r="R16" s="52">
        <v>0.2</v>
      </c>
      <c r="S16" s="52">
        <v>0.1</v>
      </c>
    </row>
    <row r="17" spans="1:19" x14ac:dyDescent="0.4">
      <c r="A17" t="s">
        <v>974</v>
      </c>
      <c r="B17" t="s">
        <v>966</v>
      </c>
      <c r="K17">
        <v>5</v>
      </c>
      <c r="L17">
        <v>10</v>
      </c>
      <c r="Q17">
        <v>1.5</v>
      </c>
      <c r="R17" s="52">
        <v>0.7</v>
      </c>
      <c r="S17" s="52">
        <v>0.1</v>
      </c>
    </row>
    <row r="18" spans="1:19" x14ac:dyDescent="0.4">
      <c r="A18" t="s">
        <v>976</v>
      </c>
      <c r="B18" t="s">
        <v>966</v>
      </c>
      <c r="L18">
        <v>4</v>
      </c>
      <c r="Q18">
        <v>1</v>
      </c>
      <c r="R18" s="52">
        <v>0.1</v>
      </c>
      <c r="S18" s="52">
        <v>0.3</v>
      </c>
    </row>
    <row r="20" spans="1:19" x14ac:dyDescent="0.4">
      <c r="A20" t="s">
        <v>978</v>
      </c>
      <c r="B20" t="s">
        <v>969</v>
      </c>
      <c r="K20">
        <v>10</v>
      </c>
      <c r="L20">
        <v>20</v>
      </c>
      <c r="Q20">
        <v>2</v>
      </c>
      <c r="R20" s="52">
        <v>2.8</v>
      </c>
      <c r="S20" s="52">
        <v>0.25</v>
      </c>
    </row>
    <row r="21" spans="1:19" x14ac:dyDescent="0.4">
      <c r="A21" t="s">
        <v>979</v>
      </c>
      <c r="B21" t="s">
        <v>969</v>
      </c>
      <c r="L21">
        <v>10</v>
      </c>
      <c r="Q21">
        <v>1.5</v>
      </c>
      <c r="R21" s="52">
        <v>0.25</v>
      </c>
      <c r="S21" s="52">
        <v>1</v>
      </c>
    </row>
    <row r="22" spans="1:19" x14ac:dyDescent="0.4">
      <c r="A22" t="s">
        <v>980</v>
      </c>
      <c r="B22" t="s">
        <v>969</v>
      </c>
      <c r="L22">
        <v>5</v>
      </c>
      <c r="M22" t="s">
        <v>988</v>
      </c>
      <c r="Q22">
        <v>1.5</v>
      </c>
      <c r="R22" s="52">
        <v>0.25</v>
      </c>
      <c r="S22" s="52">
        <v>1</v>
      </c>
    </row>
    <row r="24" spans="1:19" x14ac:dyDescent="0.4">
      <c r="A24" t="s">
        <v>981</v>
      </c>
      <c r="B24" t="s">
        <v>985</v>
      </c>
      <c r="M24" t="s">
        <v>987</v>
      </c>
      <c r="Q24">
        <v>1</v>
      </c>
      <c r="R24" s="52">
        <v>0.15</v>
      </c>
      <c r="S24" s="52">
        <v>0.05</v>
      </c>
    </row>
    <row r="25" spans="1:19" x14ac:dyDescent="0.4">
      <c r="A25" t="s">
        <v>982</v>
      </c>
      <c r="B25" t="s">
        <v>985</v>
      </c>
      <c r="M25" t="s">
        <v>989</v>
      </c>
      <c r="N25" t="s">
        <v>990</v>
      </c>
      <c r="Q25">
        <v>1</v>
      </c>
      <c r="R25" s="52">
        <v>0.1</v>
      </c>
      <c r="S25" s="52">
        <v>0.05</v>
      </c>
    </row>
    <row r="26" spans="1:19" x14ac:dyDescent="0.4">
      <c r="A26" t="s">
        <v>983</v>
      </c>
      <c r="B26" t="s">
        <v>985</v>
      </c>
      <c r="M26" t="s">
        <v>991</v>
      </c>
      <c r="Q26">
        <v>1</v>
      </c>
      <c r="R26" s="52">
        <v>0.1</v>
      </c>
      <c r="S26" s="52">
        <v>0.05</v>
      </c>
    </row>
    <row r="27" spans="1:19" x14ac:dyDescent="0.4">
      <c r="A27" t="s">
        <v>984</v>
      </c>
      <c r="B27" t="s">
        <v>985</v>
      </c>
      <c r="M27" t="s">
        <v>992</v>
      </c>
      <c r="N27" t="s">
        <v>993</v>
      </c>
      <c r="Q27">
        <v>1</v>
      </c>
      <c r="R27" s="52">
        <v>0.2</v>
      </c>
      <c r="S27"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O38"/>
  <sheetViews>
    <sheetView tabSelected="1" workbookViewId="0">
      <selection activeCell="C6" sqref="C6"/>
    </sheetView>
  </sheetViews>
  <sheetFormatPr defaultRowHeight="18.75" outlineLevelCol="1" x14ac:dyDescent="0.4"/>
  <cols>
    <col min="2" max="2" width="10.125" customWidth="1"/>
    <col min="3" max="3" width="43.125" style="17" customWidth="1"/>
    <col min="4" max="4" width="5.125" customWidth="1"/>
    <col min="5" max="8" width="5.125" customWidth="1" outlineLevel="1"/>
    <col min="9" max="10" width="4.5" customWidth="1" outlineLevel="1"/>
    <col min="11" max="11" width="3.5" customWidth="1" outlineLevel="1"/>
    <col min="12" max="12" width="3.375" customWidth="1" outlineLevel="1"/>
    <col min="13" max="14" width="4.5" customWidth="1" outlineLevel="1"/>
    <col min="15" max="16" width="5.25" customWidth="1" outlineLevel="1"/>
    <col min="17" max="17" width="5.5" customWidth="1" outlineLevel="1"/>
    <col min="18" max="18" width="4.5" customWidth="1" outlineLevel="1"/>
    <col min="19" max="20" width="5.5" customWidth="1" outlineLevel="1"/>
    <col min="21" max="21" width="3.625" customWidth="1" outlineLevel="1"/>
    <col min="22" max="22" width="5.125" customWidth="1" outlineLevel="1"/>
    <col min="23" max="23" width="3.875" customWidth="1" outlineLevel="1"/>
    <col min="24" max="26" width="5.125" customWidth="1" outlineLevel="1"/>
    <col min="27" max="27" width="5.125" customWidth="1"/>
    <col min="28" max="31" width="5.125" customWidth="1" outlineLevel="1"/>
    <col min="32" max="32" width="5.125" customWidth="1"/>
    <col min="33" max="33" width="5.125" customWidth="1" outlineLevel="1"/>
    <col min="34" max="34" width="5.125" customWidth="1"/>
    <col min="35" max="37" width="5.125" customWidth="1" outlineLevel="1"/>
    <col min="38" max="38" width="5.125" customWidth="1"/>
    <col min="39" max="41" width="5.125" customWidth="1" outlineLevel="1"/>
    <col min="42" max="94" width="3.75" customWidth="1"/>
  </cols>
  <sheetData>
    <row r="1" spans="1:41" s="17" customFormat="1" ht="37.5" customHeight="1" x14ac:dyDescent="0.4">
      <c r="A1" s="17" t="s">
        <v>747</v>
      </c>
      <c r="B1" s="17" t="s">
        <v>750</v>
      </c>
      <c r="C1" s="17" t="s">
        <v>666</v>
      </c>
      <c r="D1" s="55" t="s">
        <v>1028</v>
      </c>
      <c r="E1" s="55" t="s">
        <v>623</v>
      </c>
      <c r="F1" s="55" t="s">
        <v>624</v>
      </c>
      <c r="G1" s="55" t="s">
        <v>622</v>
      </c>
      <c r="H1" s="55" t="s">
        <v>1017</v>
      </c>
      <c r="I1" s="57" t="s">
        <v>484</v>
      </c>
      <c r="J1" s="57" t="s">
        <v>485</v>
      </c>
      <c r="K1" s="57" t="s">
        <v>486</v>
      </c>
      <c r="L1" s="58" t="s">
        <v>487</v>
      </c>
      <c r="M1" s="58" t="s">
        <v>488</v>
      </c>
      <c r="N1" s="58" t="s">
        <v>489</v>
      </c>
      <c r="O1" s="58" t="s">
        <v>490</v>
      </c>
      <c r="P1" s="58" t="s">
        <v>491</v>
      </c>
      <c r="Q1" s="36" t="s">
        <v>492</v>
      </c>
      <c r="R1" s="36" t="s">
        <v>493</v>
      </c>
      <c r="S1" s="36" t="s">
        <v>494</v>
      </c>
      <c r="T1" s="56" t="s">
        <v>960</v>
      </c>
      <c r="U1" s="56" t="s">
        <v>957</v>
      </c>
      <c r="V1" s="17" t="s">
        <v>633</v>
      </c>
      <c r="W1" s="17" t="s">
        <v>629</v>
      </c>
      <c r="X1" s="17" t="s">
        <v>779</v>
      </c>
      <c r="Y1" s="17" t="s">
        <v>634</v>
      </c>
      <c r="AA1" s="26" t="s">
        <v>248</v>
      </c>
      <c r="AB1" s="26" t="s">
        <v>1</v>
      </c>
      <c r="AC1" s="26" t="s">
        <v>2</v>
      </c>
      <c r="AD1" s="26" t="s">
        <v>106</v>
      </c>
      <c r="AE1" s="26" t="s">
        <v>105</v>
      </c>
      <c r="AF1" s="27" t="s">
        <v>4</v>
      </c>
      <c r="AG1" s="27" t="s">
        <v>3</v>
      </c>
      <c r="AH1" s="28" t="s">
        <v>227</v>
      </c>
      <c r="AI1" s="28" t="s">
        <v>228</v>
      </c>
      <c r="AJ1" s="28" t="s">
        <v>229</v>
      </c>
      <c r="AK1" s="28" t="s">
        <v>230</v>
      </c>
      <c r="AL1" s="29" t="s">
        <v>231</v>
      </c>
      <c r="AM1" s="29" t="s">
        <v>5</v>
      </c>
      <c r="AN1" s="29" t="s">
        <v>1057</v>
      </c>
      <c r="AO1" s="29" t="s">
        <v>6</v>
      </c>
    </row>
    <row r="2" spans="1:41" ht="37.5" x14ac:dyDescent="0.4">
      <c r="A2" t="s">
        <v>730</v>
      </c>
      <c r="B2" t="s">
        <v>756</v>
      </c>
      <c r="C2" s="17" t="s">
        <v>755</v>
      </c>
      <c r="G2">
        <v>1</v>
      </c>
      <c r="I2" cm="1">
        <f t="array" ref="I2">_xlfn.LET(
_xlpm.h,I$1,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 cm="1">
        <f t="array" ref="J2">_xlfn.LET(
_xlpm.h,J$1,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 cm="1">
        <f t="array" ref="K2">_xlfn.LET(
_xlpm.h,K$1,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 cm="1">
        <f t="array" ref="L2">_xlfn.LET(
_xlpm.h,L$1,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 cm="1">
        <f t="array" ref="M2">_xlfn.LET(
_xlpm.h,M$1,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 cm="1">
        <f t="array" ref="N2">_xlfn.LET(
_xlpm.h,N$1,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 cm="1">
        <f t="array" ref="O2">_xlfn.LET(
_xlpm.h,O$1,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 cm="1">
        <f t="array" ref="P2">_xlfn.LET(
_xlpm.h,P$1,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41" ht="37.5" x14ac:dyDescent="0.4">
      <c r="A3" t="s">
        <v>1006</v>
      </c>
      <c r="B3" t="s">
        <v>756</v>
      </c>
      <c r="C3" s="17" t="s">
        <v>1005</v>
      </c>
      <c r="G3">
        <v>1</v>
      </c>
      <c r="H3">
        <v>1</v>
      </c>
      <c r="I3" cm="1">
        <f t="array" ref="I3">_xlfn.LET(
_xlpm.h,I$1,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3" cm="1">
        <f t="array" ref="J3">_xlfn.LET(
_xlpm.h,J$1,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 cm="1">
        <f t="array" ref="K3">_xlfn.LET(
_xlpm.h,K$1,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 cm="1">
        <f t="array" ref="L3">_xlfn.LET(
_xlpm.h,L$1,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 cm="1">
        <f t="array" ref="M3">_xlfn.LET(
_xlpm.h,M$1,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 cm="1">
        <f t="array" ref="N3">_xlfn.LET(
_xlpm.h,N$1,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cm="1">
        <f t="array" ref="O3">_xlfn.LET(
_xlpm.h,O$1,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 cm="1">
        <f t="array" ref="P3">_xlfn.LET(
_xlpm.h,P$1,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41" ht="37.5" x14ac:dyDescent="0.4">
      <c r="A4" t="s">
        <v>731</v>
      </c>
      <c r="B4" t="s">
        <v>756</v>
      </c>
      <c r="C4" s="17" t="s">
        <v>757</v>
      </c>
      <c r="G4">
        <v>2</v>
      </c>
      <c r="I4" cm="1">
        <f t="array" ref="I4">_xlfn.LET(
_xlpm.h,I$1,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4" cm="1">
        <f t="array" ref="J4">_xlfn.LET(
_xlpm.h,J$1,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4" cm="1">
        <f t="array" ref="K4">_xlfn.LET(
_xlpm.h,K$1,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4" cm="1">
        <f t="array" ref="L4">_xlfn.LET(
_xlpm.h,L$1,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4" cm="1">
        <f t="array" ref="M4">_xlfn.LET(
_xlpm.h,M$1,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4" cm="1">
        <f t="array" ref="N4">_xlfn.LET(
_xlpm.h,N$1,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4" cm="1">
        <f t="array" ref="O4">_xlfn.LET(
_xlpm.h,O$1,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4" cm="1">
        <f t="array" ref="P4">_xlfn.LET(
_xlpm.h,P$1,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4" cm="1">
        <f t="array" ref="Q4">_xlfn.LET(
_xlpm.h,Q$1,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4" cm="1">
        <f t="array" ref="R4">_xlfn.LET(
_xlpm.h,R$1,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4" cm="1">
        <f t="array" ref="S4">_xlfn.LET(
_xlpm.h,S$1,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4" cm="1">
        <f t="array" ref="T4">_xlfn.LET(
_xlpm.h,T$1,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4" cm="1">
        <f t="array" ref="U4">_xlfn.LET(
_xlpm.h,U$1,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41" ht="37.5" x14ac:dyDescent="0.4">
      <c r="A5" t="s">
        <v>732</v>
      </c>
      <c r="B5" t="s">
        <v>756</v>
      </c>
      <c r="C5" s="17" t="s">
        <v>1029</v>
      </c>
      <c r="D5">
        <v>1</v>
      </c>
      <c r="I5" cm="1">
        <f t="array" ref="I5">_xlfn.LET(
_xlpm.h,I$1,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5" cm="1">
        <f t="array" ref="J5">_xlfn.LET(
_xlpm.h,J$1,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5" cm="1">
        <f t="array" ref="K5">_xlfn.LET(
_xlpm.h,K$1,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5" cm="1">
        <f t="array" ref="L5">_xlfn.LET(
_xlpm.h,L$1,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5" cm="1">
        <f t="array" ref="M5">_xlfn.LET(
_xlpm.h,M$1,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5" cm="1">
        <f t="array" ref="N5">_xlfn.LET(
_xlpm.h,N$1,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5" cm="1">
        <f t="array" ref="O5">_xlfn.LET(
_xlpm.h,O$1,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5" cm="1">
        <f t="array" ref="P5">_xlfn.LET(
_xlpm.h,P$1,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5" cm="1">
        <f t="array" ref="Q5">_xlfn.LET(
_xlpm.h,Q$1,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5" cm="1">
        <f t="array" ref="R5">_xlfn.LET(
_xlpm.h,R$1,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5" cm="1">
        <f t="array" ref="S5">_xlfn.LET(
_xlpm.h,S$1,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5" cm="1">
        <f t="array" ref="T5">_xlfn.LET(
_xlpm.h,T$1,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5" cm="1">
        <f t="array" ref="U5">_xlfn.LET(
_xlpm.h,U$1,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41" ht="37.5" x14ac:dyDescent="0.4">
      <c r="A6" t="s">
        <v>733</v>
      </c>
      <c r="B6" t="s">
        <v>756</v>
      </c>
      <c r="C6" s="17" t="s">
        <v>1008</v>
      </c>
      <c r="G6">
        <v>2</v>
      </c>
      <c r="I6" cm="1">
        <f t="array" ref="I6">_xlfn.LET(
_xlpm.h,I$1,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6" cm="1">
        <f t="array" ref="J6">_xlfn.LET(
_xlpm.h,J$1,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6" cm="1">
        <f t="array" ref="K6">_xlfn.LET(
_xlpm.h,K$1,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6" cm="1">
        <f t="array" ref="L6">_xlfn.LET(
_xlpm.h,L$1,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6" cm="1">
        <f t="array" ref="N6">_xlfn.LET(
_xlpm.h,N$1,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_xlpm.h,O$1,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6" cm="1">
        <f t="array" ref="P6">_xlfn.LET(
_xlpm.h,P$1,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41" x14ac:dyDescent="0.4">
      <c r="A7" t="s">
        <v>1026</v>
      </c>
      <c r="B7" t="s">
        <v>1027</v>
      </c>
      <c r="G7">
        <v>3</v>
      </c>
      <c r="H7">
        <v>2</v>
      </c>
      <c r="I7" cm="1">
        <f t="array" ref="I7">_xlfn.LET(
_xlpm.h,I$1,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7" cm="1">
        <f t="array" ref="J7">_xlfn.LET(
_xlpm.h,J$1,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7" cm="1">
        <f t="array" ref="K7">_xlfn.LET(
_xlpm.h,K$1,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7" cm="1">
        <f t="array" ref="L7">_xlfn.LET(
_xlpm.h,L$1,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7" cm="1">
        <f t="array" ref="N7">_xlfn.LET(
_xlpm.h,N$1,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7" cm="1">
        <f t="array" ref="O7">_xlfn.LET(
_xlpm.h,O$1,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7" cm="1">
        <f t="array" ref="P7">_xlfn.LET(
_xlpm.h,P$1,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41" x14ac:dyDescent="0.4">
      <c r="A8" t="s">
        <v>734</v>
      </c>
      <c r="B8" t="s">
        <v>756</v>
      </c>
      <c r="C8" s="17" t="s">
        <v>758</v>
      </c>
      <c r="G8">
        <v>2</v>
      </c>
      <c r="I8" cm="1">
        <f t="array" ref="I8">_xlfn.LET(
_xlpm.h,I$1,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8" cm="1">
        <f t="array" ref="J8">_xlfn.LET(
_xlpm.h,J$1,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8" cm="1">
        <f t="array" ref="K8">_xlfn.LET(
_xlpm.h,K$1,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8" cm="1">
        <f t="array" ref="L8">_xlfn.LET(
_xlpm.h,L$1,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8" cm="1">
        <f t="array" ref="N8">_xlfn.LET(
_xlpm.h,N$1,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_xlpm.h,O$1,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8" cm="1">
        <f t="array" ref="P8">_xlfn.LET(
_xlpm.h,P$1,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G8">
        <v>75</v>
      </c>
    </row>
    <row r="9" spans="1:41" x14ac:dyDescent="0.4">
      <c r="A9" t="s">
        <v>735</v>
      </c>
      <c r="B9" t="s">
        <v>756</v>
      </c>
      <c r="C9" s="17" t="s">
        <v>759</v>
      </c>
      <c r="G9">
        <v>3</v>
      </c>
      <c r="I9" cm="1">
        <f t="array" ref="I9">_xlfn.LET(
_xlpm.h,I$1,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9" cm="1">
        <f t="array" ref="J9">_xlfn.LET(
_xlpm.h,J$1,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9" cm="1">
        <f t="array" ref="K9">_xlfn.LET(
_xlpm.h,K$1,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9" cm="1">
        <f t="array" ref="L9">_xlfn.LET(
_xlpm.h,L$1,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9" cm="1">
        <f t="array" ref="N9">_xlfn.LET(
_xlpm.h,N$1,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9" cm="1">
        <f t="array" ref="P9">_xlfn.LET(
_xlpm.h,P$1,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41" x14ac:dyDescent="0.4">
      <c r="A10" t="s">
        <v>748</v>
      </c>
      <c r="B10" t="s">
        <v>756</v>
      </c>
      <c r="C10" s="17" t="s">
        <v>1034</v>
      </c>
      <c r="H10">
        <v>2</v>
      </c>
      <c r="I10" cm="1">
        <f t="array" ref="I10">_xlfn.LET(
_xlpm.h,I$1,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0" cm="1">
        <f t="array" ref="J10">_xlfn.LET(
_xlpm.h,J$1,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0" cm="1">
        <f t="array" ref="K10">_xlfn.LET(
_xlpm.h,K$1,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0" cm="1">
        <f t="array" ref="L10">_xlfn.LET(
_xlpm.h,L$1,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0" cm="1">
        <f t="array" ref="N10">_xlfn.LET(
_xlpm.h,N$1,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_xlpm.h,O$1,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0" cm="1">
        <f t="array" ref="P10">_xlfn.LET(
_xlpm.h,P$1,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v>10</v>
      </c>
      <c r="X10">
        <v>10</v>
      </c>
    </row>
    <row r="11" spans="1:41" x14ac:dyDescent="0.4">
      <c r="A11" t="s">
        <v>736</v>
      </c>
      <c r="B11" t="s">
        <v>756</v>
      </c>
      <c r="C11" s="17" t="s">
        <v>760</v>
      </c>
      <c r="E11">
        <v>1</v>
      </c>
      <c r="I11" cm="1">
        <f t="array" ref="I11">_xlfn.LET(
_xlpm.h,I$1,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1" cm="1">
        <f t="array" ref="J11">_xlfn.LET(
_xlpm.h,J$1,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1" cm="1">
        <f t="array" ref="K11">_xlfn.LET(
_xlpm.h,K$1,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1" cm="1">
        <f t="array" ref="L11">_xlfn.LET(
_xlpm.h,L$1,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1" cm="1">
        <f t="array" ref="M11">_xlfn.LET(
_xlpm.h,M$1,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_xlpm.h,O$1,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1" cm="1">
        <f t="array" ref="P11">_xlfn.LET(
_xlpm.h,P$1,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1" cm="1">
        <f t="array" ref="Q11">_xlfn.LET(
_xlpm.h,Q$1,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1" cm="1">
        <f t="array" ref="R11">_xlfn.LET(
_xlpm.h,R$1,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1" cm="1">
        <f t="array" ref="S11">_xlfn.LET(
_xlpm.h,S$1,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41" x14ac:dyDescent="0.4">
      <c r="A12" t="s">
        <v>1009</v>
      </c>
      <c r="B12" t="s">
        <v>756</v>
      </c>
      <c r="C12" s="17" t="s">
        <v>1010</v>
      </c>
      <c r="D12">
        <v>1</v>
      </c>
      <c r="E12">
        <v>2</v>
      </c>
      <c r="I12" cm="1">
        <f t="array" ref="I12">_xlfn.LET(
_xlpm.h,I$1,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2" cm="1">
        <f t="array" ref="J12">_xlfn.LET(
_xlpm.h,J$1,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2" cm="1">
        <f t="array" ref="K12">_xlfn.LET(
_xlpm.h,K$1,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2" cm="1">
        <f t="array" ref="L12">_xlfn.LET(
_xlpm.h,L$1,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2" cm="1">
        <f t="array" ref="N12">_xlfn.LET(
_xlpm.h,N$1,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_xlpm.h,O$1,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2" cm="1">
        <f t="array" ref="P12">_xlfn.LET(
_xlpm.h,P$1,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2" cm="1">
        <f t="array" ref="R12">_xlfn.LET(
_xlpm.h,R$1,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2" cm="1">
        <f t="array" ref="S12">_xlfn.LET(
_xlpm.h,S$1,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2" cm="1">
        <f t="array" ref="T12">_xlfn.LET(
_xlpm.h,T$1,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3" spans="1:41" x14ac:dyDescent="0.4">
      <c r="A13" t="s">
        <v>737</v>
      </c>
      <c r="B13" t="s">
        <v>756</v>
      </c>
      <c r="C13" s="17" t="s">
        <v>761</v>
      </c>
      <c r="E13">
        <v>3</v>
      </c>
      <c r="G13">
        <v>3</v>
      </c>
      <c r="I13" cm="1">
        <f t="array" ref="I13">_xlfn.LET(
_xlpm.h,I$1,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3" cm="1">
        <f t="array" ref="J13">_xlfn.LET(
_xlpm.h,J$1,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3" cm="1">
        <f t="array" ref="K13">_xlfn.LET(
_xlpm.h,K$1,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3" cm="1">
        <f t="array" ref="L13">_xlfn.LET(
_xlpm.h,L$1,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3" cm="1">
        <f t="array" ref="M13">_xlfn.LET(
_xlpm.h,M$1,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3" cm="1">
        <f t="array" ref="P13">_xlfn.LET(
_xlpm.h,P$1,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3" cm="1">
        <f t="array" ref="Q13">_xlfn.LET(
_xlpm.h,Q$1,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S13" cm="1">
        <f t="array" ref="S13">_xlfn.LET(
_xlpm.h,S$1,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13" cm="1">
        <f t="array" ref="T13">_xlfn.LET(
_xlpm.h,T$1,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41" x14ac:dyDescent="0.4">
      <c r="A14" t="s">
        <v>749</v>
      </c>
      <c r="B14" t="s">
        <v>756</v>
      </c>
      <c r="C14" s="17" t="s">
        <v>762</v>
      </c>
      <c r="F14">
        <v>1</v>
      </c>
      <c r="I14" cm="1">
        <f t="array" ref="I14">_xlfn.LET(
_xlpm.h,I$1,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4" cm="1">
        <f t="array" ref="J14">_xlfn.LET(
_xlpm.h,J$1,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4" cm="1">
        <f t="array" ref="K14">_xlfn.LET(
_xlpm.h,K$1,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4" cm="1">
        <f t="array" ref="L14">_xlfn.LET(
_xlpm.h,L$1,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4" cm="1">
        <f t="array" ref="N14">_xlfn.LET(
_xlpm.h,N$1,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_xlpm.h,O$1,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4" cm="1">
        <f t="array" ref="P14">_xlfn.LET(
_xlpm.h,P$1,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4" cm="1">
        <f t="array" ref="R14">_xlfn.LET(
_xlpm.h,R$1,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4" cm="1">
        <f t="array" ref="S14">_xlfn.LET(
_xlpm.h,S$1,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5" spans="1:41" ht="17.25" customHeight="1" x14ac:dyDescent="0.4">
      <c r="A15" t="s">
        <v>728</v>
      </c>
      <c r="B15" t="s">
        <v>756</v>
      </c>
      <c r="C15" s="17" t="s">
        <v>763</v>
      </c>
      <c r="F15">
        <v>1</v>
      </c>
      <c r="I15" cm="1">
        <f t="array" ref="I15">_xlfn.LET(
_xlpm.h,I$1,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5" cm="1">
        <f t="array" ref="J15">_xlfn.LET(
_xlpm.h,J$1,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5" cm="1">
        <f t="array" ref="K15">_xlfn.LET(
_xlpm.h,K$1,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5" cm="1">
        <f t="array" ref="L15">_xlfn.LET(
_xlpm.h,L$1,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5" cm="1">
        <f t="array" ref="N15">_xlfn.LET(
_xlpm.h,N$1,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_xlpm.h,O$1,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5" cm="1">
        <f t="array" ref="P15">_xlfn.LET(
_xlpm.h,P$1,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5" cm="1">
        <f t="array" ref="R15">_xlfn.LET(
_xlpm.h,R$1,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5" cm="1">
        <f t="array" ref="S15">_xlfn.LET(
_xlpm.h,S$1,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v>10</v>
      </c>
      <c r="X15">
        <v>10</v>
      </c>
    </row>
    <row r="16" spans="1:41" x14ac:dyDescent="0.4">
      <c r="A16" t="s">
        <v>738</v>
      </c>
      <c r="B16" t="s">
        <v>756</v>
      </c>
      <c r="C16" s="17" t="s">
        <v>764</v>
      </c>
      <c r="F16">
        <v>2</v>
      </c>
      <c r="I16" cm="1">
        <f t="array" ref="I16">_xlfn.LET(
_xlpm.h,I$1,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6" cm="1">
        <f t="array" ref="J16">_xlfn.LET(
_xlpm.h,J$1,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6" cm="1">
        <f t="array" ref="K16">_xlfn.LET(
_xlpm.h,K$1,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6" cm="1">
        <f t="array" ref="L16">_xlfn.LET(
_xlpm.h,L$1,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6" cm="1">
        <f t="array" ref="N16">_xlfn.LET(
_xlpm.h,N$1,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_xlpm.h,O$1,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6" cm="1">
        <f t="array" ref="P16">_xlfn.LET(
_xlpm.h,P$1,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6" cm="1">
        <f t="array" ref="R16">_xlfn.LET(
_xlpm.h,R$1,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6" cm="1">
        <f t="array" ref="S16">_xlfn.LET(
_xlpm.h,S$1,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6" cm="1">
        <f t="array" ref="T16">_xlfn.LET(
_xlpm.h,T$1,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37" x14ac:dyDescent="0.4">
      <c r="A17" t="s">
        <v>739</v>
      </c>
      <c r="B17" t="s">
        <v>756</v>
      </c>
      <c r="C17" s="17" t="s">
        <v>765</v>
      </c>
      <c r="F17">
        <v>4</v>
      </c>
      <c r="I17" cm="1">
        <f t="array" ref="I17">_xlfn.LET(
_xlpm.h,I$1,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7" cm="1">
        <f t="array" ref="J17">_xlfn.LET(
_xlpm.h,J$1,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7" cm="1">
        <f t="array" ref="K17">_xlfn.LET(
_xlpm.h,K$1,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7" cm="1">
        <f t="array" ref="M17">_xlfn.LET(
_xlpm.h,M$1,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7" cm="1">
        <f t="array" ref="O17">_xlfn.LET(
_xlpm.h,O$1,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P17" cm="1">
        <f t="array" ref="P17">_xlfn.LET(
_xlpm.h,P$1,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Q17" cm="1">
        <f t="array" ref="Q17">_xlfn.LET(
_xlpm.h,Q$1,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17" cm="1">
        <f t="array" ref="R17">_xlfn.LET(
_xlpm.h,R$1,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200</v>
      </c>
      <c r="S17" cm="1">
        <f t="array" ref="S17">_xlfn.LET(
_xlpm.h,S$1,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T17" cm="1">
        <f t="array" ref="T17">_xlfn.LET(
_xlpm.h,T$1,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37" x14ac:dyDescent="0.4">
      <c r="A18" t="s">
        <v>740</v>
      </c>
      <c r="B18" t="s">
        <v>504</v>
      </c>
      <c r="C18" s="17" t="s">
        <v>766</v>
      </c>
      <c r="H18">
        <v>1</v>
      </c>
      <c r="I18" cm="1">
        <f t="array" ref="I18">_xlfn.LET(
_xlpm.h,I$1,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8" cm="1">
        <f t="array" ref="J18">_xlfn.LET(
_xlpm.h,J$1,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8" cm="1">
        <f t="array" ref="K18">_xlfn.LET(
_xlpm.h,K$1,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8" cm="1">
        <f t="array" ref="L18">_xlfn.LET(
_xlpm.h,L$1,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8" cm="1">
        <f t="array" ref="N18">_xlfn.LET(
_xlpm.h,N$1,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_xlpm.h,O$1,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8" cm="1">
        <f t="array" ref="P18">_xlfn.LET(
_xlpm.h,P$1,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H18" s="39">
        <v>1</v>
      </c>
    </row>
    <row r="19" spans="1:37" x14ac:dyDescent="0.4">
      <c r="A19" t="s">
        <v>741</v>
      </c>
      <c r="B19" t="s">
        <v>505</v>
      </c>
      <c r="C19" s="17" t="s">
        <v>767</v>
      </c>
      <c r="H19">
        <v>1</v>
      </c>
      <c r="I19" cm="1">
        <f t="array" ref="I19">_xlfn.LET(
_xlpm.h,I$1,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9" cm="1">
        <f t="array" ref="J19">_xlfn.LET(
_xlpm.h,J$1,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9" cm="1">
        <f t="array" ref="K19">_xlfn.LET(
_xlpm.h,K$1,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9" cm="1">
        <f t="array" ref="L19">_xlfn.LET(
_xlpm.h,L$1,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9" cm="1">
        <f t="array" ref="N19">_xlfn.LET(
_xlpm.h,N$1,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_xlpm.h,O$1,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9" cm="1">
        <f t="array" ref="P19">_xlfn.LET(
_xlpm.h,P$1,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19" s="39">
        <v>1</v>
      </c>
    </row>
    <row r="20" spans="1:37" x14ac:dyDescent="0.4">
      <c r="A20" t="s">
        <v>742</v>
      </c>
      <c r="B20" t="s">
        <v>769</v>
      </c>
      <c r="C20" s="17" t="s">
        <v>768</v>
      </c>
      <c r="H20">
        <v>1</v>
      </c>
      <c r="I20" cm="1">
        <f t="array" ref="I20">_xlfn.LET(
_xlpm.h,I$1,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0" cm="1">
        <f t="array" ref="J20">_xlfn.LET(
_xlpm.h,J$1,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0" cm="1">
        <f t="array" ref="K20">_xlfn.LET(
_xlpm.h,K$1,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0" cm="1">
        <f t="array" ref="L20">_xlfn.LET(
_xlpm.h,L$1,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0" cm="1">
        <f t="array" ref="N20">_xlfn.LET(
_xlpm.h,N$1,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_xlpm.h,O$1,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0" cm="1">
        <f t="array" ref="P20">_xlfn.LET(
_xlpm.h,P$1,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0" s="39">
        <v>1</v>
      </c>
    </row>
    <row r="21" spans="1:37" x14ac:dyDescent="0.4">
      <c r="A21" t="s">
        <v>743</v>
      </c>
      <c r="B21" t="s">
        <v>752</v>
      </c>
      <c r="C21" s="17" t="s">
        <v>770</v>
      </c>
      <c r="D21">
        <v>1</v>
      </c>
      <c r="H21">
        <v>1</v>
      </c>
      <c r="I21" cm="1">
        <f t="array" ref="I21">_xlfn.LET(
_xlpm.h,I$1,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1" cm="1">
        <f t="array" ref="J21">_xlfn.LET(
_xlpm.h,J$1,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1" cm="1">
        <f t="array" ref="K21">_xlfn.LET(
_xlpm.h,K$1,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1" cm="1">
        <f t="array" ref="L21">_xlfn.LET(
_xlpm.h,L$1,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1" cm="1">
        <f t="array" ref="M21">_xlfn.LET(
_xlpm.h,M$1,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1" cm="1">
        <f t="array" ref="N21">_xlfn.LET(
_xlpm.h,N$1,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1" cm="1">
        <f t="array" ref="O21">_xlfn.LET(
_xlpm.h,O$1,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1" cm="1">
        <f t="array" ref="P21">_xlfn.LET(
_xlpm.h,P$1,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1" cm="1">
        <f t="array" ref="Q21">_xlfn.LET(
_xlpm.h,Q$1,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1" cm="1">
        <f t="array" ref="R21">_xlfn.LET(
_xlpm.h,R$1,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1" cm="1">
        <f t="array" ref="S21">_xlfn.LET(
_xlpm.h,S$1,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1" s="39">
        <v>1</v>
      </c>
    </row>
    <row r="22" spans="1:37" x14ac:dyDescent="0.4">
      <c r="A22" t="s">
        <v>746</v>
      </c>
      <c r="B22" t="s">
        <v>751</v>
      </c>
      <c r="C22" s="17" t="s">
        <v>771</v>
      </c>
      <c r="H22">
        <v>2</v>
      </c>
      <c r="I22" cm="1">
        <f t="array" ref="I22">_xlfn.LET(
_xlpm.h,I$1,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2" cm="1">
        <f t="array" ref="J22">_xlfn.LET(
_xlpm.h,J$1,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2" cm="1">
        <f t="array" ref="K22">_xlfn.LET(
_xlpm.h,K$1,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2" cm="1">
        <f t="array" ref="L22">_xlfn.LET(
_xlpm.h,L$1,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2" cm="1">
        <f t="array" ref="N22">_xlfn.LET(
_xlpm.h,N$1,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_xlpm.h,O$1,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2" cm="1">
        <f t="array" ref="P22">_xlfn.LET(
_xlpm.h,P$1,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2" s="39">
        <v>1</v>
      </c>
    </row>
    <row r="23" spans="1:37" x14ac:dyDescent="0.4">
      <c r="A23" t="s">
        <v>744</v>
      </c>
      <c r="B23" t="s">
        <v>756</v>
      </c>
      <c r="C23" s="17" t="s">
        <v>772</v>
      </c>
      <c r="H23">
        <v>1</v>
      </c>
      <c r="I23" cm="1">
        <f t="array" ref="I23">_xlfn.LET(
_xlpm.h,I$1,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3" cm="1">
        <f t="array" ref="J23">_xlfn.LET(
_xlpm.h,J$1,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3" cm="1">
        <f t="array" ref="K23">_xlfn.LET(
_xlpm.h,K$1,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3" cm="1">
        <f t="array" ref="L23">_xlfn.LET(
_xlpm.h,L$1,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3" cm="1">
        <f t="array" ref="N23">_xlfn.LET(
_xlpm.h,N$1,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_xlpm.h,O$1,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3" cm="1">
        <f t="array" ref="P23">_xlfn.LET(
_xlpm.h,P$1,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4" spans="1:37" x14ac:dyDescent="0.4">
      <c r="A24" t="s">
        <v>745</v>
      </c>
      <c r="B24" t="s">
        <v>756</v>
      </c>
      <c r="C24" s="17" t="s">
        <v>773</v>
      </c>
      <c r="H24">
        <v>2</v>
      </c>
      <c r="I24" cm="1">
        <f t="array" ref="I24">_xlfn.LET(
_xlpm.h,I$1,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4" cm="1">
        <f t="array" ref="J24">_xlfn.LET(
_xlpm.h,J$1,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4" cm="1">
        <f t="array" ref="K24">_xlfn.LET(
_xlpm.h,K$1,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4" cm="1">
        <f t="array" ref="L24">_xlfn.LET(
_xlpm.h,L$1,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4" cm="1">
        <f t="array" ref="N24">_xlfn.LET(
_xlpm.h,N$1,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_xlpm.h,O$1,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4" cm="1">
        <f t="array" ref="P24">_xlfn.LET(
_xlpm.h,P$1,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5" spans="1:37" x14ac:dyDescent="0.4">
      <c r="A25" t="s">
        <v>729</v>
      </c>
      <c r="B25" t="s">
        <v>756</v>
      </c>
      <c r="C25" s="17" t="s">
        <v>774</v>
      </c>
      <c r="H25">
        <v>2</v>
      </c>
      <c r="I25" cm="1">
        <f t="array" ref="I25">_xlfn.LET(
_xlpm.h,I$1,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5" cm="1">
        <f t="array" ref="J25">_xlfn.LET(
_xlpm.h,J$1,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5" cm="1">
        <f t="array" ref="K25">_xlfn.LET(
_xlpm.h,K$1,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5" cm="1">
        <f t="array" ref="L25">_xlfn.LET(
_xlpm.h,L$1,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5" cm="1">
        <f t="array" ref="N25">_xlfn.LET(
_xlpm.h,N$1,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_xlpm.h,O$1,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5" cm="1">
        <f t="array" ref="P25">_xlfn.LET(
_xlpm.h,P$1,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v>3</v>
      </c>
      <c r="W25">
        <v>10</v>
      </c>
      <c r="X25">
        <v>10</v>
      </c>
    </row>
    <row r="26" spans="1:37" x14ac:dyDescent="0.4">
      <c r="A26" t="s">
        <v>753</v>
      </c>
      <c r="B26" t="s">
        <v>754</v>
      </c>
      <c r="C26" s="17" t="s">
        <v>775</v>
      </c>
      <c r="F26">
        <v>1</v>
      </c>
      <c r="H26">
        <v>3</v>
      </c>
      <c r="I26" cm="1">
        <f t="array" ref="I26">_xlfn.LET(
_xlpm.h,I$1,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6" cm="1">
        <f t="array" ref="J26">_xlfn.LET(
_xlpm.h,J$1,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6" cm="1">
        <f t="array" ref="K26">_xlfn.LET(
_xlpm.h,K$1,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6" cm="1">
        <f t="array" ref="L26">_xlfn.LET(
_xlpm.h,L$1,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6" cm="1">
        <f t="array" ref="N26">_xlfn.LET(
_xlpm.h,N$1,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6" cm="1">
        <f t="array" ref="O26">_xlfn.LET(
_xlpm.h,O$1,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6" cm="1">
        <f t="array" ref="P26">_xlfn.LET(
_xlpm.h,P$1,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26" cm="1">
        <f t="array" ref="R26">_xlfn.LET(
_xlpm.h,R$1,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6" cm="1">
        <f t="array" ref="S26">_xlfn.LET(
_xlpm.h,S$1,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v>3</v>
      </c>
    </row>
    <row r="27" spans="1:37" x14ac:dyDescent="0.4">
      <c r="I27" cm="1">
        <f t="array" ref="I27">_xlfn.LET(
_xlpm.h,I$1,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7" cm="1">
        <f t="array" ref="J27">_xlfn.LET(
_xlpm.h,J$1,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7" cm="1">
        <f t="array" ref="K27">_xlfn.LET(
_xlpm.h,K$1,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7" cm="1">
        <f t="array" ref="L27">_xlfn.LET(
_xlpm.h,L$1,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_xlpm.h,O$1,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7" cm="1">
        <f t="array" ref="P27">_xlfn.LET(
_xlpm.h,P$1,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37" x14ac:dyDescent="0.4">
      <c r="I28" cm="1">
        <f t="array" ref="I28">_xlfn.LET(
_xlpm.h,I$1,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8" cm="1">
        <f t="array" ref="J28">_xlfn.LET(
_xlpm.h,J$1,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8" cm="1">
        <f t="array" ref="K28">_xlfn.LET(
_xlpm.h,K$1,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8" cm="1">
        <f t="array" ref="L28">_xlfn.LET(
_xlpm.h,L$1,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_xlpm.h,O$1,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8" cm="1">
        <f t="array" ref="P28">_xlfn.LET(
_xlpm.h,P$1,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37" x14ac:dyDescent="0.4">
      <c r="I29" cm="1">
        <f t="array" ref="I29">_xlfn.LET(
_xlpm.h,I$1,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9" cm="1">
        <f t="array" ref="J29">_xlfn.LET(
_xlpm.h,J$1,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9" cm="1">
        <f t="array" ref="K29">_xlfn.LET(
_xlpm.h,K$1,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9" cm="1">
        <f t="array" ref="L29">_xlfn.LET(
_xlpm.h,L$1,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_xlpm.h,O$1,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9" cm="1">
        <f t="array" ref="P29">_xlfn.LET(
_xlpm.h,P$1,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0" spans="1:37" x14ac:dyDescent="0.4">
      <c r="I30" cm="1">
        <f t="array" ref="I30">_xlfn.LET(
_xlpm.h,I$1,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0" cm="1">
        <f t="array" ref="J30">_xlfn.LET(
_xlpm.h,J$1,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0" cm="1">
        <f t="array" ref="K30">_xlfn.LET(
_xlpm.h,K$1,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0" cm="1">
        <f t="array" ref="L30">_xlfn.LET(
_xlpm.h,L$1,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0" cm="1">
        <f t="array" ref="M30">_xlfn.LET(
_xlpm.h,M$1,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_xlpm.h,N$1,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_xlpm.h,O$1,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0" cm="1">
        <f t="array" ref="P30">_xlfn.LET(
_xlpm.h,P$1,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0" cm="1">
        <f t="array" ref="Q30">_xlfn.LET(
_xlpm.h,Q$1,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1" spans="1:37" x14ac:dyDescent="0.4">
      <c r="I31" cm="1">
        <f t="array" ref="I31">_xlfn.LET(
_xlpm.h,I$1,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1" cm="1">
        <f t="array" ref="J31">_xlfn.LET(
_xlpm.h,J$1,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1" cm="1">
        <f t="array" ref="K31">_xlfn.LET(
_xlpm.h,K$1,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1" cm="1">
        <f t="array" ref="L31">_xlfn.LET(
_xlpm.h,L$1,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_xlpm.h,O$1,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37" x14ac:dyDescent="0.4">
      <c r="I32" cm="1">
        <f t="array" ref="I32">_xlfn.LET(
_xlpm.h,I$1,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2" cm="1">
        <f t="array" ref="J32">_xlfn.LET(
_xlpm.h,J$1,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2" cm="1">
        <f t="array" ref="K32">_xlfn.LET(
_xlpm.h,K$1,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9:21" x14ac:dyDescent="0.4">
      <c r="I33" cm="1">
        <f t="array" ref="I33">_xlfn.LET(
_xlpm.h,I$1,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3" cm="1">
        <f t="array" ref="J33">_xlfn.LET(
_xlpm.h,J$1,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3" cm="1">
        <f t="array" ref="K33">_xlfn.LET(
_xlpm.h,K$1,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9:21" x14ac:dyDescent="0.4">
      <c r="I34" cm="1">
        <f t="array" ref="I34">_xlfn.LET(
_xlpm.h,I$1,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4" cm="1">
        <f t="array" ref="J34">_xlfn.LET(
_xlpm.h,J$1,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4" cm="1">
        <f t="array" ref="K34">_xlfn.LET(
_xlpm.h,K$1,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9:21" x14ac:dyDescent="0.4">
      <c r="I35" cm="1">
        <f t="array" ref="I35">_xlfn.LET(
_xlpm.h,I$1,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5" cm="1">
        <f t="array" ref="J35">_xlfn.LET(
_xlpm.h,J$1,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5" cm="1">
        <f t="array" ref="K35">_xlfn.LET(
_xlpm.h,K$1,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9:21" x14ac:dyDescent="0.4">
      <c r="I36" cm="1">
        <f t="array" ref="I36">_xlfn.LET(
_xlpm.h,I$1,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6" cm="1">
        <f t="array" ref="J36">_xlfn.LET(
_xlpm.h,J$1,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6" cm="1">
        <f t="array" ref="K36">_xlfn.LET(
_xlpm.h,K$1,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9:21" x14ac:dyDescent="0.4">
      <c r="I37" cm="1">
        <f t="array" ref="I37">_xlfn.LET(
_xlpm.h,I$1,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7" cm="1">
        <f t="array" ref="J37">_xlfn.LET(
_xlpm.h,J$1,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7" cm="1">
        <f t="array" ref="K37">_xlfn.LET(
_xlpm.h,K$1,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9:21" x14ac:dyDescent="0.4">
      <c r="I38" cm="1">
        <f t="array" ref="I38">_xlfn.LET(
_xlpm.h,I$1,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8" cm="1">
        <f t="array" ref="J38">_xlfn.LET(
_xlpm.h,J$1,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8" cm="1">
        <f t="array" ref="K38">_xlfn.LET(
_xlpm.h,K$1,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heetViews>
  <sheetFormatPr defaultRowHeight="18.75"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C100"/>
  <sheetViews>
    <sheetView workbookViewId="0"/>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hidden="1" customWidth="1" outlineLevel="1"/>
    <col min="38" max="38" width="4.25" hidden="1" customWidth="1" outlineLevel="1"/>
    <col min="39" max="39" width="5.25" bestFit="1" customWidth="1" collapsed="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1011</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711</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1057</v>
      </c>
      <c r="BA1" s="29" t="s">
        <v>6</v>
      </c>
      <c r="BB1" s="20" t="s">
        <v>146</v>
      </c>
      <c r="BC1" s="20" t="s">
        <v>178</v>
      </c>
      <c r="BD1" s="20" t="s">
        <v>712</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872</v>
      </c>
    </row>
    <row r="2" spans="1:81" outlineLevel="1" x14ac:dyDescent="0.4">
      <c r="G2"/>
      <c r="K2"/>
      <c r="L2"/>
      <c r="M2"/>
      <c r="N2"/>
      <c r="O2"/>
      <c r="P2"/>
      <c r="Q2"/>
      <c r="R2"/>
      <c r="S2"/>
      <c r="T2"/>
      <c r="U2"/>
      <c r="BB2"/>
      <c r="BC2"/>
      <c r="BD2"/>
      <c r="BE2"/>
      <c r="BF2"/>
      <c r="BG2"/>
      <c r="BH2"/>
      <c r="BI2"/>
    </row>
    <row r="3" spans="1:81" outlineLevel="1" x14ac:dyDescent="0.4"/>
    <row r="4" spans="1:81" outlineLevel="1" x14ac:dyDescent="0.4">
      <c r="A4" s="2"/>
    </row>
    <row r="5" spans="1:81" outlineLevel="1" x14ac:dyDescent="0.4">
      <c r="A5" s="2"/>
    </row>
    <row r="6" spans="1:81" outlineLevel="1" x14ac:dyDescent="0.4">
      <c r="A6" s="2"/>
    </row>
    <row r="7" spans="1:81" outlineLevel="1" x14ac:dyDescent="0.4">
      <c r="A7" s="2"/>
    </row>
    <row r="8" spans="1:81" outlineLevel="1" x14ac:dyDescent="0.4">
      <c r="A8" s="2"/>
    </row>
    <row r="9" spans="1:81" outlineLevel="1" x14ac:dyDescent="0.4">
      <c r="A9" s="2"/>
    </row>
    <row r="10" spans="1:81" outlineLevel="1" x14ac:dyDescent="0.4">
      <c r="A10" s="2"/>
    </row>
    <row r="11" spans="1:81" outlineLevel="1" x14ac:dyDescent="0.4">
      <c r="A11" s="2"/>
    </row>
    <row r="12" spans="1:81" outlineLevel="1" x14ac:dyDescent="0.4">
      <c r="A12" s="2"/>
    </row>
    <row r="13" spans="1:81" outlineLevel="1" x14ac:dyDescent="0.4">
      <c r="A13" s="2"/>
    </row>
    <row r="14" spans="1:81" outlineLevel="1" x14ac:dyDescent="0.4">
      <c r="A14" s="2"/>
    </row>
    <row r="15" spans="1:81" outlineLevel="1" x14ac:dyDescent="0.4">
      <c r="A15" s="2"/>
    </row>
    <row r="16" spans="1:81" outlineLevel="1" x14ac:dyDescent="0.4">
      <c r="A16" s="2"/>
    </row>
    <row r="17" spans="1:1" outlineLevel="1" x14ac:dyDescent="0.4">
      <c r="A17" s="2"/>
    </row>
    <row r="18" spans="1:1" outlineLevel="1" x14ac:dyDescent="0.4">
      <c r="A18" s="2"/>
    </row>
    <row r="19" spans="1:1" outlineLevel="1" x14ac:dyDescent="0.4">
      <c r="A19" s="2"/>
    </row>
    <row r="20" spans="1:1" outlineLevel="1" x14ac:dyDescent="0.4">
      <c r="A20" s="2"/>
    </row>
    <row r="21" spans="1:1" outlineLevel="1" x14ac:dyDescent="0.4">
      <c r="A21" s="2"/>
    </row>
    <row r="22" spans="1:1" outlineLevel="1" x14ac:dyDescent="0.4">
      <c r="A22" s="2"/>
    </row>
    <row r="23" spans="1:1" outlineLevel="1" x14ac:dyDescent="0.4">
      <c r="A23" s="2"/>
    </row>
    <row r="24" spans="1:1" outlineLevel="1" x14ac:dyDescent="0.4">
      <c r="A24" s="2"/>
    </row>
    <row r="25" spans="1:1" outlineLevel="1" x14ac:dyDescent="0.4">
      <c r="A25" s="2"/>
    </row>
    <row r="26" spans="1:1" outlineLevel="1" x14ac:dyDescent="0.4">
      <c r="A26" s="2"/>
    </row>
    <row r="27" spans="1:1" outlineLevel="1" x14ac:dyDescent="0.4">
      <c r="A27" s="2"/>
    </row>
    <row r="28" spans="1:1" outlineLevel="1" x14ac:dyDescent="0.4">
      <c r="A28" s="2"/>
    </row>
    <row r="29" spans="1:1" outlineLevel="1" x14ac:dyDescent="0.4">
      <c r="A29" s="2"/>
    </row>
    <row r="30" spans="1:1" outlineLevel="1" x14ac:dyDescent="0.4">
      <c r="A30" s="2"/>
    </row>
    <row r="31" spans="1:1" outlineLevel="1" x14ac:dyDescent="0.4">
      <c r="A31" s="2"/>
    </row>
    <row r="32" spans="1:1" outlineLevel="1" x14ac:dyDescent="0.4">
      <c r="A32" s="2"/>
    </row>
    <row r="33" spans="1:1" outlineLevel="1" x14ac:dyDescent="0.4">
      <c r="A33" s="2"/>
    </row>
    <row r="34" spans="1:1" outlineLevel="1" x14ac:dyDescent="0.4">
      <c r="A34" s="2"/>
    </row>
    <row r="35" spans="1:1" outlineLevel="1" x14ac:dyDescent="0.4">
      <c r="A35" s="2"/>
    </row>
    <row r="36" spans="1:1" outlineLevel="1" x14ac:dyDescent="0.4">
      <c r="A36" s="2"/>
    </row>
    <row r="37" spans="1:1" outlineLevel="1" x14ac:dyDescent="0.4">
      <c r="A37" s="2"/>
    </row>
    <row r="38" spans="1:1" outlineLevel="1" x14ac:dyDescent="0.4">
      <c r="A38" s="2"/>
    </row>
    <row r="39" spans="1:1" outlineLevel="1" x14ac:dyDescent="0.4">
      <c r="A39" s="2"/>
    </row>
    <row r="40" spans="1:1" outlineLevel="1" x14ac:dyDescent="0.4">
      <c r="A40" s="2"/>
    </row>
    <row r="41" spans="1:1" outlineLevel="1" x14ac:dyDescent="0.4">
      <c r="A41" s="2"/>
    </row>
    <row r="42" spans="1:1" outlineLevel="1" x14ac:dyDescent="0.4">
      <c r="A42" s="2"/>
    </row>
    <row r="43" spans="1:1" outlineLevel="1" x14ac:dyDescent="0.4">
      <c r="A43" s="2"/>
    </row>
    <row r="44" spans="1:1" outlineLevel="1" x14ac:dyDescent="0.4">
      <c r="A44" s="2"/>
    </row>
    <row r="45" spans="1:1" outlineLevel="1" x14ac:dyDescent="0.4"/>
    <row r="46" spans="1:1" outlineLevel="1" x14ac:dyDescent="0.4"/>
    <row r="47" spans="1:1" outlineLevel="1" x14ac:dyDescent="0.4"/>
    <row r="48" spans="1:1" outlineLevel="1" x14ac:dyDescent="0.4"/>
    <row r="49" outlineLevel="1" x14ac:dyDescent="0.4"/>
    <row r="50" outlineLevel="1" x14ac:dyDescent="0.4"/>
    <row r="51" outlineLevel="1" x14ac:dyDescent="0.4"/>
    <row r="52" outlineLevel="1" x14ac:dyDescent="0.4"/>
    <row r="53" outlineLevel="1" x14ac:dyDescent="0.4"/>
    <row r="54" outlineLevel="1" x14ac:dyDescent="0.4"/>
    <row r="55" outlineLevel="1" x14ac:dyDescent="0.4"/>
    <row r="56" outlineLevel="1" x14ac:dyDescent="0.4"/>
    <row r="57" outlineLevel="1" x14ac:dyDescent="0.4"/>
    <row r="58" outlineLevel="1" x14ac:dyDescent="0.4"/>
    <row r="59" outlineLevel="1" x14ac:dyDescent="0.4"/>
    <row r="60" outlineLevel="1" x14ac:dyDescent="0.4"/>
    <row r="61" outlineLevel="1" x14ac:dyDescent="0.4"/>
    <row r="62" outlineLevel="1" x14ac:dyDescent="0.4"/>
    <row r="63" outlineLevel="1" x14ac:dyDescent="0.4"/>
    <row r="64"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O15"/>
  <sheetViews>
    <sheetView workbookViewId="0">
      <selection activeCell="M14" sqref="M14"/>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s>
  <sheetData>
    <row r="1" spans="1:15" x14ac:dyDescent="0.4">
      <c r="A1" s="3" t="s">
        <v>1022</v>
      </c>
      <c r="B1" s="3" t="s">
        <v>1023</v>
      </c>
      <c r="C1" s="42" t="s">
        <v>484</v>
      </c>
      <c r="D1" s="42" t="s">
        <v>485</v>
      </c>
      <c r="E1" s="42" t="s">
        <v>486</v>
      </c>
      <c r="F1" s="44" t="s">
        <v>488</v>
      </c>
      <c r="G1" s="44" t="s">
        <v>489</v>
      </c>
      <c r="H1" s="44" t="s">
        <v>490</v>
      </c>
      <c r="I1" s="44" t="s">
        <v>491</v>
      </c>
      <c r="J1" s="36" t="s">
        <v>492</v>
      </c>
      <c r="K1" s="36" t="s">
        <v>493</v>
      </c>
      <c r="L1" s="36" t="s">
        <v>494</v>
      </c>
      <c r="M1" s="36" t="s">
        <v>1024</v>
      </c>
      <c r="N1" s="56" t="s">
        <v>960</v>
      </c>
      <c r="O1" s="56" t="s">
        <v>957</v>
      </c>
    </row>
    <row r="2" spans="1:15" x14ac:dyDescent="0.4">
      <c r="A2" s="17">
        <v>1</v>
      </c>
      <c r="B2" s="17" t="s">
        <v>1015</v>
      </c>
      <c r="C2" s="17">
        <v>10</v>
      </c>
      <c r="D2" s="17">
        <v>0</v>
      </c>
      <c r="E2" s="17">
        <v>0</v>
      </c>
      <c r="F2" s="17">
        <v>10</v>
      </c>
    </row>
    <row r="3" spans="1:15" x14ac:dyDescent="0.4">
      <c r="A3" s="17">
        <v>2</v>
      </c>
      <c r="B3" s="17" t="s">
        <v>1015</v>
      </c>
      <c r="C3" s="17">
        <v>20</v>
      </c>
      <c r="D3" s="17">
        <v>0</v>
      </c>
      <c r="E3" s="17">
        <v>0</v>
      </c>
      <c r="F3" s="17">
        <v>20</v>
      </c>
    </row>
    <row r="4" spans="1:15" x14ac:dyDescent="0.4">
      <c r="A4" s="17">
        <v>3</v>
      </c>
      <c r="B4" s="17" t="s">
        <v>1015</v>
      </c>
      <c r="C4" s="17">
        <v>10</v>
      </c>
      <c r="D4" s="17">
        <v>10</v>
      </c>
      <c r="E4" s="17"/>
      <c r="F4">
        <v>10</v>
      </c>
      <c r="G4" s="17">
        <v>10</v>
      </c>
    </row>
    <row r="5" spans="1:15" x14ac:dyDescent="0.4">
      <c r="A5" s="17">
        <v>4</v>
      </c>
      <c r="B5" s="17" t="s">
        <v>1015</v>
      </c>
      <c r="C5" s="17">
        <v>10</v>
      </c>
      <c r="D5" s="17">
        <v>20</v>
      </c>
      <c r="E5" s="17">
        <v>10</v>
      </c>
      <c r="F5" s="17">
        <v>10</v>
      </c>
      <c r="G5" s="17">
        <v>20</v>
      </c>
      <c r="H5">
        <v>5</v>
      </c>
      <c r="I5">
        <v>5</v>
      </c>
    </row>
    <row r="6" spans="1:15" x14ac:dyDescent="0.4">
      <c r="A6" s="17">
        <v>5</v>
      </c>
      <c r="B6" s="17" t="s">
        <v>1015</v>
      </c>
      <c r="C6" s="17">
        <v>20</v>
      </c>
      <c r="D6" s="17">
        <v>40</v>
      </c>
      <c r="E6" s="17">
        <v>20</v>
      </c>
      <c r="F6" s="17">
        <v>20</v>
      </c>
      <c r="G6" s="17">
        <v>40</v>
      </c>
      <c r="H6" s="17">
        <v>10</v>
      </c>
      <c r="I6" s="17">
        <v>10</v>
      </c>
      <c r="J6">
        <v>20</v>
      </c>
      <c r="K6">
        <v>40</v>
      </c>
      <c r="L6">
        <v>10</v>
      </c>
      <c r="M6" t="s">
        <v>1025</v>
      </c>
    </row>
    <row r="7" spans="1:15" x14ac:dyDescent="0.4">
      <c r="A7" s="17">
        <v>6</v>
      </c>
      <c r="B7" s="17" t="s">
        <v>1015</v>
      </c>
      <c r="C7" s="17">
        <f>C6*2</f>
        <v>40</v>
      </c>
      <c r="D7" s="17">
        <f t="shared" ref="D7:I7" si="0">D6*2</f>
        <v>80</v>
      </c>
      <c r="E7" s="17">
        <f t="shared" si="0"/>
        <v>40</v>
      </c>
      <c r="F7" s="17">
        <f t="shared" si="0"/>
        <v>40</v>
      </c>
      <c r="G7" s="17">
        <f t="shared" si="0"/>
        <v>80</v>
      </c>
      <c r="H7" s="17">
        <f t="shared" si="0"/>
        <v>20</v>
      </c>
      <c r="I7" s="17">
        <f t="shared" si="0"/>
        <v>20</v>
      </c>
      <c r="J7">
        <v>40</v>
      </c>
      <c r="K7">
        <v>80</v>
      </c>
      <c r="L7">
        <v>20</v>
      </c>
      <c r="M7" t="s">
        <v>1025</v>
      </c>
    </row>
    <row r="8" spans="1:15" x14ac:dyDescent="0.4">
      <c r="A8" s="17">
        <v>7</v>
      </c>
      <c r="B8" s="17" t="s">
        <v>1015</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1025</v>
      </c>
    </row>
    <row r="9" spans="1:15" x14ac:dyDescent="0.4">
      <c r="A9" s="17">
        <v>1</v>
      </c>
      <c r="B9" t="s">
        <v>1014</v>
      </c>
      <c r="J9">
        <v>5</v>
      </c>
      <c r="K9">
        <v>10</v>
      </c>
    </row>
    <row r="10" spans="1:15" x14ac:dyDescent="0.4">
      <c r="A10" s="17">
        <v>2</v>
      </c>
      <c r="B10" t="s">
        <v>1014</v>
      </c>
      <c r="J10">
        <v>10</v>
      </c>
      <c r="K10">
        <v>20</v>
      </c>
      <c r="L10">
        <v>5</v>
      </c>
    </row>
    <row r="11" spans="1:15" x14ac:dyDescent="0.4">
      <c r="A11" s="17">
        <v>3</v>
      </c>
      <c r="B11" t="s">
        <v>1014</v>
      </c>
      <c r="J11">
        <v>20</v>
      </c>
      <c r="K11">
        <v>40</v>
      </c>
      <c r="L11">
        <v>10</v>
      </c>
    </row>
    <row r="12" spans="1:15" x14ac:dyDescent="0.4">
      <c r="A12" s="17">
        <v>4</v>
      </c>
      <c r="B12" t="s">
        <v>1014</v>
      </c>
      <c r="J12">
        <v>40</v>
      </c>
      <c r="K12">
        <v>80</v>
      </c>
      <c r="L12">
        <v>20</v>
      </c>
    </row>
    <row r="13" spans="1:15" x14ac:dyDescent="0.4">
      <c r="A13" s="17">
        <v>5</v>
      </c>
      <c r="B13" t="s">
        <v>1014</v>
      </c>
      <c r="J13">
        <v>80</v>
      </c>
      <c r="K13">
        <v>160</v>
      </c>
      <c r="L13">
        <v>40</v>
      </c>
      <c r="M13" t="s">
        <v>1025</v>
      </c>
    </row>
    <row r="14" spans="1:15" x14ac:dyDescent="0.4">
      <c r="A14" s="17">
        <v>6</v>
      </c>
      <c r="B14" t="s">
        <v>1014</v>
      </c>
      <c r="J14">
        <v>160</v>
      </c>
      <c r="K14">
        <v>320</v>
      </c>
      <c r="L14">
        <v>80</v>
      </c>
      <c r="M14" t="s">
        <v>1025</v>
      </c>
    </row>
    <row r="15" spans="1:15" x14ac:dyDescent="0.4">
      <c r="A15" s="17">
        <v>7</v>
      </c>
      <c r="B15" t="s">
        <v>1014</v>
      </c>
      <c r="J15">
        <v>320</v>
      </c>
      <c r="K15">
        <v>640</v>
      </c>
      <c r="L15">
        <v>160</v>
      </c>
      <c r="M15" t="s">
        <v>1025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2026-03-18T23:52:21Z</dcterms:modified>
</cp:coreProperties>
</file>