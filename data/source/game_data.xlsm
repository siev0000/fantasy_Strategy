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9648CB57-BCBB-43B0-8D46-75504E5D6664}" xr6:coauthVersionLast="47" xr6:coauthVersionMax="47" xr10:uidLastSave="{00000000-0000-0000-0000-000000000000}"/>
  <bookViews>
    <workbookView xWindow="465" yWindow="2385" windowWidth="23265" windowHeight="16140" tabRatio="799" activeTab="2" xr2:uid="{CD34EA3F-E03D-49D9-9A92-BA0D6A51F991}"/>
  </bookViews>
  <sheets>
    <sheet name="画面" sheetId="23" r:id="rId1"/>
    <sheet name="CS" sheetId="3" r:id="rId2"/>
    <sheet name="クラス" sheetId="1" r:id="rId3"/>
    <sheet name="勢力" sheetId="19" r:id="rId4"/>
    <sheet name="説明" sheetId="2" r:id="rId5"/>
    <sheet name="スキル一覧" sheetId="4" r:id="rId6"/>
    <sheet name="範囲" sheetId="6" r:id="rId7"/>
    <sheet name="効果" sheetId="7" r:id="rId8"/>
    <sheet name="地形" sheetId="11" r:id="rId9"/>
    <sheet name="出現敵" sheetId="18" r:id="rId10"/>
    <sheet name="災害" sheetId="8" r:id="rId11"/>
    <sheet name="都市基本データ" sheetId="16" r:id="rId12"/>
    <sheet name="都市" sheetId="13" r:id="rId13"/>
    <sheet name="外交姿勢" sheetId="12" r:id="rId14"/>
    <sheet name="組織" sheetId="10" r:id="rId15"/>
    <sheet name="体制" sheetId="9" r:id="rId16"/>
    <sheet name="施設" sheetId="15" r:id="rId17"/>
    <sheet name="研究" sheetId="17" r:id="rId18"/>
    <sheet name="付与" sheetId="20" r:id="rId19"/>
    <sheet name="消費量" sheetId="22" r:id="rId20"/>
    <sheet name="装備" sheetId="14" r:id="rId21"/>
  </sheets>
  <definedNames>
    <definedName name="_xlnm._FilterDatabase" localSheetId="1" hidden="1">CS!$A$4:$T$707</definedName>
    <definedName name="_xlnm._FilterDatabase" localSheetId="5" hidden="1">スキル一覧!$A$3:$CK$100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3" l="1"/>
  <c r="E2" i="23" s="1"/>
  <c r="F2" i="23" s="1"/>
  <c r="G2" i="23" s="1"/>
  <c r="H2" i="23" s="1"/>
  <c r="I2" i="23" s="1"/>
  <c r="J2" i="23" s="1"/>
  <c r="K2" i="23" s="1"/>
  <c r="L2" i="23" s="1"/>
  <c r="M2" i="23" s="1"/>
  <c r="N2" i="23" s="1"/>
  <c r="O2" i="23" s="1"/>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BC2" i="23" s="1"/>
  <c r="BD2" i="23" s="1"/>
  <c r="BE2" i="23" s="1"/>
  <c r="BF2" i="23" s="1"/>
  <c r="BG2" i="23" s="1"/>
  <c r="BH2" i="23" s="1"/>
  <c r="BI2" i="23" s="1"/>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C18" i="18"/>
  <c r="C17" i="18"/>
  <c r="C16" i="18"/>
  <c r="C15" i="18"/>
  <c r="C14" i="18"/>
  <c r="C13" i="18"/>
  <c r="C12" i="18"/>
  <c r="C11" i="18"/>
  <c r="D18" i="1"/>
  <c r="BG27" i="1"/>
  <c r="BF27" i="1"/>
  <c r="BE27" i="1"/>
  <c r="BD27" i="1"/>
  <c r="BC27" i="1"/>
  <c r="BB27" i="1"/>
  <c r="BA27" i="1"/>
  <c r="AZ27" i="1"/>
  <c r="AY27" i="1"/>
  <c r="AX27"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c r="O17" i="15" a="1"/>
  <c r="O17" i="15" s="1"/>
  <c r="O18" i="15" a="1"/>
  <c r="O18" i="15"/>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L98" i="3"/>
  <c r="J98" i="3"/>
  <c r="L97" i="3"/>
  <c r="J97" i="3"/>
  <c r="L96" i="3"/>
  <c r="J96" i="3"/>
  <c r="L95" i="3"/>
  <c r="J95" i="3"/>
  <c r="L94" i="3"/>
  <c r="J94" i="3"/>
  <c r="L93" i="3"/>
  <c r="J93" i="3"/>
  <c r="L92" i="3"/>
  <c r="J92" i="3"/>
  <c r="L91" i="3"/>
  <c r="J91" i="3"/>
  <c r="L90" i="3"/>
  <c r="J90" i="3"/>
  <c r="L89" i="3"/>
  <c r="J89" i="3"/>
  <c r="L88" i="3"/>
  <c r="J88" i="3"/>
  <c r="L87" i="3"/>
  <c r="J87" i="3"/>
  <c r="L86" i="3"/>
  <c r="J86"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C8" i="22"/>
  <c r="D8" i="22"/>
  <c r="E8" i="22"/>
  <c r="F8" i="22"/>
  <c r="G8" i="22"/>
  <c r="H8" i="22"/>
  <c r="I8" i="22"/>
  <c r="D7" i="22"/>
  <c r="E7" i="22"/>
  <c r="F7" i="22"/>
  <c r="G7" i="22"/>
  <c r="H7" i="22"/>
  <c r="I7" i="22"/>
  <c r="C7" i="22"/>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7" i="3"/>
  <c r="L388" i="3"/>
  <c r="L389" i="3"/>
  <c r="L390" i="3"/>
  <c r="L392" i="3"/>
  <c r="L393" i="3"/>
  <c r="L396" i="3"/>
  <c r="L397" i="3"/>
  <c r="L398" i="3"/>
  <c r="L400" i="3"/>
  <c r="L401" i="3"/>
  <c r="L402" i="3"/>
  <c r="L403" i="3"/>
  <c r="L405" i="3"/>
  <c r="L406" i="3"/>
  <c r="L409" i="3"/>
  <c r="L410" i="3"/>
  <c r="L411" i="3"/>
  <c r="L412" i="3"/>
  <c r="L413" i="3"/>
  <c r="L414" i="3"/>
  <c r="L415" i="3"/>
  <c r="L416" i="3"/>
  <c r="L417" i="3"/>
  <c r="L418" i="3"/>
  <c r="L419" i="3"/>
  <c r="L420" i="3"/>
  <c r="L421" i="3"/>
  <c r="L422" i="3"/>
  <c r="L423" i="3"/>
  <c r="L424" i="3"/>
  <c r="L426" i="3"/>
  <c r="L427" i="3"/>
  <c r="L428" i="3"/>
  <c r="L429" i="3"/>
  <c r="L431" i="3"/>
  <c r="L432" i="3"/>
  <c r="L435" i="3"/>
  <c r="L436" i="3"/>
  <c r="L437" i="3"/>
  <c r="L439" i="3"/>
  <c r="L440" i="3"/>
  <c r="L441" i="3"/>
  <c r="L442" i="3"/>
  <c r="L444" i="3"/>
  <c r="L445"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1" i="3"/>
  <c r="L533" i="3"/>
  <c r="L534" i="3"/>
  <c r="L536" i="3"/>
  <c r="L537" i="3"/>
  <c r="L540" i="3"/>
  <c r="L541" i="3"/>
  <c r="L542" i="3"/>
  <c r="L544" i="3"/>
  <c r="L546" i="3"/>
  <c r="L547" i="3"/>
  <c r="L549" i="3"/>
  <c r="L550" i="3"/>
  <c r="L553" i="3"/>
  <c r="L554" i="3"/>
  <c r="L555" i="3"/>
  <c r="L556" i="3"/>
  <c r="L557" i="3"/>
  <c r="L558" i="3"/>
  <c r="L559" i="3"/>
  <c r="L560" i="3"/>
  <c r="L561" i="3"/>
  <c r="L562" i="3"/>
  <c r="L563" i="3"/>
  <c r="L564" i="3"/>
  <c r="L565" i="3"/>
  <c r="L566" i="3"/>
  <c r="L567" i="3"/>
  <c r="L568" i="3"/>
  <c r="L570" i="3"/>
  <c r="L572" i="3"/>
  <c r="L573" i="3"/>
  <c r="L575" i="3"/>
  <c r="L576" i="3"/>
  <c r="L579" i="3"/>
  <c r="L580" i="3"/>
  <c r="L581" i="3"/>
  <c r="L583" i="3"/>
  <c r="L585" i="3"/>
  <c r="L586" i="3"/>
  <c r="L588" i="3"/>
  <c r="L589"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46" i="3"/>
  <c r="J22" i="3"/>
  <c r="L22" i="3"/>
  <c r="J23" i="3"/>
  <c r="L23" i="3"/>
  <c r="J24" i="3"/>
  <c r="L24" i="3"/>
  <c r="J25" i="3"/>
  <c r="L25" i="3"/>
  <c r="J26" i="3"/>
  <c r="L26" i="3"/>
  <c r="J27" i="3"/>
  <c r="L27" i="3"/>
  <c r="J28" i="3"/>
  <c r="L28" i="3"/>
  <c r="J29" i="3"/>
  <c r="L29" i="3"/>
  <c r="J30" i="3"/>
  <c r="L30" i="3"/>
  <c r="J31" i="3"/>
  <c r="L31" i="3"/>
  <c r="J32" i="3"/>
  <c r="L32" i="3"/>
  <c r="J33" i="3"/>
  <c r="L33" i="3"/>
  <c r="J34" i="3"/>
  <c r="L34" i="3"/>
  <c r="J35" i="3"/>
  <c r="L35" i="3"/>
  <c r="J36" i="3"/>
  <c r="L36" i="3"/>
  <c r="J37" i="3"/>
  <c r="L37" i="3"/>
  <c r="J38" i="3"/>
  <c r="L38" i="3"/>
  <c r="J39" i="3"/>
  <c r="L39" i="3"/>
  <c r="J40" i="3"/>
  <c r="L40" i="3"/>
  <c r="J41" i="3"/>
  <c r="L41" i="3"/>
  <c r="J42" i="3"/>
  <c r="L42" i="3"/>
  <c r="J43" i="3"/>
  <c r="L43" i="3"/>
  <c r="J44" i="3"/>
  <c r="L44" i="3"/>
  <c r="J45" i="3"/>
  <c r="L45" i="3"/>
  <c r="J46" i="3"/>
  <c r="C21" i="3"/>
  <c r="L21" i="3"/>
  <c r="J21" i="3"/>
  <c r="L20" i="3"/>
  <c r="J20" i="3"/>
  <c r="BG73" i="1"/>
  <c r="BF73" i="1"/>
  <c r="BE73" i="1"/>
  <c r="BD73" i="1"/>
  <c r="BC73" i="1"/>
  <c r="BB73" i="1"/>
  <c r="BA73" i="1"/>
  <c r="AZ73" i="1"/>
  <c r="AY73" i="1"/>
  <c r="AX73" i="1"/>
  <c r="D73" i="1"/>
  <c r="BG77" i="1"/>
  <c r="BF77" i="1"/>
  <c r="BE77" i="1"/>
  <c r="BD77" i="1"/>
  <c r="BC77" i="1"/>
  <c r="BB77" i="1"/>
  <c r="BA77" i="1"/>
  <c r="AZ77" i="1"/>
  <c r="AY77" i="1"/>
  <c r="AX77" i="1"/>
  <c r="D77" i="1"/>
  <c r="BG76" i="1"/>
  <c r="BF76" i="1"/>
  <c r="BE76" i="1"/>
  <c r="BD76" i="1"/>
  <c r="BC76" i="1"/>
  <c r="BB76" i="1"/>
  <c r="BA76" i="1"/>
  <c r="AZ76" i="1"/>
  <c r="AY76" i="1"/>
  <c r="AX76" i="1"/>
  <c r="D76" i="1"/>
  <c r="BG75" i="1"/>
  <c r="BF75" i="1"/>
  <c r="BE75" i="1"/>
  <c r="BD75" i="1"/>
  <c r="BC75" i="1"/>
  <c r="BB75" i="1"/>
  <c r="BA75" i="1"/>
  <c r="AZ75" i="1"/>
  <c r="AY75" i="1"/>
  <c r="AX75" i="1"/>
  <c r="D75" i="1"/>
  <c r="D74" i="1"/>
  <c r="BG72" i="1"/>
  <c r="BF72" i="1"/>
  <c r="BE72" i="1"/>
  <c r="BD72" i="1"/>
  <c r="BC72" i="1"/>
  <c r="BB72" i="1"/>
  <c r="BA72" i="1"/>
  <c r="AZ72" i="1"/>
  <c r="AY72" i="1"/>
  <c r="AX72"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420" i="3"/>
  <c r="J423" i="3"/>
  <c r="J422" i="3"/>
  <c r="J421" i="3"/>
  <c r="J420" i="3"/>
  <c r="J419" i="3"/>
  <c r="J418" i="3"/>
  <c r="J417" i="3"/>
  <c r="H417" i="3"/>
  <c r="J416" i="3"/>
  <c r="J415" i="3"/>
  <c r="J414" i="3"/>
  <c r="J413" i="3"/>
  <c r="J412" i="3"/>
  <c r="J411"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BG189" i="1"/>
  <c r="BF189" i="1"/>
  <c r="BE189" i="1"/>
  <c r="BD189" i="1"/>
  <c r="BC189" i="1"/>
  <c r="BB189" i="1"/>
  <c r="BA189" i="1"/>
  <c r="AZ189" i="1"/>
  <c r="AY189" i="1"/>
  <c r="AX189" i="1"/>
  <c r="D189" i="1"/>
  <c r="BG188" i="1"/>
  <c r="BF188" i="1"/>
  <c r="BE188" i="1"/>
  <c r="BD188" i="1"/>
  <c r="BC188" i="1"/>
  <c r="BB188" i="1"/>
  <c r="BA188" i="1"/>
  <c r="AZ188" i="1"/>
  <c r="AY188" i="1"/>
  <c r="AX188" i="1"/>
  <c r="D188" i="1"/>
  <c r="BG187" i="1"/>
  <c r="BF187" i="1"/>
  <c r="BE187" i="1"/>
  <c r="BD187" i="1"/>
  <c r="BC187" i="1"/>
  <c r="BB187" i="1"/>
  <c r="BA187" i="1"/>
  <c r="AZ187" i="1"/>
  <c r="AY187" i="1"/>
  <c r="AX187" i="1"/>
  <c r="D187" i="1"/>
  <c r="BG186" i="1"/>
  <c r="BF186" i="1"/>
  <c r="BE186" i="1"/>
  <c r="BD186" i="1"/>
  <c r="BC186" i="1"/>
  <c r="BB186" i="1"/>
  <c r="BA186" i="1"/>
  <c r="AZ186" i="1"/>
  <c r="AY186" i="1"/>
  <c r="AX186" i="1"/>
  <c r="D186" i="1"/>
  <c r="BG185" i="1"/>
  <c r="BF185" i="1"/>
  <c r="BE185" i="1"/>
  <c r="BD185" i="1"/>
  <c r="BC185" i="1"/>
  <c r="BB185" i="1"/>
  <c r="BA185" i="1"/>
  <c r="AZ185" i="1"/>
  <c r="AY185" i="1"/>
  <c r="AX185" i="1"/>
  <c r="D185" i="1"/>
  <c r="BG184" i="1"/>
  <c r="BF184" i="1"/>
  <c r="BE184" i="1"/>
  <c r="BD184" i="1"/>
  <c r="BC184" i="1"/>
  <c r="BB184" i="1"/>
  <c r="BA184" i="1"/>
  <c r="AZ184" i="1"/>
  <c r="AY184" i="1"/>
  <c r="AX184" i="1"/>
  <c r="D184" i="1"/>
  <c r="BG183" i="1"/>
  <c r="BF183" i="1"/>
  <c r="BE183" i="1"/>
  <c r="BD183" i="1"/>
  <c r="BC183" i="1"/>
  <c r="BB183" i="1"/>
  <c r="BA183" i="1"/>
  <c r="AZ183" i="1"/>
  <c r="AY183" i="1"/>
  <c r="AX183" i="1"/>
  <c r="D183" i="1"/>
  <c r="BG182" i="1"/>
  <c r="BF182" i="1"/>
  <c r="BE182" i="1"/>
  <c r="BD182" i="1"/>
  <c r="BC182" i="1"/>
  <c r="BB182" i="1"/>
  <c r="BA182" i="1"/>
  <c r="AZ182" i="1"/>
  <c r="AY182" i="1"/>
  <c r="AX182" i="1"/>
  <c r="D182" i="1"/>
  <c r="BG181" i="1"/>
  <c r="BF181" i="1"/>
  <c r="BE181" i="1"/>
  <c r="BD181" i="1"/>
  <c r="BC181" i="1"/>
  <c r="BB181" i="1"/>
  <c r="BA181" i="1"/>
  <c r="AZ181" i="1"/>
  <c r="AY181" i="1"/>
  <c r="AX181" i="1"/>
  <c r="D181" i="1"/>
  <c r="BG180" i="1"/>
  <c r="BF180" i="1"/>
  <c r="BE180" i="1"/>
  <c r="BD180" i="1"/>
  <c r="BC180" i="1"/>
  <c r="BB180" i="1"/>
  <c r="BA180" i="1"/>
  <c r="AZ180" i="1"/>
  <c r="AY180" i="1"/>
  <c r="AX180" i="1"/>
  <c r="D180" i="1"/>
  <c r="BG179" i="1"/>
  <c r="BF179" i="1"/>
  <c r="BE179" i="1"/>
  <c r="BD179" i="1"/>
  <c r="BC179" i="1"/>
  <c r="BB179" i="1"/>
  <c r="BA179" i="1"/>
  <c r="AZ179" i="1"/>
  <c r="AY179" i="1"/>
  <c r="AX179" i="1"/>
  <c r="D179" i="1"/>
  <c r="BG178" i="1"/>
  <c r="BF178" i="1"/>
  <c r="BE178" i="1"/>
  <c r="BD178" i="1"/>
  <c r="BC178" i="1"/>
  <c r="BB178" i="1"/>
  <c r="BA178" i="1"/>
  <c r="AZ178" i="1"/>
  <c r="AY178" i="1"/>
  <c r="AX178" i="1"/>
  <c r="D178" i="1"/>
  <c r="BG177" i="1"/>
  <c r="BF177" i="1"/>
  <c r="BE177" i="1"/>
  <c r="BD177" i="1"/>
  <c r="BC177" i="1"/>
  <c r="BB177" i="1"/>
  <c r="BA177" i="1"/>
  <c r="AZ177" i="1"/>
  <c r="AY177" i="1"/>
  <c r="AX177" i="1"/>
  <c r="D177" i="1"/>
  <c r="BG176" i="1"/>
  <c r="BF176" i="1"/>
  <c r="BE176" i="1"/>
  <c r="BD176" i="1"/>
  <c r="BC176" i="1"/>
  <c r="BB176" i="1"/>
  <c r="BA176" i="1"/>
  <c r="AZ176" i="1"/>
  <c r="AY176" i="1"/>
  <c r="AX176" i="1"/>
  <c r="D176" i="1"/>
  <c r="BG175" i="1"/>
  <c r="BF175" i="1"/>
  <c r="BE175" i="1"/>
  <c r="BD175" i="1"/>
  <c r="BC175" i="1"/>
  <c r="BB175" i="1"/>
  <c r="BA175" i="1"/>
  <c r="AZ175" i="1"/>
  <c r="AY175" i="1"/>
  <c r="AX175" i="1"/>
  <c r="D175" i="1"/>
  <c r="BG174" i="1"/>
  <c r="BF174" i="1"/>
  <c r="BE174" i="1"/>
  <c r="BD174" i="1"/>
  <c r="BC174" i="1"/>
  <c r="BB174" i="1"/>
  <c r="BA174" i="1"/>
  <c r="AZ174" i="1"/>
  <c r="AY174" i="1"/>
  <c r="AX174" i="1"/>
  <c r="D174" i="1"/>
  <c r="BG173" i="1"/>
  <c r="BF173" i="1"/>
  <c r="BE173" i="1"/>
  <c r="BD173" i="1"/>
  <c r="BC173" i="1"/>
  <c r="BB173" i="1"/>
  <c r="BA173" i="1"/>
  <c r="AZ173" i="1"/>
  <c r="AY173" i="1"/>
  <c r="AX173" i="1"/>
  <c r="D173" i="1"/>
  <c r="BG172" i="1"/>
  <c r="BF172" i="1"/>
  <c r="BE172" i="1"/>
  <c r="BD172" i="1"/>
  <c r="BC172" i="1"/>
  <c r="BB172" i="1"/>
  <c r="BA172" i="1"/>
  <c r="AZ172" i="1"/>
  <c r="AY172" i="1"/>
  <c r="AX172" i="1"/>
  <c r="D172" i="1"/>
  <c r="BG171" i="1"/>
  <c r="BF171" i="1"/>
  <c r="BE171" i="1"/>
  <c r="BD171" i="1"/>
  <c r="BC171" i="1"/>
  <c r="BB171" i="1"/>
  <c r="BA171" i="1"/>
  <c r="AZ171" i="1"/>
  <c r="AY171" i="1"/>
  <c r="AX171" i="1"/>
  <c r="D171" i="1"/>
  <c r="BG170" i="1"/>
  <c r="BF170" i="1"/>
  <c r="BE170" i="1"/>
  <c r="BD170" i="1"/>
  <c r="BC170" i="1"/>
  <c r="BB170" i="1"/>
  <c r="BA170" i="1"/>
  <c r="AZ170" i="1"/>
  <c r="AY170" i="1"/>
  <c r="AX170" i="1"/>
  <c r="D170" i="1"/>
  <c r="BG169" i="1"/>
  <c r="BF169" i="1"/>
  <c r="BE169" i="1"/>
  <c r="BD169" i="1"/>
  <c r="BC169" i="1"/>
  <c r="BB169" i="1"/>
  <c r="BA169" i="1"/>
  <c r="AZ169" i="1"/>
  <c r="AY169" i="1"/>
  <c r="AX169" i="1"/>
  <c r="D169" i="1"/>
  <c r="BG168" i="1"/>
  <c r="BF168" i="1"/>
  <c r="BE168" i="1"/>
  <c r="BD168" i="1"/>
  <c r="BC168" i="1"/>
  <c r="BB168" i="1"/>
  <c r="BA168" i="1"/>
  <c r="AZ168" i="1"/>
  <c r="AY168" i="1"/>
  <c r="AX168" i="1"/>
  <c r="D168" i="1"/>
  <c r="BG167" i="1"/>
  <c r="BF167" i="1"/>
  <c r="BE167" i="1"/>
  <c r="BD167" i="1"/>
  <c r="BC167" i="1"/>
  <c r="BB167" i="1"/>
  <c r="BA167" i="1"/>
  <c r="AZ167" i="1"/>
  <c r="AY167" i="1"/>
  <c r="AX167" i="1"/>
  <c r="D167" i="1"/>
  <c r="BG166" i="1"/>
  <c r="BF166" i="1"/>
  <c r="BE166" i="1"/>
  <c r="BD166" i="1"/>
  <c r="BC166" i="1"/>
  <c r="BB166" i="1"/>
  <c r="BA166" i="1"/>
  <c r="AZ166" i="1"/>
  <c r="AY166" i="1"/>
  <c r="AX166" i="1"/>
  <c r="D166" i="1"/>
  <c r="BG165" i="1"/>
  <c r="BF165" i="1"/>
  <c r="BE165" i="1"/>
  <c r="BD165" i="1"/>
  <c r="BC165" i="1"/>
  <c r="BB165" i="1"/>
  <c r="BA165" i="1"/>
  <c r="AZ165" i="1"/>
  <c r="AY165" i="1"/>
  <c r="AX165" i="1"/>
  <c r="D165" i="1"/>
  <c r="BG164" i="1"/>
  <c r="BF164" i="1"/>
  <c r="BE164" i="1"/>
  <c r="BD164" i="1"/>
  <c r="BC164" i="1"/>
  <c r="BB164" i="1"/>
  <c r="BA164" i="1"/>
  <c r="AZ164" i="1"/>
  <c r="AY164" i="1"/>
  <c r="AX164" i="1"/>
  <c r="D164" i="1"/>
  <c r="BG163" i="1"/>
  <c r="BF163" i="1"/>
  <c r="BE163" i="1"/>
  <c r="BD163" i="1"/>
  <c r="BC163" i="1"/>
  <c r="BB163" i="1"/>
  <c r="BA163" i="1"/>
  <c r="AZ163" i="1"/>
  <c r="AY163" i="1"/>
  <c r="AX163" i="1"/>
  <c r="D163" i="1"/>
  <c r="BG162" i="1"/>
  <c r="BF162" i="1"/>
  <c r="BE162" i="1"/>
  <c r="BD162" i="1"/>
  <c r="BC162" i="1"/>
  <c r="BB162" i="1"/>
  <c r="BA162" i="1"/>
  <c r="AZ162" i="1"/>
  <c r="AY162" i="1"/>
  <c r="AX162" i="1"/>
  <c r="D162" i="1"/>
  <c r="BG161" i="1"/>
  <c r="BF161" i="1"/>
  <c r="BE161" i="1"/>
  <c r="BD161" i="1"/>
  <c r="BC161" i="1"/>
  <c r="BB161" i="1"/>
  <c r="BA161" i="1"/>
  <c r="AZ161" i="1"/>
  <c r="AY161" i="1"/>
  <c r="AX161" i="1"/>
  <c r="D161" i="1"/>
  <c r="BG160" i="1"/>
  <c r="BF160" i="1"/>
  <c r="BE160" i="1"/>
  <c r="BD160" i="1"/>
  <c r="BC160" i="1"/>
  <c r="BB160" i="1"/>
  <c r="BA160" i="1"/>
  <c r="AZ160" i="1"/>
  <c r="AY160" i="1"/>
  <c r="AX160" i="1"/>
  <c r="D160" i="1"/>
  <c r="BG159" i="1"/>
  <c r="BF159" i="1"/>
  <c r="BE159" i="1"/>
  <c r="BD159" i="1"/>
  <c r="BC159" i="1"/>
  <c r="BB159" i="1"/>
  <c r="BA159" i="1"/>
  <c r="AZ159" i="1"/>
  <c r="AY159" i="1"/>
  <c r="AX159" i="1"/>
  <c r="D159" i="1"/>
  <c r="BG158" i="1"/>
  <c r="BF158" i="1"/>
  <c r="BE158" i="1"/>
  <c r="BD158" i="1"/>
  <c r="BC158" i="1"/>
  <c r="BB158" i="1"/>
  <c r="BA158" i="1"/>
  <c r="AZ158" i="1"/>
  <c r="AY158" i="1"/>
  <c r="AX158" i="1"/>
  <c r="D158" i="1"/>
  <c r="BG157" i="1"/>
  <c r="BF157" i="1"/>
  <c r="BE157" i="1"/>
  <c r="BD157" i="1"/>
  <c r="BC157" i="1"/>
  <c r="BB157" i="1"/>
  <c r="BA157" i="1"/>
  <c r="AZ157" i="1"/>
  <c r="AY157" i="1"/>
  <c r="AX157" i="1"/>
  <c r="D157" i="1"/>
  <c r="BG156" i="1"/>
  <c r="BF156" i="1"/>
  <c r="BE156" i="1"/>
  <c r="BD156" i="1"/>
  <c r="BC156" i="1"/>
  <c r="BB156" i="1"/>
  <c r="BA156" i="1"/>
  <c r="AZ156" i="1"/>
  <c r="AY156" i="1"/>
  <c r="AX156" i="1"/>
  <c r="D156" i="1"/>
  <c r="BG155" i="1"/>
  <c r="BF155" i="1"/>
  <c r="BE155" i="1"/>
  <c r="BD155" i="1"/>
  <c r="BC155" i="1"/>
  <c r="BB155" i="1"/>
  <c r="BA155" i="1"/>
  <c r="AZ155" i="1"/>
  <c r="AY155" i="1"/>
  <c r="AX155" i="1"/>
  <c r="D155" i="1"/>
  <c r="BG154" i="1"/>
  <c r="BF154" i="1"/>
  <c r="BE154" i="1"/>
  <c r="BD154" i="1"/>
  <c r="BC154" i="1"/>
  <c r="BB154" i="1"/>
  <c r="BA154" i="1"/>
  <c r="AZ154" i="1"/>
  <c r="AY154" i="1"/>
  <c r="AX154" i="1"/>
  <c r="D154" i="1"/>
  <c r="BG153" i="1"/>
  <c r="BF153" i="1"/>
  <c r="BE153" i="1"/>
  <c r="BD153" i="1"/>
  <c r="BC153" i="1"/>
  <c r="BB153" i="1"/>
  <c r="BA153" i="1"/>
  <c r="AZ153" i="1"/>
  <c r="AY153" i="1"/>
  <c r="AX153" i="1"/>
  <c r="D153" i="1"/>
  <c r="BG152" i="1"/>
  <c r="BF152" i="1"/>
  <c r="BE152" i="1"/>
  <c r="BD152" i="1"/>
  <c r="BC152" i="1"/>
  <c r="BB152" i="1"/>
  <c r="BA152" i="1"/>
  <c r="AZ152" i="1"/>
  <c r="AY152" i="1"/>
  <c r="AX152" i="1"/>
  <c r="D152" i="1"/>
  <c r="BG151" i="1"/>
  <c r="BF151" i="1"/>
  <c r="BE151" i="1"/>
  <c r="BD151" i="1"/>
  <c r="BC151" i="1"/>
  <c r="BB151" i="1"/>
  <c r="BA151" i="1"/>
  <c r="AZ151" i="1"/>
  <c r="AY151" i="1"/>
  <c r="AX151" i="1"/>
  <c r="D151" i="1"/>
  <c r="BG150" i="1"/>
  <c r="BF150" i="1"/>
  <c r="BE150" i="1"/>
  <c r="BD150" i="1"/>
  <c r="BC150" i="1"/>
  <c r="BB150" i="1"/>
  <c r="BA150" i="1"/>
  <c r="AZ150" i="1"/>
  <c r="AY150" i="1"/>
  <c r="AX150" i="1"/>
  <c r="D150" i="1"/>
  <c r="BG149" i="1"/>
  <c r="BF149" i="1"/>
  <c r="BE149" i="1"/>
  <c r="BD149" i="1"/>
  <c r="BC149" i="1"/>
  <c r="BB149" i="1"/>
  <c r="BA149" i="1"/>
  <c r="AZ149" i="1"/>
  <c r="AY149" i="1"/>
  <c r="AX149" i="1"/>
  <c r="D149" i="1"/>
  <c r="BG148" i="1"/>
  <c r="BF148" i="1"/>
  <c r="BE148" i="1"/>
  <c r="BD148" i="1"/>
  <c r="BC148" i="1"/>
  <c r="BB148" i="1"/>
  <c r="BA148" i="1"/>
  <c r="AZ148" i="1"/>
  <c r="AY148" i="1"/>
  <c r="AX148" i="1"/>
  <c r="D148" i="1"/>
  <c r="BG147" i="1"/>
  <c r="BF147" i="1"/>
  <c r="BE147" i="1"/>
  <c r="BD147" i="1"/>
  <c r="BC147" i="1"/>
  <c r="BB147" i="1"/>
  <c r="BA147" i="1"/>
  <c r="AZ147" i="1"/>
  <c r="AY147" i="1"/>
  <c r="AX147" i="1"/>
  <c r="D147" i="1"/>
  <c r="BG146" i="1"/>
  <c r="BF146" i="1"/>
  <c r="BE146" i="1"/>
  <c r="BD146" i="1"/>
  <c r="BC146" i="1"/>
  <c r="BB146" i="1"/>
  <c r="BA146" i="1"/>
  <c r="AZ146" i="1"/>
  <c r="AY146" i="1"/>
  <c r="AX146" i="1"/>
  <c r="D146" i="1"/>
  <c r="BG145" i="1"/>
  <c r="BF145" i="1"/>
  <c r="BE145" i="1"/>
  <c r="BD145" i="1"/>
  <c r="BC145" i="1"/>
  <c r="BB145" i="1"/>
  <c r="BA145" i="1"/>
  <c r="AZ145" i="1"/>
  <c r="AY145" i="1"/>
  <c r="AX145" i="1"/>
  <c r="D145" i="1"/>
  <c r="BG144" i="1"/>
  <c r="BF144" i="1"/>
  <c r="BE144" i="1"/>
  <c r="BD144" i="1"/>
  <c r="BC144" i="1"/>
  <c r="BB144" i="1"/>
  <c r="BA144" i="1"/>
  <c r="AZ144" i="1"/>
  <c r="AY144" i="1"/>
  <c r="AX144" i="1"/>
  <c r="D144" i="1"/>
  <c r="BG143" i="1"/>
  <c r="BF143" i="1"/>
  <c r="BE143" i="1"/>
  <c r="BD143" i="1"/>
  <c r="BC143" i="1"/>
  <c r="BB143" i="1"/>
  <c r="BA143" i="1"/>
  <c r="AZ143" i="1"/>
  <c r="AY143" i="1"/>
  <c r="AX143" i="1"/>
  <c r="D143" i="1"/>
  <c r="BG142" i="1"/>
  <c r="BF142" i="1"/>
  <c r="BE142" i="1"/>
  <c r="BD142" i="1"/>
  <c r="BC142" i="1"/>
  <c r="BB142" i="1"/>
  <c r="BA142" i="1"/>
  <c r="AZ142" i="1"/>
  <c r="AY142" i="1"/>
  <c r="AX142" i="1"/>
  <c r="D142" i="1"/>
  <c r="BG141" i="1"/>
  <c r="BF141" i="1"/>
  <c r="BE141" i="1"/>
  <c r="BD141" i="1"/>
  <c r="BC141" i="1"/>
  <c r="BB141" i="1"/>
  <c r="BA141" i="1"/>
  <c r="AZ141" i="1"/>
  <c r="AY141" i="1"/>
  <c r="AX141" i="1"/>
  <c r="D141" i="1"/>
  <c r="BG140" i="1"/>
  <c r="BF140" i="1"/>
  <c r="BE140" i="1"/>
  <c r="BD140" i="1"/>
  <c r="BC140" i="1"/>
  <c r="BB140" i="1"/>
  <c r="BA140" i="1"/>
  <c r="AZ140" i="1"/>
  <c r="AY140" i="1"/>
  <c r="AX140" i="1"/>
  <c r="D140" i="1"/>
  <c r="BG139" i="1"/>
  <c r="BF139" i="1"/>
  <c r="BE139" i="1"/>
  <c r="BD139" i="1"/>
  <c r="BC139" i="1"/>
  <c r="BB139" i="1"/>
  <c r="BA139" i="1"/>
  <c r="AZ139" i="1"/>
  <c r="AY139" i="1"/>
  <c r="AX139" i="1"/>
  <c r="D139" i="1"/>
  <c r="BG138" i="1"/>
  <c r="BF138" i="1"/>
  <c r="BE138" i="1"/>
  <c r="BD138" i="1"/>
  <c r="BC138" i="1"/>
  <c r="BB138" i="1"/>
  <c r="BA138" i="1"/>
  <c r="AZ138" i="1"/>
  <c r="AY138" i="1"/>
  <c r="AX138" i="1"/>
  <c r="D138" i="1"/>
  <c r="BG137" i="1"/>
  <c r="BF137" i="1"/>
  <c r="BE137" i="1"/>
  <c r="BD137" i="1"/>
  <c r="BC137" i="1"/>
  <c r="BB137" i="1"/>
  <c r="BA137" i="1"/>
  <c r="AZ137" i="1"/>
  <c r="AY137" i="1"/>
  <c r="AX137" i="1"/>
  <c r="D137" i="1"/>
  <c r="BG136" i="1"/>
  <c r="BF136" i="1"/>
  <c r="BE136" i="1"/>
  <c r="BD136" i="1"/>
  <c r="BC136" i="1"/>
  <c r="BB136" i="1"/>
  <c r="BA136" i="1"/>
  <c r="AZ136" i="1"/>
  <c r="AY136" i="1"/>
  <c r="AX136" i="1"/>
  <c r="D136" i="1"/>
  <c r="BG135" i="1"/>
  <c r="BF135" i="1"/>
  <c r="BE135" i="1"/>
  <c r="BD135" i="1"/>
  <c r="BC135" i="1"/>
  <c r="BB135" i="1"/>
  <c r="BA135" i="1"/>
  <c r="AZ135" i="1"/>
  <c r="AY135" i="1"/>
  <c r="AX135" i="1"/>
  <c r="D135" i="1"/>
  <c r="BG134" i="1"/>
  <c r="BF134" i="1"/>
  <c r="BE134" i="1"/>
  <c r="BD134" i="1"/>
  <c r="BC134" i="1"/>
  <c r="BB134" i="1"/>
  <c r="BA134" i="1"/>
  <c r="AZ134" i="1"/>
  <c r="AY134" i="1"/>
  <c r="AX134" i="1"/>
  <c r="D134" i="1"/>
  <c r="BG133" i="1"/>
  <c r="BF133" i="1"/>
  <c r="BE133" i="1"/>
  <c r="BD133" i="1"/>
  <c r="BC133" i="1"/>
  <c r="BB133" i="1"/>
  <c r="BA133" i="1"/>
  <c r="AZ133" i="1"/>
  <c r="AY133" i="1"/>
  <c r="AX133" i="1"/>
  <c r="D133" i="1"/>
  <c r="BG132" i="1"/>
  <c r="BF132" i="1"/>
  <c r="BE132" i="1"/>
  <c r="BD132" i="1"/>
  <c r="BC132" i="1"/>
  <c r="BB132" i="1"/>
  <c r="BA132" i="1"/>
  <c r="AZ132" i="1"/>
  <c r="AY132" i="1"/>
  <c r="AX132" i="1"/>
  <c r="D132" i="1"/>
  <c r="BG131" i="1"/>
  <c r="BF131" i="1"/>
  <c r="BE131" i="1"/>
  <c r="BD131" i="1"/>
  <c r="BC131" i="1"/>
  <c r="BB131" i="1"/>
  <c r="BA131" i="1"/>
  <c r="AZ131" i="1"/>
  <c r="AY131" i="1"/>
  <c r="AX131" i="1"/>
  <c r="D131" i="1"/>
  <c r="BG130" i="1"/>
  <c r="BF130" i="1"/>
  <c r="BE130" i="1"/>
  <c r="BD130" i="1"/>
  <c r="BC130" i="1"/>
  <c r="BB130" i="1"/>
  <c r="BA130" i="1"/>
  <c r="AZ130" i="1"/>
  <c r="AY130" i="1"/>
  <c r="AX130" i="1"/>
  <c r="D130" i="1"/>
  <c r="BG129" i="1"/>
  <c r="BF129" i="1"/>
  <c r="BE129" i="1"/>
  <c r="BD129" i="1"/>
  <c r="BC129" i="1"/>
  <c r="BB129" i="1"/>
  <c r="BA129" i="1"/>
  <c r="AZ129" i="1"/>
  <c r="AY129" i="1"/>
  <c r="AX129" i="1"/>
  <c r="D129" i="1"/>
  <c r="BG128" i="1"/>
  <c r="BF128" i="1"/>
  <c r="BE128" i="1"/>
  <c r="BD128" i="1"/>
  <c r="BC128" i="1"/>
  <c r="BB128" i="1"/>
  <c r="BA128" i="1"/>
  <c r="AZ128" i="1"/>
  <c r="AY128" i="1"/>
  <c r="AX128" i="1"/>
  <c r="D128" i="1"/>
  <c r="BG127" i="1"/>
  <c r="BF127" i="1"/>
  <c r="BE127" i="1"/>
  <c r="BD127" i="1"/>
  <c r="BC127" i="1"/>
  <c r="BB127" i="1"/>
  <c r="BA127" i="1"/>
  <c r="AZ127" i="1"/>
  <c r="AY127" i="1"/>
  <c r="AX127" i="1"/>
  <c r="D127" i="1"/>
  <c r="BG126" i="1"/>
  <c r="BF126" i="1"/>
  <c r="BE126" i="1"/>
  <c r="BD126" i="1"/>
  <c r="BC126" i="1"/>
  <c r="BB126" i="1"/>
  <c r="BA126" i="1"/>
  <c r="AZ126" i="1"/>
  <c r="AY126" i="1"/>
  <c r="AX126" i="1"/>
  <c r="D126" i="1"/>
  <c r="BG125" i="1"/>
  <c r="BF125" i="1"/>
  <c r="BE125" i="1"/>
  <c r="BD125" i="1"/>
  <c r="BC125" i="1"/>
  <c r="BB125" i="1"/>
  <c r="BA125" i="1"/>
  <c r="AZ125" i="1"/>
  <c r="AY125" i="1"/>
  <c r="AX125" i="1"/>
  <c r="D125" i="1"/>
  <c r="BG124" i="1"/>
  <c r="BF124" i="1"/>
  <c r="BE124" i="1"/>
  <c r="BD124" i="1"/>
  <c r="BC124" i="1"/>
  <c r="BB124" i="1"/>
  <c r="BA124" i="1"/>
  <c r="AZ124" i="1"/>
  <c r="AY124" i="1"/>
  <c r="AX124" i="1"/>
  <c r="D124" i="1"/>
  <c r="BG123" i="1"/>
  <c r="BF123" i="1"/>
  <c r="BE123" i="1"/>
  <c r="BD123" i="1"/>
  <c r="BC123" i="1"/>
  <c r="BB123" i="1"/>
  <c r="BA123" i="1"/>
  <c r="AZ123" i="1"/>
  <c r="AY123" i="1"/>
  <c r="AX123" i="1"/>
  <c r="D123" i="1"/>
  <c r="BG122" i="1"/>
  <c r="BF122" i="1"/>
  <c r="BE122" i="1"/>
  <c r="BD122" i="1"/>
  <c r="BC122" i="1"/>
  <c r="BB122" i="1"/>
  <c r="BA122" i="1"/>
  <c r="AZ122" i="1"/>
  <c r="AY122" i="1"/>
  <c r="AX122" i="1"/>
  <c r="D122" i="1"/>
  <c r="BG121" i="1"/>
  <c r="BF121" i="1"/>
  <c r="BE121" i="1"/>
  <c r="BD121" i="1"/>
  <c r="BC121" i="1"/>
  <c r="BB121" i="1"/>
  <c r="BA121" i="1"/>
  <c r="AZ121" i="1"/>
  <c r="AY121" i="1"/>
  <c r="AX121" i="1"/>
  <c r="D121" i="1"/>
  <c r="BG120" i="1"/>
  <c r="BF120" i="1"/>
  <c r="BE120" i="1"/>
  <c r="BD120" i="1"/>
  <c r="BC120" i="1"/>
  <c r="BB120" i="1"/>
  <c r="BA120" i="1"/>
  <c r="AZ120" i="1"/>
  <c r="AY120" i="1"/>
  <c r="AX120" i="1"/>
  <c r="D120" i="1"/>
  <c r="BG119" i="1"/>
  <c r="BF119" i="1"/>
  <c r="BE119" i="1"/>
  <c r="BD119" i="1"/>
  <c r="BC119" i="1"/>
  <c r="BB119" i="1"/>
  <c r="BA119" i="1"/>
  <c r="AZ119" i="1"/>
  <c r="AY119" i="1"/>
  <c r="AX119" i="1"/>
  <c r="D119" i="1"/>
  <c r="BG118" i="1"/>
  <c r="BF118" i="1"/>
  <c r="BE118" i="1"/>
  <c r="BD118" i="1"/>
  <c r="BC118" i="1"/>
  <c r="BB118" i="1"/>
  <c r="BA118" i="1"/>
  <c r="AZ118" i="1"/>
  <c r="AY118" i="1"/>
  <c r="AX118" i="1"/>
  <c r="D118" i="1"/>
  <c r="BG117" i="1"/>
  <c r="BF117" i="1"/>
  <c r="BE117" i="1"/>
  <c r="BD117" i="1"/>
  <c r="BC117" i="1"/>
  <c r="BB117" i="1"/>
  <c r="BA117" i="1"/>
  <c r="AZ117" i="1"/>
  <c r="AY117" i="1"/>
  <c r="AX117" i="1"/>
  <c r="D117" i="1"/>
  <c r="BG116" i="1"/>
  <c r="BF116" i="1"/>
  <c r="BE116" i="1"/>
  <c r="BD116" i="1"/>
  <c r="BC116" i="1"/>
  <c r="BB116" i="1"/>
  <c r="BA116" i="1"/>
  <c r="AZ116" i="1"/>
  <c r="AY116" i="1"/>
  <c r="AX116" i="1"/>
  <c r="D116" i="1"/>
  <c r="BG115" i="1"/>
  <c r="BF115" i="1"/>
  <c r="BE115" i="1"/>
  <c r="BD115" i="1"/>
  <c r="BC115" i="1"/>
  <c r="BB115" i="1"/>
  <c r="BA115" i="1"/>
  <c r="AZ115" i="1"/>
  <c r="AY115" i="1"/>
  <c r="AX115" i="1"/>
  <c r="D115" i="1"/>
  <c r="BG114" i="1"/>
  <c r="BF114" i="1"/>
  <c r="BE114" i="1"/>
  <c r="BD114" i="1"/>
  <c r="BC114" i="1"/>
  <c r="BB114" i="1"/>
  <c r="BA114" i="1"/>
  <c r="AZ114" i="1"/>
  <c r="AY114" i="1"/>
  <c r="AX114" i="1"/>
  <c r="D114" i="1"/>
  <c r="BG113" i="1"/>
  <c r="BF113" i="1"/>
  <c r="BE113" i="1"/>
  <c r="BD113" i="1"/>
  <c r="BC113" i="1"/>
  <c r="BB113" i="1"/>
  <c r="BA113" i="1"/>
  <c r="AZ113" i="1"/>
  <c r="AY113" i="1"/>
  <c r="AX113" i="1"/>
  <c r="D113" i="1"/>
  <c r="BG112" i="1"/>
  <c r="BF112" i="1"/>
  <c r="BE112" i="1"/>
  <c r="BD112" i="1"/>
  <c r="BC112" i="1"/>
  <c r="BB112" i="1"/>
  <c r="BA112" i="1"/>
  <c r="AZ112" i="1"/>
  <c r="AY112" i="1"/>
  <c r="AX112" i="1"/>
  <c r="D112" i="1"/>
  <c r="BG111" i="1"/>
  <c r="BF111" i="1"/>
  <c r="BE111" i="1"/>
  <c r="BD111" i="1"/>
  <c r="BC111" i="1"/>
  <c r="BB111" i="1"/>
  <c r="BA111" i="1"/>
  <c r="AZ111" i="1"/>
  <c r="AY111" i="1"/>
  <c r="AX111" i="1"/>
  <c r="D111" i="1"/>
  <c r="BG110" i="1"/>
  <c r="BF110" i="1"/>
  <c r="BE110" i="1"/>
  <c r="BD110" i="1"/>
  <c r="BC110" i="1"/>
  <c r="BB110" i="1"/>
  <c r="BA110" i="1"/>
  <c r="AZ110" i="1"/>
  <c r="AY110" i="1"/>
  <c r="AX110" i="1"/>
  <c r="D110" i="1"/>
  <c r="BG109" i="1"/>
  <c r="BF109" i="1"/>
  <c r="BE109" i="1"/>
  <c r="BD109" i="1"/>
  <c r="BC109" i="1"/>
  <c r="BB109" i="1"/>
  <c r="BA109" i="1"/>
  <c r="AZ109" i="1"/>
  <c r="AY109" i="1"/>
  <c r="AX109" i="1"/>
  <c r="D109" i="1"/>
  <c r="BG108" i="1"/>
  <c r="BF108" i="1"/>
  <c r="BE108" i="1"/>
  <c r="BD108" i="1"/>
  <c r="BC108" i="1"/>
  <c r="BB108" i="1"/>
  <c r="BA108" i="1"/>
  <c r="AZ108" i="1"/>
  <c r="AY108" i="1"/>
  <c r="AX108" i="1"/>
  <c r="D108" i="1"/>
  <c r="BG107" i="1"/>
  <c r="BF107" i="1"/>
  <c r="BE107" i="1"/>
  <c r="BD107" i="1"/>
  <c r="BC107" i="1"/>
  <c r="BB107" i="1"/>
  <c r="BA107" i="1"/>
  <c r="AZ107" i="1"/>
  <c r="AY107" i="1"/>
  <c r="AX107" i="1"/>
  <c r="D107" i="1"/>
  <c r="BG106" i="1"/>
  <c r="BF106" i="1"/>
  <c r="BE106" i="1"/>
  <c r="BD106" i="1"/>
  <c r="BC106" i="1"/>
  <c r="BB106" i="1"/>
  <c r="BA106" i="1"/>
  <c r="AZ106" i="1"/>
  <c r="AY106" i="1"/>
  <c r="AX106" i="1"/>
  <c r="D106" i="1"/>
  <c r="BG105" i="1"/>
  <c r="BF105" i="1"/>
  <c r="BE105" i="1"/>
  <c r="BD105" i="1"/>
  <c r="BC105" i="1"/>
  <c r="BB105" i="1"/>
  <c r="BA105" i="1"/>
  <c r="AZ105" i="1"/>
  <c r="AY105" i="1"/>
  <c r="AX105" i="1"/>
  <c r="D105" i="1"/>
  <c r="BG104" i="1"/>
  <c r="BF104" i="1"/>
  <c r="BE104" i="1"/>
  <c r="BD104" i="1"/>
  <c r="BC104" i="1"/>
  <c r="BB104" i="1"/>
  <c r="BA104" i="1"/>
  <c r="AZ104" i="1"/>
  <c r="AY104" i="1"/>
  <c r="AX104" i="1"/>
  <c r="D104" i="1"/>
  <c r="BG103" i="1"/>
  <c r="BF103" i="1"/>
  <c r="BE103" i="1"/>
  <c r="BD103" i="1"/>
  <c r="BC103" i="1"/>
  <c r="BB103" i="1"/>
  <c r="BA103" i="1"/>
  <c r="AZ103" i="1"/>
  <c r="AY103" i="1"/>
  <c r="AX103" i="1"/>
  <c r="D103" i="1"/>
  <c r="BG102" i="1"/>
  <c r="BF102" i="1"/>
  <c r="BE102" i="1"/>
  <c r="BD102" i="1"/>
  <c r="BC102" i="1"/>
  <c r="BB102" i="1"/>
  <c r="BA102" i="1"/>
  <c r="AZ102" i="1"/>
  <c r="AY102" i="1"/>
  <c r="AX102" i="1"/>
  <c r="D102" i="1"/>
  <c r="BG101" i="1"/>
  <c r="BF101" i="1"/>
  <c r="BE101" i="1"/>
  <c r="BD101" i="1"/>
  <c r="BC101" i="1"/>
  <c r="BB101" i="1"/>
  <c r="BA101" i="1"/>
  <c r="AZ101" i="1"/>
  <c r="AY101" i="1"/>
  <c r="AX101" i="1"/>
  <c r="D101" i="1"/>
  <c r="BG100" i="1"/>
  <c r="BF100" i="1"/>
  <c r="BE100" i="1"/>
  <c r="BD100" i="1"/>
  <c r="BC100" i="1"/>
  <c r="BB100" i="1"/>
  <c r="BA100" i="1"/>
  <c r="AZ100" i="1"/>
  <c r="AY100" i="1"/>
  <c r="AX100" i="1"/>
  <c r="D100" i="1"/>
  <c r="BG99" i="1"/>
  <c r="BF99" i="1"/>
  <c r="BE99" i="1"/>
  <c r="BD99" i="1"/>
  <c r="BC99" i="1"/>
  <c r="BB99" i="1"/>
  <c r="BA99" i="1"/>
  <c r="AZ99" i="1"/>
  <c r="AY99" i="1"/>
  <c r="AX99" i="1"/>
  <c r="D99" i="1"/>
  <c r="BG98" i="1"/>
  <c r="BF98" i="1"/>
  <c r="BE98" i="1"/>
  <c r="BD98" i="1"/>
  <c r="BC98" i="1"/>
  <c r="BB98" i="1"/>
  <c r="BA98" i="1"/>
  <c r="AZ98" i="1"/>
  <c r="AY98" i="1"/>
  <c r="AX98" i="1"/>
  <c r="D98" i="1"/>
  <c r="BG97" i="1"/>
  <c r="BF97" i="1"/>
  <c r="BE97" i="1"/>
  <c r="BD97" i="1"/>
  <c r="BC97" i="1"/>
  <c r="BB97" i="1"/>
  <c r="BA97" i="1"/>
  <c r="AZ97" i="1"/>
  <c r="AY97" i="1"/>
  <c r="AX97"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47" i="3"/>
  <c r="H597" i="3"/>
  <c r="H564" i="3"/>
  <c r="J5" i="3"/>
  <c r="J6" i="3"/>
  <c r="J7" i="3"/>
  <c r="J8" i="3"/>
  <c r="J9" i="3"/>
  <c r="J10" i="3"/>
  <c r="J11" i="3"/>
  <c r="J12" i="3"/>
  <c r="J13" i="3"/>
  <c r="J14" i="3"/>
  <c r="J15" i="3"/>
  <c r="J16" i="3"/>
  <c r="J17" i="3"/>
  <c r="J18" i="3"/>
  <c r="J19"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4" i="3"/>
  <c r="G4" i="4"/>
  <c r="H604" i="3"/>
  <c r="H591" i="3"/>
  <c r="H578" i="3"/>
  <c r="H565" i="3"/>
  <c r="H552" i="3"/>
  <c r="H539" i="3"/>
  <c r="H603" i="3"/>
  <c r="H600" i="3"/>
  <c r="H595" i="3"/>
  <c r="D591" i="3"/>
  <c r="B591" i="3"/>
  <c r="H590" i="3"/>
  <c r="B590" i="3"/>
  <c r="H587" i="3"/>
  <c r="D587" i="3"/>
  <c r="B587" i="3"/>
  <c r="L587" i="3" s="1"/>
  <c r="H584" i="3"/>
  <c r="B584" i="3"/>
  <c r="L584" i="3" s="1"/>
  <c r="H582" i="3"/>
  <c r="B582" i="3"/>
  <c r="D578" i="3"/>
  <c r="B578" i="3"/>
  <c r="H577" i="3"/>
  <c r="B577" i="3"/>
  <c r="L577" i="3" s="1"/>
  <c r="H574" i="3"/>
  <c r="D574" i="3"/>
  <c r="B574" i="3"/>
  <c r="L574" i="3" s="1"/>
  <c r="H571" i="3"/>
  <c r="B571" i="3"/>
  <c r="L571" i="3" s="1"/>
  <c r="H569" i="3"/>
  <c r="B569" i="3"/>
  <c r="L569" i="3" s="1"/>
  <c r="D552" i="3"/>
  <c r="B552" i="3"/>
  <c r="M552" i="3" s="1"/>
  <c r="H551" i="3"/>
  <c r="B551" i="3"/>
  <c r="H548" i="3"/>
  <c r="D548" i="3"/>
  <c r="B548" i="3"/>
  <c r="L548" i="3" s="1"/>
  <c r="H545" i="3"/>
  <c r="B545" i="3"/>
  <c r="L545" i="3" s="1"/>
  <c r="H543" i="3"/>
  <c r="B543" i="3"/>
  <c r="H535" i="3"/>
  <c r="H530" i="3"/>
  <c r="B530" i="3"/>
  <c r="D539" i="3"/>
  <c r="D535" i="3"/>
  <c r="H538" i="3"/>
  <c r="B538" i="3"/>
  <c r="L538" i="3" s="1"/>
  <c r="B535" i="3"/>
  <c r="H532" i="3"/>
  <c r="B532" i="3"/>
  <c r="B539" i="3"/>
  <c r="D90" i="1"/>
  <c r="D89" i="1"/>
  <c r="D88" i="1"/>
  <c r="BG87" i="1"/>
  <c r="BF87" i="1"/>
  <c r="BE87" i="1"/>
  <c r="BD87" i="1"/>
  <c r="BC87" i="1"/>
  <c r="BB87" i="1"/>
  <c r="BA87" i="1"/>
  <c r="AZ87" i="1"/>
  <c r="AY87" i="1"/>
  <c r="AX87" i="1"/>
  <c r="D87" i="1"/>
  <c r="G10" i="4"/>
  <c r="H434" i="3"/>
  <c r="H447" i="3"/>
  <c r="H438" i="3"/>
  <c r="H399" i="3"/>
  <c r="H425" i="3"/>
  <c r="H386" i="3"/>
  <c r="B5" i="4"/>
  <c r="C5" i="4"/>
  <c r="D5" i="4"/>
  <c r="E5" i="4"/>
  <c r="F5" i="4"/>
  <c r="G5" i="4"/>
  <c r="B6" i="4"/>
  <c r="C6" i="4"/>
  <c r="D6" i="4"/>
  <c r="E6" i="4"/>
  <c r="F6" i="4"/>
  <c r="G6" i="4"/>
  <c r="B7" i="4"/>
  <c r="C7" i="4"/>
  <c r="D7" i="4"/>
  <c r="E7" i="4"/>
  <c r="F7" i="4"/>
  <c r="G7" i="4"/>
  <c r="B8" i="4"/>
  <c r="C8" i="4"/>
  <c r="D8" i="4"/>
  <c r="E8" i="4"/>
  <c r="F8" i="4"/>
  <c r="G8" i="4"/>
  <c r="B9" i="4"/>
  <c r="C9" i="4"/>
  <c r="D9" i="4"/>
  <c r="E9" i="4"/>
  <c r="F9" i="4"/>
  <c r="G9" i="4"/>
  <c r="B10" i="4"/>
  <c r="C10" i="4"/>
  <c r="D10" i="4"/>
  <c r="E10" i="4"/>
  <c r="F10" i="4"/>
  <c r="B11" i="4"/>
  <c r="C11" i="4"/>
  <c r="D11" i="4"/>
  <c r="E11" i="4"/>
  <c r="F11" i="4"/>
  <c r="G11" i="4"/>
  <c r="B12" i="4"/>
  <c r="C12" i="4"/>
  <c r="D12" i="4"/>
  <c r="E12" i="4"/>
  <c r="F12" i="4"/>
  <c r="G12" i="4"/>
  <c r="B13" i="4"/>
  <c r="C13" i="4"/>
  <c r="D13" i="4"/>
  <c r="E13" i="4"/>
  <c r="F13" i="4"/>
  <c r="G13" i="4"/>
  <c r="B14" i="4"/>
  <c r="C14" i="4"/>
  <c r="D14" i="4"/>
  <c r="E14" i="4"/>
  <c r="F14" i="4"/>
  <c r="G14" i="4"/>
  <c r="B15" i="4"/>
  <c r="C15" i="4"/>
  <c r="D15" i="4"/>
  <c r="E15" i="4"/>
  <c r="F15" i="4"/>
  <c r="G15" i="4"/>
  <c r="B16" i="4"/>
  <c r="C16" i="4"/>
  <c r="D16" i="4"/>
  <c r="E16" i="4"/>
  <c r="F16" i="4"/>
  <c r="G16" i="4"/>
  <c r="B17" i="4"/>
  <c r="C17" i="4"/>
  <c r="D17" i="4"/>
  <c r="E17" i="4"/>
  <c r="F17" i="4"/>
  <c r="G17" i="4"/>
  <c r="B18" i="4"/>
  <c r="C18" i="4"/>
  <c r="D18" i="4"/>
  <c r="E18" i="4"/>
  <c r="F18" i="4"/>
  <c r="G18" i="4"/>
  <c r="B19" i="4"/>
  <c r="C19" i="4"/>
  <c r="D19" i="4"/>
  <c r="E19" i="4"/>
  <c r="F19" i="4"/>
  <c r="G19" i="4"/>
  <c r="B20" i="4"/>
  <c r="C20" i="4"/>
  <c r="D20" i="4"/>
  <c r="E20" i="4"/>
  <c r="F20" i="4"/>
  <c r="G20" i="4"/>
  <c r="B21" i="4"/>
  <c r="C21" i="4"/>
  <c r="D21" i="4"/>
  <c r="E21" i="4"/>
  <c r="F21" i="4"/>
  <c r="G21" i="4"/>
  <c r="B22" i="4"/>
  <c r="C22" i="4"/>
  <c r="D22" i="4"/>
  <c r="E22" i="4"/>
  <c r="F22" i="4"/>
  <c r="G22" i="4"/>
  <c r="B23" i="4"/>
  <c r="C23" i="4"/>
  <c r="D23" i="4"/>
  <c r="E23" i="4"/>
  <c r="F23" i="4"/>
  <c r="G23" i="4"/>
  <c r="B24" i="4"/>
  <c r="C24" i="4"/>
  <c r="D24" i="4"/>
  <c r="E24" i="4"/>
  <c r="F24" i="4"/>
  <c r="G24" i="4"/>
  <c r="C4" i="4"/>
  <c r="D4" i="4"/>
  <c r="E4" i="4"/>
  <c r="F4" i="4"/>
  <c r="B4" i="4"/>
  <c r="L6" i="3"/>
  <c r="M6" i="3"/>
  <c r="L7" i="3"/>
  <c r="M7" i="3"/>
  <c r="L8" i="3"/>
  <c r="L9" i="3"/>
  <c r="C7" i="3"/>
  <c r="M641" i="3" s="1"/>
  <c r="L19" i="3"/>
  <c r="L18" i="3"/>
  <c r="L17" i="3"/>
  <c r="L16" i="3"/>
  <c r="L15" i="3"/>
  <c r="L14" i="3"/>
  <c r="L13" i="3"/>
  <c r="L12" i="3"/>
  <c r="L11" i="3"/>
  <c r="L10" i="3"/>
  <c r="AX56" i="1"/>
  <c r="AX57" i="1"/>
  <c r="AY57" i="1"/>
  <c r="AZ57" i="1"/>
  <c r="BA57" i="1"/>
  <c r="BB57" i="1"/>
  <c r="BC57" i="1"/>
  <c r="BD57" i="1"/>
  <c r="BE57" i="1"/>
  <c r="BF57" i="1"/>
  <c r="BG57" i="1"/>
  <c r="AX58" i="1"/>
  <c r="AY58" i="1"/>
  <c r="AZ58" i="1"/>
  <c r="BA58" i="1"/>
  <c r="BB58" i="1"/>
  <c r="BC58" i="1"/>
  <c r="BD58" i="1"/>
  <c r="BE58" i="1"/>
  <c r="BF58" i="1"/>
  <c r="BG58" i="1"/>
  <c r="AX59" i="1"/>
  <c r="AY59" i="1"/>
  <c r="AZ59" i="1"/>
  <c r="BA59" i="1"/>
  <c r="BB59" i="1"/>
  <c r="BC59" i="1"/>
  <c r="BD59" i="1"/>
  <c r="BE59" i="1"/>
  <c r="BF59" i="1"/>
  <c r="BG59" i="1"/>
  <c r="AX60" i="1"/>
  <c r="AY60" i="1"/>
  <c r="AZ60" i="1"/>
  <c r="BA60" i="1"/>
  <c r="BB60" i="1"/>
  <c r="BC60" i="1"/>
  <c r="BD60" i="1"/>
  <c r="BE60" i="1"/>
  <c r="BF60" i="1"/>
  <c r="BG60" i="1"/>
  <c r="AX61" i="1"/>
  <c r="AY61" i="1"/>
  <c r="AZ61" i="1"/>
  <c r="BA61" i="1"/>
  <c r="BB61" i="1"/>
  <c r="BC61" i="1"/>
  <c r="BD61" i="1"/>
  <c r="BE61" i="1"/>
  <c r="BF61" i="1"/>
  <c r="BG61" i="1"/>
  <c r="AX62" i="1"/>
  <c r="AY62" i="1"/>
  <c r="AZ62" i="1"/>
  <c r="BA62" i="1"/>
  <c r="BB62" i="1"/>
  <c r="BC62" i="1"/>
  <c r="BD62" i="1"/>
  <c r="BE62" i="1"/>
  <c r="BF62" i="1"/>
  <c r="BG62" i="1"/>
  <c r="AX63" i="1"/>
  <c r="AY63" i="1"/>
  <c r="AZ63" i="1"/>
  <c r="BA63" i="1"/>
  <c r="BB63" i="1"/>
  <c r="BC63" i="1"/>
  <c r="BD63" i="1"/>
  <c r="BE63" i="1"/>
  <c r="BF63" i="1"/>
  <c r="BG63" i="1"/>
  <c r="BA64" i="1"/>
  <c r="BG65" i="1"/>
  <c r="AX67" i="1"/>
  <c r="AY67" i="1"/>
  <c r="AZ67" i="1"/>
  <c r="BA67" i="1"/>
  <c r="BB67" i="1"/>
  <c r="BC67" i="1"/>
  <c r="BD67" i="1"/>
  <c r="BE67" i="1"/>
  <c r="BF67" i="1"/>
  <c r="BG67" i="1"/>
  <c r="AX68" i="1"/>
  <c r="AY68" i="1"/>
  <c r="AZ68" i="1"/>
  <c r="BA68" i="1"/>
  <c r="BB68" i="1"/>
  <c r="BC68" i="1"/>
  <c r="BD68" i="1"/>
  <c r="BE68" i="1"/>
  <c r="BF68" i="1"/>
  <c r="BG68" i="1"/>
  <c r="AX69" i="1"/>
  <c r="AY69" i="1"/>
  <c r="AZ69" i="1"/>
  <c r="BA69" i="1"/>
  <c r="BB69" i="1"/>
  <c r="BC69" i="1"/>
  <c r="BD69" i="1"/>
  <c r="BE69" i="1"/>
  <c r="BF69" i="1"/>
  <c r="BG69" i="1"/>
  <c r="AX70" i="1"/>
  <c r="AY70" i="1"/>
  <c r="AZ70" i="1"/>
  <c r="BA70" i="1"/>
  <c r="BB70" i="1"/>
  <c r="BC70" i="1"/>
  <c r="BD70" i="1"/>
  <c r="BE70" i="1"/>
  <c r="BF70" i="1"/>
  <c r="BG70" i="1"/>
  <c r="AX71" i="1"/>
  <c r="AY71" i="1"/>
  <c r="AZ71" i="1"/>
  <c r="BA71" i="1"/>
  <c r="BB71" i="1"/>
  <c r="BC71" i="1"/>
  <c r="BD71" i="1"/>
  <c r="BE71" i="1"/>
  <c r="BF71" i="1"/>
  <c r="BG71" i="1"/>
  <c r="AX18" i="1"/>
  <c r="AY18" i="1"/>
  <c r="AZ18" i="1"/>
  <c r="BA18" i="1"/>
  <c r="BB18" i="1"/>
  <c r="BC18" i="1"/>
  <c r="BD18" i="1"/>
  <c r="BE18" i="1"/>
  <c r="BF18" i="1"/>
  <c r="BG18" i="1"/>
  <c r="AX19" i="1"/>
  <c r="AY19" i="1"/>
  <c r="AZ19" i="1"/>
  <c r="BA19" i="1"/>
  <c r="BB19" i="1"/>
  <c r="BC19" i="1"/>
  <c r="BD19" i="1"/>
  <c r="BE19" i="1"/>
  <c r="BF19" i="1"/>
  <c r="BG19" i="1"/>
  <c r="AX20" i="1"/>
  <c r="AY20" i="1"/>
  <c r="AZ20" i="1"/>
  <c r="BA20" i="1"/>
  <c r="BB20" i="1"/>
  <c r="BC20" i="1"/>
  <c r="BD20" i="1"/>
  <c r="BE20" i="1"/>
  <c r="BF20" i="1"/>
  <c r="BG20" i="1"/>
  <c r="AX21" i="1"/>
  <c r="AY21" i="1"/>
  <c r="AZ21" i="1"/>
  <c r="BA21" i="1"/>
  <c r="BB21" i="1"/>
  <c r="BC21" i="1"/>
  <c r="BD21" i="1"/>
  <c r="BE21" i="1"/>
  <c r="BF21" i="1"/>
  <c r="BG21" i="1"/>
  <c r="AX22" i="1"/>
  <c r="AY22" i="1"/>
  <c r="AZ22" i="1"/>
  <c r="BA22" i="1"/>
  <c r="BB22" i="1"/>
  <c r="BC22" i="1"/>
  <c r="BD22" i="1"/>
  <c r="BE22" i="1"/>
  <c r="BF22" i="1"/>
  <c r="BG22" i="1"/>
  <c r="AX23" i="1"/>
  <c r="AY23" i="1"/>
  <c r="AZ23" i="1"/>
  <c r="BA23" i="1"/>
  <c r="BB23" i="1"/>
  <c r="BC23" i="1"/>
  <c r="BD23" i="1"/>
  <c r="BE23" i="1"/>
  <c r="BF23" i="1"/>
  <c r="BG23" i="1"/>
  <c r="AX24" i="1"/>
  <c r="AY24" i="1"/>
  <c r="AZ24" i="1"/>
  <c r="BA24" i="1"/>
  <c r="BB24" i="1"/>
  <c r="BC24" i="1"/>
  <c r="BD24" i="1"/>
  <c r="BE24" i="1"/>
  <c r="BF24" i="1"/>
  <c r="BG24" i="1"/>
  <c r="AX25" i="1"/>
  <c r="AY25" i="1"/>
  <c r="AZ25" i="1"/>
  <c r="BA25" i="1"/>
  <c r="BB25" i="1"/>
  <c r="BC25" i="1"/>
  <c r="BD25" i="1"/>
  <c r="BE25" i="1"/>
  <c r="BF25" i="1"/>
  <c r="BG25" i="1"/>
  <c r="AX26" i="1"/>
  <c r="AY26" i="1"/>
  <c r="AZ26" i="1"/>
  <c r="BA26" i="1"/>
  <c r="BB26" i="1"/>
  <c r="BC26" i="1"/>
  <c r="BD26" i="1"/>
  <c r="BE26" i="1"/>
  <c r="BF26" i="1"/>
  <c r="BG26" i="1"/>
  <c r="AX28" i="1"/>
  <c r="AY28" i="1"/>
  <c r="AZ28" i="1"/>
  <c r="BA28" i="1"/>
  <c r="BB28" i="1"/>
  <c r="BC28" i="1"/>
  <c r="BD28" i="1"/>
  <c r="BE28" i="1"/>
  <c r="BF28" i="1"/>
  <c r="BG28" i="1"/>
  <c r="AX29" i="1"/>
  <c r="AY29" i="1"/>
  <c r="AZ29" i="1"/>
  <c r="BA29" i="1"/>
  <c r="BB29" i="1"/>
  <c r="BC29" i="1"/>
  <c r="BD29" i="1"/>
  <c r="BE29" i="1"/>
  <c r="BF29" i="1"/>
  <c r="BG29" i="1"/>
  <c r="AX30" i="1"/>
  <c r="AY30" i="1"/>
  <c r="AZ30" i="1"/>
  <c r="BA30" i="1"/>
  <c r="BB30" i="1"/>
  <c r="BC30" i="1"/>
  <c r="BD30" i="1"/>
  <c r="BE30" i="1"/>
  <c r="BF30" i="1"/>
  <c r="BG30" i="1"/>
  <c r="AX31" i="1"/>
  <c r="AY31" i="1"/>
  <c r="AZ31" i="1"/>
  <c r="BA31" i="1"/>
  <c r="BB31" i="1"/>
  <c r="BC31" i="1"/>
  <c r="BD31" i="1"/>
  <c r="BE31" i="1"/>
  <c r="BF31" i="1"/>
  <c r="BG31" i="1"/>
  <c r="AX32" i="1"/>
  <c r="AY32" i="1"/>
  <c r="AZ32" i="1"/>
  <c r="BA32" i="1"/>
  <c r="BB32" i="1"/>
  <c r="BC32" i="1"/>
  <c r="BD32" i="1"/>
  <c r="BE32" i="1"/>
  <c r="BF32" i="1"/>
  <c r="BG32" i="1"/>
  <c r="AX33" i="1"/>
  <c r="AY33" i="1"/>
  <c r="AZ33" i="1"/>
  <c r="BA33" i="1"/>
  <c r="BB33" i="1"/>
  <c r="BC33" i="1"/>
  <c r="BD33" i="1"/>
  <c r="BE33" i="1"/>
  <c r="BF33" i="1"/>
  <c r="BG33" i="1"/>
  <c r="AX34" i="1"/>
  <c r="AY34" i="1"/>
  <c r="AZ34" i="1"/>
  <c r="BA34" i="1"/>
  <c r="BB34" i="1"/>
  <c r="BC34" i="1"/>
  <c r="BD34" i="1"/>
  <c r="BE34" i="1"/>
  <c r="BF34" i="1"/>
  <c r="BG34" i="1"/>
  <c r="AX35" i="1"/>
  <c r="AY35" i="1"/>
  <c r="AZ35" i="1"/>
  <c r="BA35" i="1"/>
  <c r="BB35" i="1"/>
  <c r="BC35" i="1"/>
  <c r="BD35" i="1"/>
  <c r="BE35" i="1"/>
  <c r="BF35" i="1"/>
  <c r="BG35"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Y42" i="1"/>
  <c r="AZ42" i="1"/>
  <c r="BA42" i="1"/>
  <c r="BB42" i="1"/>
  <c r="BD42" i="1"/>
  <c r="BE42"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94" i="1"/>
  <c r="AY94" i="1"/>
  <c r="AZ94" i="1"/>
  <c r="BA94" i="1"/>
  <c r="BB94" i="1"/>
  <c r="BC94" i="1"/>
  <c r="BD94" i="1"/>
  <c r="BE94" i="1"/>
  <c r="BF94" i="1"/>
  <c r="BG94" i="1"/>
  <c r="AX95" i="1"/>
  <c r="AY95" i="1"/>
  <c r="AZ95" i="1"/>
  <c r="BA95" i="1"/>
  <c r="BB95" i="1"/>
  <c r="BC95" i="1"/>
  <c r="BD95" i="1"/>
  <c r="BE95" i="1"/>
  <c r="BF95" i="1"/>
  <c r="BG95" i="1"/>
  <c r="AY56" i="1"/>
  <c r="AZ56" i="1"/>
  <c r="BA56" i="1"/>
  <c r="BB56" i="1"/>
  <c r="BC56" i="1"/>
  <c r="BD56" i="1"/>
  <c r="BE56" i="1"/>
  <c r="BF56" i="1"/>
  <c r="BG56" i="1"/>
  <c r="B447" i="3"/>
  <c r="L447" i="3" s="1"/>
  <c r="H446" i="3"/>
  <c r="H443" i="3"/>
  <c r="H430" i="3"/>
  <c r="D447" i="3"/>
  <c r="D434" i="3"/>
  <c r="D408" i="3"/>
  <c r="D395" i="3"/>
  <c r="D438" i="3"/>
  <c r="D425" i="3"/>
  <c r="D399" i="3"/>
  <c r="D386" i="3"/>
  <c r="B446" i="3"/>
  <c r="B443" i="3"/>
  <c r="B438" i="3"/>
  <c r="L438" i="3" s="1"/>
  <c r="B434" i="3"/>
  <c r="M434" i="3" s="1"/>
  <c r="H433" i="3"/>
  <c r="B433" i="3"/>
  <c r="L433" i="3" s="1"/>
  <c r="B430" i="3"/>
  <c r="L430" i="3" s="1"/>
  <c r="B425" i="3"/>
  <c r="H408" i="3"/>
  <c r="B408" i="3"/>
  <c r="H407" i="3"/>
  <c r="B407" i="3"/>
  <c r="L407" i="3" s="1"/>
  <c r="H404" i="3"/>
  <c r="B404" i="3"/>
  <c r="L404" i="3" s="1"/>
  <c r="B399" i="3"/>
  <c r="H395" i="3"/>
  <c r="H394" i="3"/>
  <c r="H391" i="3"/>
  <c r="B395" i="3"/>
  <c r="L395" i="3" s="1"/>
  <c r="B394" i="3"/>
  <c r="B391" i="3"/>
  <c r="L391" i="3" s="1"/>
  <c r="B386" i="3"/>
  <c r="L386" i="3" s="1"/>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532" i="3" l="1"/>
  <c r="M443" i="3"/>
  <c r="M551" i="3"/>
  <c r="M34" i="3"/>
  <c r="M23" i="3"/>
  <c r="M702" i="3"/>
  <c r="M691" i="3"/>
  <c r="M657" i="3"/>
  <c r="M587" i="3"/>
  <c r="M576" i="3"/>
  <c r="L552" i="3"/>
  <c r="BF42" i="1"/>
  <c r="M394" i="3"/>
  <c r="M582" i="3"/>
  <c r="M446" i="3"/>
  <c r="M535" i="3"/>
  <c r="M39" i="3"/>
  <c r="M680" i="3"/>
  <c r="M633" i="3"/>
  <c r="L551" i="3"/>
  <c r="M537" i="3"/>
  <c r="M497" i="3"/>
  <c r="M44" i="3"/>
  <c r="M28" i="3"/>
  <c r="M667" i="3"/>
  <c r="M656" i="3"/>
  <c r="M609" i="3"/>
  <c r="M33" i="3"/>
  <c r="M22" i="3"/>
  <c r="M689" i="3"/>
  <c r="M643" i="3"/>
  <c r="M632" i="3"/>
  <c r="M585" i="3"/>
  <c r="M561" i="3"/>
  <c r="M536" i="3"/>
  <c r="M481" i="3"/>
  <c r="M38" i="3"/>
  <c r="M699" i="3"/>
  <c r="M619" i="3"/>
  <c r="M608" i="3"/>
  <c r="M43" i="3"/>
  <c r="M27" i="3"/>
  <c r="M688" i="3"/>
  <c r="M665" i="3"/>
  <c r="M595" i="3"/>
  <c r="M584" i="3"/>
  <c r="M560" i="3"/>
  <c r="L535" i="3"/>
  <c r="M521" i="3"/>
  <c r="M465" i="3"/>
  <c r="L434" i="3"/>
  <c r="M438" i="3"/>
  <c r="M407" i="3"/>
  <c r="M32" i="3"/>
  <c r="M571" i="3"/>
  <c r="M539" i="3"/>
  <c r="M399" i="3"/>
  <c r="M98" i="3"/>
  <c r="M94" i="3"/>
  <c r="M90" i="3"/>
  <c r="M86" i="3"/>
  <c r="M48" i="3"/>
  <c r="M56" i="3"/>
  <c r="M64" i="3"/>
  <c r="M72" i="3"/>
  <c r="M80" i="3"/>
  <c r="M101" i="3"/>
  <c r="M109" i="3"/>
  <c r="M117" i="3"/>
  <c r="M125" i="3"/>
  <c r="M133" i="3"/>
  <c r="M141" i="3"/>
  <c r="M149" i="3"/>
  <c r="M157" i="3"/>
  <c r="M165" i="3"/>
  <c r="M173"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41" i="3"/>
  <c r="M549" i="3"/>
  <c r="M557" i="3"/>
  <c r="M565" i="3"/>
  <c r="M573" i="3"/>
  <c r="M581" i="3"/>
  <c r="M589" i="3"/>
  <c r="M597" i="3"/>
  <c r="M605" i="3"/>
  <c r="M613" i="3"/>
  <c r="M621" i="3"/>
  <c r="M629" i="3"/>
  <c r="M637" i="3"/>
  <c r="M645" i="3"/>
  <c r="M653" i="3"/>
  <c r="M661" i="3"/>
  <c r="M669" i="3"/>
  <c r="M677" i="3"/>
  <c r="M685" i="3"/>
  <c r="M693" i="3"/>
  <c r="M701" i="3"/>
  <c r="M49" i="3"/>
  <c r="M57" i="3"/>
  <c r="M65" i="3"/>
  <c r="M73" i="3"/>
  <c r="M81" i="3"/>
  <c r="M102" i="3"/>
  <c r="M110" i="3"/>
  <c r="M118" i="3"/>
  <c r="M126" i="3"/>
  <c r="M134" i="3"/>
  <c r="M142" i="3"/>
  <c r="M150" i="3"/>
  <c r="M158" i="3"/>
  <c r="M166"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54" i="3"/>
  <c r="M462" i="3"/>
  <c r="M470" i="3"/>
  <c r="M478" i="3"/>
  <c r="M486" i="3"/>
  <c r="M494" i="3"/>
  <c r="M502" i="3"/>
  <c r="M510" i="3"/>
  <c r="M518" i="3"/>
  <c r="M526" i="3"/>
  <c r="M534" i="3"/>
  <c r="M542" i="3"/>
  <c r="M550" i="3"/>
  <c r="M558" i="3"/>
  <c r="M566" i="3"/>
  <c r="M598" i="3"/>
  <c r="M606" i="3"/>
  <c r="M614" i="3"/>
  <c r="M622" i="3"/>
  <c r="M630" i="3"/>
  <c r="M638" i="3"/>
  <c r="M646" i="3"/>
  <c r="M654" i="3"/>
  <c r="M662" i="3"/>
  <c r="M670" i="3"/>
  <c r="M678" i="3"/>
  <c r="M97" i="3"/>
  <c r="M93" i="3"/>
  <c r="M89" i="3"/>
  <c r="M50" i="3"/>
  <c r="M58" i="3"/>
  <c r="M66" i="3"/>
  <c r="M74" i="3"/>
  <c r="M82" i="3"/>
  <c r="M103" i="3"/>
  <c r="M111" i="3"/>
  <c r="M119" i="3"/>
  <c r="M127" i="3"/>
  <c r="M135" i="3"/>
  <c r="M143" i="3"/>
  <c r="M151" i="3"/>
  <c r="M159" i="3"/>
  <c r="M167"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415" i="3"/>
  <c r="M423" i="3"/>
  <c r="M431" i="3"/>
  <c r="M439" i="3"/>
  <c r="M455" i="3"/>
  <c r="M463" i="3"/>
  <c r="M471" i="3"/>
  <c r="M479" i="3"/>
  <c r="M487" i="3"/>
  <c r="M495" i="3"/>
  <c r="M503" i="3"/>
  <c r="M511" i="3"/>
  <c r="M519" i="3"/>
  <c r="M527" i="3"/>
  <c r="M559" i="3"/>
  <c r="M567" i="3"/>
  <c r="M575" i="3"/>
  <c r="M583" i="3"/>
  <c r="M599" i="3"/>
  <c r="M607" i="3"/>
  <c r="M615" i="3"/>
  <c r="M623" i="3"/>
  <c r="M631" i="3"/>
  <c r="M639" i="3"/>
  <c r="M647" i="3"/>
  <c r="M655" i="3"/>
  <c r="M663" i="3"/>
  <c r="M671" i="3"/>
  <c r="M679" i="3"/>
  <c r="M687" i="3"/>
  <c r="M695" i="3"/>
  <c r="M703" i="3"/>
  <c r="M51" i="3"/>
  <c r="M59" i="3"/>
  <c r="M67" i="3"/>
  <c r="M75" i="3"/>
  <c r="M83" i="3"/>
  <c r="M104" i="3"/>
  <c r="M112" i="3"/>
  <c r="M120" i="3"/>
  <c r="M128" i="3"/>
  <c r="M136" i="3"/>
  <c r="M144" i="3"/>
  <c r="M152" i="3"/>
  <c r="M160" i="3"/>
  <c r="M168"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16" i="3"/>
  <c r="M424" i="3"/>
  <c r="M432" i="3"/>
  <c r="M440" i="3"/>
  <c r="M448" i="3"/>
  <c r="M456" i="3"/>
  <c r="M464" i="3"/>
  <c r="M472" i="3"/>
  <c r="M480" i="3"/>
  <c r="M488" i="3"/>
  <c r="M496" i="3"/>
  <c r="M504" i="3"/>
  <c r="M512" i="3"/>
  <c r="M96" i="3"/>
  <c r="M92" i="3"/>
  <c r="M88" i="3"/>
  <c r="M52" i="3"/>
  <c r="M60" i="3"/>
  <c r="M68" i="3"/>
  <c r="M76" i="3"/>
  <c r="M84" i="3"/>
  <c r="M105" i="3"/>
  <c r="M113" i="3"/>
  <c r="M121" i="3"/>
  <c r="M129" i="3"/>
  <c r="M137" i="3"/>
  <c r="M145" i="3"/>
  <c r="M153" i="3"/>
  <c r="M161" i="3"/>
  <c r="M169"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41" i="3"/>
  <c r="M449" i="3"/>
  <c r="M457" i="3"/>
  <c r="M53" i="3"/>
  <c r="M61" i="3"/>
  <c r="M69" i="3"/>
  <c r="M77" i="3"/>
  <c r="M85" i="3"/>
  <c r="M106" i="3"/>
  <c r="M114" i="3"/>
  <c r="M122" i="3"/>
  <c r="M130" i="3"/>
  <c r="M138" i="3"/>
  <c r="M146" i="3"/>
  <c r="M154" i="3"/>
  <c r="M162" i="3"/>
  <c r="M170"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402" i="3"/>
  <c r="M410" i="3"/>
  <c r="M418" i="3"/>
  <c r="M426" i="3"/>
  <c r="M442" i="3"/>
  <c r="M450" i="3"/>
  <c r="M458" i="3"/>
  <c r="M466" i="3"/>
  <c r="M474" i="3"/>
  <c r="M482" i="3"/>
  <c r="M490" i="3"/>
  <c r="M498" i="3"/>
  <c r="M506" i="3"/>
  <c r="M514" i="3"/>
  <c r="M522" i="3"/>
  <c r="M546" i="3"/>
  <c r="M554" i="3"/>
  <c r="M562" i="3"/>
  <c r="M570" i="3"/>
  <c r="M586" i="3"/>
  <c r="M594" i="3"/>
  <c r="M602" i="3"/>
  <c r="M610" i="3"/>
  <c r="M618" i="3"/>
  <c r="M626" i="3"/>
  <c r="M634" i="3"/>
  <c r="M642" i="3"/>
  <c r="M650" i="3"/>
  <c r="M658" i="3"/>
  <c r="M666" i="3"/>
  <c r="M674" i="3"/>
  <c r="M682" i="3"/>
  <c r="M690" i="3"/>
  <c r="M698" i="3"/>
  <c r="M706" i="3"/>
  <c r="M25" i="3"/>
  <c r="M95" i="3"/>
  <c r="M91" i="3"/>
  <c r="M87" i="3"/>
  <c r="M54" i="3"/>
  <c r="M62" i="3"/>
  <c r="M70" i="3"/>
  <c r="M78" i="3"/>
  <c r="M99" i="3"/>
  <c r="M107" i="3"/>
  <c r="M115" i="3"/>
  <c r="M123" i="3"/>
  <c r="M131" i="3"/>
  <c r="M139" i="3"/>
  <c r="M147" i="3"/>
  <c r="M155" i="3"/>
  <c r="M163" i="3"/>
  <c r="M171"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403" i="3"/>
  <c r="M411" i="3"/>
  <c r="M419" i="3"/>
  <c r="M427" i="3"/>
  <c r="M435" i="3"/>
  <c r="M451" i="3"/>
  <c r="M459" i="3"/>
  <c r="M467" i="3"/>
  <c r="M475" i="3"/>
  <c r="M483" i="3"/>
  <c r="M491" i="3"/>
  <c r="M499" i="3"/>
  <c r="M507" i="3"/>
  <c r="M515" i="3"/>
  <c r="M523" i="3"/>
  <c r="M531" i="3"/>
  <c r="M547" i="3"/>
  <c r="M555" i="3"/>
  <c r="M563" i="3"/>
  <c r="M47" i="3"/>
  <c r="M55" i="3"/>
  <c r="M63" i="3"/>
  <c r="M71" i="3"/>
  <c r="M79" i="3"/>
  <c r="M100" i="3"/>
  <c r="M108" i="3"/>
  <c r="M116" i="3"/>
  <c r="M124" i="3"/>
  <c r="M132" i="3"/>
  <c r="M140" i="3"/>
  <c r="M148" i="3"/>
  <c r="M156" i="3"/>
  <c r="M164" i="3"/>
  <c r="M172"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12" i="3"/>
  <c r="M420" i="3"/>
  <c r="M428" i="3"/>
  <c r="M436" i="3"/>
  <c r="M444" i="3"/>
  <c r="M452" i="3"/>
  <c r="M460" i="3"/>
  <c r="M468" i="3"/>
  <c r="M476" i="3"/>
  <c r="M484" i="3"/>
  <c r="M492" i="3"/>
  <c r="M500" i="3"/>
  <c r="M508" i="3"/>
  <c r="M516" i="3"/>
  <c r="M524" i="3"/>
  <c r="M540" i="3"/>
  <c r="M556" i="3"/>
  <c r="M564" i="3"/>
  <c r="M572" i="3"/>
  <c r="M580" i="3"/>
  <c r="M588" i="3"/>
  <c r="M596" i="3"/>
  <c r="M604" i="3"/>
  <c r="M612" i="3"/>
  <c r="M620" i="3"/>
  <c r="M628" i="3"/>
  <c r="M636" i="3"/>
  <c r="M644" i="3"/>
  <c r="M652" i="3"/>
  <c r="M660" i="3"/>
  <c r="M668" i="3"/>
  <c r="M676" i="3"/>
  <c r="M684" i="3"/>
  <c r="M692" i="3"/>
  <c r="M700" i="3"/>
  <c r="M530" i="3"/>
  <c r="M590" i="3"/>
  <c r="M37" i="3"/>
  <c r="M46" i="3"/>
  <c r="M697" i="3"/>
  <c r="M675" i="3"/>
  <c r="M664" i="3"/>
  <c r="M617" i="3"/>
  <c r="M545" i="3"/>
  <c r="M520" i="3"/>
  <c r="M538" i="3"/>
  <c r="M404" i="3"/>
  <c r="M408" i="3"/>
  <c r="M574" i="3"/>
  <c r="M591" i="3"/>
  <c r="M42" i="3"/>
  <c r="M26" i="3"/>
  <c r="M707" i="3"/>
  <c r="M686" i="3"/>
  <c r="M651" i="3"/>
  <c r="M640" i="3"/>
  <c r="M593" i="3"/>
  <c r="L582" i="3"/>
  <c r="L532" i="3"/>
  <c r="M505" i="3"/>
  <c r="L399" i="3"/>
  <c r="M31" i="3"/>
  <c r="M696" i="3"/>
  <c r="M627" i="3"/>
  <c r="M616" i="3"/>
  <c r="M569" i="3"/>
  <c r="M544" i="3"/>
  <c r="L446" i="3"/>
  <c r="M425" i="3"/>
  <c r="M36" i="3"/>
  <c r="M673" i="3"/>
  <c r="M603" i="3"/>
  <c r="M592" i="3"/>
  <c r="L530" i="3"/>
  <c r="M489" i="3"/>
  <c r="M543" i="3"/>
  <c r="M430" i="3"/>
  <c r="M41" i="3"/>
  <c r="M705" i="3"/>
  <c r="M649" i="3"/>
  <c r="M579" i="3"/>
  <c r="M568" i="3"/>
  <c r="L543" i="3"/>
  <c r="M529" i="3"/>
  <c r="M30" i="3"/>
  <c r="M694" i="3"/>
  <c r="M683" i="3"/>
  <c r="M672" i="3"/>
  <c r="M625" i="3"/>
  <c r="L591" i="3"/>
  <c r="M473" i="3"/>
  <c r="L443" i="3"/>
  <c r="M395" i="3"/>
  <c r="BC64" i="1"/>
  <c r="M386" i="3"/>
  <c r="M433" i="3"/>
  <c r="M391" i="3"/>
  <c r="M447" i="3"/>
  <c r="M548" i="3"/>
  <c r="M578" i="3"/>
  <c r="M35" i="3"/>
  <c r="M24" i="3"/>
  <c r="M704" i="3"/>
  <c r="M659" i="3"/>
  <c r="M648" i="3"/>
  <c r="M601" i="3"/>
  <c r="L590" i="3"/>
  <c r="L578" i="3"/>
  <c r="M553" i="3"/>
  <c r="M528" i="3"/>
  <c r="L394" i="3"/>
  <c r="M40" i="3"/>
  <c r="M635" i="3"/>
  <c r="M624" i="3"/>
  <c r="M577" i="3"/>
  <c r="L425" i="3"/>
  <c r="M45" i="3"/>
  <c r="M29" i="3"/>
  <c r="M681" i="3"/>
  <c r="M611" i="3"/>
  <c r="M600" i="3"/>
  <c r="L539" i="3"/>
  <c r="M513" i="3"/>
  <c r="L408" i="3"/>
  <c r="M20" i="3"/>
  <c r="M21" i="3"/>
  <c r="BD74" i="1"/>
  <c r="BE74" i="1"/>
  <c r="BF74" i="1"/>
  <c r="BG74" i="1"/>
  <c r="AX74" i="1"/>
  <c r="AY74" i="1"/>
  <c r="AZ74" i="1"/>
  <c r="BA74" i="1"/>
  <c r="BB74" i="1"/>
  <c r="BC74" i="1"/>
  <c r="BF44" i="1"/>
  <c r="BG44" i="1"/>
  <c r="AX96" i="1"/>
  <c r="AY96" i="1"/>
  <c r="AZ96" i="1"/>
  <c r="BA96" i="1"/>
  <c r="BB96" i="1"/>
  <c r="AX44" i="1"/>
  <c r="BC96" i="1"/>
  <c r="AY44" i="1"/>
  <c r="BD96" i="1"/>
  <c r="AZ44" i="1"/>
  <c r="BE96" i="1"/>
  <c r="BA44" i="1"/>
  <c r="BF96" i="1"/>
  <c r="BB44" i="1"/>
  <c r="BG96" i="1"/>
  <c r="BC44" i="1"/>
  <c r="BD44" i="1"/>
  <c r="BE44" i="1"/>
  <c r="BG92" i="1"/>
  <c r="BA91" i="1"/>
  <c r="AX93" i="1"/>
  <c r="BB91" i="1"/>
  <c r="AZ89" i="1"/>
  <c r="BE90" i="1"/>
  <c r="BA89" i="1"/>
  <c r="BF90" i="1"/>
  <c r="BF92" i="1"/>
  <c r="AZ91" i="1"/>
  <c r="BB89" i="1"/>
  <c r="BG90" i="1"/>
  <c r="BE92" i="1"/>
  <c r="AY91" i="1"/>
  <c r="AX88" i="1"/>
  <c r="BC89" i="1"/>
  <c r="BD92" i="1"/>
  <c r="AX91" i="1"/>
  <c r="AY88" i="1"/>
  <c r="BD89" i="1"/>
  <c r="BC92" i="1"/>
  <c r="AZ88" i="1"/>
  <c r="BE89" i="1"/>
  <c r="BB92" i="1"/>
  <c r="BA88" i="1"/>
  <c r="BF89" i="1"/>
  <c r="BG93" i="1"/>
  <c r="BA92" i="1"/>
  <c r="BB88" i="1"/>
  <c r="BG89" i="1"/>
  <c r="BF93" i="1"/>
  <c r="AZ92" i="1"/>
  <c r="BC88" i="1"/>
  <c r="BE93" i="1"/>
  <c r="AY92" i="1"/>
  <c r="BD88" i="1"/>
  <c r="AX90" i="1"/>
  <c r="BD93" i="1"/>
  <c r="AX92" i="1"/>
  <c r="BE88" i="1"/>
  <c r="AY90" i="1"/>
  <c r="BC93" i="1"/>
  <c r="BG91" i="1"/>
  <c r="BF88" i="1"/>
  <c r="AZ90" i="1"/>
  <c r="BB93" i="1"/>
  <c r="BF91" i="1"/>
  <c r="BG88" i="1"/>
  <c r="BA90" i="1"/>
  <c r="BA93" i="1"/>
  <c r="BE91" i="1"/>
  <c r="BB90" i="1"/>
  <c r="AZ93" i="1"/>
  <c r="BD91" i="1"/>
  <c r="AX89" i="1"/>
  <c r="BC90" i="1"/>
  <c r="AY93" i="1"/>
  <c r="BC91" i="1"/>
  <c r="AY89" i="1"/>
  <c r="BD90" i="1"/>
  <c r="G100" i="4"/>
  <c r="C98" i="4"/>
  <c r="E95" i="4"/>
  <c r="G92" i="4"/>
  <c r="C90" i="4"/>
  <c r="E87" i="4"/>
  <c r="G84" i="4"/>
  <c r="C82" i="4"/>
  <c r="E79" i="4"/>
  <c r="G76" i="4"/>
  <c r="C74" i="4"/>
  <c r="E71" i="4"/>
  <c r="G68" i="4"/>
  <c r="C66" i="4"/>
  <c r="E63" i="4"/>
  <c r="G60" i="4"/>
  <c r="C58" i="4"/>
  <c r="E55" i="4"/>
  <c r="G52" i="4"/>
  <c r="C50" i="4"/>
  <c r="E47" i="4"/>
  <c r="G44" i="4"/>
  <c r="C42" i="4"/>
  <c r="E39" i="4"/>
  <c r="G36" i="4"/>
  <c r="C34" i="4"/>
  <c r="E31" i="4"/>
  <c r="G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G97" i="4"/>
  <c r="C95" i="4"/>
  <c r="E92" i="4"/>
  <c r="G89" i="4"/>
  <c r="C87" i="4"/>
  <c r="E84" i="4"/>
  <c r="G81" i="4"/>
  <c r="C79" i="4"/>
  <c r="E76" i="4"/>
  <c r="G73" i="4"/>
  <c r="C71" i="4"/>
  <c r="E68" i="4"/>
  <c r="G65" i="4"/>
  <c r="C63" i="4"/>
  <c r="E60" i="4"/>
  <c r="G57" i="4"/>
  <c r="C55" i="4"/>
  <c r="E52" i="4"/>
  <c r="G49" i="4"/>
  <c r="C47" i="4"/>
  <c r="E44" i="4"/>
  <c r="G41" i="4"/>
  <c r="C39" i="4"/>
  <c r="E36" i="4"/>
  <c r="G33" i="4"/>
  <c r="C31" i="4"/>
  <c r="E28" i="4"/>
  <c r="G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G94" i="4"/>
  <c r="C92" i="4"/>
  <c r="E89" i="4"/>
  <c r="G86" i="4"/>
  <c r="C84" i="4"/>
  <c r="E81" i="4"/>
  <c r="G78" i="4"/>
  <c r="C76" i="4"/>
  <c r="E73" i="4"/>
  <c r="G70" i="4"/>
  <c r="C68" i="4"/>
  <c r="E65" i="4"/>
  <c r="G62" i="4"/>
  <c r="C60" i="4"/>
  <c r="E57" i="4"/>
  <c r="G54" i="4"/>
  <c r="C52" i="4"/>
  <c r="E49" i="4"/>
  <c r="G46" i="4"/>
  <c r="C44" i="4"/>
  <c r="E41" i="4"/>
  <c r="G38" i="4"/>
  <c r="C36" i="4"/>
  <c r="E33" i="4"/>
  <c r="G30" i="4"/>
  <c r="C28" i="4"/>
  <c r="E25" i="4"/>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G99" i="4"/>
  <c r="C97" i="4"/>
  <c r="E94" i="4"/>
  <c r="G91" i="4"/>
  <c r="C89" i="4"/>
  <c r="E86" i="4"/>
  <c r="G83" i="4"/>
  <c r="C81" i="4"/>
  <c r="E78" i="4"/>
  <c r="G75" i="4"/>
  <c r="C73" i="4"/>
  <c r="E70" i="4"/>
  <c r="G67" i="4"/>
  <c r="C65" i="4"/>
  <c r="E62" i="4"/>
  <c r="G59" i="4"/>
  <c r="C57" i="4"/>
  <c r="E54" i="4"/>
  <c r="G51" i="4"/>
  <c r="C49" i="4"/>
  <c r="E46" i="4"/>
  <c r="G43" i="4"/>
  <c r="C41" i="4"/>
  <c r="E38" i="4"/>
  <c r="G35" i="4"/>
  <c r="C33" i="4"/>
  <c r="E30" i="4"/>
  <c r="G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G96" i="4"/>
  <c r="C94" i="4"/>
  <c r="E91" i="4"/>
  <c r="G88" i="4"/>
  <c r="C86" i="4"/>
  <c r="E83" i="4"/>
  <c r="G80" i="4"/>
  <c r="C78" i="4"/>
  <c r="E75" i="4"/>
  <c r="G72" i="4"/>
  <c r="C70" i="4"/>
  <c r="E67" i="4"/>
  <c r="G64" i="4"/>
  <c r="C62" i="4"/>
  <c r="E59" i="4"/>
  <c r="G56" i="4"/>
  <c r="C54" i="4"/>
  <c r="E51" i="4"/>
  <c r="G48" i="4"/>
  <c r="C46" i="4"/>
  <c r="E43" i="4"/>
  <c r="G40" i="4"/>
  <c r="C38" i="4"/>
  <c r="E35" i="4"/>
  <c r="G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G93" i="4"/>
  <c r="C91" i="4"/>
  <c r="E88" i="4"/>
  <c r="G85" i="4"/>
  <c r="C83" i="4"/>
  <c r="E80" i="4"/>
  <c r="G77" i="4"/>
  <c r="C75" i="4"/>
  <c r="E72" i="4"/>
  <c r="G69" i="4"/>
  <c r="C67" i="4"/>
  <c r="E64" i="4"/>
  <c r="G61" i="4"/>
  <c r="C59" i="4"/>
  <c r="E56" i="4"/>
  <c r="G53" i="4"/>
  <c r="C51" i="4"/>
  <c r="E48" i="4"/>
  <c r="G45" i="4"/>
  <c r="C43" i="4"/>
  <c r="E40" i="4"/>
  <c r="G37" i="4"/>
  <c r="C35" i="4"/>
  <c r="E32" i="4"/>
  <c r="G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G98" i="4"/>
  <c r="C96" i="4"/>
  <c r="E93" i="4"/>
  <c r="G90" i="4"/>
  <c r="C88" i="4"/>
  <c r="E85" i="4"/>
  <c r="G82" i="4"/>
  <c r="C80" i="4"/>
  <c r="E77" i="4"/>
  <c r="G74" i="4"/>
  <c r="C72" i="4"/>
  <c r="E69" i="4"/>
  <c r="G66" i="4"/>
  <c r="C64" i="4"/>
  <c r="E61" i="4"/>
  <c r="G58" i="4"/>
  <c r="C56" i="4"/>
  <c r="E53" i="4"/>
  <c r="G50" i="4"/>
  <c r="C48" i="4"/>
  <c r="E45" i="4"/>
  <c r="G42" i="4"/>
  <c r="C40" i="4"/>
  <c r="E37" i="4"/>
  <c r="G34" i="4"/>
  <c r="C32" i="4"/>
  <c r="E29" i="4"/>
  <c r="G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G95" i="4"/>
  <c r="C93" i="4"/>
  <c r="E90" i="4"/>
  <c r="G87" i="4"/>
  <c r="C85" i="4"/>
  <c r="E82" i="4"/>
  <c r="G79" i="4"/>
  <c r="C77" i="4"/>
  <c r="E74" i="4"/>
  <c r="G71" i="4"/>
  <c r="C69" i="4"/>
  <c r="E66" i="4"/>
  <c r="G63" i="4"/>
  <c r="C61" i="4"/>
  <c r="E58" i="4"/>
  <c r="G55" i="4"/>
  <c r="C53" i="4"/>
  <c r="E50" i="4"/>
  <c r="G47" i="4"/>
  <c r="C45" i="4"/>
  <c r="E42" i="4"/>
  <c r="G39" i="4"/>
  <c r="C37" i="4"/>
  <c r="E34" i="4"/>
  <c r="G31" i="4"/>
  <c r="C29" i="4"/>
  <c r="E26" i="4"/>
  <c r="G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M11" i="3"/>
  <c r="M12" i="3"/>
  <c r="M9" i="3"/>
  <c r="M15" i="3"/>
  <c r="M17" i="3"/>
  <c r="M18" i="3"/>
  <c r="M10" i="3"/>
  <c r="M19" i="3"/>
  <c r="M14" i="3"/>
  <c r="M8" i="3"/>
  <c r="M16" i="3"/>
  <c r="BA43" i="1"/>
  <c r="AX42" i="1"/>
  <c r="BA82" i="1"/>
  <c r="BA85" i="1"/>
  <c r="BE83" i="1"/>
  <c r="AY82" i="1"/>
  <c r="BC80" i="1"/>
  <c r="BG45" i="1"/>
  <c r="BB85" i="1"/>
  <c r="BF83" i="1"/>
  <c r="AZ82" i="1"/>
  <c r="BD80" i="1"/>
  <c r="AX46" i="1"/>
  <c r="BB43" i="1"/>
  <c r="AX66" i="1"/>
  <c r="BB64" i="1"/>
  <c r="AZ85" i="1"/>
  <c r="BD83" i="1"/>
  <c r="AX82" i="1"/>
  <c r="BB80" i="1"/>
  <c r="BF45" i="1"/>
  <c r="AZ43" i="1"/>
  <c r="BF65" i="1"/>
  <c r="AZ64" i="1"/>
  <c r="AY85" i="1"/>
  <c r="BC83" i="1"/>
  <c r="BG81" i="1"/>
  <c r="BA80" i="1"/>
  <c r="BE45" i="1"/>
  <c r="AY43" i="1"/>
  <c r="BE65" i="1"/>
  <c r="AY64" i="1"/>
  <c r="AX85" i="1"/>
  <c r="BB83" i="1"/>
  <c r="BF81" i="1"/>
  <c r="AZ80" i="1"/>
  <c r="BD45" i="1"/>
  <c r="AX43" i="1"/>
  <c r="BD65" i="1"/>
  <c r="AX64" i="1"/>
  <c r="BG84" i="1"/>
  <c r="BA83" i="1"/>
  <c r="BE81" i="1"/>
  <c r="AY80" i="1"/>
  <c r="BC45" i="1"/>
  <c r="BG42" i="1"/>
  <c r="BC65" i="1"/>
  <c r="BF84" i="1"/>
  <c r="AZ83" i="1"/>
  <c r="BD81" i="1"/>
  <c r="AX80" i="1"/>
  <c r="BB45" i="1"/>
  <c r="BB65" i="1"/>
  <c r="BE84" i="1"/>
  <c r="AY83" i="1"/>
  <c r="BC81" i="1"/>
  <c r="BG46" i="1"/>
  <c r="BA45" i="1"/>
  <c r="BG66" i="1"/>
  <c r="BA65" i="1"/>
  <c r="BD84" i="1"/>
  <c r="AX83" i="1"/>
  <c r="BB81" i="1"/>
  <c r="BF46" i="1"/>
  <c r="AZ45" i="1"/>
  <c r="BF66" i="1"/>
  <c r="AZ65" i="1"/>
  <c r="BC84" i="1"/>
  <c r="BG82" i="1"/>
  <c r="BA81" i="1"/>
  <c r="BE46" i="1"/>
  <c r="AY45" i="1"/>
  <c r="BC42" i="1"/>
  <c r="BE66" i="1"/>
  <c r="AY65" i="1"/>
  <c r="BB84" i="1"/>
  <c r="BF82" i="1"/>
  <c r="AZ81" i="1"/>
  <c r="BD46" i="1"/>
  <c r="AX45" i="1"/>
  <c r="BD66" i="1"/>
  <c r="AX65" i="1"/>
  <c r="BG85" i="1"/>
  <c r="BA84" i="1"/>
  <c r="BE82" i="1"/>
  <c r="AY81" i="1"/>
  <c r="BC46" i="1"/>
  <c r="BG43" i="1"/>
  <c r="BC66" i="1"/>
  <c r="BG64" i="1"/>
  <c r="BF85" i="1"/>
  <c r="AZ84" i="1"/>
  <c r="BD82" i="1"/>
  <c r="AX81" i="1"/>
  <c r="BB46" i="1"/>
  <c r="BF43" i="1"/>
  <c r="BB66" i="1"/>
  <c r="BF64" i="1"/>
  <c r="BE85" i="1"/>
  <c r="AY84" i="1"/>
  <c r="BC82" i="1"/>
  <c r="BG80" i="1"/>
  <c r="BA46" i="1"/>
  <c r="BE43" i="1"/>
  <c r="BA66" i="1"/>
  <c r="BE64" i="1"/>
  <c r="BD85" i="1"/>
  <c r="AX84" i="1"/>
  <c r="BB82" i="1"/>
  <c r="BF80" i="1"/>
  <c r="AZ46" i="1"/>
  <c r="BD43" i="1"/>
  <c r="AZ66" i="1"/>
  <c r="BD64" i="1"/>
  <c r="BC85" i="1"/>
  <c r="BG83" i="1"/>
  <c r="BE80" i="1"/>
  <c r="AY46" i="1"/>
  <c r="BC43" i="1"/>
  <c r="AY6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<sst xmlns="http://schemas.openxmlformats.org/spreadsheetml/2006/main" count="3647" uniqueCount="1304">
  <si>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</si>
  <si>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</si>
  <si>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</si>
  <si>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</si>
  <si>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</si>
  <si>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</si>
  <si>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</si>
  <si>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</si>
  <si>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</si>
  <si>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</si>
  <si>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</si>
  <si>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</si>
  <si>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</si>
  <si>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</si>
  <si>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</si>
  <si>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</si>
  <si>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</si>
  <si>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</si>
  <si>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</si>
  <si>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</si>
  <si>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</si>
  <si>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</si>
  <si>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</si>
  <si>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</si>
  <si>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</si>
  <si>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</si>
  <si>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</si>
  <si>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</si>
  <si>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</si>
  <si>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</si>
  <si>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</si>
  <si>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</si>
  <si>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</si>
  <si>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</si>
  <si>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</si>
  <si>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</si>
  <si>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</si>
  <si>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</si>
  <si>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</si>
  <si>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</si>
  <si>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</si>
  <si>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</si>
  <si>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</si>
  <si>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</si>
  <si>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</si>
  <si>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</si>
  <si>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</si>
  <si>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</si>
  <si>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</si>
  <si>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</si>
  <si>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</si>
  <si>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</si>
  <si>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</si>
  <si>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</si>
  <si>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</si>
  <si>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</si>
  <si>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</si>
  <si>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</si>
  <si>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</si>
  <si>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</si>
  <si>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</si>
  <si>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</si>
  <si>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</si>
  <si>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</si>
  <si>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</si>
  <si>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</si>
  <si>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</si>
  <si>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</si>
  <si>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</si>
  <si>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</si>
  <si>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</si>
  <si>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</si>
  <si>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</si>
  <si>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</si>
  <si>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</si>
  <si>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</si>
  <si>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</si>
  <si>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</si>
  <si>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</si>
  <si>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</si>
  <si>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</si>
  <si>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</si>
  <si>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</si>
  <si>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</si>
  <si>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全確認</t>
    <rPh sb="0" eb="3">
      <t>ゼンカクニン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</si>
  <si>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</si>
  <si>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</si>
  <si>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</si>
  <si>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</si>
  <si>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</si>
  <si>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</si>
  <si>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</si>
  <si>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</si>
  <si>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</si>
  <si>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</si>
  <si>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</si>
  <si>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</si>
  <si>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</si>
  <si>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</si>
  <si>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</si>
  <si>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</si>
  <si>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</si>
  <si>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</si>
  <si>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</si>
  <si>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</si>
  <si>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</si>
  <si>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</si>
  <si>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</si>
  <si>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</si>
  <si>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</si>
  <si>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</si>
  <si>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</si>
  <si>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</si>
  <si>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</si>
  <si>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</si>
  <si>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</si>
  <si>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</si>
  <si>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</si>
  <si>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</si>
  <si>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</si>
  <si>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</si>
  <si>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</si>
  <si>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</si>
  <si>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</si>
  <si>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</si>
  <si>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</si>
  <si>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</si>
  <si>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</si>
  <si>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</si>
  <si>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</si>
  <si>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</si>
  <si>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</si>
  <si>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</si>
  <si>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</si>
  <si>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</si>
  <si>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</si>
  <si>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</si>
  <si>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</si>
  <si>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</si>
  <si>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</si>
  <si>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</si>
  <si>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</si>
  <si>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</si>
  <si>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</si>
  <si>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</si>
  <si>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</si>
  <si>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</si>
  <si>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</si>
  <si>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</si>
  <si>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</si>
  <si>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</si>
  <si>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</si>
  <si>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</si>
  <si>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</si>
  <si>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</si>
  <si>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</si>
  <si>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</si>
  <si>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</si>
  <si>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</si>
  <si>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</si>
  <si>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</si>
  <si>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</si>
  <si>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</si>
  <si>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</si>
  <si>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</si>
  <si>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</si>
  <si>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</si>
  <si>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</si>
  <si>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</si>
  <si>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</si>
  <si>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</si>
  <si>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</si>
  <si>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</si>
  <si>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</si>
  <si>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</si>
  <si>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</si>
  <si>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</si>
  <si>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</si>
  <si>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</si>
  <si>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</si>
  <si>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</si>
  <si>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</si>
  <si>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</si>
  <si>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</si>
  <si>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</si>
  <si>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</si>
  <si>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</si>
  <si>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</si>
  <si>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</si>
  <si>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</si>
  <si>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</si>
  <si>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</si>
  <si>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</si>
  <si>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</si>
  <si>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</si>
  <si>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</si>
  <si>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</si>
  <si>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</si>
  <si>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</si>
  <si>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</si>
  <si>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</si>
  <si>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</si>
  <si>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</si>
  <si>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</si>
  <si>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</si>
  <si>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</si>
  <si>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</si>
  <si>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</si>
  <si>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</si>
  <si>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</si>
  <si>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</si>
  <si>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</si>
  <si>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</si>
  <si>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</si>
  <si>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</si>
  <si>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</si>
  <si>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</si>
  <si>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</si>
  <si>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</si>
  <si>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</si>
  <si>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</si>
  <si>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</si>
  <si>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</si>
  <si>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</si>
  <si>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</si>
  <si>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</si>
  <si>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</si>
  <si>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</si>
  <si>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</si>
  <si>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</si>
  <si>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</si>
  <si>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</si>
  <si>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</si>
  <si>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</si>
  <si>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</si>
  <si>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</si>
  <si>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</si>
  <si>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</si>
  <si>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</si>
  <si>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</si>
  <si>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</si>
  <si>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</si>
  <si>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</si>
  <si>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</si>
  <si>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</si>
  <si>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</si>
  <si>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</si>
  <si>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</si>
  <si>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</si>
  <si>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</si>
  <si>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</si>
  <si>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</si>
  <si>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</si>
  <si>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</si>
  <si>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</si>
  <si>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</si>
  <si>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</si>
  <si>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</si>
  <si>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</si>
  <si>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</si>
  <si>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</si>
  <si>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</si>
  <si>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</si>
  <si>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</si>
  <si>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</si>
  <si>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</si>
  <si>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</si>
  <si>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</si>
  <si>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</si>
  <si>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</si>
  <si>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</si>
  <si>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</si>
  <si>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</si>
  <si>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</si>
  <si>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</si>
  <si>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</si>
  <si>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</si>
  <si>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</si>
  <si>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</si>
  <si>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</si>
  <si>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</si>
  <si>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</si>
  <si>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</si>
  <si>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</si>
  <si>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</si>
  <si>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</si>
  <si>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</si>
  <si>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</si>
  <si>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</si>
  <si>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</si>
  <si>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</si>
  <si>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</si>
  <si>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</si>
  <si>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</si>
  <si>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</si>
  <si>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</si>
  <si>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</si>
  <si>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</si>
  <si>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</si>
  <si>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</si>
  <si>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</si>
  <si>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</si>
  <si>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</si>
  <si>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</si>
  <si>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</si>
  <si>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</si>
  <si>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</si>
  <si>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</si>
  <si>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</si>
  <si>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</si>
  <si>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</si>
  <si>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</si>
  <si>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</si>
  <si>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</si>
  <si>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</si>
  <si>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</si>
  <si>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</si>
  <si>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</si>
  <si>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</si>
  <si>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</si>
  <si>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</si>
  <si>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</si>
  <si>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</si>
  <si>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</si>
  <si>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</si>
  <si>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</si>
  <si>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</si>
  <si>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</si>
  <si>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</si>
  <si>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攻撃手段:角 物理+25 攻撃回数:2 判定:攻撃</t>
    <rPh sb="0" eb="4">
      <t>コウゲキシュダン</t>
    </rPh>
    <rPh sb="5" eb="6">
      <t>ツノ</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</si>
  <si>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</si>
  <si>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</si>
  <si>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</si>
  <si>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</si>
  <si>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</si>
  <si>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</si>
  <si>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</si>
  <si>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</si>
  <si>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</si>
  <si>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</si>
  <si>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</si>
  <si>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</si>
  <si>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</si>
  <si>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</si>
  <si>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</si>
  <si>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</si>
  <si>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</si>
  <si>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</si>
  <si>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</si>
  <si>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</si>
  <si>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</si>
  <si>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</si>
  <si>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</si>
  <si>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</si>
  <si>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</si>
  <si>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</si>
  <si>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</si>
  <si>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</si>
  <si>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</si>
  <si>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</si>
  <si>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</si>
  <si>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</si>
  <si>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</si>
  <si>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</si>
  <si>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</si>
  <si>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</si>
  <si>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</si>
  <si>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</si>
  <si>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</si>
  <si>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</si>
  <si>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</si>
  <si>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</si>
  <si>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</si>
  <si>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</si>
  <si>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</si>
  <si>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</si>
  <si>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</si>
  <si>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</si>
  <si>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</si>
  <si>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</si>
  <si>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</si>
  <si>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</si>
  <si>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</si>
  <si>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</si>
  <si>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</si>
  <si>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</si>
  <si>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</si>
  <si>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</si>
  <si>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</si>
  <si>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</si>
  <si>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</si>
  <si>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</si>
  <si>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</si>
  <si>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</si>
  <si>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</si>
  <si>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</si>
  <si>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</si>
  <si>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</si>
  <si>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</si>
  <si>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</si>
  <si>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</si>
  <si>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</si>
  <si>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</si>
  <si>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</si>
  <si>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</si>
  <si>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</si>
  <si>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</si>
  <si>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</si>
  <si>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</si>
  <si>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</si>
  <si>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</si>
  <si>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</si>
  <si>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</si>
  <si>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</si>
  <si>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</si>
  <si>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</si>
  <si>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</si>
  <si>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</si>
  <si>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</si>
  <si>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</si>
  <si>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</si>
  <si>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</si>
  <si>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</si>
  <si>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</si>
  <si>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</si>
  <si>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</si>
  <si>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</si>
  <si>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</si>
  <si>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</si>
  <si>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</si>
  <si>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</si>
  <si>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</si>
  <si>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</si>
  <si>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</si>
  <si>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</si>
  <si>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</si>
  <si>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</si>
  <si>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</si>
  <si>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</si>
  <si>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</si>
  <si>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</si>
  <si>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</si>
  <si>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</si>
  <si>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</si>
  <si>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</si>
  <si>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</si>
  <si>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</si>
  <si>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</si>
  <si>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</si>
  <si>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</si>
  <si>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</si>
  <si>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</si>
  <si>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</si>
  <si>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</si>
  <si>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</si>
  <si>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</si>
  <si>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</si>
  <si>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</si>
  <si>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</si>
  <si>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</si>
  <si>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</si>
  <si>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</si>
  <si>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</si>
  <si>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</si>
  <si>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</si>
  <si>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</si>
  <si>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</si>
  <si>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</si>
  <si>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</si>
  <si>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</si>
  <si>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</si>
  <si>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</si>
  <si>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</si>
  <si>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</si>
  <si>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</si>
  <si>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</si>
  <si>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</si>
  <si>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</si>
  <si>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</si>
  <si>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</si>
  <si>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</si>
  <si>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</si>
  <si>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</si>
  <si>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</si>
  <si>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</si>
  <si>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</si>
  <si>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</si>
  <si>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</si>
  <si>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</si>
  <si>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</si>
  <si>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</si>
  <si>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</si>
  <si>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</si>
  <si>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</si>
  <si>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</si>
  <si>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</si>
  <si>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</si>
  <si>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</si>
  <si>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</si>
  <si>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</si>
  <si>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</si>
  <si>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</si>
  <si>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</si>
  <si>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</si>
  <si>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</si>
  <si>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</si>
  <si>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</si>
  <si>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</si>
  <si>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</si>
  <si>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</si>
  <si>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</si>
  <si>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</si>
  <si>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</si>
  <si>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</si>
  <si>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</si>
  <si>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</si>
  <si>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</si>
  <si>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</si>
  <si>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</si>
  <si>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</si>
  <si>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</si>
  <si>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</si>
  <si>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</si>
  <si>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</si>
  <si>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</si>
  <si>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</si>
  <si>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</si>
  <si>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</si>
  <si>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</si>
  <si>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</si>
  <si>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</si>
  <si>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</si>
  <si>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</si>
  <si>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</si>
  <si>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</si>
  <si>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</si>
  <si>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</si>
  <si>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</si>
  <si>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</si>
  <si>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</si>
  <si>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</si>
  <si>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</si>
  <si>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</si>
  <si>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</si>
  <si>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</si>
  <si>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</si>
  <si>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</si>
  <si>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</si>
  <si>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</si>
  <si>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</si>
  <si>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</si>
  <si>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</si>
  <si>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</si>
  <si>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</si>
  <si>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</si>
  <si>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</si>
  <si>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</si>
  <si>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</si>
  <si>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</si>
  <si>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</si>
  <si>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</si>
  <si>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溶岩地が発生し周囲にダメージ</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</si>
  <si>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</si>
  <si>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</si>
  <si>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</si>
  <si>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</si>
  <si>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</si>
  <si>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</si>
  <si>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</si>
  <si>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</si>
  <si>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</si>
  <si>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</si>
  <si>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</si>
  <si>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</si>
  <si>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</si>
  <si>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</si>
  <si>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</si>
  <si>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</si>
  <si>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</si>
  <si>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</si>
  <si>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</si>
  <si>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</si>
  <si>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</si>
  <si>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</si>
  <si>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</si>
  <si>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</si>
  <si>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</si>
  <si>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</si>
  <si>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</si>
  <si>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</si>
  <si>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</si>
  <si>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</si>
  <si>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</si>
  <si>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</si>
  <si>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</si>
  <si>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</si>
  <si>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</si>
  <si>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</si>
  <si>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</si>
  <si>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</si>
  <si>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</si>
  <si>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</si>
  <si>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</si>
  <si>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</si>
  <si>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</si>
  <si>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</si>
  <si>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</si>
  <si>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</si>
  <si>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</si>
  <si>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</si>
  <si>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</si>
  <si>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</si>
  <si>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</si>
  <si>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</si>
  <si>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</si>
  <si>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</si>
  <si>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</si>
  <si>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</si>
  <si>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</si>
  <si>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都市名</t>
  </si>
  <si>
    <t>都市規模</t>
  </si>
  <si>
    <t>軍事Lv</t>
  </si>
  <si>
    <t>魔法Lv</t>
  </si>
  <si>
    <t>信仰Lv</t>
  </si>
  <si>
    <t>人口</t>
  </si>
  <si>
    <t>労働人口</t>
  </si>
  <si>
    <t>徴兵率</t>
  </si>
  <si>
    <t>冒険者率</t>
  </si>
  <si>
    <t>治安</t>
  </si>
  <si>
    <t>イベント設定</t>
  </si>
  <si>
    <t>食料</t>
  </si>
  <si>
    <t>金属</t>
  </si>
  <si>
    <t>道路発展数</t>
  </si>
  <si>
    <t>環境安定度</t>
  </si>
  <si>
    <t>貴金属</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</si>
  <si>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</si>
  <si>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</si>
  <si>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</si>
  <si>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</si>
  <si>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</si>
  <si>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</si>
  <si>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</si>
  <si>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</si>
  <si>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</si>
  <si>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</si>
  <si>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</si>
  <si>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</si>
  <si>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</si>
  <si>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</si>
  <si>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</si>
  <si>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</si>
  <si>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</si>
  <si>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</si>
  <si>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</si>
  <si>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</si>
  <si>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</si>
  <si>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</si>
  <si>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</si>
  <si>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</si>
  <si>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</si>
  <si>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</si>
  <si>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</si>
  <si>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</si>
  <si>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</si>
  <si>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</si>
  <si>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</si>
  <si>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基本情報</t>
  </si>
  <si>
    <t>都市の名称</t>
  </si>
  <si>
    <t>人口規模段階（小都市・中都市・大都市など）。上限人口や建設可能施設数に影響</t>
  </si>
  <si>
    <t>魔法研究・結界・魔導兵器の水準。魔法系兵種や防衛魔法に影響</t>
  </si>
  <si>
    <t>神殿規模や宗教影響力。不死対策・祝福効果・士気補正に影響</t>
  </si>
  <si>
    <t>都市の総人口。税収・徴兵可能人数の基礎</t>
  </si>
  <si>
    <t>生産に従事可能な人数。資源生産量に影響</t>
  </si>
  <si>
    <t>軍事</t>
  </si>
  <si>
    <t>人口に対する兵役割合。軍事力↑ 治安↓ 幸福↓</t>
  </si>
  <si>
    <t>軍事/外部</t>
  </si>
  <si>
    <t>安定度</t>
  </si>
  <si>
    <t>犯罪・反乱発生率に影響。低いと災害・暴動発生</t>
  </si>
  <si>
    <t>運営</t>
  </si>
  <si>
    <t>祭り・宗教儀式・徴兵強化などの都市方針設定</t>
  </si>
  <si>
    <t>主食資源。人口維持の基礎</t>
  </si>
  <si>
    <t>食料多様性補正。幸福度に影響</t>
  </si>
  <si>
    <t>兵士向け高栄養資源。軍維持効率に影響</t>
  </si>
  <si>
    <t>沿岸都市補正資源。食料安定性に影響</t>
  </si>
  <si>
    <t>建設・兵器材料の基礎資源</t>
  </si>
  <si>
    <t>高級建築・特殊兵装用素材</t>
  </si>
  <si>
    <t>魔法装備や特別施設用素材</t>
  </si>
  <si>
    <t>城壁・建築物の基礎資源</t>
  </si>
  <si>
    <t>通常武器防具の基礎素材</t>
  </si>
  <si>
    <t>高級兵装・重装兵解放素材</t>
  </si>
  <si>
    <t>最上級武器・特殊兵器素材</t>
  </si>
  <si>
    <t>貨幣基礎・高級取引素材</t>
  </si>
  <si>
    <t>中級貨幣・宗教用途</t>
  </si>
  <si>
    <t>魔法触媒・上級装備素材・交易高額品</t>
  </si>
  <si>
    <t>インフラ</t>
  </si>
  <si>
    <t>環境</t>
  </si>
  <si>
    <t>自然災害発生率や資源回復速度に影響</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</si>
  <si>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</si>
  <si>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</si>
  <si>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</si>
  <si>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</si>
  <si>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</si>
  <si>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</si>
  <si>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</si>
  <si>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</si>
  <si>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</si>
  <si>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</si>
  <si>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</si>
  <si>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</si>
  <si>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</si>
  <si>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</si>
  <si>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</si>
  <si>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</si>
  <si>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</si>
  <si>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</si>
  <si>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</si>
  <si>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</si>
  <si>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</si>
  <si>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</si>
  <si>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</si>
  <si>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</si>
  <si>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</si>
  <si>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</si>
  <si>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</si>
  <si>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</si>
  <si>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</si>
  <si>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</si>
  <si>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</si>
  <si>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</si>
  <si>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</si>
  <si>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</si>
  <si>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</si>
  <si>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</si>
  <si>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</si>
  <si>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</si>
  <si>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</si>
  <si>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</si>
  <si>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</si>
  <si>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</si>
  <si>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</si>
  <si>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</si>
  <si>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</si>
  <si>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</si>
  <si>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</si>
  <si>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</si>
  <si>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</si>
  <si>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</si>
  <si>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</si>
  <si>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</si>
  <si>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</si>
  <si>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</si>
  <si>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</si>
  <si>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</si>
  <si>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</si>
  <si>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</si>
  <si>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</si>
  <si>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</si>
  <si>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</si>
  <si>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</si>
  <si>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</si>
  <si>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</si>
  <si>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</si>
  <si>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</si>
  <si>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</si>
  <si>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</si>
  <si>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</si>
  <si>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</si>
  <si>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</si>
  <si>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</si>
  <si>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</si>
  <si>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</si>
  <si>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</si>
  <si>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</si>
  <si>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</si>
  <si>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市民の不満がどのくらいあるか。高いと指揮にボーナス。低いと指揮にペナルティ</t>
    <rPh sb="0" eb="2">
      <t>シミン</t>
    </rPh>
    <rPh sb="3" eb="5">
      <t>フマン</t>
    </rPh>
    <rPh sb="15" eb="16">
      <t>タカ</t>
    </rPh>
    <rPh sb="18" eb="20">
      <t>シキ</t>
    </rPh>
    <rPh sb="26" eb="27">
      <t>ヒク</t>
    </rPh>
    <rPh sb="29" eb="31">
      <t>シキ</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</si>
  <si>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</si>
  <si>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</si>
  <si>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</si>
  <si>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</si>
  <si>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</si>
  <si>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</si>
  <si>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</si>
  <si>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</si>
  <si>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</si>
  <si>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</si>
  <si>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</si>
  <si>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</si>
  <si>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</si>
  <si>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</si>
  <si>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</si>
  <si>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</si>
  <si>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</si>
  <si>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</si>
  <si>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</si>
  <si>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</si>
  <si>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</si>
  <si>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</si>
  <si>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</si>
  <si>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</si>
  <si>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</si>
  <si>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</si>
  <si>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都市不可。鉱石+大。噴火イベントあり。防御+15%。</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</si>
  <si>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</si>
  <si>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</si>
  <si>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</si>
  <si>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</si>
  <si>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</si>
  <si>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</si>
  <si>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</si>
  <si>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</si>
  <si>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</si>
  <si>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</si>
  <si>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</si>
  <si>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</si>
  <si>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</si>
  <si>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</si>
  <si>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</si>
  <si>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</si>
  <si>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</si>
  <si>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</si>
  <si>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</si>
  <si>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</si>
  <si>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</si>
  <si>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</si>
  <si>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</si>
  <si>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</si>
  <si>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</si>
  <si>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</si>
  <si>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</si>
  <si>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</si>
  <si>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</si>
  <si>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</si>
  <si>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</si>
  <si>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</si>
  <si>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</si>
  <si>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</si>
  <si>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</si>
  <si>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</si>
  <si>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</si>
  <si>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</si>
  <si>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</si>
  <si>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</si>
  <si>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</si>
  <si>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</si>
  <si>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</si>
  <si>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</si>
  <si>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</si>
  <si>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</si>
  <si>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</si>
  <si>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</si>
  <si>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</si>
  <si>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</si>
  <si>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</si>
  <si>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</si>
  <si>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</si>
  <si>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</si>
  <si>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</si>
  <si>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</si>
  <si>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</si>
  <si>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</si>
  <si>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</si>
  <si>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</si>
  <si>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</si>
  <si>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</si>
  <si>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</si>
  <si>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</si>
  <si>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</si>
  <si>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</si>
  <si>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</si>
  <si>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</si>
  <si>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</si>
  <si>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</si>
  <si>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</si>
  <si>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</si>
  <si>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</si>
  <si>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</si>
  <si>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</si>
  <si>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</si>
  <si>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</si>
  <si>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</si>
  <si>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</si>
  <si>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</si>
  <si>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</si>
  <si>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</si>
  <si>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</si>
  <si>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</si>
  <si>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</si>
  <si>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</si>
  <si>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</si>
  <si>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</si>
  <si>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</si>
  <si>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</si>
  <si>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</si>
  <si>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</si>
  <si>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</si>
  <si>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</si>
  <si>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</si>
  <si>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</si>
  <si>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</si>
  <si>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</si>
  <si>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</si>
  <si>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</si>
  <si>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</si>
  <si>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</si>
  <si>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</si>
  <si>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</si>
  <si>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</si>
  <si>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</si>
  <si>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</si>
  <si>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</si>
  <si>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</si>
  <si>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</si>
  <si>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</si>
  <si>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</si>
  <si>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</si>
  <si>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</si>
  <si>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</si>
  <si>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</si>
  <si>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</si>
  <si>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</si>
  <si>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</si>
  <si>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</si>
  <si>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</si>
  <si>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</si>
  <si>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</si>
  <si>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</si>
  <si>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</si>
  <si>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</si>
  <si>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</si>
  <si>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</si>
  <si>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</si>
  <si>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</si>
  <si>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</si>
  <si>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</si>
  <si>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</si>
  <si>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</si>
  <si>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</si>
  <si>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</si>
  <si>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</si>
  <si>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</si>
  <si>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</si>
  <si>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</si>
  <si>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</si>
  <si>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</si>
  <si>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</si>
  <si>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</si>
  <si>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</si>
  <si>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</si>
  <si>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</si>
  <si>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</si>
  <si>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</si>
  <si>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合計死亡数</t>
    <rPh sb="0" eb="5">
      <t>ゴウケイシボウスウ</t>
    </rPh>
    <phoneticPr fontId="2"/>
  </si>
  <si>
    <t>誕生</t>
    <rPh sb="0" eb="2">
      <t>タンジョウ</t>
    </rPh>
    <phoneticPr fontId="2"/>
  </si>
  <si>
    <t>合計誕生数</t>
    <rPh sb="0" eb="5">
      <t>ゴウケイタンジョウスウ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</si>
  <si>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</si>
  <si>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</si>
  <si>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</si>
  <si>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</si>
  <si>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</si>
  <si>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</si>
  <si>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</si>
  <si>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</si>
  <si>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</si>
  <si>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</si>
  <si>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</si>
  <si>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</si>
  <si>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</si>
  <si>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</si>
  <si>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</si>
  <si>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</si>
  <si>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</si>
  <si>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</si>
  <si>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</si>
  <si>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</si>
  <si>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</si>
  <si>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</si>
  <si>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</si>
  <si>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</si>
  <si>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</si>
  <si>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</si>
  <si>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</si>
  <si>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</si>
  <si>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</si>
  <si>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</si>
  <si>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</si>
  <si>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</si>
  <si>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</si>
  <si>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</si>
  <si>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</si>
  <si>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</si>
  <si>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</si>
  <si>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</si>
  <si>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</si>
  <si>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</si>
  <si>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</si>
  <si>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</si>
  <si>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</si>
  <si>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</si>
  <si>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</si>
  <si>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</si>
  <si>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</si>
  <si>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</si>
  <si>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</si>
  <si>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</si>
  <si>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</si>
  <si>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兵舎・防壁・兵器開発の水準。徴兵上限・防衛力・上位兵種解放に影響</t>
  </si>
  <si>
    <t>技術発展・住民意識の高さ。幸福度・開発効率・反乱抑制に影響</t>
  </si>
  <si>
    <t>対応技能</t>
    <rPh sb="0" eb="2">
      <t>タイオウ</t>
    </rPh>
    <phoneticPr fontId="2"/>
  </si>
  <si>
    <t>作成できる武具などに影響、建設にもかかわってる</t>
    <rPh sb="0" eb="2">
      <t>サクセイ</t>
    </rPh>
    <rPh sb="5" eb="7">
      <t>ブグ</t>
    </rPh>
    <rPh sb="10" eb="12">
      <t>エイキョウ</t>
    </rPh>
    <rPh sb="13" eb="15">
      <t>ケンセツ</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</si>
  <si>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</si>
  <si>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</si>
  <si>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</si>
  <si>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</si>
  <si>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</si>
  <si>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</si>
  <si>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</si>
  <si>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</si>
  <si>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</si>
  <si>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特殊資源</t>
    <rPh sb="0" eb="2">
      <t>トクシュ</t>
    </rPh>
    <rPh sb="2" eb="4">
      <t>シゲン</t>
    </rPh>
    <phoneticPr fontId="2"/>
  </si>
  <si>
    <t>アンデッドの増加に必要</t>
    <rPh sb="6" eb="8">
      <t>ゾウカ</t>
    </rPh>
    <rPh sb="9" eb="11">
      <t>ヒツヨウ</t>
    </rPh>
    <phoneticPr fontId="2"/>
  </si>
  <si>
    <t>特殊な種族の増加に必要</t>
    <rPh sb="0" eb="2">
      <t>トクシュ</t>
    </rPh>
    <rPh sb="3" eb="5">
      <t>シュゾク</t>
    </rPh>
    <rPh sb="6" eb="8">
      <t>ゾウカ</t>
    </rPh>
    <rPh sb="9" eb="11">
      <t>ヒツヨウ</t>
    </rPh>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</si>
  <si>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</si>
  <si>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</si>
  <si>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</si>
  <si>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</si>
  <si>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</si>
  <si>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</si>
  <si>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</si>
  <si>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</si>
  <si>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</si>
  <si>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</si>
  <si>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</si>
  <si>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</si>
  <si>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</si>
  <si>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</si>
  <si>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</si>
  <si>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</si>
  <si>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</si>
  <si>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</si>
  <si>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</si>
  <si>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</si>
  <si>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</si>
  <si>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</si>
  <si>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</si>
  <si>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</si>
  <si>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</si>
  <si>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</si>
  <si>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</si>
  <si>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</si>
  <si>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</si>
  <si>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</si>
  <si>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</si>
  <si>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</si>
  <si>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</si>
  <si>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</si>
  <si>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</si>
  <si>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</si>
  <si>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</si>
  <si>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</si>
  <si>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</si>
  <si>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</si>
  <si>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</si>
  <si>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</si>
  <si>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</si>
  <si>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</si>
  <si>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</si>
  <si>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</si>
  <si>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</si>
  <si>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</si>
  <si>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</si>
  <si>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</si>
  <si>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</si>
  <si>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</si>
  <si>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</si>
  <si>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</si>
  <si>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</si>
  <si>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</si>
  <si>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</si>
  <si>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</si>
  <si>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</si>
  <si>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</si>
  <si>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</si>
  <si>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</si>
  <si>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</si>
  <si>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</si>
  <si>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</si>
  <si>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</si>
  <si>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</si>
  <si>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</si>
  <si>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</si>
  <si>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</si>
  <si>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</si>
  <si>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</si>
  <si>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</si>
  <si>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</si>
  <si>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</si>
  <si>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</si>
  <si>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</si>
  <si>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</si>
  <si>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</si>
  <si>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</si>
  <si>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</si>
  <si>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</si>
  <si>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</si>
  <si>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</si>
  <si>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</si>
  <si>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</si>
  <si>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</si>
  <si>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</si>
  <si>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</si>
  <si>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</si>
  <si>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</si>
  <si>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</si>
  <si>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</si>
  <si>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</si>
  <si>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</si>
  <si>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</si>
  <si>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</si>
  <si>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</si>
  <si>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</si>
  <si>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</si>
  <si>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</si>
  <si>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</si>
  <si>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</si>
  <si>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</si>
  <si>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</si>
  <si>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</si>
  <si>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</si>
  <si>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</si>
  <si>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</si>
  <si>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</si>
  <si>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</si>
  <si>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</si>
  <si>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</si>
  <si>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</si>
  <si>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</si>
  <si>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</si>
  <si>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</si>
  <si>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</si>
  <si>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</si>
  <si>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</si>
  <si>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</si>
  <si>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</si>
  <si>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</si>
  <si>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</si>
  <si>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</si>
  <si>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</si>
  <si>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</si>
  <si>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</si>
  <si>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</si>
  <si>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</si>
  <si>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</si>
  <si>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</si>
  <si>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</si>
  <si>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</si>
  <si>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</si>
  <si>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</si>
  <si>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</si>
  <si>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</si>
  <si>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</si>
  <si>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</si>
  <si>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</si>
  <si>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</si>
  <si>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</si>
  <si>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</si>
  <si>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</si>
  <si>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</si>
  <si>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</si>
  <si>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</si>
  <si>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</si>
  <si>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</si>
  <si>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</si>
  <si>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</si>
  <si>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</si>
  <si>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</si>
  <si>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</si>
  <si>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</si>
  <si>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</si>
  <si>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</si>
  <si>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</si>
  <si>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</si>
  <si>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</si>
  <si>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</si>
  <si>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</si>
  <si>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</si>
  <si>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</si>
  <si>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</si>
  <si>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</si>
  <si>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</si>
  <si>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</si>
  <si>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</si>
  <si>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</si>
  <si>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</si>
  <si>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</si>
  <si>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</si>
  <si>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</si>
  <si>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</si>
  <si>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</si>
  <si>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</si>
  <si>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</si>
  <si>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</si>
  <si>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</si>
  <si>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</si>
  <si>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</si>
  <si>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</si>
  <si>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</si>
  <si>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</si>
  <si>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</si>
  <si>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</si>
  <si>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</si>
  <si>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</si>
  <si>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</si>
  <si>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</si>
  <si>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</si>
  <si>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</si>
  <si>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</si>
  <si>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</si>
  <si>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</si>
  <si>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</si>
  <si>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</si>
  <si>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</si>
  <si>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</si>
  <si>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</si>
  <si>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</si>
  <si>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</si>
  <si>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</si>
  <si>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</si>
  <si>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</si>
  <si>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</si>
  <si>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</si>
  <si>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</si>
  <si>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</si>
  <si>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</si>
  <si>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</si>
  <si>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</si>
  <si>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</si>
  <si>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</si>
  <si>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</si>
  <si>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</si>
  <si>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</si>
  <si>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</si>
  <si>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</si>
  <si>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</si>
  <si>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</si>
  <si>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</si>
  <si>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</si>
  <si>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</si>
  <si>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</si>
  <si>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</si>
  <si>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</si>
  <si>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</si>
  <si>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</si>
  <si>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</si>
  <si>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</si>
  <si>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</si>
  <si>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</si>
  <si>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</si>
  <si>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</si>
  <si>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</si>
  <si>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</si>
  <si>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</si>
  <si>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</si>
  <si>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</si>
  <si>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</si>
  <si>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</si>
  <si>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研究Lv</t>
    <rPh sb="0" eb="2">
      <t>ケンキュウ</t>
    </rPh>
    <phoneticPr fontId="2"/>
  </si>
  <si>
    <t>基本情報</t>
    <phoneticPr fontId="2"/>
  </si>
  <si>
    <t>安定する人口数、多すぎたり少なすぎるとペナルティ</t>
    <rPh sb="0" eb="2">
      <t>アンテイ</t>
    </rPh>
    <rPh sb="4" eb="6">
      <t>ジンコウ</t>
    </rPh>
    <rPh sb="6" eb="7">
      <t>スウ</t>
    </rPh>
    <rPh sb="8" eb="9">
      <t>オオ</t>
    </rPh>
    <rPh sb="13" eb="14">
      <t>スク</t>
    </rPh>
    <phoneticPr fontId="2"/>
  </si>
  <si>
    <t>治癒力</t>
    <rPh sb="0" eb="3">
      <t>チユリョク</t>
    </rPh>
    <phoneticPr fontId="2"/>
  </si>
  <si>
    <t>自陣営内でのHP回復量</t>
    <rPh sb="0" eb="4">
      <t>ジジンエイナイ</t>
    </rPh>
    <rPh sb="8" eb="11">
      <t>カイフクリョウ</t>
    </rPh>
    <phoneticPr fontId="2"/>
  </si>
  <si>
    <t>アンデッドが発生しやすくなる。強化される。</t>
    <rPh sb="6" eb="8">
      <t>ハッセイ</t>
    </rPh>
    <rPh sb="15" eb="17">
      <t>キョウカ</t>
    </rPh>
    <phoneticPr fontId="2"/>
  </si>
  <si>
    <t>アンデッドが発生しにくくなる。弱体化する。</t>
    <rPh sb="6" eb="8">
      <t>ハッセイ</t>
    </rPh>
    <rPh sb="15" eb="18">
      <t>ジャクタイカ</t>
    </rPh>
    <phoneticPr fontId="2"/>
  </si>
  <si>
    <t>表示しない</t>
    <rPh sb="0" eb="2">
      <t>ヒョウジ</t>
    </rPh>
    <phoneticPr fontId="2"/>
  </si>
  <si>
    <t>英雄の発生率。</t>
    <rPh sb="0" eb="2">
      <t>エイユウ</t>
    </rPh>
    <rPh sb="3" eb="6">
      <t>ハッセイリツ</t>
    </rPh>
    <phoneticPr fontId="2"/>
  </si>
  <si>
    <t>軍隊の所持可能率</t>
    <rPh sb="0" eb="2">
      <t>グンタイ</t>
    </rPh>
    <rPh sb="3" eb="8">
      <t>ショジカノウリツ</t>
    </rPh>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</si>
  <si>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</si>
  <si>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</si>
  <si>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</si>
  <si>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</si>
  <si>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</si>
  <si>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</si>
  <si>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</si>
  <si>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</si>
  <si>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</si>
  <si>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</si>
  <si>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</si>
  <si>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</si>
  <si>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</si>
  <si>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</si>
  <si>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</si>
  <si>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</si>
  <si>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</si>
  <si>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</si>
  <si>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</si>
  <si>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</si>
  <si>
    <t>大河</t>
    <rPh sb="0" eb="2">
      <t>タイガ</t>
    </rPh>
    <phoneticPr fontId="2"/>
  </si>
  <si>
    <t>移動コスト4（橋で1）水上ユニットはペナルティなし</t>
    <rPh sb="11" eb="13">
      <t>スイジョウ</t>
    </rPh>
    <phoneticPr fontId="2"/>
  </si>
  <si>
    <t>湿地</t>
    <rPh sb="0" eb="2">
      <t>シッチ</t>
    </rPh>
    <phoneticPr fontId="2"/>
  </si>
  <si>
    <t>移動コスト</t>
    <rPh sb="0" eb="2">
      <t>イドウ</t>
    </rPh>
    <phoneticPr fontId="2"/>
  </si>
  <si>
    <t>移動条件</t>
    <rPh sb="0" eb="4">
      <t>イドウジョウケン</t>
    </rPh>
    <phoneticPr fontId="2"/>
  </si>
  <si>
    <t>-</t>
    <phoneticPr fontId="2"/>
  </si>
  <si>
    <t>遊泳</t>
    <rPh sb="0" eb="2">
      <t>ユウエイ</t>
    </rPh>
    <phoneticPr fontId="2"/>
  </si>
  <si>
    <t>飛行</t>
    <rPh sb="0" eb="2">
      <t>ヒコウ</t>
    </rPh>
    <phoneticPr fontId="2"/>
  </si>
  <si>
    <t>河川</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</si>
</sst>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9"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1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alignment vertical="center"/>
    </xf>
  </cellStyleXfs>
  <cellXfs count="84">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4" fillId="5" borderId="3" xfId="0" applyFont="1" applyFill="1" applyBorder="1" applyAlignment="1">
      <alignment horizontal="left" vertical="center"/>
    </xf>
    <xf numFmtId="0" fontId="4" fillId="9" borderId="3" xfId="0" applyFont="1" applyFill="1" applyBorder="1" applyAlignment="1">
      <alignment horizontal="left" vertical="center"/>
    </xf>
    <xf numFmtId="0" fontId="4" fillId="7" borderId="3" xfId="0" applyFont="1" applyFill="1" applyBorder="1" applyAlignment="1">
      <alignment horizontal="left" vertical="center"/>
    </xf>
    <xf numFmtId="0" fontId="4" fillId="10" borderId="3" xfId="0" applyFont="1" applyFill="1" applyBorder="1" applyAlignment="1">
      <alignment horizontal="left"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B783B-0938-4A2A-A527-3173EFEAF51B}">
  <dimension ref="A2:BI32"/>
  <sheetViews>
    <sheetView zoomScale="55" zoomScaleNormal="55" workbookViewId="0">
      <selection activeCell="B3" sqref="B3:D4"/>
    </sheetView>
  </sheetViews>
  <sheetFormatPr defaultColWidth="3.125" defaultRowHeight="18.75" x14ac:dyDescent="0.4"/>
  <sheetData>
    <row r="2" spans="1:61" ht="19.5" thickBot="1" x14ac:dyDescent="0.45">
      <c r="B2">
        <v>1</v>
      </c>
      <c r="C2">
        <f>B2+1</f>
        <v>2</v>
      </c>
      <c r="D2">
        <f t="shared" ref="D2:BI2" si="0">C2+1</f>
        <v>3</v>
      </c>
      <c r="E2">
        <f t="shared" si="0"/>
        <v>4</v>
      </c>
      <c r="F2">
        <f t="shared" si="0"/>
        <v>5</v>
      </c>
      <c r="G2">
        <f t="shared" si="0"/>
        <v>6</v>
      </c>
      <c r="H2">
        <f t="shared" si="0"/>
        <v>7</v>
      </c>
      <c r="I2">
        <f t="shared" si="0"/>
        <v>8</v>
      </c>
      <c r="J2">
        <f t="shared" si="0"/>
        <v>9</v>
      </c>
      <c r="K2">
        <f t="shared" si="0"/>
        <v>10</v>
      </c>
      <c r="L2">
        <f t="shared" si="0"/>
        <v>11</v>
      </c>
      <c r="M2">
        <f t="shared" si="0"/>
        <v>12</v>
      </c>
      <c r="N2">
        <f t="shared" si="0"/>
        <v>13</v>
      </c>
      <c r="O2">
        <f t="shared" si="0"/>
        <v>14</v>
      </c>
      <c r="P2">
        <f t="shared" si="0"/>
        <v>15</v>
      </c>
      <c r="Q2">
        <f t="shared" si="0"/>
        <v>16</v>
      </c>
      <c r="R2">
        <f t="shared" si="0"/>
        <v>17</v>
      </c>
      <c r="S2">
        <f t="shared" si="0"/>
        <v>18</v>
      </c>
      <c r="T2">
        <f t="shared" si="0"/>
        <v>19</v>
      </c>
      <c r="U2">
        <f t="shared" si="0"/>
        <v>20</v>
      </c>
      <c r="V2">
        <f t="shared" si="0"/>
        <v>21</v>
      </c>
      <c r="W2">
        <f t="shared" si="0"/>
        <v>22</v>
      </c>
      <c r="X2">
        <f t="shared" si="0"/>
        <v>23</v>
      </c>
      <c r="Y2">
        <f t="shared" si="0"/>
        <v>24</v>
      </c>
      <c r="Z2">
        <f t="shared" si="0"/>
        <v>25</v>
      </c>
      <c r="AA2">
        <f t="shared" si="0"/>
        <v>26</v>
      </c>
      <c r="AB2">
        <f t="shared" si="0"/>
        <v>27</v>
      </c>
      <c r="AC2">
        <f t="shared" si="0"/>
        <v>28</v>
      </c>
      <c r="AD2">
        <f t="shared" si="0"/>
        <v>29</v>
      </c>
      <c r="AE2">
        <f t="shared" si="0"/>
        <v>30</v>
      </c>
      <c r="AF2">
        <f t="shared" si="0"/>
        <v>31</v>
      </c>
      <c r="AG2">
        <f t="shared" si="0"/>
        <v>32</v>
      </c>
      <c r="AH2">
        <f t="shared" si="0"/>
        <v>33</v>
      </c>
      <c r="AI2">
        <f t="shared" si="0"/>
        <v>34</v>
      </c>
      <c r="AJ2">
        <f t="shared" si="0"/>
        <v>35</v>
      </c>
      <c r="AK2">
        <f t="shared" si="0"/>
        <v>36</v>
      </c>
      <c r="AL2">
        <f t="shared" si="0"/>
        <v>37</v>
      </c>
      <c r="AM2">
        <f t="shared" si="0"/>
        <v>38</v>
      </c>
      <c r="AN2">
        <f t="shared" si="0"/>
        <v>39</v>
      </c>
      <c r="AO2">
        <f t="shared" si="0"/>
        <v>40</v>
      </c>
      <c r="AP2">
        <f t="shared" si="0"/>
        <v>41</v>
      </c>
      <c r="AQ2">
        <f t="shared" si="0"/>
        <v>42</v>
      </c>
      <c r="AR2">
        <f t="shared" si="0"/>
        <v>43</v>
      </c>
      <c r="AS2">
        <f t="shared" si="0"/>
        <v>44</v>
      </c>
      <c r="AT2">
        <f t="shared" si="0"/>
        <v>45</v>
      </c>
      <c r="AU2">
        <f t="shared" si="0"/>
        <v>46</v>
      </c>
      <c r="AV2">
        <f t="shared" si="0"/>
        <v>47</v>
      </c>
      <c r="AW2">
        <f t="shared" si="0"/>
        <v>48</v>
      </c>
      <c r="AX2">
        <f t="shared" si="0"/>
        <v>49</v>
      </c>
      <c r="AY2">
        <f t="shared" si="0"/>
        <v>50</v>
      </c>
      <c r="AZ2">
        <f t="shared" si="0"/>
        <v>51</v>
      </c>
      <c r="BA2">
        <f t="shared" si="0"/>
        <v>52</v>
      </c>
      <c r="BB2">
        <f t="shared" si="0"/>
        <v>53</v>
      </c>
      <c r="BC2">
        <f t="shared" si="0"/>
        <v>54</v>
      </c>
      <c r="BD2">
        <f t="shared" si="0"/>
        <v>55</v>
      </c>
      <c r="BE2">
        <f t="shared" si="0"/>
        <v>56</v>
      </c>
      <c r="BF2">
        <f t="shared" si="0"/>
        <v>57</v>
      </c>
      <c r="BG2">
        <f t="shared" si="0"/>
        <v>58</v>
      </c>
      <c r="BH2">
        <f t="shared" si="0"/>
        <v>59</v>
      </c>
      <c r="BI2">
        <f t="shared" si="0"/>
        <v>60</v>
      </c>
    </row>
    <row r="3" spans="1:61" x14ac:dyDescent="0.4">
      <c r="A3">
        <v>1</v>
      </c>
      <c r="B3" s="63"/>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5"/>
    </row>
    <row r="4" spans="1:61" x14ac:dyDescent="0.4">
      <c r="A4">
        <f>A3+1</f>
        <v>2</v>
      </c>
      <c r="B4" s="66"/>
      <c r="BI4" s="67"/>
    </row>
    <row r="5" spans="1:61" ht="19.5" thickBot="1" x14ac:dyDescent="0.45">
      <c r="A5">
        <f t="shared" ref="A5:A32" si="1">A4+1</f>
        <v>3</v>
      </c>
      <c r="B5" s="68"/>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70"/>
    </row>
    <row r="6" spans="1:61" x14ac:dyDescent="0.4">
      <c r="A6">
        <f t="shared" si="1"/>
        <v>4</v>
      </c>
      <c r="B6" s="71"/>
      <c r="C6" s="72"/>
      <c r="D6" s="73"/>
      <c r="E6" s="71"/>
      <c r="F6" s="72"/>
      <c r="G6" s="73"/>
      <c r="H6" s="71"/>
      <c r="I6" s="72"/>
      <c r="J6" s="73"/>
      <c r="K6" s="71"/>
      <c r="L6" s="72"/>
      <c r="M6" s="73"/>
      <c r="N6" s="71"/>
      <c r="O6" s="72"/>
      <c r="P6" s="73"/>
      <c r="BI6" s="67"/>
    </row>
    <row r="7" spans="1:61" x14ac:dyDescent="0.4">
      <c r="A7">
        <f t="shared" si="1"/>
        <v>5</v>
      </c>
      <c r="B7" s="74"/>
      <c r="C7" s="75"/>
      <c r="D7" s="76"/>
      <c r="E7" s="74"/>
      <c r="F7" s="75"/>
      <c r="G7" s="76"/>
      <c r="H7" s="74"/>
      <c r="I7" s="75"/>
      <c r="J7" s="76"/>
      <c r="K7" s="74"/>
      <c r="L7" s="75"/>
      <c r="M7" s="76"/>
      <c r="N7" s="74"/>
      <c r="O7" s="75"/>
      <c r="P7" s="76"/>
      <c r="BI7" s="67"/>
    </row>
    <row r="8" spans="1:61" ht="19.5" thickBot="1" x14ac:dyDescent="0.45">
      <c r="A8">
        <f t="shared" si="1"/>
        <v>6</v>
      </c>
      <c r="B8" s="77"/>
      <c r="C8" s="78"/>
      <c r="D8" s="79"/>
      <c r="E8" s="77"/>
      <c r="F8" s="78"/>
      <c r="G8" s="79"/>
      <c r="H8" s="77"/>
      <c r="I8" s="78"/>
      <c r="J8" s="79"/>
      <c r="K8" s="77"/>
      <c r="L8" s="78"/>
      <c r="M8" s="79"/>
      <c r="N8" s="77"/>
      <c r="O8" s="78"/>
      <c r="P8" s="79"/>
      <c r="BI8" s="67"/>
    </row>
    <row r="9" spans="1:61" x14ac:dyDescent="0.4">
      <c r="A9">
        <f t="shared" si="1"/>
        <v>7</v>
      </c>
      <c r="B9" s="66"/>
      <c r="BI9" s="67"/>
    </row>
    <row r="10" spans="1:61" x14ac:dyDescent="0.4">
      <c r="A10">
        <f t="shared" si="1"/>
        <v>8</v>
      </c>
      <c r="B10" s="66"/>
      <c r="BI10" s="67"/>
    </row>
    <row r="11" spans="1:61" x14ac:dyDescent="0.4">
      <c r="A11">
        <f t="shared" si="1"/>
        <v>9</v>
      </c>
      <c r="B11" s="66"/>
      <c r="BI11" s="67"/>
    </row>
    <row r="12" spans="1:61" x14ac:dyDescent="0.4">
      <c r="A12">
        <f t="shared" si="1"/>
        <v>10</v>
      </c>
      <c r="B12" s="66"/>
      <c r="BI12" s="67"/>
    </row>
    <row r="13" spans="1:61" x14ac:dyDescent="0.4">
      <c r="A13">
        <f t="shared" si="1"/>
        <v>11</v>
      </c>
      <c r="B13" s="66"/>
      <c r="BI13" s="67"/>
    </row>
    <row r="14" spans="1:61" x14ac:dyDescent="0.4">
      <c r="A14">
        <f t="shared" si="1"/>
        <v>12</v>
      </c>
      <c r="B14" s="66"/>
      <c r="BI14" s="67"/>
    </row>
    <row r="15" spans="1:61" x14ac:dyDescent="0.4">
      <c r="A15">
        <f t="shared" si="1"/>
        <v>13</v>
      </c>
      <c r="B15" s="66"/>
      <c r="BI15" s="67"/>
    </row>
    <row r="16" spans="1:61" x14ac:dyDescent="0.4">
      <c r="A16">
        <f t="shared" si="1"/>
        <v>14</v>
      </c>
      <c r="B16" s="66"/>
      <c r="BI16" s="67"/>
    </row>
    <row r="17" spans="1:61" x14ac:dyDescent="0.4">
      <c r="A17">
        <f t="shared" si="1"/>
        <v>15</v>
      </c>
      <c r="B17" s="66"/>
      <c r="BI17" s="67"/>
    </row>
    <row r="18" spans="1:61" x14ac:dyDescent="0.4">
      <c r="A18">
        <f t="shared" si="1"/>
        <v>16</v>
      </c>
      <c r="B18" s="66"/>
      <c r="BI18" s="67"/>
    </row>
    <row r="19" spans="1:61" x14ac:dyDescent="0.4">
      <c r="A19">
        <f t="shared" si="1"/>
        <v>17</v>
      </c>
      <c r="B19" s="66"/>
      <c r="BI19" s="67"/>
    </row>
    <row r="20" spans="1:61" x14ac:dyDescent="0.4">
      <c r="A20">
        <f t="shared" si="1"/>
        <v>18</v>
      </c>
      <c r="B20" s="66"/>
      <c r="BI20" s="67"/>
    </row>
    <row r="21" spans="1:61" x14ac:dyDescent="0.4">
      <c r="A21">
        <f t="shared" si="1"/>
        <v>19</v>
      </c>
      <c r="B21" s="66"/>
      <c r="BI21" s="67"/>
    </row>
    <row r="22" spans="1:61" x14ac:dyDescent="0.4">
      <c r="A22">
        <f t="shared" si="1"/>
        <v>20</v>
      </c>
      <c r="B22" s="66"/>
      <c r="BI22" s="67"/>
    </row>
    <row r="23" spans="1:61" x14ac:dyDescent="0.4">
      <c r="A23">
        <f t="shared" si="1"/>
        <v>21</v>
      </c>
      <c r="B23" s="66"/>
      <c r="BI23" s="67"/>
    </row>
    <row r="24" spans="1:61" x14ac:dyDescent="0.4">
      <c r="A24">
        <f t="shared" si="1"/>
        <v>22</v>
      </c>
      <c r="B24" s="66"/>
      <c r="BI24" s="67"/>
    </row>
    <row r="25" spans="1:61" x14ac:dyDescent="0.4">
      <c r="A25">
        <f t="shared" si="1"/>
        <v>23</v>
      </c>
      <c r="B25" s="66"/>
      <c r="BI25" s="67"/>
    </row>
    <row r="26" spans="1:61" x14ac:dyDescent="0.4">
      <c r="A26">
        <f t="shared" si="1"/>
        <v>24</v>
      </c>
      <c r="B26" s="66"/>
      <c r="BI26" s="67"/>
    </row>
    <row r="27" spans="1:61" x14ac:dyDescent="0.4">
      <c r="A27">
        <f t="shared" si="1"/>
        <v>25</v>
      </c>
      <c r="B27" s="66"/>
      <c r="BI27" s="67"/>
    </row>
    <row r="28" spans="1:61" x14ac:dyDescent="0.4">
      <c r="A28">
        <f t="shared" si="1"/>
        <v>26</v>
      </c>
      <c r="B28" s="66"/>
      <c r="BI28" s="67"/>
    </row>
    <row r="29" spans="1:61" x14ac:dyDescent="0.4">
      <c r="A29">
        <f t="shared" si="1"/>
        <v>27</v>
      </c>
      <c r="B29" s="66"/>
      <c r="BI29" s="67"/>
    </row>
    <row r="30" spans="1:61" x14ac:dyDescent="0.4">
      <c r="A30">
        <f t="shared" si="1"/>
        <v>28</v>
      </c>
      <c r="B30" s="66"/>
      <c r="BI30" s="67"/>
    </row>
    <row r="31" spans="1:61" x14ac:dyDescent="0.4">
      <c r="A31">
        <f t="shared" si="1"/>
        <v>29</v>
      </c>
      <c r="B31" s="66"/>
      <c r="BI31" s="67"/>
    </row>
    <row r="32" spans="1:61" ht="19.5" thickBot="1" x14ac:dyDescent="0.45">
      <c r="A32">
        <f t="shared" si="1"/>
        <v>30</v>
      </c>
      <c r="B32" s="68"/>
      <c r="C32" s="69"/>
      <c r="D32" s="69"/>
      <c r="E32" s="69"/>
      <c r="F32" s="69"/>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70"/>
    </row>
  </sheetData>
  <mergeCells count="5">
    <mergeCell ref="B6:D8"/>
    <mergeCell ref="E6:G8"/>
    <mergeCell ref="H6:J8"/>
    <mergeCell ref="K6:M8"/>
    <mergeCell ref="N6:P8"/>
  </mergeCells>
  <phoneticPr fontId="2"/>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39"/>
  <sheetViews>
    <sheetView workbookViewId="0">
      <selection activeCell="K2" sqref="K2"/>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78</v>
      </c>
      <c r="F1" s="5" t="s">
        <v>79</v>
      </c>
      <c r="G1" s="18" t="s">
        <v>127</v>
      </c>
      <c r="H1" s="3" t="s">
        <v>80</v>
      </c>
      <c r="I1" s="6" t="s">
        <v>885</v>
      </c>
      <c r="J1" s="6" t="s">
        <v>887</v>
      </c>
      <c r="K1" s="8" t="s">
        <v>82</v>
      </c>
      <c r="L1" s="8"/>
      <c r="M1" s="3" t="s">
        <v>83</v>
      </c>
      <c r="N1" s="3" t="s">
        <v>84</v>
      </c>
      <c r="O1" s="3" t="s">
        <v>85</v>
      </c>
      <c r="P1" s="9" t="s">
        <v>86</v>
      </c>
      <c r="Q1" s="9" t="s">
        <v>87</v>
      </c>
      <c r="R1" s="9"/>
      <c r="S1" s="9"/>
    </row>
    <row r="2" spans="1:20" ht="103.5" customHeight="1" x14ac:dyDescent="0.4">
      <c r="B2" s="10" t="s">
        <v>88</v>
      </c>
      <c r="C2" s="10" t="s">
        <v>89</v>
      </c>
      <c r="D2" s="3" t="s">
        <v>90</v>
      </c>
      <c r="E2" s="4"/>
      <c r="F2" s="5"/>
      <c r="G2" s="18"/>
      <c r="H2" s="3" t="s">
        <v>477</v>
      </c>
      <c r="I2" s="11"/>
      <c r="J2" s="11" t="s">
        <v>91</v>
      </c>
      <c r="K2" s="8" t="s">
        <v>92</v>
      </c>
      <c r="L2" s="8"/>
      <c r="M2" s="3" t="s">
        <v>93</v>
      </c>
      <c r="N2" s="3" t="s">
        <v>94</v>
      </c>
      <c r="T2" s="12">
        <v>0.3</v>
      </c>
    </row>
    <row r="3" spans="1:20" ht="18" customHeight="1" x14ac:dyDescent="0.4">
      <c r="B3" s="10" t="s">
        <v>95</v>
      </c>
      <c r="C3" s="10" t="s">
        <v>96</v>
      </c>
      <c r="D3" s="3"/>
      <c r="E3" s="4"/>
      <c r="F3" s="5"/>
      <c r="G3" s="18"/>
      <c r="H3" s="3"/>
      <c r="I3" s="11" t="s">
        <v>97</v>
      </c>
      <c r="J3" s="11" t="s">
        <v>97</v>
      </c>
      <c r="K3" s="8" t="s">
        <v>98</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1249</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1249</v>
      </c>
    </row>
    <row r="8" spans="1:20" x14ac:dyDescent="0.4">
      <c r="B8" s="2" t="s">
        <v>285</v>
      </c>
      <c r="D8" s="2" t="s">
        <v>77</v>
      </c>
      <c r="E8" s="13" t="s">
        <v>128</v>
      </c>
      <c r="F8" s="14" t="s">
        <v>79</v>
      </c>
      <c r="G8" s="18" t="s">
        <v>127</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1249</v>
      </c>
    </row>
    <row r="9" spans="1:20" hidden="1" outlineLevel="1" x14ac:dyDescent="0.4">
      <c r="A9" s="2">
        <v>1</v>
      </c>
      <c r="B9" s="2" t="s">
        <v>286</v>
      </c>
      <c r="E9" s="13" t="s">
        <v>129</v>
      </c>
      <c r="G9" s="19">
        <v>60</v>
      </c>
      <c r="H9" s="10" t="s">
        <v>295</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1249</v>
      </c>
    </row>
    <row r="10" spans="1:20" hidden="1" outlineLevel="1" x14ac:dyDescent="0.4">
      <c r="A10" s="2">
        <v>2</v>
      </c>
      <c r="B10" s="2" t="s">
        <v>284</v>
      </c>
      <c r="E10" s="13" t="s">
        <v>129</v>
      </c>
      <c r="G10" s="19">
        <v>30</v>
      </c>
      <c r="H10" s="10" t="s">
        <v>294</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1249</v>
      </c>
    </row>
    <row r="11" spans="1:20" ht="36" hidden="1" outlineLevel="1" x14ac:dyDescent="0.4">
      <c r="A11" s="2">
        <v>3</v>
      </c>
      <c r="B11" s="2" t="s">
        <v>283</v>
      </c>
      <c r="E11" s="13" t="s">
        <v>129</v>
      </c>
      <c r="G11" s="19">
        <v>40</v>
      </c>
      <c r="H11" s="10" t="s">
        <v>328</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1249</v>
      </c>
    </row>
    <row r="12" spans="1:20" hidden="1" outlineLevel="1" x14ac:dyDescent="0.4">
      <c r="A12" s="2">
        <v>4</v>
      </c>
      <c r="B12" s="2" t="s">
        <v>287</v>
      </c>
      <c r="E12" s="13" t="s">
        <v>129</v>
      </c>
      <c r="G12" s="19">
        <v>20</v>
      </c>
      <c r="H12" s="10" t="s">
        <v>293</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1249</v>
      </c>
    </row>
    <row r="13" spans="1:20" hidden="1" outlineLevel="1" x14ac:dyDescent="0.4">
      <c r="A13" s="2">
        <v>5</v>
      </c>
      <c r="B13" s="2" t="s">
        <v>288</v>
      </c>
      <c r="E13" s="13" t="s">
        <v>129</v>
      </c>
      <c r="G13" s="19">
        <v>20</v>
      </c>
      <c r="H13" s="10" t="s">
        <v>292</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1249</v>
      </c>
    </row>
    <row r="14" spans="1:20" ht="36" hidden="1" outlineLevel="1" x14ac:dyDescent="0.4">
      <c r="A14" s="2">
        <v>6</v>
      </c>
      <c r="B14" s="2" t="s">
        <v>290</v>
      </c>
      <c r="E14" s="13" t="s">
        <v>129</v>
      </c>
      <c r="G14" s="19">
        <v>70</v>
      </c>
      <c r="H14" s="10" t="s">
        <v>291</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1249</v>
      </c>
    </row>
    <row r="15" spans="1:20" ht="36" hidden="1" outlineLevel="1" x14ac:dyDescent="0.4">
      <c r="A15" s="2">
        <v>7</v>
      </c>
      <c r="B15" s="2" t="s">
        <v>289</v>
      </c>
      <c r="E15" s="13" t="s">
        <v>129</v>
      </c>
      <c r="G15" s="19">
        <v>40</v>
      </c>
      <c r="H15" s="10" t="s">
        <v>329</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1249</v>
      </c>
    </row>
    <row r="16" spans="1:20" hidden="1"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1249</v>
      </c>
    </row>
    <row r="17" spans="1:14" hidden="1" outlineLevel="1" x14ac:dyDescent="0.4">
      <c r="A17" s="2">
        <v>9</v>
      </c>
      <c r="B17" s="2" t="s">
        <v>771</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hidden="1"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1249</v>
      </c>
    </row>
    <row r="19" spans="1:14" hidden="1"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1249</v>
      </c>
    </row>
    <row r="20" spans="1:14" collapsed="1"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1249</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1249</v>
      </c>
    </row>
    <row r="22" spans="1:14" outlineLevel="1" collapsed="1" x14ac:dyDescent="0.4">
      <c r="B22" s="54" t="s">
        <v>503</v>
      </c>
      <c r="D22" s="2" t="s">
        <v>987</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1249</v>
      </c>
    </row>
    <row r="23" spans="1:14" outlineLevel="1" collapsed="1" x14ac:dyDescent="0.4">
      <c r="B23" s="48" t="s">
        <v>504</v>
      </c>
      <c r="D23" s="2" t="s">
        <v>987</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1249</v>
      </c>
    </row>
    <row r="24" spans="1:14" outlineLevel="1" collapsed="1" x14ac:dyDescent="0.4">
      <c r="B24" s="48" t="s">
        <v>505</v>
      </c>
      <c r="D24" s="2" t="s">
        <v>987</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1249</v>
      </c>
    </row>
    <row r="25" spans="1:14" outlineLevel="1" collapsed="1" x14ac:dyDescent="0.4">
      <c r="B25" s="48" t="s">
        <v>506</v>
      </c>
      <c r="D25" s="2" t="s">
        <v>987</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1249</v>
      </c>
    </row>
    <row r="26" spans="1:14" outlineLevel="1" collapsed="1" x14ac:dyDescent="0.4">
      <c r="B26" s="48" t="s">
        <v>507</v>
      </c>
      <c r="D26" s="2" t="s">
        <v>987</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1249</v>
      </c>
    </row>
    <row r="27" spans="1:14" outlineLevel="1" collapsed="1" x14ac:dyDescent="0.4">
      <c r="B27" s="48" t="s">
        <v>508</v>
      </c>
      <c r="D27" s="2" t="s">
        <v>987</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1249</v>
      </c>
    </row>
    <row r="28" spans="1:14" outlineLevel="1" collapsed="1" x14ac:dyDescent="0.4">
      <c r="B28" s="48" t="s">
        <v>509</v>
      </c>
      <c r="D28" s="2" t="s">
        <v>987</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1249</v>
      </c>
    </row>
    <row r="29" spans="1:14" outlineLevel="1" collapsed="1" x14ac:dyDescent="0.4">
      <c r="B29" s="48" t="s">
        <v>510</v>
      </c>
      <c r="D29" s="2" t="s">
        <v>987</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1249</v>
      </c>
    </row>
    <row r="30" spans="1:14" outlineLevel="1" collapsed="1" x14ac:dyDescent="0.4">
      <c r="B30" s="48" t="s">
        <v>511</v>
      </c>
      <c r="D30" s="2" t="s">
        <v>987</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1249</v>
      </c>
    </row>
    <row r="31" spans="1:14" outlineLevel="1" collapsed="1" x14ac:dyDescent="0.4">
      <c r="B31" s="48" t="s">
        <v>512</v>
      </c>
      <c r="D31" s="2" t="s">
        <v>987</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1249</v>
      </c>
    </row>
    <row r="32" spans="1:14" outlineLevel="1" collapsed="1" x14ac:dyDescent="0.4">
      <c r="B32" s="48" t="s">
        <v>513</v>
      </c>
      <c r="D32" s="2" t="s">
        <v>987</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1249</v>
      </c>
    </row>
    <row r="33" spans="1:14" outlineLevel="1" collapsed="1" x14ac:dyDescent="0.4">
      <c r="B33" s="48" t="s">
        <v>514</v>
      </c>
      <c r="D33" s="2" t="s">
        <v>987</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1249</v>
      </c>
    </row>
    <row r="34" spans="1:14" outlineLevel="1" collapsed="1" x14ac:dyDescent="0.4">
      <c r="B34" s="48" t="s">
        <v>515</v>
      </c>
      <c r="D34" s="2" t="s">
        <v>987</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1249</v>
      </c>
    </row>
    <row r="35" spans="1:14" outlineLevel="1" collapsed="1" x14ac:dyDescent="0.4">
      <c r="B35" s="48" t="s">
        <v>780</v>
      </c>
      <c r="D35" s="2" t="s">
        <v>987</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1249</v>
      </c>
    </row>
    <row r="36" spans="1:14" outlineLevel="1" collapsed="1" x14ac:dyDescent="0.4">
      <c r="B36" s="48" t="s">
        <v>917</v>
      </c>
      <c r="D36" s="2" t="s">
        <v>987</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1249</v>
      </c>
    </row>
    <row r="37" spans="1:14"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1249</v>
      </c>
    </row>
    <row r="38" spans="1:14"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1249</v>
      </c>
    </row>
    <row r="39" spans="1:14"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1249</v>
      </c>
    </row>
    <row r="40" spans="1:14"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1249</v>
      </c>
    </row>
    <row r="41" spans="1:14"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1249</v>
      </c>
    </row>
    <row r="42" spans="1:14"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1249</v>
      </c>
    </row>
    <row r="43" spans="1:14"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1249</v>
      </c>
    </row>
    <row r="44" spans="1:14"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1249</v>
      </c>
    </row>
    <row r="45" spans="1:14"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1249</v>
      </c>
    </row>
    <row r="46" spans="1:14" x14ac:dyDescent="0.4">
      <c r="C46" s="2" t="s">
        <v>117</v>
      </c>
      <c r="J46" s="6" t="str">
        <f>IFERROR(_xlfn.LET(_xlpm.v,
VLOOKUP($I46,効果!$A:$B,COLUMN(効果!B$1),FALSE),
IF(_xlpm.v=0,"",_xlpm.v)
),"")</f>
        <v/>
      </c>
      <c r="L46" s="15" t="str">
        <f>IF(OR(COUNTIF(クラス!$A$1:$A$1035, $B46),$B46="",COUNTIF(スキル一覧!$A$1:$A$3500, $B46)), "", "存在しない")</f>
        <v/>
      </c>
      <c r="M46" s="2" t="str">
        <f>IF(COUNTIF($B$1:$C45, $B46), "", "存在しない")</f>
        <v>存在しない</v>
      </c>
      <c r="N46" s="2" t="s">
        <v>1249</v>
      </c>
    </row>
    <row r="47" spans="1:14" x14ac:dyDescent="0.4">
      <c r="B47" s="2" t="s">
        <v>24</v>
      </c>
      <c r="C47" s="2" t="s">
        <v>26</v>
      </c>
      <c r="D47" s="2" t="s">
        <v>77</v>
      </c>
      <c r="E47" s="13" t="s">
        <v>128</v>
      </c>
      <c r="F47" s="14" t="s">
        <v>79</v>
      </c>
      <c r="G47" s="18" t="s">
        <v>127</v>
      </c>
      <c r="H47" s="10" t="s">
        <v>80</v>
      </c>
      <c r="J47" s="6" t="str">
        <f>IFERROR(_xlfn.LET(_xlpm.v,
VLOOKUP($I47,効果!$A:$B,COLUMN(効果!B$1),FALSE),
IF(_xlpm.v=0,"",_xlpm.v)
),"")</f>
        <v/>
      </c>
      <c r="L47" s="15" t="str">
        <f>IF(OR(COUNTIF(クラス!$A$1:$A$1035, $B47),$B47="",COUNTIF(スキル一覧!$A$1:$A$3500, $B47)), "", "存在しない")</f>
        <v/>
      </c>
      <c r="M47" s="2" t="str">
        <f>IF(COUNTIF($B$1:$C46, $B47), "", "存在しない")</f>
        <v>存在しない</v>
      </c>
      <c r="N47" s="2" t="s">
        <v>1249</v>
      </c>
    </row>
    <row r="48" spans="1:14" hidden="1" outlineLevel="1" x14ac:dyDescent="0.4">
      <c r="A48" s="2">
        <v>1</v>
      </c>
      <c r="J48" s="6" t="str">
        <f>IFERROR(_xlfn.LET(_xlpm.v,
VLOOKUP($I48,効果!$A:$B,COLUMN(効果!B$1),FALSE),
IF(_xlpm.v=0,"",_xlpm.v)
),"")</f>
        <v/>
      </c>
      <c r="L48" s="15" t="str">
        <f>IF(OR(COUNTIF(クラス!$A$1:$A$1035, $B48),$B48="",COUNTIF(スキル一覧!$A$1:$A$3500, $B48)), "", "存在しない")</f>
        <v/>
      </c>
      <c r="M48" s="2" t="str">
        <f>IF(COUNTIF($B$1:$C47, $B48), "", "存在しない")</f>
        <v>存在しない</v>
      </c>
      <c r="N48" s="2" t="s">
        <v>1249</v>
      </c>
    </row>
    <row r="49" spans="1:14" hidden="1" outlineLevel="1" x14ac:dyDescent="0.4">
      <c r="A49" s="2">
        <v>2</v>
      </c>
      <c r="B49" s="2" t="s">
        <v>172</v>
      </c>
      <c r="C49" s="2" t="s">
        <v>173</v>
      </c>
      <c r="E49" s="13" t="s">
        <v>129</v>
      </c>
      <c r="G49" s="19">
        <v>60</v>
      </c>
      <c r="H49" s="10" t="s">
        <v>182</v>
      </c>
      <c r="J49" s="6" t="str">
        <f>IFERROR(_xlfn.LET(_xlpm.v,
VLOOKUP($I49,効果!$A:$B,COLUMN(効果!B$1),FALSE),
IF(_xlpm.v=0,"",_xlpm.v)
),"")</f>
        <v/>
      </c>
      <c r="L49" s="15" t="str">
        <f>IF(OR(COUNTIF(クラス!$A$1:$A$1035, $B49),$B49="",COUNTIF(スキル一覧!$A$1:$A$3500, $B49)), "", "存在しない")</f>
        <v/>
      </c>
      <c r="M49" s="2" t="str">
        <f>IF(COUNTIF($B$1:$C48, $B49), "", "存在しない")</f>
        <v>存在しない</v>
      </c>
      <c r="N49" s="2" t="s">
        <v>1249</v>
      </c>
    </row>
    <row r="50" spans="1:14" hidden="1" outlineLevel="1" x14ac:dyDescent="0.4">
      <c r="A50" s="2">
        <v>3</v>
      </c>
      <c r="B50" s="2" t="s">
        <v>131</v>
      </c>
      <c r="E50" s="13" t="s">
        <v>130</v>
      </c>
      <c r="H50" s="10" t="s">
        <v>132</v>
      </c>
      <c r="J50" s="6" t="str">
        <f>IFERROR(_xlfn.LET(_xlpm.v,
VLOOKUP($I50,効果!$A:$B,COLUMN(効果!B$1),FALSE),
IF(_xlpm.v=0,"",_xlpm.v)
),"")</f>
        <v/>
      </c>
      <c r="L50" s="15" t="str">
        <f>IF(OR(COUNTIF(クラス!$A$1:$A$1035, $B50),$B50="",COUNTIF(スキル一覧!$A$1:$A$3500, $B50)), "", "存在しない")</f>
        <v/>
      </c>
      <c r="M50" s="2" t="str">
        <f>IF(COUNTIF($B$1:$C49, $B50), "", "存在しない")</f>
        <v>存在しない</v>
      </c>
      <c r="N50" s="2" t="s">
        <v>1249</v>
      </c>
    </row>
    <row r="51" spans="1:14" hidden="1" outlineLevel="1" x14ac:dyDescent="0.4">
      <c r="A51" s="2">
        <v>4</v>
      </c>
      <c r="J51" s="6" t="str">
        <f>IFERROR(_xlfn.LET(_xlpm.v,
VLOOKUP($I51,効果!$A:$B,COLUMN(効果!B$1),FALSE),
IF(_xlpm.v=0,"",_xlpm.v)
),"")</f>
        <v/>
      </c>
      <c r="L51" s="15" t="str">
        <f>IF(OR(COUNTIF(クラス!$A$1:$A$1035, $B51),$B51="",COUNTIF(スキル一覧!$A$1:$A$3500, $B51)), "", "存在しない")</f>
        <v/>
      </c>
      <c r="M51" s="2" t="str">
        <f>IF(COUNTIF($B$1:$C50, $B51), "", "存在しない")</f>
        <v>存在しない</v>
      </c>
      <c r="N51" s="2" t="s">
        <v>1249</v>
      </c>
    </row>
    <row r="52" spans="1:14" hidden="1" outlineLevel="1" x14ac:dyDescent="0.4">
      <c r="A52" s="2">
        <v>5</v>
      </c>
      <c r="B52" s="2" t="s">
        <v>174</v>
      </c>
      <c r="C52" s="2" t="s">
        <v>175</v>
      </c>
      <c r="E52" s="13" t="s">
        <v>129</v>
      </c>
      <c r="G52" s="19">
        <v>50</v>
      </c>
      <c r="H52" s="10" t="s">
        <v>184</v>
      </c>
      <c r="J52" s="6" t="str">
        <f>IFERROR(_xlfn.LET(_xlpm.v,
VLOOKUP($I52,効果!$A:$B,COLUMN(効果!B$1),FALSE),
IF(_xlpm.v=0,"",_xlpm.v)
),"")</f>
        <v/>
      </c>
      <c r="L52" s="15" t="str">
        <f>IF(OR(COUNTIF(クラス!$A$1:$A$1035, $B52),$B52="",COUNTIF(スキル一覧!$A$1:$A$3500, $B52)), "", "存在しない")</f>
        <v/>
      </c>
      <c r="M52" s="2" t="str">
        <f>IF(COUNTIF($B$1:$C51, $B52), "", "存在しない")</f>
        <v>存在しない</v>
      </c>
      <c r="N52" s="2" t="s">
        <v>1249</v>
      </c>
    </row>
    <row r="53" spans="1:14" hidden="1" outlineLevel="1" x14ac:dyDescent="0.4">
      <c r="A53" s="2">
        <v>6</v>
      </c>
      <c r="E53" s="13" t="s">
        <v>130</v>
      </c>
      <c r="J53" s="6" t="str">
        <f>IFERROR(_xlfn.LET(_xlpm.v,
VLOOKUP($I53,効果!$A:$B,COLUMN(効果!B$1),FALSE),
IF(_xlpm.v=0,"",_xlpm.v)
),"")</f>
        <v/>
      </c>
      <c r="L53" s="15" t="str">
        <f>IF(OR(COUNTIF(クラス!$A$1:$A$1035, $B53),$B53="",COUNTIF(スキル一覧!$A$1:$A$3500, $B53)), "", "存在しない")</f>
        <v/>
      </c>
      <c r="M53" s="2" t="str">
        <f>IF(COUNTIF($B$1:$C52, $B53), "", "存在しない")</f>
        <v>存在しない</v>
      </c>
      <c r="N53" s="2" t="s">
        <v>1249</v>
      </c>
    </row>
    <row r="54" spans="1:14" hidden="1" outlineLevel="1" x14ac:dyDescent="0.4">
      <c r="A54" s="2">
        <v>7</v>
      </c>
      <c r="J54" s="6" t="str">
        <f>IFERROR(_xlfn.LET(_xlpm.v,
VLOOKUP($I54,効果!$A:$B,COLUMN(効果!B$1),FALSE),
IF(_xlpm.v=0,"",_xlpm.v)
),"")</f>
        <v/>
      </c>
      <c r="L54" s="15" t="str">
        <f>IF(OR(COUNTIF(クラス!$A$1:$A$1035, $B54),$B54="",COUNTIF(スキル一覧!$A$1:$A$3500, $B54)), "", "存在しない")</f>
        <v/>
      </c>
      <c r="M54" s="2" t="str">
        <f>IF(COUNTIF($B$1:$C53, $B54), "", "存在しない")</f>
        <v>存在しない</v>
      </c>
      <c r="N54" s="2" t="s">
        <v>1249</v>
      </c>
    </row>
    <row r="55" spans="1:14" hidden="1" outlineLevel="1" x14ac:dyDescent="0.4">
      <c r="A55" s="2">
        <v>8</v>
      </c>
      <c r="B55" s="2" t="s">
        <v>118</v>
      </c>
      <c r="C55" s="2" t="s">
        <v>119</v>
      </c>
      <c r="E55" s="13" t="s">
        <v>129</v>
      </c>
      <c r="G55" s="19">
        <v>40</v>
      </c>
      <c r="H55" s="10" t="s">
        <v>325</v>
      </c>
      <c r="J55" s="6" t="str">
        <f>IFERROR(_xlfn.LET(_xlpm.v,
VLOOKUP($I55,効果!$A:$B,COLUMN(効果!B$1),FALSE),
IF(_xlpm.v=0,"",_xlpm.v)
),"")</f>
        <v/>
      </c>
      <c r="L55" s="15" t="str">
        <f>IF(OR(COUNTIF(クラス!$A$1:$A$1035, $B55),$B55="",COUNTIF(スキル一覧!$A$1:$A$3500, $B55)), "", "存在しない")</f>
        <v/>
      </c>
      <c r="M55" s="2" t="str">
        <f>IF(COUNTIF($B$1:$C54, $B55), "", "存在しない")</f>
        <v>存在しない</v>
      </c>
      <c r="N55" s="2" t="s">
        <v>1249</v>
      </c>
    </row>
    <row r="56" spans="1:14" hidden="1" outlineLevel="1" x14ac:dyDescent="0.4">
      <c r="A56" s="2">
        <v>9</v>
      </c>
      <c r="B56" s="2" t="s">
        <v>210</v>
      </c>
      <c r="E56" s="13" t="s">
        <v>130</v>
      </c>
      <c r="H56" s="10" t="s">
        <v>181</v>
      </c>
      <c r="J56" s="6" t="str">
        <f>IFERROR(_xlfn.LET(_xlpm.v,
VLOOKUP($I56,効果!$A:$B,COLUMN(効果!B$1),FALSE),
IF(_xlpm.v=0,"",_xlpm.v)
),"")</f>
        <v/>
      </c>
      <c r="L56" s="15" t="str">
        <f>IF(OR(COUNTIF(クラス!$A$1:$A$1035, $B56),$B56="",COUNTIF(スキル一覧!$A$1:$A$3500, $B56)), "", "存在しない")</f>
        <v/>
      </c>
      <c r="M56" s="2" t="str">
        <f>IF(COUNTIF($B$1:$C55, $B56), "", "存在しない")</f>
        <v>存在しない</v>
      </c>
      <c r="N56" s="2" t="s">
        <v>1249</v>
      </c>
    </row>
    <row r="57" spans="1:14" ht="36" hidden="1" outlineLevel="1" x14ac:dyDescent="0.4">
      <c r="A57" s="2">
        <v>10</v>
      </c>
      <c r="B57" s="2" t="s">
        <v>179</v>
      </c>
      <c r="C57" s="2" t="s">
        <v>180</v>
      </c>
      <c r="E57" s="13" t="s">
        <v>129</v>
      </c>
      <c r="G57" s="19">
        <v>60</v>
      </c>
      <c r="H57" s="10" t="s">
        <v>183</v>
      </c>
      <c r="J57" s="6" t="str">
        <f>IFERROR(_xlfn.LET(_xlpm.v,
VLOOKUP($I57,効果!$A:$B,COLUMN(効果!B$1),FALSE),
IF(_xlpm.v=0,"",_xlpm.v)
),"")</f>
        <v/>
      </c>
      <c r="L57" s="15" t="str">
        <f>IF(OR(COUNTIF(クラス!$A$1:$A$1035, $B57),$B57="",COUNTIF(スキル一覧!$A$1:$A$3500, $B57)), "", "存在しない")</f>
        <v/>
      </c>
      <c r="M57" s="2" t="str">
        <f>IF(COUNTIF($B$1:$C56, $B57), "", "存在しない")</f>
        <v>存在しない</v>
      </c>
      <c r="N57" s="2" t="s">
        <v>1249</v>
      </c>
    </row>
    <row r="58" spans="1:14" hidden="1" outlineLevel="1" x14ac:dyDescent="0.4">
      <c r="J58" s="6" t="str">
        <f>IFERROR(_xlfn.LET(_xlpm.v,
VLOOKUP($I58,効果!$A:$B,COLUMN(効果!B$1),FALSE),
IF(_xlpm.v=0,"",_xlpm.v)
),"")</f>
        <v/>
      </c>
      <c r="L58" s="15" t="str">
        <f>IF(OR(COUNTIF(クラス!$A$1:$A$1035, $B58),$B58="",COUNTIF(スキル一覧!$A$1:$A$3500, $B58)), "", "存在しない")</f>
        <v/>
      </c>
      <c r="M58" s="2" t="str">
        <f>IF(COUNTIF($B$1:$C57, $B58), "", "存在しない")</f>
        <v>存在しない</v>
      </c>
      <c r="N58" s="2" t="s">
        <v>1249</v>
      </c>
    </row>
    <row r="59" spans="1:14" collapsed="1" x14ac:dyDescent="0.4">
      <c r="J59" s="6" t="str">
        <f>IFERROR(_xlfn.LET(_xlpm.v,
VLOOKUP($I59,効果!$A:$B,COLUMN(効果!B$1),FALSE),
IF(_xlpm.v=0,"",_xlpm.v)
),"")</f>
        <v/>
      </c>
      <c r="L59" s="15" t="str">
        <f>IF(OR(COUNTIF(クラス!$A$1:$A$1035, $B59),$B59="",COUNTIF(スキル一覧!$A$1:$A$3500, $B59)), "", "存在しない")</f>
        <v/>
      </c>
      <c r="M59" s="2" t="str">
        <f>IF(COUNTIF($B$1:$C58, $B59), "", "存在しない")</f>
        <v>存在しない</v>
      </c>
      <c r="N59" s="2" t="s">
        <v>1249</v>
      </c>
    </row>
    <row r="60" spans="1:14" x14ac:dyDescent="0.4">
      <c r="B60" s="2" t="s">
        <v>120</v>
      </c>
      <c r="J60" s="6" t="str">
        <f>IFERROR(_xlfn.LET(_xlpm.v,
VLOOKUP($I60,効果!$A:$B,COLUMN(効果!B$1),FALSE),
IF(_xlpm.v=0,"",_xlpm.v)
),"")</f>
        <v/>
      </c>
      <c r="L60" s="15" t="str">
        <f>IF(OR(COUNTIF(クラス!$A$1:$A$1035, $B60),$B60="",COUNTIF(スキル一覧!$A$1:$A$3500, $B60)), "", "存在しない")</f>
        <v/>
      </c>
      <c r="M60" s="2" t="str">
        <f>IF(COUNTIF($B$1:$C59, $B60), "", "存在しない")</f>
        <v>存在しない</v>
      </c>
      <c r="N60" s="2" t="s">
        <v>1249</v>
      </c>
    </row>
    <row r="61" spans="1:14" hidden="1" outlineLevel="1" x14ac:dyDescent="0.4">
      <c r="A61" s="2">
        <v>1</v>
      </c>
      <c r="J61" s="6" t="str">
        <f>IFERROR(_xlfn.LET(_xlpm.v,
VLOOKUP($I61,効果!$A:$B,COLUMN(効果!B$1),FALSE),
IF(_xlpm.v=0,"",_xlpm.v)
),"")</f>
        <v/>
      </c>
      <c r="L61" s="15" t="str">
        <f>IF(OR(COUNTIF(クラス!$A$1:$A$1035, $B61),$B61="",COUNTIF(スキル一覧!$A$1:$A$3500, $B61)), "", "存在しない")</f>
        <v/>
      </c>
      <c r="M61" s="2" t="str">
        <f>IF(COUNTIF($B$1:$C60, $B61), "", "存在しない")</f>
        <v>存在しない</v>
      </c>
      <c r="N61" s="2" t="s">
        <v>1249</v>
      </c>
    </row>
    <row r="62" spans="1:14" hidden="1" outlineLevel="1" x14ac:dyDescent="0.4">
      <c r="A62" s="2">
        <v>2</v>
      </c>
      <c r="B62" s="2" t="s">
        <v>174</v>
      </c>
      <c r="C62" s="2" t="s">
        <v>175</v>
      </c>
      <c r="E62" s="13" t="s">
        <v>129</v>
      </c>
      <c r="G62" s="19">
        <v>60</v>
      </c>
      <c r="H62" s="10" t="s">
        <v>182</v>
      </c>
      <c r="J62" s="6" t="str">
        <f>IFERROR(_xlfn.LET(_xlpm.v,
VLOOKUP($I62,効果!$A:$B,COLUMN(効果!B$1),FALSE),
IF(_xlpm.v=0,"",_xlpm.v)
),"")</f>
        <v/>
      </c>
      <c r="L62" s="15" t="str">
        <f>IF(OR(COUNTIF(クラス!$A$1:$A$1035, $B62),$B62="",COUNTIF(スキル一覧!$A$1:$A$3500, $B62)), "", "存在しない")</f>
        <v/>
      </c>
      <c r="M62" s="2" t="str">
        <f>IF(COUNTIF($B$1:$C61, $B62), "", "存在しない")</f>
        <v/>
      </c>
      <c r="N62" s="2" t="s">
        <v>1249</v>
      </c>
    </row>
    <row r="63" spans="1:14" hidden="1" outlineLevel="1" x14ac:dyDescent="0.4">
      <c r="A63" s="2">
        <v>3</v>
      </c>
      <c r="B63" s="2" t="s">
        <v>131</v>
      </c>
      <c r="E63" s="13" t="s">
        <v>130</v>
      </c>
      <c r="H63" s="10" t="s">
        <v>132</v>
      </c>
      <c r="J63" s="6" t="str">
        <f>IFERROR(_xlfn.LET(_xlpm.v,
VLOOKUP($I63,効果!$A:$B,COLUMN(効果!B$1),FALSE),
IF(_xlpm.v=0,"",_xlpm.v)
),"")</f>
        <v/>
      </c>
      <c r="L63" s="15" t="str">
        <f>IF(OR(COUNTIF(クラス!$A$1:$A$1035, $B63),$B63="",COUNTIF(スキル一覧!$A$1:$A$3500, $B63)), "", "存在しない")</f>
        <v/>
      </c>
      <c r="M63" s="2" t="str">
        <f>IF(COUNTIF($B$1:$C62, $B63), "", "存在しない")</f>
        <v/>
      </c>
      <c r="N63" s="2" t="s">
        <v>1249</v>
      </c>
    </row>
    <row r="64" spans="1:14" hidden="1" outlineLevel="1" x14ac:dyDescent="0.4">
      <c r="A64" s="2">
        <v>4</v>
      </c>
      <c r="J64" s="6" t="str">
        <f>IFERROR(_xlfn.LET(_xlpm.v,
VLOOKUP($I64,効果!$A:$B,COLUMN(効果!B$1),FALSE),
IF(_xlpm.v=0,"",_xlpm.v)
),"")</f>
        <v/>
      </c>
      <c r="L64" s="15" t="str">
        <f>IF(OR(COUNTIF(クラス!$A$1:$A$1035, $B64),$B64="",COUNTIF(スキル一覧!$A$1:$A$3500, $B64)), "", "存在しない")</f>
        <v/>
      </c>
      <c r="M64" s="2" t="str">
        <f>IF(COUNTIF($B$1:$C63, $B64), "", "存在しない")</f>
        <v>存在しない</v>
      </c>
      <c r="N64" s="2" t="s">
        <v>1249</v>
      </c>
    </row>
    <row r="65" spans="1:14" hidden="1" outlineLevel="1" x14ac:dyDescent="0.4">
      <c r="A65" s="2">
        <v>5</v>
      </c>
      <c r="B65" s="2" t="s">
        <v>172</v>
      </c>
      <c r="C65" s="2" t="s">
        <v>173</v>
      </c>
      <c r="E65" s="13" t="s">
        <v>129</v>
      </c>
      <c r="G65" s="19">
        <v>50</v>
      </c>
      <c r="H65" s="10" t="s">
        <v>184</v>
      </c>
      <c r="J65" s="6" t="str">
        <f>IFERROR(_xlfn.LET(_xlpm.v,
VLOOKUP($I65,効果!$A:$B,COLUMN(効果!B$1),FALSE),
IF(_xlpm.v=0,"",_xlpm.v)
),"")</f>
        <v/>
      </c>
      <c r="L65" s="15" t="str">
        <f>IF(OR(COUNTIF(クラス!$A$1:$A$1035, $B65),$B65="",COUNTIF(スキル一覧!$A$1:$A$3500, $B65)), "", "存在しない")</f>
        <v/>
      </c>
      <c r="M65" s="2" t="str">
        <f>IF(COUNTIF($B$1:$C64, $B65), "", "存在しない")</f>
        <v/>
      </c>
      <c r="N65" s="2" t="s">
        <v>1249</v>
      </c>
    </row>
    <row r="66" spans="1:14" hidden="1" outlineLevel="1" x14ac:dyDescent="0.4">
      <c r="A66" s="2">
        <v>6</v>
      </c>
      <c r="B66" s="2" t="s">
        <v>225</v>
      </c>
      <c r="E66" s="13" t="s">
        <v>130</v>
      </c>
      <c r="H66" s="10" t="s">
        <v>321</v>
      </c>
      <c r="J66" s="6" t="str">
        <f>IFERROR(_xlfn.LET(_xlpm.v,
VLOOKUP($I66,効果!$A:$B,COLUMN(効果!B$1),FALSE),
IF(_xlpm.v=0,"",_xlpm.v)
),"")</f>
        <v/>
      </c>
      <c r="L66" s="15" t="str">
        <f>IF(OR(COUNTIF(クラス!$A$1:$A$1035, $B66),$B66="",COUNTIF(スキル一覧!$A$1:$A$3500, $B66)), "", "存在しない")</f>
        <v/>
      </c>
      <c r="M66" s="2" t="str">
        <f>IF(COUNTIF($B$1:$C65, $B66), "", "存在しない")</f>
        <v>存在しない</v>
      </c>
      <c r="N66" s="2" t="s">
        <v>1249</v>
      </c>
    </row>
    <row r="67" spans="1:14" hidden="1" outlineLevel="1" x14ac:dyDescent="0.4">
      <c r="A67" s="2">
        <v>7</v>
      </c>
      <c r="J67" s="6" t="str">
        <f>IFERROR(_xlfn.LET(_xlpm.v,
VLOOKUP($I67,効果!$A:$B,COLUMN(効果!B$1),FALSE),
IF(_xlpm.v=0,"",_xlpm.v)
),"")</f>
        <v/>
      </c>
      <c r="L67" s="15" t="str">
        <f>IF(OR(COUNTIF(クラス!$A$1:$A$1035, $B67),$B67="",COUNTIF(スキル一覧!$A$1:$A$3500, $B67)), "", "存在しない")</f>
        <v/>
      </c>
      <c r="M67" s="2" t="str">
        <f>IF(COUNTIF($B$1:$C66, $B67), "", "存在しない")</f>
        <v>存在しない</v>
      </c>
      <c r="N67" s="2" t="s">
        <v>1249</v>
      </c>
    </row>
    <row r="68" spans="1:14" hidden="1" outlineLevel="1" x14ac:dyDescent="0.4">
      <c r="A68" s="2">
        <v>8</v>
      </c>
      <c r="B68" s="2" t="s">
        <v>118</v>
      </c>
      <c r="C68" s="2" t="s">
        <v>119</v>
      </c>
      <c r="E68" s="13" t="s">
        <v>129</v>
      </c>
      <c r="G68" s="19">
        <v>40</v>
      </c>
      <c r="H68" s="10" t="s">
        <v>325</v>
      </c>
      <c r="J68" s="6" t="str">
        <f>IFERROR(_xlfn.LET(_xlpm.v,
VLOOKUP($I68,効果!$A:$B,COLUMN(効果!B$1),FALSE),
IF(_xlpm.v=0,"",_xlpm.v)
),"")</f>
        <v/>
      </c>
      <c r="L68" s="15" t="str">
        <f>IF(OR(COUNTIF(クラス!$A$1:$A$1035, $B68),$B68="",COUNTIF(スキル一覧!$A$1:$A$3500, $B68)), "", "存在しない")</f>
        <v/>
      </c>
      <c r="M68" s="2" t="str">
        <f>IF(COUNTIF($B$1:$C67, $B68), "", "存在しない")</f>
        <v/>
      </c>
      <c r="N68" s="2" t="s">
        <v>1249</v>
      </c>
    </row>
    <row r="69" spans="1:14" hidden="1" outlineLevel="1" x14ac:dyDescent="0.4">
      <c r="A69" s="2">
        <v>9</v>
      </c>
      <c r="B69" s="2" t="s">
        <v>211</v>
      </c>
      <c r="E69" s="13" t="s">
        <v>130</v>
      </c>
      <c r="H69" s="10" t="s">
        <v>212</v>
      </c>
      <c r="J69" s="6" t="str">
        <f>IFERROR(_xlfn.LET(_xlpm.v,
VLOOKUP($I69,効果!$A:$B,COLUMN(効果!B$1),FALSE),
IF(_xlpm.v=0,"",_xlpm.v)
),"")</f>
        <v/>
      </c>
      <c r="L69" s="15" t="str">
        <f>IF(OR(COUNTIF(クラス!$A$1:$A$1035, $B69),$B69="",COUNTIF(スキル一覧!$A$1:$A$3500, $B69)), "", "存在しない")</f>
        <v/>
      </c>
      <c r="M69" s="2" t="str">
        <f>IF(COUNTIF($B$1:$C68, $B69), "", "存在しない")</f>
        <v>存在しない</v>
      </c>
      <c r="N69" s="2" t="s">
        <v>1249</v>
      </c>
    </row>
    <row r="70" spans="1:14" ht="36" hidden="1" outlineLevel="1" x14ac:dyDescent="0.4">
      <c r="A70" s="2">
        <v>10</v>
      </c>
      <c r="B70" s="2" t="s">
        <v>179</v>
      </c>
      <c r="C70" s="2" t="s">
        <v>180</v>
      </c>
      <c r="E70" s="13" t="s">
        <v>129</v>
      </c>
      <c r="G70" s="19">
        <v>60</v>
      </c>
      <c r="H70" s="10" t="s">
        <v>183</v>
      </c>
      <c r="J70" s="6" t="str">
        <f>IFERROR(_xlfn.LET(_xlpm.v,
VLOOKUP($I70,効果!$A:$B,COLUMN(効果!B$1),FALSE),
IF(_xlpm.v=0,"",_xlpm.v)
),"")</f>
        <v/>
      </c>
      <c r="L70" s="15" t="str">
        <f>IF(OR(COUNTIF(クラス!$A$1:$A$1035, $B70),$B70="",COUNTIF(スキル一覧!$A$1:$A$3500, $B70)), "", "存在しない")</f>
        <v/>
      </c>
      <c r="M70" s="2" t="str">
        <f>IF(COUNTIF($B$1:$C69, $B70), "", "存在しない")</f>
        <v/>
      </c>
      <c r="N70" s="2" t="s">
        <v>1249</v>
      </c>
    </row>
    <row r="71" spans="1:14" hidden="1" outlineLevel="1" x14ac:dyDescent="0.4">
      <c r="J71" s="6" t="str">
        <f>IFERROR(_xlfn.LET(_xlpm.v,
VLOOKUP($I71,効果!$A:$B,COLUMN(効果!B$1),FALSE),
IF(_xlpm.v=0,"",_xlpm.v)
),"")</f>
        <v/>
      </c>
      <c r="L71" s="15" t="str">
        <f>IF(OR(COUNTIF(クラス!$A$1:$A$1035, $B71),$B71="",COUNTIF(スキル一覧!$A$1:$A$3500, $B71)), "", "存在しない")</f>
        <v/>
      </c>
      <c r="M71" s="2" t="str">
        <f>IF(COUNTIF($B$1:$C70, $B71), "", "存在しない")</f>
        <v>存在しない</v>
      </c>
      <c r="N71" s="2" t="s">
        <v>1249</v>
      </c>
    </row>
    <row r="72" spans="1:14" collapsed="1" x14ac:dyDescent="0.4">
      <c r="J72" s="6" t="str">
        <f>IFERROR(_xlfn.LET(_xlpm.v,
VLOOKUP($I72,効果!$A:$B,COLUMN(効果!B$1),FALSE),
IF(_xlpm.v=0,"",_xlpm.v)
),"")</f>
        <v/>
      </c>
      <c r="L72" s="15" t="str">
        <f>IF(OR(COUNTIF(クラス!$A$1:$A$1035, $B72),$B72="",COUNTIF(スキル一覧!$A$1:$A$3500, $B72)), "", "存在しない")</f>
        <v/>
      </c>
      <c r="M72" s="2" t="str">
        <f>IF(COUNTIF($B$1:$C71, $B72), "", "存在しない")</f>
        <v>存在しない</v>
      </c>
      <c r="N72" s="2" t="s">
        <v>1249</v>
      </c>
    </row>
    <row r="73" spans="1:14" x14ac:dyDescent="0.4">
      <c r="B73" s="2" t="s">
        <v>121</v>
      </c>
      <c r="J73" s="6" t="str">
        <f>IFERROR(_xlfn.LET(_xlpm.v,
VLOOKUP($I73,効果!$A:$B,COLUMN(効果!B$1),FALSE),
IF(_xlpm.v=0,"",_xlpm.v)
),"")</f>
        <v/>
      </c>
      <c r="L73" s="15" t="str">
        <f>IF(OR(COUNTIF(クラス!$A$1:$A$1035, $B73),$B73="",COUNTIF(スキル一覧!$A$1:$A$3500, $B73)), "", "存在しない")</f>
        <v/>
      </c>
      <c r="M73" s="2" t="str">
        <f>IF(COUNTIF($B$1:$C72, $B73), "", "存在しない")</f>
        <v>存在しない</v>
      </c>
      <c r="N73" s="2" t="s">
        <v>1249</v>
      </c>
    </row>
    <row r="74" spans="1:14" hidden="1" outlineLevel="1" x14ac:dyDescent="0.4">
      <c r="A74" s="2">
        <v>1</v>
      </c>
      <c r="J74" s="6" t="str">
        <f>IFERROR(_xlfn.LET(_xlpm.v,
VLOOKUP($I74,効果!$A:$B,COLUMN(効果!B$1),FALSE),
IF(_xlpm.v=0,"",_xlpm.v)
),"")</f>
        <v/>
      </c>
      <c r="L74" s="15" t="str">
        <f>IF(OR(COUNTIF(クラス!$A$1:$A$1035, $B74),$B74="",COUNTIF(スキル一覧!$A$1:$A$3500, $B74)), "", "存在しない")</f>
        <v/>
      </c>
      <c r="M74" s="2" t="str">
        <f>IF(COUNTIF($B$1:$C73, $B74), "", "存在しない")</f>
        <v>存在しない</v>
      </c>
      <c r="N74" s="2" t="s">
        <v>1249</v>
      </c>
    </row>
    <row r="75" spans="1:14" hidden="1" outlineLevel="1" x14ac:dyDescent="0.4">
      <c r="A75" s="2">
        <v>2</v>
      </c>
      <c r="B75" s="2" t="s">
        <v>172</v>
      </c>
      <c r="C75" s="2" t="s">
        <v>173</v>
      </c>
      <c r="E75" s="13" t="s">
        <v>129</v>
      </c>
      <c r="G75" s="19">
        <v>60</v>
      </c>
      <c r="H75" s="10" t="s">
        <v>182</v>
      </c>
      <c r="J75" s="6" t="str">
        <f>IFERROR(_xlfn.LET(_xlpm.v,
VLOOKUP($I75,効果!$A:$B,COLUMN(効果!B$1),FALSE),
IF(_xlpm.v=0,"",_xlpm.v)
),"")</f>
        <v/>
      </c>
      <c r="L75" s="15" t="str">
        <f>IF(OR(COUNTIF(クラス!$A$1:$A$1035, $B75),$B75="",COUNTIF(スキル一覧!$A$1:$A$3500, $B75)), "", "存在しない")</f>
        <v/>
      </c>
      <c r="M75" s="2" t="str">
        <f>IF(COUNTIF($B$1:$C74, $B75), "", "存在しない")</f>
        <v/>
      </c>
      <c r="N75" s="2" t="s">
        <v>1249</v>
      </c>
    </row>
    <row r="76" spans="1:14" hidden="1" outlineLevel="1" x14ac:dyDescent="0.4">
      <c r="A76" s="2">
        <v>3</v>
      </c>
      <c r="B76" s="2" t="s">
        <v>131</v>
      </c>
      <c r="E76" s="13" t="s">
        <v>130</v>
      </c>
      <c r="H76" s="10" t="s">
        <v>132</v>
      </c>
      <c r="J76" s="6" t="str">
        <f>IFERROR(_xlfn.LET(_xlpm.v,
VLOOKUP($I76,効果!$A:$B,COLUMN(効果!B$1),FALSE),
IF(_xlpm.v=0,"",_xlpm.v)
),"")</f>
        <v/>
      </c>
      <c r="L76" s="15" t="str">
        <f>IF(OR(COUNTIF(クラス!$A$1:$A$1035, $B76),$B76="",COUNTIF(スキル一覧!$A$1:$A$3500, $B76)), "", "存在しない")</f>
        <v/>
      </c>
      <c r="M76" s="2" t="str">
        <f>IF(COUNTIF($B$1:$C75, $B76), "", "存在しない")</f>
        <v/>
      </c>
      <c r="N76" s="2" t="s">
        <v>1249</v>
      </c>
    </row>
    <row r="77" spans="1:14" hidden="1" outlineLevel="1" x14ac:dyDescent="0.4">
      <c r="A77" s="2">
        <v>4</v>
      </c>
      <c r="J77" s="6" t="str">
        <f>IFERROR(_xlfn.LET(_xlpm.v,
VLOOKUP($I77,効果!$A:$B,COLUMN(効果!B$1),FALSE),
IF(_xlpm.v=0,"",_xlpm.v)
),"")</f>
        <v/>
      </c>
      <c r="L77" s="15" t="str">
        <f>IF(OR(COUNTIF(クラス!$A$1:$A$1035, $B77),$B77="",COUNTIF(スキル一覧!$A$1:$A$3500, $B77)), "", "存在しない")</f>
        <v/>
      </c>
      <c r="M77" s="2" t="str">
        <f>IF(COUNTIF($B$1:$C76, $B77), "", "存在しない")</f>
        <v>存在しない</v>
      </c>
      <c r="N77" s="2" t="s">
        <v>1249</v>
      </c>
    </row>
    <row r="78" spans="1:14" ht="36" hidden="1" outlineLevel="1" x14ac:dyDescent="0.4">
      <c r="A78" s="2">
        <v>5</v>
      </c>
      <c r="B78" s="2" t="s">
        <v>213</v>
      </c>
      <c r="C78" s="2" t="s">
        <v>214</v>
      </c>
      <c r="E78" s="13" t="s">
        <v>129</v>
      </c>
      <c r="G78" s="19">
        <v>40</v>
      </c>
      <c r="H78" s="10" t="s">
        <v>215</v>
      </c>
      <c r="J78" s="6" t="str">
        <f>IFERROR(_xlfn.LET(_xlpm.v,
VLOOKUP($I78,効果!$A:$B,COLUMN(効果!B$1),FALSE),
IF(_xlpm.v=0,"",_xlpm.v)
),"")</f>
        <v/>
      </c>
      <c r="L78" s="15" t="str">
        <f>IF(OR(COUNTIF(クラス!$A$1:$A$1035, $B78),$B78="",COUNTIF(スキル一覧!$A$1:$A$3500, $B78)), "", "存在しない")</f>
        <v/>
      </c>
      <c r="M78" s="2" t="str">
        <f>IF(COUNTIF($B$1:$C77, $B78), "", "存在しない")</f>
        <v>存在しない</v>
      </c>
      <c r="N78" s="2" t="s">
        <v>1249</v>
      </c>
    </row>
    <row r="79" spans="1:14" hidden="1" outlineLevel="1" x14ac:dyDescent="0.4">
      <c r="A79" s="2">
        <v>6</v>
      </c>
      <c r="E79" s="13" t="s">
        <v>130</v>
      </c>
      <c r="J79" s="6" t="str">
        <f>IFERROR(_xlfn.LET(_xlpm.v,
VLOOKUP($I79,効果!$A:$B,COLUMN(効果!B$1),FALSE),
IF(_xlpm.v=0,"",_xlpm.v)
),"")</f>
        <v/>
      </c>
      <c r="L79" s="15" t="str">
        <f>IF(OR(COUNTIF(クラス!$A$1:$A$1035, $B79),$B79="",COUNTIF(スキル一覧!$A$1:$A$3500, $B79)), "", "存在しない")</f>
        <v/>
      </c>
      <c r="M79" s="2" t="str">
        <f>IF(COUNTIF($B$1:$C78, $B79), "", "存在しない")</f>
        <v>存在しない</v>
      </c>
      <c r="N79" s="2" t="s">
        <v>1249</v>
      </c>
    </row>
    <row r="80" spans="1:14" hidden="1" outlineLevel="1" x14ac:dyDescent="0.4">
      <c r="A80" s="2">
        <v>7</v>
      </c>
      <c r="J80" s="6" t="str">
        <f>IFERROR(_xlfn.LET(_xlpm.v,
VLOOKUP($I80,効果!$A:$B,COLUMN(効果!B$1),FALSE),
IF(_xlpm.v=0,"",_xlpm.v)
),"")</f>
        <v/>
      </c>
      <c r="L80" s="15" t="str">
        <f>IF(OR(COUNTIF(クラス!$A$1:$A$1035, $B80),$B80="",COUNTIF(スキル一覧!$A$1:$A$3500, $B80)), "", "存在しない")</f>
        <v/>
      </c>
      <c r="M80" s="2" t="str">
        <f>IF(COUNTIF($B$1:$C79, $B80), "", "存在しない")</f>
        <v>存在しない</v>
      </c>
      <c r="N80" s="2" t="s">
        <v>1249</v>
      </c>
    </row>
    <row r="81" spans="1:14" hidden="1" outlineLevel="1" x14ac:dyDescent="0.4">
      <c r="A81" s="2">
        <v>8</v>
      </c>
      <c r="B81" s="2" t="s">
        <v>118</v>
      </c>
      <c r="C81" s="2" t="s">
        <v>119</v>
      </c>
      <c r="E81" s="13" t="s">
        <v>129</v>
      </c>
      <c r="G81" s="19">
        <v>40</v>
      </c>
      <c r="H81" s="10" t="s">
        <v>325</v>
      </c>
      <c r="J81" s="6" t="str">
        <f>IFERROR(_xlfn.LET(_xlpm.v,
VLOOKUP($I81,効果!$A:$B,COLUMN(効果!B$1),FALSE),
IF(_xlpm.v=0,"",_xlpm.v)
),"")</f>
        <v/>
      </c>
      <c r="L81" s="15" t="str">
        <f>IF(OR(COUNTIF(クラス!$A$1:$A$1035, $B81),$B81="",COUNTIF(スキル一覧!$A$1:$A$3500, $B81)), "", "存在しない")</f>
        <v/>
      </c>
      <c r="M81" s="2" t="str">
        <f>IF(COUNTIF($B$1:$C80, $B81), "", "存在しない")</f>
        <v/>
      </c>
      <c r="N81" s="2" t="s">
        <v>1249</v>
      </c>
    </row>
    <row r="82" spans="1:14" hidden="1" outlineLevel="1" x14ac:dyDescent="0.4">
      <c r="A82" s="2">
        <v>9</v>
      </c>
      <c r="B82" s="2" t="s">
        <v>210</v>
      </c>
      <c r="E82" s="13" t="s">
        <v>130</v>
      </c>
      <c r="H82" s="10" t="s">
        <v>181</v>
      </c>
      <c r="J82" s="6" t="str">
        <f>IFERROR(_xlfn.LET(_xlpm.v,
VLOOKUP($I82,効果!$A:$B,COLUMN(効果!B$1),FALSE),
IF(_xlpm.v=0,"",_xlpm.v)
),"")</f>
        <v/>
      </c>
      <c r="L82" s="15" t="str">
        <f>IF(OR(COUNTIF(クラス!$A$1:$A$1035, $B82),$B82="",COUNTIF(スキル一覧!$A$1:$A$3500, $B82)), "", "存在しない")</f>
        <v/>
      </c>
      <c r="M82" s="2" t="str">
        <f>IF(COUNTIF($B$1:$C81, $B82), "", "存在しない")</f>
        <v/>
      </c>
      <c r="N82" s="2" t="s">
        <v>1249</v>
      </c>
    </row>
    <row r="83" spans="1:14" ht="36" hidden="1" outlineLevel="1" x14ac:dyDescent="0.4">
      <c r="A83" s="2">
        <v>10</v>
      </c>
      <c r="B83" s="2" t="s">
        <v>179</v>
      </c>
      <c r="C83" s="2" t="s">
        <v>180</v>
      </c>
      <c r="E83" s="13" t="s">
        <v>129</v>
      </c>
      <c r="G83" s="19">
        <v>60</v>
      </c>
      <c r="H83" s="10" t="s">
        <v>183</v>
      </c>
      <c r="J83" s="6" t="str">
        <f>IFERROR(_xlfn.LET(_xlpm.v,
VLOOKUP($I83,効果!$A:$B,COLUMN(効果!B$1),FALSE),
IF(_xlpm.v=0,"",_xlpm.v)
),"")</f>
        <v/>
      </c>
      <c r="L83" s="15" t="str">
        <f>IF(OR(COUNTIF(クラス!$A$1:$A$1035, $B83),$B83="",COUNTIF(スキル一覧!$A$1:$A$3500, $B83)), "", "存在しない")</f>
        <v/>
      </c>
      <c r="M83" s="2" t="str">
        <f>IF(COUNTIF($B$1:$C82, $B83), "", "存在しない")</f>
        <v/>
      </c>
      <c r="N83" s="2" t="s">
        <v>1249</v>
      </c>
    </row>
    <row r="84" spans="1:14" hidden="1" outlineLevel="1" x14ac:dyDescent="0.4">
      <c r="J84" s="6" t="str">
        <f>IFERROR(_xlfn.LET(_xlpm.v,
VLOOKUP($I84,効果!$A:$B,COLUMN(効果!B$1),FALSE),
IF(_xlpm.v=0,"",_xlpm.v)
),"")</f>
        <v/>
      </c>
      <c r="L84" s="15" t="str">
        <f>IF(OR(COUNTIF(クラス!$A$1:$A$1035, $B84),$B84="",COUNTIF(スキル一覧!$A$1:$A$3500, $B84)), "", "存在しない")</f>
        <v/>
      </c>
      <c r="M84" s="2" t="str">
        <f>IF(COUNTIF($B$1:$C83, $B84), "", "存在しない")</f>
        <v>存在しない</v>
      </c>
      <c r="N84" s="2" t="s">
        <v>1249</v>
      </c>
    </row>
    <row r="85" spans="1:14" collapsed="1" x14ac:dyDescent="0.4">
      <c r="J85" s="6" t="str">
        <f>IFERROR(_xlfn.LET(_xlpm.v,
VLOOKUP($I85,効果!$A:$B,COLUMN(効果!B$1),FALSE),
IF(_xlpm.v=0,"",_xlpm.v)
),"")</f>
        <v/>
      </c>
      <c r="L85" s="15" t="str">
        <f>IF(OR(COUNTIF(クラス!$A$1:$A$1035, $B85),$B85="",COUNTIF(スキル一覧!$A$1:$A$3500, $B85)), "", "存在しない")</f>
        <v/>
      </c>
      <c r="M85" s="2" t="str">
        <f>IF(COUNTIF($B$1:$C84, $B85), "", "存在しない")</f>
        <v>存在しない</v>
      </c>
      <c r="N85" s="2" t="s">
        <v>1249</v>
      </c>
    </row>
    <row r="86" spans="1:14" x14ac:dyDescent="0.4">
      <c r="B86" s="2" t="s">
        <v>1223</v>
      </c>
      <c r="C86" s="2" t="s">
        <v>1224</v>
      </c>
      <c r="J86" s="6" t="str">
        <f>IFERROR(_xlfn.LET(_xlpm.v,
VLOOKUP($I86,効果!$A:$B,COLUMN(効果!B$1),FALSE),
IF(_xlpm.v=0,"",_xlpm.v)
),"")</f>
        <v/>
      </c>
      <c r="L86" s="15" t="str">
        <f>IF(OR(COUNTIF(クラス!$A$1:$A$1035, $B86),$B86="",COUNTIF(スキル一覧!$A$1:$A$3500, $B86)), "", "存在しない")</f>
        <v>存在しない</v>
      </c>
      <c r="M86" s="2" t="str">
        <f>IF(COUNTIF($B$1:$C85, $B86), "", "存在しない")</f>
        <v>存在しない</v>
      </c>
      <c r="N86" s="2" t="s">
        <v>1249</v>
      </c>
    </row>
    <row r="87" spans="1:14" outlineLevel="1" x14ac:dyDescent="0.4">
      <c r="A87" s="2">
        <v>1</v>
      </c>
      <c r="J87" s="6" t="str">
        <f>IFERROR(_xlfn.LET(_xlpm.v,
VLOOKUP($I87,効果!$A:$B,COLUMN(効果!B$1),FALSE),
IF(_xlpm.v=0,"",_xlpm.v)
),"")</f>
        <v/>
      </c>
      <c r="L87" s="15" t="str">
        <f>IF(OR(COUNTIF(クラス!$A$1:$A$1035, $B87),$B87="",COUNTIF(スキル一覧!$A$1:$A$3500, $B87)), "", "存在しない")</f>
        <v/>
      </c>
      <c r="M87" s="2" t="str">
        <f>IF(COUNTIF($B$1:$C86, $B87), "", "存在しない")</f>
        <v>存在しない</v>
      </c>
      <c r="N87" s="2" t="s">
        <v>1249</v>
      </c>
    </row>
    <row r="88" spans="1:14" outlineLevel="1" x14ac:dyDescent="0.4">
      <c r="A88" s="2">
        <v>2</v>
      </c>
      <c r="B88" s="2" t="s">
        <v>172</v>
      </c>
      <c r="C88" s="2" t="s">
        <v>173</v>
      </c>
      <c r="E88" s="13" t="s">
        <v>129</v>
      </c>
      <c r="G88" s="19">
        <v>60</v>
      </c>
      <c r="H88" s="10" t="s">
        <v>1225</v>
      </c>
      <c r="J88" s="6" t="str">
        <f>IFERROR(_xlfn.LET(_xlpm.v,
VLOOKUP($I88,効果!$A:$B,COLUMN(効果!B$1),FALSE),
IF(_xlpm.v=0,"",_xlpm.v)
),"")</f>
        <v/>
      </c>
      <c r="L88" s="15" t="str">
        <f>IF(OR(COUNTIF(クラス!$A$1:$A$1035, $B88),$B88="",COUNTIF(スキル一覧!$A$1:$A$3500, $B88)), "", "存在しない")</f>
        <v/>
      </c>
      <c r="M88" s="2" t="str">
        <f>IF(COUNTIF($B$1:$C87, $B88), "", "存在しない")</f>
        <v/>
      </c>
      <c r="N88" s="2" t="s">
        <v>1249</v>
      </c>
    </row>
    <row r="89" spans="1:14" outlineLevel="1" x14ac:dyDescent="0.4">
      <c r="A89" s="2">
        <v>3</v>
      </c>
      <c r="B89" s="2" t="s">
        <v>1226</v>
      </c>
      <c r="E89" s="13" t="s">
        <v>130</v>
      </c>
      <c r="H89" s="10" t="s">
        <v>1227</v>
      </c>
      <c r="J89" s="6" t="str">
        <f>IFERROR(_xlfn.LET(_xlpm.v,
VLOOKUP($I89,効果!$A:$B,COLUMN(効果!B$1),FALSE),
IF(_xlpm.v=0,"",_xlpm.v)
),"")</f>
        <v/>
      </c>
      <c r="L89" s="15" t="str">
        <f>IF(OR(COUNTIF(クラス!$A$1:$A$1035, $B89),$B89="",COUNTIF(スキル一覧!$A$1:$A$3500, $B89)), "", "存在しない")</f>
        <v>存在しない</v>
      </c>
      <c r="M89" s="2" t="str">
        <f>IF(COUNTIF($B$1:$C88, $B89), "", "存在しない")</f>
        <v>存在しない</v>
      </c>
      <c r="N89" s="2" t="e">
        <v>#VALUE!</v>
      </c>
    </row>
    <row r="90" spans="1:14" outlineLevel="1" x14ac:dyDescent="0.4">
      <c r="A90" s="2">
        <v>4</v>
      </c>
      <c r="J90" s="6" t="str">
        <f>IFERROR(_xlfn.LET(_xlpm.v,
VLOOKUP($I90,効果!$A:$B,COLUMN(効果!B$1),FALSE),
IF(_xlpm.v=0,"",_xlpm.v)
),"")</f>
        <v/>
      </c>
      <c r="L90" s="15" t="str">
        <f>IF(OR(COUNTIF(クラス!$A$1:$A$1035, $B90),$B90="",COUNTIF(スキル一覧!$A$1:$A$3500, $B90)), "", "存在しない")</f>
        <v/>
      </c>
      <c r="M90" s="2" t="str">
        <f>IF(COUNTIF($B$1:$C89, $B90), "", "存在しない")</f>
        <v>存在しない</v>
      </c>
      <c r="N90" s="2" t="s">
        <v>1249</v>
      </c>
    </row>
    <row r="91" spans="1:14" ht="36" outlineLevel="1" x14ac:dyDescent="0.4">
      <c r="A91" s="2">
        <v>5</v>
      </c>
      <c r="B91" s="2" t="s">
        <v>213</v>
      </c>
      <c r="C91" s="2" t="s">
        <v>214</v>
      </c>
      <c r="E91" s="13" t="s">
        <v>129</v>
      </c>
      <c r="G91" s="19">
        <v>40</v>
      </c>
      <c r="H91" s="10" t="s">
        <v>215</v>
      </c>
      <c r="J91" s="6" t="str">
        <f>IFERROR(_xlfn.LET(_xlpm.v,
VLOOKUP($I91,効果!$A:$B,COLUMN(効果!B$1),FALSE),
IF(_xlpm.v=0,"",_xlpm.v)
),"")</f>
        <v/>
      </c>
      <c r="L91" s="15" t="str">
        <f>IF(OR(COUNTIF(クラス!$A$1:$A$1035, $B91),$B91="",COUNTIF(スキル一覧!$A$1:$A$3500, $B91)), "", "存在しない")</f>
        <v/>
      </c>
      <c r="M91" s="2" t="str">
        <f>IF(COUNTIF($B$1:$C90, $B91), "", "存在しない")</f>
        <v/>
      </c>
      <c r="N91" s="2" t="s">
        <v>1249</v>
      </c>
    </row>
    <row r="92" spans="1:14" outlineLevel="1" x14ac:dyDescent="0.4">
      <c r="A92" s="2">
        <v>6</v>
      </c>
      <c r="E92" s="13" t="s">
        <v>130</v>
      </c>
      <c r="J92" s="6" t="str">
        <f>IFERROR(_xlfn.LET(_xlpm.v,
VLOOKUP($I92,効果!$A:$B,COLUMN(効果!B$1),FALSE),
IF(_xlpm.v=0,"",_xlpm.v)
),"")</f>
        <v/>
      </c>
      <c r="L92" s="15" t="str">
        <f>IF(OR(COUNTIF(クラス!$A$1:$A$1035, $B92),$B92="",COUNTIF(スキル一覧!$A$1:$A$3500, $B92)), "", "存在しない")</f>
        <v/>
      </c>
      <c r="M92" s="2" t="str">
        <f>IF(COUNTIF($B$1:$C91, $B92), "", "存在しない")</f>
        <v>存在しない</v>
      </c>
      <c r="N92" s="2" t="s">
        <v>1249</v>
      </c>
    </row>
    <row r="93" spans="1:14" outlineLevel="1" x14ac:dyDescent="0.4">
      <c r="A93" s="2">
        <v>7</v>
      </c>
      <c r="J93" s="6" t="str">
        <f>IFERROR(_xlfn.LET(_xlpm.v,
VLOOKUP($I93,効果!$A:$B,COLUMN(効果!B$1),FALSE),
IF(_xlpm.v=0,"",_xlpm.v)
),"")</f>
        <v/>
      </c>
      <c r="L93" s="15" t="str">
        <f>IF(OR(COUNTIF(クラス!$A$1:$A$1035, $B93),$B93="",COUNTIF(スキル一覧!$A$1:$A$3500, $B93)), "", "存在しない")</f>
        <v/>
      </c>
      <c r="M93" s="2" t="str">
        <f>IF(COUNTIF($B$1:$C92, $B93), "", "存在しない")</f>
        <v>存在しない</v>
      </c>
      <c r="N93" s="2" t="s">
        <v>1249</v>
      </c>
    </row>
    <row r="94" spans="1:14" outlineLevel="1" x14ac:dyDescent="0.4">
      <c r="A94" s="2">
        <v>8</v>
      </c>
      <c r="B94" s="2" t="s">
        <v>118</v>
      </c>
      <c r="C94" s="2" t="s">
        <v>119</v>
      </c>
      <c r="E94" s="13" t="s">
        <v>129</v>
      </c>
      <c r="G94" s="19">
        <v>40</v>
      </c>
      <c r="H94" s="10" t="s">
        <v>325</v>
      </c>
      <c r="J94" s="6" t="str">
        <f>IFERROR(_xlfn.LET(_xlpm.v,
VLOOKUP($I94,効果!$A:$B,COLUMN(効果!B$1),FALSE),
IF(_xlpm.v=0,"",_xlpm.v)
),"")</f>
        <v/>
      </c>
      <c r="L94" s="15" t="str">
        <f>IF(OR(COUNTIF(クラス!$A$1:$A$1035, $B94),$B94="",COUNTIF(スキル一覧!$A$1:$A$3500, $B94)), "", "存在しない")</f>
        <v/>
      </c>
      <c r="M94" s="2" t="str">
        <f>IF(COUNTIF($B$1:$C93, $B94), "", "存在しない")</f>
        <v/>
      </c>
      <c r="N94" s="2" t="s">
        <v>1249</v>
      </c>
    </row>
    <row r="95" spans="1:14" outlineLevel="1" x14ac:dyDescent="0.4">
      <c r="A95" s="2">
        <v>9</v>
      </c>
      <c r="B95" s="2" t="s">
        <v>210</v>
      </c>
      <c r="E95" s="13" t="s">
        <v>130</v>
      </c>
      <c r="H95" s="10" t="s">
        <v>181</v>
      </c>
      <c r="J95" s="6" t="str">
        <f>IFERROR(_xlfn.LET(_xlpm.v,
VLOOKUP($I95,効果!$A:$B,COLUMN(効果!B$1),FALSE),
IF(_xlpm.v=0,"",_xlpm.v)
),"")</f>
        <v/>
      </c>
      <c r="L95" s="15" t="str">
        <f>IF(OR(COUNTIF(クラス!$A$1:$A$1035, $B95),$B95="",COUNTIF(スキル一覧!$A$1:$A$3500, $B95)), "", "存在しない")</f>
        <v/>
      </c>
      <c r="M95" s="2" t="str">
        <f>IF(COUNTIF($B$1:$C94, $B95), "", "存在しない")</f>
        <v/>
      </c>
      <c r="N95" s="2" t="s">
        <v>1249</v>
      </c>
    </row>
    <row r="96" spans="1:14" ht="36" outlineLevel="1" x14ac:dyDescent="0.4">
      <c r="A96" s="2">
        <v>10</v>
      </c>
      <c r="B96" s="2" t="s">
        <v>179</v>
      </c>
      <c r="C96" s="2" t="s">
        <v>180</v>
      </c>
      <c r="E96" s="13" t="s">
        <v>129</v>
      </c>
      <c r="G96" s="19">
        <v>60</v>
      </c>
      <c r="H96" s="10" t="s">
        <v>183</v>
      </c>
      <c r="J96" s="6" t="str">
        <f>IFERROR(_xlfn.LET(_xlpm.v,
VLOOKUP($I96,効果!$A:$B,COLUMN(効果!B$1),FALSE),
IF(_xlpm.v=0,"",_xlpm.v)
),"")</f>
        <v/>
      </c>
      <c r="L96" s="15" t="str">
        <f>IF(OR(COUNTIF(クラス!$A$1:$A$1035, $B96),$B96="",COUNTIF(スキル一覧!$A$1:$A$3500, $B96)), "", "存在しない")</f>
        <v/>
      </c>
      <c r="M96" s="2" t="str">
        <f>IF(COUNTIF($B$1:$C95, $B96), "", "存在しない")</f>
        <v/>
      </c>
      <c r="N96" s="2" t="s">
        <v>1249</v>
      </c>
    </row>
    <row r="97" spans="1:14" outlineLevel="1" x14ac:dyDescent="0.4">
      <c r="J97" s="6" t="str">
        <f>IFERROR(_xlfn.LET(_xlpm.v,
VLOOKUP($I97,効果!$A:$B,COLUMN(効果!B$1),FALSE),
IF(_xlpm.v=0,"",_xlpm.v)
),"")</f>
        <v/>
      </c>
      <c r="L97" s="15" t="str">
        <f>IF(OR(COUNTIF(クラス!$A$1:$A$1035, $B97),$B97="",COUNTIF(スキル一覧!$A$1:$A$3500, $B97)), "", "存在しない")</f>
        <v/>
      </c>
      <c r="M97" s="2" t="str">
        <f>IF(COUNTIF($B$1:$C96, $B97), "", "存在しない")</f>
        <v>存在しない</v>
      </c>
      <c r="N97" s="2" t="s">
        <v>1249</v>
      </c>
    </row>
    <row r="98" spans="1:14" x14ac:dyDescent="0.4">
      <c r="J98" s="6" t="str">
        <f>IFERROR(_xlfn.LET(_xlpm.v,
VLOOKUP($I98,効果!$A:$B,COLUMN(効果!B$1),FALSE),
IF(_xlpm.v=0,"",_xlpm.v)
),"")</f>
        <v/>
      </c>
      <c r="L98" s="15" t="str">
        <f>IF(OR(COUNTIF(クラス!$A$1:$A$1035, $B98),$B98="",COUNTIF(スキル一覧!$A$1:$A$3500, $B98)), "", "存在しない")</f>
        <v/>
      </c>
      <c r="M98" s="2" t="str">
        <f>IF(COUNTIF($B$1:$C97, $B98), "", "存在しない")</f>
        <v>存在しない</v>
      </c>
      <c r="N98" s="2" t="s">
        <v>1249</v>
      </c>
    </row>
    <row r="99" spans="1:14" x14ac:dyDescent="0.4">
      <c r="J99" s="6" t="str">
        <f>IFERROR(_xlfn.LET(_xlpm.v,
VLOOKUP($I99,効果!$A:$B,COLUMN(効果!B$1),FALSE),
IF(_xlpm.v=0,"",_xlpm.v)
),"")</f>
        <v/>
      </c>
      <c r="L99" s="15" t="str">
        <f>IF(OR(COUNTIF(クラス!$A$1:$A$1035, $B99),$B99="",COUNTIF(スキル一覧!$A$1:$A$3500, $B99)), "", "存在しない")</f>
        <v/>
      </c>
      <c r="M99" s="2" t="str">
        <f>IF(COUNTIF($B$1:$C85, $B99), "", "存在しない")</f>
        <v>存在しない</v>
      </c>
      <c r="N99" s="2" t="s">
        <v>1249</v>
      </c>
    </row>
    <row r="100" spans="1:14" x14ac:dyDescent="0.4">
      <c r="B100" s="2" t="s">
        <v>255</v>
      </c>
      <c r="J100" s="6" t="str">
        <f>IFERROR(_xlfn.LET(_xlpm.v,
VLOOKUP($I100,効果!$A:$B,COLUMN(効果!B$1),FALSE),
IF(_xlpm.v=0,"",_xlpm.v)
),"")</f>
        <v/>
      </c>
      <c r="L100" s="15" t="str">
        <f>IF(OR(COUNTIF(クラス!$A$1:$A$1035, $B100),$B100="",COUNTIF(スキル一覧!$A$1:$A$3500, $B100)), "", "存在しない")</f>
        <v/>
      </c>
      <c r="M100" s="2" t="str">
        <f>IF(COUNTIF($B$1:$C99, $B100), "", "存在しない")</f>
        <v>存在しない</v>
      </c>
      <c r="N100" s="2" t="s">
        <v>1249</v>
      </c>
    </row>
    <row r="101" spans="1:14" hidden="1" outlineLevel="1" x14ac:dyDescent="0.4">
      <c r="A101" s="2">
        <v>1</v>
      </c>
      <c r="J101" s="6" t="str">
        <f>IFERROR(_xlfn.LET(_xlpm.v,
VLOOKUP($I101,効果!$A:$B,COLUMN(効果!B$1),FALSE),
IF(_xlpm.v=0,"",_xlpm.v)
),"")</f>
        <v/>
      </c>
      <c r="L101" s="15" t="str">
        <f>IF(OR(COUNTIF(クラス!$A$1:$A$1035, $B101),$B101="",COUNTIF(スキル一覧!$A$1:$A$3500, $B101)), "", "存在しない")</f>
        <v/>
      </c>
      <c r="M101" s="2" t="str">
        <f>IF(COUNTIF($B$1:$C100, $B101), "", "存在しない")</f>
        <v>存在しない</v>
      </c>
      <c r="N101" s="2" t="s">
        <v>1249</v>
      </c>
    </row>
    <row r="102" spans="1:14" hidden="1" outlineLevel="1" x14ac:dyDescent="0.4">
      <c r="A102" s="2">
        <v>2</v>
      </c>
      <c r="B102" s="2" t="s">
        <v>217</v>
      </c>
      <c r="C102" s="2" t="s">
        <v>218</v>
      </c>
      <c r="E102" s="13" t="s">
        <v>129</v>
      </c>
      <c r="G102" s="19">
        <v>60</v>
      </c>
      <c r="H102" s="10" t="s">
        <v>219</v>
      </c>
      <c r="J102" s="6" t="str">
        <f>IFERROR(_xlfn.LET(_xlpm.v,
VLOOKUP($I102,効果!$A:$B,COLUMN(効果!B$1),FALSE),
IF(_xlpm.v=0,"",_xlpm.v)
),"")</f>
        <v/>
      </c>
      <c r="L102" s="15" t="str">
        <f>IF(OR(COUNTIF(クラス!$A$1:$A$1035, $B102),$B102="",COUNTIF(スキル一覧!$A$1:$A$3500, $B102)), "", "存在しない")</f>
        <v/>
      </c>
      <c r="M102" s="2" t="str">
        <f>IF(COUNTIF($B$1:$C101, $B102), "", "存在しない")</f>
        <v>存在しない</v>
      </c>
      <c r="N102" s="2" t="s">
        <v>1249</v>
      </c>
    </row>
    <row r="103" spans="1:14" hidden="1" outlineLevel="1" x14ac:dyDescent="0.4">
      <c r="A103" s="2">
        <v>3</v>
      </c>
      <c r="B103" s="2" t="s">
        <v>226</v>
      </c>
      <c r="E103" s="13" t="s">
        <v>130</v>
      </c>
      <c r="J103" s="6" t="str">
        <f>IFERROR(_xlfn.LET(_xlpm.v,
VLOOKUP($I103,効果!$A:$B,COLUMN(効果!B$1),FALSE),
IF(_xlpm.v=0,"",_xlpm.v)
),"")</f>
        <v/>
      </c>
      <c r="L103" s="15" t="str">
        <f>IF(OR(COUNTIF(クラス!$A$1:$A$1035, $B103),$B103="",COUNTIF(スキル一覧!$A$1:$A$3500, $B103)), "", "存在しない")</f>
        <v/>
      </c>
      <c r="M103" s="2" t="str">
        <f>IF(COUNTIF($B$1:$C102, $B103), "", "存在しない")</f>
        <v>存在しない</v>
      </c>
      <c r="N103" s="2" t="s">
        <v>1249</v>
      </c>
    </row>
    <row r="104" spans="1:14" hidden="1" outlineLevel="1" x14ac:dyDescent="0.4">
      <c r="A104" s="2">
        <v>4</v>
      </c>
      <c r="J104" s="6" t="str">
        <f>IFERROR(_xlfn.LET(_xlpm.v,
VLOOKUP($I104,効果!$A:$B,COLUMN(効果!B$1),FALSE),
IF(_xlpm.v=0,"",_xlpm.v)
),"")</f>
        <v/>
      </c>
      <c r="L104" s="15" t="str">
        <f>IF(OR(COUNTIF(クラス!$A$1:$A$1035, $B104),$B104="",COUNTIF(スキル一覧!$A$1:$A$3500, $B104)), "", "存在しない")</f>
        <v/>
      </c>
      <c r="M104" s="2" t="str">
        <f>IF(COUNTIF($B$1:$C103, $B104), "", "存在しない")</f>
        <v>存在しない</v>
      </c>
      <c r="N104" s="2" t="s">
        <v>1249</v>
      </c>
    </row>
    <row r="105" spans="1:14" hidden="1" outlineLevel="1" x14ac:dyDescent="0.4">
      <c r="A105" s="2">
        <v>5</v>
      </c>
      <c r="B105" s="2" t="s">
        <v>220</v>
      </c>
      <c r="C105" s="2" t="s">
        <v>221</v>
      </c>
      <c r="E105" s="13" t="s">
        <v>129</v>
      </c>
      <c r="G105" s="19">
        <v>60</v>
      </c>
      <c r="H105" s="10" t="s">
        <v>222</v>
      </c>
      <c r="J105" s="6" t="str">
        <f>IFERROR(_xlfn.LET(_xlpm.v,
VLOOKUP($I105,効果!$A:$B,COLUMN(効果!B$1),FALSE),
IF(_xlpm.v=0,"",_xlpm.v)
),"")</f>
        <v/>
      </c>
      <c r="L105" s="15" t="str">
        <f>IF(OR(COUNTIF(クラス!$A$1:$A$1035, $B105),$B105="",COUNTIF(スキル一覧!$A$1:$A$3500, $B105)), "", "存在しない")</f>
        <v/>
      </c>
      <c r="M105" s="2" t="str">
        <f>IF(COUNTIF($B$1:$C104, $B105), "", "存在しない")</f>
        <v>存在しない</v>
      </c>
      <c r="N105" s="2" t="s">
        <v>1249</v>
      </c>
    </row>
    <row r="106" spans="1:14" hidden="1" outlineLevel="1" x14ac:dyDescent="0.4">
      <c r="A106" s="2">
        <v>6</v>
      </c>
      <c r="B106" s="2" t="s">
        <v>275</v>
      </c>
      <c r="E106" s="13" t="s">
        <v>130</v>
      </c>
      <c r="J106" s="6" t="str">
        <f>IFERROR(_xlfn.LET(_xlpm.v,
VLOOKUP($I106,効果!$A:$B,COLUMN(効果!B$1),FALSE),
IF(_xlpm.v=0,"",_xlpm.v)
),"")</f>
        <v/>
      </c>
      <c r="L106" s="15" t="str">
        <f>IF(OR(COUNTIF(クラス!$A$1:$A$1035, $B106),$B106="",COUNTIF(スキル一覧!$A$1:$A$3500, $B106)), "", "存在しない")</f>
        <v/>
      </c>
      <c r="M106" s="2" t="str">
        <f>IF(COUNTIF($B$1:$C105, $B106), "", "存在しない")</f>
        <v>存在しない</v>
      </c>
      <c r="N106" s="2" t="s">
        <v>1249</v>
      </c>
    </row>
    <row r="107" spans="1:14" hidden="1" outlineLevel="1" x14ac:dyDescent="0.4">
      <c r="A107" s="2">
        <v>7</v>
      </c>
      <c r="J107" s="6" t="str">
        <f>IFERROR(_xlfn.LET(_xlpm.v,
VLOOKUP($I107,効果!$A:$B,COLUMN(効果!B$1),FALSE),
IF(_xlpm.v=0,"",_xlpm.v)
),"")</f>
        <v/>
      </c>
      <c r="L107" s="15" t="str">
        <f>IF(OR(COUNTIF(クラス!$A$1:$A$1035, $B107),$B107="",COUNTIF(スキル一覧!$A$1:$A$3500, $B107)), "", "存在しない")</f>
        <v/>
      </c>
      <c r="M107" s="2" t="str">
        <f>IF(COUNTIF($B$1:$C106, $B107), "", "存在しない")</f>
        <v>存在しない</v>
      </c>
      <c r="N107" s="2" t="s">
        <v>1249</v>
      </c>
    </row>
    <row r="108" spans="1:14" hidden="1" outlineLevel="1" x14ac:dyDescent="0.4">
      <c r="A108" s="2">
        <v>8</v>
      </c>
      <c r="B108" s="2" t="s">
        <v>223</v>
      </c>
      <c r="C108" s="2" t="s">
        <v>224</v>
      </c>
      <c r="E108" s="13" t="s">
        <v>129</v>
      </c>
      <c r="H108" s="10" t="s">
        <v>326</v>
      </c>
      <c r="J108" s="6" t="str">
        <f>IFERROR(_xlfn.LET(_xlpm.v,
VLOOKUP($I108,効果!$A:$B,COLUMN(効果!B$1),FALSE),
IF(_xlpm.v=0,"",_xlpm.v)
),"")</f>
        <v/>
      </c>
      <c r="L108" s="15" t="str">
        <f>IF(OR(COUNTIF(クラス!$A$1:$A$1035, $B108),$B108="",COUNTIF(スキル一覧!$A$1:$A$3500, $B108)), "", "存在しない")</f>
        <v/>
      </c>
      <c r="M108" s="2" t="str">
        <f>IF(COUNTIF($B$1:$C107, $B108), "", "存在しない")</f>
        <v>存在しない</v>
      </c>
      <c r="N108" s="2" t="s">
        <v>1249</v>
      </c>
    </row>
    <row r="109" spans="1:14" hidden="1" outlineLevel="1" x14ac:dyDescent="0.4">
      <c r="A109" s="2">
        <v>9</v>
      </c>
      <c r="E109" s="13" t="s">
        <v>130</v>
      </c>
      <c r="J109" s="6" t="str">
        <f>IFERROR(_xlfn.LET(_xlpm.v,
VLOOKUP($I109,効果!$A:$B,COLUMN(効果!B$1),FALSE),
IF(_xlpm.v=0,"",_xlpm.v)
),"")</f>
        <v/>
      </c>
      <c r="L109" s="15" t="str">
        <f>IF(OR(COUNTIF(クラス!$A$1:$A$1035, $B109),$B109="",COUNTIF(スキル一覧!$A$1:$A$3500, $B109)), "", "存在しない")</f>
        <v/>
      </c>
      <c r="M109" s="2" t="str">
        <f>IF(COUNTIF($B$1:$C108, $B109), "", "存在しない")</f>
        <v>存在しない</v>
      </c>
      <c r="N109" s="2" t="s">
        <v>1249</v>
      </c>
    </row>
    <row r="110" spans="1:14" hidden="1" outlineLevel="1" x14ac:dyDescent="0.4">
      <c r="A110" s="2">
        <v>10</v>
      </c>
      <c r="E110" s="13" t="s">
        <v>129</v>
      </c>
      <c r="J110" s="6" t="str">
        <f>IFERROR(_xlfn.LET(_xlpm.v,
VLOOKUP($I110,効果!$A:$B,COLUMN(効果!B$1),FALSE),
IF(_xlpm.v=0,"",_xlpm.v)
),"")</f>
        <v/>
      </c>
      <c r="L110" s="15" t="str">
        <f>IF(OR(COUNTIF(クラス!$A$1:$A$1035, $B110),$B110="",COUNTIF(スキル一覧!$A$1:$A$3500, $B110)), "", "存在しない")</f>
        <v/>
      </c>
      <c r="M110" s="2" t="str">
        <f>IF(COUNTIF($B$1:$C109, $B110), "", "存在しない")</f>
        <v>存在しない</v>
      </c>
      <c r="N110" s="2" t="s">
        <v>1249</v>
      </c>
    </row>
    <row r="111" spans="1:14" hidden="1" outlineLevel="1" x14ac:dyDescent="0.4">
      <c r="J111" s="6" t="str">
        <f>IFERROR(_xlfn.LET(_xlpm.v,
VLOOKUP($I111,効果!$A:$B,COLUMN(効果!B$1),FALSE),
IF(_xlpm.v=0,"",_xlpm.v)
),"")</f>
        <v/>
      </c>
      <c r="L111" s="15" t="str">
        <f>IF(OR(COUNTIF(クラス!$A$1:$A$1035, $B111),$B111="",COUNTIF(スキル一覧!$A$1:$A$3500, $B111)), "", "存在しない")</f>
        <v/>
      </c>
      <c r="M111" s="2" t="str">
        <f>IF(COUNTIF($B$1:$C110, $B111), "", "存在しない")</f>
        <v>存在しない</v>
      </c>
      <c r="N111" s="2" t="s">
        <v>1249</v>
      </c>
    </row>
    <row r="112" spans="1:14" collapsed="1" x14ac:dyDescent="0.4">
      <c r="J112" s="6" t="str">
        <f>IFERROR(_xlfn.LET(_xlpm.v,
VLOOKUP($I112,効果!$A:$B,COLUMN(効果!B$1),FALSE),
IF(_xlpm.v=0,"",_xlpm.v)
),"")</f>
        <v/>
      </c>
      <c r="L112" s="15" t="str">
        <f>IF(OR(COUNTIF(クラス!$A$1:$A$1035, $B112),$B112="",COUNTIF(スキル一覧!$A$1:$A$3500, $B112)), "", "存在しない")</f>
        <v/>
      </c>
      <c r="M112" s="2" t="str">
        <f>IF(COUNTIF($B$1:$C111, $B112), "", "存在しない")</f>
        <v>存在しない</v>
      </c>
      <c r="N112" s="2" t="s">
        <v>1249</v>
      </c>
    </row>
    <row r="113" spans="1:14" x14ac:dyDescent="0.4">
      <c r="B113" s="2" t="s">
        <v>31</v>
      </c>
      <c r="J113" s="6" t="str">
        <f>IFERROR(_xlfn.LET(_xlpm.v,
VLOOKUP($I113,効果!$A:$B,COLUMN(効果!B$1),FALSE),
IF(_xlpm.v=0,"",_xlpm.v)
),"")</f>
        <v/>
      </c>
      <c r="L113" s="15" t="str">
        <f>IF(OR(COUNTIF(クラス!$A$1:$A$1035, $B113),$B113="",COUNTIF(スキル一覧!$A$1:$A$3500, $B113)), "", "存在しない")</f>
        <v/>
      </c>
      <c r="M113" s="2" t="str">
        <f>IF(COUNTIF($B$1:$C112, $B113), "", "存在しない")</f>
        <v>存在しない</v>
      </c>
      <c r="N113" s="2" t="s">
        <v>1249</v>
      </c>
    </row>
    <row r="114" spans="1:14" hidden="1" outlineLevel="1" x14ac:dyDescent="0.4">
      <c r="A114" s="2">
        <v>1</v>
      </c>
      <c r="J114" s="6" t="str">
        <f>IFERROR(_xlfn.LET(_xlpm.v,
VLOOKUP($I114,効果!$A:$B,COLUMN(効果!B$1),FALSE),
IF(_xlpm.v=0,"",_xlpm.v)
),"")</f>
        <v/>
      </c>
      <c r="L114" s="15" t="str">
        <f>IF(OR(COUNTIF(クラス!$A$1:$A$1035, $B114),$B114="",COUNTIF(スキル一覧!$A$1:$A$3500, $B114)), "", "存在しない")</f>
        <v/>
      </c>
      <c r="M114" s="2" t="str">
        <f>IF(COUNTIF($B$1:$C113, $B114), "", "存在しない")</f>
        <v>存在しない</v>
      </c>
      <c r="N114" s="2" t="s">
        <v>1249</v>
      </c>
    </row>
    <row r="115" spans="1:14" hidden="1" outlineLevel="1" x14ac:dyDescent="0.4">
      <c r="A115" s="2">
        <v>2</v>
      </c>
      <c r="J115" s="6" t="str">
        <f>IFERROR(_xlfn.LET(_xlpm.v,
VLOOKUP($I115,効果!$A:$B,COLUMN(効果!B$1),FALSE),
IF(_xlpm.v=0,"",_xlpm.v)
),"")</f>
        <v/>
      </c>
      <c r="L115" s="15" t="str">
        <f>IF(OR(COUNTIF(クラス!$A$1:$A$1035, $B115),$B115="",COUNTIF(スキル一覧!$A$1:$A$3500, $B115)), "", "存在しない")</f>
        <v/>
      </c>
      <c r="M115" s="2" t="str">
        <f>IF(COUNTIF($B$1:$C114, $B115), "", "存在しない")</f>
        <v>存在しない</v>
      </c>
      <c r="N115" s="2" t="s">
        <v>1249</v>
      </c>
    </row>
    <row r="116" spans="1:14" hidden="1" outlineLevel="1" x14ac:dyDescent="0.4">
      <c r="A116" s="2">
        <v>3</v>
      </c>
      <c r="J116" s="6" t="str">
        <f>IFERROR(_xlfn.LET(_xlpm.v,
VLOOKUP($I116,効果!$A:$B,COLUMN(効果!B$1),FALSE),
IF(_xlpm.v=0,"",_xlpm.v)
),"")</f>
        <v/>
      </c>
      <c r="L116" s="15" t="str">
        <f>IF(OR(COUNTIF(クラス!$A$1:$A$1035, $B116),$B116="",COUNTIF(スキル一覧!$A$1:$A$3500, $B116)), "", "存在しない")</f>
        <v/>
      </c>
      <c r="M116" s="2" t="str">
        <f>IF(COUNTIF($B$1:$C115, $B116), "", "存在しない")</f>
        <v>存在しない</v>
      </c>
      <c r="N116" s="2" t="s">
        <v>1249</v>
      </c>
    </row>
    <row r="117" spans="1:14" hidden="1" outlineLevel="1" x14ac:dyDescent="0.4">
      <c r="A117" s="2">
        <v>4</v>
      </c>
      <c r="J117" s="6" t="str">
        <f>IFERROR(_xlfn.LET(_xlpm.v,
VLOOKUP($I117,効果!$A:$B,COLUMN(効果!B$1),FALSE),
IF(_xlpm.v=0,"",_xlpm.v)
),"")</f>
        <v/>
      </c>
      <c r="L117" s="15" t="str">
        <f>IF(OR(COUNTIF(クラス!$A$1:$A$1035, $B117),$B117="",COUNTIF(スキル一覧!$A$1:$A$3500, $B117)), "", "存在しない")</f>
        <v/>
      </c>
      <c r="M117" s="2" t="str">
        <f>IF(COUNTIF($B$1:$C116, $B117), "", "存在しない")</f>
        <v>存在しない</v>
      </c>
      <c r="N117" s="2" t="s">
        <v>1249</v>
      </c>
    </row>
    <row r="118" spans="1:14" hidden="1" outlineLevel="1" x14ac:dyDescent="0.4">
      <c r="A118" s="2">
        <v>5</v>
      </c>
      <c r="J118" s="6" t="str">
        <f>IFERROR(_xlfn.LET(_xlpm.v,
VLOOKUP($I118,効果!$A:$B,COLUMN(効果!B$1),FALSE),
IF(_xlpm.v=0,"",_xlpm.v)
),"")</f>
        <v/>
      </c>
      <c r="L118" s="15" t="str">
        <f>IF(OR(COUNTIF(クラス!$A$1:$A$1035, $B118),$B118="",COUNTIF(スキル一覧!$A$1:$A$3500, $B118)), "", "存在しない")</f>
        <v/>
      </c>
      <c r="M118" s="2" t="str">
        <f>IF(COUNTIF($B$1:$C117, $B118), "", "存在しない")</f>
        <v>存在しない</v>
      </c>
      <c r="N118" s="2" t="s">
        <v>1249</v>
      </c>
    </row>
    <row r="119" spans="1:14" hidden="1" outlineLevel="1" x14ac:dyDescent="0.4">
      <c r="A119" s="2">
        <v>6</v>
      </c>
      <c r="J119" s="6" t="str">
        <f>IFERROR(_xlfn.LET(_xlpm.v,
VLOOKUP($I119,効果!$A:$B,COLUMN(効果!B$1),FALSE),
IF(_xlpm.v=0,"",_xlpm.v)
),"")</f>
        <v/>
      </c>
      <c r="L119" s="15" t="str">
        <f>IF(OR(COUNTIF(クラス!$A$1:$A$1035, $B119),$B119="",COUNTIF(スキル一覧!$A$1:$A$3500, $B119)), "", "存在しない")</f>
        <v/>
      </c>
      <c r="M119" s="2" t="str">
        <f>IF(COUNTIF($B$1:$C118, $B119), "", "存在しない")</f>
        <v>存在しない</v>
      </c>
      <c r="N119" s="2" t="s">
        <v>1249</v>
      </c>
    </row>
    <row r="120" spans="1:14" hidden="1" outlineLevel="1" x14ac:dyDescent="0.4">
      <c r="A120" s="2">
        <v>7</v>
      </c>
      <c r="J120" s="6" t="str">
        <f>IFERROR(_xlfn.LET(_xlpm.v,
VLOOKUP($I120,効果!$A:$B,COLUMN(効果!B$1),FALSE),
IF(_xlpm.v=0,"",_xlpm.v)
),"")</f>
        <v/>
      </c>
      <c r="L120" s="15" t="str">
        <f>IF(OR(COUNTIF(クラス!$A$1:$A$1035, $B120),$B120="",COUNTIF(スキル一覧!$A$1:$A$3500, $B120)), "", "存在しない")</f>
        <v/>
      </c>
      <c r="M120" s="2" t="str">
        <f>IF(COUNTIF($B$1:$C119, $B120), "", "存在しない")</f>
        <v>存在しない</v>
      </c>
      <c r="N120" s="2" t="s">
        <v>1249</v>
      </c>
    </row>
    <row r="121" spans="1:14" hidden="1" outlineLevel="1" x14ac:dyDescent="0.4">
      <c r="A121" s="2">
        <v>8</v>
      </c>
      <c r="J121" s="6" t="str">
        <f>IFERROR(_xlfn.LET(_xlpm.v,
VLOOKUP($I121,効果!$A:$B,COLUMN(効果!B$1),FALSE),
IF(_xlpm.v=0,"",_xlpm.v)
),"")</f>
        <v/>
      </c>
      <c r="L121" s="15" t="str">
        <f>IF(OR(COUNTIF(クラス!$A$1:$A$1035, $B121),$B121="",COUNTIF(スキル一覧!$A$1:$A$3500, $B121)), "", "存在しない")</f>
        <v/>
      </c>
      <c r="M121" s="2" t="str">
        <f>IF(COUNTIF($B$1:$C120, $B121), "", "存在しない")</f>
        <v>存在しない</v>
      </c>
      <c r="N121" s="2" t="s">
        <v>1249</v>
      </c>
    </row>
    <row r="122" spans="1:14" hidden="1" outlineLevel="1" x14ac:dyDescent="0.4">
      <c r="A122" s="2">
        <v>9</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1249</v>
      </c>
    </row>
    <row r="123" spans="1:14" hidden="1" outlineLevel="1" x14ac:dyDescent="0.4">
      <c r="A123" s="2">
        <v>10</v>
      </c>
      <c r="J123" s="6" t="str">
        <f>IFERROR(_xlfn.LET(_xlpm.v,
VLOOKUP($I123,効果!$A:$B,COLUMN(効果!B$1),FALSE),
IF(_xlpm.v=0,"",_xlpm.v)
),"")</f>
        <v/>
      </c>
      <c r="L123" s="15" t="str">
        <f>IF(OR(COUNTIF(クラス!$A$1:$A$1035, $B123),$B123="",COUNTIF(スキル一覧!$A$1:$A$3500, $B123)), "", "存在しない")</f>
        <v/>
      </c>
      <c r="M123" s="2" t="str">
        <f>IF(COUNTIF($B$1:$C122, $B123), "", "存在しない")</f>
        <v>存在しない</v>
      </c>
      <c r="N123" s="2" t="s">
        <v>1249</v>
      </c>
    </row>
    <row r="124" spans="1:14" hidden="1" outlineLevel="1" x14ac:dyDescent="0.4">
      <c r="J124" s="6" t="str">
        <f>IFERROR(_xlfn.LET(_xlpm.v,
VLOOKUP($I124,効果!$A:$B,COLUMN(効果!B$1),FALSE),
IF(_xlpm.v=0,"",_xlpm.v)
),"")</f>
        <v/>
      </c>
      <c r="L124" s="15" t="str">
        <f>IF(OR(COUNTIF(クラス!$A$1:$A$1035, $B124),$B124="",COUNTIF(スキル一覧!$A$1:$A$3500, $B124)), "", "存在しない")</f>
        <v/>
      </c>
      <c r="M124" s="2" t="str">
        <f>IF(COUNTIF($B$1:$C123, $B124), "", "存在しない")</f>
        <v>存在しない</v>
      </c>
      <c r="N124" s="2" t="s">
        <v>1249</v>
      </c>
    </row>
    <row r="125" spans="1:14" collapsed="1" x14ac:dyDescent="0.4">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1249</v>
      </c>
    </row>
    <row r="126" spans="1:14" x14ac:dyDescent="0.4">
      <c r="B126" s="2" t="s">
        <v>33</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1249</v>
      </c>
    </row>
    <row r="127" spans="1:14" hidden="1" outlineLevel="1" x14ac:dyDescent="0.4">
      <c r="A127" s="2">
        <v>1</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1249</v>
      </c>
    </row>
    <row r="128" spans="1:14" hidden="1" outlineLevel="1" x14ac:dyDescent="0.4">
      <c r="A128" s="2">
        <v>2</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1249</v>
      </c>
    </row>
    <row r="129" spans="1:14" hidden="1" outlineLevel="1" x14ac:dyDescent="0.4">
      <c r="A129" s="2">
        <v>3</v>
      </c>
      <c r="J129" s="6" t="str">
        <f>IFERROR(_xlfn.LET(_xlpm.v,
VLOOKUP($I129,効果!$A:$B,COLUMN(効果!B$1),FALSE),
IF(_xlpm.v=0,"",_xlpm.v)
),"")</f>
        <v/>
      </c>
      <c r="L129" s="15" t="str">
        <f>IF(OR(COUNTIF(クラス!$A$1:$A$1035, $B129),$B129="",COUNTIF(スキル一覧!$A$1:$A$3500, $B129)), "", "存在しない")</f>
        <v/>
      </c>
      <c r="M129" s="2" t="str">
        <f>IF(COUNTIF($B$1:$C128, $B129), "", "存在しない")</f>
        <v>存在しない</v>
      </c>
      <c r="N129" s="2" t="s">
        <v>1249</v>
      </c>
    </row>
    <row r="130" spans="1:14" hidden="1" outlineLevel="1" x14ac:dyDescent="0.4">
      <c r="A130" s="2">
        <v>4</v>
      </c>
      <c r="J130" s="6" t="str">
        <f>IFERROR(_xlfn.LET(_xlpm.v,
VLOOKUP($I130,効果!$A:$B,COLUMN(効果!B$1),FALSE),
IF(_xlpm.v=0,"",_xlpm.v)
),"")</f>
        <v/>
      </c>
      <c r="L130" s="15" t="str">
        <f>IF(OR(COUNTIF(クラス!$A$1:$A$1035, $B130),$B130="",COUNTIF(スキル一覧!$A$1:$A$3500, $B130)), "", "存在しない")</f>
        <v/>
      </c>
      <c r="M130" s="2" t="str">
        <f>IF(COUNTIF($B$1:$C129, $B130), "", "存在しない")</f>
        <v>存在しない</v>
      </c>
      <c r="N130" s="2" t="s">
        <v>1249</v>
      </c>
    </row>
    <row r="131" spans="1:14" hidden="1" outlineLevel="1" x14ac:dyDescent="0.4">
      <c r="A131" s="2">
        <v>5</v>
      </c>
      <c r="J131" s="6" t="str">
        <f>IFERROR(_xlfn.LET(_xlpm.v,
VLOOKUP($I131,効果!$A:$B,COLUMN(効果!B$1),FALSE),
IF(_xlpm.v=0,"",_xlpm.v)
),"")</f>
        <v/>
      </c>
      <c r="L131" s="15" t="str">
        <f>IF(OR(COUNTIF(クラス!$A$1:$A$1035, $B131),$B131="",COUNTIF(スキル一覧!$A$1:$A$3500, $B131)), "", "存在しない")</f>
        <v/>
      </c>
      <c r="M131" s="2" t="str">
        <f>IF(COUNTIF($B$1:$C130, $B131), "", "存在しない")</f>
        <v>存在しない</v>
      </c>
      <c r="N131" s="2" t="s">
        <v>1249</v>
      </c>
    </row>
    <row r="132" spans="1:14" hidden="1" outlineLevel="1" x14ac:dyDescent="0.4">
      <c r="A132" s="2">
        <v>6</v>
      </c>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1249</v>
      </c>
    </row>
    <row r="133" spans="1:14" hidden="1" outlineLevel="1" x14ac:dyDescent="0.4">
      <c r="A133" s="2">
        <v>7</v>
      </c>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1249</v>
      </c>
    </row>
    <row r="134" spans="1:14" hidden="1" outlineLevel="1" x14ac:dyDescent="0.4">
      <c r="A134" s="2">
        <v>8</v>
      </c>
      <c r="J134" s="6" t="str">
        <f>IFERROR(_xlfn.LET(_xlpm.v,
VLOOKUP($I134,効果!$A:$B,COLUMN(効果!B$1),FALSE),
IF(_xlpm.v=0,"",_xlpm.v)
),"")</f>
        <v/>
      </c>
      <c r="L134" s="15" t="str">
        <f>IF(OR(COUNTIF(クラス!$A$1:$A$1035, $B134),$B134="",COUNTIF(スキル一覧!$A$1:$A$3500, $B134)), "", "存在しない")</f>
        <v/>
      </c>
      <c r="M134" s="2" t="str">
        <f>IF(COUNTIF($B$1:$C133, $B134), "", "存在しない")</f>
        <v>存在しない</v>
      </c>
      <c r="N134" s="2" t="s">
        <v>1249</v>
      </c>
    </row>
    <row r="135" spans="1:14" hidden="1" outlineLevel="1" x14ac:dyDescent="0.4">
      <c r="A135" s="2">
        <v>9</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1249</v>
      </c>
    </row>
    <row r="136" spans="1:14" hidden="1" outlineLevel="1" x14ac:dyDescent="0.4">
      <c r="A136" s="2">
        <v>10</v>
      </c>
      <c r="J136" s="6" t="str">
        <f>IFERROR(_xlfn.LET(_xlpm.v,
VLOOKUP($I136,効果!$A:$B,COLUMN(効果!B$1),FALSE),
IF(_xlpm.v=0,"",_xlpm.v)
),"")</f>
        <v/>
      </c>
      <c r="L136" s="15" t="str">
        <f>IF(OR(COUNTIF(クラス!$A$1:$A$1035, $B136),$B136="",COUNTIF(スキル一覧!$A$1:$A$3500, $B136)), "", "存在しない")</f>
        <v/>
      </c>
      <c r="M136" s="2" t="str">
        <f>IF(COUNTIF($B$1:$C135, $B136), "", "存在しない")</f>
        <v>存在しない</v>
      </c>
      <c r="N136" s="2" t="s">
        <v>1249</v>
      </c>
    </row>
    <row r="137" spans="1:14" hidden="1" outlineLevel="1" x14ac:dyDescent="0.4">
      <c r="J137" s="6" t="str">
        <f>IFERROR(_xlfn.LET(_xlpm.v,
VLOOKUP($I137,効果!$A:$B,COLUMN(効果!B$1),FALSE),
IF(_xlpm.v=0,"",_xlpm.v)
),"")</f>
        <v/>
      </c>
      <c r="L137" s="15" t="str">
        <f>IF(OR(COUNTIF(クラス!$A$1:$A$1035, $B137),$B137="",COUNTIF(スキル一覧!$A$1:$A$3500, $B137)), "", "存在しない")</f>
        <v/>
      </c>
      <c r="M137" s="2" t="str">
        <f>IF(COUNTIF($B$1:$C136, $B137), "", "存在しない")</f>
        <v>存在しない</v>
      </c>
      <c r="N137" s="2" t="s">
        <v>1249</v>
      </c>
    </row>
    <row r="138" spans="1:14" collapsed="1" x14ac:dyDescent="0.4">
      <c r="J138" s="6" t="str">
        <f>IFERROR(_xlfn.LET(_xlpm.v,
VLOOKUP($I138,効果!$A:$B,COLUMN(効果!B$1),FALSE),
IF(_xlpm.v=0,"",_xlpm.v)
),"")</f>
        <v/>
      </c>
      <c r="L138" s="15" t="str">
        <f>IF(OR(COUNTIF(クラス!$A$1:$A$1035, $B138),$B138="",COUNTIF(スキル一覧!$A$1:$A$3500, $B138)), "", "存在しない")</f>
        <v/>
      </c>
      <c r="M138" s="2" t="str">
        <f>IF(COUNTIF($B$1:$C137, $B138), "", "存在しない")</f>
        <v>存在しない</v>
      </c>
      <c r="N138" s="2" t="s">
        <v>1249</v>
      </c>
    </row>
    <row r="139" spans="1:14" x14ac:dyDescent="0.4">
      <c r="J139" s="6" t="str">
        <f>IFERROR(_xlfn.LET(_xlpm.v,
VLOOKUP($I139,効果!$A:$B,COLUMN(効果!B$1),FALSE),
IF(_xlpm.v=0,"",_xlpm.v)
),"")</f>
        <v/>
      </c>
      <c r="L139" s="15" t="str">
        <f>IF(OR(COUNTIF(クラス!$A$1:$A$1035, $B139),$B139="",COUNTIF(スキル一覧!$A$1:$A$3500, $B139)), "", "存在しない")</f>
        <v/>
      </c>
      <c r="M139" s="2" t="str">
        <f>IF(COUNTIF($B$1:$C138, $B139), "", "存在しない")</f>
        <v>存在しない</v>
      </c>
      <c r="N139" s="2" t="s">
        <v>1249</v>
      </c>
    </row>
    <row r="140" spans="1:14" x14ac:dyDescent="0.4">
      <c r="B140" s="2" t="s">
        <v>249</v>
      </c>
      <c r="J140" s="6" t="str">
        <f>IFERROR(_xlfn.LET(_xlpm.v,
VLOOKUP($I140,効果!$A:$B,COLUMN(効果!B$1),FALSE),
IF(_xlpm.v=0,"",_xlpm.v)
),"")</f>
        <v/>
      </c>
      <c r="L140" s="15" t="str">
        <f>IF(OR(COUNTIF(クラス!$A$1:$A$1035, $B140),$B140="",COUNTIF(スキル一覧!$A$1:$A$3500, $B140)), "", "存在しない")</f>
        <v/>
      </c>
      <c r="M140" s="2" t="str">
        <f>IF(COUNTIF($B$1:$C139, $B140), "", "存在しない")</f>
        <v>存在しない</v>
      </c>
      <c r="N140" s="2" t="s">
        <v>1249</v>
      </c>
    </row>
    <row r="141" spans="1:14" hidden="1" outlineLevel="1" x14ac:dyDescent="0.4">
      <c r="A141" s="2">
        <v>1</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1249</v>
      </c>
    </row>
    <row r="142" spans="1:14" hidden="1" outlineLevel="1" x14ac:dyDescent="0.4">
      <c r="A142" s="2">
        <v>2</v>
      </c>
      <c r="J142" s="6" t="str">
        <f>IFERROR(_xlfn.LET(_xlpm.v,
VLOOKUP($I142,効果!$A:$B,COLUMN(効果!B$1),FALSE),
IF(_xlpm.v=0,"",_xlpm.v)
),"")</f>
        <v/>
      </c>
      <c r="L142" s="15" t="str">
        <f>IF(OR(COUNTIF(クラス!$A$1:$A$1035, $B142),$B142="",COUNTIF(スキル一覧!$A$1:$A$3500, $B142)), "", "存在しない")</f>
        <v/>
      </c>
      <c r="M142" s="2" t="str">
        <f>IF(COUNTIF($B$1:$C141, $B142), "", "存在しない")</f>
        <v>存在しない</v>
      </c>
      <c r="N142" s="2" t="s">
        <v>1249</v>
      </c>
    </row>
    <row r="143" spans="1:14" hidden="1" outlineLevel="1" x14ac:dyDescent="0.4">
      <c r="A143" s="2">
        <v>3</v>
      </c>
      <c r="J143" s="6" t="str">
        <f>IFERROR(_xlfn.LET(_xlpm.v,
VLOOKUP($I143,効果!$A:$B,COLUMN(効果!B$1),FALSE),
IF(_xlpm.v=0,"",_xlpm.v)
),"")</f>
        <v/>
      </c>
      <c r="L143" s="15" t="str">
        <f>IF(OR(COUNTIF(クラス!$A$1:$A$1035, $B143),$B143="",COUNTIF(スキル一覧!$A$1:$A$3500, $B143)), "", "存在しない")</f>
        <v/>
      </c>
      <c r="M143" s="2" t="str">
        <f>IF(COUNTIF($B$1:$C142, $B143), "", "存在しない")</f>
        <v>存在しない</v>
      </c>
      <c r="N143" s="2" t="s">
        <v>1249</v>
      </c>
    </row>
    <row r="144" spans="1:14" hidden="1" outlineLevel="1" x14ac:dyDescent="0.4">
      <c r="A144" s="2">
        <v>4</v>
      </c>
      <c r="J144" s="6" t="str">
        <f>IFERROR(_xlfn.LET(_xlpm.v,
VLOOKUP($I144,効果!$A:$B,COLUMN(効果!B$1),FALSE),
IF(_xlpm.v=0,"",_xlpm.v)
),"")</f>
        <v/>
      </c>
      <c r="L144" s="15" t="str">
        <f>IF(OR(COUNTIF(クラス!$A$1:$A$1035, $B144),$B144="",COUNTIF(スキル一覧!$A$1:$A$3500, $B144)), "", "存在しない")</f>
        <v/>
      </c>
      <c r="M144" s="2" t="str">
        <f>IF(COUNTIF($B$1:$C143, $B144), "", "存在しない")</f>
        <v>存在しない</v>
      </c>
      <c r="N144" s="2" t="s">
        <v>1249</v>
      </c>
    </row>
    <row r="145" spans="1:14" hidden="1" outlineLevel="1" x14ac:dyDescent="0.4">
      <c r="A145" s="2">
        <v>5</v>
      </c>
      <c r="J145" s="6" t="str">
        <f>IFERROR(_xlfn.LET(_xlpm.v,
VLOOKUP($I145,効果!$A:$B,COLUMN(効果!B$1),FALSE),
IF(_xlpm.v=0,"",_xlpm.v)
),"")</f>
        <v/>
      </c>
      <c r="L145" s="15" t="str">
        <f>IF(OR(COUNTIF(クラス!$A$1:$A$1035, $B145),$B145="",COUNTIF(スキル一覧!$A$1:$A$3500, $B145)), "", "存在しない")</f>
        <v/>
      </c>
      <c r="M145" s="2" t="str">
        <f>IF(COUNTIF($B$1:$C144, $B145), "", "存在しない")</f>
        <v>存在しない</v>
      </c>
      <c r="N145" s="2" t="s">
        <v>1249</v>
      </c>
    </row>
    <row r="146" spans="1:14" hidden="1" outlineLevel="1" x14ac:dyDescent="0.4">
      <c r="A146" s="2">
        <v>6</v>
      </c>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1249</v>
      </c>
    </row>
    <row r="147" spans="1:14" hidden="1" outlineLevel="1" x14ac:dyDescent="0.4">
      <c r="A147" s="2">
        <v>7</v>
      </c>
      <c r="J147" s="6" t="str">
        <f>IFERROR(_xlfn.LET(_xlpm.v,
VLOOKUP($I147,効果!$A:$B,COLUMN(効果!B$1),FALSE),
IF(_xlpm.v=0,"",_xlpm.v)
),"")</f>
        <v/>
      </c>
      <c r="L147" s="15" t="str">
        <f>IF(OR(COUNTIF(クラス!$A$1:$A$1035, $B147),$B147="",COUNTIF(スキル一覧!$A$1:$A$3500, $B147)), "", "存在しない")</f>
        <v/>
      </c>
      <c r="M147" s="2" t="str">
        <f>IF(COUNTIF($B$1:$C146, $B147), "", "存在しない")</f>
        <v>存在しない</v>
      </c>
      <c r="N147" s="2" t="s">
        <v>1249</v>
      </c>
    </row>
    <row r="148" spans="1:14" hidden="1" outlineLevel="1" x14ac:dyDescent="0.4">
      <c r="A148" s="2">
        <v>8</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1249</v>
      </c>
    </row>
    <row r="149" spans="1:14" hidden="1" outlineLevel="1" x14ac:dyDescent="0.4">
      <c r="A149" s="2">
        <v>9</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1249</v>
      </c>
    </row>
    <row r="150" spans="1:14" hidden="1" outlineLevel="1" x14ac:dyDescent="0.4">
      <c r="A150" s="2">
        <v>10</v>
      </c>
      <c r="J150" s="6" t="str">
        <f>IFERROR(_xlfn.LET(_xlpm.v,
VLOOKUP($I150,効果!$A:$B,COLUMN(効果!B$1),FALSE),
IF(_xlpm.v=0,"",_xlpm.v)
),"")</f>
        <v/>
      </c>
      <c r="L150" s="15" t="str">
        <f>IF(OR(COUNTIF(クラス!$A$1:$A$1035, $B150),$B150="",COUNTIF(スキル一覧!$A$1:$A$3500, $B150)), "", "存在しない")</f>
        <v/>
      </c>
      <c r="M150" s="2" t="str">
        <f>IF(COUNTIF($B$1:$C149, $B150), "", "存在しない")</f>
        <v>存在しない</v>
      </c>
      <c r="N150" s="2" t="s">
        <v>1249</v>
      </c>
    </row>
    <row r="151" spans="1:14" hidden="1" outlineLevel="1" x14ac:dyDescent="0.4">
      <c r="J151" s="6" t="str">
        <f>IFERROR(_xlfn.LET(_xlpm.v,
VLOOKUP($I151,効果!$A:$B,COLUMN(効果!B$1),FALSE),
IF(_xlpm.v=0,"",_xlpm.v)
),"")</f>
        <v/>
      </c>
      <c r="L151" s="15" t="str">
        <f>IF(OR(COUNTIF(クラス!$A$1:$A$1035, $B151),$B151="",COUNTIF(スキル一覧!$A$1:$A$3500, $B151)), "", "存在しない")</f>
        <v/>
      </c>
      <c r="M151" s="2" t="str">
        <f>IF(COUNTIF($B$1:$C150, $B151), "", "存在しない")</f>
        <v>存在しない</v>
      </c>
      <c r="N151" s="2" t="s">
        <v>1249</v>
      </c>
    </row>
    <row r="152" spans="1:14" collapsed="1" x14ac:dyDescent="0.4">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1249</v>
      </c>
    </row>
    <row r="153" spans="1:14" x14ac:dyDescent="0.4">
      <c r="B153" s="2" t="s">
        <v>251</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1249</v>
      </c>
    </row>
    <row r="154" spans="1:14" hidden="1" outlineLevel="1" x14ac:dyDescent="0.4">
      <c r="A154" s="2">
        <v>1</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1249</v>
      </c>
    </row>
    <row r="155" spans="1:14" hidden="1" outlineLevel="1" x14ac:dyDescent="0.4">
      <c r="A155" s="2">
        <v>2</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1249</v>
      </c>
    </row>
    <row r="156" spans="1:14" hidden="1" outlineLevel="1" x14ac:dyDescent="0.4">
      <c r="A156" s="2">
        <v>3</v>
      </c>
      <c r="J156" s="6" t="str">
        <f>IFERROR(_xlfn.LET(_xlpm.v,
VLOOKUP($I156,効果!$A:$B,COLUMN(効果!B$1),FALSE),
IF(_xlpm.v=0,"",_xlpm.v)
),"")</f>
        <v/>
      </c>
      <c r="L156" s="15" t="str">
        <f>IF(OR(COUNTIF(クラス!$A$1:$A$1035, $B156),$B156="",COUNTIF(スキル一覧!$A$1:$A$3500, $B156)), "", "存在しない")</f>
        <v/>
      </c>
      <c r="M156" s="2" t="str">
        <f>IF(COUNTIF($B$1:$C155, $B156), "", "存在しない")</f>
        <v>存在しない</v>
      </c>
      <c r="N156" s="2" t="s">
        <v>1249</v>
      </c>
    </row>
    <row r="157" spans="1:14" hidden="1" outlineLevel="1" x14ac:dyDescent="0.4">
      <c r="A157" s="2">
        <v>4</v>
      </c>
      <c r="J157" s="6" t="str">
        <f>IFERROR(_xlfn.LET(_xlpm.v,
VLOOKUP($I157,効果!$A:$B,COLUMN(効果!B$1),FALSE),
IF(_xlpm.v=0,"",_xlpm.v)
),"")</f>
        <v/>
      </c>
      <c r="L157" s="15" t="str">
        <f>IF(OR(COUNTIF(クラス!$A$1:$A$1035, $B157),$B157="",COUNTIF(スキル一覧!$A$1:$A$3500, $B157)), "", "存在しない")</f>
        <v/>
      </c>
      <c r="M157" s="2" t="str">
        <f>IF(COUNTIF($B$1:$C156, $B157), "", "存在しない")</f>
        <v>存在しない</v>
      </c>
      <c r="N157" s="2" t="s">
        <v>1249</v>
      </c>
    </row>
    <row r="158" spans="1:14" hidden="1" outlineLevel="1" x14ac:dyDescent="0.4">
      <c r="A158" s="2">
        <v>5</v>
      </c>
      <c r="J158" s="6" t="str">
        <f>IFERROR(_xlfn.LET(_xlpm.v,
VLOOKUP($I158,効果!$A:$B,COLUMN(効果!B$1),FALSE),
IF(_xlpm.v=0,"",_xlpm.v)
),"")</f>
        <v/>
      </c>
      <c r="L158" s="15" t="str">
        <f>IF(OR(COUNTIF(クラス!$A$1:$A$1035, $B158),$B158="",COUNTIF(スキル一覧!$A$1:$A$3500, $B158)), "", "存在しない")</f>
        <v/>
      </c>
      <c r="M158" s="2" t="str">
        <f>IF(COUNTIF($B$1:$C157, $B158), "", "存在しない")</f>
        <v>存在しない</v>
      </c>
      <c r="N158" s="2" t="s">
        <v>1249</v>
      </c>
    </row>
    <row r="159" spans="1:14" hidden="1" outlineLevel="1" x14ac:dyDescent="0.4">
      <c r="A159" s="2">
        <v>6</v>
      </c>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1249</v>
      </c>
    </row>
    <row r="160" spans="1:14" hidden="1" outlineLevel="1" x14ac:dyDescent="0.4">
      <c r="A160" s="2">
        <v>7</v>
      </c>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1249</v>
      </c>
    </row>
    <row r="161" spans="1:14" hidden="1" outlineLevel="1" x14ac:dyDescent="0.4">
      <c r="A161" s="2">
        <v>8</v>
      </c>
      <c r="J161" s="6" t="str">
        <f>IFERROR(_xlfn.LET(_xlpm.v,
VLOOKUP($I161,効果!$A:$B,COLUMN(効果!B$1),FALSE),
IF(_xlpm.v=0,"",_xlpm.v)
),"")</f>
        <v/>
      </c>
      <c r="L161" s="15" t="str">
        <f>IF(OR(COUNTIF(クラス!$A$1:$A$1035, $B161),$B161="",COUNTIF(スキル一覧!$A$1:$A$3500, $B161)), "", "存在しない")</f>
        <v/>
      </c>
      <c r="M161" s="2" t="str">
        <f>IF(COUNTIF($B$1:$C160, $B161), "", "存在しない")</f>
        <v>存在しない</v>
      </c>
      <c r="N161" s="2" t="s">
        <v>1249</v>
      </c>
    </row>
    <row r="162" spans="1:14" hidden="1" outlineLevel="1" x14ac:dyDescent="0.4">
      <c r="A162" s="2">
        <v>9</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1249</v>
      </c>
    </row>
    <row r="163" spans="1:14" hidden="1" outlineLevel="1" x14ac:dyDescent="0.4">
      <c r="A163" s="2">
        <v>10</v>
      </c>
      <c r="J163" s="6" t="str">
        <f>IFERROR(_xlfn.LET(_xlpm.v,
VLOOKUP($I163,効果!$A:$B,COLUMN(効果!B$1),FALSE),
IF(_xlpm.v=0,"",_xlpm.v)
),"")</f>
        <v/>
      </c>
      <c r="L163" s="15" t="str">
        <f>IF(OR(COUNTIF(クラス!$A$1:$A$1035, $B163),$B163="",COUNTIF(スキル一覧!$A$1:$A$3500, $B163)), "", "存在しない")</f>
        <v/>
      </c>
      <c r="M163" s="2" t="str">
        <f>IF(COUNTIF($B$1:$C162, $B163), "", "存在しない")</f>
        <v>存在しない</v>
      </c>
      <c r="N163" s="2" t="s">
        <v>1249</v>
      </c>
    </row>
    <row r="164" spans="1:14" hidden="1" outlineLevel="1" x14ac:dyDescent="0.4">
      <c r="J164" s="6" t="str">
        <f>IFERROR(_xlfn.LET(_xlpm.v,
VLOOKUP($I164,効果!$A:$B,COLUMN(効果!B$1),FALSE),
IF(_xlpm.v=0,"",_xlpm.v)
),"")</f>
        <v/>
      </c>
      <c r="L164" s="15" t="str">
        <f>IF(OR(COUNTIF(クラス!$A$1:$A$1035, $B164),$B164="",COUNTIF(スキル一覧!$A$1:$A$3500, $B164)), "", "存在しない")</f>
        <v/>
      </c>
      <c r="M164" s="2" t="str">
        <f>IF(COUNTIF($B$1:$C163, $B164), "", "存在しない")</f>
        <v>存在しない</v>
      </c>
      <c r="N164" s="2" t="s">
        <v>1249</v>
      </c>
    </row>
    <row r="165" spans="1:14" collapsed="1" x14ac:dyDescent="0.4">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1249</v>
      </c>
    </row>
    <row r="166" spans="1:14" x14ac:dyDescent="0.4">
      <c r="B166" s="2" t="s">
        <v>250</v>
      </c>
      <c r="J166" s="6" t="str">
        <f>IFERROR(_xlfn.LET(_xlpm.v,
VLOOKUP($I166,効果!$A:$B,COLUMN(効果!B$1),FALSE),
IF(_xlpm.v=0,"",_xlpm.v)
),"")</f>
        <v/>
      </c>
      <c r="L166" s="15" t="str">
        <f>IF(OR(COUNTIF(クラス!$A$1:$A$1035, $B166),$B166="",COUNTIF(スキル一覧!$A$1:$A$3500, $B166)), "", "存在しない")</f>
        <v/>
      </c>
      <c r="M166" s="2" t="str">
        <f>IF(COUNTIF($B$1:$C165, $B166), "", "存在しない")</f>
        <v>存在しない</v>
      </c>
      <c r="N166" s="2" t="s">
        <v>1249</v>
      </c>
    </row>
    <row r="167" spans="1:14" hidden="1" outlineLevel="1" x14ac:dyDescent="0.4">
      <c r="A167" s="2">
        <v>1</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1249</v>
      </c>
    </row>
    <row r="168" spans="1:14" hidden="1" outlineLevel="1" x14ac:dyDescent="0.4">
      <c r="A168" s="2">
        <v>2</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1249</v>
      </c>
    </row>
    <row r="169" spans="1:14" hidden="1" outlineLevel="1" x14ac:dyDescent="0.4">
      <c r="A169" s="2">
        <v>3</v>
      </c>
      <c r="J169" s="6" t="str">
        <f>IFERROR(_xlfn.LET(_xlpm.v,
VLOOKUP($I169,効果!$A:$B,COLUMN(効果!B$1),FALSE),
IF(_xlpm.v=0,"",_xlpm.v)
),"")</f>
        <v/>
      </c>
      <c r="L169" s="15" t="str">
        <f>IF(OR(COUNTIF(クラス!$A$1:$A$1035, $B169),$B169="",COUNTIF(スキル一覧!$A$1:$A$3500, $B169)), "", "存在しない")</f>
        <v/>
      </c>
      <c r="M169" s="2" t="str">
        <f>IF(COUNTIF($B$1:$C168, $B169), "", "存在しない")</f>
        <v>存在しない</v>
      </c>
      <c r="N169" s="2" t="s">
        <v>1249</v>
      </c>
    </row>
    <row r="170" spans="1:14" hidden="1" outlineLevel="1" x14ac:dyDescent="0.4">
      <c r="A170" s="2">
        <v>4</v>
      </c>
      <c r="J170" s="6" t="str">
        <f>IFERROR(_xlfn.LET(_xlpm.v,
VLOOKUP($I170,効果!$A:$B,COLUMN(効果!B$1),FALSE),
IF(_xlpm.v=0,"",_xlpm.v)
),"")</f>
        <v/>
      </c>
      <c r="L170" s="15" t="str">
        <f>IF(OR(COUNTIF(クラス!$A$1:$A$1035, $B170),$B170="",COUNTIF(スキル一覧!$A$1:$A$3500, $B170)), "", "存在しない")</f>
        <v/>
      </c>
      <c r="M170" s="2" t="str">
        <f>IF(COUNTIF($B$1:$C169, $B170), "", "存在しない")</f>
        <v>存在しない</v>
      </c>
      <c r="N170" s="2" t="s">
        <v>1249</v>
      </c>
    </row>
    <row r="171" spans="1:14" hidden="1" outlineLevel="1" x14ac:dyDescent="0.4">
      <c r="A171" s="2">
        <v>5</v>
      </c>
      <c r="J171" s="6" t="str">
        <f>IFERROR(_xlfn.LET(_xlpm.v,
VLOOKUP($I171,効果!$A:$B,COLUMN(効果!B$1),FALSE),
IF(_xlpm.v=0,"",_xlpm.v)
),"")</f>
        <v/>
      </c>
      <c r="L171" s="15" t="str">
        <f>IF(OR(COUNTIF(クラス!$A$1:$A$1035, $B171),$B171="",COUNTIF(スキル一覧!$A$1:$A$3500, $B171)), "", "存在しない")</f>
        <v/>
      </c>
      <c r="M171" s="2" t="str">
        <f>IF(COUNTIF($B$1:$C170, $B171), "", "存在しない")</f>
        <v>存在しない</v>
      </c>
      <c r="N171" s="2" t="s">
        <v>1249</v>
      </c>
    </row>
    <row r="172" spans="1:14" hidden="1" outlineLevel="1" x14ac:dyDescent="0.4">
      <c r="A172" s="2">
        <v>6</v>
      </c>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1249</v>
      </c>
    </row>
    <row r="173" spans="1:14" hidden="1" outlineLevel="1" x14ac:dyDescent="0.4">
      <c r="A173" s="2">
        <v>7</v>
      </c>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1249</v>
      </c>
    </row>
    <row r="174" spans="1:14" hidden="1" outlineLevel="1" x14ac:dyDescent="0.4">
      <c r="A174" s="2">
        <v>8</v>
      </c>
      <c r="J174" s="6" t="str">
        <f>IFERROR(_xlfn.LET(_xlpm.v,
VLOOKUP($I174,効果!$A:$B,COLUMN(効果!B$1),FALSE),
IF(_xlpm.v=0,"",_xlpm.v)
),"")</f>
        <v/>
      </c>
      <c r="L174" s="15" t="str">
        <f>IF(OR(COUNTIF(クラス!$A$1:$A$1035, $B174),$B174="",COUNTIF(スキル一覧!$A$1:$A$3500, $B174)), "", "存在しない")</f>
        <v/>
      </c>
      <c r="M174" s="2" t="str">
        <f>IF(COUNTIF($B$1:$C173, $B174), "", "存在しない")</f>
        <v>存在しない</v>
      </c>
      <c r="N174" s="2" t="s">
        <v>1249</v>
      </c>
    </row>
    <row r="175" spans="1:14" hidden="1" outlineLevel="1" x14ac:dyDescent="0.4">
      <c r="A175" s="2">
        <v>9</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1249</v>
      </c>
    </row>
    <row r="176" spans="1:14" hidden="1" outlineLevel="1" x14ac:dyDescent="0.4">
      <c r="A176" s="2">
        <v>10</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1249</v>
      </c>
    </row>
    <row r="177" spans="1:14" hidden="1" outlineLevel="1" x14ac:dyDescent="0.4">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1249</v>
      </c>
    </row>
    <row r="178" spans="1:14" collapsed="1" x14ac:dyDescent="0.4">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1249</v>
      </c>
    </row>
    <row r="179" spans="1:14" x14ac:dyDescent="0.4">
      <c r="B179" s="2" t="s">
        <v>37</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1249</v>
      </c>
    </row>
    <row r="180" spans="1:14" ht="36" hidden="1" outlineLevel="1" x14ac:dyDescent="0.4">
      <c r="A180" s="2">
        <v>1</v>
      </c>
      <c r="B180" s="2" t="s">
        <v>307</v>
      </c>
      <c r="D180" s="2" t="s">
        <v>137</v>
      </c>
      <c r="E180" s="13" t="s">
        <v>129</v>
      </c>
      <c r="H180" s="10" t="s">
        <v>308</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1249</v>
      </c>
    </row>
    <row r="181" spans="1:14" ht="36" hidden="1" outlineLevel="1" x14ac:dyDescent="0.4">
      <c r="A181" s="2">
        <v>2</v>
      </c>
      <c r="B181" s="2" t="s">
        <v>310</v>
      </c>
      <c r="C181" s="2" t="s">
        <v>311</v>
      </c>
      <c r="D181" s="2" t="s">
        <v>309</v>
      </c>
      <c r="E181" s="13" t="s">
        <v>129</v>
      </c>
      <c r="H181" s="10" t="s">
        <v>312</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1249</v>
      </c>
    </row>
    <row r="182" spans="1:14" hidden="1" outlineLevel="1" x14ac:dyDescent="0.4">
      <c r="A182" s="2">
        <v>3</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1249</v>
      </c>
    </row>
    <row r="183" spans="1:14" hidden="1" outlineLevel="1" x14ac:dyDescent="0.4">
      <c r="A183" s="2">
        <v>4</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1249</v>
      </c>
    </row>
    <row r="184" spans="1:14" hidden="1" outlineLevel="1" x14ac:dyDescent="0.4">
      <c r="A184" s="2">
        <v>5</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1249</v>
      </c>
    </row>
    <row r="185" spans="1:14" hidden="1" outlineLevel="1" x14ac:dyDescent="0.4">
      <c r="A185" s="2">
        <v>6</v>
      </c>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1249</v>
      </c>
    </row>
    <row r="186" spans="1:14" hidden="1" outlineLevel="1" x14ac:dyDescent="0.4">
      <c r="A186" s="2">
        <v>7</v>
      </c>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1249</v>
      </c>
    </row>
    <row r="187" spans="1:14" hidden="1" outlineLevel="1" x14ac:dyDescent="0.4">
      <c r="A187" s="2">
        <v>8</v>
      </c>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1249</v>
      </c>
    </row>
    <row r="188" spans="1:14" hidden="1" outlineLevel="1" x14ac:dyDescent="0.4">
      <c r="A188" s="2">
        <v>9</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1249</v>
      </c>
    </row>
    <row r="189" spans="1:14" hidden="1" outlineLevel="1" x14ac:dyDescent="0.4">
      <c r="A189" s="2">
        <v>10</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1249</v>
      </c>
    </row>
    <row r="190" spans="1:14" hidden="1" outlineLevel="1" x14ac:dyDescent="0.4">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1249</v>
      </c>
    </row>
    <row r="191" spans="1:14" collapsed="1" x14ac:dyDescent="0.4">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1249</v>
      </c>
    </row>
    <row r="192" spans="1:14" x14ac:dyDescent="0.4">
      <c r="B192" s="2" t="s">
        <v>39</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1249</v>
      </c>
    </row>
    <row r="193" spans="1:14" hidden="1" outlineLevel="1" x14ac:dyDescent="0.4">
      <c r="A193" s="2">
        <v>1</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1249</v>
      </c>
    </row>
    <row r="194" spans="1:14" hidden="1" outlineLevel="1" x14ac:dyDescent="0.4">
      <c r="A194" s="2">
        <v>2</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1249</v>
      </c>
    </row>
    <row r="195" spans="1:14" hidden="1" outlineLevel="1" x14ac:dyDescent="0.4">
      <c r="A195" s="2">
        <v>3</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1249</v>
      </c>
    </row>
    <row r="196" spans="1:14" hidden="1" outlineLevel="1" x14ac:dyDescent="0.4">
      <c r="A196" s="2">
        <v>4</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1249</v>
      </c>
    </row>
    <row r="197" spans="1:14" hidden="1" outlineLevel="1" x14ac:dyDescent="0.4">
      <c r="A197" s="2">
        <v>5</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1249</v>
      </c>
    </row>
    <row r="198" spans="1:14" hidden="1" outlineLevel="1" x14ac:dyDescent="0.4">
      <c r="A198" s="2">
        <v>6</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1249</v>
      </c>
    </row>
    <row r="199" spans="1:14" hidden="1" outlineLevel="1" x14ac:dyDescent="0.4">
      <c r="A199" s="2">
        <v>7</v>
      </c>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1249</v>
      </c>
    </row>
    <row r="200" spans="1:14" hidden="1" outlineLevel="1" x14ac:dyDescent="0.4">
      <c r="A200" s="2">
        <v>8</v>
      </c>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1249</v>
      </c>
    </row>
    <row r="201" spans="1:14" hidden="1" outlineLevel="1" x14ac:dyDescent="0.4">
      <c r="A201" s="2">
        <v>9</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1249</v>
      </c>
    </row>
    <row r="202" spans="1:14" hidden="1" outlineLevel="1" x14ac:dyDescent="0.4">
      <c r="A202" s="2">
        <v>10</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1249</v>
      </c>
    </row>
    <row r="203" spans="1:14" hidden="1" outlineLevel="1" x14ac:dyDescent="0.4">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1249</v>
      </c>
    </row>
    <row r="204" spans="1:14" collapsed="1" x14ac:dyDescent="0.4">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1249</v>
      </c>
    </row>
    <row r="205" spans="1:14" x14ac:dyDescent="0.4">
      <c r="B205" s="2" t="s">
        <v>189</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1249</v>
      </c>
    </row>
    <row r="206" spans="1:14" ht="36" hidden="1" outlineLevel="1" x14ac:dyDescent="0.4">
      <c r="A206" s="2">
        <v>1</v>
      </c>
      <c r="B206" s="2" t="s">
        <v>313</v>
      </c>
      <c r="C206" s="2" t="s">
        <v>314</v>
      </c>
      <c r="E206" s="13" t="s">
        <v>129</v>
      </c>
      <c r="G206" s="19">
        <v>100</v>
      </c>
      <c r="H206" s="10" t="s">
        <v>322</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1249</v>
      </c>
    </row>
    <row r="207" spans="1:14" hidden="1" outlineLevel="1" x14ac:dyDescent="0.4">
      <c r="A207" s="2">
        <v>2</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1249</v>
      </c>
    </row>
    <row r="208" spans="1:14" hidden="1" outlineLevel="1" x14ac:dyDescent="0.4">
      <c r="A208" s="2">
        <v>3</v>
      </c>
      <c r="B208" s="2" t="s">
        <v>475</v>
      </c>
      <c r="E208" s="13" t="s">
        <v>474</v>
      </c>
      <c r="H208" s="10" t="s">
        <v>476</v>
      </c>
      <c r="J208" s="6" t="str">
        <f>IFERROR(_xlfn.LET(_xlpm.v,
VLOOKUP($I208,効果!$A:$B,COLUMN(効果!B$1),FALSE),
IF(_xlpm.v=0,"",_xlpm.v)
),"")</f>
        <v/>
      </c>
      <c r="L208" s="15" t="str">
        <f>IF(OR(COUNTIF(クラス!$A$1:$A$1035, $B208),$B208="",COUNTIF(スキル一覧!$A$1:$A$3500, $B208)), "", "存在しない")</f>
        <v>存在しない</v>
      </c>
      <c r="M208" s="2" t="str">
        <f>IF(COUNTIF($B$1:$C207, $B208), "", "存在しない")</f>
        <v>存在しない</v>
      </c>
      <c r="N208" s="2" t="e">
        <v>#VALUE!</v>
      </c>
    </row>
    <row r="209" spans="1:14" hidden="1" outlineLevel="1" x14ac:dyDescent="0.4">
      <c r="A209" s="2">
        <v>4</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1249</v>
      </c>
    </row>
    <row r="210" spans="1:14" hidden="1" outlineLevel="1" x14ac:dyDescent="0.4">
      <c r="A210" s="2">
        <v>5</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1249</v>
      </c>
    </row>
    <row r="211" spans="1:14" hidden="1" outlineLevel="1" x14ac:dyDescent="0.4">
      <c r="A211" s="2">
        <v>6</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1249</v>
      </c>
    </row>
    <row r="212" spans="1:14" hidden="1" outlineLevel="1" x14ac:dyDescent="0.4">
      <c r="A212" s="2">
        <v>7</v>
      </c>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1249</v>
      </c>
    </row>
    <row r="213" spans="1:14" hidden="1" outlineLevel="1" x14ac:dyDescent="0.4">
      <c r="A213" s="2">
        <v>8</v>
      </c>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1249</v>
      </c>
    </row>
    <row r="214" spans="1:14" hidden="1" outlineLevel="1" x14ac:dyDescent="0.4">
      <c r="A214" s="2">
        <v>9</v>
      </c>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1249</v>
      </c>
    </row>
    <row r="215" spans="1:14" hidden="1" outlineLevel="1" x14ac:dyDescent="0.4">
      <c r="A215" s="2">
        <v>10</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1249</v>
      </c>
    </row>
    <row r="216" spans="1:14" hidden="1" outlineLevel="1" x14ac:dyDescent="0.4">
      <c r="J216" s="6" t="str">
        <f>IFERROR(_xlfn.LET(_xlpm.v,
VLOOKUP($I216,効果!$A:$B,COLUMN(効果!B$1),FALSE),
IF(_xlpm.v=0,"",_xlpm.v)
),"")</f>
        <v/>
      </c>
      <c r="L216" s="15" t="str">
        <f>IF(OR(COUNTIF(クラス!$A$1:$A$1035, $B216),$B216="",COUNTIF(スキル一覧!$A$1:$A$3500, $B216)), "", "存在しない")</f>
        <v/>
      </c>
      <c r="M216" s="2" t="str">
        <f>IF(COUNTIF($B$1:$C215, $B216), "", "存在しない")</f>
        <v>存在しない</v>
      </c>
      <c r="N216" s="2" t="s">
        <v>1249</v>
      </c>
    </row>
    <row r="217" spans="1:14" collapsed="1" x14ac:dyDescent="0.4">
      <c r="J217" s="6" t="str">
        <f>IFERROR(_xlfn.LET(_xlpm.v,
VLOOKUP($I217,効果!$A:$B,COLUMN(効果!B$1),FALSE),
IF(_xlpm.v=0,"",_xlpm.v)
),"")</f>
        <v/>
      </c>
      <c r="L217" s="15" t="str">
        <f>IF(OR(COUNTIF(クラス!$A$1:$A$1035, $B217),$B217="",COUNTIF(スキル一覧!$A$1:$A$3500, $B217)), "", "存在しない")</f>
        <v/>
      </c>
      <c r="M217" s="2" t="str">
        <f>IF(COUNTIF($B$1:$C216, $B217), "", "存在しない")</f>
        <v>存在しない</v>
      </c>
      <c r="N217" s="2" t="s">
        <v>1249</v>
      </c>
    </row>
    <row r="218" spans="1:14" x14ac:dyDescent="0.4">
      <c r="B218" s="2" t="s">
        <v>54</v>
      </c>
      <c r="J218" s="6" t="str">
        <f>IFERROR(_xlfn.LET(_xlpm.v,
VLOOKUP($I218,効果!$A:$B,COLUMN(効果!B$1),FALSE),
IF(_xlpm.v=0,"",_xlpm.v)
),"")</f>
        <v/>
      </c>
      <c r="L218" s="15" t="str">
        <f>IF(OR(COUNTIF(クラス!$A$1:$A$1035, $B218),$B218="",COUNTIF(スキル一覧!$A$1:$A$3500, $B218)), "", "存在しない")</f>
        <v/>
      </c>
      <c r="M218" s="2" t="str">
        <f>IF(COUNTIF($B$1:$C217, $B218), "", "存在しない")</f>
        <v>存在しない</v>
      </c>
      <c r="N218" s="2" t="s">
        <v>1249</v>
      </c>
    </row>
    <row r="219" spans="1:14" x14ac:dyDescent="0.4">
      <c r="B219" s="2" t="s">
        <v>56</v>
      </c>
      <c r="J219" s="6" t="str">
        <f>IFERROR(_xlfn.LET(_xlpm.v,
VLOOKUP($I219,効果!$A:$B,COLUMN(効果!B$1),FALSE),
IF(_xlpm.v=0,"",_xlpm.v)
),"")</f>
        <v/>
      </c>
      <c r="L219" s="15" t="str">
        <f>IF(OR(COUNTIF(クラス!$A$1:$A$1035, $B219),$B219="",COUNTIF(スキル一覧!$A$1:$A$3500, $B219)), "", "存在しない")</f>
        <v/>
      </c>
      <c r="M219" s="2" t="str">
        <f>IF(COUNTIF($B$1:$C218, $B219), "", "存在しない")</f>
        <v>存在しない</v>
      </c>
      <c r="N219" s="2" t="s">
        <v>1249</v>
      </c>
    </row>
    <row r="220" spans="1:14" x14ac:dyDescent="0.4">
      <c r="B220" s="2" t="s">
        <v>58</v>
      </c>
      <c r="J220" s="6" t="str">
        <f>IFERROR(_xlfn.LET(_xlpm.v,
VLOOKUP($I220,効果!$A:$B,COLUMN(効果!B$1),FALSE),
IF(_xlpm.v=0,"",_xlpm.v)
),"")</f>
        <v/>
      </c>
      <c r="L220" s="15" t="str">
        <f>IF(OR(COUNTIF(クラス!$A$1:$A$1035, $B220),$B220="",COUNTIF(スキル一覧!$A$1:$A$3500, $B220)), "", "存在しない")</f>
        <v/>
      </c>
      <c r="M220" s="2" t="str">
        <f>IF(COUNTIF($B$1:$C219, $B220), "", "存在しない")</f>
        <v>存在しない</v>
      </c>
      <c r="N220" s="2" t="s">
        <v>1249</v>
      </c>
    </row>
    <row r="221" spans="1:14" x14ac:dyDescent="0.4">
      <c r="J221" s="6" t="str">
        <f>IFERROR(_xlfn.LET(_xlpm.v,
VLOOKUP($I221,効果!$A:$B,COLUMN(効果!B$1),FALSE),
IF(_xlpm.v=0,"",_xlpm.v)
),"")</f>
        <v/>
      </c>
      <c r="L221" s="15" t="str">
        <f>IF(OR(COUNTIF(クラス!$A$1:$A$1035, $B221),$B221="",COUNTIF(スキル一覧!$A$1:$A$3500, $B221)), "", "存在しない")</f>
        <v/>
      </c>
      <c r="M221" s="2" t="str">
        <f>IF(COUNTIF($B$1:$C220, $B221), "", "存在しない")</f>
        <v>存在しない</v>
      </c>
      <c r="N221" s="2" t="s">
        <v>1249</v>
      </c>
    </row>
    <row r="222" spans="1:14" x14ac:dyDescent="0.4">
      <c r="B222" s="2" t="s">
        <v>52</v>
      </c>
      <c r="J222" s="6" t="str">
        <f>IFERROR(_xlfn.LET(_xlpm.v,
VLOOKUP($I222,効果!$A:$B,COLUMN(効果!B$1),FALSE),
IF(_xlpm.v=0,"",_xlpm.v)
),"")</f>
        <v/>
      </c>
      <c r="L222" s="15" t="str">
        <f>IF(OR(COUNTIF(クラス!$A$1:$A$1035, $B222),$B222="",COUNTIF(スキル一覧!$A$1:$A$3500, $B222)), "", "存在しない")</f>
        <v/>
      </c>
      <c r="M222" s="2" t="str">
        <f>IF(COUNTIF($B$1:$C221, $B222), "", "存在しない")</f>
        <v>存在しない</v>
      </c>
      <c r="N222" s="2" t="s">
        <v>1249</v>
      </c>
    </row>
    <row r="223" spans="1:14" hidden="1" outlineLevel="1" x14ac:dyDescent="0.4">
      <c r="A223" s="2">
        <v>1</v>
      </c>
      <c r="J223" s="6" t="str">
        <f>IFERROR(_xlfn.LET(_xlpm.v,
VLOOKUP($I223,効果!$A:$B,COLUMN(効果!B$1),FALSE),
IF(_xlpm.v=0,"",_xlpm.v)
),"")</f>
        <v/>
      </c>
      <c r="L223" s="15" t="str">
        <f>IF(OR(COUNTIF(クラス!$A$1:$A$1035, $B223),$B223="",COUNTIF(スキル一覧!$A$1:$A$3500, $B223)), "", "存在しない")</f>
        <v/>
      </c>
      <c r="M223" s="2" t="str">
        <f>IF(COUNTIF($B$1:$C222, $B223), "", "存在しない")</f>
        <v>存在しない</v>
      </c>
      <c r="N223" s="2" t="s">
        <v>1249</v>
      </c>
    </row>
    <row r="224" spans="1:14" hidden="1" outlineLevel="1" x14ac:dyDescent="0.4">
      <c r="A224" s="2">
        <v>2</v>
      </c>
      <c r="J224" s="6" t="str">
        <f>IFERROR(_xlfn.LET(_xlpm.v,
VLOOKUP($I224,効果!$A:$B,COLUMN(効果!B$1),FALSE),
IF(_xlpm.v=0,"",_xlpm.v)
),"")</f>
        <v/>
      </c>
      <c r="L224" s="15" t="str">
        <f>IF(OR(COUNTIF(クラス!$A$1:$A$1035, $B224),$B224="",COUNTIF(スキル一覧!$A$1:$A$3500, $B224)), "", "存在しない")</f>
        <v/>
      </c>
      <c r="M224" s="2" t="str">
        <f>IF(COUNTIF($B$1:$C223, $B224), "", "存在しない")</f>
        <v>存在しない</v>
      </c>
      <c r="N224" s="2" t="s">
        <v>1249</v>
      </c>
    </row>
    <row r="225" spans="1:14" hidden="1" outlineLevel="1" x14ac:dyDescent="0.4">
      <c r="A225" s="2">
        <v>3</v>
      </c>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1249</v>
      </c>
    </row>
    <row r="226" spans="1:14" hidden="1" outlineLevel="1" x14ac:dyDescent="0.4">
      <c r="A226" s="2">
        <v>4</v>
      </c>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1249</v>
      </c>
    </row>
    <row r="227" spans="1:14" hidden="1" outlineLevel="1" x14ac:dyDescent="0.4">
      <c r="A227" s="2">
        <v>5</v>
      </c>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1249</v>
      </c>
    </row>
    <row r="228" spans="1:14" hidden="1" outlineLevel="1" x14ac:dyDescent="0.4">
      <c r="A228" s="2">
        <v>6</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1249</v>
      </c>
    </row>
    <row r="229" spans="1:14" hidden="1" outlineLevel="1" x14ac:dyDescent="0.4">
      <c r="A229" s="2">
        <v>7</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1249</v>
      </c>
    </row>
    <row r="230" spans="1:14" hidden="1" outlineLevel="1" x14ac:dyDescent="0.4">
      <c r="A230" s="2">
        <v>8</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1249</v>
      </c>
    </row>
    <row r="231" spans="1:14" hidden="1" outlineLevel="1" x14ac:dyDescent="0.4">
      <c r="A231" s="2">
        <v>9</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1249</v>
      </c>
    </row>
    <row r="232" spans="1:14" hidden="1" outlineLevel="1" x14ac:dyDescent="0.4">
      <c r="A232" s="2">
        <v>10</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1249</v>
      </c>
    </row>
    <row r="233" spans="1:14" hidden="1" outlineLevel="1" x14ac:dyDescent="0.4">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1249</v>
      </c>
    </row>
    <row r="234" spans="1:14" collapsed="1" x14ac:dyDescent="0.4">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1249</v>
      </c>
    </row>
    <row r="235" spans="1:14" x14ac:dyDescent="0.4">
      <c r="B235" s="2" t="s">
        <v>63</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1249</v>
      </c>
    </row>
    <row r="236" spans="1:14" hidden="1" outlineLevel="1" x14ac:dyDescent="0.4">
      <c r="A236" s="2">
        <v>1</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1249</v>
      </c>
    </row>
    <row r="237" spans="1:14" hidden="1" outlineLevel="1" x14ac:dyDescent="0.4">
      <c r="A237" s="2">
        <v>2</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1249</v>
      </c>
    </row>
    <row r="238" spans="1:14" hidden="1" outlineLevel="1" x14ac:dyDescent="0.4">
      <c r="A238" s="2">
        <v>3</v>
      </c>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1249</v>
      </c>
    </row>
    <row r="239" spans="1:14" hidden="1" outlineLevel="1" x14ac:dyDescent="0.4">
      <c r="A239" s="2">
        <v>4</v>
      </c>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1249</v>
      </c>
    </row>
    <row r="240" spans="1:14" hidden="1" outlineLevel="1" x14ac:dyDescent="0.4">
      <c r="A240" s="2">
        <v>5</v>
      </c>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1249</v>
      </c>
    </row>
    <row r="241" spans="1:14" hidden="1" outlineLevel="1" x14ac:dyDescent="0.4">
      <c r="A241" s="2">
        <v>6</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1249</v>
      </c>
    </row>
    <row r="242" spans="1:14" hidden="1" outlineLevel="1" x14ac:dyDescent="0.4">
      <c r="A242" s="2">
        <v>7</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1249</v>
      </c>
    </row>
    <row r="243" spans="1:14" hidden="1" outlineLevel="1" x14ac:dyDescent="0.4">
      <c r="A243" s="2">
        <v>8</v>
      </c>
      <c r="J243" s="6" t="str">
        <f>IFERROR(_xlfn.LET(_xlpm.v,
VLOOKUP($I243,効果!$A:$B,COLUMN(効果!B$1),FALSE),
IF(_xlpm.v=0,"",_xlpm.v)
),"")</f>
        <v/>
      </c>
      <c r="L243" s="15" t="str">
        <f>IF(OR(COUNTIF(クラス!$A$1:$A$1035, $B243),$B243="",COUNTIF(スキル一覧!$A$1:$A$3500, $B243)), "", "存在しない")</f>
        <v/>
      </c>
      <c r="M243" s="2" t="str">
        <f>IF(COUNTIF($B$1:$C242, $B243), "", "存在しない")</f>
        <v>存在しない</v>
      </c>
      <c r="N243" s="2" t="s">
        <v>1249</v>
      </c>
    </row>
    <row r="244" spans="1:14" hidden="1" outlineLevel="1" x14ac:dyDescent="0.4">
      <c r="A244" s="2">
        <v>9</v>
      </c>
      <c r="J244" s="6" t="str">
        <f>IFERROR(_xlfn.LET(_xlpm.v,
VLOOKUP($I244,効果!$A:$B,COLUMN(効果!B$1),FALSE),
IF(_xlpm.v=0,"",_xlpm.v)
),"")</f>
        <v/>
      </c>
      <c r="L244" s="15" t="str">
        <f>IF(OR(COUNTIF(クラス!$A$1:$A$1035, $B244),$B244="",COUNTIF(スキル一覧!$A$1:$A$3500, $B244)), "", "存在しない")</f>
        <v/>
      </c>
      <c r="M244" s="2" t="str">
        <f>IF(COUNTIF($B$1:$C243, $B244), "", "存在しない")</f>
        <v>存在しない</v>
      </c>
      <c r="N244" s="2" t="s">
        <v>1249</v>
      </c>
    </row>
    <row r="245" spans="1:14" hidden="1" outlineLevel="1" x14ac:dyDescent="0.4">
      <c r="A245" s="2">
        <v>10</v>
      </c>
      <c r="J245" s="6" t="str">
        <f>IFERROR(_xlfn.LET(_xlpm.v,
VLOOKUP($I245,効果!$A:$B,COLUMN(効果!B$1),FALSE),
IF(_xlpm.v=0,"",_xlpm.v)
),"")</f>
        <v/>
      </c>
      <c r="L245" s="15" t="str">
        <f>IF(OR(COUNTIF(クラス!$A$1:$A$1035, $B245),$B245="",COUNTIF(スキル一覧!$A$1:$A$3500, $B245)), "", "存在しない")</f>
        <v/>
      </c>
      <c r="M245" s="2" t="str">
        <f>IF(COUNTIF($B$1:$C244, $B245), "", "存在しない")</f>
        <v>存在しない</v>
      </c>
      <c r="N245" s="2" t="s">
        <v>1249</v>
      </c>
    </row>
    <row r="246" spans="1:14" hidden="1" outlineLevel="1" x14ac:dyDescent="0.4">
      <c r="J246" s="6" t="str">
        <f>IFERROR(_xlfn.LET(_xlpm.v,
VLOOKUP($I246,効果!$A:$B,COLUMN(効果!B$1),FALSE),
IF(_xlpm.v=0,"",_xlpm.v)
),"")</f>
        <v/>
      </c>
      <c r="L246" s="15" t="str">
        <f>IF(OR(COUNTIF(クラス!$A$1:$A$1035, $B246),$B246="",COUNTIF(スキル一覧!$A$1:$A$3500, $B246)), "", "存在しない")</f>
        <v/>
      </c>
      <c r="M246" s="2" t="str">
        <f>IF(COUNTIF($B$1:$C245, $B246), "", "存在しない")</f>
        <v>存在しない</v>
      </c>
      <c r="N246" s="2" t="s">
        <v>1249</v>
      </c>
    </row>
    <row r="247" spans="1:14" collapsed="1" x14ac:dyDescent="0.4">
      <c r="J247" s="6" t="str">
        <f>IFERROR(_xlfn.LET(_xlpm.v,
VLOOKUP($I247,効果!$A:$B,COLUMN(効果!B$1),FALSE),
IF(_xlpm.v=0,"",_xlpm.v)
),"")</f>
        <v/>
      </c>
      <c r="L247" s="15" t="str">
        <f>IF(OR(COUNTIF(クラス!$A$1:$A$1035, $B247),$B247="",COUNTIF(スキル一覧!$A$1:$A$3500, $B247)), "", "存在しない")</f>
        <v/>
      </c>
      <c r="M247" s="2" t="str">
        <f>IF(COUNTIF($B$1:$C246, $B247), "", "存在しない")</f>
        <v>存在しない</v>
      </c>
      <c r="N247" s="2" t="s">
        <v>1249</v>
      </c>
    </row>
    <row r="248" spans="1:14" x14ac:dyDescent="0.4">
      <c r="B248" s="2" t="s">
        <v>41</v>
      </c>
      <c r="J248" s="6" t="str">
        <f>IFERROR(_xlfn.LET(_xlpm.v,
VLOOKUP($I248,効果!$A:$B,COLUMN(効果!B$1),FALSE),
IF(_xlpm.v=0,"",_xlpm.v)
),"")</f>
        <v/>
      </c>
      <c r="L248" s="15" t="str">
        <f>IF(OR(COUNTIF(クラス!$A$1:$A$1035, $B248),$B248="",COUNTIF(スキル一覧!$A$1:$A$3500, $B248)), "", "存在しない")</f>
        <v/>
      </c>
      <c r="M248" s="2" t="str">
        <f>IF(COUNTIF($B$1:$C247, $B248), "", "存在しない")</f>
        <v>存在しない</v>
      </c>
      <c r="N248" s="2" t="s">
        <v>1249</v>
      </c>
    </row>
    <row r="249" spans="1:14" hidden="1" outlineLevel="1" x14ac:dyDescent="0.4">
      <c r="A249" s="2">
        <v>1</v>
      </c>
      <c r="J249" s="6" t="str">
        <f>IFERROR(_xlfn.LET(_xlpm.v,
VLOOKUP($I249,効果!$A:$B,COLUMN(効果!B$1),FALSE),
IF(_xlpm.v=0,"",_xlpm.v)
),"")</f>
        <v/>
      </c>
      <c r="L249" s="15" t="str">
        <f>IF(OR(COUNTIF(クラス!$A$1:$A$1035, $B249),$B249="",COUNTIF(スキル一覧!$A$1:$A$3500, $B249)), "", "存在しない")</f>
        <v/>
      </c>
      <c r="M249" s="2" t="str">
        <f>IF(COUNTIF($B$1:$C248, $B249), "", "存在しない")</f>
        <v>存在しない</v>
      </c>
      <c r="N249" s="2" t="s">
        <v>1249</v>
      </c>
    </row>
    <row r="250" spans="1:14" hidden="1" outlineLevel="1" x14ac:dyDescent="0.4">
      <c r="A250" s="2">
        <v>2</v>
      </c>
      <c r="J250" s="6" t="str">
        <f>IFERROR(_xlfn.LET(_xlpm.v,
VLOOKUP($I250,効果!$A:$B,COLUMN(効果!B$1),FALSE),
IF(_xlpm.v=0,"",_xlpm.v)
),"")</f>
        <v/>
      </c>
      <c r="L250" s="15" t="str">
        <f>IF(OR(COUNTIF(クラス!$A$1:$A$1035, $B250),$B250="",COUNTIF(スキル一覧!$A$1:$A$3500, $B250)), "", "存在しない")</f>
        <v/>
      </c>
      <c r="M250" s="2" t="str">
        <f>IF(COUNTIF($B$1:$C249, $B250), "", "存在しない")</f>
        <v>存在しない</v>
      </c>
      <c r="N250" s="2" t="s">
        <v>1249</v>
      </c>
    </row>
    <row r="251" spans="1:14" hidden="1" outlineLevel="1" x14ac:dyDescent="0.4">
      <c r="A251" s="2">
        <v>3</v>
      </c>
      <c r="J251" s="6" t="str">
        <f>IFERROR(_xlfn.LET(_xlpm.v,
VLOOKUP($I251,効果!$A:$B,COLUMN(効果!B$1),FALSE),
IF(_xlpm.v=0,"",_xlpm.v)
),"")</f>
        <v/>
      </c>
      <c r="L251" s="15" t="str">
        <f>IF(OR(COUNTIF(クラス!$A$1:$A$1035, $B251),$B251="",COUNTIF(スキル一覧!$A$1:$A$3500, $B251)), "", "存在しない")</f>
        <v/>
      </c>
      <c r="M251" s="2" t="str">
        <f>IF(COUNTIF($B$1:$C250, $B251), "", "存在しない")</f>
        <v>存在しない</v>
      </c>
      <c r="N251" s="2" t="s">
        <v>1249</v>
      </c>
    </row>
    <row r="252" spans="1:14" hidden="1" outlineLevel="1" x14ac:dyDescent="0.4">
      <c r="A252" s="2">
        <v>4</v>
      </c>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1249</v>
      </c>
    </row>
    <row r="253" spans="1:14" hidden="1" outlineLevel="1" x14ac:dyDescent="0.4">
      <c r="A253" s="2">
        <v>5</v>
      </c>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1249</v>
      </c>
    </row>
    <row r="254" spans="1:14" hidden="1" outlineLevel="1" x14ac:dyDescent="0.4">
      <c r="A254" s="2">
        <v>6</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1249</v>
      </c>
    </row>
    <row r="255" spans="1:14" hidden="1" outlineLevel="1" x14ac:dyDescent="0.4">
      <c r="A255" s="2">
        <v>7</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1249</v>
      </c>
    </row>
    <row r="256" spans="1:14" hidden="1" outlineLevel="1" x14ac:dyDescent="0.4">
      <c r="A256" s="2">
        <v>8</v>
      </c>
      <c r="J256" s="6" t="str">
        <f>IFERROR(_xlfn.LET(_xlpm.v,
VLOOKUP($I256,効果!$A:$B,COLUMN(効果!B$1),FALSE),
IF(_xlpm.v=0,"",_xlpm.v)
),"")</f>
        <v/>
      </c>
      <c r="L256" s="15" t="str">
        <f>IF(OR(COUNTIF(クラス!$A$1:$A$1035, $B256),$B256="",COUNTIF(スキル一覧!$A$1:$A$3500, $B256)), "", "存在しない")</f>
        <v/>
      </c>
      <c r="M256" s="2" t="str">
        <f>IF(COUNTIF($B$1:$C255, $B256), "", "存在しない")</f>
        <v>存在しない</v>
      </c>
      <c r="N256" s="2" t="s">
        <v>1249</v>
      </c>
    </row>
    <row r="257" spans="1:14" hidden="1" outlineLevel="1" x14ac:dyDescent="0.4">
      <c r="A257" s="2">
        <v>9</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1249</v>
      </c>
    </row>
    <row r="258" spans="1:14" hidden="1" outlineLevel="1" x14ac:dyDescent="0.4">
      <c r="A258" s="2">
        <v>10</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1249</v>
      </c>
    </row>
    <row r="259" spans="1:14" hidden="1" outlineLevel="1" x14ac:dyDescent="0.4">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1249</v>
      </c>
    </row>
    <row r="260" spans="1:14" collapsed="1" x14ac:dyDescent="0.4">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1249</v>
      </c>
    </row>
    <row r="261" spans="1:14" x14ac:dyDescent="0.4">
      <c r="B261" s="2" t="s">
        <v>65</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1249</v>
      </c>
    </row>
    <row r="262" spans="1:14" hidden="1" outlineLevel="1" x14ac:dyDescent="0.4">
      <c r="A262" s="2">
        <v>1</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1249</v>
      </c>
    </row>
    <row r="263" spans="1:14" hidden="1" outlineLevel="1" x14ac:dyDescent="0.4">
      <c r="A263" s="2">
        <v>2</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1249</v>
      </c>
    </row>
    <row r="264" spans="1:14" hidden="1" outlineLevel="1" x14ac:dyDescent="0.4">
      <c r="A264" s="2">
        <v>3</v>
      </c>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1249</v>
      </c>
    </row>
    <row r="265" spans="1:14" hidden="1" outlineLevel="1" x14ac:dyDescent="0.4">
      <c r="A265" s="2">
        <v>4</v>
      </c>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1249</v>
      </c>
    </row>
    <row r="266" spans="1:14" hidden="1" outlineLevel="1" x14ac:dyDescent="0.4">
      <c r="A266" s="2">
        <v>5</v>
      </c>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1249</v>
      </c>
    </row>
    <row r="267" spans="1:14" hidden="1" outlineLevel="1" x14ac:dyDescent="0.4">
      <c r="A267" s="2">
        <v>6</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1249</v>
      </c>
    </row>
    <row r="268" spans="1:14" hidden="1" outlineLevel="1" x14ac:dyDescent="0.4">
      <c r="A268" s="2">
        <v>7</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1249</v>
      </c>
    </row>
    <row r="269" spans="1:14" hidden="1" outlineLevel="1" x14ac:dyDescent="0.4">
      <c r="A269" s="2">
        <v>8</v>
      </c>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1249</v>
      </c>
    </row>
    <row r="270" spans="1:14" hidden="1" outlineLevel="1" x14ac:dyDescent="0.4">
      <c r="A270" s="2">
        <v>9</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1249</v>
      </c>
    </row>
    <row r="271" spans="1:14" hidden="1" outlineLevel="1" x14ac:dyDescent="0.4">
      <c r="A271" s="2">
        <v>10</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1249</v>
      </c>
    </row>
    <row r="272" spans="1:14" hidden="1" outlineLevel="1" x14ac:dyDescent="0.4">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1249</v>
      </c>
    </row>
    <row r="273" spans="1:14" collapsed="1" x14ac:dyDescent="0.4">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1249</v>
      </c>
    </row>
    <row r="274" spans="1:14" x14ac:dyDescent="0.4">
      <c r="B274" s="2" t="s">
        <v>43</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1249</v>
      </c>
    </row>
    <row r="275" spans="1:14" hidden="1" outlineLevel="1" x14ac:dyDescent="0.4">
      <c r="A275" s="2">
        <v>1</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1249</v>
      </c>
    </row>
    <row r="276" spans="1:14" hidden="1" outlineLevel="1" x14ac:dyDescent="0.4">
      <c r="A276" s="2">
        <v>2</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1249</v>
      </c>
    </row>
    <row r="277" spans="1:14" hidden="1" outlineLevel="1" x14ac:dyDescent="0.4">
      <c r="A277" s="2">
        <v>3</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1249</v>
      </c>
    </row>
    <row r="278" spans="1:14" hidden="1" outlineLevel="1" x14ac:dyDescent="0.4">
      <c r="A278" s="2">
        <v>4</v>
      </c>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1249</v>
      </c>
    </row>
    <row r="279" spans="1:14" hidden="1" outlineLevel="1" x14ac:dyDescent="0.4">
      <c r="A279" s="2">
        <v>5</v>
      </c>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1249</v>
      </c>
    </row>
    <row r="280" spans="1:14" hidden="1" outlineLevel="1" x14ac:dyDescent="0.4">
      <c r="A280" s="2">
        <v>6</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1249</v>
      </c>
    </row>
    <row r="281" spans="1:14" hidden="1" outlineLevel="1" x14ac:dyDescent="0.4">
      <c r="A281" s="2">
        <v>7</v>
      </c>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1249</v>
      </c>
    </row>
    <row r="282" spans="1:14" hidden="1" outlineLevel="1" x14ac:dyDescent="0.4">
      <c r="A282" s="2">
        <v>8</v>
      </c>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1249</v>
      </c>
    </row>
    <row r="283" spans="1:14" hidden="1" outlineLevel="1" x14ac:dyDescent="0.4">
      <c r="A283" s="2">
        <v>9</v>
      </c>
      <c r="J283" s="6" t="str">
        <f>IFERROR(_xlfn.LET(_xlpm.v,
VLOOKUP($I283,効果!$A:$B,COLUMN(効果!B$1),FALSE),
IF(_xlpm.v=0,"",_xlpm.v)
),"")</f>
        <v/>
      </c>
      <c r="L283" s="15" t="str">
        <f>IF(OR(COUNTIF(クラス!$A$1:$A$1035, $B283),$B283="",COUNTIF(スキル一覧!$A$1:$A$3500, $B283)), "", "存在しない")</f>
        <v/>
      </c>
      <c r="M283" s="2" t="str">
        <f>IF(COUNTIF($B$1:$C282, $B283), "", "存在しない")</f>
        <v>存在しない</v>
      </c>
      <c r="N283" s="2" t="s">
        <v>1249</v>
      </c>
    </row>
    <row r="284" spans="1:14" hidden="1" outlineLevel="1" x14ac:dyDescent="0.4">
      <c r="A284" s="2">
        <v>10</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1249</v>
      </c>
    </row>
    <row r="285" spans="1:14" hidden="1" outlineLevel="1" x14ac:dyDescent="0.4">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1249</v>
      </c>
    </row>
    <row r="286" spans="1:14" collapsed="1" x14ac:dyDescent="0.4">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1249</v>
      </c>
    </row>
    <row r="287" spans="1:14" x14ac:dyDescent="0.4">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1249</v>
      </c>
    </row>
    <row r="288" spans="1:14" x14ac:dyDescent="0.4">
      <c r="B288" s="2" t="s">
        <v>45</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1249</v>
      </c>
    </row>
    <row r="289" spans="1:14" hidden="1" outlineLevel="1" x14ac:dyDescent="0.4">
      <c r="A289" s="2">
        <v>1</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1249</v>
      </c>
    </row>
    <row r="290" spans="1:14" hidden="1" outlineLevel="1" x14ac:dyDescent="0.4">
      <c r="A290" s="2">
        <v>2</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1249</v>
      </c>
    </row>
    <row r="291" spans="1:14" hidden="1" outlineLevel="1" x14ac:dyDescent="0.4">
      <c r="A291" s="2">
        <v>3</v>
      </c>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1249</v>
      </c>
    </row>
    <row r="292" spans="1:14" hidden="1" outlineLevel="1" x14ac:dyDescent="0.4">
      <c r="A292" s="2">
        <v>4</v>
      </c>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1249</v>
      </c>
    </row>
    <row r="293" spans="1:14" hidden="1" outlineLevel="1" x14ac:dyDescent="0.4">
      <c r="A293" s="2">
        <v>5</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1249</v>
      </c>
    </row>
    <row r="294" spans="1:14" hidden="1" outlineLevel="1" x14ac:dyDescent="0.4">
      <c r="A294" s="2">
        <v>6</v>
      </c>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1249</v>
      </c>
    </row>
    <row r="295" spans="1:14" hidden="1" outlineLevel="1" x14ac:dyDescent="0.4">
      <c r="A295" s="2">
        <v>7</v>
      </c>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1249</v>
      </c>
    </row>
    <row r="296" spans="1:14" hidden="1" outlineLevel="1" x14ac:dyDescent="0.4">
      <c r="A296" s="2">
        <v>8</v>
      </c>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1249</v>
      </c>
    </row>
    <row r="297" spans="1:14" hidden="1" outlineLevel="1" x14ac:dyDescent="0.4">
      <c r="A297" s="2">
        <v>9</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1249</v>
      </c>
    </row>
    <row r="298" spans="1:14" hidden="1" outlineLevel="1" x14ac:dyDescent="0.4">
      <c r="A298" s="2">
        <v>10</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1249</v>
      </c>
    </row>
    <row r="299" spans="1:14" hidden="1" outlineLevel="1" x14ac:dyDescent="0.4">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1249</v>
      </c>
    </row>
    <row r="300" spans="1:14" collapsed="1" x14ac:dyDescent="0.4">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1249</v>
      </c>
    </row>
    <row r="301" spans="1:14" x14ac:dyDescent="0.4">
      <c r="B301" s="2" t="s">
        <v>47</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1249</v>
      </c>
    </row>
    <row r="302" spans="1:14" hidden="1" outlineLevel="1" x14ac:dyDescent="0.4">
      <c r="A302" s="2">
        <v>1</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1249</v>
      </c>
    </row>
    <row r="303" spans="1:14" hidden="1" outlineLevel="1" x14ac:dyDescent="0.4">
      <c r="A303" s="2">
        <v>2</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1249</v>
      </c>
    </row>
    <row r="304" spans="1:14" hidden="1" outlineLevel="1" x14ac:dyDescent="0.4">
      <c r="A304" s="2">
        <v>3</v>
      </c>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1249</v>
      </c>
    </row>
    <row r="305" spans="1:14" hidden="1" outlineLevel="1" x14ac:dyDescent="0.4">
      <c r="A305" s="2">
        <v>4</v>
      </c>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1249</v>
      </c>
    </row>
    <row r="306" spans="1:14" hidden="1" outlineLevel="1" x14ac:dyDescent="0.4">
      <c r="A306" s="2">
        <v>5</v>
      </c>
      <c r="J306" s="6" t="str">
        <f>IFERROR(_xlfn.LET(_xlpm.v,
VLOOKUP($I306,効果!$A:$B,COLUMN(効果!B$1),FALSE),
IF(_xlpm.v=0,"",_xlpm.v)
),"")</f>
        <v/>
      </c>
      <c r="L306" s="15" t="str">
        <f>IF(OR(COUNTIF(クラス!$A$1:$A$1035, $B306),$B306="",COUNTIF(スキル一覧!$A$1:$A$3500, $B306)), "", "存在しない")</f>
        <v/>
      </c>
      <c r="M306" s="2" t="str">
        <f>IF(COUNTIF($B$1:$C305, $B306), "", "存在しない")</f>
        <v>存在しない</v>
      </c>
      <c r="N306" s="2" t="s">
        <v>1249</v>
      </c>
    </row>
    <row r="307" spans="1:14" hidden="1" outlineLevel="1" x14ac:dyDescent="0.4">
      <c r="A307" s="2">
        <v>6</v>
      </c>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1249</v>
      </c>
    </row>
    <row r="308" spans="1:14" hidden="1" outlineLevel="1" x14ac:dyDescent="0.4">
      <c r="A308" s="2">
        <v>7</v>
      </c>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1249</v>
      </c>
    </row>
    <row r="309" spans="1:14" hidden="1" outlineLevel="1" x14ac:dyDescent="0.4">
      <c r="A309" s="2">
        <v>8</v>
      </c>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1249</v>
      </c>
    </row>
    <row r="310" spans="1:14" hidden="1" outlineLevel="1" x14ac:dyDescent="0.4">
      <c r="A310" s="2">
        <v>9</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1249</v>
      </c>
    </row>
    <row r="311" spans="1:14" hidden="1" outlineLevel="1" x14ac:dyDescent="0.4">
      <c r="A311" s="2">
        <v>10</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1249</v>
      </c>
    </row>
    <row r="312" spans="1:14" hidden="1" outlineLevel="1" x14ac:dyDescent="0.4">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1249</v>
      </c>
    </row>
    <row r="313" spans="1:14" collapsed="1" x14ac:dyDescent="0.4">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1249</v>
      </c>
    </row>
    <row r="314" spans="1:14" x14ac:dyDescent="0.4">
      <c r="B314" s="2" t="s">
        <v>49</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1249</v>
      </c>
    </row>
    <row r="315" spans="1:14" hidden="1" outlineLevel="1" x14ac:dyDescent="0.4">
      <c r="A315" s="2">
        <v>1</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1249</v>
      </c>
    </row>
    <row r="316" spans="1:14" hidden="1" outlineLevel="1" x14ac:dyDescent="0.4">
      <c r="A316" s="2">
        <v>2</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1249</v>
      </c>
    </row>
    <row r="317" spans="1:14" hidden="1" outlineLevel="1" x14ac:dyDescent="0.4">
      <c r="A317" s="2">
        <v>3</v>
      </c>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1249</v>
      </c>
    </row>
    <row r="318" spans="1:14" hidden="1" outlineLevel="1" x14ac:dyDescent="0.4">
      <c r="A318" s="2">
        <v>4</v>
      </c>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1249</v>
      </c>
    </row>
    <row r="319" spans="1:14" hidden="1" outlineLevel="1" x14ac:dyDescent="0.4">
      <c r="A319" s="2">
        <v>5</v>
      </c>
      <c r="J319" s="6" t="str">
        <f>IFERROR(_xlfn.LET(_xlpm.v,
VLOOKUP($I319,効果!$A:$B,COLUMN(効果!B$1),FALSE),
IF(_xlpm.v=0,"",_xlpm.v)
),"")</f>
        <v/>
      </c>
      <c r="L319" s="15" t="str">
        <f>IF(OR(COUNTIF(クラス!$A$1:$A$1035, $B319),$B319="",COUNTIF(スキル一覧!$A$1:$A$3500, $B319)), "", "存在しない")</f>
        <v/>
      </c>
      <c r="M319" s="2" t="str">
        <f>IF(COUNTIF($B$1:$C318, $B319), "", "存在しない")</f>
        <v>存在しない</v>
      </c>
      <c r="N319" s="2" t="s">
        <v>1249</v>
      </c>
    </row>
    <row r="320" spans="1:14" hidden="1" outlineLevel="1" x14ac:dyDescent="0.4">
      <c r="A320" s="2">
        <v>6</v>
      </c>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1249</v>
      </c>
    </row>
    <row r="321" spans="1:14" hidden="1" outlineLevel="1" x14ac:dyDescent="0.4">
      <c r="A321" s="2">
        <v>7</v>
      </c>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1249</v>
      </c>
    </row>
    <row r="322" spans="1:14" hidden="1" outlineLevel="1" x14ac:dyDescent="0.4">
      <c r="A322" s="2">
        <v>8</v>
      </c>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1249</v>
      </c>
    </row>
    <row r="323" spans="1:14" hidden="1" outlineLevel="1" x14ac:dyDescent="0.4">
      <c r="A323" s="2">
        <v>9</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1249</v>
      </c>
    </row>
    <row r="324" spans="1:14" hidden="1" outlineLevel="1" x14ac:dyDescent="0.4">
      <c r="A324" s="2">
        <v>10</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1249</v>
      </c>
    </row>
    <row r="325" spans="1:14" hidden="1" outlineLevel="1" x14ac:dyDescent="0.4">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1249</v>
      </c>
    </row>
    <row r="326" spans="1:14" collapsed="1" x14ac:dyDescent="0.4">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1249</v>
      </c>
    </row>
    <row r="327" spans="1:14" x14ac:dyDescent="0.4">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1249</v>
      </c>
    </row>
    <row r="328" spans="1:14" x14ac:dyDescent="0.4">
      <c r="B328" s="2" t="s">
        <v>122</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1249</v>
      </c>
    </row>
    <row r="329" spans="1:14" hidden="1" outlineLevel="1" x14ac:dyDescent="0.4">
      <c r="A329" s="2">
        <v>1</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1249</v>
      </c>
    </row>
    <row r="330" spans="1:14" hidden="1" outlineLevel="1" x14ac:dyDescent="0.4">
      <c r="A330" s="2">
        <v>2</v>
      </c>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1249</v>
      </c>
    </row>
    <row r="331" spans="1:14" hidden="1" outlineLevel="1" x14ac:dyDescent="0.4">
      <c r="A331" s="2">
        <v>3</v>
      </c>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1249</v>
      </c>
    </row>
    <row r="332" spans="1:14" hidden="1" outlineLevel="1" x14ac:dyDescent="0.4">
      <c r="A332" s="2">
        <v>4</v>
      </c>
      <c r="J332" s="6" t="str">
        <f>IFERROR(_xlfn.LET(_xlpm.v,
VLOOKUP($I332,効果!$A:$B,COLUMN(効果!B$1),FALSE),
IF(_xlpm.v=0,"",_xlpm.v)
),"")</f>
        <v/>
      </c>
      <c r="L332" s="15" t="str">
        <f>IF(OR(COUNTIF(クラス!$A$1:$A$1035, $B332),$B332="",COUNTIF(スキル一覧!$A$1:$A$3500, $B332)), "", "存在しない")</f>
        <v/>
      </c>
      <c r="M332" s="2" t="str">
        <f>IF(COUNTIF($B$1:$C331, $B332), "", "存在しない")</f>
        <v>存在しない</v>
      </c>
      <c r="N332" s="2" t="s">
        <v>1249</v>
      </c>
    </row>
    <row r="333" spans="1:14" hidden="1" outlineLevel="1" x14ac:dyDescent="0.4">
      <c r="A333" s="2">
        <v>5</v>
      </c>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1249</v>
      </c>
    </row>
    <row r="334" spans="1:14" hidden="1" outlineLevel="1" x14ac:dyDescent="0.4">
      <c r="A334" s="2">
        <v>6</v>
      </c>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1249</v>
      </c>
    </row>
    <row r="335" spans="1:14" hidden="1" outlineLevel="1" x14ac:dyDescent="0.4">
      <c r="A335" s="2">
        <v>7</v>
      </c>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1249</v>
      </c>
    </row>
    <row r="336" spans="1:14" hidden="1" outlineLevel="1" x14ac:dyDescent="0.4">
      <c r="A336" s="2">
        <v>8</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1249</v>
      </c>
    </row>
    <row r="337" spans="1:14" hidden="1" outlineLevel="1" x14ac:dyDescent="0.4">
      <c r="A337" s="2">
        <v>9</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1249</v>
      </c>
    </row>
    <row r="338" spans="1:14" hidden="1" outlineLevel="1" x14ac:dyDescent="0.4">
      <c r="A338" s="2">
        <v>10</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1249</v>
      </c>
    </row>
    <row r="339" spans="1:14" hidden="1" outlineLevel="1" x14ac:dyDescent="0.4">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1249</v>
      </c>
    </row>
    <row r="340" spans="1:14" collapsed="1" x14ac:dyDescent="0.4">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1249</v>
      </c>
    </row>
    <row r="341" spans="1:14" x14ac:dyDescent="0.4">
      <c r="B341" s="2" t="s">
        <v>123</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1249</v>
      </c>
    </row>
    <row r="342" spans="1:14" hidden="1" outlineLevel="1" x14ac:dyDescent="0.4">
      <c r="A342" s="2">
        <v>1</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1249</v>
      </c>
    </row>
    <row r="343" spans="1:14" hidden="1" outlineLevel="1" x14ac:dyDescent="0.4">
      <c r="A343" s="2">
        <v>2</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1249</v>
      </c>
    </row>
    <row r="344" spans="1:14" hidden="1" outlineLevel="1" x14ac:dyDescent="0.4">
      <c r="A344" s="2">
        <v>3</v>
      </c>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1249</v>
      </c>
    </row>
    <row r="345" spans="1:14" hidden="1" outlineLevel="1" x14ac:dyDescent="0.4">
      <c r="A345" s="2">
        <v>4</v>
      </c>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1249</v>
      </c>
    </row>
    <row r="346" spans="1:14" hidden="1" outlineLevel="1" x14ac:dyDescent="0.4">
      <c r="A346" s="2">
        <v>5</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1249</v>
      </c>
    </row>
    <row r="347" spans="1:14" hidden="1" outlineLevel="1" x14ac:dyDescent="0.4">
      <c r="A347" s="2">
        <v>6</v>
      </c>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1249</v>
      </c>
    </row>
    <row r="348" spans="1:14" hidden="1" outlineLevel="1" x14ac:dyDescent="0.4">
      <c r="A348" s="2">
        <v>7</v>
      </c>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1249</v>
      </c>
    </row>
    <row r="349" spans="1:14" hidden="1" outlineLevel="1" x14ac:dyDescent="0.4">
      <c r="A349" s="2">
        <v>8</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1249</v>
      </c>
    </row>
    <row r="350" spans="1:14" hidden="1" outlineLevel="1" x14ac:dyDescent="0.4">
      <c r="A350" s="2">
        <v>9</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1249</v>
      </c>
    </row>
    <row r="351" spans="1:14" hidden="1" outlineLevel="1" x14ac:dyDescent="0.4">
      <c r="A351" s="2">
        <v>10</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1249</v>
      </c>
    </row>
    <row r="352" spans="1:14" hidden="1" outlineLevel="1" x14ac:dyDescent="0.4">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1249</v>
      </c>
    </row>
    <row r="353" spans="1:14" collapsed="1" x14ac:dyDescent="0.4">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1249</v>
      </c>
    </row>
    <row r="354" spans="1:14" x14ac:dyDescent="0.4">
      <c r="B354" s="2" t="s">
        <v>207</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1249</v>
      </c>
    </row>
    <row r="355" spans="1:14" hidden="1" outlineLevel="1" x14ac:dyDescent="0.4">
      <c r="A355" s="2">
        <v>1</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1249</v>
      </c>
    </row>
    <row r="356" spans="1:14" hidden="1" outlineLevel="1" x14ac:dyDescent="0.4">
      <c r="A356" s="2">
        <v>2</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1249</v>
      </c>
    </row>
    <row r="357" spans="1:14" hidden="1" outlineLevel="1" x14ac:dyDescent="0.4">
      <c r="A357" s="2">
        <v>3</v>
      </c>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1249</v>
      </c>
    </row>
    <row r="358" spans="1:14" hidden="1" outlineLevel="1" x14ac:dyDescent="0.4">
      <c r="A358" s="2">
        <v>4</v>
      </c>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1249</v>
      </c>
    </row>
    <row r="359" spans="1:14" hidden="1" outlineLevel="1" x14ac:dyDescent="0.4">
      <c r="A359" s="2">
        <v>5</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1249</v>
      </c>
    </row>
    <row r="360" spans="1:14" hidden="1" outlineLevel="1" x14ac:dyDescent="0.4">
      <c r="A360" s="2">
        <v>6</v>
      </c>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1249</v>
      </c>
    </row>
    <row r="361" spans="1:14" hidden="1" outlineLevel="1" x14ac:dyDescent="0.4">
      <c r="A361" s="2">
        <v>7</v>
      </c>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1249</v>
      </c>
    </row>
    <row r="362" spans="1:14" hidden="1" outlineLevel="1" x14ac:dyDescent="0.4">
      <c r="A362" s="2">
        <v>8</v>
      </c>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1249</v>
      </c>
    </row>
    <row r="363" spans="1:14" hidden="1" outlineLevel="1" x14ac:dyDescent="0.4">
      <c r="A363" s="2">
        <v>9</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1249</v>
      </c>
    </row>
    <row r="364" spans="1:14" hidden="1" outlineLevel="1" x14ac:dyDescent="0.4">
      <c r="A364" s="2">
        <v>10</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1249</v>
      </c>
    </row>
    <row r="365" spans="1:14" hidden="1" outlineLevel="1" x14ac:dyDescent="0.4">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1249</v>
      </c>
    </row>
    <row r="366" spans="1:14" collapsed="1" x14ac:dyDescent="0.4">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1249</v>
      </c>
    </row>
    <row r="367" spans="1:14" x14ac:dyDescent="0.4">
      <c r="B367" s="2" t="s">
        <v>209</v>
      </c>
      <c r="J367" s="6" t="str">
        <f>IFERROR(_xlfn.LET(_xlpm.v,
VLOOKUP($I367,効果!$A:$B,COLUMN(効果!B$1),FALSE),
IF(_xlpm.v=0,"",_xlpm.v)
),"")</f>
        <v/>
      </c>
      <c r="L367" s="15" t="str">
        <f>IF(OR(COUNTIF(クラス!$A$1:$A$1035, $B367),$B367="",COUNTIF(スキル一覧!$A$1:$A$3500, $B367)), "", "存在しない")</f>
        <v>存在しない</v>
      </c>
      <c r="M367" s="2" t="str">
        <f>IF(COUNTIF($B$1:$C366, $B367), "", "存在しない")</f>
        <v>存在しない</v>
      </c>
      <c r="N367" s="2" t="s">
        <v>1249</v>
      </c>
    </row>
    <row r="368" spans="1:14" hidden="1" outlineLevel="1" x14ac:dyDescent="0.4">
      <c r="A368" s="2">
        <v>1</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1249</v>
      </c>
    </row>
    <row r="369" spans="1:14" hidden="1" outlineLevel="1" x14ac:dyDescent="0.4">
      <c r="A369" s="2">
        <v>2</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1249</v>
      </c>
    </row>
    <row r="370" spans="1:14" hidden="1" outlineLevel="1" x14ac:dyDescent="0.4">
      <c r="A370" s="2">
        <v>3</v>
      </c>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1249</v>
      </c>
    </row>
    <row r="371" spans="1:14" hidden="1" outlineLevel="1" x14ac:dyDescent="0.4">
      <c r="A371" s="2">
        <v>4</v>
      </c>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1249</v>
      </c>
    </row>
    <row r="372" spans="1:14" hidden="1" outlineLevel="1" x14ac:dyDescent="0.4">
      <c r="A372" s="2">
        <v>5</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1249</v>
      </c>
    </row>
    <row r="373" spans="1:14" hidden="1" outlineLevel="1" x14ac:dyDescent="0.4">
      <c r="A373" s="2">
        <v>6</v>
      </c>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1249</v>
      </c>
    </row>
    <row r="374" spans="1:14" hidden="1" outlineLevel="1" x14ac:dyDescent="0.4">
      <c r="A374" s="2">
        <v>7</v>
      </c>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1249</v>
      </c>
    </row>
    <row r="375" spans="1:14" hidden="1" outlineLevel="1" x14ac:dyDescent="0.4">
      <c r="A375" s="2">
        <v>8</v>
      </c>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1249</v>
      </c>
    </row>
    <row r="376" spans="1:14" hidden="1" outlineLevel="1" x14ac:dyDescent="0.4">
      <c r="A376" s="2">
        <v>9</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1249</v>
      </c>
    </row>
    <row r="377" spans="1:14" hidden="1" outlineLevel="1" x14ac:dyDescent="0.4">
      <c r="A377" s="2">
        <v>10</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1249</v>
      </c>
    </row>
    <row r="378" spans="1:14" hidden="1" outlineLevel="1" x14ac:dyDescent="0.4">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1249</v>
      </c>
    </row>
    <row r="379" spans="1:14" collapsed="1" x14ac:dyDescent="0.4">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1249</v>
      </c>
    </row>
    <row r="380" spans="1:14" x14ac:dyDescent="0.4">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1249</v>
      </c>
    </row>
    <row r="381" spans="1:14" x14ac:dyDescent="0.4">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1249</v>
      </c>
    </row>
    <row r="382" spans="1:14" x14ac:dyDescent="0.4">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1249</v>
      </c>
    </row>
    <row r="383" spans="1:14" x14ac:dyDescent="0.4">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1249</v>
      </c>
    </row>
    <row r="384" spans="1:14" x14ac:dyDescent="0.4">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1249</v>
      </c>
    </row>
    <row r="385" spans="1:14" x14ac:dyDescent="0.4">
      <c r="B385" s="2" t="s">
        <v>68</v>
      </c>
      <c r="D385" s="2" t="s">
        <v>148</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1249</v>
      </c>
    </row>
    <row r="386" spans="1:14" ht="36" hidden="1" outlineLevel="1" x14ac:dyDescent="0.4">
      <c r="A386" s="2">
        <v>1</v>
      </c>
      <c r="B386" s="2" t="str">
        <f>D385&amp;"の拳"</f>
        <v>炎の拳</v>
      </c>
      <c r="D386" s="2" t="str">
        <f>D385</f>
        <v>炎</v>
      </c>
      <c r="E386" s="13" t="s">
        <v>129</v>
      </c>
      <c r="G386" s="19">
        <v>60</v>
      </c>
      <c r="H386" s="10" t="str">
        <f>"攻撃手段:素手 物理+15 "&amp;D385&amp;"+25 判定:攻撃"</f>
        <v>攻撃手段:素手 物理+15 炎+25 判定:攻撃</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1249</v>
      </c>
    </row>
    <row r="387" spans="1:14" hidden="1" outlineLevel="1" x14ac:dyDescent="0.4">
      <c r="A387" s="2">
        <v>2</v>
      </c>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1249</v>
      </c>
    </row>
    <row r="388" spans="1:14" hidden="1" outlineLevel="1" x14ac:dyDescent="0.4">
      <c r="A388" s="2">
        <v>3</v>
      </c>
      <c r="B388" s="2" t="s">
        <v>279</v>
      </c>
      <c r="E388" s="13" t="s">
        <v>130</v>
      </c>
      <c r="H388" s="10" t="s">
        <v>280</v>
      </c>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1249</v>
      </c>
    </row>
    <row r="389" spans="1:14" hidden="1" outlineLevel="1" x14ac:dyDescent="0.4">
      <c r="A389" s="2">
        <v>4</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1249</v>
      </c>
    </row>
    <row r="390" spans="1:14" hidden="1" outlineLevel="1" x14ac:dyDescent="0.4">
      <c r="A390" s="2">
        <v>5</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1249</v>
      </c>
    </row>
    <row r="391" spans="1:14" hidden="1" outlineLevel="1" x14ac:dyDescent="0.4">
      <c r="A391" s="2">
        <v>6</v>
      </c>
      <c r="B391" s="2" t="str">
        <f>D385&amp;"の魔力"</f>
        <v>炎の魔力</v>
      </c>
      <c r="E391" s="13" t="s">
        <v>130</v>
      </c>
      <c r="H391" s="10" t="str">
        <f>"条件系統:"&amp;D385&amp;" 魔力+30"</f>
        <v>条件系統:炎 魔力+30</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1249</v>
      </c>
    </row>
    <row r="392" spans="1:14" hidden="1" outlineLevel="1" x14ac:dyDescent="0.4">
      <c r="A392" s="2">
        <v>7</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1249</v>
      </c>
    </row>
    <row r="393" spans="1:14" hidden="1" outlineLevel="1" x14ac:dyDescent="0.4">
      <c r="A393" s="2">
        <v>8</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1249</v>
      </c>
    </row>
    <row r="394" spans="1:14" hidden="1" outlineLevel="1" x14ac:dyDescent="0.4">
      <c r="A394" s="2">
        <v>9</v>
      </c>
      <c r="B394" s="2" t="str">
        <f>D385&amp;"の力"</f>
        <v>炎の力</v>
      </c>
      <c r="E394" s="13" t="s">
        <v>130</v>
      </c>
      <c r="H394" s="10" t="str">
        <f>"条件系統:"&amp;D385&amp;" 攻撃+30"</f>
        <v>条件系統:炎 攻撃+30</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1249</v>
      </c>
    </row>
    <row r="395" spans="1:14" ht="36" hidden="1" outlineLevel="1" x14ac:dyDescent="0.4">
      <c r="A395" s="2">
        <v>10</v>
      </c>
      <c r="B395" s="2" t="str">
        <f>D385&amp;"の吐息"</f>
        <v>炎の吐息</v>
      </c>
      <c r="D395" s="2" t="str">
        <f>D385</f>
        <v>炎</v>
      </c>
      <c r="E395" s="13" t="s">
        <v>129</v>
      </c>
      <c r="G395" s="19">
        <v>80</v>
      </c>
      <c r="H395" s="10" t="str">
        <f>"攻撃手段:吐息 "&amp;D385&amp;"+45 射程:2 範囲:放射"</f>
        <v>攻撃手段:吐息 炎+45 射程:2 範囲:放射</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1249</v>
      </c>
    </row>
    <row r="396" spans="1:14" hidden="1" outlineLevel="1" x14ac:dyDescent="0.4">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1249</v>
      </c>
    </row>
    <row r="397" spans="1:14" collapsed="1" x14ac:dyDescent="0.4">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1249</v>
      </c>
    </row>
    <row r="398" spans="1:14" x14ac:dyDescent="0.4">
      <c r="B398" s="2" t="s">
        <v>70</v>
      </c>
      <c r="D398" s="2" t="s">
        <v>149</v>
      </c>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1249</v>
      </c>
    </row>
    <row r="399" spans="1:14" ht="36" hidden="1" outlineLevel="1" x14ac:dyDescent="0.4">
      <c r="A399" s="2">
        <v>1</v>
      </c>
      <c r="B399" s="2" t="str">
        <f>D398&amp;"の拳"</f>
        <v>氷の拳</v>
      </c>
      <c r="D399" s="2" t="str">
        <f>D398</f>
        <v>氷</v>
      </c>
      <c r="E399" s="13" t="s">
        <v>129</v>
      </c>
      <c r="G399" s="19">
        <v>60</v>
      </c>
      <c r="H399" s="10" t="str">
        <f>"攻撃手段:素手 物理+15 "&amp;D398&amp;"+25 判定:攻撃"</f>
        <v>攻撃手段:素手 物理+15 氷+25 判定:攻撃</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1249</v>
      </c>
    </row>
    <row r="400" spans="1:14" hidden="1" outlineLevel="1" x14ac:dyDescent="0.4">
      <c r="A400" s="2">
        <v>2</v>
      </c>
      <c r="J400" s="6" t="str">
        <f>IFERROR(_xlfn.LET(_xlpm.v,
VLOOKUP($I400,効果!$A:$B,COLUMN(効果!B$1),FALSE),
IF(_xlpm.v=0,"",_xlpm.v)
),"")</f>
        <v/>
      </c>
      <c r="L400" s="15" t="str">
        <f>IF(OR(COUNTIF(クラス!$A$1:$A$1035, $B400),$B400="",COUNTIF(スキル一覧!$A$1:$A$3500, $B400)), "", "存在しない")</f>
        <v/>
      </c>
      <c r="M400" s="2" t="str">
        <f>IF(COUNTIF($B$1:$C399, $B400), "", "存在しない")</f>
        <v>存在しない</v>
      </c>
      <c r="N400" s="2" t="s">
        <v>1249</v>
      </c>
    </row>
    <row r="401" spans="1:14" hidden="1" outlineLevel="1" x14ac:dyDescent="0.4">
      <c r="A401" s="2">
        <v>3</v>
      </c>
      <c r="B401" s="2" t="s">
        <v>279</v>
      </c>
      <c r="E401" s="13" t="s">
        <v>130</v>
      </c>
      <c r="H401" s="10" t="s">
        <v>280</v>
      </c>
      <c r="J401" s="6" t="str">
        <f>IFERROR(_xlfn.LET(_xlpm.v,
VLOOKUP($I401,効果!$A:$B,COLUMN(効果!B$1),FALSE),
IF(_xlpm.v=0,"",_xlpm.v)
),"")</f>
        <v/>
      </c>
      <c r="L401" s="15" t="str">
        <f>IF(OR(COUNTIF(クラス!$A$1:$A$1035, $B401),$B401="",COUNTIF(スキル一覧!$A$1:$A$3500, $B401)), "", "存在しない")</f>
        <v/>
      </c>
      <c r="M401" s="2" t="str">
        <f>IF(COUNTIF($B$1:$C400, $B401), "", "存在しない")</f>
        <v/>
      </c>
      <c r="N401" s="2" t="s">
        <v>1249</v>
      </c>
    </row>
    <row r="402" spans="1:14" hidden="1" outlineLevel="1" x14ac:dyDescent="0.4">
      <c r="A402" s="2">
        <v>4</v>
      </c>
      <c r="J402" s="6" t="str">
        <f>IFERROR(_xlfn.LET(_xlpm.v,
VLOOKUP($I402,効果!$A:$B,COLUMN(効果!B$1),FALSE),
IF(_xlpm.v=0,"",_xlpm.v)
),"")</f>
        <v/>
      </c>
      <c r="L402" s="15" t="str">
        <f>IF(OR(COUNTIF(クラス!$A$1:$A$1035, $B402),$B402="",COUNTIF(スキル一覧!$A$1:$A$3500, $B402)), "", "存在しない")</f>
        <v/>
      </c>
      <c r="M402" s="2" t="str">
        <f>IF(COUNTIF($B$1:$C401, $B402), "", "存在しない")</f>
        <v>存在しない</v>
      </c>
      <c r="N402" s="2" t="s">
        <v>1249</v>
      </c>
    </row>
    <row r="403" spans="1:14" hidden="1" outlineLevel="1" x14ac:dyDescent="0.4">
      <c r="A403" s="2">
        <v>5</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1249</v>
      </c>
    </row>
    <row r="404" spans="1:14" hidden="1" outlineLevel="1" x14ac:dyDescent="0.4">
      <c r="A404" s="2">
        <v>6</v>
      </c>
      <c r="B404" s="2" t="str">
        <f>D398&amp;"の魔力"</f>
        <v>氷の魔力</v>
      </c>
      <c r="E404" s="13" t="s">
        <v>130</v>
      </c>
      <c r="H404" s="10" t="str">
        <f>"条件系統:"&amp;D398&amp;" 魔力+30"</f>
        <v>条件系統:氷 魔力+30</v>
      </c>
      <c r="J404" s="6" t="str">
        <f>IFERROR(_xlfn.LET(_xlpm.v,
VLOOKUP($I404,効果!$A:$B,COLUMN(効果!B$1),FALSE),
IF(_xlpm.v=0,"",_xlpm.v)
),"")</f>
        <v/>
      </c>
      <c r="L404" s="15" t="str">
        <f>IF(OR(COUNTIF(クラス!$A$1:$A$1035, $B404),$B404="",COUNTIF(スキル一覧!$A$1:$A$3500, $B404)), "", "存在しない")</f>
        <v/>
      </c>
      <c r="M404" s="2" t="str">
        <f>IF(COUNTIF($B$1:$C403, $B404), "", "存在しない")</f>
        <v>存在しない</v>
      </c>
      <c r="N404" s="2" t="s">
        <v>1249</v>
      </c>
    </row>
    <row r="405" spans="1:14" hidden="1" outlineLevel="1" x14ac:dyDescent="0.4">
      <c r="A405" s="2">
        <v>7</v>
      </c>
      <c r="J405" s="6" t="str">
        <f>IFERROR(_xlfn.LET(_xlpm.v,
VLOOKUP($I405,効果!$A:$B,COLUMN(効果!B$1),FALSE),
IF(_xlpm.v=0,"",_xlpm.v)
),"")</f>
        <v/>
      </c>
      <c r="L405" s="15" t="str">
        <f>IF(OR(COUNTIF(クラス!$A$1:$A$1035, $B405),$B405="",COUNTIF(スキル一覧!$A$1:$A$3500, $B405)), "", "存在しない")</f>
        <v/>
      </c>
      <c r="M405" s="2" t="str">
        <f>IF(COUNTIF($B$1:$C404, $B405), "", "存在しない")</f>
        <v>存在しない</v>
      </c>
      <c r="N405" s="2" t="s">
        <v>1249</v>
      </c>
    </row>
    <row r="406" spans="1:14" hidden="1" outlineLevel="1" x14ac:dyDescent="0.4">
      <c r="A406" s="2">
        <v>8</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1249</v>
      </c>
    </row>
    <row r="407" spans="1:14" hidden="1" outlineLevel="1" x14ac:dyDescent="0.4">
      <c r="A407" s="2">
        <v>9</v>
      </c>
      <c r="B407" s="2" t="str">
        <f>D398&amp;"の力"</f>
        <v>氷の力</v>
      </c>
      <c r="E407" s="13" t="s">
        <v>130</v>
      </c>
      <c r="H407" s="10" t="str">
        <f>"条件系統:"&amp;D398&amp;" 攻撃+30"</f>
        <v>条件系統:氷 攻撃+30</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1249</v>
      </c>
    </row>
    <row r="408" spans="1:14" ht="36" hidden="1" outlineLevel="1" x14ac:dyDescent="0.4">
      <c r="A408" s="2">
        <v>10</v>
      </c>
      <c r="B408" s="2" t="str">
        <f>D398&amp;"の吐息"</f>
        <v>氷の吐息</v>
      </c>
      <c r="D408" s="2" t="str">
        <f>D398</f>
        <v>氷</v>
      </c>
      <c r="E408" s="13" t="s">
        <v>129</v>
      </c>
      <c r="G408" s="19">
        <v>80</v>
      </c>
      <c r="H408" s="10" t="str">
        <f>"攻撃手段:吐息 "&amp;D398&amp;"+45 射程:2 範囲:放射"</f>
        <v>攻撃手段:吐息 氷+45 射程:2 範囲:放射</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1249</v>
      </c>
    </row>
    <row r="409" spans="1:14" hidden="1" outlineLevel="1" x14ac:dyDescent="0.4">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1249</v>
      </c>
    </row>
    <row r="410" spans="1:14" collapsed="1" x14ac:dyDescent="0.4">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1249</v>
      </c>
    </row>
    <row r="411" spans="1:14" x14ac:dyDescent="0.4">
      <c r="B411" s="2" t="s">
        <v>899</v>
      </c>
      <c r="D411" s="2" t="s">
        <v>900</v>
      </c>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1249</v>
      </c>
    </row>
    <row r="412" spans="1:14" ht="36" hidden="1" outlineLevel="1" x14ac:dyDescent="0.4">
      <c r="A412" s="2">
        <v>1</v>
      </c>
      <c r="B412" s="2" t="s">
        <v>901</v>
      </c>
      <c r="D412" s="2" t="s">
        <v>888</v>
      </c>
      <c r="E412" s="13" t="s">
        <v>129</v>
      </c>
      <c r="G412" s="19">
        <v>60</v>
      </c>
      <c r="H412" s="10" t="s">
        <v>907</v>
      </c>
      <c r="J412" s="6" t="str">
        <f>IFERROR(_xlfn.LET(_xlpm.v,
VLOOKUP($I412,効果!$A:$B,COLUMN(効果!B$1),FALSE),
IF(_xlpm.v=0,"",_xlpm.v)
),"")</f>
        <v/>
      </c>
      <c r="L412" s="15" t="str">
        <f>IF(OR(COUNTIF(クラス!$A$1:$A$1035, $B412),$B412="",COUNTIF(スキル一覧!$A$1:$A$3500, $B412)), "", "存在しない")</f>
        <v>存在しない</v>
      </c>
      <c r="M412" s="2" t="str">
        <f>IF(COUNTIF($B$1:$C411, $B412), "", "存在しない")</f>
        <v>存在しない</v>
      </c>
      <c r="N412" s="2" t="e">
        <v>#VALUE!</v>
      </c>
    </row>
    <row r="413" spans="1:14" hidden="1" outlineLevel="1" x14ac:dyDescent="0.4">
      <c r="A413" s="2">
        <v>2</v>
      </c>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1249</v>
      </c>
    </row>
    <row r="414" spans="1:14" hidden="1" outlineLevel="1" x14ac:dyDescent="0.4">
      <c r="A414" s="2">
        <v>3</v>
      </c>
      <c r="B414" s="2" t="s">
        <v>906</v>
      </c>
      <c r="E414" s="13" t="s">
        <v>130</v>
      </c>
      <c r="H414" s="10" t="s">
        <v>905</v>
      </c>
      <c r="J414" s="6" t="str">
        <f>IFERROR(_xlfn.LET(_xlpm.v,
VLOOKUP($I414,効果!$A:$B,COLUMN(効果!B$1),FALSE),
IF(_xlpm.v=0,"",_xlpm.v)
),"")</f>
        <v/>
      </c>
      <c r="L414" s="15" t="str">
        <f>IF(OR(COUNTIF(クラス!$A$1:$A$1035, $B414),$B414="",COUNTIF(スキル一覧!$A$1:$A$3500, $B414)), "", "存在しない")</f>
        <v>存在しない</v>
      </c>
      <c r="M414" s="2" t="str">
        <f>IF(COUNTIF($B$1:$C413, $B414), "", "存在しない")</f>
        <v>存在しない</v>
      </c>
      <c r="N414" s="2" t="e">
        <v>#VALUE!</v>
      </c>
    </row>
    <row r="415" spans="1:14" hidden="1" outlineLevel="1" x14ac:dyDescent="0.4">
      <c r="A415" s="2">
        <v>4</v>
      </c>
      <c r="J415" s="6" t="str">
        <f>IFERROR(_xlfn.LET(_xlpm.v,
VLOOKUP($I415,効果!$A:$B,COLUMN(効果!B$1),FALSE),
IF(_xlpm.v=0,"",_xlpm.v)
),"")</f>
        <v/>
      </c>
      <c r="L415" s="15" t="str">
        <f>IF(OR(COUNTIF(クラス!$A$1:$A$1035, $B415),$B415="",COUNTIF(スキル一覧!$A$1:$A$3500, $B415)), "", "存在しない")</f>
        <v/>
      </c>
      <c r="M415" s="2" t="str">
        <f>IF(COUNTIF($B$1:$C414, $B415), "", "存在しない")</f>
        <v>存在しない</v>
      </c>
      <c r="N415" s="2" t="s">
        <v>1249</v>
      </c>
    </row>
    <row r="416" spans="1:14" hidden="1" outlineLevel="1" x14ac:dyDescent="0.4">
      <c r="A416" s="2">
        <v>5</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1249</v>
      </c>
    </row>
    <row r="417" spans="1:14" hidden="1" outlineLevel="1" x14ac:dyDescent="0.4">
      <c r="A417" s="2">
        <v>6</v>
      </c>
      <c r="B417" s="2" t="s">
        <v>902</v>
      </c>
      <c r="E417" s="13" t="s">
        <v>130</v>
      </c>
      <c r="H417" s="10" t="str">
        <f>"条件系統:"&amp;D411&amp;" 魔力+30"</f>
        <v>条件系統:水 魔力+30</v>
      </c>
      <c r="J417" s="6" t="str">
        <f>IFERROR(_xlfn.LET(_xlpm.v,
VLOOKUP($I417,効果!$A:$B,COLUMN(効果!B$1),FALSE),
IF(_xlpm.v=0,"",_xlpm.v)
),"")</f>
        <v/>
      </c>
      <c r="L417" s="15" t="str">
        <f>IF(OR(COUNTIF(クラス!$A$1:$A$1035, $B417),$B417="",COUNTIF(スキル一覧!$A$1:$A$3500, $B417)), "", "存在しない")</f>
        <v>存在しない</v>
      </c>
      <c r="M417" s="2" t="str">
        <f>IF(COUNTIF($B$1:$C416, $B417), "", "存在しない")</f>
        <v>存在しない</v>
      </c>
      <c r="N417" s="2" t="e">
        <v>#VALUE!</v>
      </c>
    </row>
    <row r="418" spans="1:14" hidden="1" outlineLevel="1" x14ac:dyDescent="0.4">
      <c r="A418" s="2">
        <v>7</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1249</v>
      </c>
    </row>
    <row r="419" spans="1:14" hidden="1" outlineLevel="1" x14ac:dyDescent="0.4">
      <c r="A419" s="2">
        <v>8</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1249</v>
      </c>
    </row>
    <row r="420" spans="1:14" hidden="1" outlineLevel="1" x14ac:dyDescent="0.4">
      <c r="A420" s="2">
        <v>9</v>
      </c>
      <c r="B420" s="2" t="s">
        <v>903</v>
      </c>
      <c r="E420" s="13" t="s">
        <v>130</v>
      </c>
      <c r="H420" s="10" t="str">
        <f>"条件系統:"&amp;D411&amp;" 攻撃+30"</f>
        <v>条件系統:水 攻撃+30</v>
      </c>
      <c r="J420" s="6" t="str">
        <f>IFERROR(_xlfn.LET(_xlpm.v,
VLOOKUP($I420,効果!$A:$B,COLUMN(効果!B$1),FALSE),
IF(_xlpm.v=0,"",_xlpm.v)
),"")</f>
        <v/>
      </c>
      <c r="L420" s="15" t="str">
        <f>IF(OR(COUNTIF(クラス!$A$1:$A$1035, $B420),$B420="",COUNTIF(スキル一覧!$A$1:$A$3500, $B420)), "", "存在しない")</f>
        <v>存在しない</v>
      </c>
      <c r="M420" s="2" t="str">
        <f>IF(COUNTIF($B$1:$C419, $B420), "", "存在しない")</f>
        <v>存在しない</v>
      </c>
      <c r="N420" s="2" t="e">
        <v>#VALUE!</v>
      </c>
    </row>
    <row r="421" spans="1:14" ht="36" hidden="1" outlineLevel="1" x14ac:dyDescent="0.4">
      <c r="A421" s="2">
        <v>10</v>
      </c>
      <c r="B421" s="2" t="s">
        <v>904</v>
      </c>
      <c r="D421" s="2" t="s">
        <v>888</v>
      </c>
      <c r="E421" s="13" t="s">
        <v>129</v>
      </c>
      <c r="G421" s="19">
        <v>80</v>
      </c>
      <c r="H421" s="10" t="s">
        <v>908</v>
      </c>
      <c r="I421" s="6" t="s">
        <v>424</v>
      </c>
      <c r="J421" s="6" t="str">
        <f>IFERROR(_xlfn.LET(_xlpm.v,
VLOOKUP($I421,効果!$A:$B,COLUMN(効果!B$1),FALSE),
IF(_xlpm.v=0,"",_xlpm.v)
),"")</f>
        <v>対象を後方へ移動させる</v>
      </c>
      <c r="L421" s="15" t="str">
        <f>IF(OR(COUNTIF(クラス!$A$1:$A$1035, $B421),$B421="",COUNTIF(スキル一覧!$A$1:$A$3500, $B421)), "", "存在しない")</f>
        <v>存在しない</v>
      </c>
      <c r="M421" s="2" t="str">
        <f>IF(COUNTIF($B$1:$C420, $B421), "", "存在しない")</f>
        <v>存在しない</v>
      </c>
      <c r="N421" s="2" t="e">
        <v>#VALUE!</v>
      </c>
    </row>
    <row r="422" spans="1:14" hidden="1" outlineLevel="1" x14ac:dyDescent="0.4">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1249</v>
      </c>
    </row>
    <row r="423" spans="1:14" collapsed="1" x14ac:dyDescent="0.4">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1249</v>
      </c>
    </row>
    <row r="424" spans="1:14" x14ac:dyDescent="0.4">
      <c r="B424" s="2" t="s">
        <v>72</v>
      </c>
      <c r="D424" s="2" t="s">
        <v>281</v>
      </c>
      <c r="E424" s="13" t="s">
        <v>140</v>
      </c>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1249</v>
      </c>
    </row>
    <row r="425" spans="1:14" ht="36" hidden="1" outlineLevel="1" x14ac:dyDescent="0.4">
      <c r="A425" s="2">
        <v>1</v>
      </c>
      <c r="B425" s="2" t="str">
        <f>D424&amp;"の拳"</f>
        <v>風の拳</v>
      </c>
      <c r="D425" s="2" t="str">
        <f>D424</f>
        <v>風</v>
      </c>
      <c r="E425" s="13" t="s">
        <v>129</v>
      </c>
      <c r="G425" s="19">
        <v>60</v>
      </c>
      <c r="H425" s="10" t="str">
        <f>"攻撃手段:素手 物理+15 "&amp;E424&amp;"+25 判定:攻撃"</f>
        <v>攻撃手段:素手 物理+15 怯み+25 判定:攻撃</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1249</v>
      </c>
    </row>
    <row r="426" spans="1:14" hidden="1" outlineLevel="1" x14ac:dyDescent="0.4">
      <c r="A426" s="2">
        <v>2</v>
      </c>
      <c r="J426" s="6" t="str">
        <f>IFERROR(_xlfn.LET(_xlpm.v,
VLOOKUP($I426,効果!$A:$B,COLUMN(効果!B$1),FALSE),
IF(_xlpm.v=0,"",_xlpm.v)
),"")</f>
        <v/>
      </c>
      <c r="L426" s="15" t="str">
        <f>IF(OR(COUNTIF(クラス!$A$1:$A$1035, $B426),$B426="",COUNTIF(スキル一覧!$A$1:$A$3500, $B426)), "", "存在しない")</f>
        <v/>
      </c>
      <c r="M426" s="2" t="str">
        <f>IF(COUNTIF($B$1:$C425, $B426), "", "存在しない")</f>
        <v>存在しない</v>
      </c>
      <c r="N426" s="2" t="s">
        <v>1249</v>
      </c>
    </row>
    <row r="427" spans="1:14" hidden="1" outlineLevel="1" x14ac:dyDescent="0.4">
      <c r="A427" s="2">
        <v>3</v>
      </c>
      <c r="B427" s="2" t="s">
        <v>279</v>
      </c>
      <c r="E427" s="13" t="s">
        <v>130</v>
      </c>
      <c r="H427" s="10" t="s">
        <v>280</v>
      </c>
      <c r="J427" s="6" t="str">
        <f>IFERROR(_xlfn.LET(_xlpm.v,
VLOOKUP($I427,効果!$A:$B,COLUMN(効果!B$1),FALSE),
IF(_xlpm.v=0,"",_xlpm.v)
),"")</f>
        <v/>
      </c>
      <c r="L427" s="15" t="str">
        <f>IF(OR(COUNTIF(クラス!$A$1:$A$1035, $B427),$B427="",COUNTIF(スキル一覧!$A$1:$A$3500, $B427)), "", "存在しない")</f>
        <v/>
      </c>
      <c r="M427" s="2" t="str">
        <f>IF(COUNTIF($B$1:$C426, $B427), "", "存在しない")</f>
        <v/>
      </c>
      <c r="N427" s="2" t="s">
        <v>1249</v>
      </c>
    </row>
    <row r="428" spans="1:14" hidden="1" outlineLevel="1" x14ac:dyDescent="0.4">
      <c r="A428" s="2">
        <v>4</v>
      </c>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1249</v>
      </c>
    </row>
    <row r="429" spans="1:14" hidden="1" outlineLevel="1" x14ac:dyDescent="0.4">
      <c r="A429" s="2">
        <v>5</v>
      </c>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1249</v>
      </c>
    </row>
    <row r="430" spans="1:14" hidden="1" outlineLevel="1" x14ac:dyDescent="0.4">
      <c r="A430" s="2">
        <v>6</v>
      </c>
      <c r="B430" s="2" t="str">
        <f>D424&amp;"の魔力"</f>
        <v>風の魔力</v>
      </c>
      <c r="E430" s="13" t="s">
        <v>130</v>
      </c>
      <c r="H430" s="10" t="str">
        <f>"条件系統:"&amp;D424&amp;" 魔力+30"</f>
        <v>条件系統:風 魔力+30</v>
      </c>
      <c r="J430" s="6" t="str">
        <f>IFERROR(_xlfn.LET(_xlpm.v,
VLOOKUP($I430,効果!$A:$B,COLUMN(効果!B$1),FALSE),
IF(_xlpm.v=0,"",_xlpm.v)
),"")</f>
        <v/>
      </c>
      <c r="L430" s="15" t="str">
        <f>IF(OR(COUNTIF(クラス!$A$1:$A$1035, $B430),$B430="",COUNTIF(スキル一覧!$A$1:$A$3500, $B430)), "", "存在しない")</f>
        <v/>
      </c>
      <c r="M430" s="2" t="str">
        <f>IF(COUNTIF($B$1:$C429, $B430), "", "存在しない")</f>
        <v>存在しない</v>
      </c>
      <c r="N430" s="2" t="s">
        <v>1249</v>
      </c>
    </row>
    <row r="431" spans="1:14" hidden="1" outlineLevel="1" x14ac:dyDescent="0.4">
      <c r="A431" s="2">
        <v>7</v>
      </c>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1249</v>
      </c>
    </row>
    <row r="432" spans="1:14" hidden="1" outlineLevel="1" x14ac:dyDescent="0.4">
      <c r="A432" s="2">
        <v>8</v>
      </c>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1249</v>
      </c>
    </row>
    <row r="433" spans="1:14" hidden="1" outlineLevel="1" x14ac:dyDescent="0.4">
      <c r="A433" s="2">
        <v>9</v>
      </c>
      <c r="B433" s="2" t="str">
        <f>D424&amp;"の力"</f>
        <v>風の力</v>
      </c>
      <c r="E433" s="13" t="s">
        <v>130</v>
      </c>
      <c r="H433" s="10" t="str">
        <f>"条件系統:"&amp;D424&amp;" 攻撃+30"</f>
        <v>条件系統:風 攻撃+30</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1249</v>
      </c>
    </row>
    <row r="434" spans="1:14" ht="36" hidden="1" outlineLevel="1" x14ac:dyDescent="0.4">
      <c r="A434" s="2">
        <v>10</v>
      </c>
      <c r="B434" s="2" t="str">
        <f>D424&amp;"の吐息"</f>
        <v>風の吐息</v>
      </c>
      <c r="D434" s="2" t="str">
        <f>D424</f>
        <v>風</v>
      </c>
      <c r="E434" s="13" t="s">
        <v>129</v>
      </c>
      <c r="G434" s="19">
        <v>80</v>
      </c>
      <c r="H434" s="10" t="str">
        <f>"攻撃手段:吐息 "&amp;E424&amp;"+45 射程:2 範囲:放射"</f>
        <v>攻撃手段:吐息 怯み+45 射程:2 範囲:放射</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1249</v>
      </c>
    </row>
    <row r="435" spans="1:14" hidden="1" outlineLevel="1" x14ac:dyDescent="0.4">
      <c r="J435" s="6" t="str">
        <f>IFERROR(_xlfn.LET(_xlpm.v,
VLOOKUP($I435,効果!$A:$B,COLUMN(効果!B$1),FALSE),
IF(_xlpm.v=0,"",_xlpm.v)
),"")</f>
        <v/>
      </c>
      <c r="L435" s="15" t="str">
        <f>IF(OR(COUNTIF(クラス!$A$1:$A$1035, $B435),$B435="",COUNTIF(スキル一覧!$A$1:$A$3500, $B435)), "", "存在しない")</f>
        <v/>
      </c>
      <c r="M435" s="2" t="str">
        <f>IF(COUNTIF($B$1:$C434, $B435), "", "存在しない")</f>
        <v>存在しない</v>
      </c>
      <c r="N435" s="2" t="s">
        <v>1249</v>
      </c>
    </row>
    <row r="436" spans="1:14" collapsed="1" x14ac:dyDescent="0.4">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1249</v>
      </c>
    </row>
    <row r="437" spans="1:14" x14ac:dyDescent="0.4">
      <c r="B437" s="2" t="s">
        <v>74</v>
      </c>
      <c r="D437" s="2" t="s">
        <v>282</v>
      </c>
      <c r="E437" s="13" t="s">
        <v>176</v>
      </c>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1249</v>
      </c>
    </row>
    <row r="438" spans="1:14" ht="36" hidden="1" outlineLevel="1" x14ac:dyDescent="0.4">
      <c r="A438" s="2">
        <v>1</v>
      </c>
      <c r="B438" s="2" t="str">
        <f>D437&amp;"の拳"</f>
        <v>地の拳</v>
      </c>
      <c r="D438" s="2" t="str">
        <f>D437</f>
        <v>地</v>
      </c>
      <c r="E438" s="13" t="s">
        <v>129</v>
      </c>
      <c r="G438" s="19">
        <v>60</v>
      </c>
      <c r="H438" s="10" t="str">
        <f>"攻撃手段:素手 物理+15 "&amp;E437&amp;"+25 判定:攻撃"</f>
        <v>攻撃手段:素手 物理+15 ガード+25 判定:攻撃</v>
      </c>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1249</v>
      </c>
    </row>
    <row r="439" spans="1:14" hidden="1" outlineLevel="1" x14ac:dyDescent="0.4">
      <c r="A439" s="2">
        <v>2</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1249</v>
      </c>
    </row>
    <row r="440" spans="1:14" hidden="1" outlineLevel="1" x14ac:dyDescent="0.4">
      <c r="A440" s="2">
        <v>3</v>
      </c>
      <c r="B440" s="2" t="s">
        <v>279</v>
      </c>
      <c r="E440" s="13" t="s">
        <v>130</v>
      </c>
      <c r="H440" s="10" t="s">
        <v>280</v>
      </c>
      <c r="J440" s="6" t="str">
        <f>IFERROR(_xlfn.LET(_xlpm.v,
VLOOKUP($I440,効果!$A:$B,COLUMN(効果!B$1),FALSE),
IF(_xlpm.v=0,"",_xlpm.v)
),"")</f>
        <v/>
      </c>
      <c r="L440" s="15" t="str">
        <f>IF(OR(COUNTIF(クラス!$A$1:$A$1035, $B440),$B440="",COUNTIF(スキル一覧!$A$1:$A$3500, $B440)), "", "存在しない")</f>
        <v/>
      </c>
      <c r="M440" s="2" t="str">
        <f>IF(COUNTIF($B$1:$C439, $B440), "", "存在しない")</f>
        <v/>
      </c>
      <c r="N440" s="2" t="s">
        <v>1249</v>
      </c>
    </row>
    <row r="441" spans="1:14" hidden="1" outlineLevel="1" x14ac:dyDescent="0.4">
      <c r="A441" s="2">
        <v>4</v>
      </c>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1249</v>
      </c>
    </row>
    <row r="442" spans="1:14" hidden="1" outlineLevel="1" x14ac:dyDescent="0.4">
      <c r="A442" s="2">
        <v>5</v>
      </c>
      <c r="J442" s="6" t="str">
        <f>IFERROR(_xlfn.LET(_xlpm.v,
VLOOKUP($I442,効果!$A:$B,COLUMN(効果!B$1),FALSE),
IF(_xlpm.v=0,"",_xlpm.v)
),"")</f>
        <v/>
      </c>
      <c r="L442" s="15" t="str">
        <f>IF(OR(COUNTIF(クラス!$A$1:$A$1035, $B442),$B442="",COUNTIF(スキル一覧!$A$1:$A$3500, $B442)), "", "存在しない")</f>
        <v/>
      </c>
      <c r="M442" s="2" t="str">
        <f>IF(COUNTIF($B$1:$C441, $B442), "", "存在しない")</f>
        <v>存在しない</v>
      </c>
      <c r="N442" s="2" t="s">
        <v>1249</v>
      </c>
    </row>
    <row r="443" spans="1:14" hidden="1" outlineLevel="1" x14ac:dyDescent="0.4">
      <c r="A443" s="2">
        <v>6</v>
      </c>
      <c r="B443" s="2" t="str">
        <f>D437&amp;"の魔力"</f>
        <v>地の魔力</v>
      </c>
      <c r="E443" s="13" t="s">
        <v>130</v>
      </c>
      <c r="H443" s="10" t="str">
        <f>"条件系統:"&amp;D437&amp;" 魔力+30"</f>
        <v>条件系統:地 魔力+30</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1249</v>
      </c>
    </row>
    <row r="444" spans="1:14" hidden="1" outlineLevel="1" x14ac:dyDescent="0.4">
      <c r="A444" s="2">
        <v>7</v>
      </c>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1249</v>
      </c>
    </row>
    <row r="445" spans="1:14" hidden="1" outlineLevel="1" x14ac:dyDescent="0.4">
      <c r="A445" s="2">
        <v>8</v>
      </c>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1249</v>
      </c>
    </row>
    <row r="446" spans="1:14" hidden="1" outlineLevel="1" x14ac:dyDescent="0.4">
      <c r="A446" s="2">
        <v>9</v>
      </c>
      <c r="B446" s="2" t="str">
        <f>D437&amp;"の力"</f>
        <v>地の力</v>
      </c>
      <c r="E446" s="13" t="s">
        <v>130</v>
      </c>
      <c r="H446" s="10" t="str">
        <f>"条件系統:"&amp;D437&amp;" 攻撃+30"</f>
        <v>条件系統:地 攻撃+30</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1249</v>
      </c>
    </row>
    <row r="447" spans="1:14" ht="36" hidden="1" outlineLevel="1" x14ac:dyDescent="0.4">
      <c r="A447" s="2">
        <v>10</v>
      </c>
      <c r="B447" s="2" t="str">
        <f>"石礫の吐息"</f>
        <v>石礫の吐息</v>
      </c>
      <c r="D447" s="2" t="str">
        <f>D437</f>
        <v>地</v>
      </c>
      <c r="E447" s="13" t="s">
        <v>129</v>
      </c>
      <c r="G447" s="19">
        <v>80</v>
      </c>
      <c r="H447" s="10" t="str">
        <f>"攻撃手段:吐息 物理+35 怯み+20 射程:2 範囲:放射"</f>
        <v>攻撃手段:吐息 物理+35 怯み+20 射程:2 範囲:放射</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1249</v>
      </c>
    </row>
    <row r="448" spans="1:14" hidden="1" outlineLevel="1" x14ac:dyDescent="0.4">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1249</v>
      </c>
    </row>
    <row r="449" spans="1:14" collapsed="1" x14ac:dyDescent="0.4">
      <c r="J449" s="6" t="str">
        <f>IFERROR(_xlfn.LET(_xlpm.v,
VLOOKUP($I449,効果!$A:$B,COLUMN(効果!B$1),FALSE),
IF(_xlpm.v=0,"",_xlpm.v)
),"")</f>
        <v/>
      </c>
      <c r="L449" s="15" t="str">
        <f>IF(OR(COUNTIF(クラス!$A$1:$A$1035, $B449),$B449="",COUNTIF(スキル一覧!$A$1:$A$3500, $B449)), "", "存在しない")</f>
        <v/>
      </c>
      <c r="M449" s="2" t="str">
        <f>IF(COUNTIF($B$1:$C448, $B449), "", "存在しない")</f>
        <v>存在しない</v>
      </c>
      <c r="N449" s="2" t="s">
        <v>1249</v>
      </c>
    </row>
    <row r="450" spans="1:14" x14ac:dyDescent="0.4">
      <c r="B450" s="2" t="s">
        <v>197</v>
      </c>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1249</v>
      </c>
    </row>
    <row r="451" spans="1:14" hidden="1" outlineLevel="1" x14ac:dyDescent="0.4">
      <c r="A451" s="2">
        <v>1</v>
      </c>
      <c r="B451" s="2" t="s">
        <v>283</v>
      </c>
      <c r="E451" s="13" t="s">
        <v>129</v>
      </c>
      <c r="G451" s="19">
        <v>40</v>
      </c>
      <c r="H451" s="10" t="s">
        <v>330</v>
      </c>
      <c r="J451" s="6" t="str">
        <f>IFERROR(_xlfn.LET(_xlpm.v,
VLOOKUP($I451,効果!$A:$B,COLUMN(効果!B$1),FALSE),
IF(_xlpm.v=0,"",_xlpm.v)
),"")</f>
        <v/>
      </c>
      <c r="L451" s="15" t="str">
        <f>IF(OR(COUNTIF(クラス!$A$1:$A$1035, $B451),$B451="",COUNTIF(スキル一覧!$A$1:$A$3500, $B451)), "", "存在しない")</f>
        <v/>
      </c>
      <c r="M451" s="2" t="str">
        <f>IF(COUNTIF($B$1:$C450, $B451), "", "存在しない")</f>
        <v/>
      </c>
      <c r="N451" s="2" t="s">
        <v>1249</v>
      </c>
    </row>
    <row r="452" spans="1:14" hidden="1" outlineLevel="1" x14ac:dyDescent="0.4">
      <c r="A452" s="2">
        <v>2</v>
      </c>
      <c r="B452" s="2" t="s">
        <v>284</v>
      </c>
      <c r="E452" s="13" t="s">
        <v>129</v>
      </c>
      <c r="G452" s="19">
        <v>40</v>
      </c>
      <c r="J452" s="6" t="str">
        <f>IFERROR(_xlfn.LET(_xlpm.v,
VLOOKUP($I452,効果!$A:$B,COLUMN(効果!B$1),FALSE),
IF(_xlpm.v=0,"",_xlpm.v)
),"")</f>
        <v/>
      </c>
      <c r="L452" s="15" t="str">
        <f>IF(OR(COUNTIF(クラス!$A$1:$A$1035, $B452),$B452="",COUNTIF(スキル一覧!$A$1:$A$3500, $B452)), "", "存在しない")</f>
        <v/>
      </c>
      <c r="M452" s="2" t="str">
        <f>IF(COUNTIF($B$1:$C451, $B452), "", "存在しない")</f>
        <v/>
      </c>
      <c r="N452" s="2" t="s">
        <v>1249</v>
      </c>
    </row>
    <row r="453" spans="1:14" hidden="1" outlineLevel="1" x14ac:dyDescent="0.4">
      <c r="A453" s="2">
        <v>3</v>
      </c>
      <c r="E453" s="13" t="s">
        <v>130</v>
      </c>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1249</v>
      </c>
    </row>
    <row r="454" spans="1:14" hidden="1" outlineLevel="1" x14ac:dyDescent="0.4">
      <c r="A454" s="2">
        <v>4</v>
      </c>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1249</v>
      </c>
    </row>
    <row r="455" spans="1:14" hidden="1" outlineLevel="1" x14ac:dyDescent="0.4">
      <c r="A455" s="2">
        <v>5</v>
      </c>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1249</v>
      </c>
    </row>
    <row r="456" spans="1:14" hidden="1" outlineLevel="1" x14ac:dyDescent="0.4">
      <c r="A456" s="2">
        <v>6</v>
      </c>
      <c r="E456" s="13" t="s">
        <v>130</v>
      </c>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1249</v>
      </c>
    </row>
    <row r="457" spans="1:14" hidden="1" outlineLevel="1" x14ac:dyDescent="0.4">
      <c r="A457" s="2">
        <v>7</v>
      </c>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1249</v>
      </c>
    </row>
    <row r="458" spans="1:14" hidden="1" outlineLevel="1" x14ac:dyDescent="0.4">
      <c r="A458" s="2">
        <v>8</v>
      </c>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1249</v>
      </c>
    </row>
    <row r="459" spans="1:14" hidden="1" outlineLevel="1" x14ac:dyDescent="0.4">
      <c r="A459" s="2">
        <v>9</v>
      </c>
      <c r="E459" s="13" t="s">
        <v>130</v>
      </c>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1249</v>
      </c>
    </row>
    <row r="460" spans="1:14" hidden="1" outlineLevel="1" x14ac:dyDescent="0.4">
      <c r="A460" s="2">
        <v>10</v>
      </c>
      <c r="J460" s="6" t="str">
        <f>IFERROR(_xlfn.LET(_xlpm.v,
VLOOKUP($I460,効果!$A:$B,COLUMN(効果!B$1),FALSE),
IF(_xlpm.v=0,"",_xlpm.v)
),"")</f>
        <v/>
      </c>
      <c r="L460" s="15" t="str">
        <f>IF(OR(COUNTIF(クラス!$A$1:$A$1035, $B460),$B460="",COUNTIF(スキル一覧!$A$1:$A$3500, $B460)), "", "存在しない")</f>
        <v/>
      </c>
      <c r="M460" s="2" t="str">
        <f>IF(COUNTIF($B$1:$C459, $B460), "", "存在しない")</f>
        <v>存在しない</v>
      </c>
      <c r="N460" s="2" t="s">
        <v>1249</v>
      </c>
    </row>
    <row r="461" spans="1:14" hidden="1" outlineLevel="1" x14ac:dyDescent="0.4">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1249</v>
      </c>
    </row>
    <row r="462" spans="1:14" collapsed="1" x14ac:dyDescent="0.4">
      <c r="J462" s="6" t="str">
        <f>IFERROR(_xlfn.LET(_xlpm.v,
VLOOKUP($I462,効果!$A:$B,COLUMN(効果!B$1),FALSE),
IF(_xlpm.v=0,"",_xlpm.v)
),"")</f>
        <v/>
      </c>
      <c r="L462" s="15" t="str">
        <f>IF(OR(COUNTIF(クラス!$A$1:$A$1035, $B462),$B462="",COUNTIF(スキル一覧!$A$1:$A$3500, $B462)), "", "存在しない")</f>
        <v/>
      </c>
      <c r="M462" s="2" t="str">
        <f>IF(COUNTIF($B$1:$C461, $B462), "", "存在しない")</f>
        <v>存在しない</v>
      </c>
      <c r="N462" s="2" t="s">
        <v>1249</v>
      </c>
    </row>
    <row r="463" spans="1:14" x14ac:dyDescent="0.4">
      <c r="B463" s="2" t="s">
        <v>125</v>
      </c>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1249</v>
      </c>
    </row>
    <row r="464" spans="1:14" hidden="1" outlineLevel="1" x14ac:dyDescent="0.4">
      <c r="A464" s="2">
        <v>1</v>
      </c>
      <c r="B464" s="2" t="s">
        <v>283</v>
      </c>
      <c r="E464" s="13" t="s">
        <v>129</v>
      </c>
      <c r="G464" s="19">
        <v>40</v>
      </c>
      <c r="H464" s="10" t="s">
        <v>330</v>
      </c>
      <c r="J464" s="6" t="str">
        <f>IFERROR(_xlfn.LET(_xlpm.v,
VLOOKUP($I464,効果!$A:$B,COLUMN(効果!B$1),FALSE),
IF(_xlpm.v=0,"",_xlpm.v)
),"")</f>
        <v/>
      </c>
      <c r="L464" s="15" t="str">
        <f>IF(OR(COUNTIF(クラス!$A$1:$A$1035, $B464),$B464="",COUNTIF(スキル一覧!$A$1:$A$3500, $B464)), "", "存在しない")</f>
        <v/>
      </c>
      <c r="M464" s="2" t="str">
        <f>IF(COUNTIF($B$1:$C463, $B464), "", "存在しない")</f>
        <v/>
      </c>
      <c r="N464" s="2" t="s">
        <v>1249</v>
      </c>
    </row>
    <row r="465" spans="1:14" hidden="1" outlineLevel="1" x14ac:dyDescent="0.4">
      <c r="A465" s="2">
        <v>2</v>
      </c>
      <c r="B465" s="2" t="s">
        <v>284</v>
      </c>
      <c r="E465" s="13" t="s">
        <v>129</v>
      </c>
      <c r="G465" s="19">
        <v>40</v>
      </c>
      <c r="J465" s="6" t="str">
        <f>IFERROR(_xlfn.LET(_xlpm.v,
VLOOKUP($I465,効果!$A:$B,COLUMN(効果!B$1),FALSE),
IF(_xlpm.v=0,"",_xlpm.v)
),"")</f>
        <v/>
      </c>
      <c r="L465" s="15" t="str">
        <f>IF(OR(COUNTIF(クラス!$A$1:$A$1035, $B465),$B465="",COUNTIF(スキル一覧!$A$1:$A$3500, $B465)), "", "存在しない")</f>
        <v/>
      </c>
      <c r="M465" s="2" t="str">
        <f>IF(COUNTIF($B$1:$C464, $B465), "", "存在しない")</f>
        <v/>
      </c>
      <c r="N465" s="2" t="s">
        <v>1249</v>
      </c>
    </row>
    <row r="466" spans="1:14" hidden="1" outlineLevel="1" x14ac:dyDescent="0.4">
      <c r="A466" s="2">
        <v>3</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1249</v>
      </c>
    </row>
    <row r="467" spans="1:14" hidden="1" outlineLevel="1" x14ac:dyDescent="0.4">
      <c r="A467" s="2">
        <v>4</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1249</v>
      </c>
    </row>
    <row r="468" spans="1:14" hidden="1" outlineLevel="1" x14ac:dyDescent="0.4">
      <c r="A468" s="2">
        <v>5</v>
      </c>
      <c r="J468" s="6" t="str">
        <f>IFERROR(_xlfn.LET(_xlpm.v,
VLOOKUP($I468,効果!$A:$B,COLUMN(効果!B$1),FALSE),
IF(_xlpm.v=0,"",_xlpm.v)
),"")</f>
        <v/>
      </c>
      <c r="L468" s="15" t="str">
        <f>IF(OR(COUNTIF(クラス!$A$1:$A$1035, $B468),$B468="",COUNTIF(スキル一覧!$A$1:$A$3500, $B468)), "", "存在しない")</f>
        <v/>
      </c>
      <c r="M468" s="2" t="str">
        <f>IF(COUNTIF($B$1:$C467, $B468), "", "存在しない")</f>
        <v>存在しない</v>
      </c>
      <c r="N468" s="2" t="s">
        <v>1249</v>
      </c>
    </row>
    <row r="469" spans="1:14" hidden="1" outlineLevel="1" x14ac:dyDescent="0.4">
      <c r="A469" s="2">
        <v>6</v>
      </c>
      <c r="J469" s="6" t="str">
        <f>IFERROR(_xlfn.LET(_xlpm.v,
VLOOKUP($I469,効果!$A:$B,COLUMN(効果!B$1),FALSE),
IF(_xlpm.v=0,"",_xlpm.v)
),"")</f>
        <v/>
      </c>
      <c r="L469" s="15" t="str">
        <f>IF(OR(COUNTIF(クラス!$A$1:$A$1035, $B469),$B469="",COUNTIF(スキル一覧!$A$1:$A$3500, $B469)), "", "存在しない")</f>
        <v/>
      </c>
      <c r="M469" s="2" t="str">
        <f>IF(COUNTIF($B$1:$C468, $B469), "", "存在しない")</f>
        <v>存在しない</v>
      </c>
      <c r="N469" s="2" t="s">
        <v>1249</v>
      </c>
    </row>
    <row r="470" spans="1:14" hidden="1" outlineLevel="1" x14ac:dyDescent="0.4">
      <c r="A470" s="2">
        <v>7</v>
      </c>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1249</v>
      </c>
    </row>
    <row r="471" spans="1:14" hidden="1" outlineLevel="1" x14ac:dyDescent="0.4">
      <c r="A471" s="2">
        <v>8</v>
      </c>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1249</v>
      </c>
    </row>
    <row r="472" spans="1:14" hidden="1" outlineLevel="1" x14ac:dyDescent="0.4">
      <c r="A472" s="2">
        <v>9</v>
      </c>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1249</v>
      </c>
    </row>
    <row r="473" spans="1:14" hidden="1" outlineLevel="1" x14ac:dyDescent="0.4">
      <c r="A473" s="2">
        <v>10</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1249</v>
      </c>
    </row>
    <row r="474" spans="1:14" hidden="1" outlineLevel="1" x14ac:dyDescent="0.4">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1249</v>
      </c>
    </row>
    <row r="475" spans="1:14" collapsed="1" x14ac:dyDescent="0.4">
      <c r="J475" s="6" t="str">
        <f>IFERROR(_xlfn.LET(_xlpm.v,
VLOOKUP($I475,効果!$A:$B,COLUMN(効果!B$1),FALSE),
IF(_xlpm.v=0,"",_xlpm.v)
),"")</f>
        <v/>
      </c>
      <c r="L475" s="15" t="str">
        <f>IF(OR(COUNTIF(クラス!$A$1:$A$1035, $B475),$B475="",COUNTIF(スキル一覧!$A$1:$A$3500, $B475)), "", "存在しない")</f>
        <v/>
      </c>
      <c r="M475" s="2" t="str">
        <f>IF(COUNTIF($B$1:$C474, $B475), "", "存在しない")</f>
        <v>存在しない</v>
      </c>
      <c r="N475" s="2" t="s">
        <v>1249</v>
      </c>
    </row>
    <row r="476" spans="1:14" x14ac:dyDescent="0.4">
      <c r="B476" s="2" t="s">
        <v>126</v>
      </c>
      <c r="J476" s="6" t="str">
        <f>IFERROR(_xlfn.LET(_xlpm.v,
VLOOKUP($I476,効果!$A:$B,COLUMN(効果!B$1),FALSE),
IF(_xlpm.v=0,"",_xlpm.v)
),"")</f>
        <v/>
      </c>
      <c r="L476" s="15" t="str">
        <f>IF(OR(COUNTIF(クラス!$A$1:$A$1035, $B476),$B476="",COUNTIF(スキル一覧!$A$1:$A$3500, $B476)), "", "存在しない")</f>
        <v/>
      </c>
      <c r="M476" s="2" t="str">
        <f>IF(COUNTIF($B$1:$C475, $B476), "", "存在しない")</f>
        <v>存在しない</v>
      </c>
      <c r="N476" s="2" t="s">
        <v>1249</v>
      </c>
    </row>
    <row r="477" spans="1:14" hidden="1" outlineLevel="1" x14ac:dyDescent="0.4">
      <c r="A477" s="2">
        <v>1</v>
      </c>
      <c r="B477" s="2" t="s">
        <v>284</v>
      </c>
      <c r="E477" s="13" t="s">
        <v>129</v>
      </c>
      <c r="G477" s="19">
        <v>40</v>
      </c>
      <c r="H477" s="10" t="s">
        <v>330</v>
      </c>
      <c r="J477" s="6" t="str">
        <f>IFERROR(_xlfn.LET(_xlpm.v,
VLOOKUP($I477,効果!$A:$B,COLUMN(効果!B$1),FALSE),
IF(_xlpm.v=0,"",_xlpm.v)
),"")</f>
        <v/>
      </c>
      <c r="L477" s="15" t="str">
        <f>IF(OR(COUNTIF(クラス!$A$1:$A$1035, $B477),$B477="",COUNTIF(スキル一覧!$A$1:$A$3500, $B477)), "", "存在しない")</f>
        <v/>
      </c>
      <c r="M477" s="2" t="str">
        <f>IF(COUNTIF($B$1:$C476, $B477), "", "存在しない")</f>
        <v/>
      </c>
      <c r="N477" s="2" t="s">
        <v>1249</v>
      </c>
    </row>
    <row r="478" spans="1:14" hidden="1" outlineLevel="1" x14ac:dyDescent="0.4">
      <c r="A478" s="2">
        <v>2</v>
      </c>
      <c r="B478" s="2" t="s">
        <v>287</v>
      </c>
      <c r="E478" s="13" t="s">
        <v>129</v>
      </c>
      <c r="G478" s="19">
        <v>40</v>
      </c>
      <c r="J478" s="6" t="str">
        <f>IFERROR(_xlfn.LET(_xlpm.v,
VLOOKUP($I478,効果!$A:$B,COLUMN(効果!B$1),FALSE),
IF(_xlpm.v=0,"",_xlpm.v)
),"")</f>
        <v/>
      </c>
      <c r="L478" s="15" t="str">
        <f>IF(OR(COUNTIF(クラス!$A$1:$A$1035, $B478),$B478="",COUNTIF(スキル一覧!$A$1:$A$3500, $B478)), "", "存在しない")</f>
        <v/>
      </c>
      <c r="M478" s="2" t="str">
        <f>IF(COUNTIF($B$1:$C477, $B478), "", "存在しない")</f>
        <v/>
      </c>
      <c r="N478" s="2" t="s">
        <v>1249</v>
      </c>
    </row>
    <row r="479" spans="1:14" hidden="1" outlineLevel="1" x14ac:dyDescent="0.4">
      <c r="A479" s="2">
        <v>3</v>
      </c>
      <c r="B479" s="2" t="s">
        <v>290</v>
      </c>
      <c r="J479" s="6" t="str">
        <f>IFERROR(_xlfn.LET(_xlpm.v,
VLOOKUP($I479,効果!$A:$B,COLUMN(効果!B$1),FALSE),
IF(_xlpm.v=0,"",_xlpm.v)
),"")</f>
        <v/>
      </c>
      <c r="L479" s="15" t="str">
        <f>IF(OR(COUNTIF(クラス!$A$1:$A$1035, $B479),$B479="",COUNTIF(スキル一覧!$A$1:$A$3500, $B479)), "", "存在しない")</f>
        <v/>
      </c>
      <c r="M479" s="2" t="str">
        <f>IF(COUNTIF($B$1:$C478, $B479), "", "存在しない")</f>
        <v/>
      </c>
      <c r="N479" s="2" t="s">
        <v>1249</v>
      </c>
    </row>
    <row r="480" spans="1:14" hidden="1" outlineLevel="1" x14ac:dyDescent="0.4">
      <c r="A480" s="2">
        <v>4</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1249</v>
      </c>
    </row>
    <row r="481" spans="1:14" hidden="1" outlineLevel="1" x14ac:dyDescent="0.4">
      <c r="A481" s="2">
        <v>5</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1249</v>
      </c>
    </row>
    <row r="482" spans="1:14" hidden="1" outlineLevel="1" x14ac:dyDescent="0.4">
      <c r="A482" s="2">
        <v>6</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1249</v>
      </c>
    </row>
    <row r="483" spans="1:14" hidden="1" outlineLevel="1" x14ac:dyDescent="0.4">
      <c r="A483" s="2">
        <v>7</v>
      </c>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1249</v>
      </c>
    </row>
    <row r="484" spans="1:14" hidden="1" outlineLevel="1" x14ac:dyDescent="0.4">
      <c r="A484" s="2">
        <v>8</v>
      </c>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1249</v>
      </c>
    </row>
    <row r="485" spans="1:14" hidden="1" outlineLevel="1" x14ac:dyDescent="0.4">
      <c r="A485" s="2">
        <v>9</v>
      </c>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1249</v>
      </c>
    </row>
    <row r="486" spans="1:14" hidden="1" outlineLevel="1" x14ac:dyDescent="0.4">
      <c r="A486" s="2">
        <v>10</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1249</v>
      </c>
    </row>
    <row r="487" spans="1:14" hidden="1" outlineLevel="1" x14ac:dyDescent="0.4">
      <c r="J487" s="6" t="str">
        <f>IFERROR(_xlfn.LET(_xlpm.v,
VLOOKUP($I487,効果!$A:$B,COLUMN(効果!B$1),FALSE),
IF(_xlpm.v=0,"",_xlpm.v)
),"")</f>
        <v/>
      </c>
      <c r="L487" s="15" t="str">
        <f>IF(OR(COUNTIF(クラス!$A$1:$A$1035, $B487),$B487="",COUNTIF(スキル一覧!$A$1:$A$3500, $B487)), "", "存在しない")</f>
        <v/>
      </c>
      <c r="M487" s="2" t="str">
        <f>IF(COUNTIF($B$1:$C486, $B487), "", "存在しない")</f>
        <v>存在しない</v>
      </c>
      <c r="N487" s="2" t="s">
        <v>1249</v>
      </c>
    </row>
    <row r="488" spans="1:14" collapsed="1" x14ac:dyDescent="0.4">
      <c r="J488" s="6" t="str">
        <f>IFERROR(_xlfn.LET(_xlpm.v,
VLOOKUP($I488,効果!$A:$B,COLUMN(効果!B$1),FALSE),
IF(_xlpm.v=0,"",_xlpm.v)
),"")</f>
        <v/>
      </c>
      <c r="L488" s="15" t="str">
        <f>IF(OR(COUNTIF(クラス!$A$1:$A$1035, $B488),$B488="",COUNTIF(スキル一覧!$A$1:$A$3500, $B488)), "", "存在しない")</f>
        <v/>
      </c>
      <c r="M488" s="2" t="str">
        <f>IF(COUNTIF($B$1:$C487, $B488), "", "存在しない")</f>
        <v>存在しない</v>
      </c>
      <c r="N488" s="2" t="s">
        <v>1249</v>
      </c>
    </row>
    <row r="489" spans="1:14" x14ac:dyDescent="0.4">
      <c r="B489" s="2" t="s">
        <v>199</v>
      </c>
      <c r="J489" s="6" t="str">
        <f>IFERROR(_xlfn.LET(_xlpm.v,
VLOOKUP($I489,効果!$A:$B,COLUMN(効果!B$1),FALSE),
IF(_xlpm.v=0,"",_xlpm.v)
),"")</f>
        <v/>
      </c>
      <c r="L489" s="15" t="str">
        <f>IF(OR(COUNTIF(クラス!$A$1:$A$1035, $B489),$B489="",COUNTIF(スキル一覧!$A$1:$A$3500, $B489)), "", "存在しない")</f>
        <v/>
      </c>
      <c r="M489" s="2" t="str">
        <f>IF(COUNTIF($B$1:$C488, $B489), "", "存在しない")</f>
        <v>存在しない</v>
      </c>
      <c r="N489" s="2" t="s">
        <v>1249</v>
      </c>
    </row>
    <row r="490" spans="1:14" hidden="1" outlineLevel="1" x14ac:dyDescent="0.4">
      <c r="A490" s="2">
        <v>1</v>
      </c>
      <c r="B490" s="2" t="s">
        <v>283</v>
      </c>
      <c r="J490" s="6" t="str">
        <f>IFERROR(_xlfn.LET(_xlpm.v,
VLOOKUP($I490,効果!$A:$B,COLUMN(効果!B$1),FALSE),
IF(_xlpm.v=0,"",_xlpm.v)
),"")</f>
        <v/>
      </c>
      <c r="L490" s="15" t="str">
        <f>IF(OR(COUNTIF(クラス!$A$1:$A$1035, $B490),$B490="",COUNTIF(スキル一覧!$A$1:$A$3500, $B490)), "", "存在しない")</f>
        <v/>
      </c>
      <c r="M490" s="2" t="str">
        <f>IF(COUNTIF($B$1:$C489, $B490), "", "存在しない")</f>
        <v/>
      </c>
      <c r="N490" s="2" t="s">
        <v>1249</v>
      </c>
    </row>
    <row r="491" spans="1:14" hidden="1" outlineLevel="1" x14ac:dyDescent="0.4">
      <c r="A491" s="2">
        <v>2</v>
      </c>
      <c r="B491" s="2" t="s">
        <v>284</v>
      </c>
      <c r="J491" s="6" t="str">
        <f>IFERROR(_xlfn.LET(_xlpm.v,
VLOOKUP($I491,効果!$A:$B,COLUMN(効果!B$1),FALSE),
IF(_xlpm.v=0,"",_xlpm.v)
),"")</f>
        <v/>
      </c>
      <c r="L491" s="15" t="str">
        <f>IF(OR(COUNTIF(クラス!$A$1:$A$1035, $B491),$B491="",COUNTIF(スキル一覧!$A$1:$A$3500, $B491)), "", "存在しない")</f>
        <v/>
      </c>
      <c r="M491" s="2" t="str">
        <f>IF(COUNTIF($B$1:$C490, $B491), "", "存在しない")</f>
        <v/>
      </c>
      <c r="N491" s="2" t="s">
        <v>1249</v>
      </c>
    </row>
    <row r="492" spans="1:14" hidden="1" outlineLevel="1" x14ac:dyDescent="0.4">
      <c r="A492" s="2">
        <v>3</v>
      </c>
      <c r="J492" s="6" t="str">
        <f>IFERROR(_xlfn.LET(_xlpm.v,
VLOOKUP($I492,効果!$A:$B,COLUMN(効果!B$1),FALSE),
IF(_xlpm.v=0,"",_xlpm.v)
),"")</f>
        <v/>
      </c>
      <c r="L492" s="15" t="str">
        <f>IF(OR(COUNTIF(クラス!$A$1:$A$1035, $B492),$B492="",COUNTIF(スキル一覧!$A$1:$A$3500, $B492)), "", "存在しない")</f>
        <v/>
      </c>
      <c r="M492" s="2" t="str">
        <f>IF(COUNTIF($B$1:$C491, $B492), "", "存在しない")</f>
        <v>存在しない</v>
      </c>
      <c r="N492" s="2" t="s">
        <v>1249</v>
      </c>
    </row>
    <row r="493" spans="1:14" hidden="1" outlineLevel="1" x14ac:dyDescent="0.4">
      <c r="A493" s="2">
        <v>4</v>
      </c>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1249</v>
      </c>
    </row>
    <row r="494" spans="1:14" hidden="1" outlineLevel="1" x14ac:dyDescent="0.4">
      <c r="A494" s="2">
        <v>5</v>
      </c>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1249</v>
      </c>
    </row>
    <row r="495" spans="1:14" hidden="1" outlineLevel="1" x14ac:dyDescent="0.4">
      <c r="A495" s="2">
        <v>6</v>
      </c>
      <c r="J495" s="6" t="str">
        <f>IFERROR(_xlfn.LET(_xlpm.v,
VLOOKUP($I495,効果!$A:$B,COLUMN(効果!B$1),FALSE),
IF(_xlpm.v=0,"",_xlpm.v)
),"")</f>
        <v/>
      </c>
      <c r="L495" s="15" t="str">
        <f>IF(OR(COUNTIF(クラス!$A$1:$A$1035, $B495),$B495="",COUNTIF(スキル一覧!$A$1:$A$3500, $B495)), "", "存在しない")</f>
        <v/>
      </c>
      <c r="M495" s="2" t="str">
        <f>IF(COUNTIF($B$1:$C494, $B495), "", "存在しない")</f>
        <v>存在しない</v>
      </c>
      <c r="N495" s="2" t="s">
        <v>1249</v>
      </c>
    </row>
    <row r="496" spans="1:14" hidden="1" outlineLevel="1" x14ac:dyDescent="0.4">
      <c r="A496" s="2">
        <v>7</v>
      </c>
      <c r="J496" s="6" t="str">
        <f>IFERROR(_xlfn.LET(_xlpm.v,
VLOOKUP($I496,効果!$A:$B,COLUMN(効果!B$1),FALSE),
IF(_xlpm.v=0,"",_xlpm.v)
),"")</f>
        <v/>
      </c>
      <c r="L496" s="15" t="str">
        <f>IF(OR(COUNTIF(クラス!$A$1:$A$1035, $B496),$B496="",COUNTIF(スキル一覧!$A$1:$A$3500, $B496)), "", "存在しない")</f>
        <v/>
      </c>
      <c r="M496" s="2" t="str">
        <f>IF(COUNTIF($B$1:$C495, $B496), "", "存在しない")</f>
        <v>存在しない</v>
      </c>
      <c r="N496" s="2" t="s">
        <v>1249</v>
      </c>
    </row>
    <row r="497" spans="1:14" hidden="1" outlineLevel="1" x14ac:dyDescent="0.4">
      <c r="A497" s="2">
        <v>8</v>
      </c>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1249</v>
      </c>
    </row>
    <row r="498" spans="1:14" hidden="1" outlineLevel="1" x14ac:dyDescent="0.4">
      <c r="A498" s="2">
        <v>9</v>
      </c>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1249</v>
      </c>
    </row>
    <row r="499" spans="1:14" hidden="1" outlineLevel="1" x14ac:dyDescent="0.4">
      <c r="A499" s="2">
        <v>10</v>
      </c>
      <c r="J499" s="6" t="str">
        <f>IFERROR(_xlfn.LET(_xlpm.v,
VLOOKUP($I499,効果!$A:$B,COLUMN(効果!B$1),FALSE),
IF(_xlpm.v=0,"",_xlpm.v)
),"")</f>
        <v/>
      </c>
      <c r="L499" s="15" t="str">
        <f>IF(OR(COUNTIF(クラス!$A$1:$A$1035, $B499),$B499="",COUNTIF(スキル一覧!$A$1:$A$3500, $B499)), "", "存在しない")</f>
        <v/>
      </c>
      <c r="M499" s="2" t="str">
        <f>IF(COUNTIF($B$1:$C498, $B499), "", "存在しない")</f>
        <v>存在しない</v>
      </c>
      <c r="N499" s="2" t="s">
        <v>1249</v>
      </c>
    </row>
    <row r="500" spans="1:14" hidden="1" outlineLevel="1" x14ac:dyDescent="0.4">
      <c r="J500" s="6" t="str">
        <f>IFERROR(_xlfn.LET(_xlpm.v,
VLOOKUP($I500,効果!$A:$B,COLUMN(効果!B$1),FALSE),
IF(_xlpm.v=0,"",_xlpm.v)
),"")</f>
        <v/>
      </c>
      <c r="L500" s="15" t="str">
        <f>IF(OR(COUNTIF(クラス!$A$1:$A$1035, $B500),$B500="",COUNTIF(スキル一覧!$A$1:$A$3500, $B500)), "", "存在しない")</f>
        <v/>
      </c>
      <c r="M500" s="2" t="str">
        <f>IF(COUNTIF($B$1:$C499, $B500), "", "存在しない")</f>
        <v>存在しない</v>
      </c>
      <c r="N500" s="2" t="s">
        <v>1249</v>
      </c>
    </row>
    <row r="501" spans="1:14" collapsed="1" x14ac:dyDescent="0.4">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1249</v>
      </c>
    </row>
    <row r="502" spans="1:14" x14ac:dyDescent="0.4">
      <c r="B502" s="2" t="s">
        <v>201</v>
      </c>
      <c r="J502" s="6" t="str">
        <f>IFERROR(_xlfn.LET(_xlpm.v,
VLOOKUP($I502,効果!$A:$B,COLUMN(効果!B$1),FALSE),
IF(_xlpm.v=0,"",_xlpm.v)
),"")</f>
        <v/>
      </c>
      <c r="L502" s="15" t="str">
        <f>IF(OR(COUNTIF(クラス!$A$1:$A$1035, $B502),$B502="",COUNTIF(スキル一覧!$A$1:$A$3500, $B502)), "", "存在しない")</f>
        <v/>
      </c>
      <c r="M502" s="2" t="str">
        <f>IF(COUNTIF($B$1:$C501, $B502), "", "存在しない")</f>
        <v>存在しない</v>
      </c>
      <c r="N502" s="2" t="s">
        <v>1249</v>
      </c>
    </row>
    <row r="503" spans="1:14" hidden="1" outlineLevel="1" x14ac:dyDescent="0.4">
      <c r="A503" s="2">
        <v>1</v>
      </c>
      <c r="B503" s="2" t="s">
        <v>283</v>
      </c>
      <c r="J503" s="6" t="str">
        <f>IFERROR(_xlfn.LET(_xlpm.v,
VLOOKUP($I503,効果!$A:$B,COLUMN(効果!B$1),FALSE),
IF(_xlpm.v=0,"",_xlpm.v)
),"")</f>
        <v/>
      </c>
      <c r="L503" s="15" t="str">
        <f>IF(OR(COUNTIF(クラス!$A$1:$A$1035, $B503),$B503="",COUNTIF(スキル一覧!$A$1:$A$3500, $B503)), "", "存在しない")</f>
        <v/>
      </c>
      <c r="M503" s="2" t="str">
        <f>IF(COUNTIF($B$1:$C502, $B503), "", "存在しない")</f>
        <v/>
      </c>
      <c r="N503" s="2" t="s">
        <v>1249</v>
      </c>
    </row>
    <row r="504" spans="1:14" hidden="1" outlineLevel="1" x14ac:dyDescent="0.4">
      <c r="A504" s="2">
        <v>2</v>
      </c>
      <c r="B504" s="2" t="s">
        <v>284</v>
      </c>
      <c r="J504" s="6" t="str">
        <f>IFERROR(_xlfn.LET(_xlpm.v,
VLOOKUP($I504,効果!$A:$B,COLUMN(効果!B$1),FALSE),
IF(_xlpm.v=0,"",_xlpm.v)
),"")</f>
        <v/>
      </c>
      <c r="L504" s="15" t="str">
        <f>IF(OR(COUNTIF(クラス!$A$1:$A$1035, $B504),$B504="",COUNTIF(スキル一覧!$A$1:$A$3500, $B504)), "", "存在しない")</f>
        <v/>
      </c>
      <c r="M504" s="2" t="str">
        <f>IF(COUNTIF($B$1:$C503, $B504), "", "存在しない")</f>
        <v/>
      </c>
      <c r="N504" s="2" t="s">
        <v>1249</v>
      </c>
    </row>
    <row r="505" spans="1:14" hidden="1" outlineLevel="1" x14ac:dyDescent="0.4">
      <c r="A505" s="2">
        <v>3</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1249</v>
      </c>
    </row>
    <row r="506" spans="1:14" hidden="1" outlineLevel="1" x14ac:dyDescent="0.4">
      <c r="A506" s="2">
        <v>4</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1249</v>
      </c>
    </row>
    <row r="507" spans="1:14" hidden="1" outlineLevel="1" x14ac:dyDescent="0.4">
      <c r="A507" s="2">
        <v>5</v>
      </c>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1249</v>
      </c>
    </row>
    <row r="508" spans="1:14" hidden="1" outlineLevel="1" x14ac:dyDescent="0.4">
      <c r="A508" s="2">
        <v>6</v>
      </c>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1249</v>
      </c>
    </row>
    <row r="509" spans="1:14" hidden="1" outlineLevel="1" x14ac:dyDescent="0.4">
      <c r="A509" s="2">
        <v>7</v>
      </c>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1249</v>
      </c>
    </row>
    <row r="510" spans="1:14" hidden="1" outlineLevel="1" x14ac:dyDescent="0.4">
      <c r="A510" s="2">
        <v>8</v>
      </c>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1249</v>
      </c>
    </row>
    <row r="511" spans="1:14" hidden="1" outlineLevel="1" x14ac:dyDescent="0.4">
      <c r="A511" s="2">
        <v>9</v>
      </c>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1249</v>
      </c>
    </row>
    <row r="512" spans="1:14" hidden="1" outlineLevel="1" x14ac:dyDescent="0.4">
      <c r="A512" s="2">
        <v>10</v>
      </c>
      <c r="J512" s="6" t="str">
        <f>IFERROR(_xlfn.LET(_xlpm.v,
VLOOKUP($I512,効果!$A:$B,COLUMN(効果!B$1),FALSE),
IF(_xlpm.v=0,"",_xlpm.v)
),"")</f>
        <v/>
      </c>
      <c r="L512" s="15" t="str">
        <f>IF(OR(COUNTIF(クラス!$A$1:$A$1035, $B512),$B512="",COUNTIF(スキル一覧!$A$1:$A$3500, $B512)), "", "存在しない")</f>
        <v/>
      </c>
      <c r="M512" s="2" t="str">
        <f>IF(COUNTIF($B$1:$C511, $B512), "", "存在しない")</f>
        <v>存在しない</v>
      </c>
      <c r="N512" s="2" t="s">
        <v>1249</v>
      </c>
    </row>
    <row r="513" spans="1:14" hidden="1" outlineLevel="1" x14ac:dyDescent="0.4">
      <c r="J513" s="6" t="str">
        <f>IFERROR(_xlfn.LET(_xlpm.v,
VLOOKUP($I513,効果!$A:$B,COLUMN(効果!B$1),FALSE),
IF(_xlpm.v=0,"",_xlpm.v)
),"")</f>
        <v/>
      </c>
      <c r="L513" s="15" t="str">
        <f>IF(OR(COUNTIF(クラス!$A$1:$A$1035, $B513),$B513="",COUNTIF(スキル一覧!$A$1:$A$3500, $B513)), "", "存在しない")</f>
        <v/>
      </c>
      <c r="M513" s="2" t="str">
        <f>IF(COUNTIF($B$1:$C512, $B513), "", "存在しない")</f>
        <v>存在しない</v>
      </c>
      <c r="N513" s="2" t="s">
        <v>1249</v>
      </c>
    </row>
    <row r="514" spans="1:14" collapsed="1" x14ac:dyDescent="0.4">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1249</v>
      </c>
    </row>
    <row r="515" spans="1:14" x14ac:dyDescent="0.4">
      <c r="B515" s="2" t="s">
        <v>203</v>
      </c>
      <c r="J515" s="6" t="str">
        <f>IFERROR(_xlfn.LET(_xlpm.v,
VLOOKUP($I515,効果!$A:$B,COLUMN(効果!B$1),FALSE),
IF(_xlpm.v=0,"",_xlpm.v)
),"")</f>
        <v/>
      </c>
      <c r="L515" s="15" t="str">
        <f>IF(OR(COUNTIF(クラス!$A$1:$A$1035, $B515),$B515="",COUNTIF(スキル一覧!$A$1:$A$3500, $B515)), "", "存在しない")</f>
        <v/>
      </c>
      <c r="M515" s="2" t="str">
        <f>IF(COUNTIF($B$1:$C514, $B515), "", "存在しない")</f>
        <v>存在しない</v>
      </c>
      <c r="N515" s="2" t="s">
        <v>1249</v>
      </c>
    </row>
    <row r="516" spans="1:14" hidden="1" outlineLevel="1" x14ac:dyDescent="0.4">
      <c r="A516" s="2">
        <v>1</v>
      </c>
      <c r="B516" s="2" t="s">
        <v>284</v>
      </c>
      <c r="J516" s="6" t="str">
        <f>IFERROR(_xlfn.LET(_xlpm.v,
VLOOKUP($I516,効果!$A:$B,COLUMN(効果!B$1),FALSE),
IF(_xlpm.v=0,"",_xlpm.v)
),"")</f>
        <v/>
      </c>
      <c r="L516" s="15" t="str">
        <f>IF(OR(COUNTIF(クラス!$A$1:$A$1035, $B516),$B516="",COUNTIF(スキル一覧!$A$1:$A$3500, $B516)), "", "存在しない")</f>
        <v/>
      </c>
      <c r="M516" s="2" t="str">
        <f>IF(COUNTIF($B$1:$C515, $B516), "", "存在しない")</f>
        <v/>
      </c>
      <c r="N516" s="2" t="s">
        <v>1249</v>
      </c>
    </row>
    <row r="517" spans="1:14" hidden="1" outlineLevel="1" x14ac:dyDescent="0.4">
      <c r="A517" s="2">
        <v>2</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1249</v>
      </c>
    </row>
    <row r="518" spans="1:14" hidden="1" outlineLevel="1" x14ac:dyDescent="0.4">
      <c r="A518" s="2">
        <v>3</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1249</v>
      </c>
    </row>
    <row r="519" spans="1:14" hidden="1" outlineLevel="1" x14ac:dyDescent="0.4">
      <c r="A519" s="2">
        <v>4</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1249</v>
      </c>
    </row>
    <row r="520" spans="1:14" hidden="1" outlineLevel="1" x14ac:dyDescent="0.4">
      <c r="A520" s="2">
        <v>5</v>
      </c>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1249</v>
      </c>
    </row>
    <row r="521" spans="1:14" hidden="1" outlineLevel="1" x14ac:dyDescent="0.4">
      <c r="A521" s="2">
        <v>6</v>
      </c>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1249</v>
      </c>
    </row>
    <row r="522" spans="1:14" hidden="1" outlineLevel="1" x14ac:dyDescent="0.4">
      <c r="A522" s="2">
        <v>7</v>
      </c>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1249</v>
      </c>
    </row>
    <row r="523" spans="1:14" hidden="1" outlineLevel="1" x14ac:dyDescent="0.4">
      <c r="A523" s="2">
        <v>8</v>
      </c>
      <c r="J523" s="6" t="str">
        <f>IFERROR(_xlfn.LET(_xlpm.v,
VLOOKUP($I523,効果!$A:$B,COLUMN(効果!B$1),FALSE),
IF(_xlpm.v=0,"",_xlpm.v)
),"")</f>
        <v/>
      </c>
      <c r="L523" s="15" t="str">
        <f>IF(OR(COUNTIF(クラス!$A$1:$A$1035, $B523),$B523="",COUNTIF(スキル一覧!$A$1:$A$3500, $B523)), "", "存在しない")</f>
        <v/>
      </c>
      <c r="M523" s="2" t="str">
        <f>IF(COUNTIF($B$1:$C522, $B523), "", "存在しない")</f>
        <v>存在しない</v>
      </c>
      <c r="N523" s="2" t="s">
        <v>1249</v>
      </c>
    </row>
    <row r="524" spans="1:14" hidden="1" outlineLevel="1" x14ac:dyDescent="0.4">
      <c r="A524" s="2">
        <v>9</v>
      </c>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1249</v>
      </c>
    </row>
    <row r="525" spans="1:14" hidden="1" outlineLevel="1" x14ac:dyDescent="0.4">
      <c r="A525" s="2">
        <v>10</v>
      </c>
      <c r="J525" s="6" t="str">
        <f>IFERROR(_xlfn.LET(_xlpm.v,
VLOOKUP($I525,効果!$A:$B,COLUMN(効果!B$1),FALSE),
IF(_xlpm.v=0,"",_xlpm.v)
),"")</f>
        <v/>
      </c>
      <c r="L525" s="15" t="str">
        <f>IF(OR(COUNTIF(クラス!$A$1:$A$1035, $B525),$B525="",COUNTIF(スキル一覧!$A$1:$A$3500, $B525)), "", "存在しない")</f>
        <v/>
      </c>
      <c r="M525" s="2" t="str">
        <f>IF(COUNTIF($B$1:$C524, $B525), "", "存在しない")</f>
        <v>存在しない</v>
      </c>
      <c r="N525" s="2" t="s">
        <v>1249</v>
      </c>
    </row>
    <row r="526" spans="1:14" hidden="1" outlineLevel="1" x14ac:dyDescent="0.4">
      <c r="J526" s="6" t="str">
        <f>IFERROR(_xlfn.LET(_xlpm.v,
VLOOKUP($I526,効果!$A:$B,COLUMN(効果!B$1),FALSE),
IF(_xlpm.v=0,"",_xlpm.v)
),"")</f>
        <v/>
      </c>
      <c r="L526" s="15" t="str">
        <f>IF(OR(COUNTIF(クラス!$A$1:$A$1035, $B526),$B526="",COUNTIF(スキル一覧!$A$1:$A$3500, $B526)), "", "存在しない")</f>
        <v/>
      </c>
      <c r="M526" s="2" t="str">
        <f>IF(COUNTIF($B$1:$C525, $B526), "", "存在しない")</f>
        <v>存在しない</v>
      </c>
      <c r="N526" s="2" t="s">
        <v>1249</v>
      </c>
    </row>
    <row r="527" spans="1:14" collapsed="1" x14ac:dyDescent="0.4">
      <c r="J527" s="6" t="str">
        <f>IFERROR(_xlfn.LET(_xlpm.v,
VLOOKUP($I527,効果!$A:$B,COLUMN(効果!B$1),FALSE),
IF(_xlpm.v=0,"",_xlpm.v)
),"")</f>
        <v/>
      </c>
      <c r="L527" s="15" t="str">
        <f>IF(OR(COUNTIF(クラス!$A$1:$A$1035, $B527),$B527="",COUNTIF(スキル一覧!$A$1:$A$3500, $B527)), "", "存在しない")</f>
        <v/>
      </c>
      <c r="M527" s="2" t="str">
        <f>IF(COUNTIF($B$1:$C526, $B527), "", "存在しない")</f>
        <v>存在しない</v>
      </c>
      <c r="N527" s="2" t="s">
        <v>1249</v>
      </c>
    </row>
    <row r="528" spans="1:14" x14ac:dyDescent="0.4">
      <c r="J528" s="6" t="str">
        <f>IFERROR(_xlfn.LET(_xlpm.v,
VLOOKUP($I528,効果!$A:$B,COLUMN(効果!B$1),FALSE),
IF(_xlpm.v=0,"",_xlpm.v)
),"")</f>
        <v/>
      </c>
      <c r="L528" s="15" t="str">
        <f>IF(OR(COUNTIF(クラス!$A$1:$A$1035, $B528),$B528="",COUNTIF(スキル一覧!$A$1:$A$3500, $B528)), "", "存在しない")</f>
        <v/>
      </c>
      <c r="M528" s="2" t="str">
        <f>IF(COUNTIF($B$1:$C527, $B528), "", "存在しない")</f>
        <v>存在しない</v>
      </c>
      <c r="N528" s="2" t="s">
        <v>1249</v>
      </c>
    </row>
    <row r="529" spans="1:14" ht="18.75" x14ac:dyDescent="0.4">
      <c r="B529" t="s">
        <v>853</v>
      </c>
      <c r="D529" s="7" t="s">
        <v>859</v>
      </c>
      <c r="E529" s="13" t="s">
        <v>860</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1249</v>
      </c>
    </row>
    <row r="530" spans="1:14" hidden="1" outlineLevel="1" x14ac:dyDescent="0.4">
      <c r="A530" s="2">
        <v>1</v>
      </c>
      <c r="B530" s="2" t="str">
        <f>D529&amp;"の適用"</f>
        <v>炎の適用</v>
      </c>
      <c r="D530" s="7"/>
      <c r="E530" s="13" t="s">
        <v>474</v>
      </c>
      <c r="H530" s="10" t="str">
        <f>D529&amp;"耐性+30"</f>
        <v>炎耐性+30</v>
      </c>
      <c r="J530" s="6" t="str">
        <f>IFERROR(_xlfn.LET(_xlpm.v,
VLOOKUP($I530,効果!$A:$B,COLUMN(効果!B$1),FALSE),
IF(_xlpm.v=0,"",_xlpm.v)
),"")</f>
        <v/>
      </c>
      <c r="L530" s="15" t="str">
        <f>IF(OR(COUNTIF(クラス!$A$1:$A$1035, $B530),$B530="",COUNTIF(スキル一覧!$A$1:$A$3500, $B530)), "", "存在しない")</f>
        <v>存在しない</v>
      </c>
      <c r="M530" s="2" t="str">
        <f>IF(COUNTIF($B$1:$C529, $B530), "", "存在しない")</f>
        <v>存在しない</v>
      </c>
      <c r="N530" s="2" t="e">
        <v>#VALUE!</v>
      </c>
    </row>
    <row r="531" spans="1:14" hidden="1" outlineLevel="1" x14ac:dyDescent="0.4">
      <c r="A531" s="2">
        <v>2</v>
      </c>
      <c r="D531" s="7"/>
      <c r="J531" s="6" t="str">
        <f>IFERROR(_xlfn.LET(_xlpm.v,
VLOOKUP($I531,効果!$A:$B,COLUMN(効果!B$1),FALSE),
IF(_xlpm.v=0,"",_xlpm.v)
),"")</f>
        <v/>
      </c>
      <c r="L531" s="15" t="str">
        <f>IF(OR(COUNTIF(クラス!$A$1:$A$1035, $B531),$B531="",COUNTIF(スキル一覧!$A$1:$A$3500, $B531)), "", "存在しない")</f>
        <v/>
      </c>
      <c r="M531" s="2" t="str">
        <f>IF(COUNTIF($B$1:$C530, $B531), "", "存在しない")</f>
        <v>存在しない</v>
      </c>
      <c r="N531" s="2" t="s">
        <v>1249</v>
      </c>
    </row>
    <row r="532" spans="1:14" ht="36" hidden="1" outlineLevel="1" x14ac:dyDescent="0.4">
      <c r="A532" s="2">
        <v>3</v>
      </c>
      <c r="B532" s="2" t="str">
        <f>D529&amp;"の体"</f>
        <v>炎の体</v>
      </c>
      <c r="D532" s="7"/>
      <c r="E532" s="13" t="s">
        <v>772</v>
      </c>
      <c r="F532" s="14">
        <v>5</v>
      </c>
      <c r="G532" s="19">
        <v>20</v>
      </c>
      <c r="H532" s="10" t="str">
        <f>"効果時間6t 攻撃手段:肉体 "&amp;D529&amp;"+15 判定:攻撃"</f>
        <v>効果時間6t 攻撃手段:肉体 炎+15 判定:攻撃</v>
      </c>
      <c r="J532" s="6" t="str">
        <f>IFERROR(_xlfn.LET(_xlpm.v,
VLOOKUP($I532,効果!$A:$B,COLUMN(効果!B$1),FALSE),
IF(_xlpm.v=0,"",_xlpm.v)
),"")</f>
        <v/>
      </c>
      <c r="L532" s="15" t="str">
        <f>IF(OR(COUNTIF(クラス!$A$1:$A$1035, $B532),$B532="",COUNTIF(スキル一覧!$A$1:$A$3500, $B532)), "", "存在しない")</f>
        <v>存在しない</v>
      </c>
      <c r="M532" s="2" t="str">
        <f>IF(COUNTIF($B$1:$C531, $B532), "", "存在しない")</f>
        <v>存在しない</v>
      </c>
      <c r="N532" s="2" t="e">
        <v>#VALUE!</v>
      </c>
    </row>
    <row r="533" spans="1:14" hidden="1" outlineLevel="1" x14ac:dyDescent="0.4">
      <c r="A533" s="2">
        <v>4</v>
      </c>
      <c r="D533" s="7"/>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1249</v>
      </c>
    </row>
    <row r="534" spans="1:14" hidden="1" outlineLevel="1" x14ac:dyDescent="0.4">
      <c r="A534" s="2">
        <v>5</v>
      </c>
      <c r="D534" s="7"/>
      <c r="E534" s="13" t="s">
        <v>474</v>
      </c>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1249</v>
      </c>
    </row>
    <row r="535" spans="1:14" ht="36" hidden="1" outlineLevel="1" x14ac:dyDescent="0.4">
      <c r="A535" s="2">
        <v>6</v>
      </c>
      <c r="B535" s="2" t="str">
        <f>E529&amp;"突撃"</f>
        <v>火炎突撃</v>
      </c>
      <c r="D535" s="7" t="str">
        <f>D529</f>
        <v>炎</v>
      </c>
      <c r="E535" s="13" t="s">
        <v>772</v>
      </c>
      <c r="F535" s="14">
        <v>5</v>
      </c>
      <c r="G535" s="19">
        <v>60</v>
      </c>
      <c r="H535" s="10" t="str">
        <f>"攻撃手段:肉体 打撃+15 "&amp;D529&amp;"+20 追加威力:速度 判定:攻撃 溜め:1t CT:5t"</f>
        <v>攻撃手段:肉体 打撃+15 炎+20 追加威力:速度 判定:攻撃 溜め:1t CT:5t</v>
      </c>
      <c r="J535" s="6" t="str">
        <f>IFERROR(_xlfn.LET(_xlpm.v,
VLOOKUP($I535,効果!$A:$B,COLUMN(効果!B$1),FALSE),
IF(_xlpm.v=0,"",_xlpm.v)
),"")</f>
        <v/>
      </c>
      <c r="L535" s="15" t="str">
        <f>IF(OR(COUNTIF(クラス!$A$1:$A$1035, $B535),$B535="",COUNTIF(スキル一覧!$A$1:$A$3500, $B535)), "", "存在しない")</f>
        <v>存在しない</v>
      </c>
      <c r="M535" s="2" t="str">
        <f>IF(COUNTIF($B$1:$C534, $B535), "", "存在しない")</f>
        <v>存在しない</v>
      </c>
      <c r="N535" s="2" t="e">
        <v>#VALUE!</v>
      </c>
    </row>
    <row r="536" spans="1:14" hidden="1" outlineLevel="1" x14ac:dyDescent="0.4">
      <c r="A536" s="2">
        <v>7</v>
      </c>
      <c r="D536" s="7"/>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1249</v>
      </c>
    </row>
    <row r="537" spans="1:14" hidden="1" outlineLevel="1" x14ac:dyDescent="0.4">
      <c r="A537" s="2">
        <v>8</v>
      </c>
      <c r="D537" s="7"/>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1249</v>
      </c>
    </row>
    <row r="538" spans="1:14" hidden="1" outlineLevel="1" x14ac:dyDescent="0.4">
      <c r="A538" s="2">
        <v>9</v>
      </c>
      <c r="B538" s="2" t="str">
        <f>D529&amp;"強化"</f>
        <v>炎強化</v>
      </c>
      <c r="D538" s="7"/>
      <c r="E538" s="13" t="s">
        <v>474</v>
      </c>
      <c r="H538" s="10" t="str">
        <f>"条件系統:"&amp;D529&amp;" 全威力+10"</f>
        <v>条件系統:炎 全威力+10</v>
      </c>
      <c r="J538" s="6" t="str">
        <f>IFERROR(_xlfn.LET(_xlpm.v,
VLOOKUP($I538,効果!$A:$B,COLUMN(効果!B$1),FALSE),
IF(_xlpm.v=0,"",_xlpm.v)
),"")</f>
        <v/>
      </c>
      <c r="L538" s="15" t="str">
        <f>IF(OR(COUNTIF(クラス!$A$1:$A$1035, $B538),$B538="",COUNTIF(スキル一覧!$A$1:$A$3500, $B538)), "", "存在しない")</f>
        <v>存在しない</v>
      </c>
      <c r="M538" s="2" t="str">
        <f>IF(COUNTIF($B$1:$C537, $B538), "", "存在しない")</f>
        <v>存在しない</v>
      </c>
      <c r="N538" s="2" t="e">
        <v>#VALUE!</v>
      </c>
    </row>
    <row r="539" spans="1:14" hidden="1" outlineLevel="1" x14ac:dyDescent="0.4">
      <c r="A539" s="2">
        <v>10</v>
      </c>
      <c r="B539" s="2" t="str">
        <f>D529&amp;"の唾"</f>
        <v>炎の唾</v>
      </c>
      <c r="D539" s="7" t="str">
        <f>D529</f>
        <v>炎</v>
      </c>
      <c r="E539" s="13" t="s">
        <v>772</v>
      </c>
      <c r="G539" s="19">
        <v>25</v>
      </c>
      <c r="H539" s="10" t="str">
        <f>"攻撃手段:吐息 "&amp;D529&amp;"+30 射程:2 判定:Lv"</f>
        <v>攻撃手段:吐息 炎+30 射程:2 判定:Lv</v>
      </c>
      <c r="J539" s="6" t="str">
        <f>IFERROR(_xlfn.LET(_xlpm.v,
VLOOKUP($I539,効果!$A:$B,COLUMN(効果!B$1),FALSE),
IF(_xlpm.v=0,"",_xlpm.v)
),"")</f>
        <v/>
      </c>
      <c r="L539" s="15" t="str">
        <f>IF(OR(COUNTIF(クラス!$A$1:$A$1035, $B539),$B539="",COUNTIF(スキル一覧!$A$1:$A$3500, $B539)), "", "存在しない")</f>
        <v>存在しない</v>
      </c>
      <c r="M539" s="2" t="str">
        <f>IF(COUNTIF($B$1:$C538, $B539), "", "存在しない")</f>
        <v>存在しない</v>
      </c>
      <c r="N539" s="2" t="e">
        <v>#VALUE!</v>
      </c>
    </row>
    <row r="540" spans="1:14" hidden="1" outlineLevel="1" x14ac:dyDescent="0.4">
      <c r="J540" s="6" t="str">
        <f>IFERROR(_xlfn.LET(_xlpm.v,
VLOOKUP($I540,効果!$A:$B,COLUMN(効果!B$1),FALSE),
IF(_xlpm.v=0,"",_xlpm.v)
),"")</f>
        <v/>
      </c>
      <c r="L540" s="15" t="str">
        <f>IF(OR(COUNTIF(クラス!$A$1:$A$1035, $B540),$B540="",COUNTIF(スキル一覧!$A$1:$A$3500, $B540)), "", "存在しない")</f>
        <v/>
      </c>
      <c r="M540" s="2" t="str">
        <f>IF(COUNTIF($B$1:$C539, $B540), "", "存在しない")</f>
        <v>存在しない</v>
      </c>
      <c r="N540" s="2" t="s">
        <v>1249</v>
      </c>
    </row>
    <row r="541" spans="1:14" collapsed="1" x14ac:dyDescent="0.4">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1249</v>
      </c>
    </row>
    <row r="542" spans="1:14" ht="18.75" x14ac:dyDescent="0.4">
      <c r="B542" t="s">
        <v>854</v>
      </c>
      <c r="D542" s="2" t="s">
        <v>862</v>
      </c>
      <c r="E542" s="13" t="s">
        <v>863</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1249</v>
      </c>
    </row>
    <row r="543" spans="1:14" hidden="1" outlineLevel="1" x14ac:dyDescent="0.4">
      <c r="A543" s="2">
        <v>1</v>
      </c>
      <c r="B543" s="2" t="str">
        <f>D542&amp;"の適用"</f>
        <v>氷の適用</v>
      </c>
      <c r="D543" s="7"/>
      <c r="E543" s="13" t="s">
        <v>474</v>
      </c>
      <c r="H543" s="10" t="str">
        <f>D542&amp;"耐性+30"</f>
        <v>氷耐性+30</v>
      </c>
      <c r="J543" s="6" t="str">
        <f>IFERROR(_xlfn.LET(_xlpm.v,
VLOOKUP($I543,効果!$A:$B,COLUMN(効果!B$1),FALSE),
IF(_xlpm.v=0,"",_xlpm.v)
),"")</f>
        <v/>
      </c>
      <c r="L543" s="15" t="str">
        <f>IF(OR(COUNTIF(クラス!$A$1:$A$1035, $B543),$B543="",COUNTIF(スキル一覧!$A$1:$A$3500, $B543)), "", "存在しない")</f>
        <v>存在しない</v>
      </c>
      <c r="M543" s="2" t="str">
        <f>IF(COUNTIF($B$1:$C542, $B543), "", "存在しない")</f>
        <v>存在しない</v>
      </c>
      <c r="N543" s="2" t="e">
        <v>#VALUE!</v>
      </c>
    </row>
    <row r="544" spans="1:14" hidden="1" outlineLevel="1" x14ac:dyDescent="0.4">
      <c r="A544" s="2">
        <v>2</v>
      </c>
      <c r="D544" s="7"/>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1249</v>
      </c>
    </row>
    <row r="545" spans="1:14" ht="36" hidden="1" outlineLevel="1" x14ac:dyDescent="0.4">
      <c r="A545" s="2">
        <v>3</v>
      </c>
      <c r="B545" s="2" t="str">
        <f>D542&amp;"の体"</f>
        <v>氷の体</v>
      </c>
      <c r="D545" s="7"/>
      <c r="E545" s="13" t="s">
        <v>772</v>
      </c>
      <c r="F545" s="14">
        <v>5</v>
      </c>
      <c r="G545" s="19">
        <v>20</v>
      </c>
      <c r="H545" s="10" t="str">
        <f>"効果時間6t 攻撃手段:肉体 "&amp;D542&amp;"+15 判定:攻撃"</f>
        <v>効果時間6t 攻撃手段:肉体 氷+15 判定:攻撃</v>
      </c>
      <c r="J545" s="6" t="str">
        <f>IFERROR(_xlfn.LET(_xlpm.v,
VLOOKUP($I545,効果!$A:$B,COLUMN(効果!B$1),FALSE),
IF(_xlpm.v=0,"",_xlpm.v)
),"")</f>
        <v/>
      </c>
      <c r="L545" s="15" t="str">
        <f>IF(OR(COUNTIF(クラス!$A$1:$A$1035, $B545),$B545="",COUNTIF(スキル一覧!$A$1:$A$3500, $B545)), "", "存在しない")</f>
        <v>存在しない</v>
      </c>
      <c r="M545" s="2" t="str">
        <f>IF(COUNTIF($B$1:$C544, $B545), "", "存在しない")</f>
        <v>存在しない</v>
      </c>
      <c r="N545" s="2" t="e">
        <v>#VALUE!</v>
      </c>
    </row>
    <row r="546" spans="1:14" hidden="1" outlineLevel="1" x14ac:dyDescent="0.4">
      <c r="A546" s="2">
        <v>4</v>
      </c>
      <c r="D546" s="7"/>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1249</v>
      </c>
    </row>
    <row r="547" spans="1:14" hidden="1" outlineLevel="1" x14ac:dyDescent="0.4">
      <c r="A547" s="2">
        <v>5</v>
      </c>
      <c r="D547" s="7"/>
      <c r="E547" s="13" t="s">
        <v>474</v>
      </c>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1249</v>
      </c>
    </row>
    <row r="548" spans="1:14" ht="36" hidden="1" outlineLevel="1" x14ac:dyDescent="0.4">
      <c r="A548" s="2">
        <v>6</v>
      </c>
      <c r="B548" s="2" t="str">
        <f>E542&amp;"突撃"</f>
        <v>氷結突撃</v>
      </c>
      <c r="D548" s="7" t="str">
        <f>D542</f>
        <v>氷</v>
      </c>
      <c r="E548" s="13" t="s">
        <v>772</v>
      </c>
      <c r="F548" s="14">
        <v>5</v>
      </c>
      <c r="G548" s="19">
        <v>60</v>
      </c>
      <c r="H548" s="10" t="str">
        <f>"攻撃手段:肉体 打撃+15 "&amp;D542&amp;"+20 追加威力:速度 判定:攻撃 溜め:1t CT:5t"</f>
        <v>攻撃手段:肉体 打撃+15 氷+20 追加威力:速度 判定:攻撃 溜め:1t CT:5t</v>
      </c>
      <c r="J548" s="6" t="str">
        <f>IFERROR(_xlfn.LET(_xlpm.v,
VLOOKUP($I548,効果!$A:$B,COLUMN(効果!B$1),FALSE),
IF(_xlpm.v=0,"",_xlpm.v)
),"")</f>
        <v/>
      </c>
      <c r="L548" s="15" t="str">
        <f>IF(OR(COUNTIF(クラス!$A$1:$A$1035, $B548),$B548="",COUNTIF(スキル一覧!$A$1:$A$3500, $B548)), "", "存在しない")</f>
        <v>存在しない</v>
      </c>
      <c r="M548" s="2" t="str">
        <f>IF(COUNTIF($B$1:$C547, $B548), "", "存在しない")</f>
        <v>存在しない</v>
      </c>
      <c r="N548" s="2" t="e">
        <v>#VALUE!</v>
      </c>
    </row>
    <row r="549" spans="1:14" hidden="1" outlineLevel="1" x14ac:dyDescent="0.4">
      <c r="A549" s="2">
        <v>7</v>
      </c>
      <c r="D549" s="7"/>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1249</v>
      </c>
    </row>
    <row r="550" spans="1:14" hidden="1" outlineLevel="1" x14ac:dyDescent="0.4">
      <c r="A550" s="2">
        <v>8</v>
      </c>
      <c r="D550" s="7"/>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1249</v>
      </c>
    </row>
    <row r="551" spans="1:14" hidden="1" outlineLevel="1" x14ac:dyDescent="0.4">
      <c r="A551" s="2">
        <v>9</v>
      </c>
      <c r="B551" s="2" t="str">
        <f>D542&amp;"強化"</f>
        <v>氷強化</v>
      </c>
      <c r="D551" s="7"/>
      <c r="E551" s="13" t="s">
        <v>474</v>
      </c>
      <c r="H551" s="10" t="str">
        <f>"条件系統:"&amp;D542&amp;" 全威力+10"</f>
        <v>条件系統:氷 全威力+10</v>
      </c>
      <c r="J551" s="6" t="str">
        <f>IFERROR(_xlfn.LET(_xlpm.v,
VLOOKUP($I551,効果!$A:$B,COLUMN(効果!B$1),FALSE),
IF(_xlpm.v=0,"",_xlpm.v)
),"")</f>
        <v/>
      </c>
      <c r="L551" s="15" t="str">
        <f>IF(OR(COUNTIF(クラス!$A$1:$A$1035, $B551),$B551="",COUNTIF(スキル一覧!$A$1:$A$3500, $B551)), "", "存在しない")</f>
        <v>存在しない</v>
      </c>
      <c r="M551" s="2" t="str">
        <f>IF(COUNTIF($B$1:$C550, $B551), "", "存在しない")</f>
        <v>存在しない</v>
      </c>
      <c r="N551" s="2" t="e">
        <v>#VALUE!</v>
      </c>
    </row>
    <row r="552" spans="1:14" hidden="1" outlineLevel="1" x14ac:dyDescent="0.4">
      <c r="A552" s="2">
        <v>10</v>
      </c>
      <c r="B552" s="2" t="str">
        <f>D542&amp;"の唾"</f>
        <v>氷の唾</v>
      </c>
      <c r="D552" s="7" t="str">
        <f>D542</f>
        <v>氷</v>
      </c>
      <c r="E552" s="13" t="s">
        <v>772</v>
      </c>
      <c r="G552" s="19">
        <v>25</v>
      </c>
      <c r="H552" s="10" t="str">
        <f>"攻撃手段:吐息 "&amp;D542&amp;"+30 射程:2 判定:Lv"</f>
        <v>攻撃手段:吐息 氷+30 射程:2 判定:Lv</v>
      </c>
      <c r="J552" s="6" t="str">
        <f>IFERROR(_xlfn.LET(_xlpm.v,
VLOOKUP($I552,効果!$A:$B,COLUMN(効果!B$1),FALSE),
IF(_xlpm.v=0,"",_xlpm.v)
),"")</f>
        <v/>
      </c>
      <c r="L552" s="15" t="str">
        <f>IF(OR(COUNTIF(クラス!$A$1:$A$1035, $B552),$B552="",COUNTIF(スキル一覧!$A$1:$A$3500, $B552)), "", "存在しない")</f>
        <v>存在しない</v>
      </c>
      <c r="M552" s="2" t="str">
        <f>IF(COUNTIF($B$1:$C551, $B552), "", "存在しない")</f>
        <v>存在しない</v>
      </c>
      <c r="N552" s="2" t="e">
        <v>#VALUE!</v>
      </c>
    </row>
    <row r="553" spans="1:14" hidden="1" outlineLevel="1" x14ac:dyDescent="0.4">
      <c r="J553" s="6" t="str">
        <f>IFERROR(_xlfn.LET(_xlpm.v,
VLOOKUP($I553,効果!$A:$B,COLUMN(効果!B$1),FALSE),
IF(_xlpm.v=0,"",_xlpm.v)
),"")</f>
        <v/>
      </c>
      <c r="L553" s="15" t="str">
        <f>IF(OR(COUNTIF(クラス!$A$1:$A$1035, $B553),$B553="",COUNTIF(スキル一覧!$A$1:$A$3500, $B553)), "", "存在しない")</f>
        <v/>
      </c>
      <c r="M553" s="2" t="str">
        <f>IF(COUNTIF($B$1:$C552, $B553), "", "存在しない")</f>
        <v>存在しない</v>
      </c>
      <c r="N553" s="2" t="s">
        <v>1249</v>
      </c>
    </row>
    <row r="554" spans="1:14" collapsed="1" x14ac:dyDescent="0.4">
      <c r="J554" s="6" t="str">
        <f>IFERROR(_xlfn.LET(_xlpm.v,
VLOOKUP($I554,効果!$A:$B,COLUMN(効果!B$1),FALSE),
IF(_xlpm.v=0,"",_xlpm.v)
),"")</f>
        <v/>
      </c>
      <c r="L554" s="15" t="str">
        <f>IF(OR(COUNTIF(クラス!$A$1:$A$1035, $B554),$B554="",COUNTIF(スキル一覧!$A$1:$A$3500, $B554)), "", "存在しない")</f>
        <v/>
      </c>
      <c r="M554" s="2" t="str">
        <f>IF(COUNTIF($B$1:$C553, $B554), "", "存在しない")</f>
        <v>存在しない</v>
      </c>
      <c r="N554" s="2" t="s">
        <v>1249</v>
      </c>
    </row>
    <row r="555" spans="1:14" ht="18.75" x14ac:dyDescent="0.4">
      <c r="B555" t="s">
        <v>855</v>
      </c>
      <c r="D555" s="2" t="s">
        <v>883</v>
      </c>
      <c r="E555" s="13" t="s">
        <v>894</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1249</v>
      </c>
    </row>
    <row r="556" spans="1:14" hidden="1" outlineLevel="1" x14ac:dyDescent="0.4">
      <c r="A556" s="2">
        <v>1</v>
      </c>
      <c r="B556" s="2" t="s">
        <v>878</v>
      </c>
      <c r="D556" s="7"/>
      <c r="E556" s="13" t="s">
        <v>474</v>
      </c>
      <c r="H556" s="10" t="s">
        <v>882</v>
      </c>
      <c r="J556" s="6" t="str">
        <f>IFERROR(_xlfn.LET(_xlpm.v,
VLOOKUP($I556,効果!$A:$B,COLUMN(効果!B$1),FALSE),
IF(_xlpm.v=0,"",_xlpm.v)
),"")</f>
        <v/>
      </c>
      <c r="L556" s="15" t="str">
        <f>IF(OR(COUNTIF(クラス!$A$1:$A$1035, $B556),$B556="",COUNTIF(スキル一覧!$A$1:$A$3500, $B556)), "", "存在しない")</f>
        <v>存在しない</v>
      </c>
      <c r="M556" s="2" t="str">
        <f>IF(COUNTIF($B$1:$C555, $B556), "", "存在しない")</f>
        <v>存在しない</v>
      </c>
      <c r="N556" s="2" t="e">
        <v>#VALUE!</v>
      </c>
    </row>
    <row r="557" spans="1:14" hidden="1" outlineLevel="1" x14ac:dyDescent="0.4">
      <c r="A557" s="2">
        <v>2</v>
      </c>
      <c r="D557" s="7"/>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1249</v>
      </c>
    </row>
    <row r="558" spans="1:14" hidden="1" outlineLevel="1" x14ac:dyDescent="0.4">
      <c r="A558" s="2">
        <v>3</v>
      </c>
      <c r="B558" s="2" t="s">
        <v>879</v>
      </c>
      <c r="D558" s="7"/>
      <c r="E558" s="13" t="s">
        <v>772</v>
      </c>
      <c r="F558" s="14">
        <v>5</v>
      </c>
      <c r="G558" s="19">
        <v>20</v>
      </c>
      <c r="H558" s="10" t="s">
        <v>886</v>
      </c>
      <c r="I558" s="6" t="s">
        <v>278</v>
      </c>
      <c r="J558" s="6" t="str">
        <f>IFERROR(_xlfn.LET(_xlpm.v,
VLOOKUP($I558,効果!$A:$B,COLUMN(効果!B$1),FALSE),
IF(_xlpm.v=0,"",_xlpm.v)
),"")</f>
        <v>地形効果を無視する</v>
      </c>
      <c r="L558" s="15" t="str">
        <f>IF(OR(COUNTIF(クラス!$A$1:$A$1035, $B558),$B558="",COUNTIF(スキル一覧!$A$1:$A$3500, $B558)), "", "存在しない")</f>
        <v>存在しない</v>
      </c>
      <c r="M558" s="2" t="str">
        <f>IF(COUNTIF($B$1:$C557, $B558), "", "存在しない")</f>
        <v>存在しない</v>
      </c>
      <c r="N558" s="2" t="e">
        <v>#VALUE!</v>
      </c>
    </row>
    <row r="559" spans="1:14" hidden="1" outlineLevel="1" x14ac:dyDescent="0.4">
      <c r="A559" s="2">
        <v>4</v>
      </c>
      <c r="D559" s="7"/>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1249</v>
      </c>
    </row>
    <row r="560" spans="1:14" hidden="1" outlineLevel="1" x14ac:dyDescent="0.4">
      <c r="A560" s="2">
        <v>5</v>
      </c>
      <c r="D560" s="7"/>
      <c r="E560" s="13" t="s">
        <v>474</v>
      </c>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1249</v>
      </c>
    </row>
    <row r="561" spans="1:14" ht="36" hidden="1" outlineLevel="1" x14ac:dyDescent="0.4">
      <c r="A561" s="2">
        <v>6</v>
      </c>
      <c r="B561" s="2" t="s">
        <v>895</v>
      </c>
      <c r="D561" s="7" t="s">
        <v>877</v>
      </c>
      <c r="E561" s="13" t="s">
        <v>772</v>
      </c>
      <c r="F561" s="14">
        <v>5</v>
      </c>
      <c r="G561" s="19">
        <v>60</v>
      </c>
      <c r="H561" s="10" t="s">
        <v>884</v>
      </c>
      <c r="J561" s="6" t="str">
        <f>IFERROR(_xlfn.LET(_xlpm.v,
VLOOKUP($I561,効果!$A:$B,COLUMN(効果!B$1),FALSE),
IF(_xlpm.v=0,"",_xlpm.v)
),"")</f>
        <v/>
      </c>
      <c r="L561" s="15" t="str">
        <f>IF(OR(COUNTIF(クラス!$A$1:$A$1035, $B561),$B561="",COUNTIF(スキル一覧!$A$1:$A$3500, $B561)), "", "存在しない")</f>
        <v>存在しない</v>
      </c>
      <c r="M561" s="2" t="str">
        <f>IF(COUNTIF($B$1:$C560, $B561), "", "存在しない")</f>
        <v>存在しない</v>
      </c>
      <c r="N561" s="2" t="e">
        <v>#VALUE!</v>
      </c>
    </row>
    <row r="562" spans="1:14" hidden="1" outlineLevel="1" x14ac:dyDescent="0.4">
      <c r="A562" s="2">
        <v>7</v>
      </c>
      <c r="D562" s="7"/>
      <c r="J562" s="6" t="str">
        <f>IFERROR(_xlfn.LET(_xlpm.v,
VLOOKUP($I562,効果!$A:$B,COLUMN(効果!B$1),FALSE),
IF(_xlpm.v=0,"",_xlpm.v)
),"")</f>
        <v/>
      </c>
      <c r="L562" s="15" t="str">
        <f>IF(OR(COUNTIF(クラス!$A$1:$A$1035, $B562),$B562="",COUNTIF(スキル一覧!$A$1:$A$3500, $B562)), "", "存在しない")</f>
        <v/>
      </c>
      <c r="M562" s="2" t="str">
        <f>IF(COUNTIF($B$1:$C561, $B562), "", "存在しない")</f>
        <v>存在しない</v>
      </c>
      <c r="N562" s="2" t="s">
        <v>1249</v>
      </c>
    </row>
    <row r="563" spans="1:14" hidden="1" outlineLevel="1" x14ac:dyDescent="0.4">
      <c r="A563" s="2">
        <v>8</v>
      </c>
      <c r="D563" s="7"/>
      <c r="J563" s="6" t="str">
        <f>IFERROR(_xlfn.LET(_xlpm.v,
VLOOKUP($I563,効果!$A:$B,COLUMN(効果!B$1),FALSE),
IF(_xlpm.v=0,"",_xlpm.v)
),"")</f>
        <v/>
      </c>
      <c r="L563" s="15" t="str">
        <f>IF(OR(COUNTIF(クラス!$A$1:$A$1035, $B563),$B563="",COUNTIF(スキル一覧!$A$1:$A$3500, $B563)), "", "存在しない")</f>
        <v/>
      </c>
      <c r="M563" s="2" t="str">
        <f>IF(COUNTIF($B$1:$C562, $B563), "", "存在しない")</f>
        <v>存在しない</v>
      </c>
      <c r="N563" s="2" t="s">
        <v>1249</v>
      </c>
    </row>
    <row r="564" spans="1:14" hidden="1" outlineLevel="1" x14ac:dyDescent="0.4">
      <c r="A564" s="2">
        <v>9</v>
      </c>
      <c r="B564" s="2" t="s">
        <v>880</v>
      </c>
      <c r="D564" s="7"/>
      <c r="E564" s="13" t="s">
        <v>474</v>
      </c>
      <c r="H564" s="10" t="str">
        <f>"条件系統:"&amp;"風"&amp;" 全威力+10"</f>
        <v>条件系統:風 全威力+10</v>
      </c>
      <c r="J564" s="6" t="str">
        <f>IFERROR(_xlfn.LET(_xlpm.v,
VLOOKUP($I564,効果!$A:$B,COLUMN(効果!B$1),FALSE),
IF(_xlpm.v=0,"",_xlpm.v)
),"")</f>
        <v/>
      </c>
      <c r="L564" s="15" t="str">
        <f>IF(OR(COUNTIF(クラス!$A$1:$A$1035, $B564),$B564="",COUNTIF(スキル一覧!$A$1:$A$3500, $B564)), "", "存在しない")</f>
        <v>存在しない</v>
      </c>
      <c r="M564" s="2" t="str">
        <f>IF(COUNTIF($B$1:$C563, $B564), "", "存在しない")</f>
        <v>存在しない</v>
      </c>
      <c r="N564" s="2" t="e">
        <v>#VALUE!</v>
      </c>
    </row>
    <row r="565" spans="1:14" ht="36" hidden="1" outlineLevel="1" x14ac:dyDescent="0.4">
      <c r="A565" s="2">
        <v>10</v>
      </c>
      <c r="B565" s="2" t="s">
        <v>881</v>
      </c>
      <c r="D565" s="7" t="s">
        <v>877</v>
      </c>
      <c r="E565" s="13" t="s">
        <v>772</v>
      </c>
      <c r="G565" s="19">
        <v>25</v>
      </c>
      <c r="H565" s="10" t="str">
        <f>"攻撃手段:吐息 "&amp;D555&amp;"+30 射程:2 判定:Lv"</f>
        <v>攻撃手段:吐息 怯み+30 射程:2 判定:Lv</v>
      </c>
      <c r="I565" s="6" t="s">
        <v>424</v>
      </c>
      <c r="J565" s="6" t="str">
        <f>IFERROR(_xlfn.LET(_xlpm.v,
VLOOKUP($I565,効果!$A:$B,COLUMN(効果!B$1),FALSE),
IF(_xlpm.v=0,"",_xlpm.v)
),"")</f>
        <v>対象を後方へ移動させる</v>
      </c>
      <c r="L565" s="15" t="str">
        <f>IF(OR(COUNTIF(クラス!$A$1:$A$1035, $B565),$B565="",COUNTIF(スキル一覧!$A$1:$A$3500, $B565)), "", "存在しない")</f>
        <v>存在しない</v>
      </c>
      <c r="M565" s="2" t="str">
        <f>IF(COUNTIF($B$1:$C564, $B565), "", "存在しない")</f>
        <v>存在しない</v>
      </c>
      <c r="N565" s="2" t="e">
        <v>#VALUE!</v>
      </c>
    </row>
    <row r="566" spans="1:14" hidden="1" outlineLevel="1" x14ac:dyDescent="0.4">
      <c r="J566" s="6" t="str">
        <f>IFERROR(_xlfn.LET(_xlpm.v,
VLOOKUP($I566,効果!$A:$B,COLUMN(効果!B$1),FALSE),
IF(_xlpm.v=0,"",_xlpm.v)
),"")</f>
        <v/>
      </c>
      <c r="L566" s="15" t="str">
        <f>IF(OR(COUNTIF(クラス!$A$1:$A$1035, $B566),$B566="",COUNTIF(スキル一覧!$A$1:$A$3500, $B566)), "", "存在しない")</f>
        <v/>
      </c>
      <c r="M566" s="2" t="str">
        <f>IF(COUNTIF($B$1:$C565, $B566), "", "存在しない")</f>
        <v>存在しない</v>
      </c>
      <c r="N566" s="2" t="s">
        <v>1249</v>
      </c>
    </row>
    <row r="567" spans="1:14" collapsed="1" x14ac:dyDescent="0.4">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1249</v>
      </c>
    </row>
    <row r="568" spans="1:14" ht="18.75" x14ac:dyDescent="0.4">
      <c r="B568" t="s">
        <v>856</v>
      </c>
      <c r="D568" s="2" t="s">
        <v>864</v>
      </c>
      <c r="E568" s="13" t="s">
        <v>865</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1249</v>
      </c>
    </row>
    <row r="569" spans="1:14" hidden="1" outlineLevel="1" x14ac:dyDescent="0.4">
      <c r="A569" s="2">
        <v>1</v>
      </c>
      <c r="B569" s="2" t="str">
        <f>D568&amp;"の適用"</f>
        <v>雷の適用</v>
      </c>
      <c r="D569" s="7"/>
      <c r="E569" s="13" t="s">
        <v>474</v>
      </c>
      <c r="H569" s="10" t="str">
        <f>D568&amp;"耐性+30"</f>
        <v>雷耐性+30</v>
      </c>
      <c r="J569" s="6" t="str">
        <f>IFERROR(_xlfn.LET(_xlpm.v,
VLOOKUP($I569,効果!$A:$B,COLUMN(効果!B$1),FALSE),
IF(_xlpm.v=0,"",_xlpm.v)
),"")</f>
        <v/>
      </c>
      <c r="L569" s="15" t="str">
        <f>IF(OR(COUNTIF(クラス!$A$1:$A$1035, $B569),$B569="",COUNTIF(スキル一覧!$A$1:$A$3500, $B569)), "", "存在しない")</f>
        <v>存在しない</v>
      </c>
      <c r="M569" s="2" t="str">
        <f>IF(COUNTIF($B$1:$C568, $B569), "", "存在しない")</f>
        <v>存在しない</v>
      </c>
      <c r="N569" s="2" t="e">
        <v>#VALUE!</v>
      </c>
    </row>
    <row r="570" spans="1:14" hidden="1" outlineLevel="1" x14ac:dyDescent="0.4">
      <c r="A570" s="2">
        <v>2</v>
      </c>
      <c r="D570" s="7"/>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1249</v>
      </c>
    </row>
    <row r="571" spans="1:14" ht="36" hidden="1" outlineLevel="1" x14ac:dyDescent="0.4">
      <c r="A571" s="2">
        <v>3</v>
      </c>
      <c r="B571" s="2" t="str">
        <f>D568&amp;"の体"</f>
        <v>雷の体</v>
      </c>
      <c r="D571" s="7"/>
      <c r="E571" s="13" t="s">
        <v>772</v>
      </c>
      <c r="F571" s="14">
        <v>5</v>
      </c>
      <c r="G571" s="19">
        <v>20</v>
      </c>
      <c r="H571" s="10" t="str">
        <f>"効果時間6t 攻撃手段:肉体 "&amp;D568&amp;"+15 判定:攻撃"</f>
        <v>効果時間6t 攻撃手段:肉体 雷+15 判定:攻撃</v>
      </c>
      <c r="J571" s="6" t="str">
        <f>IFERROR(_xlfn.LET(_xlpm.v,
VLOOKUP($I571,効果!$A:$B,COLUMN(効果!B$1),FALSE),
IF(_xlpm.v=0,"",_xlpm.v)
),"")</f>
        <v/>
      </c>
      <c r="L571" s="15" t="str">
        <f>IF(OR(COUNTIF(クラス!$A$1:$A$1035, $B571),$B571="",COUNTIF(スキル一覧!$A$1:$A$3500, $B571)), "", "存在しない")</f>
        <v>存在しない</v>
      </c>
      <c r="M571" s="2" t="str">
        <f>IF(COUNTIF($B$1:$C570, $B571), "", "存在しない")</f>
        <v>存在しない</v>
      </c>
      <c r="N571" s="2" t="e">
        <v>#VALUE!</v>
      </c>
    </row>
    <row r="572" spans="1:14" hidden="1" outlineLevel="1" x14ac:dyDescent="0.4">
      <c r="A572" s="2">
        <v>4</v>
      </c>
      <c r="D572" s="7"/>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1249</v>
      </c>
    </row>
    <row r="573" spans="1:14" hidden="1" outlineLevel="1" x14ac:dyDescent="0.4">
      <c r="A573" s="2">
        <v>5</v>
      </c>
      <c r="D573" s="7"/>
      <c r="E573" s="13" t="s">
        <v>474</v>
      </c>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1249</v>
      </c>
    </row>
    <row r="574" spans="1:14" ht="36" hidden="1" outlineLevel="1" x14ac:dyDescent="0.4">
      <c r="A574" s="2">
        <v>6</v>
      </c>
      <c r="B574" s="2" t="str">
        <f>E568&amp;"突撃"</f>
        <v>電撃突撃</v>
      </c>
      <c r="D574" s="7" t="str">
        <f>D568</f>
        <v>雷</v>
      </c>
      <c r="E574" s="13" t="s">
        <v>772</v>
      </c>
      <c r="F574" s="14">
        <v>5</v>
      </c>
      <c r="G574" s="19">
        <v>60</v>
      </c>
      <c r="H574" s="10" t="str">
        <f>"攻撃手段:肉体 打撃+15 "&amp;D568&amp;"+20 追加威力:速度 判定:攻撃 溜め:1t CT:5t"</f>
        <v>攻撃手段:肉体 打撃+15 雷+20 追加威力:速度 判定:攻撃 溜め:1t CT:5t</v>
      </c>
      <c r="J574" s="6" t="str">
        <f>IFERROR(_xlfn.LET(_xlpm.v,
VLOOKUP($I574,効果!$A:$B,COLUMN(効果!B$1),FALSE),
IF(_xlpm.v=0,"",_xlpm.v)
),"")</f>
        <v/>
      </c>
      <c r="L574" s="15" t="str">
        <f>IF(OR(COUNTIF(クラス!$A$1:$A$1035, $B574),$B574="",COUNTIF(スキル一覧!$A$1:$A$3500, $B574)), "", "存在しない")</f>
        <v>存在しない</v>
      </c>
      <c r="M574" s="2" t="str">
        <f>IF(COUNTIF($B$1:$C573, $B574), "", "存在しない")</f>
        <v>存在しない</v>
      </c>
      <c r="N574" s="2" t="e">
        <v>#VALUE!</v>
      </c>
    </row>
    <row r="575" spans="1:14" hidden="1" outlineLevel="1" x14ac:dyDescent="0.4">
      <c r="A575" s="2">
        <v>7</v>
      </c>
      <c r="D575" s="7"/>
      <c r="J575" s="6" t="str">
        <f>IFERROR(_xlfn.LET(_xlpm.v,
VLOOKUP($I575,効果!$A:$B,COLUMN(効果!B$1),FALSE),
IF(_xlpm.v=0,"",_xlpm.v)
),"")</f>
        <v/>
      </c>
      <c r="L575" s="15" t="str">
        <f>IF(OR(COUNTIF(クラス!$A$1:$A$1035, $B575),$B575="",COUNTIF(スキル一覧!$A$1:$A$3500, $B575)), "", "存在しない")</f>
        <v/>
      </c>
      <c r="M575" s="2" t="str">
        <f>IF(COUNTIF($B$1:$C574, $B575), "", "存在しない")</f>
        <v>存在しない</v>
      </c>
      <c r="N575" s="2" t="s">
        <v>1249</v>
      </c>
    </row>
    <row r="576" spans="1:14" hidden="1" outlineLevel="1" x14ac:dyDescent="0.4">
      <c r="A576" s="2">
        <v>8</v>
      </c>
      <c r="D576" s="7"/>
      <c r="J576" s="6" t="str">
        <f>IFERROR(_xlfn.LET(_xlpm.v,
VLOOKUP($I576,効果!$A:$B,COLUMN(効果!B$1),FALSE),
IF(_xlpm.v=0,"",_xlpm.v)
),"")</f>
        <v/>
      </c>
      <c r="L576" s="15" t="str">
        <f>IF(OR(COUNTIF(クラス!$A$1:$A$1035, $B576),$B576="",COUNTIF(スキル一覧!$A$1:$A$3500, $B576)), "", "存在しない")</f>
        <v/>
      </c>
      <c r="M576" s="2" t="str">
        <f>IF(COUNTIF($B$1:$C575, $B576), "", "存在しない")</f>
        <v>存在しない</v>
      </c>
      <c r="N576" s="2" t="s">
        <v>1249</v>
      </c>
    </row>
    <row r="577" spans="1:14" hidden="1" outlineLevel="1" x14ac:dyDescent="0.4">
      <c r="A577" s="2">
        <v>9</v>
      </c>
      <c r="B577" s="2" t="str">
        <f>D568&amp;"強化"</f>
        <v>雷強化</v>
      </c>
      <c r="D577" s="7"/>
      <c r="E577" s="13" t="s">
        <v>474</v>
      </c>
      <c r="H577" s="10" t="str">
        <f>"条件系統:"&amp;D568&amp;" 全威力+10"</f>
        <v>条件系統:雷 全威力+10</v>
      </c>
      <c r="J577" s="6" t="str">
        <f>IFERROR(_xlfn.LET(_xlpm.v,
VLOOKUP($I577,効果!$A:$B,COLUMN(効果!B$1),FALSE),
IF(_xlpm.v=0,"",_xlpm.v)
),"")</f>
        <v/>
      </c>
      <c r="L577" s="15" t="str">
        <f>IF(OR(COUNTIF(クラス!$A$1:$A$1035, $B577),$B577="",COUNTIF(スキル一覧!$A$1:$A$3500, $B577)), "", "存在しない")</f>
        <v>存在しない</v>
      </c>
      <c r="M577" s="2" t="str">
        <f>IF(COUNTIF($B$1:$C576, $B577), "", "存在しない")</f>
        <v>存在しない</v>
      </c>
      <c r="N577" s="2" t="e">
        <v>#VALUE!</v>
      </c>
    </row>
    <row r="578" spans="1:14" hidden="1" outlineLevel="1" x14ac:dyDescent="0.4">
      <c r="A578" s="2">
        <v>10</v>
      </c>
      <c r="B578" s="2" t="str">
        <f>D568&amp;"の唾"</f>
        <v>雷の唾</v>
      </c>
      <c r="D578" s="7" t="str">
        <f>D568</f>
        <v>雷</v>
      </c>
      <c r="E578" s="13" t="s">
        <v>772</v>
      </c>
      <c r="G578" s="19">
        <v>25</v>
      </c>
      <c r="H578" s="10" t="str">
        <f>"攻撃手段:吐息 "&amp;D568&amp;"+30 射程:2 判定:Lv"</f>
        <v>攻撃手段:吐息 雷+30 射程:2 判定:Lv</v>
      </c>
      <c r="J578" s="6" t="str">
        <f>IFERROR(_xlfn.LET(_xlpm.v,
VLOOKUP($I578,効果!$A:$B,COLUMN(効果!B$1),FALSE),
IF(_xlpm.v=0,"",_xlpm.v)
),"")</f>
        <v/>
      </c>
      <c r="L578" s="15" t="str">
        <f>IF(OR(COUNTIF(クラス!$A$1:$A$1035, $B578),$B578="",COUNTIF(スキル一覧!$A$1:$A$3500, $B578)), "", "存在しない")</f>
        <v>存在しない</v>
      </c>
      <c r="M578" s="2" t="str">
        <f>IF(COUNTIF($B$1:$C577, $B578), "", "存在しない")</f>
        <v>存在しない</v>
      </c>
      <c r="N578" s="2" t="e">
        <v>#VALUE!</v>
      </c>
    </row>
    <row r="579" spans="1:14" hidden="1" outlineLevel="1" x14ac:dyDescent="0.4">
      <c r="J579" s="6" t="str">
        <f>IFERROR(_xlfn.LET(_xlpm.v,
VLOOKUP($I579,効果!$A:$B,COLUMN(効果!B$1),FALSE),
IF(_xlpm.v=0,"",_xlpm.v)
),"")</f>
        <v/>
      </c>
      <c r="L579" s="15" t="str">
        <f>IF(OR(COUNTIF(クラス!$A$1:$A$1035, $B579),$B579="",COUNTIF(スキル一覧!$A$1:$A$3500, $B579)), "", "存在しない")</f>
        <v/>
      </c>
      <c r="M579" s="2" t="str">
        <f>IF(COUNTIF($B$1:$C578, $B579), "", "存在しない")</f>
        <v>存在しない</v>
      </c>
      <c r="N579" s="2" t="s">
        <v>1249</v>
      </c>
    </row>
    <row r="580" spans="1:14" collapsed="1" x14ac:dyDescent="0.4">
      <c r="J580" s="6" t="str">
        <f>IFERROR(_xlfn.LET(_xlpm.v,
VLOOKUP($I580,効果!$A:$B,COLUMN(効果!B$1),FALSE),
IF(_xlpm.v=0,"",_xlpm.v)
),"")</f>
        <v/>
      </c>
      <c r="L580" s="15" t="str">
        <f>IF(OR(COUNTIF(クラス!$A$1:$A$1035, $B580),$B580="",COUNTIF(スキル一覧!$A$1:$A$3500, $B580)), "", "存在しない")</f>
        <v/>
      </c>
      <c r="M580" s="2" t="str">
        <f>IF(COUNTIF($B$1:$C579, $B580), "", "存在しない")</f>
        <v>存在しない</v>
      </c>
      <c r="N580" s="2" t="s">
        <v>1249</v>
      </c>
    </row>
    <row r="581" spans="1:14" ht="18.75" x14ac:dyDescent="0.4">
      <c r="B581" t="s">
        <v>857</v>
      </c>
      <c r="D581" s="2" t="s">
        <v>866</v>
      </c>
      <c r="E581" s="13" t="s">
        <v>867</v>
      </c>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1249</v>
      </c>
    </row>
    <row r="582" spans="1:14" hidden="1" outlineLevel="1" x14ac:dyDescent="0.4">
      <c r="A582" s="2">
        <v>1</v>
      </c>
      <c r="B582" s="2" t="str">
        <f>D581&amp;"の適用"</f>
        <v>毒の適用</v>
      </c>
      <c r="D582" s="7"/>
      <c r="E582" s="13" t="s">
        <v>474</v>
      </c>
      <c r="H582" s="10" t="str">
        <f>D581&amp;"耐性+30"</f>
        <v>毒耐性+30</v>
      </c>
      <c r="J582" s="6" t="str">
        <f>IFERROR(_xlfn.LET(_xlpm.v,
VLOOKUP($I582,効果!$A:$B,COLUMN(効果!B$1),FALSE),
IF(_xlpm.v=0,"",_xlpm.v)
),"")</f>
        <v/>
      </c>
      <c r="L582" s="15" t="str">
        <f>IF(OR(COUNTIF(クラス!$A$1:$A$1035, $B582),$B582="",COUNTIF(スキル一覧!$A$1:$A$3500, $B582)), "", "存在しない")</f>
        <v>存在しない</v>
      </c>
      <c r="M582" s="2" t="str">
        <f>IF(COUNTIF($B$1:$C581, $B582), "", "存在しない")</f>
        <v>存在しない</v>
      </c>
      <c r="N582" s="2" t="e">
        <v>#VALUE!</v>
      </c>
    </row>
    <row r="583" spans="1:14" hidden="1" outlineLevel="1" x14ac:dyDescent="0.4">
      <c r="A583" s="2">
        <v>2</v>
      </c>
      <c r="D583" s="7"/>
      <c r="J583" s="6" t="str">
        <f>IFERROR(_xlfn.LET(_xlpm.v,
VLOOKUP($I583,効果!$A:$B,COLUMN(効果!B$1),FALSE),
IF(_xlpm.v=0,"",_xlpm.v)
),"")</f>
        <v/>
      </c>
      <c r="L583" s="15" t="str">
        <f>IF(OR(COUNTIF(クラス!$A$1:$A$1035, $B583),$B583="",COUNTIF(スキル一覧!$A$1:$A$3500, $B583)), "", "存在しない")</f>
        <v/>
      </c>
      <c r="M583" s="2" t="str">
        <f>IF(COUNTIF($B$1:$C582, $B583), "", "存在しない")</f>
        <v>存在しない</v>
      </c>
      <c r="N583" s="2" t="s">
        <v>1249</v>
      </c>
    </row>
    <row r="584" spans="1:14" ht="36" hidden="1" outlineLevel="1" x14ac:dyDescent="0.4">
      <c r="A584" s="2">
        <v>3</v>
      </c>
      <c r="B584" s="2" t="str">
        <f>D581&amp;"の体"</f>
        <v>毒の体</v>
      </c>
      <c r="D584" s="7"/>
      <c r="E584" s="13" t="s">
        <v>772</v>
      </c>
      <c r="F584" s="14">
        <v>5</v>
      </c>
      <c r="G584" s="19">
        <v>20</v>
      </c>
      <c r="H584" s="10" t="str">
        <f>"効果時間6t 攻撃手段:肉体 "&amp;D581&amp;"+15 判定:攻撃"</f>
        <v>効果時間6t 攻撃手段:肉体 毒+15 判定:攻撃</v>
      </c>
      <c r="J584" s="6" t="str">
        <f>IFERROR(_xlfn.LET(_xlpm.v,
VLOOKUP($I584,効果!$A:$B,COLUMN(効果!B$1),FALSE),
IF(_xlpm.v=0,"",_xlpm.v)
),"")</f>
        <v/>
      </c>
      <c r="L584" s="15" t="str">
        <f>IF(OR(COUNTIF(クラス!$A$1:$A$1035, $B584),$B584="",COUNTIF(スキル一覧!$A$1:$A$3500, $B584)), "", "存在しない")</f>
        <v>存在しない</v>
      </c>
      <c r="M584" s="2" t="str">
        <f>IF(COUNTIF($B$1:$C583, $B584), "", "存在しない")</f>
        <v>存在しない</v>
      </c>
      <c r="N584" s="2" t="e">
        <v>#VALUE!</v>
      </c>
    </row>
    <row r="585" spans="1:14" hidden="1" outlineLevel="1" x14ac:dyDescent="0.4">
      <c r="A585" s="2">
        <v>4</v>
      </c>
      <c r="D585" s="7"/>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1249</v>
      </c>
    </row>
    <row r="586" spans="1:14" hidden="1" outlineLevel="1" x14ac:dyDescent="0.4">
      <c r="A586" s="2">
        <v>5</v>
      </c>
      <c r="D586" s="7"/>
      <c r="E586" s="13" t="s">
        <v>474</v>
      </c>
      <c r="J586" s="6" t="str">
        <f>IFERROR(_xlfn.LET(_xlpm.v,
VLOOKUP($I586,効果!$A:$B,COLUMN(効果!B$1),FALSE),
IF(_xlpm.v=0,"",_xlpm.v)
),"")</f>
        <v/>
      </c>
      <c r="L586" s="15" t="str">
        <f>IF(OR(COUNTIF(クラス!$A$1:$A$1035, $B586),$B586="",COUNTIF(スキル一覧!$A$1:$A$3500, $B586)), "", "存在しない")</f>
        <v/>
      </c>
      <c r="M586" s="2" t="str">
        <f>IF(COUNTIF($B$1:$C585, $B586), "", "存在しない")</f>
        <v>存在しない</v>
      </c>
      <c r="N586" s="2" t="s">
        <v>1249</v>
      </c>
    </row>
    <row r="587" spans="1:14" ht="36" hidden="1" outlineLevel="1" x14ac:dyDescent="0.4">
      <c r="A587" s="2">
        <v>6</v>
      </c>
      <c r="B587" s="2" t="str">
        <f>E581&amp;"突撃"</f>
        <v>腐蝕突撃</v>
      </c>
      <c r="D587" s="7" t="str">
        <f>D581</f>
        <v>毒</v>
      </c>
      <c r="E587" s="13" t="s">
        <v>772</v>
      </c>
      <c r="F587" s="14">
        <v>5</v>
      </c>
      <c r="G587" s="19">
        <v>60</v>
      </c>
      <c r="H587" s="10" t="str">
        <f>"攻撃手段:肉体 打撃+15 "&amp;D581&amp;"+20 追加威力:速度 判定:攻撃 溜め:1t CT:5t"</f>
        <v>攻撃手段:肉体 打撃+15 毒+20 追加威力:速度 判定:攻撃 溜め:1t CT:5t</v>
      </c>
      <c r="J587" s="6" t="str">
        <f>IFERROR(_xlfn.LET(_xlpm.v,
VLOOKUP($I587,効果!$A:$B,COLUMN(効果!B$1),FALSE),
IF(_xlpm.v=0,"",_xlpm.v)
),"")</f>
        <v/>
      </c>
      <c r="L587" s="15" t="str">
        <f>IF(OR(COUNTIF(クラス!$A$1:$A$1035, $B587),$B587="",COUNTIF(スキル一覧!$A$1:$A$3500, $B587)), "", "存在しない")</f>
        <v>存在しない</v>
      </c>
      <c r="M587" s="2" t="str">
        <f>IF(COUNTIF($B$1:$C586, $B587), "", "存在しない")</f>
        <v>存在しない</v>
      </c>
      <c r="N587" s="2" t="e">
        <v>#VALUE!</v>
      </c>
    </row>
    <row r="588" spans="1:14" hidden="1" outlineLevel="1" x14ac:dyDescent="0.4">
      <c r="A588" s="2">
        <v>7</v>
      </c>
      <c r="D588" s="7"/>
      <c r="J588" s="6" t="str">
        <f>IFERROR(_xlfn.LET(_xlpm.v,
VLOOKUP($I588,効果!$A:$B,COLUMN(効果!B$1),FALSE),
IF(_xlpm.v=0,"",_xlpm.v)
),"")</f>
        <v/>
      </c>
      <c r="L588" s="15" t="str">
        <f>IF(OR(COUNTIF(クラス!$A$1:$A$1035, $B588),$B588="",COUNTIF(スキル一覧!$A$1:$A$3500, $B588)), "", "存在しない")</f>
        <v/>
      </c>
      <c r="M588" s="2" t="str">
        <f>IF(COUNTIF($B$1:$C587, $B588), "", "存在しない")</f>
        <v>存在しない</v>
      </c>
      <c r="N588" s="2" t="s">
        <v>1249</v>
      </c>
    </row>
    <row r="589" spans="1:14" hidden="1" outlineLevel="1" x14ac:dyDescent="0.4">
      <c r="A589" s="2">
        <v>8</v>
      </c>
      <c r="D589" s="7"/>
      <c r="J589" s="6" t="str">
        <f>IFERROR(_xlfn.LET(_xlpm.v,
VLOOKUP($I589,効果!$A:$B,COLUMN(効果!B$1),FALSE),
IF(_xlpm.v=0,"",_xlpm.v)
),"")</f>
        <v/>
      </c>
      <c r="L589" s="15" t="str">
        <f>IF(OR(COUNTIF(クラス!$A$1:$A$1035, $B589),$B589="",COUNTIF(スキル一覧!$A$1:$A$3500, $B589)), "", "存在しない")</f>
        <v/>
      </c>
      <c r="M589" s="2" t="str">
        <f>IF(COUNTIF($B$1:$C588, $B589), "", "存在しない")</f>
        <v>存在しない</v>
      </c>
      <c r="N589" s="2" t="s">
        <v>1249</v>
      </c>
    </row>
    <row r="590" spans="1:14" hidden="1" outlineLevel="1" x14ac:dyDescent="0.4">
      <c r="A590" s="2">
        <v>9</v>
      </c>
      <c r="B590" s="2" t="str">
        <f>D581&amp;"強化"</f>
        <v>毒強化</v>
      </c>
      <c r="D590" s="7"/>
      <c r="E590" s="13" t="s">
        <v>474</v>
      </c>
      <c r="H590" s="10" t="str">
        <f>"条件系統:"&amp;D581&amp;" 全威力+10"</f>
        <v>条件系統:毒 全威力+10</v>
      </c>
      <c r="J590" s="6" t="str">
        <f>IFERROR(_xlfn.LET(_xlpm.v,
VLOOKUP($I590,効果!$A:$B,COLUMN(効果!B$1),FALSE),
IF(_xlpm.v=0,"",_xlpm.v)
),"")</f>
        <v/>
      </c>
      <c r="L590" s="15" t="str">
        <f>IF(OR(COUNTIF(クラス!$A$1:$A$1035, $B590),$B590="",COUNTIF(スキル一覧!$A$1:$A$3500, $B590)), "", "存在しない")</f>
        <v>存在しない</v>
      </c>
      <c r="M590" s="2" t="str">
        <f>IF(COUNTIF($B$1:$C589, $B590), "", "存在しない")</f>
        <v>存在しない</v>
      </c>
      <c r="N590" s="2" t="e">
        <v>#VALUE!</v>
      </c>
    </row>
    <row r="591" spans="1:14" hidden="1" outlineLevel="1" x14ac:dyDescent="0.4">
      <c r="A591" s="2">
        <v>10</v>
      </c>
      <c r="B591" s="2" t="str">
        <f>D581&amp;"の唾"</f>
        <v>毒の唾</v>
      </c>
      <c r="D591" s="7" t="str">
        <f>D581</f>
        <v>毒</v>
      </c>
      <c r="E591" s="13" t="s">
        <v>772</v>
      </c>
      <c r="G591" s="19">
        <v>25</v>
      </c>
      <c r="H591" s="10" t="str">
        <f>"攻撃手段:吐息 "&amp;D581&amp;"+30 射程:2 判定:Lv"</f>
        <v>攻撃手段:吐息 毒+30 射程:2 判定:Lv</v>
      </c>
      <c r="J591" s="6" t="str">
        <f>IFERROR(_xlfn.LET(_xlpm.v,
VLOOKUP($I591,効果!$A:$B,COLUMN(効果!B$1),FALSE),
IF(_xlpm.v=0,"",_xlpm.v)
),"")</f>
        <v/>
      </c>
      <c r="L591" s="15" t="str">
        <f>IF(OR(COUNTIF(クラス!$A$1:$A$1035, $B591),$B591="",COUNTIF(スキル一覧!$A$1:$A$3500, $B591)), "", "存在しない")</f>
        <v>存在しない</v>
      </c>
      <c r="M591" s="2" t="str">
        <f>IF(COUNTIF($B$1:$C590, $B591), "", "存在しない")</f>
        <v>存在しない</v>
      </c>
      <c r="N591" s="2" t="e">
        <v>#VALUE!</v>
      </c>
    </row>
    <row r="592" spans="1:14" hidden="1" outlineLevel="1" x14ac:dyDescent="0.4">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1249</v>
      </c>
    </row>
    <row r="593" spans="1:14" collapsed="1" x14ac:dyDescent="0.4">
      <c r="J593" s="6" t="str">
        <f>IFERROR(_xlfn.LET(_xlpm.v,
VLOOKUP($I593,効果!$A:$B,COLUMN(効果!B$1),FALSE),
IF(_xlpm.v=0,"",_xlpm.v)
),"")</f>
        <v/>
      </c>
      <c r="L593" s="15" t="str">
        <f>IF(OR(COUNTIF(クラス!$A$1:$A$1035, $B593),$B593="",COUNTIF(スキル一覧!$A$1:$A$3500, $B593)), "", "存在しない")</f>
        <v/>
      </c>
      <c r="M593" s="2" t="str">
        <f>IF(COUNTIF($B$1:$C592, $B593), "", "存在しない")</f>
        <v>存在しない</v>
      </c>
      <c r="N593" s="2" t="s">
        <v>1249</v>
      </c>
    </row>
    <row r="594" spans="1:14" ht="18.75" x14ac:dyDescent="0.4">
      <c r="B594" t="s">
        <v>858</v>
      </c>
      <c r="D594" s="2" t="s">
        <v>893</v>
      </c>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1249</v>
      </c>
    </row>
    <row r="595" spans="1:14" hidden="1" outlineLevel="1" x14ac:dyDescent="0.4">
      <c r="A595" s="2">
        <v>1</v>
      </c>
      <c r="B595" s="2" t="s">
        <v>889</v>
      </c>
      <c r="D595" s="7"/>
      <c r="E595" s="13" t="s">
        <v>474</v>
      </c>
      <c r="H595" s="10" t="str">
        <f>D594&amp;"耐性+30"</f>
        <v>打撃耐性+30</v>
      </c>
      <c r="J595" s="6" t="str">
        <f>IFERROR(_xlfn.LET(_xlpm.v,
VLOOKUP($I595,効果!$A:$B,COLUMN(効果!B$1),FALSE),
IF(_xlpm.v=0,"",_xlpm.v)
),"")</f>
        <v/>
      </c>
      <c r="L595" s="15" t="str">
        <f>IF(OR(COUNTIF(クラス!$A$1:$A$1035, $B595),$B595="",COUNTIF(スキル一覧!$A$1:$A$3500, $B595)), "", "存在しない")</f>
        <v>存在しない</v>
      </c>
      <c r="M595" s="2" t="str">
        <f>IF(COUNTIF($B$1:$C594, $B595), "", "存在しない")</f>
        <v>存在しない</v>
      </c>
      <c r="N595" s="2" t="e">
        <v>#VALUE!</v>
      </c>
    </row>
    <row r="596" spans="1:14" hidden="1" outlineLevel="1" x14ac:dyDescent="0.4">
      <c r="A596" s="2">
        <v>2</v>
      </c>
      <c r="D596" s="7"/>
      <c r="J596" s="6" t="str">
        <f>IFERROR(_xlfn.LET(_xlpm.v,
VLOOKUP($I596,効果!$A:$B,COLUMN(効果!B$1),FALSE),
IF(_xlpm.v=0,"",_xlpm.v)
),"")</f>
        <v/>
      </c>
      <c r="L596" s="15" t="str">
        <f>IF(OR(COUNTIF(クラス!$A$1:$A$1035, $B596),$B596="",COUNTIF(スキル一覧!$A$1:$A$3500, $B596)), "", "存在しない")</f>
        <v/>
      </c>
      <c r="M596" s="2" t="str">
        <f>IF(COUNTIF($B$1:$C595, $B596), "", "存在しない")</f>
        <v>存在しない</v>
      </c>
      <c r="N596" s="2" t="s">
        <v>1249</v>
      </c>
    </row>
    <row r="597" spans="1:14" ht="36" hidden="1" outlineLevel="1" x14ac:dyDescent="0.4">
      <c r="A597" s="2">
        <v>3</v>
      </c>
      <c r="B597" s="2" t="s">
        <v>890</v>
      </c>
      <c r="D597" s="7"/>
      <c r="E597" s="13" t="s">
        <v>772</v>
      </c>
      <c r="F597" s="14">
        <v>5</v>
      </c>
      <c r="G597" s="19">
        <v>20</v>
      </c>
      <c r="H597" s="10" t="str">
        <f>"効果時間6t 攻撃手段:肉体 "&amp;D594&amp;"+15 判定:攻撃"</f>
        <v>効果時間6t 攻撃手段:肉体 打撃+15 判定:攻撃</v>
      </c>
      <c r="J597" s="6" t="str">
        <f>IFERROR(_xlfn.LET(_xlpm.v,
VLOOKUP($I597,効果!$A:$B,COLUMN(効果!B$1),FALSE),
IF(_xlpm.v=0,"",_xlpm.v)
),"")</f>
        <v/>
      </c>
      <c r="L597" s="15" t="str">
        <f>IF(OR(COUNTIF(クラス!$A$1:$A$1035, $B597),$B597="",COUNTIF(スキル一覧!$A$1:$A$3500, $B597)), "", "存在しない")</f>
        <v>存在しない</v>
      </c>
      <c r="M597" s="2" t="str">
        <f>IF(COUNTIF($B$1:$C596, $B597), "", "存在しない")</f>
        <v>存在しない</v>
      </c>
      <c r="N597" s="2" t="e">
        <v>#VALUE!</v>
      </c>
    </row>
    <row r="598" spans="1:14" hidden="1" outlineLevel="1" x14ac:dyDescent="0.4">
      <c r="A598" s="2">
        <v>4</v>
      </c>
      <c r="D598" s="7"/>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1249</v>
      </c>
    </row>
    <row r="599" spans="1:14" hidden="1" outlineLevel="1" x14ac:dyDescent="0.4">
      <c r="A599" s="2">
        <v>5</v>
      </c>
      <c r="D599" s="7"/>
      <c r="E599" s="13" t="s">
        <v>474</v>
      </c>
      <c r="J599" s="6" t="str">
        <f>IFERROR(_xlfn.LET(_xlpm.v,
VLOOKUP($I599,効果!$A:$B,COLUMN(効果!B$1),FALSE),
IF(_xlpm.v=0,"",_xlpm.v)
),"")</f>
        <v/>
      </c>
      <c r="L599" s="15" t="str">
        <f>IF(OR(COUNTIF(クラス!$A$1:$A$1035, $B599),$B599="",COUNTIF(スキル一覧!$A$1:$A$3500, $B599)), "", "存在しない")</f>
        <v/>
      </c>
      <c r="M599" s="2" t="str">
        <f>IF(COUNTIF($B$1:$C598, $B599), "", "存在しない")</f>
        <v>存在しない</v>
      </c>
      <c r="N599" s="2" t="s">
        <v>1249</v>
      </c>
    </row>
    <row r="600" spans="1:14" ht="36" hidden="1" outlineLevel="1" x14ac:dyDescent="0.4">
      <c r="A600" s="2">
        <v>6</v>
      </c>
      <c r="B600" s="2" t="s">
        <v>770</v>
      </c>
      <c r="D600" s="7" t="s">
        <v>888</v>
      </c>
      <c r="E600" s="13" t="s">
        <v>772</v>
      </c>
      <c r="F600" s="14">
        <v>5</v>
      </c>
      <c r="G600" s="19">
        <v>60</v>
      </c>
      <c r="H600" s="10" t="str">
        <f>"攻撃手段:肉体 打撃+15 "&amp;D594&amp;"+20 追加威力:速度 判定:攻撃 溜め:1t CT:5t"</f>
        <v>攻撃手段:肉体 打撃+15 打撃+20 追加威力:速度 判定:攻撃 溜め:1t CT:5t</v>
      </c>
      <c r="J600" s="6" t="str">
        <f>IFERROR(_xlfn.LET(_xlpm.v,
VLOOKUP($I600,効果!$A:$B,COLUMN(効果!B$1),FALSE),
IF(_xlpm.v=0,"",_xlpm.v)
),"")</f>
        <v/>
      </c>
      <c r="L600" s="15" t="str">
        <f>IF(OR(COUNTIF(クラス!$A$1:$A$1035, $B600),$B600="",COUNTIF(スキル一覧!$A$1:$A$3500, $B600)), "", "存在しない")</f>
        <v>存在しない</v>
      </c>
      <c r="M600" s="2" t="str">
        <f>IF(COUNTIF($B$1:$C599, $B600), "", "存在しない")</f>
        <v/>
      </c>
      <c r="N600" s="2" t="s">
        <v>1249</v>
      </c>
    </row>
    <row r="601" spans="1:14" hidden="1" outlineLevel="1" x14ac:dyDescent="0.4">
      <c r="A601" s="2">
        <v>7</v>
      </c>
      <c r="D601" s="7"/>
      <c r="J601" s="6" t="str">
        <f>IFERROR(_xlfn.LET(_xlpm.v,
VLOOKUP($I601,効果!$A:$B,COLUMN(効果!B$1),FALSE),
IF(_xlpm.v=0,"",_xlpm.v)
),"")</f>
        <v/>
      </c>
      <c r="L601" s="15" t="str">
        <f>IF(OR(COUNTIF(クラス!$A$1:$A$1035, $B601),$B601="",COUNTIF(スキル一覧!$A$1:$A$3500, $B601)), "", "存在しない")</f>
        <v/>
      </c>
      <c r="M601" s="2" t="str">
        <f>IF(COUNTIF($B$1:$C600, $B601), "", "存在しない")</f>
        <v>存在しない</v>
      </c>
      <c r="N601" s="2" t="s">
        <v>1249</v>
      </c>
    </row>
    <row r="602" spans="1:14" hidden="1" outlineLevel="1" x14ac:dyDescent="0.4">
      <c r="A602" s="2">
        <v>8</v>
      </c>
      <c r="D602" s="7"/>
      <c r="J602" s="6" t="str">
        <f>IFERROR(_xlfn.LET(_xlpm.v,
VLOOKUP($I602,効果!$A:$B,COLUMN(効果!B$1),FALSE),
IF(_xlpm.v=0,"",_xlpm.v)
),"")</f>
        <v/>
      </c>
      <c r="L602" s="15" t="str">
        <f>IF(OR(COUNTIF(クラス!$A$1:$A$1035, $B602),$B602="",COUNTIF(スキル一覧!$A$1:$A$3500, $B602)), "", "存在しない")</f>
        <v/>
      </c>
      <c r="M602" s="2" t="str">
        <f>IF(COUNTIF($B$1:$C601, $B602), "", "存在しない")</f>
        <v>存在しない</v>
      </c>
      <c r="N602" s="2" t="s">
        <v>1249</v>
      </c>
    </row>
    <row r="603" spans="1:14" hidden="1" outlineLevel="1" x14ac:dyDescent="0.4">
      <c r="A603" s="2">
        <v>9</v>
      </c>
      <c r="B603" s="2" t="s">
        <v>891</v>
      </c>
      <c r="D603" s="7"/>
      <c r="E603" s="13" t="s">
        <v>474</v>
      </c>
      <c r="H603" s="10" t="str">
        <f>"条件系統:"&amp;D594&amp;" 全威力+10"</f>
        <v>条件系統:打撃 全威力+10</v>
      </c>
      <c r="J603" s="6" t="str">
        <f>IFERROR(_xlfn.LET(_xlpm.v,
VLOOKUP($I603,効果!$A:$B,COLUMN(効果!B$1),FALSE),
IF(_xlpm.v=0,"",_xlpm.v)
),"")</f>
        <v/>
      </c>
      <c r="L603" s="15" t="str">
        <f>IF(OR(COUNTIF(クラス!$A$1:$A$1035, $B603),$B603="",COUNTIF(スキル一覧!$A$1:$A$3500, $B603)), "", "存在しない")</f>
        <v>存在しない</v>
      </c>
      <c r="M603" s="2" t="str">
        <f>IF(COUNTIF($B$1:$C602, $B603), "", "存在しない")</f>
        <v>存在しない</v>
      </c>
      <c r="N603" s="2" t="e">
        <v>#VALUE!</v>
      </c>
    </row>
    <row r="604" spans="1:14" ht="36" hidden="1" outlineLevel="1" x14ac:dyDescent="0.4">
      <c r="A604" s="2">
        <v>10</v>
      </c>
      <c r="B604" s="2" t="s">
        <v>892</v>
      </c>
      <c r="D604" s="7" t="s">
        <v>888</v>
      </c>
      <c r="E604" s="13" t="s">
        <v>772</v>
      </c>
      <c r="G604" s="19">
        <v>25</v>
      </c>
      <c r="H604" s="10" t="str">
        <f>"攻撃手段:吐息 "&amp;D594&amp;"+30 射程:2 判定:Lv"</f>
        <v>攻撃手段:吐息 打撃+30 射程:2 判定:Lv</v>
      </c>
      <c r="I604" s="6" t="s">
        <v>424</v>
      </c>
      <c r="J604" s="6" t="str">
        <f>IFERROR(_xlfn.LET(_xlpm.v,
VLOOKUP($I604,効果!$A:$B,COLUMN(効果!B$1),FALSE),
IF(_xlpm.v=0,"",_xlpm.v)
),"")</f>
        <v>対象を後方へ移動させる</v>
      </c>
      <c r="L604" s="15" t="str">
        <f>IF(OR(COUNTIF(クラス!$A$1:$A$1035, $B604),$B604="",COUNTIF(スキル一覧!$A$1:$A$3500, $B604)), "", "存在しない")</f>
        <v>存在しない</v>
      </c>
      <c r="M604" s="2" t="str">
        <f>IF(COUNTIF($B$1:$C603, $B604), "", "存在しない")</f>
        <v>存在しない</v>
      </c>
      <c r="N604" s="2" t="e">
        <v>#VALUE!</v>
      </c>
    </row>
    <row r="605" spans="1:14" hidden="1" outlineLevel="1" x14ac:dyDescent="0.4">
      <c r="J605" s="6" t="str">
        <f>IFERROR(_xlfn.LET(_xlpm.v,
VLOOKUP($I605,効果!$A:$B,COLUMN(効果!B$1),FALSE),
IF(_xlpm.v=0,"",_xlpm.v)
),"")</f>
        <v/>
      </c>
      <c r="L605" s="15" t="str">
        <f>IF(OR(COUNTIF(クラス!$A$1:$A$1035, $B605),$B605="",COUNTIF(スキル一覧!$A$1:$A$3500, $B605)), "", "存在しない")</f>
        <v/>
      </c>
      <c r="M605" s="2" t="str">
        <f>IF(COUNTIF($B$1:$C604, $B605), "", "存在しない")</f>
        <v>存在しない</v>
      </c>
      <c r="N605" s="2" t="s">
        <v>1249</v>
      </c>
    </row>
    <row r="606" spans="1:14" collapsed="1" x14ac:dyDescent="0.4">
      <c r="J606" s="6" t="str">
        <f>IFERROR(_xlfn.LET(_xlpm.v,
VLOOKUP($I606,効果!$A:$B,COLUMN(効果!B$1),FALSE),
IF(_xlpm.v=0,"",_xlpm.v)
),"")</f>
        <v/>
      </c>
      <c r="L606" s="15" t="str">
        <f>IF(OR(COUNTIF(クラス!$A$1:$A$1035, $B606),$B606="",COUNTIF(スキル一覧!$A$1:$A$3500, $B606)), "", "存在しない")</f>
        <v/>
      </c>
      <c r="M606" s="2" t="str">
        <f>IF(COUNTIF($B$1:$C605, $B606), "", "存在しない")</f>
        <v>存在しない</v>
      </c>
      <c r="N606" s="2" t="s">
        <v>1249</v>
      </c>
    </row>
    <row r="607" spans="1:14" x14ac:dyDescent="0.4">
      <c r="J607" s="6" t="str">
        <f>IFERROR(_xlfn.LET(_xlpm.v,
VLOOKUP($I607,効果!$A:$B,COLUMN(効果!B$1),FALSE),
IF(_xlpm.v=0,"",_xlpm.v)
),"")</f>
        <v/>
      </c>
      <c r="L607" s="15" t="str">
        <f>IF(OR(COUNTIF(クラス!$A$1:$A$1035, $B607),$B607="",COUNTIF(スキル一覧!$A$1:$A$3500, $B607)), "", "存在しない")</f>
        <v/>
      </c>
      <c r="M607" s="2" t="str">
        <f>IF(COUNTIF($B$1:$C606, $B607), "", "存在しない")</f>
        <v>存在しない</v>
      </c>
      <c r="N607" s="2" t="s">
        <v>1249</v>
      </c>
    </row>
    <row r="608" spans="1:14" x14ac:dyDescent="0.4">
      <c r="B608" s="2" t="s">
        <v>815</v>
      </c>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1249</v>
      </c>
    </row>
    <row r="609" spans="1:14" hidden="1" outlineLevel="1" x14ac:dyDescent="0.4">
      <c r="A609" s="2">
        <v>1</v>
      </c>
      <c r="B609" s="2" t="s">
        <v>110</v>
      </c>
      <c r="E609" s="13" t="s">
        <v>772</v>
      </c>
      <c r="J609" s="6" t="str">
        <f>IFERROR(_xlfn.LET(_xlpm.v,
VLOOKUP($I609,効果!$A:$B,COLUMN(効果!B$1),FALSE),
IF(_xlpm.v=0,"",_xlpm.v)
),"")</f>
        <v/>
      </c>
      <c r="L609" s="15" t="str">
        <f>IF(OR(COUNTIF(クラス!$A$1:$A$1035, $B609),$B609="",COUNTIF(スキル一覧!$A$1:$A$3500, $B609)), "", "存在しない")</f>
        <v/>
      </c>
      <c r="M609" s="2" t="str">
        <f>IF(COUNTIF($B$1:$C608, $B609), "", "存在しない")</f>
        <v/>
      </c>
      <c r="N609" s="2" t="s">
        <v>1249</v>
      </c>
    </row>
    <row r="610" spans="1:14" hidden="1" outlineLevel="1" x14ac:dyDescent="0.4">
      <c r="A610" s="2">
        <v>2</v>
      </c>
      <c r="J610" s="6" t="str">
        <f>IFERROR(_xlfn.LET(_xlpm.v,
VLOOKUP($I610,効果!$A:$B,COLUMN(効果!B$1),FALSE),
IF(_xlpm.v=0,"",_xlpm.v)
),"")</f>
        <v/>
      </c>
      <c r="L610" s="15" t="str">
        <f>IF(OR(COUNTIF(クラス!$A$1:$A$1035, $B610),$B610="",COUNTIF(スキル一覧!$A$1:$A$3500, $B610)), "", "存在しない")</f>
        <v/>
      </c>
      <c r="M610" s="2" t="str">
        <f>IF(COUNTIF($B$1:$C609, $B610), "", "存在しない")</f>
        <v>存在しない</v>
      </c>
      <c r="N610" s="2" t="s">
        <v>1249</v>
      </c>
    </row>
    <row r="611" spans="1:14" hidden="1" outlineLevel="1" x14ac:dyDescent="0.4">
      <c r="A611" s="2">
        <v>3</v>
      </c>
      <c r="B611" s="2" t="s">
        <v>868</v>
      </c>
      <c r="E611" s="13" t="s">
        <v>772</v>
      </c>
      <c r="J611" s="6" t="str">
        <f>IFERROR(_xlfn.LET(_xlpm.v,
VLOOKUP($I611,効果!$A:$B,COLUMN(効果!B$1),FALSE),
IF(_xlpm.v=0,"",_xlpm.v)
),"")</f>
        <v/>
      </c>
      <c r="L611" s="15" t="str">
        <f>IF(OR(COUNTIF(クラス!$A$1:$A$1035, $B611),$B611="",COUNTIF(スキル一覧!$A$1:$A$3500, $B611)), "", "存在しない")</f>
        <v/>
      </c>
      <c r="M611" s="2" t="str">
        <f>IF(COUNTIF($B$1:$C610, $B611), "", "存在しない")</f>
        <v/>
      </c>
      <c r="N611" s="2" t="s">
        <v>1249</v>
      </c>
    </row>
    <row r="612" spans="1:14" hidden="1" outlineLevel="1" x14ac:dyDescent="0.4">
      <c r="A612" s="2">
        <v>4</v>
      </c>
      <c r="J612" s="6" t="str">
        <f>IFERROR(_xlfn.LET(_xlpm.v,
VLOOKUP($I612,効果!$A:$B,COLUMN(効果!B$1),FALSE),
IF(_xlpm.v=0,"",_xlpm.v)
),"")</f>
        <v/>
      </c>
      <c r="L612" s="15" t="str">
        <f>IF(OR(COUNTIF(クラス!$A$1:$A$1035, $B612),$B612="",COUNTIF(スキル一覧!$A$1:$A$3500, $B612)), "", "存在しない")</f>
        <v/>
      </c>
      <c r="M612" s="2" t="str">
        <f>IF(COUNTIF($B$1:$C611, $B612), "", "存在しない")</f>
        <v>存在しない</v>
      </c>
      <c r="N612" s="2" t="s">
        <v>1249</v>
      </c>
    </row>
    <row r="613" spans="1:14" hidden="1" outlineLevel="1" x14ac:dyDescent="0.4">
      <c r="A613" s="2">
        <v>5</v>
      </c>
      <c r="B613" s="2" t="s">
        <v>873</v>
      </c>
      <c r="E613" s="13" t="s">
        <v>473</v>
      </c>
      <c r="H613" s="10" t="s">
        <v>874</v>
      </c>
      <c r="J613" s="6" t="str">
        <f>IFERROR(_xlfn.LET(_xlpm.v,
VLOOKUP($I613,効果!$A:$B,COLUMN(効果!B$1),FALSE),
IF(_xlpm.v=0,"",_xlpm.v)
),"")</f>
        <v/>
      </c>
      <c r="L613" s="15" t="str">
        <f>IF(OR(COUNTIF(クラス!$A$1:$A$1035, $B613),$B613="",COUNTIF(スキル一覧!$A$1:$A$3500, $B613)), "", "存在しない")</f>
        <v>存在しない</v>
      </c>
      <c r="M613" s="2" t="str">
        <f>IF(COUNTIF($B$1:$C612, $B613), "", "存在しない")</f>
        <v>存在しない</v>
      </c>
      <c r="N613" s="2" t="e">
        <v>#VALUE!</v>
      </c>
    </row>
    <row r="614" spans="1:14" hidden="1" outlineLevel="1" x14ac:dyDescent="0.4">
      <c r="A614" s="2">
        <v>6</v>
      </c>
      <c r="B614" s="2" t="s">
        <v>870</v>
      </c>
      <c r="E614" s="13" t="s">
        <v>772</v>
      </c>
      <c r="G614" s="19">
        <v>20</v>
      </c>
      <c r="H614" s="10" t="s">
        <v>872</v>
      </c>
      <c r="J614" s="6" t="str">
        <f>IFERROR(_xlfn.LET(_xlpm.v,
VLOOKUP($I614,効果!$A:$B,COLUMN(効果!B$1),FALSE),
IF(_xlpm.v=0,"",_xlpm.v)
),"")</f>
        <v/>
      </c>
      <c r="L614" s="15" t="str">
        <f>IF(OR(COUNTIF(クラス!$A$1:$A$1035, $B614),$B614="",COUNTIF(スキル一覧!$A$1:$A$3500, $B614)), "", "存在しない")</f>
        <v>存在しない</v>
      </c>
      <c r="M614" s="2" t="str">
        <f>IF(COUNTIF($B$1:$C613, $B614), "", "存在しない")</f>
        <v/>
      </c>
      <c r="N614" s="2" t="s">
        <v>1249</v>
      </c>
    </row>
    <row r="615" spans="1:14" hidden="1" outlineLevel="1" x14ac:dyDescent="0.4">
      <c r="A615" s="2">
        <v>7</v>
      </c>
      <c r="J615" s="6" t="str">
        <f>IFERROR(_xlfn.LET(_xlpm.v,
VLOOKUP($I615,効果!$A:$B,COLUMN(効果!B$1),FALSE),
IF(_xlpm.v=0,"",_xlpm.v)
),"")</f>
        <v/>
      </c>
      <c r="L615" s="15" t="str">
        <f>IF(OR(COUNTIF(クラス!$A$1:$A$1035, $B615),$B615="",COUNTIF(スキル一覧!$A$1:$A$3500, $B615)), "", "存在しない")</f>
        <v/>
      </c>
      <c r="M615" s="2" t="str">
        <f>IF(COUNTIF($B$1:$C614, $B615), "", "存在しない")</f>
        <v>存在しない</v>
      </c>
      <c r="N615" s="2" t="s">
        <v>1249</v>
      </c>
    </row>
    <row r="616" spans="1:14" ht="36" hidden="1" outlineLevel="1" x14ac:dyDescent="0.4">
      <c r="A616" s="2">
        <v>8</v>
      </c>
      <c r="B616" s="2" t="s">
        <v>869</v>
      </c>
      <c r="E616" s="13" t="s">
        <v>772</v>
      </c>
      <c r="H616" s="10" t="s">
        <v>871</v>
      </c>
      <c r="J616" s="6" t="str">
        <f>IFERROR(_xlfn.LET(_xlpm.v,
VLOOKUP($I616,効果!$A:$B,COLUMN(効果!B$1),FALSE),
IF(_xlpm.v=0,"",_xlpm.v)
),"")</f>
        <v/>
      </c>
      <c r="L616" s="15" t="str">
        <f>IF(OR(COUNTIF(クラス!$A$1:$A$1035, $B616),$B616="",COUNTIF(スキル一覧!$A$1:$A$3500, $B616)), "", "存在しない")</f>
        <v>存在しない</v>
      </c>
      <c r="M616" s="2" t="str">
        <f>IF(COUNTIF($B$1:$C615, $B616), "", "存在しない")</f>
        <v>存在しない</v>
      </c>
      <c r="N616" s="2" t="e">
        <v>#VALUE!</v>
      </c>
    </row>
    <row r="617" spans="1:14" hidden="1" outlineLevel="1" x14ac:dyDescent="0.4">
      <c r="A617" s="2">
        <v>9</v>
      </c>
      <c r="B617" s="2" t="s">
        <v>876</v>
      </c>
      <c r="E617" s="13" t="s">
        <v>473</v>
      </c>
      <c r="H617" s="10" t="s">
        <v>875</v>
      </c>
      <c r="J617" s="6" t="str">
        <f>IFERROR(_xlfn.LET(_xlpm.v,
VLOOKUP($I617,効果!$A:$B,COLUMN(効果!B$1),FALSE),
IF(_xlpm.v=0,"",_xlpm.v)
),"")</f>
        <v/>
      </c>
      <c r="L617" s="15" t="str">
        <f>IF(OR(COUNTIF(クラス!$A$1:$A$1035, $B617),$B617="",COUNTIF(スキル一覧!$A$1:$A$3500, $B617)), "", "存在しない")</f>
        <v>存在しない</v>
      </c>
      <c r="M617" s="2" t="str">
        <f>IF(COUNTIF($B$1:$C616, $B617), "", "存在しない")</f>
        <v>存在しない</v>
      </c>
      <c r="N617" s="2" t="e">
        <v>#VALUE!</v>
      </c>
    </row>
    <row r="618" spans="1:14" hidden="1" outlineLevel="1" x14ac:dyDescent="0.4">
      <c r="A618" s="2">
        <v>10</v>
      </c>
      <c r="E618" s="13" t="s">
        <v>772</v>
      </c>
      <c r="G618" s="19">
        <v>20</v>
      </c>
      <c r="J618" s="6" t="str">
        <f>IFERROR(_xlfn.LET(_xlpm.v,
VLOOKUP($I618,効果!$A:$B,COLUMN(効果!B$1),FALSE),
IF(_xlpm.v=0,"",_xlpm.v)
),"")</f>
        <v/>
      </c>
      <c r="L618" s="15" t="str">
        <f>IF(OR(COUNTIF(クラス!$A$1:$A$1035, $B618),$B618="",COUNTIF(スキル一覧!$A$1:$A$3500, $B618)), "", "存在しない")</f>
        <v/>
      </c>
      <c r="M618" s="2" t="str">
        <f>IF(COUNTIF($B$1:$C617, $B618), "", "存在しない")</f>
        <v>存在しない</v>
      </c>
      <c r="N618" s="2" t="s">
        <v>1249</v>
      </c>
    </row>
    <row r="619" spans="1:14" hidden="1" outlineLevel="1" x14ac:dyDescent="0.4">
      <c r="J619" s="6" t="str">
        <f>IFERROR(_xlfn.LET(_xlpm.v,
VLOOKUP($I619,効果!$A:$B,COLUMN(効果!B$1),FALSE),
IF(_xlpm.v=0,"",_xlpm.v)
),"")</f>
        <v/>
      </c>
      <c r="L619" s="15" t="str">
        <f>IF(OR(COUNTIF(クラス!$A$1:$A$1035, $B619),$B619="",COUNTIF(スキル一覧!$A$1:$A$3500, $B619)), "", "存在しない")</f>
        <v/>
      </c>
      <c r="M619" s="2" t="str">
        <f>IF(COUNTIF($B$1:$C618, $B619), "", "存在しない")</f>
        <v>存在しない</v>
      </c>
      <c r="N619" s="2" t="s">
        <v>1249</v>
      </c>
    </row>
    <row r="620" spans="1:14" collapsed="1" x14ac:dyDescent="0.4">
      <c r="J620" s="6" t="str">
        <f>IFERROR(_xlfn.LET(_xlpm.v,
VLOOKUP($I620,効果!$A:$B,COLUMN(効果!B$1),FALSE),
IF(_xlpm.v=0,"",_xlpm.v)
),"")</f>
        <v/>
      </c>
      <c r="L620" s="15" t="str">
        <f>IF(OR(COUNTIF(クラス!$A$1:$A$1035, $B620),$B620="",COUNTIF(スキル一覧!$A$1:$A$3500, $B620)), "", "存在しない")</f>
        <v/>
      </c>
      <c r="M620" s="2" t="str">
        <f>IF(COUNTIF($B$1:$C619, $B620), "", "存在しない")</f>
        <v>存在しない</v>
      </c>
      <c r="N620" s="2" t="s">
        <v>1249</v>
      </c>
    </row>
    <row r="621" spans="1:14" x14ac:dyDescent="0.4">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1249</v>
      </c>
    </row>
    <row r="622" spans="1:14" x14ac:dyDescent="0.4">
      <c r="J622" s="6" t="str">
        <f>IFERROR(_xlfn.LET(_xlpm.v,
VLOOKUP($I622,効果!$A:$B,COLUMN(効果!B$1),FALSE),
IF(_xlpm.v=0,"",_xlpm.v)
),"")</f>
        <v/>
      </c>
      <c r="L622" s="15" t="str">
        <f>IF(OR(COUNTIF(クラス!$A$1:$A$1035, $B622),$B622="",COUNTIF(スキル一覧!$A$1:$A$3500, $B622)), "", "存在しない")</f>
        <v/>
      </c>
      <c r="M622" s="2" t="str">
        <f>IF(COUNTIF($B$1:$C621, $B622), "", "存在しない")</f>
        <v>存在しない</v>
      </c>
      <c r="N622" s="2" t="s">
        <v>1249</v>
      </c>
    </row>
    <row r="623" spans="1:14" x14ac:dyDescent="0.4">
      <c r="J623" s="6" t="str">
        <f>IFERROR(_xlfn.LET(_xlpm.v,
VLOOKUP($I623,効果!$A:$B,COLUMN(効果!B$1),FALSE),
IF(_xlpm.v=0,"",_xlpm.v)
),"")</f>
        <v/>
      </c>
      <c r="L623" s="15" t="str">
        <f>IF(OR(COUNTIF(クラス!$A$1:$A$1035, $B623),$B623="",COUNTIF(スキル一覧!$A$1:$A$3500, $B623)), "", "存在しない")</f>
        <v/>
      </c>
      <c r="M623" s="2" t="str">
        <f>IF(COUNTIF($B$1:$C622, $B623), "", "存在しない")</f>
        <v>存在しない</v>
      </c>
      <c r="N623" s="2" t="s">
        <v>1249</v>
      </c>
    </row>
    <row r="624" spans="1:14" x14ac:dyDescent="0.4">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1249</v>
      </c>
    </row>
    <row r="625" spans="10:14" x14ac:dyDescent="0.4">
      <c r="J625" s="6" t="str">
        <f>IFERROR(_xlfn.LET(_xlpm.v,
VLOOKUP($I625,効果!$A:$B,COLUMN(効果!B$1),FALSE),
IF(_xlpm.v=0,"",_xlpm.v)
),"")</f>
        <v/>
      </c>
      <c r="L625" s="15" t="str">
        <f>IF(OR(COUNTIF(クラス!$A$1:$A$1035, $B625),$B625="",COUNTIF(スキル一覧!$A$1:$A$3500, $B625)), "", "存在しない")</f>
        <v/>
      </c>
      <c r="M625" s="2" t="str">
        <f>IF(COUNTIF($B$1:$C624, $B625), "", "存在しない")</f>
        <v>存在しない</v>
      </c>
      <c r="N625" s="2" t="s">
        <v>1249</v>
      </c>
    </row>
    <row r="626" spans="10:14" x14ac:dyDescent="0.4">
      <c r="J626" s="6" t="str">
        <f>IFERROR(_xlfn.LET(_xlpm.v,
VLOOKUP($I626,効果!$A:$B,COLUMN(効果!B$1),FALSE),
IF(_xlpm.v=0,"",_xlpm.v)
),"")</f>
        <v/>
      </c>
      <c r="L626" s="15" t="str">
        <f>IF(OR(COUNTIF(クラス!$A$1:$A$1035, $B626),$B626="",COUNTIF(スキル一覧!$A$1:$A$3500, $B626)), "", "存在しない")</f>
        <v/>
      </c>
      <c r="M626" s="2" t="str">
        <f>IF(COUNTIF($B$1:$C625, $B626), "", "存在しない")</f>
        <v>存在しない</v>
      </c>
      <c r="N626" s="2" t="s">
        <v>1249</v>
      </c>
    </row>
    <row r="627" spans="10:14" x14ac:dyDescent="0.4">
      <c r="J627" s="6" t="str">
        <f>IFERROR(_xlfn.LET(_xlpm.v,
VLOOKUP($I627,効果!$A:$B,COLUMN(効果!B$1),FALSE),
IF(_xlpm.v=0,"",_xlpm.v)
),"")</f>
        <v/>
      </c>
      <c r="L627" s="15" t="str">
        <f>IF(OR(COUNTIF(クラス!$A$1:$A$1035, $B627),$B627="",COUNTIF(スキル一覧!$A$1:$A$3500, $B627)), "", "存在しない")</f>
        <v/>
      </c>
      <c r="M627" s="2" t="str">
        <f>IF(COUNTIF($B$1:$C626, $B627), "", "存在しない")</f>
        <v>存在しない</v>
      </c>
      <c r="N627" s="2" t="s">
        <v>1249</v>
      </c>
    </row>
    <row r="628" spans="10:14" x14ac:dyDescent="0.4">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1249</v>
      </c>
    </row>
    <row r="629" spans="10:14" x14ac:dyDescent="0.4">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1249</v>
      </c>
    </row>
    <row r="630" spans="10:14" x14ac:dyDescent="0.4">
      <c r="J630" s="6" t="str">
        <f>IFERROR(_xlfn.LET(_xlpm.v,
VLOOKUP($I630,効果!$A:$B,COLUMN(効果!B$1),FALSE),
IF(_xlpm.v=0,"",_xlpm.v)
),"")</f>
        <v/>
      </c>
      <c r="L630" s="15" t="str">
        <f>IF(OR(COUNTIF(クラス!$A$1:$A$1035, $B630),$B630="",COUNTIF(スキル一覧!$A$1:$A$3500, $B630)), "", "存在しない")</f>
        <v/>
      </c>
      <c r="M630" s="2" t="str">
        <f>IF(COUNTIF($B$1:$C629, $B630), "", "存在しない")</f>
        <v>存在しない</v>
      </c>
      <c r="N630" s="2" t="s">
        <v>1249</v>
      </c>
    </row>
    <row r="631" spans="10:14" x14ac:dyDescent="0.4">
      <c r="J631" s="6" t="str">
        <f>IFERROR(_xlfn.LET(_xlpm.v,
VLOOKUP($I631,効果!$A:$B,COLUMN(効果!B$1),FALSE),
IF(_xlpm.v=0,"",_xlpm.v)
),"")</f>
        <v/>
      </c>
      <c r="L631" s="15" t="str">
        <f>IF(OR(COUNTIF(クラス!$A$1:$A$1035, $B631),$B631="",COUNTIF(スキル一覧!$A$1:$A$3500, $B631)), "", "存在しない")</f>
        <v/>
      </c>
      <c r="M631" s="2" t="str">
        <f>IF(COUNTIF($B$1:$C630, $B631), "", "存在しない")</f>
        <v>存在しない</v>
      </c>
      <c r="N631" s="2" t="s">
        <v>1249</v>
      </c>
    </row>
    <row r="632" spans="10:14" x14ac:dyDescent="0.4">
      <c r="J632" s="6" t="str">
        <f>IFERROR(_xlfn.LET(_xlpm.v,
VLOOKUP($I632,効果!$A:$B,COLUMN(効果!B$1),FALSE),
IF(_xlpm.v=0,"",_xlpm.v)
),"")</f>
        <v/>
      </c>
      <c r="L632" s="15" t="str">
        <f>IF(OR(COUNTIF(クラス!$A$1:$A$1035, $B632),$B632="",COUNTIF(スキル一覧!$A$1:$A$3500, $B632)), "", "存在しない")</f>
        <v/>
      </c>
      <c r="M632" s="2" t="str">
        <f>IF(COUNTIF($B$1:$C631, $B632), "", "存在しない")</f>
        <v>存在しない</v>
      </c>
      <c r="N632" s="2" t="s">
        <v>1249</v>
      </c>
    </row>
    <row r="633" spans="10:14" x14ac:dyDescent="0.4">
      <c r="J633" s="6" t="str">
        <f>IFERROR(_xlfn.LET(_xlpm.v,
VLOOKUP($I633,効果!$A:$B,COLUMN(効果!B$1),FALSE),
IF(_xlpm.v=0,"",_xlpm.v)
),"")</f>
        <v/>
      </c>
      <c r="L633" s="15" t="str">
        <f>IF(OR(COUNTIF(クラス!$A$1:$A$1035, $B633),$B633="",COUNTIF(スキル一覧!$A$1:$A$3500, $B633)), "", "存在しない")</f>
        <v/>
      </c>
      <c r="M633" s="2" t="str">
        <f>IF(COUNTIF($B$1:$C632, $B633), "", "存在しない")</f>
        <v>存在しない</v>
      </c>
      <c r="N633" s="2" t="s">
        <v>1249</v>
      </c>
    </row>
    <row r="634" spans="10:14" x14ac:dyDescent="0.4">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1249</v>
      </c>
    </row>
    <row r="635" spans="10:14" x14ac:dyDescent="0.4">
      <c r="J635" s="6" t="str">
        <f>IFERROR(_xlfn.LET(_xlpm.v,
VLOOKUP($I635,効果!$A:$B,COLUMN(効果!B$1),FALSE),
IF(_xlpm.v=0,"",_xlpm.v)
),"")</f>
        <v/>
      </c>
      <c r="L635" s="15" t="str">
        <f>IF(OR(COUNTIF(クラス!$A$1:$A$1035, $B635),$B635="",COUNTIF(スキル一覧!$A$1:$A$3500, $B635)), "", "存在しない")</f>
        <v/>
      </c>
      <c r="M635" s="2" t="str">
        <f>IF(COUNTIF($B$1:$C634, $B635), "", "存在しない")</f>
        <v>存在しない</v>
      </c>
      <c r="N635" s="2" t="s">
        <v>1249</v>
      </c>
    </row>
    <row r="636" spans="10:14" x14ac:dyDescent="0.4">
      <c r="J636" s="6" t="str">
        <f>IFERROR(_xlfn.LET(_xlpm.v,
VLOOKUP($I636,効果!$A:$B,COLUMN(効果!B$1),FALSE),
IF(_xlpm.v=0,"",_xlpm.v)
),"")</f>
        <v/>
      </c>
      <c r="L636" s="15" t="str">
        <f>IF(OR(COUNTIF(クラス!$A$1:$A$1035, $B636),$B636="",COUNTIF(スキル一覧!$A$1:$A$3500, $B636)), "", "存在しない")</f>
        <v/>
      </c>
      <c r="M636" s="2" t="str">
        <f>IF(COUNTIF($B$1:$C635, $B636), "", "存在しない")</f>
        <v>存在しない</v>
      </c>
      <c r="N636" s="2" t="s">
        <v>1249</v>
      </c>
    </row>
    <row r="637" spans="10:14" x14ac:dyDescent="0.4">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1249</v>
      </c>
    </row>
    <row r="638" spans="10:14" x14ac:dyDescent="0.4">
      <c r="J638" s="6" t="str">
        <f>IFERROR(_xlfn.LET(_xlpm.v,
VLOOKUP($I638,効果!$A:$B,COLUMN(効果!B$1),FALSE),
IF(_xlpm.v=0,"",_xlpm.v)
),"")</f>
        <v/>
      </c>
      <c r="L638" s="15" t="str">
        <f>IF(OR(COUNTIF(クラス!$A$1:$A$1035, $B638),$B638="",COUNTIF(スキル一覧!$A$1:$A$3500, $B638)), "", "存在しない")</f>
        <v/>
      </c>
      <c r="M638" s="2" t="str">
        <f>IF(COUNTIF($B$1:$C637, $B638), "", "存在しない")</f>
        <v>存在しない</v>
      </c>
      <c r="N638" s="2" t="s">
        <v>1249</v>
      </c>
    </row>
    <row r="639" spans="10:14" x14ac:dyDescent="0.4">
      <c r="J639" s="6" t="str">
        <f>IFERROR(_xlfn.LET(_xlpm.v,
VLOOKUP($I639,効果!$A:$B,COLUMN(効果!B$1),FALSE),
IF(_xlpm.v=0,"",_xlpm.v)
),"")</f>
        <v/>
      </c>
      <c r="L639" s="15" t="str">
        <f>IF(OR(COUNTIF(クラス!$A$1:$A$1035, $B639),$B639="",COUNTIF(スキル一覧!$A$1:$A$3500, $B639)), "", "存在しない")</f>
        <v/>
      </c>
      <c r="M639" s="2" t="str">
        <f>IF(COUNTIF($B$1:$C638, $B639), "", "存在しない")</f>
        <v>存在しない</v>
      </c>
      <c r="N639" s="2" t="s">
        <v>1249</v>
      </c>
    </row>
    <row r="640" spans="10:14" x14ac:dyDescent="0.4">
      <c r="J640" s="6" t="str">
        <f>IFERROR(_xlfn.LET(_xlpm.v,
VLOOKUP($I640,効果!$A:$B,COLUMN(効果!B$1),FALSE),
IF(_xlpm.v=0,"",_xlpm.v)
),"")</f>
        <v/>
      </c>
      <c r="L640" s="15" t="str">
        <f>IF(OR(COUNTIF(クラス!$A$1:$A$1035, $B640),$B640="",COUNTIF(スキル一覧!$A$1:$A$3500, $B640)), "", "存在しない")</f>
        <v/>
      </c>
      <c r="M640" s="2" t="str">
        <f>IF(COUNTIF($B$1:$C639, $B640), "", "存在しない")</f>
        <v>存在しない</v>
      </c>
      <c r="N640" s="2" t="s">
        <v>1249</v>
      </c>
    </row>
    <row r="641" spans="10:14" x14ac:dyDescent="0.4">
      <c r="J641" s="6" t="str">
        <f>IFERROR(_xlfn.LET(_xlpm.v,
VLOOKUP($I641,効果!$A:$B,COLUMN(効果!B$1),FALSE),
IF(_xlpm.v=0,"",_xlpm.v)
),"")</f>
        <v/>
      </c>
      <c r="L641" s="15" t="str">
        <f>IF(OR(COUNTIF(クラス!$A$1:$A$1035, $B641),$B641="",COUNTIF(スキル一覧!$A$1:$A$3500, $B641)), "", "存在しない")</f>
        <v/>
      </c>
      <c r="M641" s="2" t="str">
        <f>IF(COUNTIF($B$1:$C640, $B641), "", "存在しない")</f>
        <v>存在しない</v>
      </c>
      <c r="N641" s="2" t="s">
        <v>1249</v>
      </c>
    </row>
    <row r="642" spans="10:14" x14ac:dyDescent="0.4">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1249</v>
      </c>
    </row>
    <row r="643" spans="10:14" x14ac:dyDescent="0.4">
      <c r="J643" s="6" t="str">
        <f>IFERROR(_xlfn.LET(_xlpm.v,
VLOOKUP($I643,効果!$A:$B,COLUMN(効果!B$1),FALSE),
IF(_xlpm.v=0,"",_xlpm.v)
),"")</f>
        <v/>
      </c>
      <c r="L643" s="15" t="str">
        <f>IF(OR(COUNTIF(クラス!$A$1:$A$1035, $B643),$B643="",COUNTIF(スキル一覧!$A$1:$A$3500, $B643)), "", "存在しない")</f>
        <v/>
      </c>
      <c r="M643" s="2" t="str">
        <f>IF(COUNTIF($B$1:$C642, $B643), "", "存在しない")</f>
        <v>存在しない</v>
      </c>
      <c r="N643" s="2" t="s">
        <v>1249</v>
      </c>
    </row>
    <row r="644" spans="10:14" x14ac:dyDescent="0.4">
      <c r="J644" s="6" t="str">
        <f>IFERROR(_xlfn.LET(_xlpm.v,
VLOOKUP($I644,効果!$A:$B,COLUMN(効果!B$1),FALSE),
IF(_xlpm.v=0,"",_xlpm.v)
),"")</f>
        <v/>
      </c>
      <c r="L644" s="15" t="str">
        <f>IF(OR(COUNTIF(クラス!$A$1:$A$1035, $B644),$B644="",COUNTIF(スキル一覧!$A$1:$A$3500, $B644)), "", "存在しない")</f>
        <v/>
      </c>
      <c r="M644" s="2" t="str">
        <f>IF(COUNTIF($B$1:$C643, $B644), "", "存在しない")</f>
        <v>存在しない</v>
      </c>
      <c r="N644" s="2" t="s">
        <v>1249</v>
      </c>
    </row>
    <row r="645" spans="10:14" x14ac:dyDescent="0.4">
      <c r="J645" s="6" t="str">
        <f>IFERROR(_xlfn.LET(_xlpm.v,
VLOOKUP($I645,効果!$A:$B,COLUMN(効果!B$1),FALSE),
IF(_xlpm.v=0,"",_xlpm.v)
),"")</f>
        <v/>
      </c>
      <c r="L645" s="15" t="str">
        <f>IF(OR(COUNTIF(クラス!$A$1:$A$1035, $B645),$B645="",COUNTIF(スキル一覧!$A$1:$A$3500, $B645)), "", "存在しない")</f>
        <v/>
      </c>
      <c r="M645" s="2" t="str">
        <f>IF(COUNTIF($B$1:$C644, $B645), "", "存在しない")</f>
        <v>存在しない</v>
      </c>
      <c r="N645" s="2" t="s">
        <v>1249</v>
      </c>
    </row>
    <row r="646" spans="10:14" x14ac:dyDescent="0.4">
      <c r="J646" s="6" t="str">
        <f>IFERROR(_xlfn.LET(_xlpm.v,
VLOOKUP($I646,効果!$A:$B,COLUMN(効果!B$1),FALSE),
IF(_xlpm.v=0,"",_xlpm.v)
),"")</f>
        <v/>
      </c>
      <c r="L646" s="15" t="str">
        <f>IF(OR(COUNTIF(クラス!$A$1:$A$1035, $B646),$B646="",COUNTIF(スキル一覧!$A$1:$A$3500, $B646)), "", "存在しない")</f>
        <v/>
      </c>
      <c r="M646" s="2" t="str">
        <f>IF(COUNTIF($B$1:$C645, $B646), "", "存在しない")</f>
        <v>存在しない</v>
      </c>
      <c r="N646" s="2" t="s">
        <v>1249</v>
      </c>
    </row>
    <row r="647" spans="10:14" x14ac:dyDescent="0.4">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1249</v>
      </c>
    </row>
    <row r="648" spans="10:14" x14ac:dyDescent="0.4">
      <c r="J648" s="6" t="str">
        <f>IFERROR(_xlfn.LET(_xlpm.v,
VLOOKUP($I648,効果!$A:$B,COLUMN(効果!B$1),FALSE),
IF(_xlpm.v=0,"",_xlpm.v)
),"")</f>
        <v/>
      </c>
      <c r="L648" s="15" t="str">
        <f>IF(OR(COUNTIF(クラス!$A$1:$A$1035, $B648),$B648="",COUNTIF(スキル一覧!$A$1:$A$3500, $B648)), "", "存在しない")</f>
        <v/>
      </c>
      <c r="M648" s="2" t="str">
        <f>IF(COUNTIF($B$1:$C647, $B648), "", "存在しない")</f>
        <v>存在しない</v>
      </c>
      <c r="N648" s="2" t="s">
        <v>1249</v>
      </c>
    </row>
    <row r="649" spans="10:14" x14ac:dyDescent="0.4">
      <c r="J649" s="6" t="str">
        <f>IFERROR(_xlfn.LET(_xlpm.v,
VLOOKUP($I649,効果!$A:$B,COLUMN(効果!B$1),FALSE),
IF(_xlpm.v=0,"",_xlpm.v)
),"")</f>
        <v/>
      </c>
      <c r="L649" s="15" t="str">
        <f>IF(OR(COUNTIF(クラス!$A$1:$A$1035, $B649),$B649="",COUNTIF(スキル一覧!$A$1:$A$3500, $B649)), "", "存在しない")</f>
        <v/>
      </c>
      <c r="M649" s="2" t="str">
        <f>IF(COUNTIF($B$1:$C648, $B649), "", "存在しない")</f>
        <v>存在しない</v>
      </c>
      <c r="N649" s="2" t="s">
        <v>1249</v>
      </c>
    </row>
    <row r="650" spans="10:14" x14ac:dyDescent="0.4">
      <c r="J650" s="6" t="str">
        <f>IFERROR(_xlfn.LET(_xlpm.v,
VLOOKUP($I650,効果!$A:$B,COLUMN(効果!B$1),FALSE),
IF(_xlpm.v=0,"",_xlpm.v)
),"")</f>
        <v/>
      </c>
      <c r="L650" s="15" t="str">
        <f>IF(OR(COUNTIF(クラス!$A$1:$A$1035, $B650),$B650="",COUNTIF(スキル一覧!$A$1:$A$3500, $B650)), "", "存在しない")</f>
        <v/>
      </c>
      <c r="M650" s="2" t="str">
        <f>IF(COUNTIF($B$1:$C649, $B650), "", "存在しない")</f>
        <v>存在しない</v>
      </c>
      <c r="N650" s="2" t="s">
        <v>1249</v>
      </c>
    </row>
    <row r="651" spans="10:14" x14ac:dyDescent="0.4">
      <c r="J651" s="6" t="str">
        <f>IFERROR(_xlfn.LET(_xlpm.v,
VLOOKUP($I651,効果!$A:$B,COLUMN(効果!B$1),FALSE),
IF(_xlpm.v=0,"",_xlpm.v)
),"")</f>
        <v/>
      </c>
      <c r="L651" s="15" t="str">
        <f>IF(OR(COUNTIF(クラス!$A$1:$A$1035, $B651),$B651="",COUNTIF(スキル一覧!$A$1:$A$3500, $B651)), "", "存在しない")</f>
        <v/>
      </c>
      <c r="M651" s="2" t="str">
        <f>IF(COUNTIF($B$1:$C650, $B651), "", "存在しない")</f>
        <v>存在しない</v>
      </c>
      <c r="N651" s="2" t="s">
        <v>1249</v>
      </c>
    </row>
    <row r="652" spans="10:14" x14ac:dyDescent="0.4">
      <c r="J652" s="6" t="str">
        <f>IFERROR(_xlfn.LET(_xlpm.v,
VLOOKUP($I652,効果!$A:$B,COLUMN(効果!B$1),FALSE),
IF(_xlpm.v=0,"",_xlpm.v)
),"")</f>
        <v/>
      </c>
      <c r="L652" s="15" t="str">
        <f>IF(OR(COUNTIF(クラス!$A$1:$A$1035, $B652),$B652="",COUNTIF(スキル一覧!$A$1:$A$3500, $B652)), "", "存在しない")</f>
        <v/>
      </c>
      <c r="M652" s="2" t="str">
        <f>IF(COUNTIF($B$1:$C651, $B652), "", "存在しない")</f>
        <v>存在しない</v>
      </c>
      <c r="N652" s="2" t="s">
        <v>1249</v>
      </c>
    </row>
    <row r="653" spans="10:14" x14ac:dyDescent="0.4">
      <c r="J653" s="6" t="str">
        <f>IFERROR(_xlfn.LET(_xlpm.v,
VLOOKUP($I653,効果!$A:$B,COLUMN(効果!B$1),FALSE),
IF(_xlpm.v=0,"",_xlpm.v)
),"")</f>
        <v/>
      </c>
      <c r="L653" s="15" t="str">
        <f>IF(OR(COUNTIF(クラス!$A$1:$A$1035, $B653),$B653="",COUNTIF(スキル一覧!$A$1:$A$3500, $B653)), "", "存在しない")</f>
        <v/>
      </c>
      <c r="M653" s="2" t="str">
        <f>IF(COUNTIF($B$1:$C652, $B653), "", "存在しない")</f>
        <v>存在しない</v>
      </c>
      <c r="N653" s="2" t="s">
        <v>1249</v>
      </c>
    </row>
    <row r="654" spans="10:14" x14ac:dyDescent="0.4">
      <c r="J654" s="6" t="str">
        <f>IFERROR(_xlfn.LET(_xlpm.v,
VLOOKUP($I654,効果!$A:$B,COLUMN(効果!B$1),FALSE),
IF(_xlpm.v=0,"",_xlpm.v)
),"")</f>
        <v/>
      </c>
      <c r="L654" s="15" t="str">
        <f>IF(OR(COUNTIF(クラス!$A$1:$A$1035, $B654),$B654="",COUNTIF(スキル一覧!$A$1:$A$3500, $B654)), "", "存在しない")</f>
        <v/>
      </c>
      <c r="M654" s="2" t="str">
        <f>IF(COUNTIF($B$1:$C653, $B654), "", "存在しない")</f>
        <v>存在しない</v>
      </c>
      <c r="N654" s="2" t="s">
        <v>1249</v>
      </c>
    </row>
    <row r="655" spans="10:14" x14ac:dyDescent="0.4">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1249</v>
      </c>
    </row>
    <row r="656" spans="10:14" x14ac:dyDescent="0.4">
      <c r="J656" s="6" t="str">
        <f>IFERROR(_xlfn.LET(_xlpm.v,
VLOOKUP($I656,効果!$A:$B,COLUMN(効果!B$1),FALSE),
IF(_xlpm.v=0,"",_xlpm.v)
),"")</f>
        <v/>
      </c>
      <c r="L656" s="15" t="str">
        <f>IF(OR(COUNTIF(クラス!$A$1:$A$1035, $B656),$B656="",COUNTIF(スキル一覧!$A$1:$A$3500, $B656)), "", "存在しない")</f>
        <v/>
      </c>
      <c r="M656" s="2" t="str">
        <f>IF(COUNTIF($B$1:$C655, $B656), "", "存在しない")</f>
        <v>存在しない</v>
      </c>
      <c r="N656" s="2" t="s">
        <v>1249</v>
      </c>
    </row>
    <row r="657" spans="10:14" x14ac:dyDescent="0.4">
      <c r="J657" s="6" t="str">
        <f>IFERROR(_xlfn.LET(_xlpm.v,
VLOOKUP($I657,効果!$A:$B,COLUMN(効果!B$1),FALSE),
IF(_xlpm.v=0,"",_xlpm.v)
),"")</f>
        <v/>
      </c>
      <c r="L657" s="15" t="str">
        <f>IF(OR(COUNTIF(クラス!$A$1:$A$1035, $B657),$B657="",COUNTIF(スキル一覧!$A$1:$A$3500, $B657)), "", "存在しない")</f>
        <v/>
      </c>
      <c r="M657" s="2" t="str">
        <f>IF(COUNTIF($B$1:$C656, $B657), "", "存在しない")</f>
        <v>存在しない</v>
      </c>
      <c r="N657" s="2" t="s">
        <v>1249</v>
      </c>
    </row>
    <row r="658" spans="10:14" x14ac:dyDescent="0.4">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1249</v>
      </c>
    </row>
    <row r="659" spans="10:14" x14ac:dyDescent="0.4">
      <c r="J659" s="6" t="str">
        <f>IFERROR(_xlfn.LET(_xlpm.v,
VLOOKUP($I659,効果!$A:$B,COLUMN(効果!B$1),FALSE),
IF(_xlpm.v=0,"",_xlpm.v)
),"")</f>
        <v/>
      </c>
      <c r="L659" s="15" t="str">
        <f>IF(OR(COUNTIF(クラス!$A$1:$A$1035, $B659),$B659="",COUNTIF(スキル一覧!$A$1:$A$3500, $B659)), "", "存在しない")</f>
        <v/>
      </c>
      <c r="M659" s="2" t="str">
        <f>IF(COUNTIF($B$1:$C658, $B659), "", "存在しない")</f>
        <v>存在しない</v>
      </c>
      <c r="N659" s="2" t="s">
        <v>1249</v>
      </c>
    </row>
    <row r="660" spans="10:14" x14ac:dyDescent="0.4">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1249</v>
      </c>
    </row>
    <row r="661" spans="10:14" x14ac:dyDescent="0.4">
      <c r="J661" s="6" t="str">
        <f>IFERROR(_xlfn.LET(_xlpm.v,
VLOOKUP($I661,効果!$A:$B,COLUMN(効果!B$1),FALSE),
IF(_xlpm.v=0,"",_xlpm.v)
),"")</f>
        <v/>
      </c>
      <c r="L661" s="15" t="str">
        <f>IF(OR(COUNTIF(クラス!$A$1:$A$1035, $B661),$B661="",COUNTIF(スキル一覧!$A$1:$A$3500, $B661)), "", "存在しない")</f>
        <v/>
      </c>
      <c r="M661" s="2" t="str">
        <f>IF(COUNTIF($B$1:$C660, $B661), "", "存在しない")</f>
        <v>存在しない</v>
      </c>
      <c r="N661" s="2" t="s">
        <v>1249</v>
      </c>
    </row>
    <row r="662" spans="10:14" x14ac:dyDescent="0.4">
      <c r="J662" s="6" t="str">
        <f>IFERROR(_xlfn.LET(_xlpm.v,
VLOOKUP($I662,効果!$A:$B,COLUMN(効果!B$1),FALSE),
IF(_xlpm.v=0,"",_xlpm.v)
),"")</f>
        <v/>
      </c>
      <c r="L662" s="15" t="str">
        <f>IF(OR(COUNTIF(クラス!$A$1:$A$1035, $B662),$B662="",COUNTIF(スキル一覧!$A$1:$A$3500, $B662)), "", "存在しない")</f>
        <v/>
      </c>
      <c r="M662" s="2" t="str">
        <f>IF(COUNTIF($B$1:$C661, $B662), "", "存在しない")</f>
        <v>存在しない</v>
      </c>
      <c r="N662" s="2" t="s">
        <v>1249</v>
      </c>
    </row>
    <row r="663" spans="10:14" x14ac:dyDescent="0.4">
      <c r="J663" s="6" t="str">
        <f>IFERROR(_xlfn.LET(_xlpm.v,
VLOOKUP($I663,効果!$A:$B,COLUMN(効果!B$1),FALSE),
IF(_xlpm.v=0,"",_xlpm.v)
),"")</f>
        <v/>
      </c>
      <c r="L663" s="15" t="str">
        <f>IF(OR(COUNTIF(クラス!$A$1:$A$1035, $B663),$B663="",COUNTIF(スキル一覧!$A$1:$A$3500, $B663)), "", "存在しない")</f>
        <v/>
      </c>
      <c r="M663" s="2" t="str">
        <f>IF(COUNTIF($B$1:$C662, $B663), "", "存在しない")</f>
        <v>存在しない</v>
      </c>
      <c r="N663" s="2" t="s">
        <v>1249</v>
      </c>
    </row>
    <row r="664" spans="10:14" x14ac:dyDescent="0.4">
      <c r="J664" s="6" t="str">
        <f>IFERROR(_xlfn.LET(_xlpm.v,
VLOOKUP($I664,効果!$A:$B,COLUMN(効果!B$1),FALSE),
IF(_xlpm.v=0,"",_xlpm.v)
),"")</f>
        <v/>
      </c>
      <c r="L664" s="15" t="str">
        <f>IF(OR(COUNTIF(クラス!$A$1:$A$1035, $B664),$B664="",COUNTIF(スキル一覧!$A$1:$A$3500, $B664)), "", "存在しない")</f>
        <v/>
      </c>
      <c r="M664" s="2" t="str">
        <f>IF(COUNTIF($B$1:$C663, $B664), "", "存在しない")</f>
        <v>存在しない</v>
      </c>
      <c r="N664" s="2" t="s">
        <v>1249</v>
      </c>
    </row>
    <row r="665" spans="10:14" x14ac:dyDescent="0.4">
      <c r="J665" s="6" t="str">
        <f>IFERROR(_xlfn.LET(_xlpm.v,
VLOOKUP($I665,効果!$A:$B,COLUMN(効果!B$1),FALSE),
IF(_xlpm.v=0,"",_xlpm.v)
),"")</f>
        <v/>
      </c>
      <c r="L665" s="15" t="str">
        <f>IF(OR(COUNTIF(クラス!$A$1:$A$1035, $B665),$B665="",COUNTIF(スキル一覧!$A$1:$A$3500, $B665)), "", "存在しない")</f>
        <v/>
      </c>
      <c r="M665" s="2" t="str">
        <f>IF(COUNTIF($B$1:$C664, $B665), "", "存在しない")</f>
        <v>存在しない</v>
      </c>
      <c r="N665" s="2" t="s">
        <v>1249</v>
      </c>
    </row>
    <row r="666" spans="10:14" x14ac:dyDescent="0.4">
      <c r="J666" s="6" t="str">
        <f>IFERROR(_xlfn.LET(_xlpm.v,
VLOOKUP($I666,効果!$A:$B,COLUMN(効果!B$1),FALSE),
IF(_xlpm.v=0,"",_xlpm.v)
),"")</f>
        <v/>
      </c>
      <c r="L666" s="15" t="str">
        <f>IF(OR(COUNTIF(クラス!$A$1:$A$1035, $B666),$B666="",COUNTIF(スキル一覧!$A$1:$A$3500, $B666)), "", "存在しない")</f>
        <v/>
      </c>
      <c r="M666" s="2" t="str">
        <f>IF(COUNTIF($B$1:$C665, $B666), "", "存在しない")</f>
        <v>存在しない</v>
      </c>
      <c r="N666" s="2" t="s">
        <v>1249</v>
      </c>
    </row>
    <row r="667" spans="10:14" x14ac:dyDescent="0.4">
      <c r="J667" s="6" t="str">
        <f>IFERROR(_xlfn.LET(_xlpm.v,
VLOOKUP($I667,効果!$A:$B,COLUMN(効果!B$1),FALSE),
IF(_xlpm.v=0,"",_xlpm.v)
),"")</f>
        <v/>
      </c>
      <c r="L667" s="15" t="str">
        <f>IF(OR(COUNTIF(クラス!$A$1:$A$1035, $B667),$B667="",COUNTIF(スキル一覧!$A$1:$A$3500, $B667)), "", "存在しない")</f>
        <v/>
      </c>
      <c r="M667" s="2" t="str">
        <f>IF(COUNTIF($B$1:$C666, $B667), "", "存在しない")</f>
        <v>存在しない</v>
      </c>
      <c r="N667" s="2" t="s">
        <v>1249</v>
      </c>
    </row>
    <row r="668" spans="10:14" x14ac:dyDescent="0.4">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1249</v>
      </c>
    </row>
    <row r="669" spans="10:14" x14ac:dyDescent="0.4">
      <c r="J669" s="6" t="str">
        <f>IFERROR(_xlfn.LET(_xlpm.v,
VLOOKUP($I669,効果!$A:$B,COLUMN(効果!B$1),FALSE),
IF(_xlpm.v=0,"",_xlpm.v)
),"")</f>
        <v/>
      </c>
      <c r="L669" s="15" t="str">
        <f>IF(OR(COUNTIF(クラス!$A$1:$A$1035, $B669),$B669="",COUNTIF(スキル一覧!$A$1:$A$3500, $B669)), "", "存在しない")</f>
        <v/>
      </c>
      <c r="M669" s="2" t="str">
        <f>IF(COUNTIF($B$1:$C668, $B669), "", "存在しない")</f>
        <v>存在しない</v>
      </c>
      <c r="N669" s="2" t="s">
        <v>1249</v>
      </c>
    </row>
    <row r="670" spans="10:14" x14ac:dyDescent="0.4">
      <c r="J670" s="6" t="str">
        <f>IFERROR(_xlfn.LET(_xlpm.v,
VLOOKUP($I670,効果!$A:$B,COLUMN(効果!B$1),FALSE),
IF(_xlpm.v=0,"",_xlpm.v)
),"")</f>
        <v/>
      </c>
      <c r="L670" s="15" t="str">
        <f>IF(OR(COUNTIF(クラス!$A$1:$A$1035, $B670),$B670="",COUNTIF(スキル一覧!$A$1:$A$3500, $B670)), "", "存在しない")</f>
        <v/>
      </c>
      <c r="M670" s="2" t="str">
        <f>IF(COUNTIF($B$1:$C669, $B670), "", "存在しない")</f>
        <v>存在しない</v>
      </c>
      <c r="N670" s="2" t="s">
        <v>1249</v>
      </c>
    </row>
    <row r="671" spans="10:14" x14ac:dyDescent="0.4">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1249</v>
      </c>
    </row>
    <row r="672" spans="10:14" x14ac:dyDescent="0.4">
      <c r="J672" s="6" t="str">
        <f>IFERROR(_xlfn.LET(_xlpm.v,
VLOOKUP($I672,効果!$A:$B,COLUMN(効果!B$1),FALSE),
IF(_xlpm.v=0,"",_xlpm.v)
),"")</f>
        <v/>
      </c>
      <c r="L672" s="15" t="str">
        <f>IF(OR(COUNTIF(クラス!$A$1:$A$1035, $B672),$B672="",COUNTIF(スキル一覧!$A$1:$A$3500, $B672)), "", "存在しない")</f>
        <v/>
      </c>
      <c r="M672" s="2" t="str">
        <f>IF(COUNTIF($B$1:$C671, $B672), "", "存在しない")</f>
        <v>存在しない</v>
      </c>
      <c r="N672" s="2" t="s">
        <v>1249</v>
      </c>
    </row>
    <row r="673" spans="10:14" x14ac:dyDescent="0.4">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1249</v>
      </c>
    </row>
    <row r="674" spans="10:14" x14ac:dyDescent="0.4">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1249</v>
      </c>
    </row>
    <row r="675" spans="10:14" x14ac:dyDescent="0.4">
      <c r="J675" s="6" t="str">
        <f>IFERROR(_xlfn.LET(_xlpm.v,
VLOOKUP($I675,効果!$A:$B,COLUMN(効果!B$1),FALSE),
IF(_xlpm.v=0,"",_xlpm.v)
),"")</f>
        <v/>
      </c>
      <c r="L675" s="15" t="str">
        <f>IF(OR(COUNTIF(クラス!$A$1:$A$1035, $B675),$B675="",COUNTIF(スキル一覧!$A$1:$A$3500, $B675)), "", "存在しない")</f>
        <v/>
      </c>
      <c r="M675" s="2" t="str">
        <f>IF(COUNTIF($B$1:$C674, $B675), "", "存在しない")</f>
        <v>存在しない</v>
      </c>
      <c r="N675" s="2" t="s">
        <v>1249</v>
      </c>
    </row>
    <row r="676" spans="10:14" x14ac:dyDescent="0.4">
      <c r="J676" s="6" t="str">
        <f>IFERROR(_xlfn.LET(_xlpm.v,
VLOOKUP($I676,効果!$A:$B,COLUMN(効果!B$1),FALSE),
IF(_xlpm.v=0,"",_xlpm.v)
),"")</f>
        <v/>
      </c>
      <c r="L676" s="15" t="str">
        <f>IF(OR(COUNTIF(クラス!$A$1:$A$1035, $B676),$B676="",COUNTIF(スキル一覧!$A$1:$A$3500, $B676)), "", "存在しない")</f>
        <v/>
      </c>
      <c r="M676" s="2" t="str">
        <f>IF(COUNTIF($B$1:$C675, $B676), "", "存在しない")</f>
        <v>存在しない</v>
      </c>
      <c r="N676" s="2" t="s">
        <v>1249</v>
      </c>
    </row>
    <row r="677" spans="10:14" x14ac:dyDescent="0.4">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1249</v>
      </c>
    </row>
    <row r="678" spans="10:14" x14ac:dyDescent="0.4">
      <c r="J678" s="6" t="str">
        <f>IFERROR(_xlfn.LET(_xlpm.v,
VLOOKUP($I678,効果!$A:$B,COLUMN(効果!B$1),FALSE),
IF(_xlpm.v=0,"",_xlpm.v)
),"")</f>
        <v/>
      </c>
      <c r="L678" s="15" t="str">
        <f>IF(OR(COUNTIF(クラス!$A$1:$A$1035, $B678),$B678="",COUNTIF(スキル一覧!$A$1:$A$3500, $B678)), "", "存在しない")</f>
        <v/>
      </c>
      <c r="M678" s="2" t="str">
        <f>IF(COUNTIF($B$1:$C677, $B678), "", "存在しない")</f>
        <v>存在しない</v>
      </c>
      <c r="N678" s="2" t="s">
        <v>1249</v>
      </c>
    </row>
    <row r="679" spans="10:14" x14ac:dyDescent="0.4">
      <c r="J679" s="6" t="str">
        <f>IFERROR(_xlfn.LET(_xlpm.v,
VLOOKUP($I679,効果!$A:$B,COLUMN(効果!B$1),FALSE),
IF(_xlpm.v=0,"",_xlpm.v)
),"")</f>
        <v/>
      </c>
      <c r="L679" s="15" t="str">
        <f>IF(OR(COUNTIF(クラス!$A$1:$A$1035, $B679),$B679="",COUNTIF(スキル一覧!$A$1:$A$3500, $B679)), "", "存在しない")</f>
        <v/>
      </c>
      <c r="M679" s="2" t="str">
        <f>IF(COUNTIF($B$1:$C678, $B679), "", "存在しない")</f>
        <v>存在しない</v>
      </c>
      <c r="N679" s="2" t="s">
        <v>1249</v>
      </c>
    </row>
    <row r="680" spans="10:14" x14ac:dyDescent="0.4">
      <c r="J680" s="6" t="str">
        <f>IFERROR(_xlfn.LET(_xlpm.v,
VLOOKUP($I680,効果!$A:$B,COLUMN(効果!B$1),FALSE),
IF(_xlpm.v=0,"",_xlpm.v)
),"")</f>
        <v/>
      </c>
      <c r="L680" s="15" t="str">
        <f>IF(OR(COUNTIF(クラス!$A$1:$A$1035, $B680),$B680="",COUNTIF(スキル一覧!$A$1:$A$3500, $B680)), "", "存在しない")</f>
        <v/>
      </c>
      <c r="M680" s="2" t="str">
        <f>IF(COUNTIF($B$1:$C679, $B680), "", "存在しない")</f>
        <v>存在しない</v>
      </c>
      <c r="N680" s="2" t="s">
        <v>1249</v>
      </c>
    </row>
    <row r="681" spans="10:14" x14ac:dyDescent="0.4">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1249</v>
      </c>
    </row>
    <row r="682" spans="10:14" x14ac:dyDescent="0.4">
      <c r="J682" s="6" t="str">
        <f>IFERROR(_xlfn.LET(_xlpm.v,
VLOOKUP($I682,効果!$A:$B,COLUMN(効果!B$1),FALSE),
IF(_xlpm.v=0,"",_xlpm.v)
),"")</f>
        <v/>
      </c>
      <c r="L682" s="15" t="str">
        <f>IF(OR(COUNTIF(クラス!$A$1:$A$1035, $B682),$B682="",COUNTIF(スキル一覧!$A$1:$A$3500, $B682)), "", "存在しない")</f>
        <v/>
      </c>
      <c r="M682" s="2" t="str">
        <f>IF(COUNTIF($B$1:$C681, $B682), "", "存在しない")</f>
        <v>存在しない</v>
      </c>
      <c r="N682" s="2" t="s">
        <v>1249</v>
      </c>
    </row>
    <row r="683" spans="10:14" x14ac:dyDescent="0.4">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1249</v>
      </c>
    </row>
    <row r="684" spans="10:14" x14ac:dyDescent="0.4">
      <c r="J684" s="6" t="str">
        <f>IFERROR(_xlfn.LET(_xlpm.v,
VLOOKUP($I684,効果!$A:$B,COLUMN(効果!B$1),FALSE),
IF(_xlpm.v=0,"",_xlpm.v)
),"")</f>
        <v/>
      </c>
      <c r="L684" s="15" t="str">
        <f>IF(OR(COUNTIF(クラス!$A$1:$A$1035, $B684),$B684="",COUNTIF(スキル一覧!$A$1:$A$3500, $B684)), "", "存在しない")</f>
        <v/>
      </c>
      <c r="M684" s="2" t="str">
        <f>IF(COUNTIF($B$1:$C683, $B684), "", "存在しない")</f>
        <v>存在しない</v>
      </c>
      <c r="N684" s="2" t="s">
        <v>1249</v>
      </c>
    </row>
    <row r="685" spans="10:14" x14ac:dyDescent="0.4">
      <c r="J685" s="6" t="str">
        <f>IFERROR(_xlfn.LET(_xlpm.v,
VLOOKUP($I685,効果!$A:$B,COLUMN(効果!B$1),FALSE),
IF(_xlpm.v=0,"",_xlpm.v)
),"")</f>
        <v/>
      </c>
      <c r="L685" s="15" t="str">
        <f>IF(OR(COUNTIF(クラス!$A$1:$A$1035, $B685),$B685="",COUNTIF(スキル一覧!$A$1:$A$3500, $B685)), "", "存在しない")</f>
        <v/>
      </c>
      <c r="M685" s="2" t="str">
        <f>IF(COUNTIF($B$1:$C684, $B685), "", "存在しない")</f>
        <v>存在しない</v>
      </c>
      <c r="N685" s="2" t="s">
        <v>1249</v>
      </c>
    </row>
    <row r="686" spans="10:14" x14ac:dyDescent="0.4">
      <c r="J686" s="6" t="str">
        <f>IFERROR(_xlfn.LET(_xlpm.v,
VLOOKUP($I686,効果!$A:$B,COLUMN(効果!B$1),FALSE),
IF(_xlpm.v=0,"",_xlpm.v)
),"")</f>
        <v/>
      </c>
      <c r="L686" s="15" t="str">
        <f>IF(OR(COUNTIF(クラス!$A$1:$A$1035, $B686),$B686="",COUNTIF(スキル一覧!$A$1:$A$3500, $B686)), "", "存在しない")</f>
        <v/>
      </c>
      <c r="M686" s="2" t="str">
        <f>IF(COUNTIF($B$1:$C685, $B686), "", "存在しない")</f>
        <v>存在しない</v>
      </c>
      <c r="N686" s="2" t="s">
        <v>1249</v>
      </c>
    </row>
    <row r="687" spans="10:14" x14ac:dyDescent="0.4">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1249</v>
      </c>
    </row>
    <row r="688" spans="10:14" x14ac:dyDescent="0.4">
      <c r="J688" s="6" t="str">
        <f>IFERROR(_xlfn.LET(_xlpm.v,
VLOOKUP($I688,効果!$A:$B,COLUMN(効果!B$1),FALSE),
IF(_xlpm.v=0,"",_xlpm.v)
),"")</f>
        <v/>
      </c>
      <c r="L688" s="15" t="str">
        <f>IF(OR(COUNTIF(クラス!$A$1:$A$1035, $B688),$B688="",COUNTIF(スキル一覧!$A$1:$A$3500, $B688)), "", "存在しない")</f>
        <v/>
      </c>
      <c r="M688" s="2" t="str">
        <f>IF(COUNTIF($B$1:$C687, $B688), "", "存在しない")</f>
        <v>存在しない</v>
      </c>
      <c r="N688" s="2" t="s">
        <v>1249</v>
      </c>
    </row>
    <row r="689" spans="10:14" x14ac:dyDescent="0.4">
      <c r="J689" s="6" t="str">
        <f>IFERROR(_xlfn.LET(_xlpm.v,
VLOOKUP($I689,効果!$A:$B,COLUMN(効果!B$1),FALSE),
IF(_xlpm.v=0,"",_xlpm.v)
),"")</f>
        <v/>
      </c>
      <c r="L689" s="15" t="str">
        <f>IF(OR(COUNTIF(クラス!$A$1:$A$1035, $B689),$B689="",COUNTIF(スキル一覧!$A$1:$A$3500, $B689)), "", "存在しない")</f>
        <v/>
      </c>
      <c r="M689" s="2" t="str">
        <f>IF(COUNTIF($B$1:$C688, $B689), "", "存在しない")</f>
        <v>存在しない</v>
      </c>
      <c r="N689" s="2" t="s">
        <v>1249</v>
      </c>
    </row>
    <row r="690" spans="10:14" x14ac:dyDescent="0.4">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1249</v>
      </c>
    </row>
    <row r="691" spans="10:14" x14ac:dyDescent="0.4">
      <c r="J691" s="6" t="str">
        <f>IFERROR(_xlfn.LET(_xlpm.v,
VLOOKUP($I691,効果!$A:$B,COLUMN(効果!B$1),FALSE),
IF(_xlpm.v=0,"",_xlpm.v)
),"")</f>
        <v/>
      </c>
      <c r="L691" s="15" t="str">
        <f>IF(OR(COUNTIF(クラス!$A$1:$A$1035, $B691),$B691="",COUNTIF(スキル一覧!$A$1:$A$3500, $B691)), "", "存在しない")</f>
        <v/>
      </c>
      <c r="M691" s="2" t="str">
        <f>IF(COUNTIF($B$1:$C690, $B691), "", "存在しない")</f>
        <v>存在しない</v>
      </c>
      <c r="N691" s="2" t="s">
        <v>1249</v>
      </c>
    </row>
    <row r="692" spans="10:14" x14ac:dyDescent="0.4">
      <c r="J692" s="6" t="str">
        <f>IFERROR(_xlfn.LET(_xlpm.v,
VLOOKUP($I692,効果!$A:$B,COLUMN(効果!B$1),FALSE),
IF(_xlpm.v=0,"",_xlpm.v)
),"")</f>
        <v/>
      </c>
      <c r="L692" s="15" t="str">
        <f>IF(OR(COUNTIF(クラス!$A$1:$A$1035, $B692),$B692="",COUNTIF(スキル一覧!$A$1:$A$3500, $B692)), "", "存在しない")</f>
        <v/>
      </c>
      <c r="M692" s="2" t="str">
        <f>IF(COUNTIF($B$1:$C691, $B692), "", "存在しない")</f>
        <v>存在しない</v>
      </c>
      <c r="N692" s="2" t="s">
        <v>1249</v>
      </c>
    </row>
    <row r="693" spans="10:14" x14ac:dyDescent="0.4">
      <c r="J693" s="6" t="str">
        <f>IFERROR(_xlfn.LET(_xlpm.v,
VLOOKUP($I693,効果!$A:$B,COLUMN(効果!B$1),FALSE),
IF(_xlpm.v=0,"",_xlpm.v)
),"")</f>
        <v/>
      </c>
      <c r="L693" s="15" t="str">
        <f>IF(OR(COUNTIF(クラス!$A$1:$A$1035, $B693),$B693="",COUNTIF(スキル一覧!$A$1:$A$3500, $B693)), "", "存在しない")</f>
        <v/>
      </c>
      <c r="M693" s="2" t="str">
        <f>IF(COUNTIF($B$1:$C692, $B693), "", "存在しない")</f>
        <v>存在しない</v>
      </c>
      <c r="N693" s="2" t="s">
        <v>1249</v>
      </c>
    </row>
    <row r="694" spans="10:14" x14ac:dyDescent="0.4">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1249</v>
      </c>
    </row>
    <row r="695" spans="10:14" x14ac:dyDescent="0.4">
      <c r="J695" s="6" t="str">
        <f>IFERROR(_xlfn.LET(_xlpm.v,
VLOOKUP($I695,効果!$A:$B,COLUMN(効果!B$1),FALSE),
IF(_xlpm.v=0,"",_xlpm.v)
),"")</f>
        <v/>
      </c>
      <c r="L695" s="15" t="str">
        <f>IF(OR(COUNTIF(クラス!$A$1:$A$1035, $B695),$B695="",COUNTIF(スキル一覧!$A$1:$A$3500, $B695)), "", "存在しない")</f>
        <v/>
      </c>
      <c r="M695" s="2" t="str">
        <f>IF(COUNTIF($B$1:$C694, $B695), "", "存在しない")</f>
        <v>存在しない</v>
      </c>
      <c r="N695" s="2" t="s">
        <v>1249</v>
      </c>
    </row>
    <row r="696" spans="10:14" x14ac:dyDescent="0.4">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1249</v>
      </c>
    </row>
    <row r="697" spans="10:14" x14ac:dyDescent="0.4">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1249</v>
      </c>
    </row>
    <row r="698" spans="10:14" x14ac:dyDescent="0.4">
      <c r="J698" s="6" t="str">
        <f>IFERROR(_xlfn.LET(_xlpm.v,
VLOOKUP($I698,効果!$A:$B,COLUMN(効果!B$1),FALSE),
IF(_xlpm.v=0,"",_xlpm.v)
),"")</f>
        <v/>
      </c>
      <c r="L698" s="15" t="str">
        <f>IF(OR(COUNTIF(クラス!$A$1:$A$1035, $B698),$B698="",COUNTIF(スキル一覧!$A$1:$A$3500, $B698)), "", "存在しない")</f>
        <v/>
      </c>
      <c r="M698" s="2" t="str">
        <f>IF(COUNTIF($B$1:$C697, $B698), "", "存在しない")</f>
        <v>存在しない</v>
      </c>
      <c r="N698" s="2" t="s">
        <v>1249</v>
      </c>
    </row>
    <row r="699" spans="10:14" x14ac:dyDescent="0.4">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1249</v>
      </c>
    </row>
    <row r="700" spans="10:14" x14ac:dyDescent="0.4">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1249</v>
      </c>
    </row>
    <row r="701" spans="10:14" x14ac:dyDescent="0.4">
      <c r="J701" s="6" t="str">
        <f>IFERROR(_xlfn.LET(_xlpm.v,
VLOOKUP($I701,効果!$A:$B,COLUMN(効果!B$1),FALSE),
IF(_xlpm.v=0,"",_xlpm.v)
),"")</f>
        <v/>
      </c>
      <c r="L701" s="15" t="str">
        <f>IF(OR(COUNTIF(クラス!$A$1:$A$1035, $B701),$B701="",COUNTIF(スキル一覧!$A$1:$A$3500, $B701)), "", "存在しない")</f>
        <v/>
      </c>
      <c r="M701" s="2" t="str">
        <f>IF(COUNTIF($B$1:$C700, $B701), "", "存在しない")</f>
        <v>存在しない</v>
      </c>
      <c r="N701" s="2" t="s">
        <v>1249</v>
      </c>
    </row>
    <row r="702" spans="10:14" x14ac:dyDescent="0.4">
      <c r="J702" s="6" t="str">
        <f>IFERROR(_xlfn.LET(_xlpm.v,
VLOOKUP($I702,効果!$A:$B,COLUMN(効果!B$1),FALSE),
IF(_xlpm.v=0,"",_xlpm.v)
),"")</f>
        <v/>
      </c>
      <c r="L702" s="15" t="str">
        <f>IF(OR(COUNTIF(クラス!$A$1:$A$1035, $B702),$B702="",COUNTIF(スキル一覧!$A$1:$A$3500, $B702)), "", "存在しない")</f>
        <v/>
      </c>
      <c r="M702" s="2" t="str">
        <f>IF(COUNTIF($B$1:$C701, $B702), "", "存在しない")</f>
        <v>存在しない</v>
      </c>
      <c r="N702" s="2" t="s">
        <v>1249</v>
      </c>
    </row>
    <row r="703" spans="10:14"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1249</v>
      </c>
    </row>
    <row r="704" spans="10:14"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1249</v>
      </c>
    </row>
    <row r="705" spans="10:14" x14ac:dyDescent="0.4">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1249</v>
      </c>
    </row>
    <row r="706" spans="10:14" x14ac:dyDescent="0.4">
      <c r="J706" s="6" t="str">
        <f>IFERROR(_xlfn.LET(_xlpm.v,
VLOOKUP($I706,効果!$A:$B,COLUMN(効果!B$1),FALSE),
IF(_xlpm.v=0,"",_xlpm.v)
),"")</f>
        <v/>
      </c>
      <c r="L706" s="15" t="str">
        <f>IF(OR(COUNTIF(クラス!$A$1:$A$1035, $B706),$B706="",COUNTIF(スキル一覧!$A$1:$A$3500, $B706)), "", "存在しない")</f>
        <v/>
      </c>
      <c r="M706" s="2" t="str">
        <f>IF(COUNTIF($B$1:$C705, $B706), "", "存在しない")</f>
        <v>存在しない</v>
      </c>
      <c r="N706" s="2" t="s">
        <v>1249</v>
      </c>
    </row>
    <row r="707" spans="10:14" x14ac:dyDescent="0.4">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1249</v>
      </c>
    </row>
    <row r="708" spans="10:14" x14ac:dyDescent="0.4">
      <c r="J708" s="6" t="str">
        <f>IFERROR(_xlfn.LET(_xlpm.v,
VLOOKUP($I708,効果!$A:$B,COLUMN(効果!B$1),FALSE),
IF(_xlpm.v=0,"",_xlpm.v)
),"")</f>
        <v/>
      </c>
    </row>
    <row r="709" spans="10:14" x14ac:dyDescent="0.4">
      <c r="J709" s="6" t="str">
        <f>IFERROR(_xlfn.LET(_xlpm.v,
VLOOKUP($I709,効果!$A:$B,COLUMN(効果!B$1),FALSE),
IF(_xlpm.v=0,"",_xlpm.v)
),"")</f>
        <v/>
      </c>
    </row>
    <row r="710" spans="10:14" x14ac:dyDescent="0.4">
      <c r="J710" s="6" t="str">
        <f>IFERROR(_xlfn.LET(_xlpm.v,
VLOOKUP($I710,効果!$A:$B,COLUMN(効果!B$1),FALSE),
IF(_xlpm.v=0,"",_xlpm.v)
),"")</f>
        <v/>
      </c>
    </row>
    <row r="711" spans="10:14" x14ac:dyDescent="0.4">
      <c r="J711" s="6" t="str">
        <f>IFERROR(_xlfn.LET(_xlpm.v,
VLOOKUP($I711,効果!$A:$B,COLUMN(効果!B$1),FALSE),
IF(_xlpm.v=0,"",_xlpm.v)
),"")</f>
        <v/>
      </c>
    </row>
    <row r="712" spans="10:14" x14ac:dyDescent="0.4">
      <c r="J712" s="6" t="str">
        <f>IFERROR(_xlfn.LET(_xlpm.v,
VLOOKUP($I712,効果!$A:$B,COLUMN(効果!B$1),FALSE),
IF(_xlpm.v=0,"",_xlpm.v)
),"")</f>
        <v/>
      </c>
    </row>
    <row r="713" spans="10:14" x14ac:dyDescent="0.4">
      <c r="J713" s="6" t="str">
        <f>IFERROR(_xlfn.LET(_xlpm.v,
VLOOKUP($I713,効果!$A:$B,COLUMN(効果!B$1),FALSE),
IF(_xlpm.v=0,"",_xlpm.v)
),"")</f>
        <v/>
      </c>
    </row>
    <row r="714" spans="10:14" x14ac:dyDescent="0.4">
      <c r="J714" s="6" t="str">
        <f>IFERROR(_xlfn.LET(_xlpm.v,
VLOOKUP($I714,効果!$A:$B,COLUMN(効果!B$1),FALSE),
IF(_xlpm.v=0,"",_xlpm.v)
),"")</f>
        <v/>
      </c>
    </row>
    <row r="715" spans="10:14" x14ac:dyDescent="0.4">
      <c r="J715" s="6" t="str">
        <f>IFERROR(_xlfn.LET(_xlpm.v,
VLOOKUP($I715,効果!$A:$B,COLUMN(効果!B$1),FALSE),
IF(_xlpm.v=0,"",_xlpm.v)
),"")</f>
        <v/>
      </c>
    </row>
    <row r="716" spans="10:14" x14ac:dyDescent="0.4">
      <c r="J716" s="6" t="str">
        <f>IFERROR(_xlfn.LET(_xlpm.v,
VLOOKUP($I716,効果!$A:$B,COLUMN(効果!B$1),FALSE),
IF(_xlpm.v=0,"",_xlpm.v)
),"")</f>
        <v/>
      </c>
    </row>
    <row r="717" spans="10:14" x14ac:dyDescent="0.4">
      <c r="J717" s="6" t="str">
        <f>IFERROR(_xlfn.LET(_xlpm.v,
VLOOKUP($I717,効果!$A:$B,COLUMN(効果!B$1),FALSE),
IF(_xlpm.v=0,"",_xlpm.v)
),"")</f>
        <v/>
      </c>
    </row>
    <row r="718" spans="10:14" x14ac:dyDescent="0.4">
      <c r="J718" s="6" t="str">
        <f>IFERROR(_xlfn.LET(_xlpm.v,
VLOOKUP($I718,効果!$A:$B,COLUMN(効果!B$1),FALSE),
IF(_xlpm.v=0,"",_xlpm.v)
),"")</f>
        <v/>
      </c>
    </row>
    <row r="719" spans="10:14" x14ac:dyDescent="0.4">
      <c r="J719" s="6" t="str">
        <f>IFERROR(_xlfn.LET(_xlpm.v,
VLOOKUP($I719,効果!$A:$B,COLUMN(効果!B$1),FALSE),
IF(_xlpm.v=0,"",_xlpm.v)
),"")</f>
        <v/>
      </c>
    </row>
    <row r="720" spans="10:14" x14ac:dyDescent="0.4">
      <c r="J720" s="6" t="str">
        <f>IFERROR(_xlfn.LET(_xlpm.v,
VLOOKUP($I720,効果!$A:$B,COLUMN(効果!B$1),FALSE),
IF(_xlpm.v=0,"",_xlpm.v)
),"")</f>
        <v/>
      </c>
    </row>
    <row r="721" spans="10:10" x14ac:dyDescent="0.4">
      <c r="J721" s="6" t="str">
        <f>IFERROR(_xlfn.LET(_xlpm.v,
VLOOKUP($I721,効果!$A:$B,COLUMN(効果!B$1),FALSE),
IF(_xlpm.v=0,"",_xlpm.v)
),"")</f>
        <v/>
      </c>
    </row>
    <row r="722" spans="10:10" x14ac:dyDescent="0.4">
      <c r="J722" s="6" t="str">
        <f>IFERROR(_xlfn.LET(_xlpm.v,
VLOOKUP($I722,効果!$A:$B,COLUMN(効果!B$1),FALSE),
IF(_xlpm.v=0,"",_xlpm.v)
),"")</f>
        <v/>
      </c>
    </row>
    <row r="723" spans="10:10" x14ac:dyDescent="0.4">
      <c r="J723" s="6" t="str">
        <f>IFERROR(_xlfn.LET(_xlpm.v,
VLOOKUP($I723,効果!$A:$B,COLUMN(効果!B$1),FALSE),
IF(_xlpm.v=0,"",_xlpm.v)
),"")</f>
        <v/>
      </c>
    </row>
    <row r="724" spans="10:10" x14ac:dyDescent="0.4">
      <c r="J724" s="6" t="str">
        <f>IFERROR(_xlfn.LET(_xlpm.v,
VLOOKUP($I724,効果!$A:$B,COLUMN(効果!B$1),FALSE),
IF(_xlpm.v=0,"",_xlpm.v)
),"")</f>
        <v/>
      </c>
    </row>
    <row r="725" spans="10:10" x14ac:dyDescent="0.4">
      <c r="J725" s="6" t="str">
        <f>IFERROR(_xlfn.LET(_xlpm.v,
VLOOKUP($I725,効果!$A:$B,COLUMN(効果!B$1),FALSE),
IF(_xlpm.v=0,"",_xlpm.v)
),"")</f>
        <v/>
      </c>
    </row>
    <row r="726" spans="10:10" x14ac:dyDescent="0.4">
      <c r="J726" s="6" t="str">
        <f>IFERROR(_xlfn.LET(_xlpm.v,
VLOOKUP($I726,効果!$A:$B,COLUMN(効果!B$1),FALSE),
IF(_xlpm.v=0,"",_xlpm.v)
),"")</f>
        <v/>
      </c>
    </row>
    <row r="727" spans="10:10" x14ac:dyDescent="0.4">
      <c r="J727" s="6" t="str">
        <f>IFERROR(_xlfn.LET(_xlpm.v,
VLOOKUP($I727,効果!$A:$B,COLUMN(効果!B$1),FALSE),
IF(_xlpm.v=0,"",_xlpm.v)
),"")</f>
        <v/>
      </c>
    </row>
    <row r="728" spans="10:10" x14ac:dyDescent="0.4">
      <c r="J728" s="6" t="str">
        <f>IFERROR(_xlfn.LET(_xlpm.v,
VLOOKUP($I728,効果!$A:$B,COLUMN(効果!B$1),FALSE),
IF(_xlpm.v=0,"",_xlpm.v)
),"")</f>
        <v/>
      </c>
    </row>
    <row r="729" spans="10:10" x14ac:dyDescent="0.4">
      <c r="J729" s="6" t="str">
        <f>IFERROR(_xlfn.LET(_xlpm.v,
VLOOKUP($I729,効果!$A:$B,COLUMN(効果!B$1),FALSE),
IF(_xlpm.v=0,"",_xlpm.v)
),"")</f>
        <v/>
      </c>
    </row>
    <row r="730" spans="10:10" x14ac:dyDescent="0.4">
      <c r="J730" s="6" t="str">
        <f>IFERROR(_xlfn.LET(_xlpm.v,
VLOOKUP($I730,効果!$A:$B,COLUMN(効果!B$1),FALSE),
IF(_xlpm.v=0,"",_xlpm.v)
),"")</f>
        <v/>
      </c>
    </row>
    <row r="731" spans="10:10" x14ac:dyDescent="0.4">
      <c r="J731" s="6" t="str">
        <f>IFERROR(_xlfn.LET(_xlpm.v,
VLOOKUP($I731,効果!$A:$B,COLUMN(効果!B$1),FALSE),
IF(_xlpm.v=0,"",_xlpm.v)
),"")</f>
        <v/>
      </c>
    </row>
    <row r="732" spans="10:10" x14ac:dyDescent="0.4">
      <c r="J732" s="6" t="str">
        <f>IFERROR(_xlfn.LET(_xlpm.v,
VLOOKUP($I732,効果!$A:$B,COLUMN(効果!B$1),FALSE),
IF(_xlpm.v=0,"",_xlpm.v)
),"")</f>
        <v/>
      </c>
    </row>
    <row r="733" spans="10:10" x14ac:dyDescent="0.4">
      <c r="J733" s="6" t="str">
        <f>IFERROR(_xlfn.LET(_xlpm.v,
VLOOKUP($I733,効果!$A:$B,COLUMN(効果!B$1),FALSE),
IF(_xlpm.v=0,"",_xlpm.v)
),"")</f>
        <v/>
      </c>
    </row>
    <row r="734" spans="10:10" x14ac:dyDescent="0.4">
      <c r="J734" s="6" t="str">
        <f>IFERROR(_xlfn.LET(_xlpm.v,
VLOOKUP($I734,効果!$A:$B,COLUMN(効果!B$1),FALSE),
IF(_xlpm.v=0,"",_xlpm.v)
),"")</f>
        <v/>
      </c>
    </row>
    <row r="735" spans="10:10" x14ac:dyDescent="0.4">
      <c r="J735" s="6" t="str">
        <f>IFERROR(_xlfn.LET(_xlpm.v,
VLOOKUP($I735,効果!$A:$B,COLUMN(効果!B$1),FALSE),
IF(_xlpm.v=0,"",_xlpm.v)
),"")</f>
        <v/>
      </c>
    </row>
    <row r="736" spans="10:10" x14ac:dyDescent="0.4">
      <c r="J736" s="6" t="str">
        <f>IFERROR(_xlfn.LET(_xlpm.v,
VLOOKUP($I736,効果!$A:$B,COLUMN(効果!B$1),FALSE),
IF(_xlpm.v=0,"",_xlpm.v)
),"")</f>
        <v/>
      </c>
    </row>
    <row r="737" spans="10:10" x14ac:dyDescent="0.4">
      <c r="J737" s="6" t="str">
        <f>IFERROR(_xlfn.LET(_xlpm.v,
VLOOKUP($I737,効果!$A:$B,COLUMN(効果!B$1),FALSE),
IF(_xlpm.v=0,"",_xlpm.v)
),"")</f>
        <v/>
      </c>
    </row>
    <row r="738" spans="10:10" x14ac:dyDescent="0.4">
      <c r="J738" s="6" t="str">
        <f>IFERROR(_xlfn.LET(_xlpm.v,
VLOOKUP($I738,効果!$A:$B,COLUMN(効果!B$1),FALSE),
IF(_xlpm.v=0,"",_xlpm.v)
),"")</f>
        <v/>
      </c>
    </row>
    <row r="739" spans="10:10" x14ac:dyDescent="0.4">
      <c r="J739" s="6" t="str">
        <f>IFERROR(_xlfn.LET(_xlpm.v,
VLOOKUP($I739,効果!$A:$B,COLUMN(効果!B$1),FALSE),
IF(_xlpm.v=0,"",_xlpm.v)
),"")</f>
        <v/>
      </c>
    </row>
  </sheetData>
  <autoFilter ref="A4:T707" xr:uid="{D4D7922A-73DC-4912-BBD4-1197EC7EDE86}"/>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I5:I708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I219"/>
  <sheetViews>
    <sheetView tabSelected="1" workbookViewId="0">
      <pane xSplit="5" ySplit="17" topLeftCell="F78" activePane="bottomRight" state="frozen"/>
      <selection pane="topRight" activeCell="F1" sqref="F1"/>
      <selection pane="bottomLeft" activeCell="A18" sqref="A18"/>
      <selection pane="bottomRight" activeCell="S88" sqref="S88:T93"/>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customWidth="1" outlineLevel="1"/>
    <col min="27" max="32" width="4.875" customWidth="1" outlineLevel="1"/>
    <col min="33" max="33" width="5" customWidth="1" outlineLevel="1"/>
    <col min="34" max="34" width="6.625" customWidth="1" outlineLevel="1"/>
    <col min="35" max="35" width="5.25" bestFit="1" customWidth="1"/>
    <col min="36" max="41" width="5.25" customWidth="1" outlineLevel="1"/>
    <col min="42" max="42" width="5.5" customWidth="1" outlineLevel="1"/>
    <col min="43" max="49" width="5.25" customWidth="1" outlineLevel="1"/>
    <col min="51" max="59" width="9" hidden="1" customWidth="1" outlineLevel="1"/>
    <col min="60" max="60" width="7.625" bestFit="1" customWidth="1" collapsed="1"/>
    <col min="61" max="61" width="7.625" customWidth="1"/>
    <col min="62" max="62" width="5.5" style="36" customWidth="1"/>
    <col min="63" max="63" width="7.625" customWidth="1" outlineLevel="1"/>
    <col min="64" max="64" width="6" style="36" customWidth="1" outlineLevel="1"/>
    <col min="65" max="65" width="7.625" customWidth="1" outlineLevel="1"/>
    <col min="66" max="66" width="6" style="36" customWidth="1" outlineLevel="1"/>
    <col min="67" max="67" width="7.625" customWidth="1" outlineLevel="1"/>
    <col min="68" max="68" width="6" style="36" customWidth="1" outlineLevel="1"/>
    <col min="72" max="73" width="5.5" customWidth="1" outlineLevel="1"/>
    <col min="74" max="74" width="4.5" customWidth="1" outlineLevel="1"/>
    <col min="75" max="77" width="3.625" customWidth="1" outlineLevel="1"/>
    <col min="78" max="78" width="8.25" customWidth="1" outlineLevel="1"/>
  </cols>
  <sheetData>
    <row r="1" spans="1:87" s="10" customFormat="1" ht="30" customHeight="1" thickBot="1" x14ac:dyDescent="0.25">
      <c r="A1" s="10" t="s">
        <v>7</v>
      </c>
      <c r="B1" s="10" t="s">
        <v>9</v>
      </c>
      <c r="C1" s="10" t="s">
        <v>28</v>
      </c>
      <c r="D1" s="10" t="s">
        <v>23</v>
      </c>
      <c r="E1" s="10" t="s">
        <v>931</v>
      </c>
      <c r="F1" s="22" t="s">
        <v>11</v>
      </c>
      <c r="G1" s="22" t="s">
        <v>1289</v>
      </c>
      <c r="H1" s="22" t="s">
        <v>1290</v>
      </c>
      <c r="I1" s="22" t="s">
        <v>13</v>
      </c>
      <c r="J1" s="22" t="s">
        <v>15</v>
      </c>
      <c r="K1" s="25" t="s">
        <v>17</v>
      </c>
      <c r="L1" s="22" t="s">
        <v>18</v>
      </c>
      <c r="M1" s="22" t="s">
        <v>20</v>
      </c>
      <c r="N1" s="22" t="s">
        <v>22</v>
      </c>
      <c r="O1" s="22" t="s">
        <v>29</v>
      </c>
      <c r="P1" s="20" t="s">
        <v>146</v>
      </c>
      <c r="Q1" s="20" t="s">
        <v>178</v>
      </c>
      <c r="R1" s="20" t="s">
        <v>707</v>
      </c>
      <c r="S1" s="20" t="s">
        <v>1283</v>
      </c>
      <c r="T1" s="20" t="s">
        <v>1284</v>
      </c>
      <c r="U1" s="20" t="s">
        <v>1285</v>
      </c>
      <c r="V1" s="20" t="s">
        <v>133</v>
      </c>
      <c r="W1" s="20" t="s">
        <v>134</v>
      </c>
      <c r="X1" s="20" t="s">
        <v>135</v>
      </c>
      <c r="Y1" s="20" t="s">
        <v>136</v>
      </c>
      <c r="Z1" s="20" t="s">
        <v>138</v>
      </c>
      <c r="AA1" s="20" t="s">
        <v>139</v>
      </c>
      <c r="AB1" s="20" t="s">
        <v>141</v>
      </c>
      <c r="AC1" s="20" t="s">
        <v>142</v>
      </c>
      <c r="AD1" s="20" t="s">
        <v>143</v>
      </c>
      <c r="AE1" s="20" t="s">
        <v>144</v>
      </c>
      <c r="AF1" s="20" t="s">
        <v>145</v>
      </c>
      <c r="AG1" s="20" t="s">
        <v>157</v>
      </c>
      <c r="AH1" s="20" t="s">
        <v>158</v>
      </c>
      <c r="AI1" s="26" t="s">
        <v>248</v>
      </c>
      <c r="AJ1" s="26" t="s">
        <v>1</v>
      </c>
      <c r="AK1" s="26" t="s">
        <v>2</v>
      </c>
      <c r="AL1" s="26" t="s">
        <v>106</v>
      </c>
      <c r="AM1" s="26" t="s">
        <v>105</v>
      </c>
      <c r="AN1" s="27" t="s">
        <v>4</v>
      </c>
      <c r="AO1" s="27" t="s">
        <v>3</v>
      </c>
      <c r="AP1" s="28" t="s">
        <v>227</v>
      </c>
      <c r="AQ1" s="28" t="s">
        <v>228</v>
      </c>
      <c r="AR1" s="28" t="s">
        <v>229</v>
      </c>
      <c r="AS1" s="28" t="s">
        <v>230</v>
      </c>
      <c r="AT1" s="29" t="s">
        <v>231</v>
      </c>
      <c r="AU1" s="29" t="s">
        <v>5</v>
      </c>
      <c r="AV1" s="29" t="s">
        <v>1044</v>
      </c>
      <c r="AW1" s="29" t="s">
        <v>6</v>
      </c>
      <c r="AX1" s="34" t="s">
        <v>256</v>
      </c>
      <c r="AY1" s="34" t="s">
        <v>257</v>
      </c>
      <c r="AZ1" s="34" t="s">
        <v>258</v>
      </c>
      <c r="BA1" s="34" t="s">
        <v>259</v>
      </c>
      <c r="BB1" s="34" t="s">
        <v>260</v>
      </c>
      <c r="BC1" s="34" t="s">
        <v>261</v>
      </c>
      <c r="BD1" s="34" t="s">
        <v>262</v>
      </c>
      <c r="BE1" s="34" t="s">
        <v>263</v>
      </c>
      <c r="BF1" s="34" t="s">
        <v>264</v>
      </c>
      <c r="BG1" s="34" t="s">
        <v>265</v>
      </c>
      <c r="BH1" s="10" t="s">
        <v>266</v>
      </c>
      <c r="BI1" s="10" t="s">
        <v>267</v>
      </c>
      <c r="BJ1" s="35" t="s">
        <v>268</v>
      </c>
      <c r="BK1" s="10" t="s">
        <v>269</v>
      </c>
      <c r="BL1" s="35" t="s">
        <v>270</v>
      </c>
      <c r="BM1" s="10" t="s">
        <v>271</v>
      </c>
      <c r="BN1" s="35" t="s">
        <v>272</v>
      </c>
      <c r="BO1" s="10" t="s">
        <v>273</v>
      </c>
      <c r="BP1" s="35" t="s">
        <v>274</v>
      </c>
      <c r="BQ1" s="10" t="s">
        <v>306</v>
      </c>
      <c r="BR1" s="10" t="s">
        <v>947</v>
      </c>
      <c r="BS1" s="10" t="s">
        <v>944</v>
      </c>
      <c r="BT1" s="53" t="s">
        <v>479</v>
      </c>
      <c r="BU1" s="53" t="s">
        <v>480</v>
      </c>
      <c r="BV1" s="53" t="s">
        <v>481</v>
      </c>
      <c r="BW1" s="53" t="s">
        <v>482</v>
      </c>
      <c r="BX1" s="10" t="s">
        <v>946</v>
      </c>
      <c r="BY1" s="10" t="s">
        <v>949</v>
      </c>
      <c r="CA1" s="10" t="s">
        <v>954</v>
      </c>
      <c r="CB1" s="10" t="s">
        <v>956</v>
      </c>
      <c r="CC1" s="10" t="s">
        <v>957</v>
      </c>
      <c r="CD1" s="10" t="s">
        <v>955</v>
      </c>
      <c r="CE1" s="10" t="s">
        <v>958</v>
      </c>
      <c r="CF1" s="10" t="s">
        <v>959</v>
      </c>
      <c r="CG1" s="10" t="s">
        <v>786</v>
      </c>
      <c r="CH1" s="10" t="s">
        <v>787</v>
      </c>
      <c r="CI1" s="10" t="s">
        <v>1036</v>
      </c>
    </row>
    <row r="2" spans="1:87"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81" t="s">
        <v>233</v>
      </c>
      <c r="AK2" s="81"/>
      <c r="AL2" s="81"/>
      <c r="AM2" s="81"/>
      <c r="AN2" s="81"/>
      <c r="AO2" s="81"/>
      <c r="AP2" s="81"/>
      <c r="AQ2" s="81"/>
      <c r="AR2" s="81"/>
      <c r="AS2" s="81"/>
      <c r="AT2" s="81"/>
      <c r="AU2" s="81"/>
      <c r="AV2" s="81"/>
      <c r="AW2" s="81"/>
      <c r="AX2" s="81"/>
      <c r="AY2" s="81"/>
      <c r="BJ2" s="35"/>
      <c r="BL2" s="35"/>
      <c r="BN2" s="35"/>
      <c r="BP2" s="35"/>
    </row>
    <row r="3" spans="1:87"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81" t="s">
        <v>234</v>
      </c>
      <c r="AK3" s="81"/>
      <c r="AL3" s="81"/>
      <c r="AM3" s="81"/>
      <c r="AN3" s="81"/>
      <c r="AO3" s="81"/>
      <c r="AP3" s="81"/>
      <c r="AQ3" s="81"/>
      <c r="AR3" s="81"/>
      <c r="AS3" s="81"/>
      <c r="AT3" s="81"/>
      <c r="AU3" s="81"/>
      <c r="AV3" s="81"/>
      <c r="AW3" s="81"/>
      <c r="AX3" s="81"/>
      <c r="AY3" s="81"/>
      <c r="BJ3" s="35"/>
      <c r="BL3" s="35"/>
      <c r="BN3" s="35"/>
      <c r="BP3" s="35"/>
    </row>
    <row r="4" spans="1:87"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81" t="s">
        <v>235</v>
      </c>
      <c r="AK4" s="81"/>
      <c r="AL4" s="81"/>
      <c r="AM4" s="81"/>
      <c r="AN4" s="81"/>
      <c r="AO4" s="81"/>
      <c r="AP4" s="81"/>
      <c r="AQ4" s="81"/>
      <c r="AR4" s="81"/>
      <c r="AS4" s="81"/>
      <c r="AT4" s="81"/>
      <c r="AU4" s="81"/>
      <c r="AV4" s="81"/>
      <c r="AW4" s="81"/>
      <c r="AX4" s="81"/>
      <c r="AY4" s="81"/>
      <c r="BJ4" s="35"/>
      <c r="BL4" s="35"/>
      <c r="BN4" s="35"/>
      <c r="BP4" s="35"/>
    </row>
    <row r="5" spans="1:87"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106</v>
      </c>
      <c r="AJ5" s="81" t="s">
        <v>236</v>
      </c>
      <c r="AK5" s="81"/>
      <c r="AL5" s="81"/>
      <c r="AM5" s="81"/>
      <c r="AN5" s="81"/>
      <c r="AO5" s="81"/>
      <c r="AP5" s="81"/>
      <c r="AQ5" s="81"/>
      <c r="AR5" s="81"/>
      <c r="AS5" s="81"/>
      <c r="AT5" s="81"/>
      <c r="AU5" s="81"/>
      <c r="AV5" s="81"/>
      <c r="AW5" s="81"/>
      <c r="AX5" s="81"/>
      <c r="AY5" s="81"/>
      <c r="BJ5" s="35"/>
      <c r="BL5" s="35"/>
      <c r="BN5" s="35"/>
      <c r="BP5" s="35"/>
    </row>
    <row r="6" spans="1:87"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105</v>
      </c>
      <c r="AJ6" s="81" t="s">
        <v>237</v>
      </c>
      <c r="AK6" s="81"/>
      <c r="AL6" s="81"/>
      <c r="AM6" s="81"/>
      <c r="AN6" s="81"/>
      <c r="AO6" s="81"/>
      <c r="AP6" s="81"/>
      <c r="AQ6" s="81"/>
      <c r="AR6" s="81"/>
      <c r="AS6" s="81"/>
      <c r="AT6" s="81"/>
      <c r="AU6" s="81"/>
      <c r="AV6" s="81"/>
      <c r="AW6" s="81"/>
      <c r="AX6" s="81"/>
      <c r="AY6" s="81"/>
      <c r="BJ6" s="35"/>
      <c r="BL6" s="35"/>
      <c r="BN6" s="35"/>
      <c r="BP6" s="35"/>
    </row>
    <row r="7" spans="1:87"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80" t="s">
        <v>238</v>
      </c>
      <c r="AK7" s="80"/>
      <c r="AL7" s="80"/>
      <c r="AM7" s="80"/>
      <c r="AN7" s="80"/>
      <c r="AO7" s="80"/>
      <c r="AP7" s="80"/>
      <c r="AQ7" s="80"/>
      <c r="AR7" s="80"/>
      <c r="AS7" s="80"/>
      <c r="AT7" s="80"/>
      <c r="AU7" s="80"/>
      <c r="AV7" s="80"/>
      <c r="AW7" s="80"/>
      <c r="AX7" s="80"/>
      <c r="AY7" s="80"/>
      <c r="BJ7" s="35"/>
      <c r="BL7" s="35"/>
      <c r="BN7" s="35"/>
      <c r="BP7" s="35"/>
    </row>
    <row r="8" spans="1:87"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80" t="s">
        <v>239</v>
      </c>
      <c r="AK8" s="80"/>
      <c r="AL8" s="80"/>
      <c r="AM8" s="80"/>
      <c r="AN8" s="80"/>
      <c r="AO8" s="80"/>
      <c r="AP8" s="80"/>
      <c r="AQ8" s="80"/>
      <c r="AR8" s="80"/>
      <c r="AS8" s="80"/>
      <c r="AT8" s="80"/>
      <c r="AU8" s="80"/>
      <c r="AV8" s="80"/>
      <c r="AW8" s="80"/>
      <c r="AX8" s="80"/>
      <c r="AY8" s="80"/>
      <c r="BJ8" s="35"/>
      <c r="BL8" s="35"/>
      <c r="BN8" s="35"/>
      <c r="BP8" s="35"/>
    </row>
    <row r="9" spans="1:87"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227</v>
      </c>
      <c r="AJ9" s="83" t="s">
        <v>240</v>
      </c>
      <c r="AK9" s="83"/>
      <c r="AL9" s="83"/>
      <c r="AM9" s="83"/>
      <c r="AN9" s="83"/>
      <c r="AO9" s="83"/>
      <c r="AP9" s="83"/>
      <c r="AQ9" s="83"/>
      <c r="AR9" s="83"/>
      <c r="AS9" s="83"/>
      <c r="AT9" s="83"/>
      <c r="AU9" s="83"/>
      <c r="AV9" s="83"/>
      <c r="AW9" s="83"/>
      <c r="AX9" s="83"/>
      <c r="AY9" s="83"/>
      <c r="BJ9" s="35"/>
      <c r="BL9" s="35"/>
      <c r="BN9" s="35"/>
      <c r="BP9" s="35"/>
    </row>
    <row r="10" spans="1:87"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228</v>
      </c>
      <c r="AJ10" s="83" t="s">
        <v>241</v>
      </c>
      <c r="AK10" s="83"/>
      <c r="AL10" s="83"/>
      <c r="AM10" s="83"/>
      <c r="AN10" s="83"/>
      <c r="AO10" s="83"/>
      <c r="AP10" s="83"/>
      <c r="AQ10" s="83"/>
      <c r="AR10" s="83"/>
      <c r="AS10" s="83"/>
      <c r="AT10" s="83"/>
      <c r="AU10" s="83"/>
      <c r="AV10" s="83"/>
      <c r="AW10" s="83"/>
      <c r="AX10" s="83"/>
      <c r="AY10" s="83"/>
      <c r="BJ10" s="35"/>
      <c r="BL10" s="35"/>
      <c r="BN10" s="35"/>
      <c r="BP10" s="35"/>
    </row>
    <row r="11" spans="1:87"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229</v>
      </c>
      <c r="AJ11" s="83" t="s">
        <v>242</v>
      </c>
      <c r="AK11" s="83"/>
      <c r="AL11" s="83"/>
      <c r="AM11" s="83"/>
      <c r="AN11" s="83"/>
      <c r="AO11" s="83"/>
      <c r="AP11" s="83"/>
      <c r="AQ11" s="83"/>
      <c r="AR11" s="83"/>
      <c r="AS11" s="83"/>
      <c r="AT11" s="83"/>
      <c r="AU11" s="83"/>
      <c r="AV11" s="83"/>
      <c r="AW11" s="83"/>
      <c r="AX11" s="83"/>
      <c r="AY11" s="83"/>
      <c r="BJ11" s="35"/>
      <c r="BL11" s="35"/>
      <c r="BN11" s="35"/>
      <c r="BP11" s="35"/>
    </row>
    <row r="12" spans="1:87"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230</v>
      </c>
      <c r="AJ12" s="83" t="s">
        <v>243</v>
      </c>
      <c r="AK12" s="83"/>
      <c r="AL12" s="83"/>
      <c r="AM12" s="83"/>
      <c r="AN12" s="83"/>
      <c r="AO12" s="83"/>
      <c r="AP12" s="83"/>
      <c r="AQ12" s="83"/>
      <c r="AR12" s="83"/>
      <c r="AS12" s="83"/>
      <c r="AT12" s="83"/>
      <c r="AU12" s="83"/>
      <c r="AV12" s="83"/>
      <c r="AW12" s="83"/>
      <c r="AX12" s="83"/>
      <c r="AY12" s="83"/>
      <c r="BJ12" s="35"/>
      <c r="BL12" s="35"/>
      <c r="BN12" s="35"/>
      <c r="BP12" s="35"/>
    </row>
    <row r="13" spans="1:87"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231</v>
      </c>
      <c r="AJ13" s="82" t="s">
        <v>244</v>
      </c>
      <c r="AK13" s="82"/>
      <c r="AL13" s="82"/>
      <c r="AM13" s="82"/>
      <c r="AN13" s="82"/>
      <c r="AO13" s="82"/>
      <c r="AP13" s="82"/>
      <c r="AQ13" s="82"/>
      <c r="AR13" s="82"/>
      <c r="AS13" s="82"/>
      <c r="AT13" s="82"/>
      <c r="AU13" s="82"/>
      <c r="AV13" s="82"/>
      <c r="AW13" s="82"/>
      <c r="AX13" s="82"/>
      <c r="AY13" s="82"/>
      <c r="BJ13" s="35"/>
      <c r="BL13" s="35"/>
      <c r="BN13" s="35"/>
      <c r="BP13" s="35"/>
    </row>
    <row r="14" spans="1:87"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82" t="s">
        <v>245</v>
      </c>
      <c r="AK14" s="82"/>
      <c r="AL14" s="82"/>
      <c r="AM14" s="82"/>
      <c r="AN14" s="82"/>
      <c r="AO14" s="82"/>
      <c r="AP14" s="82"/>
      <c r="AQ14" s="82"/>
      <c r="AR14" s="82"/>
      <c r="AS14" s="82"/>
      <c r="AT14" s="82"/>
      <c r="AU14" s="82"/>
      <c r="AV14" s="82"/>
      <c r="AW14" s="82"/>
      <c r="AX14" s="82"/>
      <c r="AY14" s="82"/>
      <c r="BJ14" s="35"/>
      <c r="BL14" s="35"/>
      <c r="BN14" s="35"/>
      <c r="BP14" s="35"/>
    </row>
    <row r="15" spans="1:87"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1044</v>
      </c>
      <c r="AJ15" s="82" t="s">
        <v>246</v>
      </c>
      <c r="AK15" s="82"/>
      <c r="AL15" s="82"/>
      <c r="AM15" s="82"/>
      <c r="AN15" s="82"/>
      <c r="AO15" s="82"/>
      <c r="AP15" s="82"/>
      <c r="AQ15" s="82"/>
      <c r="AR15" s="82"/>
      <c r="AS15" s="82"/>
      <c r="AT15" s="82"/>
      <c r="AU15" s="82"/>
      <c r="AV15" s="82"/>
      <c r="AW15" s="82"/>
      <c r="AX15" s="82"/>
      <c r="AY15" s="82"/>
      <c r="BJ15" s="35"/>
      <c r="BL15" s="35"/>
      <c r="BN15" s="35"/>
      <c r="BP15" s="35"/>
    </row>
    <row r="16" spans="1:87"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82" t="s">
        <v>247</v>
      </c>
      <c r="AK16" s="82"/>
      <c r="AL16" s="82"/>
      <c r="AM16" s="82"/>
      <c r="AN16" s="82"/>
      <c r="AO16" s="82"/>
      <c r="AP16" s="82"/>
      <c r="AQ16" s="82"/>
      <c r="AR16" s="82"/>
      <c r="AS16" s="82"/>
      <c r="AT16" s="82"/>
      <c r="AU16" s="82"/>
      <c r="AV16" s="82"/>
      <c r="AW16" s="82"/>
      <c r="AX16" s="82"/>
      <c r="AY16" s="82"/>
      <c r="BJ16" s="35"/>
      <c r="BL16" s="35"/>
      <c r="BN16" s="35"/>
      <c r="BP16" s="35"/>
    </row>
    <row r="17" spans="1:87" collapsed="1" x14ac:dyDescent="0.4">
      <c r="BS17" s="3" t="s">
        <v>945</v>
      </c>
      <c r="BT17" s="53" t="s">
        <v>479</v>
      </c>
      <c r="BU17" s="53" t="s">
        <v>480</v>
      </c>
      <c r="BV17" s="53" t="s">
        <v>481</v>
      </c>
      <c r="BW17" s="53" t="s">
        <v>482</v>
      </c>
    </row>
    <row r="18" spans="1:87"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t="str">
        <f>IF($A18="","", INDEX(CS!$B$1:$B$12828,MATCH($A18,CS!$B:$B,0)+COLUMN(A$1),1))</f>
        <v>エルフ</v>
      </c>
      <c r="AY18" t="str">
        <f>IF($A18="","", INDEX(CS!$B$1:$B$12828,MATCH($A18,CS!$B:$B,0)+COLUMN(B$1),1))</f>
        <v>ドワーフ</v>
      </c>
      <c r="AZ18">
        <f>IF($A18="","", INDEX(CS!$B$1:$B$12828,MATCH($A18,CS!$B:$B,0)+COLUMN(C$1),1))</f>
        <v>0</v>
      </c>
      <c r="BA18" t="str">
        <f>IF($A18="","", INDEX(CS!$B$1:$B$12828,MATCH($A18,CS!$B:$B,0)+COLUMN(D$1),1))</f>
        <v>ビーストマン</v>
      </c>
      <c r="BB18">
        <f>IF($A18="","", INDEX(CS!$B$1:$B$12828,MATCH($A18,CS!$B:$B,0)+COLUMN(E$1),1))</f>
        <v>0</v>
      </c>
      <c r="BC18">
        <f>IF($A18="","", INDEX(CS!$B$1:$B$12828,MATCH($A18,CS!$B:$B,0)+COLUMN(F$1),1))</f>
        <v>0</v>
      </c>
      <c r="BD18">
        <f>IF($A18="","", INDEX(CS!$B$1:$B$12828,MATCH($A18,CS!$B:$B,0)+COLUMN(I$1),1))</f>
        <v>0</v>
      </c>
      <c r="BE18">
        <f>IF($A18="","", INDEX(CS!$B$1:$B$12828,MATCH($A18,CS!$B:$B,0)+COLUMN(J$1),1))</f>
        <v>0</v>
      </c>
      <c r="BF18">
        <f>IF($A18="","", INDEX(CS!$B$1:$B$12828,MATCH($A18,CS!$B:$B,0)+COLUMN(K$1),1))</f>
        <v>0</v>
      </c>
      <c r="BG18">
        <f>IF($A18="","", INDEX(CS!$B$1:$B$12828,MATCH($A18,CS!$B:$B,0)+COLUMN(L$1),1))</f>
        <v>0</v>
      </c>
      <c r="BR18" t="s">
        <v>948</v>
      </c>
      <c r="BS18" s="53">
        <v>100</v>
      </c>
      <c r="BT18" s="52">
        <v>40</v>
      </c>
      <c r="BU18" s="52">
        <v>30</v>
      </c>
      <c r="BV18" s="52">
        <v>20</v>
      </c>
      <c r="BW18" s="52">
        <v>10</v>
      </c>
      <c r="CI18" t="s">
        <v>1037</v>
      </c>
    </row>
    <row r="19" spans="1:87"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t="str">
        <f>IF($A19="","", INDEX(CS!$B$1:$B$12828,MATCH($A19,CS!$B:$B,0)+COLUMN(A$1),1))</f>
        <v>ドワーフ</v>
      </c>
      <c r="AY19">
        <f>IF($A19="","", INDEX(CS!$B$1:$B$12828,MATCH($A19,CS!$B:$B,0)+COLUMN(B$1),1))</f>
        <v>0</v>
      </c>
      <c r="AZ19" t="str">
        <f>IF($A19="","", INDEX(CS!$B$1:$B$12828,MATCH($A19,CS!$B:$B,0)+COLUMN(C$1),1))</f>
        <v>ビーストマン</v>
      </c>
      <c r="BA19">
        <f>IF($A19="","", INDEX(CS!$B$1:$B$12828,MATCH($A19,CS!$B:$B,0)+COLUMN(D$1),1))</f>
        <v>0</v>
      </c>
      <c r="BB19">
        <f>IF($A19="","", INDEX(CS!$B$1:$B$12828,MATCH($A19,CS!$B:$B,0)+COLUMN(E$1),1))</f>
        <v>0</v>
      </c>
      <c r="BC19">
        <f>IF($A19="","", INDEX(CS!$B$1:$B$12828,MATCH($A19,CS!$B:$B,0)+COLUMN(F$1),1))</f>
        <v>0</v>
      </c>
      <c r="BD19">
        <f>IF($A19="","", INDEX(CS!$B$1:$B$12828,MATCH($A19,CS!$B:$B,0)+COLUMN(I$1),1))</f>
        <v>0</v>
      </c>
      <c r="BE19">
        <f>IF($A19="","", INDEX(CS!$B$1:$B$12828,MATCH($A19,CS!$B:$B,0)+COLUMN(J$1),1))</f>
        <v>0</v>
      </c>
      <c r="BF19">
        <f>IF($A19="","", INDEX(CS!$B$1:$B$12828,MATCH($A19,CS!$B:$B,0)+COLUMN(K$1),1))</f>
        <v>0</v>
      </c>
      <c r="BG19">
        <f>IF($A19="","", INDEX(CS!$B$1:$B$12828,MATCH($A19,CS!$B:$B,0)+COLUMN(L$1),1))</f>
        <v>0</v>
      </c>
      <c r="BR19" t="s">
        <v>948</v>
      </c>
      <c r="BS19" s="53">
        <v>100</v>
      </c>
      <c r="BT19" s="52">
        <v>20</v>
      </c>
      <c r="BU19" s="52">
        <v>50</v>
      </c>
      <c r="BV19" s="52">
        <v>10</v>
      </c>
      <c r="BW19" s="52">
        <v>20</v>
      </c>
      <c r="CI19" t="s">
        <v>920</v>
      </c>
    </row>
    <row r="20" spans="1:87"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INDEX(CS!$B$1:$B$12828,MATCH($A20,CS!$B:$B,0)+COLUMN(A$1),1))</f>
        <v>0</v>
      </c>
      <c r="AY20" t="str">
        <f>IF($A20="","", INDEX(CS!$B$1:$B$12828,MATCH($A20,CS!$B:$B,0)+COLUMN(B$1),1))</f>
        <v>ビーストマン</v>
      </c>
      <c r="AZ20">
        <f>IF($A20="","", INDEX(CS!$B$1:$B$12828,MATCH($A20,CS!$B:$B,0)+COLUMN(C$1),1))</f>
        <v>0</v>
      </c>
      <c r="BA20">
        <f>IF($A20="","", INDEX(CS!$B$1:$B$12828,MATCH($A20,CS!$B:$B,0)+COLUMN(D$1),1))</f>
        <v>0</v>
      </c>
      <c r="BB20">
        <f>IF($A20="","", INDEX(CS!$B$1:$B$12828,MATCH($A20,CS!$B:$B,0)+COLUMN(E$1),1))</f>
        <v>0</v>
      </c>
      <c r="BC20">
        <f>IF($A20="","", INDEX(CS!$B$1:$B$12828,MATCH($A20,CS!$B:$B,0)+COLUMN(F$1),1))</f>
        <v>0</v>
      </c>
      <c r="BD20">
        <f>IF($A20="","", INDEX(CS!$B$1:$B$12828,MATCH($A20,CS!$B:$B,0)+COLUMN(I$1),1))</f>
        <v>0</v>
      </c>
      <c r="BE20">
        <f>IF($A20="","", INDEX(CS!$B$1:$B$12828,MATCH($A20,CS!$B:$B,0)+COLUMN(J$1),1))</f>
        <v>0</v>
      </c>
      <c r="BF20">
        <f>IF($A20="","", INDEX(CS!$B$1:$B$12828,MATCH($A20,CS!$B:$B,0)+COLUMN(K$1),1))</f>
        <v>0</v>
      </c>
      <c r="BG20">
        <f>IF($A20="","", INDEX(CS!$B$1:$B$12828,MATCH($A20,CS!$B:$B,0)+COLUMN(L$1),1))</f>
        <v>0</v>
      </c>
      <c r="BR20" t="s">
        <v>948</v>
      </c>
      <c r="BS20" s="53">
        <v>100</v>
      </c>
      <c r="BT20" s="52">
        <v>30</v>
      </c>
      <c r="BU20" s="52">
        <v>20</v>
      </c>
      <c r="BV20" s="52">
        <v>40</v>
      </c>
      <c r="BW20" s="52">
        <v>10</v>
      </c>
      <c r="CI20" t="s">
        <v>1038</v>
      </c>
    </row>
    <row r="21" spans="1:87" outlineLevel="1" x14ac:dyDescent="0.4">
      <c r="D21" t="str">
        <f t="shared" si="0"/>
        <v>0/0/0</v>
      </c>
      <c r="AX21" t="str">
        <f>IF($A21="","", INDEX(CS!$B$1:$B$12828,MATCH($A21,CS!$B:$B,0)+COLUMN(A$1),1))</f>
        <v/>
      </c>
      <c r="AY21" t="str">
        <f>IF($A21="","", INDEX(CS!$B$1:$B$12828,MATCH($A21,CS!$B:$B,0)+COLUMN(B$1),1))</f>
        <v/>
      </c>
      <c r="AZ21" t="str">
        <f>IF($A21="","", INDEX(CS!$B$1:$B$12828,MATCH($A21,CS!$B:$B,0)+COLUMN(C$1),1))</f>
        <v/>
      </c>
      <c r="BA21" t="str">
        <f>IF($A21="","", INDEX(CS!$B$1:$B$12828,MATCH($A21,CS!$B:$B,0)+COLUMN(D$1),1))</f>
        <v/>
      </c>
      <c r="BB21" t="str">
        <f>IF($A21="","", INDEX(CS!$B$1:$B$12828,MATCH($A21,CS!$B:$B,0)+COLUMN(E$1),1))</f>
        <v/>
      </c>
      <c r="BC21" t="str">
        <f>IF($A21="","", INDEX(CS!$B$1:$B$12828,MATCH($A21,CS!$B:$B,0)+COLUMN(F$1),1))</f>
        <v/>
      </c>
      <c r="BD21" t="str">
        <f>IF($A21="","", INDEX(CS!$B$1:$B$12828,MATCH($A21,CS!$B:$B,0)+COLUMN(I$1),1))</f>
        <v/>
      </c>
      <c r="BE21" t="str">
        <f>IF($A21="","", INDEX(CS!$B$1:$B$12828,MATCH($A21,CS!$B:$B,0)+COLUMN(J$1),1))</f>
        <v/>
      </c>
      <c r="BF21" t="str">
        <f>IF($A21="","", INDEX(CS!$B$1:$B$12828,MATCH($A21,CS!$B:$B,0)+COLUMN(K$1),1))</f>
        <v/>
      </c>
      <c r="BG21" t="str">
        <f>IF($A21="","", INDEX(CS!$B$1:$B$12828,MATCH($A21,CS!$B:$B,0)+COLUMN(L$1),1))</f>
        <v/>
      </c>
      <c r="BS21" s="53"/>
      <c r="BT21" s="52"/>
      <c r="BU21" s="52"/>
      <c r="BV21" s="52"/>
      <c r="BW21" s="52"/>
    </row>
    <row r="22" spans="1:87"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INDEX(CS!$B$1:$B$12828,MATCH($A22,CS!$B:$B,0)+COLUMN(A$1),1))</f>
        <v>0</v>
      </c>
      <c r="AY22">
        <f>IF($A22="","", INDEX(CS!$B$1:$B$12828,MATCH($A22,CS!$B:$B,0)+COLUMN(B$1),1))</f>
        <v>0</v>
      </c>
      <c r="AZ22">
        <f>IF($A22="","", INDEX(CS!$B$1:$B$12828,MATCH($A22,CS!$B:$B,0)+COLUMN(C$1),1))</f>
        <v>0</v>
      </c>
      <c r="BA22">
        <f>IF($A22="","", INDEX(CS!$B$1:$B$12828,MATCH($A22,CS!$B:$B,0)+COLUMN(D$1),1))</f>
        <v>0</v>
      </c>
      <c r="BB22">
        <f>IF($A22="","", INDEX(CS!$B$1:$B$12828,MATCH($A22,CS!$B:$B,0)+COLUMN(E$1),1))</f>
        <v>0</v>
      </c>
      <c r="BC22">
        <f>IF($A22="","", INDEX(CS!$B$1:$B$12828,MATCH($A22,CS!$B:$B,0)+COLUMN(F$1),1))</f>
        <v>0</v>
      </c>
      <c r="BD22">
        <f>IF($A22="","", INDEX(CS!$B$1:$B$12828,MATCH($A22,CS!$B:$B,0)+COLUMN(I$1),1))</f>
        <v>0</v>
      </c>
      <c r="BE22">
        <f>IF($A22="","", INDEX(CS!$B$1:$B$12828,MATCH($A22,CS!$B:$B,0)+COLUMN(J$1),1))</f>
        <v>0</v>
      </c>
      <c r="BF22">
        <f>IF($A22="","", INDEX(CS!$B$1:$B$12828,MATCH($A22,CS!$B:$B,0)+COLUMN(K$1),1))</f>
        <v>0</v>
      </c>
      <c r="BG22">
        <f>IF($A22="","", INDEX(CS!$B$1:$B$12828,MATCH($A22,CS!$B:$B,0)+COLUMN(L$1),1))</f>
        <v>0</v>
      </c>
      <c r="BR22" t="s">
        <v>948</v>
      </c>
      <c r="BS22" s="53">
        <v>110</v>
      </c>
      <c r="BT22" s="52">
        <v>20</v>
      </c>
      <c r="BU22" s="52">
        <v>20</v>
      </c>
      <c r="BV22" s="52">
        <v>50</v>
      </c>
      <c r="BW22" s="52">
        <v>20</v>
      </c>
      <c r="CI22" t="s">
        <v>922</v>
      </c>
    </row>
    <row r="23" spans="1:87"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INDEX(CS!$B$1:$B$12828,MATCH($A23,CS!$B:$B,0)+COLUMN(A$1),1))</f>
        <v>0</v>
      </c>
      <c r="AY23">
        <f>IF($A23="","", INDEX(CS!$B$1:$B$12828,MATCH($A23,CS!$B:$B,0)+COLUMN(B$1),1))</f>
        <v>0</v>
      </c>
      <c r="AZ23">
        <f>IF($A23="","", INDEX(CS!$B$1:$B$12828,MATCH($A23,CS!$B:$B,0)+COLUMN(C$1),1))</f>
        <v>0</v>
      </c>
      <c r="BA23">
        <f>IF($A23="","", INDEX(CS!$B$1:$B$12828,MATCH($A23,CS!$B:$B,0)+COLUMN(D$1),1))</f>
        <v>0</v>
      </c>
      <c r="BB23">
        <f>IF($A23="","", INDEX(CS!$B$1:$B$12828,MATCH($A23,CS!$B:$B,0)+COLUMN(E$1),1))</f>
        <v>0</v>
      </c>
      <c r="BC23">
        <f>IF($A23="","", INDEX(CS!$B$1:$B$12828,MATCH($A23,CS!$B:$B,0)+COLUMN(F$1),1))</f>
        <v>0</v>
      </c>
      <c r="BD23">
        <f>IF($A23="","", INDEX(CS!$B$1:$B$12828,MATCH($A23,CS!$B:$B,0)+COLUMN(I$1),1))</f>
        <v>0</v>
      </c>
      <c r="BE23">
        <f>IF($A23="","", INDEX(CS!$B$1:$B$12828,MATCH($A23,CS!$B:$B,0)+COLUMN(J$1),1))</f>
        <v>0</v>
      </c>
      <c r="BF23">
        <f>IF($A23="","", INDEX(CS!$B$1:$B$12828,MATCH($A23,CS!$B:$B,0)+COLUMN(K$1),1))</f>
        <v>0</v>
      </c>
      <c r="BG23">
        <f>IF($A23="","", INDEX(CS!$B$1:$B$12828,MATCH($A23,CS!$B:$B,0)+COLUMN(L$1),1))</f>
        <v>0</v>
      </c>
      <c r="BR23" t="s">
        <v>948</v>
      </c>
      <c r="BS23" s="53">
        <v>110</v>
      </c>
      <c r="BT23" s="52">
        <v>15</v>
      </c>
      <c r="BU23" s="52">
        <v>10</v>
      </c>
      <c r="BV23" s="52">
        <v>70</v>
      </c>
      <c r="BW23" s="52">
        <v>15</v>
      </c>
      <c r="CI23" t="s">
        <v>923</v>
      </c>
    </row>
    <row r="24" spans="1:87"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INDEX(CS!$B$1:$B$12828,MATCH($A24,CS!$B:$B,0)+COLUMN(A$1),1))</f>
        <v>0</v>
      </c>
      <c r="AY24">
        <f>IF($A24="","", INDEX(CS!$B$1:$B$12828,MATCH($A24,CS!$B:$B,0)+COLUMN(B$1),1))</f>
        <v>0</v>
      </c>
      <c r="AZ24">
        <f>IF($A24="","", INDEX(CS!$B$1:$B$12828,MATCH($A24,CS!$B:$B,0)+COLUMN(C$1),1))</f>
        <v>0</v>
      </c>
      <c r="BA24">
        <f>IF($A24="","", INDEX(CS!$B$1:$B$12828,MATCH($A24,CS!$B:$B,0)+COLUMN(D$1),1))</f>
        <v>0</v>
      </c>
      <c r="BB24">
        <f>IF($A24="","", INDEX(CS!$B$1:$B$12828,MATCH($A24,CS!$B:$B,0)+COLUMN(E$1),1))</f>
        <v>0</v>
      </c>
      <c r="BC24">
        <f>IF($A24="","", INDEX(CS!$B$1:$B$12828,MATCH($A24,CS!$B:$B,0)+COLUMN(F$1),1))</f>
        <v>0</v>
      </c>
      <c r="BD24">
        <f>IF($A24="","", INDEX(CS!$B$1:$B$12828,MATCH($A24,CS!$B:$B,0)+COLUMN(I$1),1))</f>
        <v>0</v>
      </c>
      <c r="BE24">
        <f>IF($A24="","", INDEX(CS!$B$1:$B$12828,MATCH($A24,CS!$B:$B,0)+COLUMN(J$1),1))</f>
        <v>0</v>
      </c>
      <c r="BF24">
        <f>IF($A24="","", INDEX(CS!$B$1:$B$12828,MATCH($A24,CS!$B:$B,0)+COLUMN(K$1),1))</f>
        <v>0</v>
      </c>
      <c r="BG24">
        <f>IF($A24="","", INDEX(CS!$B$1:$B$12828,MATCH($A24,CS!$B:$B,0)+COLUMN(L$1),1))</f>
        <v>0</v>
      </c>
      <c r="BR24" t="s">
        <v>948</v>
      </c>
      <c r="BS24" s="53">
        <v>200</v>
      </c>
      <c r="BT24" s="52">
        <v>40</v>
      </c>
      <c r="BU24" s="52">
        <v>10</v>
      </c>
      <c r="BV24" s="52">
        <v>100</v>
      </c>
      <c r="BW24" s="52">
        <v>10</v>
      </c>
      <c r="CI24" t="s">
        <v>924</v>
      </c>
    </row>
    <row r="25" spans="1:87"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INDEX(CS!$B$1:$B$12828,MATCH($A25,CS!$B:$B,0)+COLUMN(A$1),1))</f>
        <v>0</v>
      </c>
      <c r="AY25">
        <f>IF($A25="","", INDEX(CS!$B$1:$B$12828,MATCH($A25,CS!$B:$B,0)+COLUMN(B$1),1))</f>
        <v>0</v>
      </c>
      <c r="AZ25">
        <f>IF($A25="","", INDEX(CS!$B$1:$B$12828,MATCH($A25,CS!$B:$B,0)+COLUMN(C$1),1))</f>
        <v>0</v>
      </c>
      <c r="BA25">
        <f>IF($A25="","", INDEX(CS!$B$1:$B$12828,MATCH($A25,CS!$B:$B,0)+COLUMN(D$1),1))</f>
        <v>0</v>
      </c>
      <c r="BB25">
        <f>IF($A25="","", INDEX(CS!$B$1:$B$12828,MATCH($A25,CS!$B:$B,0)+COLUMN(E$1),1))</f>
        <v>0</v>
      </c>
      <c r="BC25">
        <f>IF($A25="","", INDEX(CS!$B$1:$B$12828,MATCH($A25,CS!$B:$B,0)+COLUMN(F$1),1))</f>
        <v>0</v>
      </c>
      <c r="BD25">
        <f>IF($A25="","", INDEX(CS!$B$1:$B$12828,MATCH($A25,CS!$B:$B,0)+COLUMN(I$1),1))</f>
        <v>0</v>
      </c>
      <c r="BE25">
        <f>IF($A25="","", INDEX(CS!$B$1:$B$12828,MATCH($A25,CS!$B:$B,0)+COLUMN(J$1),1))</f>
        <v>0</v>
      </c>
      <c r="BF25">
        <f>IF($A25="","", INDEX(CS!$B$1:$B$12828,MATCH($A25,CS!$B:$B,0)+COLUMN(K$1),1))</f>
        <v>0</v>
      </c>
      <c r="BG25">
        <f>IF($A25="","", INDEX(CS!$B$1:$B$12828,MATCH($A25,CS!$B:$B,0)+COLUMN(L$1),1))</f>
        <v>0</v>
      </c>
      <c r="BR25" t="s">
        <v>948</v>
      </c>
      <c r="BS25" s="53">
        <v>250</v>
      </c>
      <c r="BT25" s="52">
        <v>60</v>
      </c>
      <c r="BU25" s="52">
        <v>30</v>
      </c>
      <c r="BV25" s="52">
        <v>200</v>
      </c>
      <c r="BW25" s="52">
        <v>30</v>
      </c>
      <c r="CI25" t="s">
        <v>925</v>
      </c>
    </row>
    <row r="26" spans="1:87"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INDEX(CS!$B$1:$B$12828,MATCH($A26,CS!$B:$B,0)+COLUMN(A$1),1))</f>
        <v>0</v>
      </c>
      <c r="AY26">
        <f>IF($A26="","", INDEX(CS!$B$1:$B$12828,MATCH($A26,CS!$B:$B,0)+COLUMN(B$1),1))</f>
        <v>0</v>
      </c>
      <c r="AZ26">
        <f>IF($A26="","", INDEX(CS!$B$1:$B$12828,MATCH($A26,CS!$B:$B,0)+COLUMN(C$1),1))</f>
        <v>0</v>
      </c>
      <c r="BA26">
        <f>IF($A26="","", INDEX(CS!$B$1:$B$12828,MATCH($A26,CS!$B:$B,0)+COLUMN(D$1),1))</f>
        <v>0</v>
      </c>
      <c r="BB26">
        <f>IF($A26="","", INDEX(CS!$B$1:$B$12828,MATCH($A26,CS!$B:$B,0)+COLUMN(E$1),1))</f>
        <v>0</v>
      </c>
      <c r="BC26">
        <f>IF($A26="","", INDEX(CS!$B$1:$B$12828,MATCH($A26,CS!$B:$B,0)+COLUMN(F$1),1))</f>
        <v>0</v>
      </c>
      <c r="BD26">
        <f>IF($A26="","", INDEX(CS!$B$1:$B$12828,MATCH($A26,CS!$B:$B,0)+COLUMN(I$1),1))</f>
        <v>0</v>
      </c>
      <c r="BE26">
        <f>IF($A26="","", INDEX(CS!$B$1:$B$12828,MATCH($A26,CS!$B:$B,0)+COLUMN(J$1),1))</f>
        <v>0</v>
      </c>
      <c r="BF26">
        <f>IF($A26="","", INDEX(CS!$B$1:$B$12828,MATCH($A26,CS!$B:$B,0)+COLUMN(K$1),1))</f>
        <v>0</v>
      </c>
      <c r="BG26">
        <f>IF($A26="","", INDEX(CS!$B$1:$B$12828,MATCH($A26,CS!$B:$B,0)+COLUMN(L$1),1))</f>
        <v>0</v>
      </c>
      <c r="BR26" t="s">
        <v>948</v>
      </c>
      <c r="BS26" s="53">
        <v>70</v>
      </c>
      <c r="BT26" s="52">
        <v>30</v>
      </c>
      <c r="BU26" s="52">
        <v>20</v>
      </c>
      <c r="BV26" s="52">
        <v>10</v>
      </c>
      <c r="BW26" s="52">
        <v>10</v>
      </c>
      <c r="CI26" t="s">
        <v>926</v>
      </c>
    </row>
    <row r="27" spans="1:87" outlineLevel="1" x14ac:dyDescent="0.4">
      <c r="A27" t="s">
        <v>1177</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INDEX(CS!$B$1:$B$12828,MATCH($A27,CS!$B:$B,0)+COLUMN(A$1),1))</f>
        <v>#N/A</v>
      </c>
      <c r="AY27" t="e">
        <f>IF($A27="","", INDEX(CS!$B$1:$B$12828,MATCH($A27,CS!$B:$B,0)+COLUMN(B$1),1))</f>
        <v>#N/A</v>
      </c>
      <c r="AZ27" t="e">
        <f>IF($A27="","", INDEX(CS!$B$1:$B$12828,MATCH($A27,CS!$B:$B,0)+COLUMN(C$1),1))</f>
        <v>#N/A</v>
      </c>
      <c r="BA27" t="e">
        <f>IF($A27="","", INDEX(CS!$B$1:$B$12828,MATCH($A27,CS!$B:$B,0)+COLUMN(D$1),1))</f>
        <v>#N/A</v>
      </c>
      <c r="BB27" t="e">
        <f>IF($A27="","", INDEX(CS!$B$1:$B$12828,MATCH($A27,CS!$B:$B,0)+COLUMN(E$1),1))</f>
        <v>#N/A</v>
      </c>
      <c r="BC27" t="e">
        <f>IF($A27="","", INDEX(CS!$B$1:$B$12828,MATCH($A27,CS!$B:$B,0)+COLUMN(F$1),1))</f>
        <v>#N/A</v>
      </c>
      <c r="BD27" t="e">
        <f>IF($A27="","", INDEX(CS!$B$1:$B$12828,MATCH($A27,CS!$B:$B,0)+COLUMN(I$1),1))</f>
        <v>#N/A</v>
      </c>
      <c r="BE27" t="e">
        <f>IF($A27="","", INDEX(CS!$B$1:$B$12828,MATCH($A27,CS!$B:$B,0)+COLUMN(J$1),1))</f>
        <v>#N/A</v>
      </c>
      <c r="BF27" t="e">
        <f>IF($A27="","", INDEX(CS!$B$1:$B$12828,MATCH($A27,CS!$B:$B,0)+COLUMN(K$1),1))</f>
        <v>#N/A</v>
      </c>
      <c r="BG27" t="e">
        <f>IF($A27="","", INDEX(CS!$B$1:$B$12828,MATCH($A27,CS!$B:$B,0)+COLUMN(L$1),1))</f>
        <v>#N/A</v>
      </c>
      <c r="BR27" t="s">
        <v>948</v>
      </c>
      <c r="BS27" s="53">
        <v>70</v>
      </c>
      <c r="BT27" s="52">
        <v>30</v>
      </c>
      <c r="BU27" s="52">
        <v>20</v>
      </c>
      <c r="BV27" s="52">
        <v>10</v>
      </c>
      <c r="BW27" s="52">
        <v>10</v>
      </c>
      <c r="CI27" t="s">
        <v>926</v>
      </c>
    </row>
    <row r="28" spans="1:87" outlineLevel="1" x14ac:dyDescent="0.4">
      <c r="D28" t="str">
        <f t="shared" si="0"/>
        <v>0/0/0</v>
      </c>
      <c r="E28">
        <v>1</v>
      </c>
      <c r="AX28" t="str">
        <f>IF($A28="","", INDEX(CS!$B$1:$B$12828,MATCH($A28,CS!$B:$B,0)+COLUMN(A$1),1))</f>
        <v/>
      </c>
      <c r="AY28" t="str">
        <f>IF($A28="","", INDEX(CS!$B$1:$B$12828,MATCH($A28,CS!$B:$B,0)+COLUMN(B$1),1))</f>
        <v/>
      </c>
      <c r="AZ28" t="str">
        <f>IF($A28="","", INDEX(CS!$B$1:$B$12828,MATCH($A28,CS!$B:$B,0)+COLUMN(C$1),1))</f>
        <v/>
      </c>
      <c r="BA28" t="str">
        <f>IF($A28="","", INDEX(CS!$B$1:$B$12828,MATCH($A28,CS!$B:$B,0)+COLUMN(D$1),1))</f>
        <v/>
      </c>
      <c r="BB28" t="str">
        <f>IF($A28="","", INDEX(CS!$B$1:$B$12828,MATCH($A28,CS!$B:$B,0)+COLUMN(E$1),1))</f>
        <v/>
      </c>
      <c r="BC28" t="str">
        <f>IF($A28="","", INDEX(CS!$B$1:$B$12828,MATCH($A28,CS!$B:$B,0)+COLUMN(F$1),1))</f>
        <v/>
      </c>
      <c r="BD28" t="str">
        <f>IF($A28="","", INDEX(CS!$B$1:$B$12828,MATCH($A28,CS!$B:$B,0)+COLUMN(I$1),1))</f>
        <v/>
      </c>
      <c r="BE28" t="str">
        <f>IF($A28="","", INDEX(CS!$B$1:$B$12828,MATCH($A28,CS!$B:$B,0)+COLUMN(J$1),1))</f>
        <v/>
      </c>
      <c r="BF28" t="str">
        <f>IF($A28="","", INDEX(CS!$B$1:$B$12828,MATCH($A28,CS!$B:$B,0)+COLUMN(K$1),1))</f>
        <v/>
      </c>
      <c r="BG28" t="str">
        <f>IF($A28="","", INDEX(CS!$B$1:$B$12828,MATCH($A28,CS!$B:$B,0)+COLUMN(L$1),1))</f>
        <v/>
      </c>
      <c r="BS28" s="53"/>
      <c r="BT28" s="52"/>
      <c r="BU28" s="52"/>
      <c r="BV28" s="52"/>
      <c r="BW28" s="52"/>
    </row>
    <row r="29" spans="1:87"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f>IF($A29="","", INDEX(CS!$B$1:$B$12828,MATCH($A29,CS!$B:$B,0)+COLUMN(A$1),1))</f>
        <v>0</v>
      </c>
      <c r="AY29">
        <f>IF($A29="","", INDEX(CS!$B$1:$B$12828,MATCH($A29,CS!$B:$B,0)+COLUMN(B$1),1))</f>
        <v>0</v>
      </c>
      <c r="AZ29">
        <f>IF($A29="","", INDEX(CS!$B$1:$B$12828,MATCH($A29,CS!$B:$B,0)+COLUMN(C$1),1))</f>
        <v>0</v>
      </c>
      <c r="BA29">
        <f>IF($A29="","", INDEX(CS!$B$1:$B$12828,MATCH($A29,CS!$B:$B,0)+COLUMN(D$1),1))</f>
        <v>0</v>
      </c>
      <c r="BB29">
        <f>IF($A29="","", INDEX(CS!$B$1:$B$12828,MATCH($A29,CS!$B:$B,0)+COLUMN(E$1),1))</f>
        <v>0</v>
      </c>
      <c r="BC29">
        <f>IF($A29="","", INDEX(CS!$B$1:$B$12828,MATCH($A29,CS!$B:$B,0)+COLUMN(F$1),1))</f>
        <v>0</v>
      </c>
      <c r="BD29">
        <f>IF($A29="","", INDEX(CS!$B$1:$B$12828,MATCH($A29,CS!$B:$B,0)+COLUMN(I$1),1))</f>
        <v>0</v>
      </c>
      <c r="BE29">
        <f>IF($A29="","", INDEX(CS!$B$1:$B$12828,MATCH($A29,CS!$B:$B,0)+COLUMN(J$1),1))</f>
        <v>0</v>
      </c>
      <c r="BF29">
        <f>IF($A29="","", INDEX(CS!$B$1:$B$12828,MATCH($A29,CS!$B:$B,0)+COLUMN(K$1),1))</f>
        <v>0</v>
      </c>
      <c r="BG29">
        <f>IF($A29="","", INDEX(CS!$B$1:$B$12828,MATCH($A29,CS!$B:$B,0)+COLUMN(L$1),1))</f>
        <v>0</v>
      </c>
      <c r="BR29" t="s">
        <v>946</v>
      </c>
      <c r="BS29" s="53">
        <v>30</v>
      </c>
      <c r="BT29" s="52">
        <v>0</v>
      </c>
      <c r="BU29" s="52">
        <v>0</v>
      </c>
      <c r="BV29" s="52">
        <v>50</v>
      </c>
      <c r="BW29" s="52">
        <v>25</v>
      </c>
      <c r="BX29" s="52">
        <v>10</v>
      </c>
      <c r="CI29" t="s">
        <v>927</v>
      </c>
    </row>
    <row r="30" spans="1:87"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INDEX(CS!$B$1:$B$12828,MATCH($A30,CS!$B:$B,0)+COLUMN(A$1),1))</f>
        <v>0</v>
      </c>
      <c r="AY30">
        <f>IF($A30="","", INDEX(CS!$B$1:$B$12828,MATCH($A30,CS!$B:$B,0)+COLUMN(B$1),1))</f>
        <v>0</v>
      </c>
      <c r="AZ30">
        <f>IF($A30="","", INDEX(CS!$B$1:$B$12828,MATCH($A30,CS!$B:$B,0)+COLUMN(C$1),1))</f>
        <v>0</v>
      </c>
      <c r="BA30">
        <f>IF($A30="","", INDEX(CS!$B$1:$B$12828,MATCH($A30,CS!$B:$B,0)+COLUMN(D$1),1))</f>
        <v>0</v>
      </c>
      <c r="BB30">
        <f>IF($A30="","", INDEX(CS!$B$1:$B$12828,MATCH($A30,CS!$B:$B,0)+COLUMN(E$1),1))</f>
        <v>0</v>
      </c>
      <c r="BC30">
        <f>IF($A30="","", INDEX(CS!$B$1:$B$12828,MATCH($A30,CS!$B:$B,0)+COLUMN(F$1),1))</f>
        <v>0</v>
      </c>
      <c r="BD30">
        <f>IF($A30="","", INDEX(CS!$B$1:$B$12828,MATCH($A30,CS!$B:$B,0)+COLUMN(I$1),1))</f>
        <v>0</v>
      </c>
      <c r="BE30">
        <f>IF($A30="","", INDEX(CS!$B$1:$B$12828,MATCH($A30,CS!$B:$B,0)+COLUMN(J$1),1))</f>
        <v>0</v>
      </c>
      <c r="BF30">
        <f>IF($A30="","", INDEX(CS!$B$1:$B$12828,MATCH($A30,CS!$B:$B,0)+COLUMN(K$1),1))</f>
        <v>0</v>
      </c>
      <c r="BG30">
        <f>IF($A30="","", INDEX(CS!$B$1:$B$12828,MATCH($A30,CS!$B:$B,0)+COLUMN(L$1),1))</f>
        <v>0</v>
      </c>
      <c r="BR30" t="s">
        <v>946</v>
      </c>
      <c r="BS30" s="53">
        <v>30</v>
      </c>
      <c r="BT30" s="52">
        <v>10</v>
      </c>
      <c r="BU30" s="52">
        <v>30</v>
      </c>
      <c r="BV30" s="52">
        <v>10</v>
      </c>
      <c r="BW30" s="52">
        <v>10</v>
      </c>
      <c r="BX30" s="52">
        <v>10</v>
      </c>
      <c r="CI30" t="s">
        <v>928</v>
      </c>
    </row>
    <row r="31" spans="1:87"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f>IF($A31="","", INDEX(CS!$B$1:$B$12828,MATCH($A31,CS!$B:$B,0)+COLUMN(A$1),1))</f>
        <v>0</v>
      </c>
      <c r="AY31">
        <f>IF($A31="","", INDEX(CS!$B$1:$B$12828,MATCH($A31,CS!$B:$B,0)+COLUMN(B$1),1))</f>
        <v>0</v>
      </c>
      <c r="AZ31">
        <f>IF($A31="","", INDEX(CS!$B$1:$B$12828,MATCH($A31,CS!$B:$B,0)+COLUMN(C$1),1))</f>
        <v>0</v>
      </c>
      <c r="BA31">
        <f>IF($A31="","", INDEX(CS!$B$1:$B$12828,MATCH($A31,CS!$B:$B,0)+COLUMN(D$1),1))</f>
        <v>0</v>
      </c>
      <c r="BB31">
        <f>IF($A31="","", INDEX(CS!$B$1:$B$12828,MATCH($A31,CS!$B:$B,0)+COLUMN(E$1),1))</f>
        <v>0</v>
      </c>
      <c r="BC31">
        <f>IF($A31="","", INDEX(CS!$B$1:$B$12828,MATCH($A31,CS!$B:$B,0)+COLUMN(F$1),1))</f>
        <v>0</v>
      </c>
      <c r="BD31">
        <f>IF($A31="","", INDEX(CS!$B$1:$B$12828,MATCH($A31,CS!$B:$B,0)+COLUMN(I$1),1))</f>
        <v>0</v>
      </c>
      <c r="BE31">
        <f>IF($A31="","", INDEX(CS!$B$1:$B$12828,MATCH($A31,CS!$B:$B,0)+COLUMN(J$1),1))</f>
        <v>0</v>
      </c>
      <c r="BF31">
        <f>IF($A31="","", INDEX(CS!$B$1:$B$12828,MATCH($A31,CS!$B:$B,0)+COLUMN(K$1),1))</f>
        <v>0</v>
      </c>
      <c r="BG31">
        <f>IF($A31="","", INDEX(CS!$B$1:$B$12828,MATCH($A31,CS!$B:$B,0)+COLUMN(L$1),1))</f>
        <v>0</v>
      </c>
      <c r="BR31" t="s">
        <v>949</v>
      </c>
      <c r="BS31" s="53">
        <v>50</v>
      </c>
      <c r="BT31" s="52">
        <v>0</v>
      </c>
      <c r="BU31" s="52">
        <v>0</v>
      </c>
      <c r="BV31" s="52">
        <v>50</v>
      </c>
      <c r="BW31" s="52">
        <v>25</v>
      </c>
      <c r="BX31" s="52">
        <v>0</v>
      </c>
      <c r="BY31" s="52">
        <v>50</v>
      </c>
      <c r="CI31" t="s">
        <v>929</v>
      </c>
    </row>
    <row r="32" spans="1:87" outlineLevel="1" x14ac:dyDescent="0.4">
      <c r="C32" t="s">
        <v>62</v>
      </c>
      <c r="D32" t="str">
        <f t="shared" si="0"/>
        <v>0/0/0</v>
      </c>
      <c r="E32">
        <v>1</v>
      </c>
      <c r="AX32" t="str">
        <f>IF($A32="","", INDEX(CS!$B$1:$B$12828,MATCH($A32,CS!$B:$B,0)+COLUMN(A$1),1))</f>
        <v/>
      </c>
      <c r="AY32" t="str">
        <f>IF($A32="","", INDEX(CS!$B$1:$B$12828,MATCH($A32,CS!$B:$B,0)+COLUMN(B$1),1))</f>
        <v/>
      </c>
      <c r="AZ32" t="str">
        <f>IF($A32="","", INDEX(CS!$B$1:$B$12828,MATCH($A32,CS!$B:$B,0)+COLUMN(C$1),1))</f>
        <v/>
      </c>
      <c r="BA32" t="str">
        <f>IF($A32="","", INDEX(CS!$B$1:$B$12828,MATCH($A32,CS!$B:$B,0)+COLUMN(D$1),1))</f>
        <v/>
      </c>
      <c r="BB32" t="str">
        <f>IF($A32="","", INDEX(CS!$B$1:$B$12828,MATCH($A32,CS!$B:$B,0)+COLUMN(E$1),1))</f>
        <v/>
      </c>
      <c r="BC32" t="str">
        <f>IF($A32="","", INDEX(CS!$B$1:$B$12828,MATCH($A32,CS!$B:$B,0)+COLUMN(F$1),1))</f>
        <v/>
      </c>
      <c r="BD32" t="str">
        <f>IF($A32="","", INDEX(CS!$B$1:$B$12828,MATCH($A32,CS!$B:$B,0)+COLUMN(I$1),1))</f>
        <v/>
      </c>
      <c r="BE32" t="str">
        <f>IF($A32="","", INDEX(CS!$B$1:$B$12828,MATCH($A32,CS!$B:$B,0)+COLUMN(J$1),1))</f>
        <v/>
      </c>
      <c r="BF32" t="str">
        <f>IF($A32="","", INDEX(CS!$B$1:$B$12828,MATCH($A32,CS!$B:$B,0)+COLUMN(K$1),1))</f>
        <v/>
      </c>
      <c r="BG32" t="str">
        <f>IF($A32="","", INDEX(CS!$B$1:$B$12828,MATCH($A32,CS!$B:$B,0)+COLUMN(L$1),1))</f>
        <v/>
      </c>
      <c r="BS32" s="17"/>
      <c r="BT32" s="52"/>
      <c r="BU32" s="52"/>
      <c r="BV32" s="52"/>
      <c r="BW32" s="52"/>
    </row>
    <row r="33" spans="1:87" outlineLevel="1" x14ac:dyDescent="0.4">
      <c r="A33" t="s">
        <v>205</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INDEX(CS!$B$1:$B$12828,MATCH($A33,CS!$B:$B,0)+COLUMN(A$1),1))</f>
        <v>0</v>
      </c>
      <c r="AY33">
        <f>IF($A33="","", INDEX(CS!$B$1:$B$12828,MATCH($A33,CS!$B:$B,0)+COLUMN(B$1),1))</f>
        <v>0</v>
      </c>
      <c r="AZ33">
        <f>IF($A33="","", INDEX(CS!$B$1:$B$12828,MATCH($A33,CS!$B:$B,0)+COLUMN(C$1),1))</f>
        <v>0</v>
      </c>
      <c r="BA33">
        <f>IF($A33="","", INDEX(CS!$B$1:$B$12828,MATCH($A33,CS!$B:$B,0)+COLUMN(D$1),1))</f>
        <v>0</v>
      </c>
      <c r="BB33">
        <f>IF($A33="","", INDEX(CS!$B$1:$B$12828,MATCH($A33,CS!$B:$B,0)+COLUMN(E$1),1))</f>
        <v>0</v>
      </c>
      <c r="BC33">
        <f>IF($A33="","", INDEX(CS!$B$1:$B$12828,MATCH($A33,CS!$B:$B,0)+COLUMN(F$1),1))</f>
        <v>0</v>
      </c>
      <c r="BD33">
        <f>IF($A33="","", INDEX(CS!$B$1:$B$12828,MATCH($A33,CS!$B:$B,0)+COLUMN(I$1),1))</f>
        <v>0</v>
      </c>
      <c r="BE33">
        <f>IF($A33="","", INDEX(CS!$B$1:$B$12828,MATCH($A33,CS!$B:$B,0)+COLUMN(J$1),1))</f>
        <v>0</v>
      </c>
      <c r="BF33">
        <f>IF($A33="","", INDEX(CS!$B$1:$B$12828,MATCH($A33,CS!$B:$B,0)+COLUMN(K$1),1))</f>
        <v>0</v>
      </c>
      <c r="BG33">
        <f>IF($A33="","", INDEX(CS!$B$1:$B$12828,MATCH($A33,CS!$B:$B,0)+COLUMN(L$1),1))</f>
        <v>0</v>
      </c>
      <c r="BR33" t="s">
        <v>949</v>
      </c>
      <c r="BS33" s="53">
        <v>50</v>
      </c>
      <c r="BV33" s="52">
        <v>75</v>
      </c>
      <c r="CI33" t="s">
        <v>1039</v>
      </c>
    </row>
    <row r="34" spans="1:87" outlineLevel="1" x14ac:dyDescent="0.4">
      <c r="A34" t="s">
        <v>206</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INDEX(CS!$B$1:$B$12828,MATCH($A34,CS!$B:$B,0)+COLUMN(A$1),1))</f>
        <v>0</v>
      </c>
      <c r="AY34">
        <f>IF($A34="","", INDEX(CS!$B$1:$B$12828,MATCH($A34,CS!$B:$B,0)+COLUMN(B$1),1))</f>
        <v>0</v>
      </c>
      <c r="AZ34">
        <f>IF($A34="","", INDEX(CS!$B$1:$B$12828,MATCH($A34,CS!$B:$B,0)+COLUMN(C$1),1))</f>
        <v>0</v>
      </c>
      <c r="BA34">
        <f>IF($A34="","", INDEX(CS!$B$1:$B$12828,MATCH($A34,CS!$B:$B,0)+COLUMN(D$1),1))</f>
        <v>0</v>
      </c>
      <c r="BB34">
        <f>IF($A34="","", INDEX(CS!$B$1:$B$12828,MATCH($A34,CS!$B:$B,0)+COLUMN(E$1),1))</f>
        <v>0</v>
      </c>
      <c r="BC34">
        <f>IF($A34="","", INDEX(CS!$B$1:$B$12828,MATCH($A34,CS!$B:$B,0)+COLUMN(F$1),1))</f>
        <v>0</v>
      </c>
      <c r="BD34">
        <f>IF($A34="","", INDEX(CS!$B$1:$B$12828,MATCH($A34,CS!$B:$B,0)+COLUMN(I$1),1))</f>
        <v>0</v>
      </c>
      <c r="BE34">
        <f>IF($A34="","", INDEX(CS!$B$1:$B$12828,MATCH($A34,CS!$B:$B,0)+COLUMN(J$1),1))</f>
        <v>0</v>
      </c>
      <c r="BF34">
        <f>IF($A34="","", INDEX(CS!$B$1:$B$12828,MATCH($A34,CS!$B:$B,0)+COLUMN(K$1),1))</f>
        <v>0</v>
      </c>
      <c r="BG34">
        <f>IF($A34="","", INDEX(CS!$B$1:$B$12828,MATCH($A34,CS!$B:$B,0)+COLUMN(L$1),1))</f>
        <v>0</v>
      </c>
      <c r="BR34" t="s">
        <v>949</v>
      </c>
      <c r="BS34" s="53">
        <v>50</v>
      </c>
      <c r="CI34" t="s">
        <v>1040</v>
      </c>
    </row>
    <row r="35" spans="1:87" outlineLevel="1" x14ac:dyDescent="0.4">
      <c r="A35" t="s">
        <v>208</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INDEX(CS!$B$1:$B$12828,MATCH($A35,CS!$B:$B,0)+COLUMN(A$1),1))</f>
        <v>0</v>
      </c>
      <c r="AY35">
        <f>IF($A35="","", INDEX(CS!$B$1:$B$12828,MATCH($A35,CS!$B:$B,0)+COLUMN(B$1),1))</f>
        <v>0</v>
      </c>
      <c r="AZ35">
        <f>IF($A35="","", INDEX(CS!$B$1:$B$12828,MATCH($A35,CS!$B:$B,0)+COLUMN(C$1),1))</f>
        <v>0</v>
      </c>
      <c r="BA35">
        <f>IF($A35="","", INDEX(CS!$B$1:$B$12828,MATCH($A35,CS!$B:$B,0)+COLUMN(D$1),1))</f>
        <v>0</v>
      </c>
      <c r="BB35">
        <f>IF($A35="","", INDEX(CS!$B$1:$B$12828,MATCH($A35,CS!$B:$B,0)+COLUMN(E$1),1))</f>
        <v>0</v>
      </c>
      <c r="BC35">
        <f>IF($A35="","", INDEX(CS!$B$1:$B$12828,MATCH($A35,CS!$B:$B,0)+COLUMN(F$1),1))</f>
        <v>0</v>
      </c>
      <c r="BD35">
        <f>IF($A35="","", INDEX(CS!$B$1:$B$12828,MATCH($A35,CS!$B:$B,0)+COLUMN(I$1),1))</f>
        <v>0</v>
      </c>
      <c r="BE35">
        <f>IF($A35="","", INDEX(CS!$B$1:$B$12828,MATCH($A35,CS!$B:$B,0)+COLUMN(J$1),1))</f>
        <v>0</v>
      </c>
      <c r="BF35">
        <f>IF($A35="","", INDEX(CS!$B$1:$B$12828,MATCH($A35,CS!$B:$B,0)+COLUMN(K$1),1))</f>
        <v>0</v>
      </c>
      <c r="BG35">
        <f>IF($A35="","", INDEX(CS!$B$1:$B$12828,MATCH($A35,CS!$B:$B,0)+COLUMN(L$1),1))</f>
        <v>0</v>
      </c>
      <c r="BR35" t="s">
        <v>946</v>
      </c>
      <c r="BS35" s="53">
        <v>25</v>
      </c>
      <c r="BX35">
        <v>25</v>
      </c>
      <c r="CD35" t="s">
        <v>960</v>
      </c>
      <c r="CE35" t="s">
        <v>960</v>
      </c>
      <c r="CF35" t="s">
        <v>960</v>
      </c>
      <c r="CI35" t="s">
        <v>1041</v>
      </c>
    </row>
    <row r="36" spans="1:87" outlineLevel="1" x14ac:dyDescent="0.4">
      <c r="C36" t="s">
        <v>62</v>
      </c>
      <c r="D36" t="str">
        <f t="shared" si="2"/>
        <v>0/0/0</v>
      </c>
      <c r="E36">
        <v>1</v>
      </c>
      <c r="AX36" t="str">
        <f>IF($A36="","", INDEX(CS!$B$1:$B$12828,MATCH($A36,CS!$B:$B,0)+COLUMN(A$1),1))</f>
        <v/>
      </c>
      <c r="AY36" t="str">
        <f>IF($A36="","", INDEX(CS!$B$1:$B$12828,MATCH($A36,CS!$B:$B,0)+COLUMN(B$1),1))</f>
        <v/>
      </c>
      <c r="AZ36" t="str">
        <f>IF($A36="","", INDEX(CS!$B$1:$B$12828,MATCH($A36,CS!$B:$B,0)+COLUMN(C$1),1))</f>
        <v/>
      </c>
      <c r="BA36" t="str">
        <f>IF($A36="","", INDEX(CS!$B$1:$B$12828,MATCH($A36,CS!$B:$B,0)+COLUMN(D$1),1))</f>
        <v/>
      </c>
      <c r="BB36" t="str">
        <f>IF($A36="","", INDEX(CS!$B$1:$B$12828,MATCH($A36,CS!$B:$B,0)+COLUMN(E$1),1))</f>
        <v/>
      </c>
      <c r="BC36" t="str">
        <f>IF($A36="","", INDEX(CS!$B$1:$B$12828,MATCH($A36,CS!$B:$B,0)+COLUMN(F$1),1))</f>
        <v/>
      </c>
      <c r="BD36" t="str">
        <f>IF($A36="","", INDEX(CS!$B$1:$B$12828,MATCH($A36,CS!$B:$B,0)+COLUMN(I$1),1))</f>
        <v/>
      </c>
      <c r="BE36" t="str">
        <f>IF($A36="","", INDEX(CS!$B$1:$B$12828,MATCH($A36,CS!$B:$B,0)+COLUMN(J$1),1))</f>
        <v/>
      </c>
      <c r="BF36" t="str">
        <f>IF($A36="","", INDEX(CS!$B$1:$B$12828,MATCH($A36,CS!$B:$B,0)+COLUMN(K$1),1))</f>
        <v/>
      </c>
      <c r="BG36" t="str">
        <f>IF($A36="","", INDEX(CS!$B$1:$B$12828,MATCH($A36,CS!$B:$B,0)+COLUMN(L$1),1))</f>
        <v/>
      </c>
    </row>
    <row r="37" spans="1:87" outlineLevel="1" x14ac:dyDescent="0.4">
      <c r="C37" t="s">
        <v>62</v>
      </c>
      <c r="D37" t="str">
        <f t="shared" si="2"/>
        <v>0/0/0</v>
      </c>
      <c r="E37">
        <v>1</v>
      </c>
      <c r="AX37" t="str">
        <f>IF($A37="","", INDEX(CS!$B$1:$B$12828,MATCH($A37,CS!$B:$B,0)+COLUMN(A$1),1))</f>
        <v/>
      </c>
      <c r="AY37" t="str">
        <f>IF($A37="","", INDEX(CS!$B$1:$B$12828,MATCH($A37,CS!$B:$B,0)+COLUMN(B$1),1))</f>
        <v/>
      </c>
      <c r="AZ37" t="str">
        <f>IF($A37="","", INDEX(CS!$B$1:$B$12828,MATCH($A37,CS!$B:$B,0)+COLUMN(C$1),1))</f>
        <v/>
      </c>
      <c r="BA37" t="str">
        <f>IF($A37="","", INDEX(CS!$B$1:$B$12828,MATCH($A37,CS!$B:$B,0)+COLUMN(D$1),1))</f>
        <v/>
      </c>
      <c r="BB37" t="str">
        <f>IF($A37="","", INDEX(CS!$B$1:$B$12828,MATCH($A37,CS!$B:$B,0)+COLUMN(E$1),1))</f>
        <v/>
      </c>
      <c r="BC37" t="str">
        <f>IF($A37="","", INDEX(CS!$B$1:$B$12828,MATCH($A37,CS!$B:$B,0)+COLUMN(F$1),1))</f>
        <v/>
      </c>
      <c r="BD37" t="str">
        <f>IF($A37="","", INDEX(CS!$B$1:$B$12828,MATCH($A37,CS!$B:$B,0)+COLUMN(I$1),1))</f>
        <v/>
      </c>
      <c r="BE37" t="str">
        <f>IF($A37="","", INDEX(CS!$B$1:$B$12828,MATCH($A37,CS!$B:$B,0)+COLUMN(J$1),1))</f>
        <v/>
      </c>
      <c r="BF37" t="str">
        <f>IF($A37="","", INDEX(CS!$B$1:$B$12828,MATCH($A37,CS!$B:$B,0)+COLUMN(K$1),1))</f>
        <v/>
      </c>
      <c r="BG37" t="str">
        <f>IF($A37="","", INDEX(CS!$B$1:$B$12828,MATCH($A37,CS!$B:$B,0)+COLUMN(L$1),1))</f>
        <v/>
      </c>
    </row>
    <row r="38" spans="1:87" outlineLevel="1" x14ac:dyDescent="0.4">
      <c r="C38" t="s">
        <v>62</v>
      </c>
      <c r="D38" t="str">
        <f t="shared" si="2"/>
        <v>0/0/0</v>
      </c>
      <c r="E38">
        <v>1</v>
      </c>
      <c r="AX38" t="str">
        <f>IF($A38="","", INDEX(CS!$B$1:$B$12828,MATCH($A38,CS!$B:$B,0)+COLUMN(A$1),1))</f>
        <v/>
      </c>
      <c r="AY38" t="str">
        <f>IF($A38="","", INDEX(CS!$B$1:$B$12828,MATCH($A38,CS!$B:$B,0)+COLUMN(B$1),1))</f>
        <v/>
      </c>
      <c r="AZ38" t="str">
        <f>IF($A38="","", INDEX(CS!$B$1:$B$12828,MATCH($A38,CS!$B:$B,0)+COLUMN(C$1),1))</f>
        <v/>
      </c>
      <c r="BA38" t="str">
        <f>IF($A38="","", INDEX(CS!$B$1:$B$12828,MATCH($A38,CS!$B:$B,0)+COLUMN(D$1),1))</f>
        <v/>
      </c>
      <c r="BB38" t="str">
        <f>IF($A38="","", INDEX(CS!$B$1:$B$12828,MATCH($A38,CS!$B:$B,0)+COLUMN(E$1),1))</f>
        <v/>
      </c>
      <c r="BC38" t="str">
        <f>IF($A38="","", INDEX(CS!$B$1:$B$12828,MATCH($A38,CS!$B:$B,0)+COLUMN(F$1),1))</f>
        <v/>
      </c>
      <c r="BD38" t="str">
        <f>IF($A38="","", INDEX(CS!$B$1:$B$12828,MATCH($A38,CS!$B:$B,0)+COLUMN(I$1),1))</f>
        <v/>
      </c>
      <c r="BE38" t="str">
        <f>IF($A38="","", INDEX(CS!$B$1:$B$12828,MATCH($A38,CS!$B:$B,0)+COLUMN(J$1),1))</f>
        <v/>
      </c>
      <c r="BF38" t="str">
        <f>IF($A38="","", INDEX(CS!$B$1:$B$12828,MATCH($A38,CS!$B:$B,0)+COLUMN(K$1),1))</f>
        <v/>
      </c>
      <c r="BG38" t="str">
        <f>IF($A38="","", INDEX(CS!$B$1:$B$12828,MATCH($A38,CS!$B:$B,0)+COLUMN(L$1),1))</f>
        <v/>
      </c>
    </row>
    <row r="39" spans="1:87" outlineLevel="1" x14ac:dyDescent="0.4">
      <c r="C39" t="s">
        <v>62</v>
      </c>
      <c r="D39" t="str">
        <f t="shared" si="2"/>
        <v>0/0/0</v>
      </c>
      <c r="E39">
        <v>1</v>
      </c>
      <c r="AX39" t="str">
        <f>IF($A39="","", INDEX(CS!$B$1:$B$12828,MATCH($A39,CS!$B:$B,0)+COLUMN(A$1),1))</f>
        <v/>
      </c>
      <c r="AY39" t="str">
        <f>IF($A39="","", INDEX(CS!$B$1:$B$12828,MATCH($A39,CS!$B:$B,0)+COLUMN(B$1),1))</f>
        <v/>
      </c>
      <c r="AZ39" t="str">
        <f>IF($A39="","", INDEX(CS!$B$1:$B$12828,MATCH($A39,CS!$B:$B,0)+COLUMN(C$1),1))</f>
        <v/>
      </c>
      <c r="BA39" t="str">
        <f>IF($A39="","", INDEX(CS!$B$1:$B$12828,MATCH($A39,CS!$B:$B,0)+COLUMN(D$1),1))</f>
        <v/>
      </c>
      <c r="BB39" t="str">
        <f>IF($A39="","", INDEX(CS!$B$1:$B$12828,MATCH($A39,CS!$B:$B,0)+COLUMN(E$1),1))</f>
        <v/>
      </c>
      <c r="BC39" t="str">
        <f>IF($A39="","", INDEX(CS!$B$1:$B$12828,MATCH($A39,CS!$B:$B,0)+COLUMN(F$1),1))</f>
        <v/>
      </c>
      <c r="BD39" t="str">
        <f>IF($A39="","", INDEX(CS!$B$1:$B$12828,MATCH($A39,CS!$B:$B,0)+COLUMN(I$1),1))</f>
        <v/>
      </c>
      <c r="BE39" t="str">
        <f>IF($A39="","", INDEX(CS!$B$1:$B$12828,MATCH($A39,CS!$B:$B,0)+COLUMN(J$1),1))</f>
        <v/>
      </c>
      <c r="BF39" t="str">
        <f>IF($A39="","", INDEX(CS!$B$1:$B$12828,MATCH($A39,CS!$B:$B,0)+COLUMN(K$1),1))</f>
        <v/>
      </c>
      <c r="BG39" t="str">
        <f>IF($A39="","", INDEX(CS!$B$1:$B$12828,MATCH($A39,CS!$B:$B,0)+COLUMN(L$1),1))</f>
        <v/>
      </c>
    </row>
    <row r="40" spans="1:87" outlineLevel="1" x14ac:dyDescent="0.4">
      <c r="C40" t="s">
        <v>62</v>
      </c>
      <c r="D40" t="str">
        <f t="shared" si="2"/>
        <v>0/0/0</v>
      </c>
      <c r="E40">
        <v>1</v>
      </c>
      <c r="AX40" t="str">
        <f>IF($A40="","", INDEX(CS!$B$1:$B$12828,MATCH($A40,CS!$B:$B,0)+COLUMN(A$1),1))</f>
        <v/>
      </c>
      <c r="AY40" t="str">
        <f>IF($A40="","", INDEX(CS!$B$1:$B$12828,MATCH($A40,CS!$B:$B,0)+COLUMN(B$1),1))</f>
        <v/>
      </c>
      <c r="AZ40" t="str">
        <f>IF($A40="","", INDEX(CS!$B$1:$B$12828,MATCH($A40,CS!$B:$B,0)+COLUMN(C$1),1))</f>
        <v/>
      </c>
      <c r="BA40" t="str">
        <f>IF($A40="","", INDEX(CS!$B$1:$B$12828,MATCH($A40,CS!$B:$B,0)+COLUMN(D$1),1))</f>
        <v/>
      </c>
      <c r="BB40" t="str">
        <f>IF($A40="","", INDEX(CS!$B$1:$B$12828,MATCH($A40,CS!$B:$B,0)+COLUMN(E$1),1))</f>
        <v/>
      </c>
      <c r="BC40" t="str">
        <f>IF($A40="","", INDEX(CS!$B$1:$B$12828,MATCH($A40,CS!$B:$B,0)+COLUMN(F$1),1))</f>
        <v/>
      </c>
      <c r="BD40" t="str">
        <f>IF($A40="","", INDEX(CS!$B$1:$B$12828,MATCH($A40,CS!$B:$B,0)+COLUMN(I$1),1))</f>
        <v/>
      </c>
      <c r="BE40" t="str">
        <f>IF($A40="","", INDEX(CS!$B$1:$B$12828,MATCH($A40,CS!$B:$B,0)+COLUMN(J$1),1))</f>
        <v/>
      </c>
      <c r="BF40" t="str">
        <f>IF($A40="","", INDEX(CS!$B$1:$B$12828,MATCH($A40,CS!$B:$B,0)+COLUMN(K$1),1))</f>
        <v/>
      </c>
      <c r="BG40" t="str">
        <f>IF($A40="","", INDEX(CS!$B$1:$B$12828,MATCH($A40,CS!$B:$B,0)+COLUMN(L$1),1))</f>
        <v/>
      </c>
    </row>
    <row r="41" spans="1:87" x14ac:dyDescent="0.4">
      <c r="C41" t="s">
        <v>62</v>
      </c>
      <c r="D41" t="str">
        <f t="shared" si="2"/>
        <v>0/0/0</v>
      </c>
      <c r="E41">
        <v>1</v>
      </c>
      <c r="AX41" t="str">
        <f>IF($A41="","", INDEX(CS!$B$1:$B$12828,MATCH($A41,CS!$B:$B,0)+COLUMN(A$1),1))</f>
        <v/>
      </c>
      <c r="AY41" t="str">
        <f>IF($A41="","", INDEX(CS!$B$1:$B$12828,MATCH($A41,CS!$B:$B,0)+COLUMN(B$1),1))</f>
        <v/>
      </c>
      <c r="AZ41" t="str">
        <f>IF($A41="","", INDEX(CS!$B$1:$B$12828,MATCH($A41,CS!$B:$B,0)+COLUMN(C$1),1))</f>
        <v/>
      </c>
      <c r="BA41" t="str">
        <f>IF($A41="","", INDEX(CS!$B$1:$B$12828,MATCH($A41,CS!$B:$B,0)+COLUMN(D$1),1))</f>
        <v/>
      </c>
      <c r="BB41" t="str">
        <f>IF($A41="","", INDEX(CS!$B$1:$B$12828,MATCH($A41,CS!$B:$B,0)+COLUMN(E$1),1))</f>
        <v/>
      </c>
      <c r="BC41" t="str">
        <f>IF($A41="","", INDEX(CS!$B$1:$B$12828,MATCH($A41,CS!$B:$B,0)+COLUMN(F$1),1))</f>
        <v/>
      </c>
      <c r="BD41" t="str">
        <f>IF($A41="","", INDEX(CS!$B$1:$B$12828,MATCH($A41,CS!$B:$B,0)+COLUMN(I$1),1))</f>
        <v/>
      </c>
      <c r="BE41" t="str">
        <f>IF($A41="","", INDEX(CS!$B$1:$B$12828,MATCH($A41,CS!$B:$B,0)+COLUMN(J$1),1))</f>
        <v/>
      </c>
      <c r="BF41" t="str">
        <f>IF($A41="","", INDEX(CS!$B$1:$B$12828,MATCH($A41,CS!$B:$B,0)+COLUMN(K$1),1))</f>
        <v/>
      </c>
      <c r="BG41" t="str">
        <f>IF($A41="","", INDEX(CS!$B$1:$B$12828,MATCH($A41,CS!$B:$B,0)+COLUMN(L$1),1))</f>
        <v/>
      </c>
    </row>
    <row r="42" spans="1:87"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INDEX(CS!$B$1:$B$12828,MATCH($A42,CS!$B:$B,0)+COLUMN(A$1),1))</f>
        <v>炎の拳</v>
      </c>
      <c r="AY42">
        <f>IF($A42="","", INDEX(CS!$B$1:$B$12828,MATCH($A42,CS!$B:$B,0)+COLUMN(B$1),1))</f>
        <v>0</v>
      </c>
      <c r="AZ42" t="str">
        <f>IF($A42="","", INDEX(CS!$B$1:$B$12828,MATCH($A42,CS!$B:$B,0)+COLUMN(C$1),1))</f>
        <v>浮遊</v>
      </c>
      <c r="BA42">
        <f>IF($A42="","", INDEX(CS!$B$1:$B$12828,MATCH($A42,CS!$B:$B,0)+COLUMN(D$1),1))</f>
        <v>0</v>
      </c>
      <c r="BB42">
        <f>IF($A42="","", INDEX(CS!$B$1:$B$12828,MATCH($A42,CS!$B:$B,0)+COLUMN(E$1),1))</f>
        <v>0</v>
      </c>
      <c r="BC42" t="str">
        <f>IF($A42="","", INDEX(CS!$B$1:$B$12828,MATCH($A42,CS!$B:$B,0)+COLUMN(F$1),1))</f>
        <v>炎の魔力</v>
      </c>
      <c r="BD42" t="str">
        <f>IF($A42="","", INDEX(CS!$B$1:$B$12828,MATCH($A42,CS!$B:$B,0)+COLUMN(I$1),1))</f>
        <v>炎の力</v>
      </c>
      <c r="BE42" t="str">
        <f>IF($A42="","", INDEX(CS!$B$1:$B$12828,MATCH($A42,CS!$B:$B,0)+COLUMN(J$1),1))</f>
        <v>炎の吐息</v>
      </c>
      <c r="BF42">
        <f>IF($A42="","", INDEX(CS!$B$1:$B$12828,MATCH($A42,CS!$B:$B,0)+COLUMN(K$1),1))</f>
        <v>0</v>
      </c>
      <c r="BG42">
        <f>IF($A42="","", INDEX(CS!$B$1:$B$12828,MATCH($A42,CS!$B:$B,0)+COLUMN(L$1),1))</f>
        <v>0</v>
      </c>
      <c r="CD42" t="s">
        <v>960</v>
      </c>
      <c r="CE42" t="s">
        <v>960</v>
      </c>
      <c r="CF42" t="s">
        <v>960</v>
      </c>
      <c r="CI42" t="s">
        <v>67</v>
      </c>
    </row>
    <row r="43" spans="1:87"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INDEX(CS!$B$1:$B$12828,MATCH($A43,CS!$B:$B,0)+COLUMN(A$1),1))</f>
        <v>氷の拳</v>
      </c>
      <c r="AY43">
        <f>IF($A43="","", INDEX(CS!$B$1:$B$12828,MATCH($A43,CS!$B:$B,0)+COLUMN(B$1),1))</f>
        <v>0</v>
      </c>
      <c r="AZ43" t="str">
        <f>IF($A43="","", INDEX(CS!$B$1:$B$12828,MATCH($A43,CS!$B:$B,0)+COLUMN(C$1),1))</f>
        <v>浮遊</v>
      </c>
      <c r="BA43">
        <f>IF($A43="","", INDEX(CS!$B$1:$B$12828,MATCH($A43,CS!$B:$B,0)+COLUMN(D$1),1))</f>
        <v>0</v>
      </c>
      <c r="BB43">
        <f>IF($A43="","", INDEX(CS!$B$1:$B$12828,MATCH($A43,CS!$B:$B,0)+COLUMN(E$1),1))</f>
        <v>0</v>
      </c>
      <c r="BC43" t="str">
        <f>IF($A43="","", INDEX(CS!$B$1:$B$12828,MATCH($A43,CS!$B:$B,0)+COLUMN(F$1),1))</f>
        <v>氷の魔力</v>
      </c>
      <c r="BD43" t="str">
        <f>IF($A43="","", INDEX(CS!$B$1:$B$12828,MATCH($A43,CS!$B:$B,0)+COLUMN(I$1),1))</f>
        <v>氷の力</v>
      </c>
      <c r="BE43" t="str">
        <f>IF($A43="","", INDEX(CS!$B$1:$B$12828,MATCH($A43,CS!$B:$B,0)+COLUMN(J$1),1))</f>
        <v>氷の吐息</v>
      </c>
      <c r="BF43">
        <f>IF($A43="","", INDEX(CS!$B$1:$B$12828,MATCH($A43,CS!$B:$B,0)+COLUMN(K$1),1))</f>
        <v>0</v>
      </c>
      <c r="BG43">
        <f>IF($A43="","", INDEX(CS!$B$1:$B$12828,MATCH($A43,CS!$B:$B,0)+COLUMN(L$1),1))</f>
        <v>0</v>
      </c>
      <c r="CI43" t="s">
        <v>67</v>
      </c>
    </row>
    <row r="44" spans="1:87" x14ac:dyDescent="0.4">
      <c r="A44" s="1" t="s">
        <v>898</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INDEX(CS!$B$1:$B$12828,MATCH($A44,CS!$B:$B,0)+COLUMN(A$1),1))</f>
        <v>水の拳</v>
      </c>
      <c r="AY44">
        <f>IF($A44="","", INDEX(CS!$B$1:$B$12828,MATCH($A44,CS!$B:$B,0)+COLUMN(B$1),1))</f>
        <v>0</v>
      </c>
      <c r="AZ44" t="str">
        <f>IF($A44="","", INDEX(CS!$B$1:$B$12828,MATCH($A44,CS!$B:$B,0)+COLUMN(C$1),1))</f>
        <v>水の精霊</v>
      </c>
      <c r="BA44">
        <f>IF($A44="","", INDEX(CS!$B$1:$B$12828,MATCH($A44,CS!$B:$B,0)+COLUMN(D$1),1))</f>
        <v>0</v>
      </c>
      <c r="BB44">
        <f>IF($A44="","", INDEX(CS!$B$1:$B$12828,MATCH($A44,CS!$B:$B,0)+COLUMN(E$1),1))</f>
        <v>0</v>
      </c>
      <c r="BC44" t="str">
        <f>IF($A44="","", INDEX(CS!$B$1:$B$12828,MATCH($A44,CS!$B:$B,0)+COLUMN(F$1),1))</f>
        <v>水の魔力</v>
      </c>
      <c r="BD44" t="str">
        <f>IF($A44="","", INDEX(CS!$B$1:$B$12828,MATCH($A44,CS!$B:$B,0)+COLUMN(I$1),1))</f>
        <v>水の力</v>
      </c>
      <c r="BE44" t="str">
        <f>IF($A44="","", INDEX(CS!$B$1:$B$12828,MATCH($A44,CS!$B:$B,0)+COLUMN(J$1),1))</f>
        <v>水の吐息</v>
      </c>
      <c r="BF44">
        <f>IF($A44="","", INDEX(CS!$B$1:$B$12828,MATCH($A44,CS!$B:$B,0)+COLUMN(K$1),1))</f>
        <v>0</v>
      </c>
      <c r="BG44">
        <f>IF($A44="","", INDEX(CS!$B$1:$B$12828,MATCH($A44,CS!$B:$B,0)+COLUMN(L$1),1))</f>
        <v>0</v>
      </c>
      <c r="CI44" t="s">
        <v>67</v>
      </c>
    </row>
    <row r="45" spans="1:87"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INDEX(CS!$B$1:$B$12828,MATCH($A45,CS!$B:$B,0)+COLUMN(A$1),1))</f>
        <v>風の拳</v>
      </c>
      <c r="AY45">
        <f>IF($A45="","", INDEX(CS!$B$1:$B$12828,MATCH($A45,CS!$B:$B,0)+COLUMN(B$1),1))</f>
        <v>0</v>
      </c>
      <c r="AZ45" t="str">
        <f>IF($A45="","", INDEX(CS!$B$1:$B$12828,MATCH($A45,CS!$B:$B,0)+COLUMN(C$1),1))</f>
        <v>浮遊</v>
      </c>
      <c r="BA45">
        <f>IF($A45="","", INDEX(CS!$B$1:$B$12828,MATCH($A45,CS!$B:$B,0)+COLUMN(D$1),1))</f>
        <v>0</v>
      </c>
      <c r="BB45">
        <f>IF($A45="","", INDEX(CS!$B$1:$B$12828,MATCH($A45,CS!$B:$B,0)+COLUMN(E$1),1))</f>
        <v>0</v>
      </c>
      <c r="BC45" t="str">
        <f>IF($A45="","", INDEX(CS!$B$1:$B$12828,MATCH($A45,CS!$B:$B,0)+COLUMN(F$1),1))</f>
        <v>風の魔力</v>
      </c>
      <c r="BD45" t="str">
        <f>IF($A45="","", INDEX(CS!$B$1:$B$12828,MATCH($A45,CS!$B:$B,0)+COLUMN(I$1),1))</f>
        <v>風の力</v>
      </c>
      <c r="BE45" t="str">
        <f>IF($A45="","", INDEX(CS!$B$1:$B$12828,MATCH($A45,CS!$B:$B,0)+COLUMN(J$1),1))</f>
        <v>風の吐息</v>
      </c>
      <c r="BF45">
        <f>IF($A45="","", INDEX(CS!$B$1:$B$12828,MATCH($A45,CS!$B:$B,0)+COLUMN(K$1),1))</f>
        <v>0</v>
      </c>
      <c r="BG45">
        <f>IF($A45="","", INDEX(CS!$B$1:$B$12828,MATCH($A45,CS!$B:$B,0)+COLUMN(L$1),1))</f>
        <v>0</v>
      </c>
      <c r="CI45" t="s">
        <v>67</v>
      </c>
    </row>
    <row r="46" spans="1:87"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INDEX(CS!$B$1:$B$12828,MATCH($A46,CS!$B:$B,0)+COLUMN(A$1),1))</f>
        <v>地の拳</v>
      </c>
      <c r="AY46">
        <f>IF($A46="","", INDEX(CS!$B$1:$B$12828,MATCH($A46,CS!$B:$B,0)+COLUMN(B$1),1))</f>
        <v>0</v>
      </c>
      <c r="AZ46" t="str">
        <f>IF($A46="","", INDEX(CS!$B$1:$B$12828,MATCH($A46,CS!$B:$B,0)+COLUMN(C$1),1))</f>
        <v>浮遊</v>
      </c>
      <c r="BA46">
        <f>IF($A46="","", INDEX(CS!$B$1:$B$12828,MATCH($A46,CS!$B:$B,0)+COLUMN(D$1),1))</f>
        <v>0</v>
      </c>
      <c r="BB46">
        <f>IF($A46="","", INDEX(CS!$B$1:$B$12828,MATCH($A46,CS!$B:$B,0)+COLUMN(E$1),1))</f>
        <v>0</v>
      </c>
      <c r="BC46" t="str">
        <f>IF($A46="","", INDEX(CS!$B$1:$B$12828,MATCH($A46,CS!$B:$B,0)+COLUMN(F$1),1))</f>
        <v>地の魔力</v>
      </c>
      <c r="BD46" t="str">
        <f>IF($A46="","", INDEX(CS!$B$1:$B$12828,MATCH($A46,CS!$B:$B,0)+COLUMN(I$1),1))</f>
        <v>地の力</v>
      </c>
      <c r="BE46" t="str">
        <f>IF($A46="","", INDEX(CS!$B$1:$B$12828,MATCH($A46,CS!$B:$B,0)+COLUMN(J$1),1))</f>
        <v>石礫の吐息</v>
      </c>
      <c r="BF46">
        <f>IF($A46="","", INDEX(CS!$B$1:$B$12828,MATCH($A46,CS!$B:$B,0)+COLUMN(K$1),1))</f>
        <v>0</v>
      </c>
      <c r="BG46">
        <f>IF($A46="","", INDEX(CS!$B$1:$B$12828,MATCH($A46,CS!$B:$B,0)+COLUMN(L$1),1))</f>
        <v>0</v>
      </c>
      <c r="CI46" t="s">
        <v>67</v>
      </c>
    </row>
    <row r="47" spans="1:87" x14ac:dyDescent="0.4">
      <c r="C47" t="s">
        <v>62</v>
      </c>
      <c r="D47" t="str">
        <f t="shared" si="2"/>
        <v>0/0/0</v>
      </c>
      <c r="E47">
        <v>1</v>
      </c>
      <c r="AX47" t="str">
        <f>IF($A47="","", INDEX(CS!$B$1:$B$12828,MATCH($A47,CS!$B:$B,0)+COLUMN(A$1),1))</f>
        <v/>
      </c>
      <c r="AY47" t="str">
        <f>IF($A47="","", INDEX(CS!$B$1:$B$12828,MATCH($A47,CS!$B:$B,0)+COLUMN(B$1),1))</f>
        <v/>
      </c>
      <c r="AZ47" t="str">
        <f>IF($A47="","", INDEX(CS!$B$1:$B$12828,MATCH($A47,CS!$B:$B,0)+COLUMN(C$1),1))</f>
        <v/>
      </c>
      <c r="BA47" t="str">
        <f>IF($A47="","", INDEX(CS!$B$1:$B$12828,MATCH($A47,CS!$B:$B,0)+COLUMN(D$1),1))</f>
        <v/>
      </c>
      <c r="BB47" t="str">
        <f>IF($A47="","", INDEX(CS!$B$1:$B$12828,MATCH($A47,CS!$B:$B,0)+COLUMN(E$1),1))</f>
        <v/>
      </c>
      <c r="BC47" t="str">
        <f>IF($A47="","", INDEX(CS!$B$1:$B$12828,MATCH($A47,CS!$B:$B,0)+COLUMN(F$1),1))</f>
        <v/>
      </c>
      <c r="BD47" t="str">
        <f>IF($A47="","", INDEX(CS!$B$1:$B$12828,MATCH($A47,CS!$B:$B,0)+COLUMN(I$1),1))</f>
        <v/>
      </c>
      <c r="BE47" t="str">
        <f>IF($A47="","", INDEX(CS!$B$1:$B$12828,MATCH($A47,CS!$B:$B,0)+COLUMN(J$1),1))</f>
        <v/>
      </c>
      <c r="BF47" t="str">
        <f>IF($A47="","", INDEX(CS!$B$1:$B$12828,MATCH($A47,CS!$B:$B,0)+COLUMN(K$1),1))</f>
        <v/>
      </c>
      <c r="BG47" t="str">
        <f>IF($A47="","", INDEX(CS!$B$1:$B$12828,MATCH($A47,CS!$B:$B,0)+COLUMN(L$1),1))</f>
        <v/>
      </c>
    </row>
    <row r="48" spans="1:87" x14ac:dyDescent="0.4">
      <c r="C48" t="s">
        <v>62</v>
      </c>
      <c r="D48" t="str">
        <f t="shared" si="2"/>
        <v>0/0/0</v>
      </c>
      <c r="E48">
        <v>1</v>
      </c>
      <c r="AX48" t="str">
        <f>IF($A48="","", INDEX(CS!$B$1:$B$12828,MATCH($A48,CS!$B:$B,0)+COLUMN(A$1),1))</f>
        <v/>
      </c>
      <c r="AY48" t="str">
        <f>IF($A48="","", INDEX(CS!$B$1:$B$12828,MATCH($A48,CS!$B:$B,0)+COLUMN(B$1),1))</f>
        <v/>
      </c>
      <c r="AZ48" t="str">
        <f>IF($A48="","", INDEX(CS!$B$1:$B$12828,MATCH($A48,CS!$B:$B,0)+COLUMN(C$1),1))</f>
        <v/>
      </c>
      <c r="BA48" t="str">
        <f>IF($A48="","", INDEX(CS!$B$1:$B$12828,MATCH($A48,CS!$B:$B,0)+COLUMN(D$1),1))</f>
        <v/>
      </c>
      <c r="BB48" t="str">
        <f>IF($A48="","", INDEX(CS!$B$1:$B$12828,MATCH($A48,CS!$B:$B,0)+COLUMN(E$1),1))</f>
        <v/>
      </c>
      <c r="BC48" t="str">
        <f>IF($A48="","", INDEX(CS!$B$1:$B$12828,MATCH($A48,CS!$B:$B,0)+COLUMN(F$1),1))</f>
        <v/>
      </c>
      <c r="BD48" t="str">
        <f>IF($A48="","", INDEX(CS!$B$1:$B$12828,MATCH($A48,CS!$B:$B,0)+COLUMN(I$1),1))</f>
        <v/>
      </c>
      <c r="BE48" t="str">
        <f>IF($A48="","", INDEX(CS!$B$1:$B$12828,MATCH($A48,CS!$B:$B,0)+COLUMN(J$1),1))</f>
        <v/>
      </c>
      <c r="BF48" t="str">
        <f>IF($A48="","", INDEX(CS!$B$1:$B$12828,MATCH($A48,CS!$B:$B,0)+COLUMN(K$1),1))</f>
        <v/>
      </c>
      <c r="BG48" t="str">
        <f>IF($A48="","", INDEX(CS!$B$1:$B$12828,MATCH($A48,CS!$B:$B,0)+COLUMN(L$1),1))</f>
        <v/>
      </c>
    </row>
    <row r="49" spans="1:87" x14ac:dyDescent="0.4">
      <c r="C49" t="s">
        <v>62</v>
      </c>
      <c r="D49" t="str">
        <f t="shared" si="2"/>
        <v>0/0/0</v>
      </c>
      <c r="E49">
        <v>1</v>
      </c>
      <c r="AX49" t="str">
        <f>IF($A49="","", INDEX(CS!$B$1:$B$12828,MATCH($A49,CS!$B:$B,0)+COLUMN(A$1),1))</f>
        <v/>
      </c>
      <c r="AY49" t="str">
        <f>IF($A49="","", INDEX(CS!$B$1:$B$12828,MATCH($A49,CS!$B:$B,0)+COLUMN(B$1),1))</f>
        <v/>
      </c>
      <c r="AZ49" t="str">
        <f>IF($A49="","", INDEX(CS!$B$1:$B$12828,MATCH($A49,CS!$B:$B,0)+COLUMN(C$1),1))</f>
        <v/>
      </c>
      <c r="BA49" t="str">
        <f>IF($A49="","", INDEX(CS!$B$1:$B$12828,MATCH($A49,CS!$B:$B,0)+COLUMN(D$1),1))</f>
        <v/>
      </c>
      <c r="BB49" t="str">
        <f>IF($A49="","", INDEX(CS!$B$1:$B$12828,MATCH($A49,CS!$B:$B,0)+COLUMN(E$1),1))</f>
        <v/>
      </c>
      <c r="BC49" t="str">
        <f>IF($A49="","", INDEX(CS!$B$1:$B$12828,MATCH($A49,CS!$B:$B,0)+COLUMN(F$1),1))</f>
        <v/>
      </c>
      <c r="BD49" t="str">
        <f>IF($A49="","", INDEX(CS!$B$1:$B$12828,MATCH($A49,CS!$B:$B,0)+COLUMN(I$1),1))</f>
        <v/>
      </c>
      <c r="BE49" t="str">
        <f>IF($A49="","", INDEX(CS!$B$1:$B$12828,MATCH($A49,CS!$B:$B,0)+COLUMN(J$1),1))</f>
        <v/>
      </c>
      <c r="BF49" t="str">
        <f>IF($A49="","", INDEX(CS!$B$1:$B$12828,MATCH($A49,CS!$B:$B,0)+COLUMN(K$1),1))</f>
        <v/>
      </c>
      <c r="BG49" t="str">
        <f>IF($A49="","", INDEX(CS!$B$1:$B$12828,MATCH($A49,CS!$B:$B,0)+COLUMN(L$1),1))</f>
        <v/>
      </c>
    </row>
    <row r="50" spans="1:87" x14ac:dyDescent="0.4">
      <c r="C50" t="s">
        <v>62</v>
      </c>
      <c r="D50" t="str">
        <f t="shared" si="2"/>
        <v>0/0/0</v>
      </c>
      <c r="E50">
        <v>1</v>
      </c>
      <c r="AX50" t="str">
        <f>IF($A50="","", INDEX(CS!$B$1:$B$12828,MATCH($A50,CS!$B:$B,0)+COLUMN(A$1),1))</f>
        <v/>
      </c>
      <c r="AY50" t="str">
        <f>IF($A50="","", INDEX(CS!$B$1:$B$12828,MATCH($A50,CS!$B:$B,0)+COLUMN(B$1),1))</f>
        <v/>
      </c>
      <c r="AZ50" t="str">
        <f>IF($A50="","", INDEX(CS!$B$1:$B$12828,MATCH($A50,CS!$B:$B,0)+COLUMN(C$1),1))</f>
        <v/>
      </c>
      <c r="BA50" t="str">
        <f>IF($A50="","", INDEX(CS!$B$1:$B$12828,MATCH($A50,CS!$B:$B,0)+COLUMN(D$1),1))</f>
        <v/>
      </c>
      <c r="BB50" t="str">
        <f>IF($A50="","", INDEX(CS!$B$1:$B$12828,MATCH($A50,CS!$B:$B,0)+COLUMN(E$1),1))</f>
        <v/>
      </c>
      <c r="BC50" t="str">
        <f>IF($A50="","", INDEX(CS!$B$1:$B$12828,MATCH($A50,CS!$B:$B,0)+COLUMN(F$1),1))</f>
        <v/>
      </c>
      <c r="BD50" t="str">
        <f>IF($A50="","", INDEX(CS!$B$1:$B$12828,MATCH($A50,CS!$B:$B,0)+COLUMN(I$1),1))</f>
        <v/>
      </c>
      <c r="BE50" t="str">
        <f>IF($A50="","", INDEX(CS!$B$1:$B$12828,MATCH($A50,CS!$B:$B,0)+COLUMN(J$1),1))</f>
        <v/>
      </c>
      <c r="BF50" t="str">
        <f>IF($A50="","", INDEX(CS!$B$1:$B$12828,MATCH($A50,CS!$B:$B,0)+COLUMN(K$1),1))</f>
        <v/>
      </c>
      <c r="BG50" t="str">
        <f>IF($A50="","", INDEX(CS!$B$1:$B$12828,MATCH($A50,CS!$B:$B,0)+COLUMN(L$1),1))</f>
        <v/>
      </c>
    </row>
    <row r="51" spans="1:87" x14ac:dyDescent="0.4">
      <c r="C51" t="s">
        <v>62</v>
      </c>
      <c r="D51" t="str">
        <f t="shared" si="2"/>
        <v>0/0/0</v>
      </c>
      <c r="E51">
        <v>1</v>
      </c>
      <c r="AX51" t="str">
        <f>IF($A51="","", INDEX(CS!$B$1:$B$12828,MATCH($A51,CS!$B:$B,0)+COLUMN(A$1),1))</f>
        <v/>
      </c>
      <c r="AY51" t="str">
        <f>IF($A51="","", INDEX(CS!$B$1:$B$12828,MATCH($A51,CS!$B:$B,0)+COLUMN(B$1),1))</f>
        <v/>
      </c>
      <c r="AZ51" t="str">
        <f>IF($A51="","", INDEX(CS!$B$1:$B$12828,MATCH($A51,CS!$B:$B,0)+COLUMN(C$1),1))</f>
        <v/>
      </c>
      <c r="BA51" t="str">
        <f>IF($A51="","", INDEX(CS!$B$1:$B$12828,MATCH($A51,CS!$B:$B,0)+COLUMN(D$1),1))</f>
        <v/>
      </c>
      <c r="BB51" t="str">
        <f>IF($A51="","", INDEX(CS!$B$1:$B$12828,MATCH($A51,CS!$B:$B,0)+COLUMN(E$1),1))</f>
        <v/>
      </c>
      <c r="BC51" t="str">
        <f>IF($A51="","", INDEX(CS!$B$1:$B$12828,MATCH($A51,CS!$B:$B,0)+COLUMN(F$1),1))</f>
        <v/>
      </c>
      <c r="BD51" t="str">
        <f>IF($A51="","", INDEX(CS!$B$1:$B$12828,MATCH($A51,CS!$B:$B,0)+COLUMN(I$1),1))</f>
        <v/>
      </c>
      <c r="BE51" t="str">
        <f>IF($A51="","", INDEX(CS!$B$1:$B$12828,MATCH($A51,CS!$B:$B,0)+COLUMN(J$1),1))</f>
        <v/>
      </c>
      <c r="BF51" t="str">
        <f>IF($A51="","", INDEX(CS!$B$1:$B$12828,MATCH($A51,CS!$B:$B,0)+COLUMN(K$1),1))</f>
        <v/>
      </c>
      <c r="BG51" t="str">
        <f>IF($A51="","", INDEX(CS!$B$1:$B$12828,MATCH($A51,CS!$B:$B,0)+COLUMN(L$1),1))</f>
        <v/>
      </c>
    </row>
    <row r="52" spans="1:87" x14ac:dyDescent="0.4">
      <c r="B52" t="s">
        <v>940</v>
      </c>
      <c r="D52" t="str">
        <f t="shared" si="2"/>
        <v>0/0/0</v>
      </c>
      <c r="E52">
        <v>1</v>
      </c>
      <c r="AX52" t="str">
        <f>IF($A52="","", INDEX(CS!$B$1:$B$12828,MATCH($A52,CS!$B:$B,0)+COLUMN(A$1),1))</f>
        <v/>
      </c>
      <c r="AY52" t="str">
        <f>IF($A52="","", INDEX(CS!$B$1:$B$12828,MATCH($A52,CS!$B:$B,0)+COLUMN(B$1),1))</f>
        <v/>
      </c>
      <c r="AZ52" t="str">
        <f>IF($A52="","", INDEX(CS!$B$1:$B$12828,MATCH($A52,CS!$B:$B,0)+COLUMN(C$1),1))</f>
        <v/>
      </c>
      <c r="BA52" t="str">
        <f>IF($A52="","", INDEX(CS!$B$1:$B$12828,MATCH($A52,CS!$B:$B,0)+COLUMN(D$1),1))</f>
        <v/>
      </c>
      <c r="BB52" t="str">
        <f>IF($A52="","", INDEX(CS!$B$1:$B$12828,MATCH($A52,CS!$B:$B,0)+COLUMN(E$1),1))</f>
        <v/>
      </c>
      <c r="BC52" t="str">
        <f>IF($A52="","", INDEX(CS!$B$1:$B$12828,MATCH($A52,CS!$B:$B,0)+COLUMN(F$1),1))</f>
        <v/>
      </c>
      <c r="BD52" t="str">
        <f>IF($A52="","", INDEX(CS!$B$1:$B$12828,MATCH($A52,CS!$B:$B,0)+COLUMN(I$1),1))</f>
        <v/>
      </c>
      <c r="BE52" t="str">
        <f>IF($A52="","", INDEX(CS!$B$1:$B$12828,MATCH($A52,CS!$B:$B,0)+COLUMN(J$1),1))</f>
        <v/>
      </c>
      <c r="BF52" t="str">
        <f>IF($A52="","", INDEX(CS!$B$1:$B$12828,MATCH($A52,CS!$B:$B,0)+COLUMN(K$1),1))</f>
        <v/>
      </c>
      <c r="BG52" t="str">
        <f>IF($A52="","", INDEX(CS!$B$1:$B$12828,MATCH($A52,CS!$B:$B,0)+COLUMN(L$1),1))</f>
        <v/>
      </c>
    </row>
    <row r="53" spans="1:87" x14ac:dyDescent="0.4">
      <c r="CD53" t="s">
        <v>964</v>
      </c>
      <c r="CE53" t="s">
        <v>968</v>
      </c>
      <c r="CF53" t="s">
        <v>1179</v>
      </c>
    </row>
    <row r="54" spans="1:87" x14ac:dyDescent="0.4">
      <c r="CD54" t="s">
        <v>964</v>
      </c>
      <c r="CE54" t="s">
        <v>968</v>
      </c>
      <c r="CF54" t="s">
        <v>1179</v>
      </c>
    </row>
    <row r="55" spans="1:87" x14ac:dyDescent="0.4">
      <c r="CD55" t="s">
        <v>964</v>
      </c>
      <c r="CE55" t="s">
        <v>968</v>
      </c>
      <c r="CF55" t="s">
        <v>1179</v>
      </c>
    </row>
    <row r="56" spans="1:87" x14ac:dyDescent="0.4">
      <c r="A56" t="s">
        <v>25</v>
      </c>
      <c r="B56" t="s">
        <v>27</v>
      </c>
      <c r="C56" t="s">
        <v>51</v>
      </c>
      <c r="D56" t="str">
        <f t="shared" ref="D56:D71" si="4">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INDEX(CS!$B$1:$B$12828,MATCH($A56,CS!$B:$B,0)+COLUMN(A$1),1))</f>
        <v>0</v>
      </c>
      <c r="AY56" t="str">
        <f>IF($A56="","", INDEX(CS!$B$1:$B$12828,MATCH($A56,CS!$B:$B,0)+COLUMN(B$1),1))</f>
        <v>闘気撃</v>
      </c>
      <c r="AZ56" t="str">
        <f>IF($A56="","", INDEX(CS!$B$1:$B$12828,MATCH($A56,CS!$B:$B,0)+COLUMN(C$1),1))</f>
        <v>武器の扱い</v>
      </c>
      <c r="BA56">
        <f>IF($A56="","", INDEX(CS!$B$1:$B$12828,MATCH($A56,CS!$B:$B,0)+COLUMN(D$1),1))</f>
        <v>0</v>
      </c>
      <c r="BB56" t="str">
        <f>IF($A56="","", INDEX(CS!$B$1:$B$12828,MATCH($A56,CS!$B:$B,0)+COLUMN(E$1),1))</f>
        <v>闘気守</v>
      </c>
      <c r="BC56">
        <f>IF($A56="","", INDEX(CS!$B$1:$B$12828,MATCH($A56,CS!$B:$B,0)+COLUMN(F$1),1))</f>
        <v>0</v>
      </c>
      <c r="BD56" t="str">
        <f>IF($A56="","", INDEX(CS!$B$1:$B$12828,MATCH($A56,CS!$B:$B,0)+COLUMN(I$1),1))</f>
        <v>武器の攻め</v>
      </c>
      <c r="BE56" t="str">
        <f>IF($A56="","", INDEX(CS!$B$1:$B$12828,MATCH($A56,CS!$B:$B,0)+COLUMN(J$1),1))</f>
        <v>一閃撃</v>
      </c>
      <c r="BF56">
        <f>IF($A56="","", INDEX(CS!$B$1:$B$12828,MATCH($A56,CS!$B:$B,0)+COLUMN(K$1),1))</f>
        <v>0</v>
      </c>
      <c r="BG56">
        <f>IF($A56="","", INDEX(CS!$B$1:$B$12828,MATCH($A56,CS!$B:$B,0)+COLUMN(L$1),1))</f>
        <v>0</v>
      </c>
      <c r="BH56" t="s">
        <v>932</v>
      </c>
      <c r="CB56" t="s">
        <v>1229</v>
      </c>
      <c r="CE56" t="s">
        <v>967</v>
      </c>
      <c r="CF56" t="s">
        <v>1179</v>
      </c>
      <c r="CI56" t="s">
        <v>27</v>
      </c>
    </row>
    <row r="57" spans="1:87" outlineLevel="1" x14ac:dyDescent="0.4">
      <c r="A57" t="s">
        <v>185</v>
      </c>
      <c r="B57" t="s">
        <v>187</v>
      </c>
      <c r="C57" t="s">
        <v>51</v>
      </c>
      <c r="D57" t="str">
        <f t="shared" si="4"/>
        <v>710/460/250</v>
      </c>
      <c r="E57">
        <v>1</v>
      </c>
      <c r="F57">
        <v>85</v>
      </c>
      <c r="I57">
        <v>80</v>
      </c>
      <c r="J57">
        <v>90</v>
      </c>
      <c r="K57" s="24">
        <v>25</v>
      </c>
      <c r="L57">
        <v>55</v>
      </c>
      <c r="M57">
        <v>50</v>
      </c>
      <c r="N57">
        <v>75</v>
      </c>
      <c r="AI57">
        <v>100</v>
      </c>
      <c r="AK57">
        <v>25</v>
      </c>
      <c r="AL57">
        <v>25</v>
      </c>
      <c r="AM57">
        <v>25</v>
      </c>
      <c r="AO57">
        <v>25</v>
      </c>
      <c r="AT57">
        <v>50</v>
      </c>
      <c r="AX57">
        <f>IF($A57="","", INDEX(CS!$B$1:$B$12828,MATCH($A57,CS!$B:$B,0)+COLUMN(A$1),1))</f>
        <v>0</v>
      </c>
      <c r="AY57" t="str">
        <f>IF($A57="","", INDEX(CS!$B$1:$B$12828,MATCH($A57,CS!$B:$B,0)+COLUMN(B$1),1))</f>
        <v>闘気守</v>
      </c>
      <c r="AZ57" t="str">
        <f>IF($A57="","", INDEX(CS!$B$1:$B$12828,MATCH($A57,CS!$B:$B,0)+COLUMN(C$1),1))</f>
        <v>武器の扱い</v>
      </c>
      <c r="BA57">
        <f>IF($A57="","", INDEX(CS!$B$1:$B$12828,MATCH($A57,CS!$B:$B,0)+COLUMN(D$1),1))</f>
        <v>0</v>
      </c>
      <c r="BB57" t="str">
        <f>IF($A57="","", INDEX(CS!$B$1:$B$12828,MATCH($A57,CS!$B:$B,0)+COLUMN(E$1),1))</f>
        <v>闘気撃</v>
      </c>
      <c r="BC57" t="str">
        <f>IF($A57="","", INDEX(CS!$B$1:$B$12828,MATCH($A57,CS!$B:$B,0)+COLUMN(F$1),1))</f>
        <v>反撃</v>
      </c>
      <c r="BD57" t="str">
        <f>IF($A57="","", INDEX(CS!$B$1:$B$12828,MATCH($A57,CS!$B:$B,0)+COLUMN(I$1),1))</f>
        <v>武器の守り</v>
      </c>
      <c r="BE57" t="str">
        <f>IF($A57="","", INDEX(CS!$B$1:$B$12828,MATCH($A57,CS!$B:$B,0)+COLUMN(J$1),1))</f>
        <v>一閃撃</v>
      </c>
      <c r="BF57">
        <f>IF($A57="","", INDEX(CS!$B$1:$B$12828,MATCH($A57,CS!$B:$B,0)+COLUMN(K$1),1))</f>
        <v>0</v>
      </c>
      <c r="BG57">
        <f>IF($A57="","", INDEX(CS!$B$1:$B$12828,MATCH($A57,CS!$B:$B,0)+COLUMN(L$1),1))</f>
        <v>0</v>
      </c>
      <c r="BH57" t="s">
        <v>932</v>
      </c>
      <c r="CB57" t="s">
        <v>716</v>
      </c>
      <c r="CC57" t="s">
        <v>1230</v>
      </c>
      <c r="CE57" t="s">
        <v>967</v>
      </c>
      <c r="CF57" t="s">
        <v>1179</v>
      </c>
      <c r="CI57" t="s">
        <v>27</v>
      </c>
    </row>
    <row r="58" spans="1:87" outlineLevel="1" x14ac:dyDescent="0.4">
      <c r="A58" t="s">
        <v>186</v>
      </c>
      <c r="B58" t="s">
        <v>188</v>
      </c>
      <c r="C58" t="s">
        <v>51</v>
      </c>
      <c r="D58" t="str">
        <f t="shared" si="4"/>
        <v>710/460/250</v>
      </c>
      <c r="E58">
        <v>1</v>
      </c>
      <c r="F58">
        <v>85</v>
      </c>
      <c r="I58">
        <v>80</v>
      </c>
      <c r="J58">
        <v>55</v>
      </c>
      <c r="K58" s="24">
        <v>25</v>
      </c>
      <c r="L58">
        <v>50</v>
      </c>
      <c r="M58">
        <v>90</v>
      </c>
      <c r="N58">
        <v>75</v>
      </c>
      <c r="AI58">
        <v>50</v>
      </c>
      <c r="AJ58">
        <v>50</v>
      </c>
      <c r="AK58">
        <v>25</v>
      </c>
      <c r="AL58">
        <v>50</v>
      </c>
      <c r="AM58">
        <v>25</v>
      </c>
      <c r="AO58">
        <v>25</v>
      </c>
      <c r="AT58">
        <v>25</v>
      </c>
      <c r="AX58">
        <f>IF($A58="","", INDEX(CS!$B$1:$B$12828,MATCH($A58,CS!$B:$B,0)+COLUMN(A$1),1))</f>
        <v>0</v>
      </c>
      <c r="AY58" t="str">
        <f>IF($A58="","", INDEX(CS!$B$1:$B$12828,MATCH($A58,CS!$B:$B,0)+COLUMN(B$1),1))</f>
        <v>闘気撃</v>
      </c>
      <c r="AZ58" t="str">
        <f>IF($A58="","", INDEX(CS!$B$1:$B$12828,MATCH($A58,CS!$B:$B,0)+COLUMN(C$1),1))</f>
        <v>武器の扱い</v>
      </c>
      <c r="BA58">
        <f>IF($A58="","", INDEX(CS!$B$1:$B$12828,MATCH($A58,CS!$B:$B,0)+COLUMN(D$1),1))</f>
        <v>0</v>
      </c>
      <c r="BB58" t="str">
        <f>IF($A58="","", INDEX(CS!$B$1:$B$12828,MATCH($A58,CS!$B:$B,0)+COLUMN(E$1),1))</f>
        <v>闘気速</v>
      </c>
      <c r="BC58">
        <f>IF($A58="","", INDEX(CS!$B$1:$B$12828,MATCH($A58,CS!$B:$B,0)+COLUMN(F$1),1))</f>
        <v>0</v>
      </c>
      <c r="BD58" t="str">
        <f>IF($A58="","", INDEX(CS!$B$1:$B$12828,MATCH($A58,CS!$B:$B,0)+COLUMN(I$1),1))</f>
        <v>武器の攻め</v>
      </c>
      <c r="BE58" t="str">
        <f>IF($A58="","", INDEX(CS!$B$1:$B$12828,MATCH($A58,CS!$B:$B,0)+COLUMN(J$1),1))</f>
        <v>一閃撃</v>
      </c>
      <c r="BF58">
        <f>IF($A58="","", INDEX(CS!$B$1:$B$12828,MATCH($A58,CS!$B:$B,0)+COLUMN(K$1),1))</f>
        <v>0</v>
      </c>
      <c r="BG58">
        <f>IF($A58="","", INDEX(CS!$B$1:$B$12828,MATCH($A58,CS!$B:$B,0)+COLUMN(L$1),1))</f>
        <v>0</v>
      </c>
      <c r="BH58" t="s">
        <v>932</v>
      </c>
      <c r="CB58" t="s">
        <v>1228</v>
      </c>
      <c r="CD58" t="s">
        <v>965</v>
      </c>
      <c r="CE58" t="s">
        <v>968</v>
      </c>
      <c r="CF58" t="s">
        <v>1179</v>
      </c>
      <c r="CI58" t="s">
        <v>27</v>
      </c>
    </row>
    <row r="59" spans="1:87" outlineLevel="1" x14ac:dyDescent="0.4">
      <c r="C59" t="s">
        <v>51</v>
      </c>
      <c r="D59" t="str">
        <f t="shared" si="4"/>
        <v>0/0/0</v>
      </c>
      <c r="E59">
        <v>1</v>
      </c>
      <c r="AX59" t="str">
        <f>IF($A59="","", INDEX(CS!$B$1:$B$12828,MATCH($A59,CS!$B:$B,0)+COLUMN(A$1),1))</f>
        <v/>
      </c>
      <c r="AY59" t="str">
        <f>IF($A59="","", INDEX(CS!$B$1:$B$12828,MATCH($A59,CS!$B:$B,0)+COLUMN(B$1),1))</f>
        <v/>
      </c>
      <c r="AZ59" t="str">
        <f>IF($A59="","", INDEX(CS!$B$1:$B$12828,MATCH($A59,CS!$B:$B,0)+COLUMN(C$1),1))</f>
        <v/>
      </c>
      <c r="BA59" t="str">
        <f>IF($A59="","", INDEX(CS!$B$1:$B$12828,MATCH($A59,CS!$B:$B,0)+COLUMN(D$1),1))</f>
        <v/>
      </c>
      <c r="BB59" t="str">
        <f>IF($A59="","", INDEX(CS!$B$1:$B$12828,MATCH($A59,CS!$B:$B,0)+COLUMN(E$1),1))</f>
        <v/>
      </c>
      <c r="BC59" t="str">
        <f>IF($A59="","", INDEX(CS!$B$1:$B$12828,MATCH($A59,CS!$B:$B,0)+COLUMN(F$1),1))</f>
        <v/>
      </c>
      <c r="BD59" t="str">
        <f>IF($A59="","", INDEX(CS!$B$1:$B$12828,MATCH($A59,CS!$B:$B,0)+COLUMN(I$1),1))</f>
        <v/>
      </c>
      <c r="BE59" t="str">
        <f>IF($A59="","", INDEX(CS!$B$1:$B$12828,MATCH($A59,CS!$B:$B,0)+COLUMN(J$1),1))</f>
        <v/>
      </c>
      <c r="BF59" t="str">
        <f>IF($A59="","", INDEX(CS!$B$1:$B$12828,MATCH($A59,CS!$B:$B,0)+COLUMN(K$1),1))</f>
        <v/>
      </c>
      <c r="BG59" t="str">
        <f>IF($A59="","", INDEX(CS!$B$1:$B$12828,MATCH($A59,CS!$B:$B,0)+COLUMN(L$1),1))</f>
        <v/>
      </c>
    </row>
    <row r="60" spans="1:87" outlineLevel="1" x14ac:dyDescent="0.4">
      <c r="A60" t="s">
        <v>255</v>
      </c>
      <c r="B60" t="s">
        <v>30</v>
      </c>
      <c r="C60" t="s">
        <v>51</v>
      </c>
      <c r="D60" t="str">
        <f t="shared" si="4"/>
        <v>710/445/265</v>
      </c>
      <c r="E60">
        <v>1</v>
      </c>
      <c r="F60">
        <v>75</v>
      </c>
      <c r="I60">
        <v>75</v>
      </c>
      <c r="J60">
        <v>50</v>
      </c>
      <c r="K60" s="24">
        <v>25</v>
      </c>
      <c r="L60">
        <v>50</v>
      </c>
      <c r="M60">
        <v>85</v>
      </c>
      <c r="N60">
        <v>85</v>
      </c>
      <c r="AJ60">
        <v>25</v>
      </c>
      <c r="AL60">
        <v>50</v>
      </c>
      <c r="AM60">
        <v>25</v>
      </c>
      <c r="AN60">
        <v>90</v>
      </c>
      <c r="AO60">
        <v>75</v>
      </c>
      <c r="AX60">
        <f>IF($A60="","", INDEX(CS!$B$1:$B$12828,MATCH($A60,CS!$B:$B,0)+COLUMN(A$1),1))</f>
        <v>0</v>
      </c>
      <c r="AY60" t="str">
        <f>IF($A60="","", INDEX(CS!$B$1:$B$12828,MATCH($A60,CS!$B:$B,0)+COLUMN(B$1),1))</f>
        <v>急所撃</v>
      </c>
      <c r="AZ60" t="str">
        <f>IF($A60="","", INDEX(CS!$B$1:$B$12828,MATCH($A60,CS!$B:$B,0)+COLUMN(C$1),1))</f>
        <v>隠密</v>
      </c>
      <c r="BA60">
        <f>IF($A60="","", INDEX(CS!$B$1:$B$12828,MATCH($A60,CS!$B:$B,0)+COLUMN(D$1),1))</f>
        <v>0</v>
      </c>
      <c r="BB60" t="str">
        <f>IF($A60="","", INDEX(CS!$B$1:$B$12828,MATCH($A60,CS!$B:$B,0)+COLUMN(E$1),1))</f>
        <v>痛撃</v>
      </c>
      <c r="BC60" t="str">
        <f>IF($A60="","", INDEX(CS!$B$1:$B$12828,MATCH($A60,CS!$B:$B,0)+COLUMN(F$1),1))</f>
        <v>罠技術</v>
      </c>
      <c r="BD60">
        <f>IF($A60="","", INDEX(CS!$B$1:$B$12828,MATCH($A60,CS!$B:$B,0)+COLUMN(I$1),1))</f>
        <v>0</v>
      </c>
      <c r="BE60">
        <f>IF($A60="","", INDEX(CS!$B$1:$B$12828,MATCH($A60,CS!$B:$B,0)+COLUMN(J$1),1))</f>
        <v>0</v>
      </c>
      <c r="BF60">
        <f>IF($A60="","", INDEX(CS!$B$1:$B$12828,MATCH($A60,CS!$B:$B,0)+COLUMN(K$1),1))</f>
        <v>0</v>
      </c>
      <c r="BG60">
        <f>IF($A60="","", INDEX(CS!$B$1:$B$12828,MATCH($A60,CS!$B:$B,0)+COLUMN(L$1),1))</f>
        <v>0</v>
      </c>
      <c r="BH60" t="s">
        <v>932</v>
      </c>
      <c r="CB60" t="s">
        <v>1231</v>
      </c>
      <c r="CE60" t="s">
        <v>968</v>
      </c>
      <c r="CF60" t="s">
        <v>1179</v>
      </c>
      <c r="CI60" t="s">
        <v>1045</v>
      </c>
    </row>
    <row r="61" spans="1:87" outlineLevel="1" x14ac:dyDescent="0.4">
      <c r="A61" t="s">
        <v>32</v>
      </c>
      <c r="B61" t="s">
        <v>36</v>
      </c>
      <c r="C61" t="s">
        <v>51</v>
      </c>
      <c r="D61" t="str">
        <f t="shared" si="4"/>
        <v>710/460/250</v>
      </c>
      <c r="E61">
        <v>1</v>
      </c>
      <c r="F61">
        <v>75</v>
      </c>
      <c r="I61">
        <v>75</v>
      </c>
      <c r="J61">
        <v>75</v>
      </c>
      <c r="K61" s="24">
        <v>25</v>
      </c>
      <c r="L61">
        <v>50</v>
      </c>
      <c r="M61">
        <v>75</v>
      </c>
      <c r="N61">
        <v>85</v>
      </c>
      <c r="AL61">
        <v>50</v>
      </c>
      <c r="AM61">
        <v>35</v>
      </c>
      <c r="AN61">
        <v>75</v>
      </c>
      <c r="AO61">
        <v>90</v>
      </c>
      <c r="AX61">
        <f>IF($A61="","", INDEX(CS!$B$1:$B$12828,MATCH($A61,CS!$B:$B,0)+COLUMN(A$1),1))</f>
        <v>0</v>
      </c>
      <c r="AY61">
        <f>IF($A61="","", INDEX(CS!$B$1:$B$12828,MATCH($A61,CS!$B:$B,0)+COLUMN(B$1),1))</f>
        <v>0</v>
      </c>
      <c r="AZ61">
        <f>IF($A61="","", INDEX(CS!$B$1:$B$12828,MATCH($A61,CS!$B:$B,0)+COLUMN(C$1),1))</f>
        <v>0</v>
      </c>
      <c r="BA61">
        <f>IF($A61="","", INDEX(CS!$B$1:$B$12828,MATCH($A61,CS!$B:$B,0)+COLUMN(D$1),1))</f>
        <v>0</v>
      </c>
      <c r="BB61">
        <f>IF($A61="","", INDEX(CS!$B$1:$B$12828,MATCH($A61,CS!$B:$B,0)+COLUMN(E$1),1))</f>
        <v>0</v>
      </c>
      <c r="BC61">
        <f>IF($A61="","", INDEX(CS!$B$1:$B$12828,MATCH($A61,CS!$B:$B,0)+COLUMN(F$1),1))</f>
        <v>0</v>
      </c>
      <c r="BD61">
        <f>IF($A61="","", INDEX(CS!$B$1:$B$12828,MATCH($A61,CS!$B:$B,0)+COLUMN(I$1),1))</f>
        <v>0</v>
      </c>
      <c r="BE61">
        <f>IF($A61="","", INDEX(CS!$B$1:$B$12828,MATCH($A61,CS!$B:$B,0)+COLUMN(J$1),1))</f>
        <v>0</v>
      </c>
      <c r="BF61">
        <f>IF($A61="","", INDEX(CS!$B$1:$B$12828,MATCH($A61,CS!$B:$B,0)+COLUMN(K$1),1))</f>
        <v>0</v>
      </c>
      <c r="BG61">
        <f>IF($A61="","", INDEX(CS!$B$1:$B$12828,MATCH($A61,CS!$B:$B,0)+COLUMN(L$1),1))</f>
        <v>0</v>
      </c>
      <c r="BH61" t="s">
        <v>932</v>
      </c>
      <c r="CB61" t="s">
        <v>1232</v>
      </c>
      <c r="CE61" t="s">
        <v>968</v>
      </c>
      <c r="CF61" t="s">
        <v>1179</v>
      </c>
      <c r="CI61" t="s">
        <v>1045</v>
      </c>
    </row>
    <row r="62" spans="1:87" outlineLevel="1" x14ac:dyDescent="0.4">
      <c r="A62" t="s">
        <v>34</v>
      </c>
      <c r="B62" t="s">
        <v>35</v>
      </c>
      <c r="C62" t="s">
        <v>51</v>
      </c>
      <c r="D62" t="str">
        <f t="shared" si="4"/>
        <v>710/445/265</v>
      </c>
      <c r="E62">
        <v>1</v>
      </c>
      <c r="F62">
        <v>75</v>
      </c>
      <c r="I62">
        <v>75</v>
      </c>
      <c r="J62">
        <v>50</v>
      </c>
      <c r="K62" s="24">
        <v>25</v>
      </c>
      <c r="L62">
        <v>50</v>
      </c>
      <c r="M62">
        <v>85</v>
      </c>
      <c r="N62">
        <v>85</v>
      </c>
      <c r="AL62">
        <v>50</v>
      </c>
      <c r="AM62">
        <v>65</v>
      </c>
      <c r="AN62">
        <v>75</v>
      </c>
      <c r="AO62">
        <v>75</v>
      </c>
      <c r="AX62">
        <f>IF($A62="","", INDEX(CS!$B$1:$B$12828,MATCH($A62,CS!$B:$B,0)+COLUMN(A$1),1))</f>
        <v>0</v>
      </c>
      <c r="AY62">
        <f>IF($A62="","", INDEX(CS!$B$1:$B$12828,MATCH($A62,CS!$B:$B,0)+COLUMN(B$1),1))</f>
        <v>0</v>
      </c>
      <c r="AZ62">
        <f>IF($A62="","", INDEX(CS!$B$1:$B$12828,MATCH($A62,CS!$B:$B,0)+COLUMN(C$1),1))</f>
        <v>0</v>
      </c>
      <c r="BA62">
        <f>IF($A62="","", INDEX(CS!$B$1:$B$12828,MATCH($A62,CS!$B:$B,0)+COLUMN(D$1),1))</f>
        <v>0</v>
      </c>
      <c r="BB62">
        <f>IF($A62="","", INDEX(CS!$B$1:$B$12828,MATCH($A62,CS!$B:$B,0)+COLUMN(E$1),1))</f>
        <v>0</v>
      </c>
      <c r="BC62">
        <f>IF($A62="","", INDEX(CS!$B$1:$B$12828,MATCH($A62,CS!$B:$B,0)+COLUMN(F$1),1))</f>
        <v>0</v>
      </c>
      <c r="BD62">
        <f>IF($A62="","", INDEX(CS!$B$1:$B$12828,MATCH($A62,CS!$B:$B,0)+COLUMN(I$1),1))</f>
        <v>0</v>
      </c>
      <c r="BE62">
        <f>IF($A62="","", INDEX(CS!$B$1:$B$12828,MATCH($A62,CS!$B:$B,0)+COLUMN(J$1),1))</f>
        <v>0</v>
      </c>
      <c r="BF62">
        <f>IF($A62="","", INDEX(CS!$B$1:$B$12828,MATCH($A62,CS!$B:$B,0)+COLUMN(K$1),1))</f>
        <v>0</v>
      </c>
      <c r="BG62">
        <f>IF($A62="","", INDEX(CS!$B$1:$B$12828,MATCH($A62,CS!$B:$B,0)+COLUMN(L$1),1))</f>
        <v>0</v>
      </c>
      <c r="BH62" t="s">
        <v>932</v>
      </c>
      <c r="CB62" t="s">
        <v>1231</v>
      </c>
      <c r="CE62" t="s">
        <v>968</v>
      </c>
      <c r="CF62" t="s">
        <v>1179</v>
      </c>
      <c r="CI62" t="s">
        <v>1045</v>
      </c>
    </row>
    <row r="63" spans="1:87" outlineLevel="1" x14ac:dyDescent="0.4">
      <c r="C63" t="s">
        <v>51</v>
      </c>
      <c r="D63" t="str">
        <f t="shared" si="4"/>
        <v>0/0/0</v>
      </c>
      <c r="E63">
        <v>1</v>
      </c>
      <c r="AX63" t="str">
        <f>IF($A63="","", INDEX(CS!$B$1:$B$12828,MATCH($A63,CS!$B:$B,0)+COLUMN(A$1),1))</f>
        <v/>
      </c>
      <c r="AY63" t="str">
        <f>IF($A63="","", INDEX(CS!$B$1:$B$12828,MATCH($A63,CS!$B:$B,0)+COLUMN(B$1),1))</f>
        <v/>
      </c>
      <c r="AZ63" t="str">
        <f>IF($A63="","", INDEX(CS!$B$1:$B$12828,MATCH($A63,CS!$B:$B,0)+COLUMN(C$1),1))</f>
        <v/>
      </c>
      <c r="BA63" t="str">
        <f>IF($A63="","", INDEX(CS!$B$1:$B$12828,MATCH($A63,CS!$B:$B,0)+COLUMN(D$1),1))</f>
        <v/>
      </c>
      <c r="BB63" t="str">
        <f>IF($A63="","", INDEX(CS!$B$1:$B$12828,MATCH($A63,CS!$B:$B,0)+COLUMN(E$1),1))</f>
        <v/>
      </c>
      <c r="BC63" t="str">
        <f>IF($A63="","", INDEX(CS!$B$1:$B$12828,MATCH($A63,CS!$B:$B,0)+COLUMN(F$1),1))</f>
        <v/>
      </c>
      <c r="BD63" t="str">
        <f>IF($A63="","", INDEX(CS!$B$1:$B$12828,MATCH($A63,CS!$B:$B,0)+COLUMN(I$1),1))</f>
        <v/>
      </c>
      <c r="BE63" t="str">
        <f>IF($A63="","", INDEX(CS!$B$1:$B$12828,MATCH($A63,CS!$B:$B,0)+COLUMN(J$1),1))</f>
        <v/>
      </c>
      <c r="BF63" t="str">
        <f>IF($A63="","", INDEX(CS!$B$1:$B$12828,MATCH($A63,CS!$B:$B,0)+COLUMN(K$1),1))</f>
        <v/>
      </c>
      <c r="BG63" t="str">
        <f>IF($A63="","", INDEX(CS!$B$1:$B$12828,MATCH($A63,CS!$B:$B,0)+COLUMN(L$1),1))</f>
        <v/>
      </c>
    </row>
    <row r="64" spans="1:87" outlineLevel="1" x14ac:dyDescent="0.4">
      <c r="A64" t="s">
        <v>249</v>
      </c>
      <c r="B64" t="s">
        <v>252</v>
      </c>
      <c r="C64" t="s">
        <v>51</v>
      </c>
      <c r="D64" t="str">
        <f t="shared" si="4"/>
        <v>710/470/240</v>
      </c>
      <c r="E64">
        <v>1</v>
      </c>
      <c r="F64">
        <v>60</v>
      </c>
      <c r="I64">
        <v>50</v>
      </c>
      <c r="J64">
        <v>55</v>
      </c>
      <c r="K64" s="24">
        <v>90</v>
      </c>
      <c r="L64">
        <v>90</v>
      </c>
      <c r="M64">
        <v>50</v>
      </c>
      <c r="N64">
        <v>75</v>
      </c>
      <c r="AK64">
        <v>90</v>
      </c>
      <c r="AT64">
        <v>50</v>
      </c>
      <c r="AV64">
        <v>100</v>
      </c>
      <c r="AX64">
        <f>IF($A64="","", INDEX(CS!$B$1:$B$12828,MATCH($A64,CS!$B:$B,0)+COLUMN(A$1),1))</f>
        <v>0</v>
      </c>
      <c r="AY64">
        <f>IF($A64="","", INDEX(CS!$B$1:$B$12828,MATCH($A64,CS!$B:$B,0)+COLUMN(B$1),1))</f>
        <v>0</v>
      </c>
      <c r="AZ64">
        <f>IF($A64="","", INDEX(CS!$B$1:$B$12828,MATCH($A64,CS!$B:$B,0)+COLUMN(C$1),1))</f>
        <v>0</v>
      </c>
      <c r="BA64">
        <f>IF($A64="","", INDEX(CS!$B$1:$B$12828,MATCH($A64,CS!$B:$B,0)+COLUMN(D$1),1))</f>
        <v>0</v>
      </c>
      <c r="BB64">
        <f>IF($A64="","", INDEX(CS!$B$1:$B$12828,MATCH($A64,CS!$B:$B,0)+COLUMN(E$1),1))</f>
        <v>0</v>
      </c>
      <c r="BC64">
        <f>IF($A64="","", INDEX(CS!$B$1:$B$12828,MATCH($A64,CS!$B:$B,0)+COLUMN(F$1),1))</f>
        <v>0</v>
      </c>
      <c r="BD64">
        <f>IF($A64="","", INDEX(CS!$B$1:$B$12828,MATCH($A64,CS!$B:$B,0)+COLUMN(I$1),1))</f>
        <v>0</v>
      </c>
      <c r="BE64">
        <f>IF($A64="","", INDEX(CS!$B$1:$B$12828,MATCH($A64,CS!$B:$B,0)+COLUMN(J$1),1))</f>
        <v>0</v>
      </c>
      <c r="BF64">
        <f>IF($A64="","", INDEX(CS!$B$1:$B$12828,MATCH($A64,CS!$B:$B,0)+COLUMN(K$1),1))</f>
        <v>0</v>
      </c>
      <c r="BG64">
        <f>IF($A64="","", INDEX(CS!$B$1:$B$12828,MATCH($A64,CS!$B:$B,0)+COLUMN(L$1),1))</f>
        <v>0</v>
      </c>
      <c r="BH64" t="s">
        <v>932</v>
      </c>
      <c r="CB64" t="s">
        <v>698</v>
      </c>
      <c r="CD64" t="s">
        <v>965</v>
      </c>
      <c r="CE64" t="s">
        <v>969</v>
      </c>
      <c r="CF64" t="s">
        <v>1179</v>
      </c>
      <c r="CI64" t="s">
        <v>252</v>
      </c>
    </row>
    <row r="65" spans="1:87" outlineLevel="1" x14ac:dyDescent="0.4">
      <c r="A65" t="s">
        <v>251</v>
      </c>
      <c r="B65" t="s">
        <v>253</v>
      </c>
      <c r="C65" t="s">
        <v>51</v>
      </c>
      <c r="D65" t="str">
        <f t="shared" si="4"/>
        <v>710/465/245</v>
      </c>
      <c r="E65">
        <v>1</v>
      </c>
      <c r="F65">
        <v>60</v>
      </c>
      <c r="I65">
        <v>50</v>
      </c>
      <c r="J65">
        <v>55</v>
      </c>
      <c r="K65" s="24">
        <v>85</v>
      </c>
      <c r="L65">
        <v>90</v>
      </c>
      <c r="M65">
        <v>50</v>
      </c>
      <c r="N65">
        <v>75</v>
      </c>
      <c r="AK65">
        <v>75</v>
      </c>
      <c r="AL65">
        <v>50</v>
      </c>
      <c r="AM65">
        <v>20</v>
      </c>
      <c r="AV65">
        <v>100</v>
      </c>
      <c r="AX65">
        <f>IF($A65="","", INDEX(CS!$B$1:$B$12828,MATCH($A65,CS!$B:$B,0)+COLUMN(A$1),1))</f>
        <v>0</v>
      </c>
      <c r="AY65">
        <f>IF($A65="","", INDEX(CS!$B$1:$B$12828,MATCH($A65,CS!$B:$B,0)+COLUMN(B$1),1))</f>
        <v>0</v>
      </c>
      <c r="AZ65">
        <f>IF($A65="","", INDEX(CS!$B$1:$B$12828,MATCH($A65,CS!$B:$B,0)+COLUMN(C$1),1))</f>
        <v>0</v>
      </c>
      <c r="BA65">
        <f>IF($A65="","", INDEX(CS!$B$1:$B$12828,MATCH($A65,CS!$B:$B,0)+COLUMN(D$1),1))</f>
        <v>0</v>
      </c>
      <c r="BB65">
        <f>IF($A65="","", INDEX(CS!$B$1:$B$12828,MATCH($A65,CS!$B:$B,0)+COLUMN(E$1),1))</f>
        <v>0</v>
      </c>
      <c r="BC65">
        <f>IF($A65="","", INDEX(CS!$B$1:$B$12828,MATCH($A65,CS!$B:$B,0)+COLUMN(F$1),1))</f>
        <v>0</v>
      </c>
      <c r="BD65">
        <f>IF($A65="","", INDEX(CS!$B$1:$B$12828,MATCH($A65,CS!$B:$B,0)+COLUMN(I$1),1))</f>
        <v>0</v>
      </c>
      <c r="BE65">
        <f>IF($A65="","", INDEX(CS!$B$1:$B$12828,MATCH($A65,CS!$B:$B,0)+COLUMN(J$1),1))</f>
        <v>0</v>
      </c>
      <c r="BF65">
        <f>IF($A65="","", INDEX(CS!$B$1:$B$12828,MATCH($A65,CS!$B:$B,0)+COLUMN(K$1),1))</f>
        <v>0</v>
      </c>
      <c r="BG65">
        <f>IF($A65="","", INDEX(CS!$B$1:$B$12828,MATCH($A65,CS!$B:$B,0)+COLUMN(L$1),1))</f>
        <v>0</v>
      </c>
      <c r="BH65" t="s">
        <v>932</v>
      </c>
      <c r="CB65" t="s">
        <v>698</v>
      </c>
      <c r="CD65" t="s">
        <v>965</v>
      </c>
      <c r="CE65" t="s">
        <v>969</v>
      </c>
      <c r="CF65" t="s">
        <v>1179</v>
      </c>
      <c r="CI65" t="s">
        <v>252</v>
      </c>
    </row>
    <row r="66" spans="1:87" outlineLevel="1" x14ac:dyDescent="0.4">
      <c r="A66" t="s">
        <v>250</v>
      </c>
      <c r="B66" t="s">
        <v>254</v>
      </c>
      <c r="C66" t="s">
        <v>51</v>
      </c>
      <c r="D66" t="str">
        <f t="shared" si="4"/>
        <v>710/465/245</v>
      </c>
      <c r="E66">
        <v>1</v>
      </c>
      <c r="F66">
        <v>65</v>
      </c>
      <c r="I66">
        <v>55</v>
      </c>
      <c r="J66">
        <v>65</v>
      </c>
      <c r="K66" s="24">
        <v>85</v>
      </c>
      <c r="L66">
        <v>70</v>
      </c>
      <c r="M66">
        <v>50</v>
      </c>
      <c r="N66">
        <v>75</v>
      </c>
      <c r="AK66">
        <v>50</v>
      </c>
      <c r="AM66">
        <v>95</v>
      </c>
      <c r="AV66">
        <v>100</v>
      </c>
      <c r="AX66">
        <f>IF($A66="","", INDEX(CS!$B$1:$B$12828,MATCH($A66,CS!$B:$B,0)+COLUMN(A$1),1))</f>
        <v>0</v>
      </c>
      <c r="AY66">
        <f>IF($A66="","", INDEX(CS!$B$1:$B$12828,MATCH($A66,CS!$B:$B,0)+COLUMN(B$1),1))</f>
        <v>0</v>
      </c>
      <c r="AZ66">
        <f>IF($A66="","", INDEX(CS!$B$1:$B$12828,MATCH($A66,CS!$B:$B,0)+COLUMN(C$1),1))</f>
        <v>0</v>
      </c>
      <c r="BA66">
        <f>IF($A66="","", INDEX(CS!$B$1:$B$12828,MATCH($A66,CS!$B:$B,0)+COLUMN(D$1),1))</f>
        <v>0</v>
      </c>
      <c r="BB66">
        <f>IF($A66="","", INDEX(CS!$B$1:$B$12828,MATCH($A66,CS!$B:$B,0)+COLUMN(E$1),1))</f>
        <v>0</v>
      </c>
      <c r="BC66">
        <f>IF($A66="","", INDEX(CS!$B$1:$B$12828,MATCH($A66,CS!$B:$B,0)+COLUMN(F$1),1))</f>
        <v>0</v>
      </c>
      <c r="BD66">
        <f>IF($A66="","", INDEX(CS!$B$1:$B$12828,MATCH($A66,CS!$B:$B,0)+COLUMN(I$1),1))</f>
        <v>0</v>
      </c>
      <c r="BE66">
        <f>IF($A66="","", INDEX(CS!$B$1:$B$12828,MATCH($A66,CS!$B:$B,0)+COLUMN(J$1),1))</f>
        <v>0</v>
      </c>
      <c r="BF66">
        <f>IF($A66="","", INDEX(CS!$B$1:$B$12828,MATCH($A66,CS!$B:$B,0)+COLUMN(K$1),1))</f>
        <v>0</v>
      </c>
      <c r="BG66">
        <f>IF($A66="","", INDEX(CS!$B$1:$B$12828,MATCH($A66,CS!$B:$B,0)+COLUMN(L$1),1))</f>
        <v>0</v>
      </c>
      <c r="BH66" t="s">
        <v>932</v>
      </c>
      <c r="CB66" t="s">
        <v>698</v>
      </c>
      <c r="CD66" t="s">
        <v>965</v>
      </c>
      <c r="CE66" t="s">
        <v>969</v>
      </c>
      <c r="CF66" t="s">
        <v>1179</v>
      </c>
      <c r="CI66" t="s">
        <v>252</v>
      </c>
    </row>
    <row r="67" spans="1:87" outlineLevel="1" x14ac:dyDescent="0.4">
      <c r="C67" t="s">
        <v>51</v>
      </c>
      <c r="D67" t="str">
        <f t="shared" si="4"/>
        <v>0/0/0</v>
      </c>
      <c r="E67">
        <v>1</v>
      </c>
      <c r="AX67" t="str">
        <f>IF($A67="","", INDEX(CS!$B$1:$B$12828,MATCH($A67,CS!$B:$B,0)+COLUMN(A$1),1))</f>
        <v/>
      </c>
      <c r="AY67" t="str">
        <f>IF($A67="","", INDEX(CS!$B$1:$B$12828,MATCH($A67,CS!$B:$B,0)+COLUMN(B$1),1))</f>
        <v/>
      </c>
      <c r="AZ67" t="str">
        <f>IF($A67="","", INDEX(CS!$B$1:$B$12828,MATCH($A67,CS!$B:$B,0)+COLUMN(C$1),1))</f>
        <v/>
      </c>
      <c r="BA67" t="str">
        <f>IF($A67="","", INDEX(CS!$B$1:$B$12828,MATCH($A67,CS!$B:$B,0)+COLUMN(D$1),1))</f>
        <v/>
      </c>
      <c r="BB67" t="str">
        <f>IF($A67="","", INDEX(CS!$B$1:$B$12828,MATCH($A67,CS!$B:$B,0)+COLUMN(E$1),1))</f>
        <v/>
      </c>
      <c r="BC67" t="str">
        <f>IF($A67="","", INDEX(CS!$B$1:$B$12828,MATCH($A67,CS!$B:$B,0)+COLUMN(F$1),1))</f>
        <v/>
      </c>
      <c r="BD67" t="str">
        <f>IF($A67="","", INDEX(CS!$B$1:$B$12828,MATCH($A67,CS!$B:$B,0)+COLUMN(I$1),1))</f>
        <v/>
      </c>
      <c r="BE67" t="str">
        <f>IF($A67="","", INDEX(CS!$B$1:$B$12828,MATCH($A67,CS!$B:$B,0)+COLUMN(J$1),1))</f>
        <v/>
      </c>
      <c r="BF67" t="str">
        <f>IF($A67="","", INDEX(CS!$B$1:$B$12828,MATCH($A67,CS!$B:$B,0)+COLUMN(K$1),1))</f>
        <v/>
      </c>
      <c r="BG67" t="str">
        <f>IF($A67="","", INDEX(CS!$B$1:$B$12828,MATCH($A67,CS!$B:$B,0)+COLUMN(L$1),1))</f>
        <v/>
      </c>
    </row>
    <row r="68" spans="1:87" outlineLevel="1" x14ac:dyDescent="0.4">
      <c r="A68" t="s">
        <v>38</v>
      </c>
      <c r="B68" t="s">
        <v>193</v>
      </c>
      <c r="C68" t="s">
        <v>51</v>
      </c>
      <c r="D68" t="str">
        <f t="shared" si="4"/>
        <v>710/485/225</v>
      </c>
      <c r="E68">
        <v>1</v>
      </c>
      <c r="F68">
        <v>75</v>
      </c>
      <c r="I68">
        <v>70</v>
      </c>
      <c r="J68">
        <v>70</v>
      </c>
      <c r="K68" s="24">
        <v>75</v>
      </c>
      <c r="L68">
        <v>70</v>
      </c>
      <c r="M68">
        <v>50</v>
      </c>
      <c r="N68">
        <v>75</v>
      </c>
      <c r="AK68">
        <v>75</v>
      </c>
      <c r="AT68">
        <v>50</v>
      </c>
      <c r="AW68">
        <v>100</v>
      </c>
      <c r="AX68" t="str">
        <f>IF($A68="","", INDEX(CS!$B$1:$B$12828,MATCH($A68,CS!$B:$B,0)+COLUMN(A$1),1))</f>
        <v>光粒</v>
      </c>
      <c r="AY68" t="str">
        <f>IF($A68="","", INDEX(CS!$B$1:$B$12828,MATCH($A68,CS!$B:$B,0)+COLUMN(B$1),1))</f>
        <v>軽回復</v>
      </c>
      <c r="AZ68">
        <f>IF($A68="","", INDEX(CS!$B$1:$B$12828,MATCH($A68,CS!$B:$B,0)+COLUMN(C$1),1))</f>
        <v>0</v>
      </c>
      <c r="BA68">
        <f>IF($A68="","", INDEX(CS!$B$1:$B$12828,MATCH($A68,CS!$B:$B,0)+COLUMN(D$1),1))</f>
        <v>0</v>
      </c>
      <c r="BB68">
        <f>IF($A68="","", INDEX(CS!$B$1:$B$12828,MATCH($A68,CS!$B:$B,0)+COLUMN(E$1),1))</f>
        <v>0</v>
      </c>
      <c r="BC68">
        <f>IF($A68="","", INDEX(CS!$B$1:$B$12828,MATCH($A68,CS!$B:$B,0)+COLUMN(F$1),1))</f>
        <v>0</v>
      </c>
      <c r="BD68">
        <f>IF($A68="","", INDEX(CS!$B$1:$B$12828,MATCH($A68,CS!$B:$B,0)+COLUMN(I$1),1))</f>
        <v>0</v>
      </c>
      <c r="BE68">
        <f>IF($A68="","", INDEX(CS!$B$1:$B$12828,MATCH($A68,CS!$B:$B,0)+COLUMN(J$1),1))</f>
        <v>0</v>
      </c>
      <c r="BF68">
        <f>IF($A68="","", INDEX(CS!$B$1:$B$12828,MATCH($A68,CS!$B:$B,0)+COLUMN(K$1),1))</f>
        <v>0</v>
      </c>
      <c r="BG68">
        <f>IF($A68="","", INDEX(CS!$B$1:$B$12828,MATCH($A68,CS!$B:$B,0)+COLUMN(L$1),1))</f>
        <v>0</v>
      </c>
      <c r="BH68" t="s">
        <v>932</v>
      </c>
      <c r="CB68" t="s">
        <v>1233</v>
      </c>
      <c r="CD68" t="s">
        <v>965</v>
      </c>
      <c r="CE68" t="s">
        <v>969</v>
      </c>
      <c r="CF68" t="s">
        <v>1179</v>
      </c>
      <c r="CI68" t="s">
        <v>193</v>
      </c>
    </row>
    <row r="69" spans="1:87" outlineLevel="1" x14ac:dyDescent="0.4">
      <c r="A69" t="s">
        <v>40</v>
      </c>
      <c r="B69" t="s">
        <v>192</v>
      </c>
      <c r="C69" t="s">
        <v>51</v>
      </c>
      <c r="D69" t="str">
        <f t="shared" si="4"/>
        <v>710/485/225</v>
      </c>
      <c r="E69">
        <v>1</v>
      </c>
      <c r="F69">
        <v>85</v>
      </c>
      <c r="I69">
        <v>70</v>
      </c>
      <c r="J69">
        <v>85</v>
      </c>
      <c r="K69" s="24">
        <v>55</v>
      </c>
      <c r="L69">
        <v>60</v>
      </c>
      <c r="M69">
        <v>55</v>
      </c>
      <c r="N69">
        <v>75</v>
      </c>
      <c r="AI69">
        <v>50</v>
      </c>
      <c r="AK69">
        <v>50</v>
      </c>
      <c r="AT69">
        <v>50</v>
      </c>
      <c r="AW69">
        <v>75</v>
      </c>
      <c r="AX69">
        <f>IF($A69="","", INDEX(CS!$B$1:$B$12828,MATCH($A69,CS!$B:$B,0)+COLUMN(A$1),1))</f>
        <v>0</v>
      </c>
      <c r="AY69">
        <f>IF($A69="","", INDEX(CS!$B$1:$B$12828,MATCH($A69,CS!$B:$B,0)+COLUMN(B$1),1))</f>
        <v>0</v>
      </c>
      <c r="AZ69">
        <f>IF($A69="","", INDEX(CS!$B$1:$B$12828,MATCH($A69,CS!$B:$B,0)+COLUMN(C$1),1))</f>
        <v>0</v>
      </c>
      <c r="BA69">
        <f>IF($A69="","", INDEX(CS!$B$1:$B$12828,MATCH($A69,CS!$B:$B,0)+COLUMN(D$1),1))</f>
        <v>0</v>
      </c>
      <c r="BB69">
        <f>IF($A69="","", INDEX(CS!$B$1:$B$12828,MATCH($A69,CS!$B:$B,0)+COLUMN(E$1),1))</f>
        <v>0</v>
      </c>
      <c r="BC69">
        <f>IF($A69="","", INDEX(CS!$B$1:$B$12828,MATCH($A69,CS!$B:$B,0)+COLUMN(F$1),1))</f>
        <v>0</v>
      </c>
      <c r="BD69">
        <f>IF($A69="","", INDEX(CS!$B$1:$B$12828,MATCH($A69,CS!$B:$B,0)+COLUMN(I$1),1))</f>
        <v>0</v>
      </c>
      <c r="BE69">
        <f>IF($A69="","", INDEX(CS!$B$1:$B$12828,MATCH($A69,CS!$B:$B,0)+COLUMN(J$1),1))</f>
        <v>0</v>
      </c>
      <c r="BF69">
        <f>IF($A69="","", INDEX(CS!$B$1:$B$12828,MATCH($A69,CS!$B:$B,0)+COLUMN(K$1),1))</f>
        <v>0</v>
      </c>
      <c r="BG69">
        <f>IF($A69="","", INDEX(CS!$B$1:$B$12828,MATCH($A69,CS!$B:$B,0)+COLUMN(L$1),1))</f>
        <v>0</v>
      </c>
      <c r="BH69" t="s">
        <v>932</v>
      </c>
      <c r="CB69" t="s">
        <v>716</v>
      </c>
      <c r="CC69" t="s">
        <v>1230</v>
      </c>
      <c r="CD69" t="s">
        <v>965</v>
      </c>
      <c r="CE69" t="s">
        <v>969</v>
      </c>
      <c r="CF69" t="s">
        <v>1179</v>
      </c>
      <c r="CI69" t="s">
        <v>193</v>
      </c>
    </row>
    <row r="70" spans="1:87" outlineLevel="1" x14ac:dyDescent="0.4">
      <c r="A70" t="s">
        <v>190</v>
      </c>
      <c r="B70" t="s">
        <v>191</v>
      </c>
      <c r="C70" t="s">
        <v>51</v>
      </c>
      <c r="D70" t="str">
        <f t="shared" si="4"/>
        <v>710/485/225</v>
      </c>
      <c r="E70">
        <v>1</v>
      </c>
      <c r="F70">
        <v>75</v>
      </c>
      <c r="I70">
        <v>65</v>
      </c>
      <c r="J70">
        <v>65</v>
      </c>
      <c r="K70" s="24">
        <v>85</v>
      </c>
      <c r="L70">
        <v>70</v>
      </c>
      <c r="M70">
        <v>50</v>
      </c>
      <c r="N70">
        <v>75</v>
      </c>
      <c r="AK70">
        <v>75</v>
      </c>
      <c r="AL70">
        <v>25</v>
      </c>
      <c r="AM70">
        <v>25</v>
      </c>
      <c r="AO70">
        <v>50</v>
      </c>
      <c r="AW70">
        <v>50</v>
      </c>
      <c r="AX70" t="str">
        <f>IF($A70="","", INDEX(CS!$B$1:$B$12828,MATCH($A70,CS!$B:$B,0)+COLUMN(A$1),1))</f>
        <v>植物の絡み</v>
      </c>
      <c r="AY70">
        <f>IF($A70="","", INDEX(CS!$B$1:$B$12828,MATCH($A70,CS!$B:$B,0)+COLUMN(B$1),1))</f>
        <v>0</v>
      </c>
      <c r="AZ70" t="str">
        <f>IF($A70="","", INDEX(CS!$B$1:$B$12828,MATCH($A70,CS!$B:$B,0)+COLUMN(C$1),1))</f>
        <v>森の歩み</v>
      </c>
      <c r="BA70">
        <f>IF($A70="","", INDEX(CS!$B$1:$B$12828,MATCH($A70,CS!$B:$B,0)+COLUMN(D$1),1))</f>
        <v>0</v>
      </c>
      <c r="BB70">
        <f>IF($A70="","", INDEX(CS!$B$1:$B$12828,MATCH($A70,CS!$B:$B,0)+COLUMN(E$1),1))</f>
        <v>0</v>
      </c>
      <c r="BC70">
        <f>IF($A70="","", INDEX(CS!$B$1:$B$12828,MATCH($A70,CS!$B:$B,0)+COLUMN(F$1),1))</f>
        <v>0</v>
      </c>
      <c r="BD70">
        <f>IF($A70="","", INDEX(CS!$B$1:$B$12828,MATCH($A70,CS!$B:$B,0)+COLUMN(I$1),1))</f>
        <v>0</v>
      </c>
      <c r="BE70">
        <f>IF($A70="","", INDEX(CS!$B$1:$B$12828,MATCH($A70,CS!$B:$B,0)+COLUMN(J$1),1))</f>
        <v>0</v>
      </c>
      <c r="BF70">
        <f>IF($A70="","", INDEX(CS!$B$1:$B$12828,MATCH($A70,CS!$B:$B,0)+COLUMN(K$1),1))</f>
        <v>0</v>
      </c>
      <c r="BG70">
        <f>IF($A70="","", INDEX(CS!$B$1:$B$12828,MATCH($A70,CS!$B:$B,0)+COLUMN(L$1),1))</f>
        <v>0</v>
      </c>
      <c r="BH70" t="s">
        <v>932</v>
      </c>
      <c r="CB70" t="s">
        <v>1233</v>
      </c>
      <c r="CD70" t="s">
        <v>965</v>
      </c>
      <c r="CE70" t="s">
        <v>969</v>
      </c>
      <c r="CF70" t="s">
        <v>1179</v>
      </c>
      <c r="CI70" t="s">
        <v>193</v>
      </c>
    </row>
    <row r="71" spans="1:87" outlineLevel="1" x14ac:dyDescent="0.4">
      <c r="C71" t="s">
        <v>51</v>
      </c>
      <c r="D71" t="str">
        <f t="shared" si="4"/>
        <v>0/0/0</v>
      </c>
      <c r="E71">
        <v>1</v>
      </c>
      <c r="AX71" t="str">
        <f>IF($A71="","", INDEX(CS!$B$1:$B$12828,MATCH($A71,CS!$B:$B,0)+COLUMN(A$1),1))</f>
        <v/>
      </c>
      <c r="AY71" t="str">
        <f>IF($A71="","", INDEX(CS!$B$1:$B$12828,MATCH($A71,CS!$B:$B,0)+COLUMN(B$1),1))</f>
        <v/>
      </c>
      <c r="AZ71" t="str">
        <f>IF($A71="","", INDEX(CS!$B$1:$B$12828,MATCH($A71,CS!$B:$B,0)+COLUMN(C$1),1))</f>
        <v/>
      </c>
      <c r="BA71" t="str">
        <f>IF($A71="","", INDEX(CS!$B$1:$B$12828,MATCH($A71,CS!$B:$B,0)+COLUMN(D$1),1))</f>
        <v/>
      </c>
      <c r="BB71" t="str">
        <f>IF($A71="","", INDEX(CS!$B$1:$B$12828,MATCH($A71,CS!$B:$B,0)+COLUMN(E$1),1))</f>
        <v/>
      </c>
      <c r="BC71" t="str">
        <f>IF($A71="","", INDEX(CS!$B$1:$B$12828,MATCH($A71,CS!$B:$B,0)+COLUMN(F$1),1))</f>
        <v/>
      </c>
      <c r="BD71" t="str">
        <f>IF($A71="","", INDEX(CS!$B$1:$B$12828,MATCH($A71,CS!$B:$B,0)+COLUMN(I$1),1))</f>
        <v/>
      </c>
      <c r="BE71" t="str">
        <f>IF($A71="","", INDEX(CS!$B$1:$B$12828,MATCH($A71,CS!$B:$B,0)+COLUMN(J$1),1))</f>
        <v/>
      </c>
      <c r="BF71" t="str">
        <f>IF($A71="","", INDEX(CS!$B$1:$B$12828,MATCH($A71,CS!$B:$B,0)+COLUMN(K$1),1))</f>
        <v/>
      </c>
      <c r="BG71" t="str">
        <f>IF($A71="","", INDEX(CS!$B$1:$B$12828,MATCH($A71,CS!$B:$B,0)+COLUMN(L$1),1))</f>
        <v/>
      </c>
    </row>
    <row r="72" spans="1:87" x14ac:dyDescent="0.4">
      <c r="D72" t="str">
        <f t="shared" ref="D72" si="5">SUM(AI72:AW72,F72:N72)&amp;"/"&amp;SUM(F72:N72)&amp;"/"&amp;SUM(AI72:AW72)</f>
        <v>0/0/0</v>
      </c>
      <c r="AX72" t="str">
        <f>IF($A72="","", INDEX(CS!$B$1:$B$12828,MATCH($A72,CS!$B:$B,0)+COLUMN(A$1),1))</f>
        <v/>
      </c>
      <c r="AY72" t="str">
        <f>IF($A72="","", INDEX(CS!$B$1:$B$12828,MATCH($A72,CS!$B:$B,0)+COLUMN(B$1),1))</f>
        <v/>
      </c>
      <c r="AZ72" t="str">
        <f>IF($A72="","", INDEX(CS!$B$1:$B$12828,MATCH($A72,CS!$B:$B,0)+COLUMN(C$1),1))</f>
        <v/>
      </c>
      <c r="BA72" t="str">
        <f>IF($A72="","", INDEX(CS!$B$1:$B$12828,MATCH($A72,CS!$B:$B,0)+COLUMN(D$1),1))</f>
        <v/>
      </c>
      <c r="BB72" t="str">
        <f>IF($A72="","", INDEX(CS!$B$1:$B$12828,MATCH($A72,CS!$B:$B,0)+COLUMN(E$1),1))</f>
        <v/>
      </c>
      <c r="BC72" t="str">
        <f>IF($A72="","", INDEX(CS!$B$1:$B$12828,MATCH($A72,CS!$B:$B,0)+COLUMN(F$1),1))</f>
        <v/>
      </c>
      <c r="BD72" t="str">
        <f>IF($A72="","", INDEX(CS!$B$1:$B$12828,MATCH($A72,CS!$B:$B,0)+COLUMN(I$1),1))</f>
        <v/>
      </c>
      <c r="BE72" t="str">
        <f>IF($A72="","", INDEX(CS!$B$1:$B$12828,MATCH($A72,CS!$B:$B,0)+COLUMN(J$1),1))</f>
        <v/>
      </c>
      <c r="BF72" t="str">
        <f>IF($A72="","", INDEX(CS!$B$1:$B$12828,MATCH($A72,CS!$B:$B,0)+COLUMN(K$1),1))</f>
        <v/>
      </c>
      <c r="BG72" t="str">
        <f>IF($A72="","", INDEX(CS!$B$1:$B$12828,MATCH($A72,CS!$B:$B,0)+COLUMN(L$1),1))</f>
        <v/>
      </c>
    </row>
    <row r="73" spans="1:87" x14ac:dyDescent="0.4">
      <c r="B73" t="s">
        <v>941</v>
      </c>
      <c r="D73" t="str">
        <f t="shared" ref="D73" si="6">SUM(AI73:AW73,F73:N73)&amp;"/"&amp;SUM(F73:N73)&amp;"/"&amp;SUM(AI73:AW73)</f>
        <v>0/0/0</v>
      </c>
      <c r="E73">
        <v>1</v>
      </c>
      <c r="AX73" t="str">
        <f>IF($A73="","", INDEX(CS!$B$1:$B$12828,MATCH($A73,CS!$B:$B,0)+COLUMN(A$1),1))</f>
        <v/>
      </c>
      <c r="AY73" t="str">
        <f>IF($A73="","", INDEX(CS!$B$1:$B$12828,MATCH($A73,CS!$B:$B,0)+COLUMN(B$1),1))</f>
        <v/>
      </c>
      <c r="AZ73" t="str">
        <f>IF($A73="","", INDEX(CS!$B$1:$B$12828,MATCH($A73,CS!$B:$B,0)+COLUMN(C$1),1))</f>
        <v/>
      </c>
      <c r="BA73" t="str">
        <f>IF($A73="","", INDEX(CS!$B$1:$B$12828,MATCH($A73,CS!$B:$B,0)+COLUMN(D$1),1))</f>
        <v/>
      </c>
      <c r="BB73" t="str">
        <f>IF($A73="","", INDEX(CS!$B$1:$B$12828,MATCH($A73,CS!$B:$B,0)+COLUMN(E$1),1))</f>
        <v/>
      </c>
      <c r="BC73" t="str">
        <f>IF($A73="","", INDEX(CS!$B$1:$B$12828,MATCH($A73,CS!$B:$B,0)+COLUMN(F$1),1))</f>
        <v/>
      </c>
      <c r="BD73" t="str">
        <f>IF($A73="","", INDEX(CS!$B$1:$B$12828,MATCH($A73,CS!$B:$B,0)+COLUMN(I$1),1))</f>
        <v/>
      </c>
      <c r="BE73" t="str">
        <f>IF($A73="","", INDEX(CS!$B$1:$B$12828,MATCH($A73,CS!$B:$B,0)+COLUMN(J$1),1))</f>
        <v/>
      </c>
      <c r="BF73" t="str">
        <f>IF($A73="","", INDEX(CS!$B$1:$B$12828,MATCH($A73,CS!$B:$B,0)+COLUMN(K$1),1))</f>
        <v/>
      </c>
      <c r="BG73" t="str">
        <f>IF($A73="","", INDEX(CS!$B$1:$B$12828,MATCH($A73,CS!$B:$B,0)+COLUMN(L$1),1))</f>
        <v/>
      </c>
    </row>
    <row r="74" spans="1:87" outlineLevel="1" x14ac:dyDescent="0.4">
      <c r="A74" t="s">
        <v>942</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INDEX(CS!$B$1:$B$12828,MATCH($A74,CS!$B:$B,0)+COLUMN(A$1),1))</f>
        <v>#N/A</v>
      </c>
      <c r="AY74" t="e">
        <f>IF($A74="","", INDEX(CS!$B$1:$B$12828,MATCH($A74,CS!$B:$B,0)+COLUMN(B$1),1))</f>
        <v>#N/A</v>
      </c>
      <c r="AZ74" t="e">
        <f>IF($A74="","", INDEX(CS!$B$1:$B$12828,MATCH($A74,CS!$B:$B,0)+COLUMN(C$1),1))</f>
        <v>#N/A</v>
      </c>
      <c r="BA74" t="e">
        <f>IF($A74="","", INDEX(CS!$B$1:$B$12828,MATCH($A74,CS!$B:$B,0)+COLUMN(D$1),1))</f>
        <v>#N/A</v>
      </c>
      <c r="BB74" t="e">
        <f>IF($A74="","", INDEX(CS!$B$1:$B$12828,MATCH($A74,CS!$B:$B,0)+COLUMN(E$1),1))</f>
        <v>#N/A</v>
      </c>
      <c r="BC74" t="e">
        <f>IF($A74="","", INDEX(CS!$B$1:$B$12828,MATCH($A74,CS!$B:$B,0)+COLUMN(F$1),1))</f>
        <v>#N/A</v>
      </c>
      <c r="BD74" t="e">
        <f>IF($A74="","", INDEX(CS!$B$1:$B$12828,MATCH($A74,CS!$B:$B,0)+COLUMN(I$1),1))</f>
        <v>#N/A</v>
      </c>
      <c r="BE74" t="e">
        <f>IF($A74="","", INDEX(CS!$B$1:$B$12828,MATCH($A74,CS!$B:$B,0)+COLUMN(J$1),1))</f>
        <v>#N/A</v>
      </c>
      <c r="BF74" t="e">
        <f>IF($A74="","", INDEX(CS!$B$1:$B$12828,MATCH($A74,CS!$B:$B,0)+COLUMN(K$1),1))</f>
        <v>#N/A</v>
      </c>
      <c r="BG74" t="e">
        <f>IF($A74="","", INDEX(CS!$B$1:$B$12828,MATCH($A74,CS!$B:$B,0)+COLUMN(L$1),1))</f>
        <v>#N/A</v>
      </c>
      <c r="BI74" t="s">
        <v>943</v>
      </c>
      <c r="CB74" t="s">
        <v>1231</v>
      </c>
      <c r="CE74" t="s">
        <v>968</v>
      </c>
      <c r="CF74" t="s">
        <v>1179</v>
      </c>
      <c r="CI74" t="s">
        <v>1045</v>
      </c>
    </row>
    <row r="75" spans="1:87"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INDEX(CS!$B$1:$B$12828,MATCH($A75,CS!$B:$B,0)+COLUMN(A$1),1))</f>
        <v/>
      </c>
      <c r="AY75" t="str">
        <f>IF($A75="","", INDEX(CS!$B$1:$B$12828,MATCH($A75,CS!$B:$B,0)+COLUMN(B$1),1))</f>
        <v/>
      </c>
      <c r="AZ75" t="str">
        <f>IF($A75="","", INDEX(CS!$B$1:$B$12828,MATCH($A75,CS!$B:$B,0)+COLUMN(C$1),1))</f>
        <v/>
      </c>
      <c r="BA75" t="str">
        <f>IF($A75="","", INDEX(CS!$B$1:$B$12828,MATCH($A75,CS!$B:$B,0)+COLUMN(D$1),1))</f>
        <v/>
      </c>
      <c r="BB75" t="str">
        <f>IF($A75="","", INDEX(CS!$B$1:$B$12828,MATCH($A75,CS!$B:$B,0)+COLUMN(E$1),1))</f>
        <v/>
      </c>
      <c r="BC75" t="str">
        <f>IF($A75="","", INDEX(CS!$B$1:$B$12828,MATCH($A75,CS!$B:$B,0)+COLUMN(F$1),1))</f>
        <v/>
      </c>
      <c r="BD75" t="str">
        <f>IF($A75="","", INDEX(CS!$B$1:$B$12828,MATCH($A75,CS!$B:$B,0)+COLUMN(I$1),1))</f>
        <v/>
      </c>
      <c r="BE75" t="str">
        <f>IF($A75="","", INDEX(CS!$B$1:$B$12828,MATCH($A75,CS!$B:$B,0)+COLUMN(J$1),1))</f>
        <v/>
      </c>
      <c r="BF75" t="str">
        <f>IF($A75="","", INDEX(CS!$B$1:$B$12828,MATCH($A75,CS!$B:$B,0)+COLUMN(K$1),1))</f>
        <v/>
      </c>
      <c r="BG75" t="str">
        <f>IF($A75="","", INDEX(CS!$B$1:$B$12828,MATCH($A75,CS!$B:$B,0)+COLUMN(L$1),1))</f>
        <v/>
      </c>
    </row>
    <row r="76" spans="1:87"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INDEX(CS!$B$1:$B$12828,MATCH($A76,CS!$B:$B,0)+COLUMN(A$1),1))</f>
        <v/>
      </c>
      <c r="AY76" t="str">
        <f>IF($A76="","", INDEX(CS!$B$1:$B$12828,MATCH($A76,CS!$B:$B,0)+COLUMN(B$1),1))</f>
        <v/>
      </c>
      <c r="AZ76" t="str">
        <f>IF($A76="","", INDEX(CS!$B$1:$B$12828,MATCH($A76,CS!$B:$B,0)+COLUMN(C$1),1))</f>
        <v/>
      </c>
      <c r="BA76" t="str">
        <f>IF($A76="","", INDEX(CS!$B$1:$B$12828,MATCH($A76,CS!$B:$B,0)+COLUMN(D$1),1))</f>
        <v/>
      </c>
      <c r="BB76" t="str">
        <f>IF($A76="","", INDEX(CS!$B$1:$B$12828,MATCH($A76,CS!$B:$B,0)+COLUMN(E$1),1))</f>
        <v/>
      </c>
      <c r="BC76" t="str">
        <f>IF($A76="","", INDEX(CS!$B$1:$B$12828,MATCH($A76,CS!$B:$B,0)+COLUMN(F$1),1))</f>
        <v/>
      </c>
      <c r="BD76" t="str">
        <f>IF($A76="","", INDEX(CS!$B$1:$B$12828,MATCH($A76,CS!$B:$B,0)+COLUMN(I$1),1))</f>
        <v/>
      </c>
      <c r="BE76" t="str">
        <f>IF($A76="","", INDEX(CS!$B$1:$B$12828,MATCH($A76,CS!$B:$B,0)+COLUMN(J$1),1))</f>
        <v/>
      </c>
      <c r="BF76" t="str">
        <f>IF($A76="","", INDEX(CS!$B$1:$B$12828,MATCH($A76,CS!$B:$B,0)+COLUMN(K$1),1))</f>
        <v/>
      </c>
      <c r="BG76" t="str">
        <f>IF($A76="","", INDEX(CS!$B$1:$B$12828,MATCH($A76,CS!$B:$B,0)+COLUMN(L$1),1))</f>
        <v/>
      </c>
    </row>
    <row r="77" spans="1:87" outlineLevel="1" x14ac:dyDescent="0.4">
      <c r="C77" t="s">
        <v>51</v>
      </c>
      <c r="D77" t="str">
        <f>SUM(AI77:AW77,F77:N77)&amp;"/"&amp;SUM(F77:N77)&amp;"/"&amp;SUM(AI77:AW77)</f>
        <v>0/0/0</v>
      </c>
      <c r="E77">
        <v>1</v>
      </c>
      <c r="AX77" t="str">
        <f>IF($A77="","", INDEX(CS!$B$1:$B$12828,MATCH($A77,CS!$B:$B,0)+COLUMN(A$1),1))</f>
        <v/>
      </c>
      <c r="AY77" t="str">
        <f>IF($A77="","", INDEX(CS!$B$1:$B$12828,MATCH($A77,CS!$B:$B,0)+COLUMN(B$1),1))</f>
        <v/>
      </c>
      <c r="AZ77" t="str">
        <f>IF($A77="","", INDEX(CS!$B$1:$B$12828,MATCH($A77,CS!$B:$B,0)+COLUMN(C$1),1))</f>
        <v/>
      </c>
      <c r="BA77" t="str">
        <f>IF($A77="","", INDEX(CS!$B$1:$B$12828,MATCH($A77,CS!$B:$B,0)+COLUMN(D$1),1))</f>
        <v/>
      </c>
      <c r="BB77" t="str">
        <f>IF($A77="","", INDEX(CS!$B$1:$B$12828,MATCH($A77,CS!$B:$B,0)+COLUMN(E$1),1))</f>
        <v/>
      </c>
      <c r="BC77" t="str">
        <f>IF($A77="","", INDEX(CS!$B$1:$B$12828,MATCH($A77,CS!$B:$B,0)+COLUMN(F$1),1))</f>
        <v/>
      </c>
      <c r="BD77" t="str">
        <f>IF($A77="","", INDEX(CS!$B$1:$B$12828,MATCH($A77,CS!$B:$B,0)+COLUMN(I$1),1))</f>
        <v/>
      </c>
      <c r="BE77" t="str">
        <f>IF($A77="","", INDEX(CS!$B$1:$B$12828,MATCH($A77,CS!$B:$B,0)+COLUMN(J$1),1))</f>
        <v/>
      </c>
      <c r="BF77" t="str">
        <f>IF($A77="","", INDEX(CS!$B$1:$B$12828,MATCH($A77,CS!$B:$B,0)+COLUMN(K$1),1))</f>
        <v/>
      </c>
      <c r="BG77" t="str">
        <f>IF($A77="","", INDEX(CS!$B$1:$B$12828,MATCH($A77,CS!$B:$B,0)+COLUMN(L$1),1))</f>
        <v/>
      </c>
    </row>
    <row r="78" spans="1:87" x14ac:dyDescent="0.4">
      <c r="D78" t="str">
        <f t="shared" si="2"/>
        <v>0/0/0</v>
      </c>
      <c r="E78">
        <v>1</v>
      </c>
      <c r="AX78" t="str">
        <f>IF($A78="","", INDEX(CS!$B$1:$B$12828,MATCH($A78,CS!$B:$B,0)+COLUMN(A$1),1))</f>
        <v/>
      </c>
      <c r="AY78" t="str">
        <f>IF($A78="","", INDEX(CS!$B$1:$B$12828,MATCH($A78,CS!$B:$B,0)+COLUMN(B$1),1))</f>
        <v/>
      </c>
      <c r="AZ78" t="str">
        <f>IF($A78="","", INDEX(CS!$B$1:$B$12828,MATCH($A78,CS!$B:$B,0)+COLUMN(C$1),1))</f>
        <v/>
      </c>
      <c r="BA78" t="str">
        <f>IF($A78="","", INDEX(CS!$B$1:$B$12828,MATCH($A78,CS!$B:$B,0)+COLUMN(D$1),1))</f>
        <v/>
      </c>
      <c r="BB78" t="str">
        <f>IF($A78="","", INDEX(CS!$B$1:$B$12828,MATCH($A78,CS!$B:$B,0)+COLUMN(E$1),1))</f>
        <v/>
      </c>
      <c r="BC78" t="str">
        <f>IF($A78="","", INDEX(CS!$B$1:$B$12828,MATCH($A78,CS!$B:$B,0)+COLUMN(F$1),1))</f>
        <v/>
      </c>
      <c r="BD78" t="str">
        <f>IF($A78="","", INDEX(CS!$B$1:$B$12828,MATCH($A78,CS!$B:$B,0)+COLUMN(I$1),1))</f>
        <v/>
      </c>
      <c r="BE78" t="str">
        <f>IF($A78="","", INDEX(CS!$B$1:$B$12828,MATCH($A78,CS!$B:$B,0)+COLUMN(J$1),1))</f>
        <v/>
      </c>
      <c r="BF78" t="str">
        <f>IF($A78="","", INDEX(CS!$B$1:$B$12828,MATCH($A78,CS!$B:$B,0)+COLUMN(K$1),1))</f>
        <v/>
      </c>
      <c r="BG78" t="str">
        <f>IF($A78="","", INDEX(CS!$B$1:$B$12828,MATCH($A78,CS!$B:$B,0)+COLUMN(L$1),1))</f>
        <v/>
      </c>
    </row>
    <row r="79" spans="1:87" ht="20.25" customHeight="1" x14ac:dyDescent="0.4">
      <c r="D79" t="str">
        <f t="shared" si="2"/>
        <v>0/0/0</v>
      </c>
      <c r="E79">
        <v>1</v>
      </c>
      <c r="AX79" t="str">
        <f>IF($A79="","", INDEX(CS!$B$1:$B$12828,MATCH($A79,CS!$B:$B,0)+COLUMN(A$1),1))</f>
        <v/>
      </c>
      <c r="AY79" t="str">
        <f>IF($A79="","", INDEX(CS!$B$1:$B$12828,MATCH($A79,CS!$B:$B,0)+COLUMN(B$1),1))</f>
        <v/>
      </c>
      <c r="AZ79" t="str">
        <f>IF($A79="","", INDEX(CS!$B$1:$B$12828,MATCH($A79,CS!$B:$B,0)+COLUMN(C$1),1))</f>
        <v/>
      </c>
      <c r="BA79" t="str">
        <f>IF($A79="","", INDEX(CS!$B$1:$B$12828,MATCH($A79,CS!$B:$B,0)+COLUMN(D$1),1))</f>
        <v/>
      </c>
      <c r="BB79" t="str">
        <f>IF($A79="","", INDEX(CS!$B$1:$B$12828,MATCH($A79,CS!$B:$B,0)+COLUMN(E$1),1))</f>
        <v/>
      </c>
      <c r="BC79" t="str">
        <f>IF($A79="","", INDEX(CS!$B$1:$B$12828,MATCH($A79,CS!$B:$B,0)+COLUMN(F$1),1))</f>
        <v/>
      </c>
      <c r="BD79" t="str">
        <f>IF($A79="","", INDEX(CS!$B$1:$B$12828,MATCH($A79,CS!$B:$B,0)+COLUMN(I$1),1))</f>
        <v/>
      </c>
      <c r="BE79" t="str">
        <f>IF($A79="","", INDEX(CS!$B$1:$B$12828,MATCH($A79,CS!$B:$B,0)+COLUMN(J$1),1))</f>
        <v/>
      </c>
      <c r="BF79" t="str">
        <f>IF($A79="","", INDEX(CS!$B$1:$B$12828,MATCH($A79,CS!$B:$B,0)+COLUMN(K$1),1))</f>
        <v/>
      </c>
      <c r="BG79" t="str">
        <f>IF($A79="","", INDEX(CS!$B$1:$B$12828,MATCH($A79,CS!$B:$B,0)+COLUMN(L$1),1))</f>
        <v/>
      </c>
      <c r="BS79" s="53"/>
      <c r="BT79" s="53"/>
      <c r="BU79" s="53"/>
      <c r="BV79" s="53"/>
      <c r="BW79" s="53"/>
    </row>
    <row r="80" spans="1:87" x14ac:dyDescent="0.4">
      <c r="A80" t="s">
        <v>198</v>
      </c>
      <c r="C80" t="s">
        <v>194</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INDEX(CS!$B$1:$B$12828,MATCH($A80,CS!$B:$B,0)+COLUMN(A$1),1))</f>
        <v>爪</v>
      </c>
      <c r="AY80" t="str">
        <f>IF($A80="","", INDEX(CS!$B$1:$B$12828,MATCH($A80,CS!$B:$B,0)+COLUMN(B$1),1))</f>
        <v>牙</v>
      </c>
      <c r="AZ80">
        <f>IF($A80="","", INDEX(CS!$B$1:$B$12828,MATCH($A80,CS!$B:$B,0)+COLUMN(C$1),1))</f>
        <v>0</v>
      </c>
      <c r="BA80">
        <f>IF($A80="","", INDEX(CS!$B$1:$B$12828,MATCH($A80,CS!$B:$B,0)+COLUMN(D$1),1))</f>
        <v>0</v>
      </c>
      <c r="BB80">
        <f>IF($A80="","", INDEX(CS!$B$1:$B$12828,MATCH($A80,CS!$B:$B,0)+COLUMN(E$1),1))</f>
        <v>0</v>
      </c>
      <c r="BC80">
        <f>IF($A80="","", INDEX(CS!$B$1:$B$12828,MATCH($A80,CS!$B:$B,0)+COLUMN(F$1),1))</f>
        <v>0</v>
      </c>
      <c r="BD80">
        <f>IF($A80="","", INDEX(CS!$B$1:$B$12828,MATCH($A80,CS!$B:$B,0)+COLUMN(I$1),1))</f>
        <v>0</v>
      </c>
      <c r="BE80">
        <f>IF($A80="","", INDEX(CS!$B$1:$B$12828,MATCH($A80,CS!$B:$B,0)+COLUMN(J$1),1))</f>
        <v>0</v>
      </c>
      <c r="BF80">
        <f>IF($A80="","", INDEX(CS!$B$1:$B$12828,MATCH($A80,CS!$B:$B,0)+COLUMN(K$1),1))</f>
        <v>0</v>
      </c>
      <c r="BG80">
        <f>IF($A80="","", INDEX(CS!$B$1:$B$12828,MATCH($A80,CS!$B:$B,0)+COLUMN(L$1),1))</f>
        <v>0</v>
      </c>
      <c r="BR80" t="s">
        <v>948</v>
      </c>
      <c r="BS80" s="53">
        <v>120</v>
      </c>
      <c r="BT80" s="52">
        <v>10</v>
      </c>
      <c r="BU80" s="52">
        <v>10</v>
      </c>
      <c r="BV80" s="52">
        <v>90</v>
      </c>
      <c r="BW80" s="52">
        <v>10</v>
      </c>
      <c r="CB80" t="s">
        <v>960</v>
      </c>
      <c r="CC80" t="s">
        <v>960</v>
      </c>
      <c r="CF80" t="s">
        <v>960</v>
      </c>
      <c r="CI80" t="s">
        <v>194</v>
      </c>
    </row>
    <row r="81" spans="1:87" x14ac:dyDescent="0.4">
      <c r="A81" t="s">
        <v>195</v>
      </c>
      <c r="C81" t="s">
        <v>194</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INDEX(CS!$B$1:$B$12828,MATCH($A81,CS!$B:$B,0)+COLUMN(A$1),1))</f>
        <v>爪</v>
      </c>
      <c r="AY81" t="str">
        <f>IF($A81="","", INDEX(CS!$B$1:$B$12828,MATCH($A81,CS!$B:$B,0)+COLUMN(B$1),1))</f>
        <v>牙</v>
      </c>
      <c r="AZ81">
        <f>IF($A81="","", INDEX(CS!$B$1:$B$12828,MATCH($A81,CS!$B:$B,0)+COLUMN(C$1),1))</f>
        <v>0</v>
      </c>
      <c r="BA81">
        <f>IF($A81="","", INDEX(CS!$B$1:$B$12828,MATCH($A81,CS!$B:$B,0)+COLUMN(D$1),1))</f>
        <v>0</v>
      </c>
      <c r="BB81">
        <f>IF($A81="","", INDEX(CS!$B$1:$B$12828,MATCH($A81,CS!$B:$B,0)+COLUMN(E$1),1))</f>
        <v>0</v>
      </c>
      <c r="BC81">
        <f>IF($A81="","", INDEX(CS!$B$1:$B$12828,MATCH($A81,CS!$B:$B,0)+COLUMN(F$1),1))</f>
        <v>0</v>
      </c>
      <c r="BD81">
        <f>IF($A81="","", INDEX(CS!$B$1:$B$12828,MATCH($A81,CS!$B:$B,0)+COLUMN(I$1),1))</f>
        <v>0</v>
      </c>
      <c r="BE81">
        <f>IF($A81="","", INDEX(CS!$B$1:$B$12828,MATCH($A81,CS!$B:$B,0)+COLUMN(J$1),1))</f>
        <v>0</v>
      </c>
      <c r="BF81">
        <f>IF($A81="","", INDEX(CS!$B$1:$B$12828,MATCH($A81,CS!$B:$B,0)+COLUMN(K$1),1))</f>
        <v>0</v>
      </c>
      <c r="BG81">
        <f>IF($A81="","", INDEX(CS!$B$1:$B$12828,MATCH($A81,CS!$B:$B,0)+COLUMN(L$1),1))</f>
        <v>0</v>
      </c>
      <c r="BR81" t="s">
        <v>948</v>
      </c>
      <c r="BS81" s="53">
        <v>110</v>
      </c>
      <c r="BT81" s="52">
        <v>10</v>
      </c>
      <c r="BU81" s="52">
        <v>10</v>
      </c>
      <c r="BV81" s="52">
        <v>80</v>
      </c>
      <c r="BW81" s="52">
        <v>10</v>
      </c>
      <c r="CB81" t="s">
        <v>960</v>
      </c>
      <c r="CC81" t="s">
        <v>960</v>
      </c>
      <c r="CF81" t="s">
        <v>960</v>
      </c>
      <c r="CI81" t="s">
        <v>194</v>
      </c>
    </row>
    <row r="82" spans="1:87" x14ac:dyDescent="0.4">
      <c r="A82" t="s">
        <v>196</v>
      </c>
      <c r="C82" t="s">
        <v>194</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INDEX(CS!$B$1:$B$12828,MATCH($A82,CS!$B:$B,0)+COLUMN(A$1),1))</f>
        <v>牙</v>
      </c>
      <c r="AY82" t="str">
        <f>IF($A82="","", INDEX(CS!$B$1:$B$12828,MATCH($A82,CS!$B:$B,0)+COLUMN(B$1),1))</f>
        <v>尾</v>
      </c>
      <c r="AZ82" t="str">
        <f>IF($A82="","", INDEX(CS!$B$1:$B$12828,MATCH($A82,CS!$B:$B,0)+COLUMN(C$1),1))</f>
        <v>尾の巻き付き</v>
      </c>
      <c r="BA82">
        <f>IF($A82="","", INDEX(CS!$B$1:$B$12828,MATCH($A82,CS!$B:$B,0)+COLUMN(D$1),1))</f>
        <v>0</v>
      </c>
      <c r="BB82">
        <f>IF($A82="","", INDEX(CS!$B$1:$B$12828,MATCH($A82,CS!$B:$B,0)+COLUMN(E$1),1))</f>
        <v>0</v>
      </c>
      <c r="BC82">
        <f>IF($A82="","", INDEX(CS!$B$1:$B$12828,MATCH($A82,CS!$B:$B,0)+COLUMN(F$1),1))</f>
        <v>0</v>
      </c>
      <c r="BD82">
        <f>IF($A82="","", INDEX(CS!$B$1:$B$12828,MATCH($A82,CS!$B:$B,0)+COLUMN(I$1),1))</f>
        <v>0</v>
      </c>
      <c r="BE82">
        <f>IF($A82="","", INDEX(CS!$B$1:$B$12828,MATCH($A82,CS!$B:$B,0)+COLUMN(J$1),1))</f>
        <v>0</v>
      </c>
      <c r="BF82">
        <f>IF($A82="","", INDEX(CS!$B$1:$B$12828,MATCH($A82,CS!$B:$B,0)+COLUMN(K$1),1))</f>
        <v>0</v>
      </c>
      <c r="BG82">
        <f>IF($A82="","", INDEX(CS!$B$1:$B$12828,MATCH($A82,CS!$B:$B,0)+COLUMN(L$1),1))</f>
        <v>0</v>
      </c>
      <c r="BR82" t="s">
        <v>948</v>
      </c>
      <c r="BS82" s="53">
        <v>85</v>
      </c>
      <c r="BT82" s="52">
        <v>5</v>
      </c>
      <c r="BU82" s="52">
        <v>0</v>
      </c>
      <c r="BV82" s="52">
        <v>70</v>
      </c>
      <c r="BW82" s="52">
        <v>10</v>
      </c>
      <c r="CB82" t="s">
        <v>960</v>
      </c>
      <c r="CC82" t="s">
        <v>960</v>
      </c>
      <c r="CD82" t="s">
        <v>960</v>
      </c>
      <c r="CF82" t="s">
        <v>960</v>
      </c>
      <c r="CI82" t="s">
        <v>194</v>
      </c>
    </row>
    <row r="83" spans="1:87" x14ac:dyDescent="0.4">
      <c r="A83" t="s">
        <v>200</v>
      </c>
      <c r="C83" t="s">
        <v>194</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INDEX(CS!$B$1:$B$12828,MATCH($A83,CS!$B:$B,0)+COLUMN(A$1),1))</f>
        <v>爪</v>
      </c>
      <c r="AY83" t="str">
        <f>IF($A83="","", INDEX(CS!$B$1:$B$12828,MATCH($A83,CS!$B:$B,0)+COLUMN(B$1),1))</f>
        <v>牙</v>
      </c>
      <c r="AZ83">
        <f>IF($A83="","", INDEX(CS!$B$1:$B$12828,MATCH($A83,CS!$B:$B,0)+COLUMN(C$1),1))</f>
        <v>0</v>
      </c>
      <c r="BA83">
        <f>IF($A83="","", INDEX(CS!$B$1:$B$12828,MATCH($A83,CS!$B:$B,0)+COLUMN(D$1),1))</f>
        <v>0</v>
      </c>
      <c r="BB83">
        <f>IF($A83="","", INDEX(CS!$B$1:$B$12828,MATCH($A83,CS!$B:$B,0)+COLUMN(E$1),1))</f>
        <v>0</v>
      </c>
      <c r="BC83">
        <f>IF($A83="","", INDEX(CS!$B$1:$B$12828,MATCH($A83,CS!$B:$B,0)+COLUMN(F$1),1))</f>
        <v>0</v>
      </c>
      <c r="BD83">
        <f>IF($A83="","", INDEX(CS!$B$1:$B$12828,MATCH($A83,CS!$B:$B,0)+COLUMN(I$1),1))</f>
        <v>0</v>
      </c>
      <c r="BE83">
        <f>IF($A83="","", INDEX(CS!$B$1:$B$12828,MATCH($A83,CS!$B:$B,0)+COLUMN(J$1),1))</f>
        <v>0</v>
      </c>
      <c r="BF83">
        <f>IF($A83="","", INDEX(CS!$B$1:$B$12828,MATCH($A83,CS!$B:$B,0)+COLUMN(K$1),1))</f>
        <v>0</v>
      </c>
      <c r="BG83">
        <f>IF($A83="","", INDEX(CS!$B$1:$B$12828,MATCH($A83,CS!$B:$B,0)+COLUMN(L$1),1))</f>
        <v>0</v>
      </c>
      <c r="BR83" t="s">
        <v>948</v>
      </c>
      <c r="BS83" s="53">
        <v>80</v>
      </c>
      <c r="BT83" s="52">
        <v>10</v>
      </c>
      <c r="BU83" s="52">
        <v>10</v>
      </c>
      <c r="BV83" s="52">
        <v>50</v>
      </c>
      <c r="BW83" s="52">
        <v>10</v>
      </c>
      <c r="CB83" t="s">
        <v>960</v>
      </c>
      <c r="CC83" t="s">
        <v>960</v>
      </c>
      <c r="CF83" t="s">
        <v>960</v>
      </c>
      <c r="CI83" t="s">
        <v>194</v>
      </c>
    </row>
    <row r="84" spans="1:87" x14ac:dyDescent="0.4">
      <c r="A84" t="s">
        <v>202</v>
      </c>
      <c r="C84" t="s">
        <v>194</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INDEX(CS!$B$1:$B$12828,MATCH($A84,CS!$B:$B,0)+COLUMN(A$1),1))</f>
        <v>爪</v>
      </c>
      <c r="AY84" t="str">
        <f>IF($A84="","", INDEX(CS!$B$1:$B$12828,MATCH($A84,CS!$B:$B,0)+COLUMN(B$1),1))</f>
        <v>牙</v>
      </c>
      <c r="AZ84">
        <f>IF($A84="","", INDEX(CS!$B$1:$B$12828,MATCH($A84,CS!$B:$B,0)+COLUMN(C$1),1))</f>
        <v>0</v>
      </c>
      <c r="BA84">
        <f>IF($A84="","", INDEX(CS!$B$1:$B$12828,MATCH($A84,CS!$B:$B,0)+COLUMN(D$1),1))</f>
        <v>0</v>
      </c>
      <c r="BB84">
        <f>IF($A84="","", INDEX(CS!$B$1:$B$12828,MATCH($A84,CS!$B:$B,0)+COLUMN(E$1),1))</f>
        <v>0</v>
      </c>
      <c r="BC84">
        <f>IF($A84="","", INDEX(CS!$B$1:$B$12828,MATCH($A84,CS!$B:$B,0)+COLUMN(F$1),1))</f>
        <v>0</v>
      </c>
      <c r="BD84">
        <f>IF($A84="","", INDEX(CS!$B$1:$B$12828,MATCH($A84,CS!$B:$B,0)+COLUMN(I$1),1))</f>
        <v>0</v>
      </c>
      <c r="BE84">
        <f>IF($A84="","", INDEX(CS!$B$1:$B$12828,MATCH($A84,CS!$B:$B,0)+COLUMN(J$1),1))</f>
        <v>0</v>
      </c>
      <c r="BF84">
        <f>IF($A84="","", INDEX(CS!$B$1:$B$12828,MATCH($A84,CS!$B:$B,0)+COLUMN(K$1),1))</f>
        <v>0</v>
      </c>
      <c r="BG84">
        <f>IF($A84="","", INDEX(CS!$B$1:$B$12828,MATCH($A84,CS!$B:$B,0)+COLUMN(L$1),1))</f>
        <v>0</v>
      </c>
      <c r="BR84" t="s">
        <v>948</v>
      </c>
      <c r="BS84" s="53">
        <v>130</v>
      </c>
      <c r="BT84" s="52">
        <v>20</v>
      </c>
      <c r="BU84" s="52">
        <v>20</v>
      </c>
      <c r="BV84" s="52">
        <v>80</v>
      </c>
      <c r="BW84" s="52">
        <v>10</v>
      </c>
      <c r="CB84" t="s">
        <v>960</v>
      </c>
      <c r="CC84" t="s">
        <v>960</v>
      </c>
      <c r="CF84" t="s">
        <v>960</v>
      </c>
      <c r="CI84" t="s">
        <v>194</v>
      </c>
    </row>
    <row r="85" spans="1:87" x14ac:dyDescent="0.4">
      <c r="A85" t="s">
        <v>204</v>
      </c>
      <c r="C85" t="s">
        <v>194</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INDEX(CS!$B$1:$B$12828,MATCH($A85,CS!$B:$B,0)+COLUMN(A$1),1))</f>
        <v>牙</v>
      </c>
      <c r="AY85">
        <f>IF($A85="","", INDEX(CS!$B$1:$B$12828,MATCH($A85,CS!$B:$B,0)+COLUMN(B$1),1))</f>
        <v>0</v>
      </c>
      <c r="AZ85">
        <f>IF($A85="","", INDEX(CS!$B$1:$B$12828,MATCH($A85,CS!$B:$B,0)+COLUMN(C$1),1))</f>
        <v>0</v>
      </c>
      <c r="BA85">
        <f>IF($A85="","", INDEX(CS!$B$1:$B$12828,MATCH($A85,CS!$B:$B,0)+COLUMN(D$1),1))</f>
        <v>0</v>
      </c>
      <c r="BB85">
        <f>IF($A85="","", INDEX(CS!$B$1:$B$12828,MATCH($A85,CS!$B:$B,0)+COLUMN(E$1),1))</f>
        <v>0</v>
      </c>
      <c r="BC85">
        <f>IF($A85="","", INDEX(CS!$B$1:$B$12828,MATCH($A85,CS!$B:$B,0)+COLUMN(F$1),1))</f>
        <v>0</v>
      </c>
      <c r="BD85">
        <f>IF($A85="","", INDEX(CS!$B$1:$B$12828,MATCH($A85,CS!$B:$B,0)+COLUMN(I$1),1))</f>
        <v>0</v>
      </c>
      <c r="BE85">
        <f>IF($A85="","", INDEX(CS!$B$1:$B$12828,MATCH($A85,CS!$B:$B,0)+COLUMN(J$1),1))</f>
        <v>0</v>
      </c>
      <c r="BF85">
        <f>IF($A85="","", INDEX(CS!$B$1:$B$12828,MATCH($A85,CS!$B:$B,0)+COLUMN(K$1),1))</f>
        <v>0</v>
      </c>
      <c r="BG85">
        <f>IF($A85="","", INDEX(CS!$B$1:$B$12828,MATCH($A85,CS!$B:$B,0)+COLUMN(L$1),1))</f>
        <v>0</v>
      </c>
      <c r="BR85" t="s">
        <v>948</v>
      </c>
      <c r="BS85" s="53">
        <v>130</v>
      </c>
      <c r="BT85" s="52">
        <v>10</v>
      </c>
      <c r="BU85" s="52">
        <v>0</v>
      </c>
      <c r="BV85" s="52">
        <v>90</v>
      </c>
      <c r="BW85" s="52">
        <v>30</v>
      </c>
      <c r="CB85" t="s">
        <v>960</v>
      </c>
      <c r="CC85" t="s">
        <v>960</v>
      </c>
      <c r="CD85" t="s">
        <v>960</v>
      </c>
      <c r="CF85" t="s">
        <v>960</v>
      </c>
      <c r="CI85" t="s">
        <v>194</v>
      </c>
    </row>
    <row r="86" spans="1:87" x14ac:dyDescent="0.4">
      <c r="C86" t="s">
        <v>194</v>
      </c>
      <c r="D86" t="str">
        <f t="shared" si="2"/>
        <v>0/0/0</v>
      </c>
      <c r="E86">
        <v>1</v>
      </c>
      <c r="AX86" t="str">
        <f>IF($A86="","", INDEX(CS!$B$1:$B$12828,MATCH($A86,CS!$B:$B,0)+COLUMN(A$1),1))</f>
        <v/>
      </c>
      <c r="AY86" t="str">
        <f>IF($A86="","", INDEX(CS!$B$1:$B$12828,MATCH($A86,CS!$B:$B,0)+COLUMN(B$1),1))</f>
        <v/>
      </c>
      <c r="AZ86" t="str">
        <f>IF($A86="","", INDEX(CS!$B$1:$B$12828,MATCH($A86,CS!$B:$B,0)+COLUMN(C$1),1))</f>
        <v/>
      </c>
      <c r="BA86" t="str">
        <f>IF($A86="","", INDEX(CS!$B$1:$B$12828,MATCH($A86,CS!$B:$B,0)+COLUMN(D$1),1))</f>
        <v/>
      </c>
      <c r="BB86" t="str">
        <f>IF($A86="","", INDEX(CS!$B$1:$B$12828,MATCH($A86,CS!$B:$B,0)+COLUMN(E$1),1))</f>
        <v/>
      </c>
      <c r="BC86" t="str">
        <f>IF($A86="","", INDEX(CS!$B$1:$B$12828,MATCH($A86,CS!$B:$B,0)+COLUMN(F$1),1))</f>
        <v/>
      </c>
      <c r="BD86" t="str">
        <f>IF($A86="","", INDEX(CS!$B$1:$B$12828,MATCH($A86,CS!$B:$B,0)+COLUMN(I$1),1))</f>
        <v/>
      </c>
      <c r="BE86" t="str">
        <f>IF($A86="","", INDEX(CS!$B$1:$B$12828,MATCH($A86,CS!$B:$B,0)+COLUMN(J$1),1))</f>
        <v/>
      </c>
      <c r="BF86" t="str">
        <f>IF($A86="","", INDEX(CS!$B$1:$B$12828,MATCH($A86,CS!$B:$B,0)+COLUMN(K$1),1))</f>
        <v/>
      </c>
      <c r="BG86" t="str">
        <f>IF($A86="","", INDEX(CS!$B$1:$B$12828,MATCH($A86,CS!$B:$B,0)+COLUMN(L$1),1))</f>
        <v/>
      </c>
    </row>
    <row r="87" spans="1:87" x14ac:dyDescent="0.4">
      <c r="C87" t="s">
        <v>194</v>
      </c>
      <c r="D87" t="str">
        <f t="shared" ref="D87:D90" si="7">SUM(AI87:AW87,F87:N87)&amp;"/"&amp;SUM(F87:N87)&amp;"/"&amp;SUM(AI87:AW87)</f>
        <v>0/0/0</v>
      </c>
      <c r="E87">
        <v>1</v>
      </c>
      <c r="AX87" t="str">
        <f>IF($A87="","", INDEX(CS!$B$1:$B$12828,MATCH($A87,CS!$B:$B,0)+COLUMN(A$1),1))</f>
        <v/>
      </c>
      <c r="AY87" t="str">
        <f>IF($A87="","", INDEX(CS!$B$1:$B$12828,MATCH($A87,CS!$B:$B,0)+COLUMN(B$1),1))</f>
        <v/>
      </c>
      <c r="AZ87" t="str">
        <f>IF($A87="","", INDEX(CS!$B$1:$B$12828,MATCH($A87,CS!$B:$B,0)+COLUMN(C$1),1))</f>
        <v/>
      </c>
      <c r="BA87" t="str">
        <f>IF($A87="","", INDEX(CS!$B$1:$B$12828,MATCH($A87,CS!$B:$B,0)+COLUMN(D$1),1))</f>
        <v/>
      </c>
      <c r="BB87" t="str">
        <f>IF($A87="","", INDEX(CS!$B$1:$B$12828,MATCH($A87,CS!$B:$B,0)+COLUMN(E$1),1))</f>
        <v/>
      </c>
      <c r="BC87" t="str">
        <f>IF($A87="","", INDEX(CS!$B$1:$B$12828,MATCH($A87,CS!$B:$B,0)+COLUMN(F$1),1))</f>
        <v/>
      </c>
      <c r="BD87" t="str">
        <f>IF($A87="","", INDEX(CS!$B$1:$B$12828,MATCH($A87,CS!$B:$B,0)+COLUMN(I$1),1))</f>
        <v/>
      </c>
      <c r="BE87" t="str">
        <f>IF($A87="","", INDEX(CS!$B$1:$B$12828,MATCH($A87,CS!$B:$B,0)+COLUMN(J$1),1))</f>
        <v/>
      </c>
      <c r="BF87" t="str">
        <f>IF($A87="","", INDEX(CS!$B$1:$B$12828,MATCH($A87,CS!$B:$B,0)+COLUMN(K$1),1))</f>
        <v/>
      </c>
      <c r="BG87" t="str">
        <f>IF($A87="","", INDEX(CS!$B$1:$B$12828,MATCH($A87,CS!$B:$B,0)+COLUMN(L$1),1))</f>
        <v/>
      </c>
    </row>
    <row r="88" spans="1:87" x14ac:dyDescent="0.4">
      <c r="A88" t="s">
        <v>853</v>
      </c>
      <c r="C88" t="s">
        <v>194</v>
      </c>
      <c r="D88" t="str">
        <f t="shared" si="7"/>
        <v>0/0/0</v>
      </c>
      <c r="E88">
        <v>1</v>
      </c>
      <c r="V88" s="17">
        <v>50</v>
      </c>
      <c r="W88" s="17">
        <v>-30</v>
      </c>
      <c r="AX88" t="str">
        <f>IF($A88="","", INDEX(CS!$B$1:$B$12828,MATCH($A88,CS!$B:$B,0)+COLUMN(A$1),1))</f>
        <v>炎の適用</v>
      </c>
      <c r="AY88">
        <f>IF($A88="","", INDEX(CS!$B$1:$B$12828,MATCH($A88,CS!$B:$B,0)+COLUMN(B$1),1))</f>
        <v>0</v>
      </c>
      <c r="AZ88" t="str">
        <f>IF($A88="","", INDEX(CS!$B$1:$B$12828,MATCH($A88,CS!$B:$B,0)+COLUMN(C$1),1))</f>
        <v>炎の体</v>
      </c>
      <c r="BA88">
        <f>IF($A88="","", INDEX(CS!$B$1:$B$12828,MATCH($A88,CS!$B:$B,0)+COLUMN(D$1),1))</f>
        <v>0</v>
      </c>
      <c r="BB88">
        <f>IF($A88="","", INDEX(CS!$B$1:$B$12828,MATCH($A88,CS!$B:$B,0)+COLUMN(E$1),1))</f>
        <v>0</v>
      </c>
      <c r="BC88" t="str">
        <f>IF($A88="","", INDEX(CS!$B$1:$B$12828,MATCH($A88,CS!$B:$B,0)+COLUMN(F$1),1))</f>
        <v>火炎突撃</v>
      </c>
      <c r="BD88" t="str">
        <f>IF($A88="","", INDEX(CS!$B$1:$B$12828,MATCH($A88,CS!$B:$B,0)+COLUMN(I$1),1))</f>
        <v>炎強化</v>
      </c>
      <c r="BE88" t="str">
        <f>IF($A88="","", INDEX(CS!$B$1:$B$12828,MATCH($A88,CS!$B:$B,0)+COLUMN(J$1),1))</f>
        <v>炎の唾</v>
      </c>
      <c r="BF88">
        <f>IF($A88="","", INDEX(CS!$B$1:$B$12828,MATCH($A88,CS!$B:$B,0)+COLUMN(K$1),1))</f>
        <v>0</v>
      </c>
      <c r="BG88">
        <f>IF($A88="","", INDEX(CS!$B$1:$B$12828,MATCH($A88,CS!$B:$B,0)+COLUMN(L$1),1))</f>
        <v>0</v>
      </c>
      <c r="BH88" t="s">
        <v>933</v>
      </c>
      <c r="BI88" t="s">
        <v>194</v>
      </c>
      <c r="BJ88" s="36" t="s">
        <v>933</v>
      </c>
    </row>
    <row r="89" spans="1:87" x14ac:dyDescent="0.4">
      <c r="A89" t="s">
        <v>854</v>
      </c>
      <c r="C89" t="s">
        <v>194</v>
      </c>
      <c r="D89" t="str">
        <f t="shared" si="7"/>
        <v>0/0/0</v>
      </c>
      <c r="E89">
        <v>1</v>
      </c>
      <c r="V89" s="17">
        <v>-30</v>
      </c>
      <c r="W89" s="17">
        <v>50</v>
      </c>
      <c r="AX89" t="str">
        <f>IF($A89="","", INDEX(CS!$B$1:$B$12828,MATCH($A89,CS!$B:$B,0)+COLUMN(A$1),1))</f>
        <v>氷の適用</v>
      </c>
      <c r="AY89">
        <f>IF($A89="","", INDEX(CS!$B$1:$B$12828,MATCH($A89,CS!$B:$B,0)+COLUMN(B$1),1))</f>
        <v>0</v>
      </c>
      <c r="AZ89" t="str">
        <f>IF($A89="","", INDEX(CS!$B$1:$B$12828,MATCH($A89,CS!$B:$B,0)+COLUMN(C$1),1))</f>
        <v>氷の体</v>
      </c>
      <c r="BA89">
        <f>IF($A89="","", INDEX(CS!$B$1:$B$12828,MATCH($A89,CS!$B:$B,0)+COLUMN(D$1),1))</f>
        <v>0</v>
      </c>
      <c r="BB89">
        <f>IF($A89="","", INDEX(CS!$B$1:$B$12828,MATCH($A89,CS!$B:$B,0)+COLUMN(E$1),1))</f>
        <v>0</v>
      </c>
      <c r="BC89" t="str">
        <f>IF($A89="","", INDEX(CS!$B$1:$B$12828,MATCH($A89,CS!$B:$B,0)+COLUMN(F$1),1))</f>
        <v>氷結突撃</v>
      </c>
      <c r="BD89" t="str">
        <f>IF($A89="","", INDEX(CS!$B$1:$B$12828,MATCH($A89,CS!$B:$B,0)+COLUMN(I$1),1))</f>
        <v>氷強化</v>
      </c>
      <c r="BE89" t="str">
        <f>IF($A89="","", INDEX(CS!$B$1:$B$12828,MATCH($A89,CS!$B:$B,0)+COLUMN(J$1),1))</f>
        <v>氷の唾</v>
      </c>
      <c r="BF89">
        <f>IF($A89="","", INDEX(CS!$B$1:$B$12828,MATCH($A89,CS!$B:$B,0)+COLUMN(K$1),1))</f>
        <v>0</v>
      </c>
      <c r="BG89">
        <f>IF($A89="","", INDEX(CS!$B$1:$B$12828,MATCH($A89,CS!$B:$B,0)+COLUMN(L$1),1))</f>
        <v>0</v>
      </c>
      <c r="BH89" t="s">
        <v>933</v>
      </c>
      <c r="BI89" t="s">
        <v>194</v>
      </c>
      <c r="BJ89" s="36" t="s">
        <v>934</v>
      </c>
    </row>
    <row r="90" spans="1:87" x14ac:dyDescent="0.4">
      <c r="A90" t="s">
        <v>855</v>
      </c>
      <c r="C90" t="s">
        <v>194</v>
      </c>
      <c r="D90" t="str">
        <f t="shared" si="7"/>
        <v>0/0/0</v>
      </c>
      <c r="E90">
        <v>1</v>
      </c>
      <c r="AX90" t="str">
        <f>IF($A90="","", INDEX(CS!$B$1:$B$12828,MATCH($A90,CS!$B:$B,0)+COLUMN(A$1),1))</f>
        <v>風の適用</v>
      </c>
      <c r="AY90">
        <f>IF($A90="","", INDEX(CS!$B$1:$B$12828,MATCH($A90,CS!$B:$B,0)+COLUMN(B$1),1))</f>
        <v>0</v>
      </c>
      <c r="AZ90" t="str">
        <f>IF($A90="","", INDEX(CS!$B$1:$B$12828,MATCH($A90,CS!$B:$B,0)+COLUMN(C$1),1))</f>
        <v>風の体</v>
      </c>
      <c r="BA90">
        <f>IF($A90="","", INDEX(CS!$B$1:$B$12828,MATCH($A90,CS!$B:$B,0)+COLUMN(D$1),1))</f>
        <v>0</v>
      </c>
      <c r="BB90">
        <f>IF($A90="","", INDEX(CS!$B$1:$B$12828,MATCH($A90,CS!$B:$B,0)+COLUMN(E$1),1))</f>
        <v>0</v>
      </c>
      <c r="BC90" t="str">
        <f>IF($A90="","", INDEX(CS!$B$1:$B$12828,MATCH($A90,CS!$B:$B,0)+COLUMN(F$1),1))</f>
        <v>暴風突撃</v>
      </c>
      <c r="BD90" t="str">
        <f>IF($A90="","", INDEX(CS!$B$1:$B$12828,MATCH($A90,CS!$B:$B,0)+COLUMN(I$1),1))</f>
        <v>風強化</v>
      </c>
      <c r="BE90" t="str">
        <f>IF($A90="","", INDEX(CS!$B$1:$B$12828,MATCH($A90,CS!$B:$B,0)+COLUMN(J$1),1))</f>
        <v>風の唾</v>
      </c>
      <c r="BF90">
        <f>IF($A90="","", INDEX(CS!$B$1:$B$12828,MATCH($A90,CS!$B:$B,0)+COLUMN(K$1),1))</f>
        <v>0</v>
      </c>
      <c r="BG90">
        <f>IF($A90="","", INDEX(CS!$B$1:$B$12828,MATCH($A90,CS!$B:$B,0)+COLUMN(L$1),1))</f>
        <v>0</v>
      </c>
      <c r="BH90" t="s">
        <v>933</v>
      </c>
      <c r="BI90" t="s">
        <v>194</v>
      </c>
      <c r="BJ90" s="36" t="s">
        <v>935</v>
      </c>
    </row>
    <row r="91" spans="1:87" x14ac:dyDescent="0.4">
      <c r="A91" t="s">
        <v>856</v>
      </c>
      <c r="C91" t="s">
        <v>194</v>
      </c>
      <c r="D91" t="str">
        <f t="shared" si="2"/>
        <v>0/0/0</v>
      </c>
      <c r="E91">
        <v>1</v>
      </c>
      <c r="U91" s="17">
        <v>50</v>
      </c>
      <c r="X91" s="17">
        <v>50</v>
      </c>
      <c r="AX91" t="str">
        <f>IF($A91="","", INDEX(CS!$B$1:$B$12828,MATCH($A91,CS!$B:$B,0)+COLUMN(A$1),1))</f>
        <v>雷の適用</v>
      </c>
      <c r="AY91">
        <f>IF($A91="","", INDEX(CS!$B$1:$B$12828,MATCH($A91,CS!$B:$B,0)+COLUMN(B$1),1))</f>
        <v>0</v>
      </c>
      <c r="AZ91" t="str">
        <f>IF($A91="","", INDEX(CS!$B$1:$B$12828,MATCH($A91,CS!$B:$B,0)+COLUMN(C$1),1))</f>
        <v>雷の体</v>
      </c>
      <c r="BA91">
        <f>IF($A91="","", INDEX(CS!$B$1:$B$12828,MATCH($A91,CS!$B:$B,0)+COLUMN(D$1),1))</f>
        <v>0</v>
      </c>
      <c r="BB91">
        <f>IF($A91="","", INDEX(CS!$B$1:$B$12828,MATCH($A91,CS!$B:$B,0)+COLUMN(E$1),1))</f>
        <v>0</v>
      </c>
      <c r="BC91" t="str">
        <f>IF($A91="","", INDEX(CS!$B$1:$B$12828,MATCH($A91,CS!$B:$B,0)+COLUMN(F$1),1))</f>
        <v>電撃突撃</v>
      </c>
      <c r="BD91" t="str">
        <f>IF($A91="","", INDEX(CS!$B$1:$B$12828,MATCH($A91,CS!$B:$B,0)+COLUMN(I$1),1))</f>
        <v>雷強化</v>
      </c>
      <c r="BE91" t="str">
        <f>IF($A91="","", INDEX(CS!$B$1:$B$12828,MATCH($A91,CS!$B:$B,0)+COLUMN(J$1),1))</f>
        <v>雷の唾</v>
      </c>
      <c r="BF91">
        <f>IF($A91="","", INDEX(CS!$B$1:$B$12828,MATCH($A91,CS!$B:$B,0)+COLUMN(K$1),1))</f>
        <v>0</v>
      </c>
      <c r="BG91">
        <f>IF($A91="","", INDEX(CS!$B$1:$B$12828,MATCH($A91,CS!$B:$B,0)+COLUMN(L$1),1))</f>
        <v>0</v>
      </c>
      <c r="BH91" t="s">
        <v>933</v>
      </c>
      <c r="BI91" t="s">
        <v>194</v>
      </c>
      <c r="BJ91" s="36" t="s">
        <v>936</v>
      </c>
    </row>
    <row r="92" spans="1:87" x14ac:dyDescent="0.4">
      <c r="A92" t="s">
        <v>857</v>
      </c>
      <c r="C92" t="s">
        <v>194</v>
      </c>
      <c r="D92" t="str">
        <f t="shared" si="2"/>
        <v>0/0/0</v>
      </c>
      <c r="E92">
        <v>1</v>
      </c>
      <c r="Y92" s="17">
        <v>50</v>
      </c>
      <c r="Z92" s="17">
        <v>-30</v>
      </c>
      <c r="AX92" t="str">
        <f>IF($A92="","", INDEX(CS!$B$1:$B$12828,MATCH($A92,CS!$B:$B,0)+COLUMN(A$1),1))</f>
        <v>毒の適用</v>
      </c>
      <c r="AY92">
        <f>IF($A92="","", INDEX(CS!$B$1:$B$12828,MATCH($A92,CS!$B:$B,0)+COLUMN(B$1),1))</f>
        <v>0</v>
      </c>
      <c r="AZ92" t="str">
        <f>IF($A92="","", INDEX(CS!$B$1:$B$12828,MATCH($A92,CS!$B:$B,0)+COLUMN(C$1),1))</f>
        <v>毒の体</v>
      </c>
      <c r="BA92">
        <f>IF($A92="","", INDEX(CS!$B$1:$B$12828,MATCH($A92,CS!$B:$B,0)+COLUMN(D$1),1))</f>
        <v>0</v>
      </c>
      <c r="BB92">
        <f>IF($A92="","", INDEX(CS!$B$1:$B$12828,MATCH($A92,CS!$B:$B,0)+COLUMN(E$1),1))</f>
        <v>0</v>
      </c>
      <c r="BC92" t="str">
        <f>IF($A92="","", INDEX(CS!$B$1:$B$12828,MATCH($A92,CS!$B:$B,0)+COLUMN(F$1),1))</f>
        <v>腐蝕突撃</v>
      </c>
      <c r="BD92" t="str">
        <f>IF($A92="","", INDEX(CS!$B$1:$B$12828,MATCH($A92,CS!$B:$B,0)+COLUMN(I$1),1))</f>
        <v>毒強化</v>
      </c>
      <c r="BE92" t="str">
        <f>IF($A92="","", INDEX(CS!$B$1:$B$12828,MATCH($A92,CS!$B:$B,0)+COLUMN(J$1),1))</f>
        <v>毒の唾</v>
      </c>
      <c r="BF92">
        <f>IF($A92="","", INDEX(CS!$B$1:$B$12828,MATCH($A92,CS!$B:$B,0)+COLUMN(K$1),1))</f>
        <v>0</v>
      </c>
      <c r="BG92">
        <f>IF($A92="","", INDEX(CS!$B$1:$B$12828,MATCH($A92,CS!$B:$B,0)+COLUMN(L$1),1))</f>
        <v>0</v>
      </c>
      <c r="BH92" t="s">
        <v>933</v>
      </c>
      <c r="BI92" t="s">
        <v>194</v>
      </c>
      <c r="BJ92" s="36" t="s">
        <v>937</v>
      </c>
    </row>
    <row r="93" spans="1:87" x14ac:dyDescent="0.4">
      <c r="A93" t="s">
        <v>858</v>
      </c>
      <c r="C93" t="s">
        <v>194</v>
      </c>
      <c r="D93" t="str">
        <f t="shared" si="2"/>
        <v>0/0/0</v>
      </c>
      <c r="E93">
        <v>1</v>
      </c>
      <c r="W93" s="17">
        <v>30</v>
      </c>
      <c r="AE93">
        <v>30</v>
      </c>
      <c r="AX93" t="str">
        <f>IF($A93="","", INDEX(CS!$B$1:$B$12828,MATCH($A93,CS!$B:$B,0)+COLUMN(A$1),1))</f>
        <v>水の適用</v>
      </c>
      <c r="AY93">
        <f>IF($A93="","", INDEX(CS!$B$1:$B$12828,MATCH($A93,CS!$B:$B,0)+COLUMN(B$1),1))</f>
        <v>0</v>
      </c>
      <c r="AZ93" t="str">
        <f>IF($A93="","", INDEX(CS!$B$1:$B$12828,MATCH($A93,CS!$B:$B,0)+COLUMN(C$1),1))</f>
        <v>水の体</v>
      </c>
      <c r="BA93">
        <f>IF($A93="","", INDEX(CS!$B$1:$B$12828,MATCH($A93,CS!$B:$B,0)+COLUMN(D$1),1))</f>
        <v>0</v>
      </c>
      <c r="BB93">
        <f>IF($A93="","", INDEX(CS!$B$1:$B$12828,MATCH($A93,CS!$B:$B,0)+COLUMN(E$1),1))</f>
        <v>0</v>
      </c>
      <c r="BC93" t="str">
        <f>IF($A93="","", INDEX(CS!$B$1:$B$12828,MATCH($A93,CS!$B:$B,0)+COLUMN(F$1),1))</f>
        <v>突撃</v>
      </c>
      <c r="BD93" t="str">
        <f>IF($A93="","", INDEX(CS!$B$1:$B$12828,MATCH($A93,CS!$B:$B,0)+COLUMN(I$1),1))</f>
        <v>水強化</v>
      </c>
      <c r="BE93" t="str">
        <f>IF($A93="","", INDEX(CS!$B$1:$B$12828,MATCH($A93,CS!$B:$B,0)+COLUMN(J$1),1))</f>
        <v>水の唾</v>
      </c>
      <c r="BF93">
        <f>IF($A93="","", INDEX(CS!$B$1:$B$12828,MATCH($A93,CS!$B:$B,0)+COLUMN(K$1),1))</f>
        <v>0</v>
      </c>
      <c r="BG93">
        <f>IF($A93="","", INDEX(CS!$B$1:$B$12828,MATCH($A93,CS!$B:$B,0)+COLUMN(L$1),1))</f>
        <v>0</v>
      </c>
      <c r="BH93" t="s">
        <v>933</v>
      </c>
      <c r="BI93" t="s">
        <v>194</v>
      </c>
      <c r="BJ93" s="36" t="s">
        <v>938</v>
      </c>
    </row>
    <row r="94" spans="1:87" x14ac:dyDescent="0.4">
      <c r="C94" t="s">
        <v>194</v>
      </c>
      <c r="D94" t="str">
        <f t="shared" si="2"/>
        <v>0/0/0</v>
      </c>
      <c r="E94">
        <v>1</v>
      </c>
      <c r="AX94" t="str">
        <f>IF($A94="","", INDEX(CS!$B$1:$B$12828,MATCH($A94,CS!$B:$B,0)+COLUMN(A$1),1))</f>
        <v/>
      </c>
      <c r="AY94" t="str">
        <f>IF($A94="","", INDEX(CS!$B$1:$B$12828,MATCH($A94,CS!$B:$B,0)+COLUMN(B$1),1))</f>
        <v/>
      </c>
      <c r="AZ94" t="str">
        <f>IF($A94="","", INDEX(CS!$B$1:$B$12828,MATCH($A94,CS!$B:$B,0)+COLUMN(C$1),1))</f>
        <v/>
      </c>
      <c r="BA94" t="str">
        <f>IF($A94="","", INDEX(CS!$B$1:$B$12828,MATCH($A94,CS!$B:$B,0)+COLUMN(D$1),1))</f>
        <v/>
      </c>
      <c r="BB94" t="str">
        <f>IF($A94="","", INDEX(CS!$B$1:$B$12828,MATCH($A94,CS!$B:$B,0)+COLUMN(E$1),1))</f>
        <v/>
      </c>
      <c r="BC94" t="str">
        <f>IF($A94="","", INDEX(CS!$B$1:$B$12828,MATCH($A94,CS!$B:$B,0)+COLUMN(F$1),1))</f>
        <v/>
      </c>
      <c r="BD94" t="str">
        <f>IF($A94="","", INDEX(CS!$B$1:$B$12828,MATCH($A94,CS!$B:$B,0)+COLUMN(I$1),1))</f>
        <v/>
      </c>
      <c r="BE94" t="str">
        <f>IF($A94="","", INDEX(CS!$B$1:$B$12828,MATCH($A94,CS!$B:$B,0)+COLUMN(J$1),1))</f>
        <v/>
      </c>
      <c r="BF94" t="str">
        <f>IF($A94="","", INDEX(CS!$B$1:$B$12828,MATCH($A94,CS!$B:$B,0)+COLUMN(K$1),1))</f>
        <v/>
      </c>
      <c r="BG94" t="str">
        <f>IF($A94="","", INDEX(CS!$B$1:$B$12828,MATCH($A94,CS!$B:$B,0)+COLUMN(L$1),1))</f>
        <v/>
      </c>
    </row>
    <row r="95" spans="1:87" x14ac:dyDescent="0.4">
      <c r="C95" t="s">
        <v>194</v>
      </c>
      <c r="D95" t="str">
        <f t="shared" si="2"/>
        <v>0/0/0</v>
      </c>
      <c r="E95">
        <v>1</v>
      </c>
      <c r="AX95" t="str">
        <f>IF($A95="","", INDEX(CS!$B$1:$B$12828,MATCH($A95,CS!$B:$B,0)+COLUMN(A$1),1))</f>
        <v/>
      </c>
      <c r="AY95" t="str">
        <f>IF($A95="","", INDEX(CS!$B$1:$B$12828,MATCH($A95,CS!$B:$B,0)+COLUMN(B$1),1))</f>
        <v/>
      </c>
      <c r="AZ95" t="str">
        <f>IF($A95="","", INDEX(CS!$B$1:$B$12828,MATCH($A95,CS!$B:$B,0)+COLUMN(C$1),1))</f>
        <v/>
      </c>
      <c r="BA95" t="str">
        <f>IF($A95="","", INDEX(CS!$B$1:$B$12828,MATCH($A95,CS!$B:$B,0)+COLUMN(D$1),1))</f>
        <v/>
      </c>
      <c r="BB95" t="str">
        <f>IF($A95="","", INDEX(CS!$B$1:$B$12828,MATCH($A95,CS!$B:$B,0)+COLUMN(E$1),1))</f>
        <v/>
      </c>
      <c r="BC95" t="str">
        <f>IF($A95="","", INDEX(CS!$B$1:$B$12828,MATCH($A95,CS!$B:$B,0)+COLUMN(F$1),1))</f>
        <v/>
      </c>
      <c r="BD95" t="str">
        <f>IF($A95="","", INDEX(CS!$B$1:$B$12828,MATCH($A95,CS!$B:$B,0)+COLUMN(I$1),1))</f>
        <v/>
      </c>
      <c r="BE95" t="str">
        <f>IF($A95="","", INDEX(CS!$B$1:$B$12828,MATCH($A95,CS!$B:$B,0)+COLUMN(J$1),1))</f>
        <v/>
      </c>
      <c r="BF95" t="str">
        <f>IF($A95="","", INDEX(CS!$B$1:$B$12828,MATCH($A95,CS!$B:$B,0)+COLUMN(K$1),1))</f>
        <v/>
      </c>
      <c r="BG95" t="str">
        <f>IF($A95="","", INDEX(CS!$B$1:$B$12828,MATCH($A95,CS!$B:$B,0)+COLUMN(L$1),1))</f>
        <v/>
      </c>
      <c r="BS95" s="53"/>
      <c r="BT95" s="53"/>
      <c r="BU95" s="53"/>
      <c r="BV95" s="53"/>
      <c r="BW95" s="53"/>
    </row>
    <row r="96" spans="1:87" x14ac:dyDescent="0.4">
      <c r="A96" t="s">
        <v>896</v>
      </c>
      <c r="C96" t="s">
        <v>194</v>
      </c>
      <c r="D96" t="str">
        <f t="shared" ref="D96:D159" si="8">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INDEX(CS!$B$1:$B$12828,MATCH($A96,CS!$B:$B,0)+COLUMN(A$1),1))</f>
        <v>爪</v>
      </c>
      <c r="AY96">
        <f>IF($A96="","", INDEX(CS!$B$1:$B$12828,MATCH($A96,CS!$B:$B,0)+COLUMN(B$1),1))</f>
        <v>0</v>
      </c>
      <c r="AZ96" t="str">
        <f>IF($A96="","", INDEX(CS!$B$1:$B$12828,MATCH($A96,CS!$B:$B,0)+COLUMN(C$1),1))</f>
        <v>翼</v>
      </c>
      <c r="BA96">
        <f>IF($A96="","", INDEX(CS!$B$1:$B$12828,MATCH($A96,CS!$B:$B,0)+COLUMN(D$1),1))</f>
        <v>0</v>
      </c>
      <c r="BB96" t="str">
        <f>IF($A96="","", INDEX(CS!$B$1:$B$12828,MATCH($A96,CS!$B:$B,0)+COLUMN(E$1),1))</f>
        <v>威圧</v>
      </c>
      <c r="BC96" t="str">
        <f>IF($A96="","", INDEX(CS!$B$1:$B$12828,MATCH($A96,CS!$B:$B,0)+COLUMN(F$1),1))</f>
        <v>毒の唾</v>
      </c>
      <c r="BD96" t="str">
        <f>IF($A96="","", INDEX(CS!$B$1:$B$12828,MATCH($A96,CS!$B:$B,0)+COLUMN(I$1),1))</f>
        <v>外皮</v>
      </c>
      <c r="BE96">
        <f>IF($A96="","", INDEX(CS!$B$1:$B$12828,MATCH($A96,CS!$B:$B,0)+COLUMN(J$1),1))</f>
        <v>0</v>
      </c>
      <c r="BF96">
        <f>IF($A96="","", INDEX(CS!$B$1:$B$12828,MATCH($A96,CS!$B:$B,0)+COLUMN(K$1),1))</f>
        <v>0</v>
      </c>
      <c r="BG96">
        <f>IF($A96="","", INDEX(CS!$B$1:$B$12828,MATCH($A96,CS!$B:$B,0)+COLUMN(L$1),1))</f>
        <v>0</v>
      </c>
      <c r="BS96" s="53">
        <v>200</v>
      </c>
      <c r="BT96" s="52">
        <v>0</v>
      </c>
      <c r="BU96" s="52">
        <v>0</v>
      </c>
      <c r="BV96" s="52">
        <v>180</v>
      </c>
      <c r="BW96" s="52">
        <v>20</v>
      </c>
      <c r="CB96" t="s">
        <v>960</v>
      </c>
      <c r="CC96" t="s">
        <v>960</v>
      </c>
      <c r="CD96" t="s">
        <v>960</v>
      </c>
      <c r="CE96" t="s">
        <v>960</v>
      </c>
      <c r="CF96" t="s">
        <v>960</v>
      </c>
      <c r="CI96" t="s">
        <v>1042</v>
      </c>
    </row>
    <row r="97" spans="3:59" x14ac:dyDescent="0.4">
      <c r="C97" t="s">
        <v>194</v>
      </c>
      <c r="D97" t="str">
        <f t="shared" si="8"/>
        <v>0/0/0</v>
      </c>
      <c r="E97">
        <v>1</v>
      </c>
      <c r="AX97" t="str">
        <f>IF($A97="","", INDEX(CS!$B$1:$B$12828,MATCH($A97,CS!$B:$B,0)+COLUMN(A$1),1))</f>
        <v/>
      </c>
      <c r="AY97" t="str">
        <f>IF($A97="","", INDEX(CS!$B$1:$B$12828,MATCH($A97,CS!$B:$B,0)+COLUMN(B$1),1))</f>
        <v/>
      </c>
      <c r="AZ97" t="str">
        <f>IF($A97="","", INDEX(CS!$B$1:$B$12828,MATCH($A97,CS!$B:$B,0)+COLUMN(C$1),1))</f>
        <v/>
      </c>
      <c r="BA97" t="str">
        <f>IF($A97="","", INDEX(CS!$B$1:$B$12828,MATCH($A97,CS!$B:$B,0)+COLUMN(D$1),1))</f>
        <v/>
      </c>
      <c r="BB97" t="str">
        <f>IF($A97="","", INDEX(CS!$B$1:$B$12828,MATCH($A97,CS!$B:$B,0)+COLUMN(E$1),1))</f>
        <v/>
      </c>
      <c r="BC97" t="str">
        <f>IF($A97="","", INDEX(CS!$B$1:$B$12828,MATCH($A97,CS!$B:$B,0)+COLUMN(F$1),1))</f>
        <v/>
      </c>
      <c r="BD97" t="str">
        <f>IF($A97="","", INDEX(CS!$B$1:$B$12828,MATCH($A97,CS!$B:$B,0)+COLUMN(I$1),1))</f>
        <v/>
      </c>
      <c r="BE97" t="str">
        <f>IF($A97="","", INDEX(CS!$B$1:$B$12828,MATCH($A97,CS!$B:$B,0)+COLUMN(J$1),1))</f>
        <v/>
      </c>
      <c r="BF97" t="str">
        <f>IF($A97="","", INDEX(CS!$B$1:$B$12828,MATCH($A97,CS!$B:$B,0)+COLUMN(K$1),1))</f>
        <v/>
      </c>
      <c r="BG97" t="str">
        <f>IF($A97="","", INDEX(CS!$B$1:$B$12828,MATCH($A97,CS!$B:$B,0)+COLUMN(L$1),1))</f>
        <v/>
      </c>
    </row>
    <row r="98" spans="3:59" x14ac:dyDescent="0.4">
      <c r="C98" t="s">
        <v>194</v>
      </c>
      <c r="D98" t="str">
        <f t="shared" si="8"/>
        <v>0/0/0</v>
      </c>
      <c r="E98">
        <v>1</v>
      </c>
      <c r="AX98" t="str">
        <f>IF($A98="","", INDEX(CS!$B$1:$B$12828,MATCH($A98,CS!$B:$B,0)+COLUMN(A$1),1))</f>
        <v/>
      </c>
      <c r="AY98" t="str">
        <f>IF($A98="","", INDEX(CS!$B$1:$B$12828,MATCH($A98,CS!$B:$B,0)+COLUMN(B$1),1))</f>
        <v/>
      </c>
      <c r="AZ98" t="str">
        <f>IF($A98="","", INDEX(CS!$B$1:$B$12828,MATCH($A98,CS!$B:$B,0)+COLUMN(C$1),1))</f>
        <v/>
      </c>
      <c r="BA98" t="str">
        <f>IF($A98="","", INDEX(CS!$B$1:$B$12828,MATCH($A98,CS!$B:$B,0)+COLUMN(D$1),1))</f>
        <v/>
      </c>
      <c r="BB98" t="str">
        <f>IF($A98="","", INDEX(CS!$B$1:$B$12828,MATCH($A98,CS!$B:$B,0)+COLUMN(E$1),1))</f>
        <v/>
      </c>
      <c r="BC98" t="str">
        <f>IF($A98="","", INDEX(CS!$B$1:$B$12828,MATCH($A98,CS!$B:$B,0)+COLUMN(F$1),1))</f>
        <v/>
      </c>
      <c r="BD98" t="str">
        <f>IF($A98="","", INDEX(CS!$B$1:$B$12828,MATCH($A98,CS!$B:$B,0)+COLUMN(I$1),1))</f>
        <v/>
      </c>
      <c r="BE98" t="str">
        <f>IF($A98="","", INDEX(CS!$B$1:$B$12828,MATCH($A98,CS!$B:$B,0)+COLUMN(J$1),1))</f>
        <v/>
      </c>
      <c r="BF98" t="str">
        <f>IF($A98="","", INDEX(CS!$B$1:$B$12828,MATCH($A98,CS!$B:$B,0)+COLUMN(K$1),1))</f>
        <v/>
      </c>
      <c r="BG98" t="str">
        <f>IF($A98="","", INDEX(CS!$B$1:$B$12828,MATCH($A98,CS!$B:$B,0)+COLUMN(L$1),1))</f>
        <v/>
      </c>
    </row>
    <row r="99" spans="3:59" x14ac:dyDescent="0.4">
      <c r="C99" t="s">
        <v>194</v>
      </c>
      <c r="D99" t="str">
        <f t="shared" si="8"/>
        <v>0/0/0</v>
      </c>
      <c r="E99">
        <v>1</v>
      </c>
      <c r="AX99" t="str">
        <f>IF($A99="","", INDEX(CS!$B$1:$B$12828,MATCH($A99,CS!$B:$B,0)+COLUMN(A$1),1))</f>
        <v/>
      </c>
      <c r="AY99" t="str">
        <f>IF($A99="","", INDEX(CS!$B$1:$B$12828,MATCH($A99,CS!$B:$B,0)+COLUMN(B$1),1))</f>
        <v/>
      </c>
      <c r="AZ99" t="str">
        <f>IF($A99="","", INDEX(CS!$B$1:$B$12828,MATCH($A99,CS!$B:$B,0)+COLUMN(C$1),1))</f>
        <v/>
      </c>
      <c r="BA99" t="str">
        <f>IF($A99="","", INDEX(CS!$B$1:$B$12828,MATCH($A99,CS!$B:$B,0)+COLUMN(D$1),1))</f>
        <v/>
      </c>
      <c r="BB99" t="str">
        <f>IF($A99="","", INDEX(CS!$B$1:$B$12828,MATCH($A99,CS!$B:$B,0)+COLUMN(E$1),1))</f>
        <v/>
      </c>
      <c r="BC99" t="str">
        <f>IF($A99="","", INDEX(CS!$B$1:$B$12828,MATCH($A99,CS!$B:$B,0)+COLUMN(F$1),1))</f>
        <v/>
      </c>
      <c r="BD99" t="str">
        <f>IF($A99="","", INDEX(CS!$B$1:$B$12828,MATCH($A99,CS!$B:$B,0)+COLUMN(I$1),1))</f>
        <v/>
      </c>
      <c r="BE99" t="str">
        <f>IF($A99="","", INDEX(CS!$B$1:$B$12828,MATCH($A99,CS!$B:$B,0)+COLUMN(J$1),1))</f>
        <v/>
      </c>
      <c r="BF99" t="str">
        <f>IF($A99="","", INDEX(CS!$B$1:$B$12828,MATCH($A99,CS!$B:$B,0)+COLUMN(K$1),1))</f>
        <v/>
      </c>
      <c r="BG99" t="str">
        <f>IF($A99="","", INDEX(CS!$B$1:$B$12828,MATCH($A99,CS!$B:$B,0)+COLUMN(L$1),1))</f>
        <v/>
      </c>
    </row>
    <row r="100" spans="3:59" x14ac:dyDescent="0.4">
      <c r="C100" t="s">
        <v>194</v>
      </c>
      <c r="D100" t="str">
        <f t="shared" si="8"/>
        <v>0/0/0</v>
      </c>
      <c r="E100">
        <v>1</v>
      </c>
      <c r="AX100" t="str">
        <f>IF($A100="","", INDEX(CS!$B$1:$B$12828,MATCH($A100,CS!$B:$B,0)+COLUMN(A$1),1))</f>
        <v/>
      </c>
      <c r="AY100" t="str">
        <f>IF($A100="","", INDEX(CS!$B$1:$B$12828,MATCH($A100,CS!$B:$B,0)+COLUMN(B$1),1))</f>
        <v/>
      </c>
      <c r="AZ100" t="str">
        <f>IF($A100="","", INDEX(CS!$B$1:$B$12828,MATCH($A100,CS!$B:$B,0)+COLUMN(C$1),1))</f>
        <v/>
      </c>
      <c r="BA100" t="str">
        <f>IF($A100="","", INDEX(CS!$B$1:$B$12828,MATCH($A100,CS!$B:$B,0)+COLUMN(D$1),1))</f>
        <v/>
      </c>
      <c r="BB100" t="str">
        <f>IF($A100="","", INDEX(CS!$B$1:$B$12828,MATCH($A100,CS!$B:$B,0)+COLUMN(E$1),1))</f>
        <v/>
      </c>
      <c r="BC100" t="str">
        <f>IF($A100="","", INDEX(CS!$B$1:$B$12828,MATCH($A100,CS!$B:$B,0)+COLUMN(F$1),1))</f>
        <v/>
      </c>
      <c r="BD100" t="str">
        <f>IF($A100="","", INDEX(CS!$B$1:$B$12828,MATCH($A100,CS!$B:$B,0)+COLUMN(I$1),1))</f>
        <v/>
      </c>
      <c r="BE100" t="str">
        <f>IF($A100="","", INDEX(CS!$B$1:$B$12828,MATCH($A100,CS!$B:$B,0)+COLUMN(J$1),1))</f>
        <v/>
      </c>
      <c r="BF100" t="str">
        <f>IF($A100="","", INDEX(CS!$B$1:$B$12828,MATCH($A100,CS!$B:$B,0)+COLUMN(K$1),1))</f>
        <v/>
      </c>
      <c r="BG100" t="str">
        <f>IF($A100="","", INDEX(CS!$B$1:$B$12828,MATCH($A100,CS!$B:$B,0)+COLUMN(L$1),1))</f>
        <v/>
      </c>
    </row>
    <row r="101" spans="3:59" x14ac:dyDescent="0.4">
      <c r="C101" t="s">
        <v>194</v>
      </c>
      <c r="D101" t="str">
        <f t="shared" si="8"/>
        <v>0/0/0</v>
      </c>
      <c r="E101">
        <v>1</v>
      </c>
      <c r="AX101" t="str">
        <f>IF($A101="","", INDEX(CS!$B$1:$B$12828,MATCH($A101,CS!$B:$B,0)+COLUMN(A$1),1))</f>
        <v/>
      </c>
      <c r="AY101" t="str">
        <f>IF($A101="","", INDEX(CS!$B$1:$B$12828,MATCH($A101,CS!$B:$B,0)+COLUMN(B$1),1))</f>
        <v/>
      </c>
      <c r="AZ101" t="str">
        <f>IF($A101="","", INDEX(CS!$B$1:$B$12828,MATCH($A101,CS!$B:$B,0)+COLUMN(C$1),1))</f>
        <v/>
      </c>
      <c r="BA101" t="str">
        <f>IF($A101="","", INDEX(CS!$B$1:$B$12828,MATCH($A101,CS!$B:$B,0)+COLUMN(D$1),1))</f>
        <v/>
      </c>
      <c r="BB101" t="str">
        <f>IF($A101="","", INDEX(CS!$B$1:$B$12828,MATCH($A101,CS!$B:$B,0)+COLUMN(E$1),1))</f>
        <v/>
      </c>
      <c r="BC101" t="str">
        <f>IF($A101="","", INDEX(CS!$B$1:$B$12828,MATCH($A101,CS!$B:$B,0)+COLUMN(F$1),1))</f>
        <v/>
      </c>
      <c r="BD101" t="str">
        <f>IF($A101="","", INDEX(CS!$B$1:$B$12828,MATCH($A101,CS!$B:$B,0)+COLUMN(I$1),1))</f>
        <v/>
      </c>
      <c r="BE101" t="str">
        <f>IF($A101="","", INDEX(CS!$B$1:$B$12828,MATCH($A101,CS!$B:$B,0)+COLUMN(J$1),1))</f>
        <v/>
      </c>
      <c r="BF101" t="str">
        <f>IF($A101="","", INDEX(CS!$B$1:$B$12828,MATCH($A101,CS!$B:$B,0)+COLUMN(K$1),1))</f>
        <v/>
      </c>
      <c r="BG101" t="str">
        <f>IF($A101="","", INDEX(CS!$B$1:$B$12828,MATCH($A101,CS!$B:$B,0)+COLUMN(L$1),1))</f>
        <v/>
      </c>
    </row>
    <row r="102" spans="3:59" x14ac:dyDescent="0.4">
      <c r="C102" t="s">
        <v>194</v>
      </c>
      <c r="D102" t="str">
        <f t="shared" si="8"/>
        <v>0/0/0</v>
      </c>
      <c r="E102">
        <v>1</v>
      </c>
      <c r="AX102" t="str">
        <f>IF($A102="","", INDEX(CS!$B$1:$B$12828,MATCH($A102,CS!$B:$B,0)+COLUMN(A$1),1))</f>
        <v/>
      </c>
      <c r="AY102" t="str">
        <f>IF($A102="","", INDEX(CS!$B$1:$B$12828,MATCH($A102,CS!$B:$B,0)+COLUMN(B$1),1))</f>
        <v/>
      </c>
      <c r="AZ102" t="str">
        <f>IF($A102="","", INDEX(CS!$B$1:$B$12828,MATCH($A102,CS!$B:$B,0)+COLUMN(C$1),1))</f>
        <v/>
      </c>
      <c r="BA102" t="str">
        <f>IF($A102="","", INDEX(CS!$B$1:$B$12828,MATCH($A102,CS!$B:$B,0)+COLUMN(D$1),1))</f>
        <v/>
      </c>
      <c r="BB102" t="str">
        <f>IF($A102="","", INDEX(CS!$B$1:$B$12828,MATCH($A102,CS!$B:$B,0)+COLUMN(E$1),1))</f>
        <v/>
      </c>
      <c r="BC102" t="str">
        <f>IF($A102="","", INDEX(CS!$B$1:$B$12828,MATCH($A102,CS!$B:$B,0)+COLUMN(F$1),1))</f>
        <v/>
      </c>
      <c r="BD102" t="str">
        <f>IF($A102="","", INDEX(CS!$B$1:$B$12828,MATCH($A102,CS!$B:$B,0)+COLUMN(I$1),1))</f>
        <v/>
      </c>
      <c r="BE102" t="str">
        <f>IF($A102="","", INDEX(CS!$B$1:$B$12828,MATCH($A102,CS!$B:$B,0)+COLUMN(J$1),1))</f>
        <v/>
      </c>
      <c r="BF102" t="str">
        <f>IF($A102="","", INDEX(CS!$B$1:$B$12828,MATCH($A102,CS!$B:$B,0)+COLUMN(K$1),1))</f>
        <v/>
      </c>
      <c r="BG102" t="str">
        <f>IF($A102="","", INDEX(CS!$B$1:$B$12828,MATCH($A102,CS!$B:$B,0)+COLUMN(L$1),1))</f>
        <v/>
      </c>
    </row>
    <row r="103" spans="3:59" x14ac:dyDescent="0.4">
      <c r="C103" t="s">
        <v>194</v>
      </c>
      <c r="D103" t="str">
        <f t="shared" si="8"/>
        <v>0/0/0</v>
      </c>
      <c r="E103">
        <v>1</v>
      </c>
      <c r="AX103" t="str">
        <f>IF($A103="","", INDEX(CS!$B$1:$B$12828,MATCH($A103,CS!$B:$B,0)+COLUMN(A$1),1))</f>
        <v/>
      </c>
      <c r="AY103" t="str">
        <f>IF($A103="","", INDEX(CS!$B$1:$B$12828,MATCH($A103,CS!$B:$B,0)+COLUMN(B$1),1))</f>
        <v/>
      </c>
      <c r="AZ103" t="str">
        <f>IF($A103="","", INDEX(CS!$B$1:$B$12828,MATCH($A103,CS!$B:$B,0)+COLUMN(C$1),1))</f>
        <v/>
      </c>
      <c r="BA103" t="str">
        <f>IF($A103="","", INDEX(CS!$B$1:$B$12828,MATCH($A103,CS!$B:$B,0)+COLUMN(D$1),1))</f>
        <v/>
      </c>
      <c r="BB103" t="str">
        <f>IF($A103="","", INDEX(CS!$B$1:$B$12828,MATCH($A103,CS!$B:$B,0)+COLUMN(E$1),1))</f>
        <v/>
      </c>
      <c r="BC103" t="str">
        <f>IF($A103="","", INDEX(CS!$B$1:$B$12828,MATCH($A103,CS!$B:$B,0)+COLUMN(F$1),1))</f>
        <v/>
      </c>
      <c r="BD103" t="str">
        <f>IF($A103="","", INDEX(CS!$B$1:$B$12828,MATCH($A103,CS!$B:$B,0)+COLUMN(I$1),1))</f>
        <v/>
      </c>
      <c r="BE103" t="str">
        <f>IF($A103="","", INDEX(CS!$B$1:$B$12828,MATCH($A103,CS!$B:$B,0)+COLUMN(J$1),1))</f>
        <v/>
      </c>
      <c r="BF103" t="str">
        <f>IF($A103="","", INDEX(CS!$B$1:$B$12828,MATCH($A103,CS!$B:$B,0)+COLUMN(K$1),1))</f>
        <v/>
      </c>
      <c r="BG103" t="str">
        <f>IF($A103="","", INDEX(CS!$B$1:$B$12828,MATCH($A103,CS!$B:$B,0)+COLUMN(L$1),1))</f>
        <v/>
      </c>
    </row>
    <row r="104" spans="3:59" x14ac:dyDescent="0.4">
      <c r="C104" t="s">
        <v>194</v>
      </c>
      <c r="D104" t="str">
        <f t="shared" si="8"/>
        <v>0/0/0</v>
      </c>
      <c r="E104">
        <v>1</v>
      </c>
      <c r="AX104" t="str">
        <f>IF($A104="","", INDEX(CS!$B$1:$B$12828,MATCH($A104,CS!$B:$B,0)+COLUMN(A$1),1))</f>
        <v/>
      </c>
      <c r="AY104" t="str">
        <f>IF($A104="","", INDEX(CS!$B$1:$B$12828,MATCH($A104,CS!$B:$B,0)+COLUMN(B$1),1))</f>
        <v/>
      </c>
      <c r="AZ104" t="str">
        <f>IF($A104="","", INDEX(CS!$B$1:$B$12828,MATCH($A104,CS!$B:$B,0)+COLUMN(C$1),1))</f>
        <v/>
      </c>
      <c r="BA104" t="str">
        <f>IF($A104="","", INDEX(CS!$B$1:$B$12828,MATCH($A104,CS!$B:$B,0)+COLUMN(D$1),1))</f>
        <v/>
      </c>
      <c r="BB104" t="str">
        <f>IF($A104="","", INDEX(CS!$B$1:$B$12828,MATCH($A104,CS!$B:$B,0)+COLUMN(E$1),1))</f>
        <v/>
      </c>
      <c r="BC104" t="str">
        <f>IF($A104="","", INDEX(CS!$B$1:$B$12828,MATCH($A104,CS!$B:$B,0)+COLUMN(F$1),1))</f>
        <v/>
      </c>
      <c r="BD104" t="str">
        <f>IF($A104="","", INDEX(CS!$B$1:$B$12828,MATCH($A104,CS!$B:$B,0)+COLUMN(I$1),1))</f>
        <v/>
      </c>
      <c r="BE104" t="str">
        <f>IF($A104="","", INDEX(CS!$B$1:$B$12828,MATCH($A104,CS!$B:$B,0)+COLUMN(J$1),1))</f>
        <v/>
      </c>
      <c r="BF104" t="str">
        <f>IF($A104="","", INDEX(CS!$B$1:$B$12828,MATCH($A104,CS!$B:$B,0)+COLUMN(K$1),1))</f>
        <v/>
      </c>
      <c r="BG104" t="str">
        <f>IF($A104="","", INDEX(CS!$B$1:$B$12828,MATCH($A104,CS!$B:$B,0)+COLUMN(L$1),1))</f>
        <v/>
      </c>
    </row>
    <row r="105" spans="3:59" x14ac:dyDescent="0.4">
      <c r="C105" t="s">
        <v>194</v>
      </c>
      <c r="D105" t="str">
        <f t="shared" si="8"/>
        <v>0/0/0</v>
      </c>
      <c r="E105">
        <v>1</v>
      </c>
      <c r="AX105" t="str">
        <f>IF($A105="","", INDEX(CS!$B$1:$B$12828,MATCH($A105,CS!$B:$B,0)+COLUMN(A$1),1))</f>
        <v/>
      </c>
      <c r="AY105" t="str">
        <f>IF($A105="","", INDEX(CS!$B$1:$B$12828,MATCH($A105,CS!$B:$B,0)+COLUMN(B$1),1))</f>
        <v/>
      </c>
      <c r="AZ105" t="str">
        <f>IF($A105="","", INDEX(CS!$B$1:$B$12828,MATCH($A105,CS!$B:$B,0)+COLUMN(C$1),1))</f>
        <v/>
      </c>
      <c r="BA105" t="str">
        <f>IF($A105="","", INDEX(CS!$B$1:$B$12828,MATCH($A105,CS!$B:$B,0)+COLUMN(D$1),1))</f>
        <v/>
      </c>
      <c r="BB105" t="str">
        <f>IF($A105="","", INDEX(CS!$B$1:$B$12828,MATCH($A105,CS!$B:$B,0)+COLUMN(E$1),1))</f>
        <v/>
      </c>
      <c r="BC105" t="str">
        <f>IF($A105="","", INDEX(CS!$B$1:$B$12828,MATCH($A105,CS!$B:$B,0)+COLUMN(F$1),1))</f>
        <v/>
      </c>
      <c r="BD105" t="str">
        <f>IF($A105="","", INDEX(CS!$B$1:$B$12828,MATCH($A105,CS!$B:$B,0)+COLUMN(I$1),1))</f>
        <v/>
      </c>
      <c r="BE105" t="str">
        <f>IF($A105="","", INDEX(CS!$B$1:$B$12828,MATCH($A105,CS!$B:$B,0)+COLUMN(J$1),1))</f>
        <v/>
      </c>
      <c r="BF105" t="str">
        <f>IF($A105="","", INDEX(CS!$B$1:$B$12828,MATCH($A105,CS!$B:$B,0)+COLUMN(K$1),1))</f>
        <v/>
      </c>
      <c r="BG105" t="str">
        <f>IF($A105="","", INDEX(CS!$B$1:$B$12828,MATCH($A105,CS!$B:$B,0)+COLUMN(L$1),1))</f>
        <v/>
      </c>
    </row>
    <row r="106" spans="3:59" x14ac:dyDescent="0.4">
      <c r="C106" t="s">
        <v>194</v>
      </c>
      <c r="D106" t="str">
        <f t="shared" si="8"/>
        <v>0/0/0</v>
      </c>
      <c r="E106">
        <v>1</v>
      </c>
      <c r="AX106" t="str">
        <f>IF($A106="","", INDEX(CS!$B$1:$B$12828,MATCH($A106,CS!$B:$B,0)+COLUMN(A$1),1))</f>
        <v/>
      </c>
      <c r="AY106" t="str">
        <f>IF($A106="","", INDEX(CS!$B$1:$B$12828,MATCH($A106,CS!$B:$B,0)+COLUMN(B$1),1))</f>
        <v/>
      </c>
      <c r="AZ106" t="str">
        <f>IF($A106="","", INDEX(CS!$B$1:$B$12828,MATCH($A106,CS!$B:$B,0)+COLUMN(C$1),1))</f>
        <v/>
      </c>
      <c r="BA106" t="str">
        <f>IF($A106="","", INDEX(CS!$B$1:$B$12828,MATCH($A106,CS!$B:$B,0)+COLUMN(D$1),1))</f>
        <v/>
      </c>
      <c r="BB106" t="str">
        <f>IF($A106="","", INDEX(CS!$B$1:$B$12828,MATCH($A106,CS!$B:$B,0)+COLUMN(E$1),1))</f>
        <v/>
      </c>
      <c r="BC106" t="str">
        <f>IF($A106="","", INDEX(CS!$B$1:$B$12828,MATCH($A106,CS!$B:$B,0)+COLUMN(F$1),1))</f>
        <v/>
      </c>
      <c r="BD106" t="str">
        <f>IF($A106="","", INDEX(CS!$B$1:$B$12828,MATCH($A106,CS!$B:$B,0)+COLUMN(I$1),1))</f>
        <v/>
      </c>
      <c r="BE106" t="str">
        <f>IF($A106="","", INDEX(CS!$B$1:$B$12828,MATCH($A106,CS!$B:$B,0)+COLUMN(J$1),1))</f>
        <v/>
      </c>
      <c r="BF106" t="str">
        <f>IF($A106="","", INDEX(CS!$B$1:$B$12828,MATCH($A106,CS!$B:$B,0)+COLUMN(K$1),1))</f>
        <v/>
      </c>
      <c r="BG106" t="str">
        <f>IF($A106="","", INDEX(CS!$B$1:$B$12828,MATCH($A106,CS!$B:$B,0)+COLUMN(L$1),1))</f>
        <v/>
      </c>
    </row>
    <row r="107" spans="3:59" x14ac:dyDescent="0.4">
      <c r="C107" t="s">
        <v>194</v>
      </c>
      <c r="D107" t="str">
        <f t="shared" si="8"/>
        <v>0/0/0</v>
      </c>
      <c r="E107">
        <v>1</v>
      </c>
      <c r="AX107" t="str">
        <f>IF($A107="","", INDEX(CS!$B$1:$B$12828,MATCH($A107,CS!$B:$B,0)+COLUMN(A$1),1))</f>
        <v/>
      </c>
      <c r="AY107" t="str">
        <f>IF($A107="","", INDEX(CS!$B$1:$B$12828,MATCH($A107,CS!$B:$B,0)+COLUMN(B$1),1))</f>
        <v/>
      </c>
      <c r="AZ107" t="str">
        <f>IF($A107="","", INDEX(CS!$B$1:$B$12828,MATCH($A107,CS!$B:$B,0)+COLUMN(C$1),1))</f>
        <v/>
      </c>
      <c r="BA107" t="str">
        <f>IF($A107="","", INDEX(CS!$B$1:$B$12828,MATCH($A107,CS!$B:$B,0)+COLUMN(D$1),1))</f>
        <v/>
      </c>
      <c r="BB107" t="str">
        <f>IF($A107="","", INDEX(CS!$B$1:$B$12828,MATCH($A107,CS!$B:$B,0)+COLUMN(E$1),1))</f>
        <v/>
      </c>
      <c r="BC107" t="str">
        <f>IF($A107="","", INDEX(CS!$B$1:$B$12828,MATCH($A107,CS!$B:$B,0)+COLUMN(F$1),1))</f>
        <v/>
      </c>
      <c r="BD107" t="str">
        <f>IF($A107="","", INDEX(CS!$B$1:$B$12828,MATCH($A107,CS!$B:$B,0)+COLUMN(I$1),1))</f>
        <v/>
      </c>
      <c r="BE107" t="str">
        <f>IF($A107="","", INDEX(CS!$B$1:$B$12828,MATCH($A107,CS!$B:$B,0)+COLUMN(J$1),1))</f>
        <v/>
      </c>
      <c r="BF107" t="str">
        <f>IF($A107="","", INDEX(CS!$B$1:$B$12828,MATCH($A107,CS!$B:$B,0)+COLUMN(K$1),1))</f>
        <v/>
      </c>
      <c r="BG107" t="str">
        <f>IF($A107="","", INDEX(CS!$B$1:$B$12828,MATCH($A107,CS!$B:$B,0)+COLUMN(L$1),1))</f>
        <v/>
      </c>
    </row>
    <row r="108" spans="3:59" x14ac:dyDescent="0.4">
      <c r="C108" t="s">
        <v>194</v>
      </c>
      <c r="D108" t="str">
        <f t="shared" si="8"/>
        <v>0/0/0</v>
      </c>
      <c r="E108">
        <v>1</v>
      </c>
      <c r="AX108" t="str">
        <f>IF($A108="","", INDEX(CS!$B$1:$B$12828,MATCH($A108,CS!$B:$B,0)+COLUMN(A$1),1))</f>
        <v/>
      </c>
      <c r="AY108" t="str">
        <f>IF($A108="","", INDEX(CS!$B$1:$B$12828,MATCH($A108,CS!$B:$B,0)+COLUMN(B$1),1))</f>
        <v/>
      </c>
      <c r="AZ108" t="str">
        <f>IF($A108="","", INDEX(CS!$B$1:$B$12828,MATCH($A108,CS!$B:$B,0)+COLUMN(C$1),1))</f>
        <v/>
      </c>
      <c r="BA108" t="str">
        <f>IF($A108="","", INDEX(CS!$B$1:$B$12828,MATCH($A108,CS!$B:$B,0)+COLUMN(D$1),1))</f>
        <v/>
      </c>
      <c r="BB108" t="str">
        <f>IF($A108="","", INDEX(CS!$B$1:$B$12828,MATCH($A108,CS!$B:$B,0)+COLUMN(E$1),1))</f>
        <v/>
      </c>
      <c r="BC108" t="str">
        <f>IF($A108="","", INDEX(CS!$B$1:$B$12828,MATCH($A108,CS!$B:$B,0)+COLUMN(F$1),1))</f>
        <v/>
      </c>
      <c r="BD108" t="str">
        <f>IF($A108="","", INDEX(CS!$B$1:$B$12828,MATCH($A108,CS!$B:$B,0)+COLUMN(I$1),1))</f>
        <v/>
      </c>
      <c r="BE108" t="str">
        <f>IF($A108="","", INDEX(CS!$B$1:$B$12828,MATCH($A108,CS!$B:$B,0)+COLUMN(J$1),1))</f>
        <v/>
      </c>
      <c r="BF108" t="str">
        <f>IF($A108="","", INDEX(CS!$B$1:$B$12828,MATCH($A108,CS!$B:$B,0)+COLUMN(K$1),1))</f>
        <v/>
      </c>
      <c r="BG108" t="str">
        <f>IF($A108="","", INDEX(CS!$B$1:$B$12828,MATCH($A108,CS!$B:$B,0)+COLUMN(L$1),1))</f>
        <v/>
      </c>
    </row>
    <row r="109" spans="3:59" x14ac:dyDescent="0.4">
      <c r="C109" t="s">
        <v>194</v>
      </c>
      <c r="D109" t="str">
        <f t="shared" si="8"/>
        <v>0/0/0</v>
      </c>
      <c r="E109">
        <v>1</v>
      </c>
      <c r="AX109" t="str">
        <f>IF($A109="","", INDEX(CS!$B$1:$B$12828,MATCH($A109,CS!$B:$B,0)+COLUMN(A$1),1))</f>
        <v/>
      </c>
      <c r="AY109" t="str">
        <f>IF($A109="","", INDEX(CS!$B$1:$B$12828,MATCH($A109,CS!$B:$B,0)+COLUMN(B$1),1))</f>
        <v/>
      </c>
      <c r="AZ109" t="str">
        <f>IF($A109="","", INDEX(CS!$B$1:$B$12828,MATCH($A109,CS!$B:$B,0)+COLUMN(C$1),1))</f>
        <v/>
      </c>
      <c r="BA109" t="str">
        <f>IF($A109="","", INDEX(CS!$B$1:$B$12828,MATCH($A109,CS!$B:$B,0)+COLUMN(D$1),1))</f>
        <v/>
      </c>
      <c r="BB109" t="str">
        <f>IF($A109="","", INDEX(CS!$B$1:$B$12828,MATCH($A109,CS!$B:$B,0)+COLUMN(E$1),1))</f>
        <v/>
      </c>
      <c r="BC109" t="str">
        <f>IF($A109="","", INDEX(CS!$B$1:$B$12828,MATCH($A109,CS!$B:$B,0)+COLUMN(F$1),1))</f>
        <v/>
      </c>
      <c r="BD109" t="str">
        <f>IF($A109="","", INDEX(CS!$B$1:$B$12828,MATCH($A109,CS!$B:$B,0)+COLUMN(I$1),1))</f>
        <v/>
      </c>
      <c r="BE109" t="str">
        <f>IF($A109="","", INDEX(CS!$B$1:$B$12828,MATCH($A109,CS!$B:$B,0)+COLUMN(J$1),1))</f>
        <v/>
      </c>
      <c r="BF109" t="str">
        <f>IF($A109="","", INDEX(CS!$B$1:$B$12828,MATCH($A109,CS!$B:$B,0)+COLUMN(K$1),1))</f>
        <v/>
      </c>
      <c r="BG109" t="str">
        <f>IF($A109="","", INDEX(CS!$B$1:$B$12828,MATCH($A109,CS!$B:$B,0)+COLUMN(L$1),1))</f>
        <v/>
      </c>
    </row>
    <row r="110" spans="3:59" x14ac:dyDescent="0.4">
      <c r="C110" t="s">
        <v>194</v>
      </c>
      <c r="D110" t="str">
        <f t="shared" si="8"/>
        <v>0/0/0</v>
      </c>
      <c r="E110">
        <v>1</v>
      </c>
      <c r="AX110" t="str">
        <f>IF($A110="","", INDEX(CS!$B$1:$B$12828,MATCH($A110,CS!$B:$B,0)+COLUMN(A$1),1))</f>
        <v/>
      </c>
      <c r="AY110" t="str">
        <f>IF($A110="","", INDEX(CS!$B$1:$B$12828,MATCH($A110,CS!$B:$B,0)+COLUMN(B$1),1))</f>
        <v/>
      </c>
      <c r="AZ110" t="str">
        <f>IF($A110="","", INDEX(CS!$B$1:$B$12828,MATCH($A110,CS!$B:$B,0)+COLUMN(C$1),1))</f>
        <v/>
      </c>
      <c r="BA110" t="str">
        <f>IF($A110="","", INDEX(CS!$B$1:$B$12828,MATCH($A110,CS!$B:$B,0)+COLUMN(D$1),1))</f>
        <v/>
      </c>
      <c r="BB110" t="str">
        <f>IF($A110="","", INDEX(CS!$B$1:$B$12828,MATCH($A110,CS!$B:$B,0)+COLUMN(E$1),1))</f>
        <v/>
      </c>
      <c r="BC110" t="str">
        <f>IF($A110="","", INDEX(CS!$B$1:$B$12828,MATCH($A110,CS!$B:$B,0)+COLUMN(F$1),1))</f>
        <v/>
      </c>
      <c r="BD110" t="str">
        <f>IF($A110="","", INDEX(CS!$B$1:$B$12828,MATCH($A110,CS!$B:$B,0)+COLUMN(I$1),1))</f>
        <v/>
      </c>
      <c r="BE110" t="str">
        <f>IF($A110="","", INDEX(CS!$B$1:$B$12828,MATCH($A110,CS!$B:$B,0)+COLUMN(J$1),1))</f>
        <v/>
      </c>
      <c r="BF110" t="str">
        <f>IF($A110="","", INDEX(CS!$B$1:$B$12828,MATCH($A110,CS!$B:$B,0)+COLUMN(K$1),1))</f>
        <v/>
      </c>
      <c r="BG110" t="str">
        <f>IF($A110="","", INDEX(CS!$B$1:$B$12828,MATCH($A110,CS!$B:$B,0)+COLUMN(L$1),1))</f>
        <v/>
      </c>
    </row>
    <row r="111" spans="3:59" x14ac:dyDescent="0.4">
      <c r="C111" t="s">
        <v>194</v>
      </c>
      <c r="D111" t="str">
        <f t="shared" si="8"/>
        <v>0/0/0</v>
      </c>
      <c r="E111">
        <v>1</v>
      </c>
      <c r="AX111" t="str">
        <f>IF($A111="","", INDEX(CS!$B$1:$B$12828,MATCH($A111,CS!$B:$B,0)+COLUMN(A$1),1))</f>
        <v/>
      </c>
      <c r="AY111" t="str">
        <f>IF($A111="","", INDEX(CS!$B$1:$B$12828,MATCH($A111,CS!$B:$B,0)+COLUMN(B$1),1))</f>
        <v/>
      </c>
      <c r="AZ111" t="str">
        <f>IF($A111="","", INDEX(CS!$B$1:$B$12828,MATCH($A111,CS!$B:$B,0)+COLUMN(C$1),1))</f>
        <v/>
      </c>
      <c r="BA111" t="str">
        <f>IF($A111="","", INDEX(CS!$B$1:$B$12828,MATCH($A111,CS!$B:$B,0)+COLUMN(D$1),1))</f>
        <v/>
      </c>
      <c r="BB111" t="str">
        <f>IF($A111="","", INDEX(CS!$B$1:$B$12828,MATCH($A111,CS!$B:$B,0)+COLUMN(E$1),1))</f>
        <v/>
      </c>
      <c r="BC111" t="str">
        <f>IF($A111="","", INDEX(CS!$B$1:$B$12828,MATCH($A111,CS!$B:$B,0)+COLUMN(F$1),1))</f>
        <v/>
      </c>
      <c r="BD111" t="str">
        <f>IF($A111="","", INDEX(CS!$B$1:$B$12828,MATCH($A111,CS!$B:$B,0)+COLUMN(I$1),1))</f>
        <v/>
      </c>
      <c r="BE111" t="str">
        <f>IF($A111="","", INDEX(CS!$B$1:$B$12828,MATCH($A111,CS!$B:$B,0)+COLUMN(J$1),1))</f>
        <v/>
      </c>
      <c r="BF111" t="str">
        <f>IF($A111="","", INDEX(CS!$B$1:$B$12828,MATCH($A111,CS!$B:$B,0)+COLUMN(K$1),1))</f>
        <v/>
      </c>
      <c r="BG111" t="str">
        <f>IF($A111="","", INDEX(CS!$B$1:$B$12828,MATCH($A111,CS!$B:$B,0)+COLUMN(L$1),1))</f>
        <v/>
      </c>
    </row>
    <row r="112" spans="3:59" x14ac:dyDescent="0.4">
      <c r="C112" t="s">
        <v>194</v>
      </c>
      <c r="D112" t="str">
        <f t="shared" si="8"/>
        <v>0/0/0</v>
      </c>
      <c r="E112">
        <v>1</v>
      </c>
      <c r="AX112" t="str">
        <f>IF($A112="","", INDEX(CS!$B$1:$B$12828,MATCH($A112,CS!$B:$B,0)+COLUMN(A$1),1))</f>
        <v/>
      </c>
      <c r="AY112" t="str">
        <f>IF($A112="","", INDEX(CS!$B$1:$B$12828,MATCH($A112,CS!$B:$B,0)+COLUMN(B$1),1))</f>
        <v/>
      </c>
      <c r="AZ112" t="str">
        <f>IF($A112="","", INDEX(CS!$B$1:$B$12828,MATCH($A112,CS!$B:$B,0)+COLUMN(C$1),1))</f>
        <v/>
      </c>
      <c r="BA112" t="str">
        <f>IF($A112="","", INDEX(CS!$B$1:$B$12828,MATCH($A112,CS!$B:$B,0)+COLUMN(D$1),1))</f>
        <v/>
      </c>
      <c r="BB112" t="str">
        <f>IF($A112="","", INDEX(CS!$B$1:$B$12828,MATCH($A112,CS!$B:$B,0)+COLUMN(E$1),1))</f>
        <v/>
      </c>
      <c r="BC112" t="str">
        <f>IF($A112="","", INDEX(CS!$B$1:$B$12828,MATCH($A112,CS!$B:$B,0)+COLUMN(F$1),1))</f>
        <v/>
      </c>
      <c r="BD112" t="str">
        <f>IF($A112="","", INDEX(CS!$B$1:$B$12828,MATCH($A112,CS!$B:$B,0)+COLUMN(I$1),1))</f>
        <v/>
      </c>
      <c r="BE112" t="str">
        <f>IF($A112="","", INDEX(CS!$B$1:$B$12828,MATCH($A112,CS!$B:$B,0)+COLUMN(J$1),1))</f>
        <v/>
      </c>
      <c r="BF112" t="str">
        <f>IF($A112="","", INDEX(CS!$B$1:$B$12828,MATCH($A112,CS!$B:$B,0)+COLUMN(K$1),1))</f>
        <v/>
      </c>
      <c r="BG112" t="str">
        <f>IF($A112="","", INDEX(CS!$B$1:$B$12828,MATCH($A112,CS!$B:$B,0)+COLUMN(L$1),1))</f>
        <v/>
      </c>
    </row>
    <row r="113" spans="3:59" x14ac:dyDescent="0.4">
      <c r="C113" t="s">
        <v>194</v>
      </c>
      <c r="D113" t="str">
        <f t="shared" si="8"/>
        <v>0/0/0</v>
      </c>
      <c r="E113">
        <v>1</v>
      </c>
      <c r="AX113" t="str">
        <f>IF($A113="","", INDEX(CS!$B$1:$B$12828,MATCH($A113,CS!$B:$B,0)+COLUMN(A$1),1))</f>
        <v/>
      </c>
      <c r="AY113" t="str">
        <f>IF($A113="","", INDEX(CS!$B$1:$B$12828,MATCH($A113,CS!$B:$B,0)+COLUMN(B$1),1))</f>
        <v/>
      </c>
      <c r="AZ113" t="str">
        <f>IF($A113="","", INDEX(CS!$B$1:$B$12828,MATCH($A113,CS!$B:$B,0)+COLUMN(C$1),1))</f>
        <v/>
      </c>
      <c r="BA113" t="str">
        <f>IF($A113="","", INDEX(CS!$B$1:$B$12828,MATCH($A113,CS!$B:$B,0)+COLUMN(D$1),1))</f>
        <v/>
      </c>
      <c r="BB113" t="str">
        <f>IF($A113="","", INDEX(CS!$B$1:$B$12828,MATCH($A113,CS!$B:$B,0)+COLUMN(E$1),1))</f>
        <v/>
      </c>
      <c r="BC113" t="str">
        <f>IF($A113="","", INDEX(CS!$B$1:$B$12828,MATCH($A113,CS!$B:$B,0)+COLUMN(F$1),1))</f>
        <v/>
      </c>
      <c r="BD113" t="str">
        <f>IF($A113="","", INDEX(CS!$B$1:$B$12828,MATCH($A113,CS!$B:$B,0)+COLUMN(I$1),1))</f>
        <v/>
      </c>
      <c r="BE113" t="str">
        <f>IF($A113="","", INDEX(CS!$B$1:$B$12828,MATCH($A113,CS!$B:$B,0)+COLUMN(J$1),1))</f>
        <v/>
      </c>
      <c r="BF113" t="str">
        <f>IF($A113="","", INDEX(CS!$B$1:$B$12828,MATCH($A113,CS!$B:$B,0)+COLUMN(K$1),1))</f>
        <v/>
      </c>
      <c r="BG113" t="str">
        <f>IF($A113="","", INDEX(CS!$B$1:$B$12828,MATCH($A113,CS!$B:$B,0)+COLUMN(L$1),1))</f>
        <v/>
      </c>
    </row>
    <row r="114" spans="3:59" x14ac:dyDescent="0.4">
      <c r="C114" t="s">
        <v>194</v>
      </c>
      <c r="D114" t="str">
        <f t="shared" si="8"/>
        <v>0/0/0</v>
      </c>
      <c r="E114">
        <v>1</v>
      </c>
      <c r="AX114" t="str">
        <f>IF($A114="","", INDEX(CS!$B$1:$B$12828,MATCH($A114,CS!$B:$B,0)+COLUMN(A$1),1))</f>
        <v/>
      </c>
      <c r="AY114" t="str">
        <f>IF($A114="","", INDEX(CS!$B$1:$B$12828,MATCH($A114,CS!$B:$B,0)+COLUMN(B$1),1))</f>
        <v/>
      </c>
      <c r="AZ114" t="str">
        <f>IF($A114="","", INDEX(CS!$B$1:$B$12828,MATCH($A114,CS!$B:$B,0)+COLUMN(C$1),1))</f>
        <v/>
      </c>
      <c r="BA114" t="str">
        <f>IF($A114="","", INDEX(CS!$B$1:$B$12828,MATCH($A114,CS!$B:$B,0)+COLUMN(D$1),1))</f>
        <v/>
      </c>
      <c r="BB114" t="str">
        <f>IF($A114="","", INDEX(CS!$B$1:$B$12828,MATCH($A114,CS!$B:$B,0)+COLUMN(E$1),1))</f>
        <v/>
      </c>
      <c r="BC114" t="str">
        <f>IF($A114="","", INDEX(CS!$B$1:$B$12828,MATCH($A114,CS!$B:$B,0)+COLUMN(F$1),1))</f>
        <v/>
      </c>
      <c r="BD114" t="str">
        <f>IF($A114="","", INDEX(CS!$B$1:$B$12828,MATCH($A114,CS!$B:$B,0)+COLUMN(I$1),1))</f>
        <v/>
      </c>
      <c r="BE114" t="str">
        <f>IF($A114="","", INDEX(CS!$B$1:$B$12828,MATCH($A114,CS!$B:$B,0)+COLUMN(J$1),1))</f>
        <v/>
      </c>
      <c r="BF114" t="str">
        <f>IF($A114="","", INDEX(CS!$B$1:$B$12828,MATCH($A114,CS!$B:$B,0)+COLUMN(K$1),1))</f>
        <v/>
      </c>
      <c r="BG114" t="str">
        <f>IF($A114="","", INDEX(CS!$B$1:$B$12828,MATCH($A114,CS!$B:$B,0)+COLUMN(L$1),1))</f>
        <v/>
      </c>
    </row>
    <row r="115" spans="3:59" x14ac:dyDescent="0.4">
      <c r="C115" t="s">
        <v>194</v>
      </c>
      <c r="D115" t="str">
        <f t="shared" si="8"/>
        <v>0/0/0</v>
      </c>
      <c r="E115">
        <v>1</v>
      </c>
      <c r="AX115" t="str">
        <f>IF($A115="","", INDEX(CS!$B$1:$B$12828,MATCH($A115,CS!$B:$B,0)+COLUMN(A$1),1))</f>
        <v/>
      </c>
      <c r="AY115" t="str">
        <f>IF($A115="","", INDEX(CS!$B$1:$B$12828,MATCH($A115,CS!$B:$B,0)+COLUMN(B$1),1))</f>
        <v/>
      </c>
      <c r="AZ115" t="str">
        <f>IF($A115="","", INDEX(CS!$B$1:$B$12828,MATCH($A115,CS!$B:$B,0)+COLUMN(C$1),1))</f>
        <v/>
      </c>
      <c r="BA115" t="str">
        <f>IF($A115="","", INDEX(CS!$B$1:$B$12828,MATCH($A115,CS!$B:$B,0)+COLUMN(D$1),1))</f>
        <v/>
      </c>
      <c r="BB115" t="str">
        <f>IF($A115="","", INDEX(CS!$B$1:$B$12828,MATCH($A115,CS!$B:$B,0)+COLUMN(E$1),1))</f>
        <v/>
      </c>
      <c r="BC115" t="str">
        <f>IF($A115="","", INDEX(CS!$B$1:$B$12828,MATCH($A115,CS!$B:$B,0)+COLUMN(F$1),1))</f>
        <v/>
      </c>
      <c r="BD115" t="str">
        <f>IF($A115="","", INDEX(CS!$B$1:$B$12828,MATCH($A115,CS!$B:$B,0)+COLUMN(I$1),1))</f>
        <v/>
      </c>
      <c r="BE115" t="str">
        <f>IF($A115="","", INDEX(CS!$B$1:$B$12828,MATCH($A115,CS!$B:$B,0)+COLUMN(J$1),1))</f>
        <v/>
      </c>
      <c r="BF115" t="str">
        <f>IF($A115="","", INDEX(CS!$B$1:$B$12828,MATCH($A115,CS!$B:$B,0)+COLUMN(K$1),1))</f>
        <v/>
      </c>
      <c r="BG115" t="str">
        <f>IF($A115="","", INDEX(CS!$B$1:$B$12828,MATCH($A115,CS!$B:$B,0)+COLUMN(L$1),1))</f>
        <v/>
      </c>
    </row>
    <row r="116" spans="3:59" x14ac:dyDescent="0.4">
      <c r="C116" t="s">
        <v>194</v>
      </c>
      <c r="D116" t="str">
        <f t="shared" si="8"/>
        <v>0/0/0</v>
      </c>
      <c r="E116">
        <v>1</v>
      </c>
      <c r="AX116" t="str">
        <f>IF($A116="","", INDEX(CS!$B$1:$B$12828,MATCH($A116,CS!$B:$B,0)+COLUMN(A$1),1))</f>
        <v/>
      </c>
      <c r="AY116" t="str">
        <f>IF($A116="","", INDEX(CS!$B$1:$B$12828,MATCH($A116,CS!$B:$B,0)+COLUMN(B$1),1))</f>
        <v/>
      </c>
      <c r="AZ116" t="str">
        <f>IF($A116="","", INDEX(CS!$B$1:$B$12828,MATCH($A116,CS!$B:$B,0)+COLUMN(C$1),1))</f>
        <v/>
      </c>
      <c r="BA116" t="str">
        <f>IF($A116="","", INDEX(CS!$B$1:$B$12828,MATCH($A116,CS!$B:$B,0)+COLUMN(D$1),1))</f>
        <v/>
      </c>
      <c r="BB116" t="str">
        <f>IF($A116="","", INDEX(CS!$B$1:$B$12828,MATCH($A116,CS!$B:$B,0)+COLUMN(E$1),1))</f>
        <v/>
      </c>
      <c r="BC116" t="str">
        <f>IF($A116="","", INDEX(CS!$B$1:$B$12828,MATCH($A116,CS!$B:$B,0)+COLUMN(F$1),1))</f>
        <v/>
      </c>
      <c r="BD116" t="str">
        <f>IF($A116="","", INDEX(CS!$B$1:$B$12828,MATCH($A116,CS!$B:$B,0)+COLUMN(I$1),1))</f>
        <v/>
      </c>
      <c r="BE116" t="str">
        <f>IF($A116="","", INDEX(CS!$B$1:$B$12828,MATCH($A116,CS!$B:$B,0)+COLUMN(J$1),1))</f>
        <v/>
      </c>
      <c r="BF116" t="str">
        <f>IF($A116="","", INDEX(CS!$B$1:$B$12828,MATCH($A116,CS!$B:$B,0)+COLUMN(K$1),1))</f>
        <v/>
      </c>
      <c r="BG116" t="str">
        <f>IF($A116="","", INDEX(CS!$B$1:$B$12828,MATCH($A116,CS!$B:$B,0)+COLUMN(L$1),1))</f>
        <v/>
      </c>
    </row>
    <row r="117" spans="3:59" x14ac:dyDescent="0.4">
      <c r="C117" t="s">
        <v>194</v>
      </c>
      <c r="D117" t="str">
        <f t="shared" si="8"/>
        <v>0/0/0</v>
      </c>
      <c r="E117">
        <v>1</v>
      </c>
      <c r="AX117" t="str">
        <f>IF($A117="","", INDEX(CS!$B$1:$B$12828,MATCH($A117,CS!$B:$B,0)+COLUMN(A$1),1))</f>
        <v/>
      </c>
      <c r="AY117" t="str">
        <f>IF($A117="","", INDEX(CS!$B$1:$B$12828,MATCH($A117,CS!$B:$B,0)+COLUMN(B$1),1))</f>
        <v/>
      </c>
      <c r="AZ117" t="str">
        <f>IF($A117="","", INDEX(CS!$B$1:$B$12828,MATCH($A117,CS!$B:$B,0)+COLUMN(C$1),1))</f>
        <v/>
      </c>
      <c r="BA117" t="str">
        <f>IF($A117="","", INDEX(CS!$B$1:$B$12828,MATCH($A117,CS!$B:$B,0)+COLUMN(D$1),1))</f>
        <v/>
      </c>
      <c r="BB117" t="str">
        <f>IF($A117="","", INDEX(CS!$B$1:$B$12828,MATCH($A117,CS!$B:$B,0)+COLUMN(E$1),1))</f>
        <v/>
      </c>
      <c r="BC117" t="str">
        <f>IF($A117="","", INDEX(CS!$B$1:$B$12828,MATCH($A117,CS!$B:$B,0)+COLUMN(F$1),1))</f>
        <v/>
      </c>
      <c r="BD117" t="str">
        <f>IF($A117="","", INDEX(CS!$B$1:$B$12828,MATCH($A117,CS!$B:$B,0)+COLUMN(I$1),1))</f>
        <v/>
      </c>
      <c r="BE117" t="str">
        <f>IF($A117="","", INDEX(CS!$B$1:$B$12828,MATCH($A117,CS!$B:$B,0)+COLUMN(J$1),1))</f>
        <v/>
      </c>
      <c r="BF117" t="str">
        <f>IF($A117="","", INDEX(CS!$B$1:$B$12828,MATCH($A117,CS!$B:$B,0)+COLUMN(K$1),1))</f>
        <v/>
      </c>
      <c r="BG117" t="str">
        <f>IF($A117="","", INDEX(CS!$B$1:$B$12828,MATCH($A117,CS!$B:$B,0)+COLUMN(L$1),1))</f>
        <v/>
      </c>
    </row>
    <row r="118" spans="3:59" x14ac:dyDescent="0.4">
      <c r="C118" t="s">
        <v>194</v>
      </c>
      <c r="D118" t="str">
        <f t="shared" si="8"/>
        <v>0/0/0</v>
      </c>
      <c r="E118">
        <v>1</v>
      </c>
      <c r="AX118" t="str">
        <f>IF($A118="","", INDEX(CS!$B$1:$B$12828,MATCH($A118,CS!$B:$B,0)+COLUMN(A$1),1))</f>
        <v/>
      </c>
      <c r="AY118" t="str">
        <f>IF($A118="","", INDEX(CS!$B$1:$B$12828,MATCH($A118,CS!$B:$B,0)+COLUMN(B$1),1))</f>
        <v/>
      </c>
      <c r="AZ118" t="str">
        <f>IF($A118="","", INDEX(CS!$B$1:$B$12828,MATCH($A118,CS!$B:$B,0)+COLUMN(C$1),1))</f>
        <v/>
      </c>
      <c r="BA118" t="str">
        <f>IF($A118="","", INDEX(CS!$B$1:$B$12828,MATCH($A118,CS!$B:$B,0)+COLUMN(D$1),1))</f>
        <v/>
      </c>
      <c r="BB118" t="str">
        <f>IF($A118="","", INDEX(CS!$B$1:$B$12828,MATCH($A118,CS!$B:$B,0)+COLUMN(E$1),1))</f>
        <v/>
      </c>
      <c r="BC118" t="str">
        <f>IF($A118="","", INDEX(CS!$B$1:$B$12828,MATCH($A118,CS!$B:$B,0)+COLUMN(F$1),1))</f>
        <v/>
      </c>
      <c r="BD118" t="str">
        <f>IF($A118="","", INDEX(CS!$B$1:$B$12828,MATCH($A118,CS!$B:$B,0)+COLUMN(I$1),1))</f>
        <v/>
      </c>
      <c r="BE118" t="str">
        <f>IF($A118="","", INDEX(CS!$B$1:$B$12828,MATCH($A118,CS!$B:$B,0)+COLUMN(J$1),1))</f>
        <v/>
      </c>
      <c r="BF118" t="str">
        <f>IF($A118="","", INDEX(CS!$B$1:$B$12828,MATCH($A118,CS!$B:$B,0)+COLUMN(K$1),1))</f>
        <v/>
      </c>
      <c r="BG118" t="str">
        <f>IF($A118="","", INDEX(CS!$B$1:$B$12828,MATCH($A118,CS!$B:$B,0)+COLUMN(L$1),1))</f>
        <v/>
      </c>
    </row>
    <row r="119" spans="3:59" x14ac:dyDescent="0.4">
      <c r="C119" t="s">
        <v>194</v>
      </c>
      <c r="D119" t="str">
        <f t="shared" si="8"/>
        <v>0/0/0</v>
      </c>
      <c r="E119">
        <v>1</v>
      </c>
      <c r="AX119" t="str">
        <f>IF($A119="","", INDEX(CS!$B$1:$B$12828,MATCH($A119,CS!$B:$B,0)+COLUMN(A$1),1))</f>
        <v/>
      </c>
      <c r="AY119" t="str">
        <f>IF($A119="","", INDEX(CS!$B$1:$B$12828,MATCH($A119,CS!$B:$B,0)+COLUMN(B$1),1))</f>
        <v/>
      </c>
      <c r="AZ119" t="str">
        <f>IF($A119="","", INDEX(CS!$B$1:$B$12828,MATCH($A119,CS!$B:$B,0)+COLUMN(C$1),1))</f>
        <v/>
      </c>
      <c r="BA119" t="str">
        <f>IF($A119="","", INDEX(CS!$B$1:$B$12828,MATCH($A119,CS!$B:$B,0)+COLUMN(D$1),1))</f>
        <v/>
      </c>
      <c r="BB119" t="str">
        <f>IF($A119="","", INDEX(CS!$B$1:$B$12828,MATCH($A119,CS!$B:$B,0)+COLUMN(E$1),1))</f>
        <v/>
      </c>
      <c r="BC119" t="str">
        <f>IF($A119="","", INDEX(CS!$B$1:$B$12828,MATCH($A119,CS!$B:$B,0)+COLUMN(F$1),1))</f>
        <v/>
      </c>
      <c r="BD119" t="str">
        <f>IF($A119="","", INDEX(CS!$B$1:$B$12828,MATCH($A119,CS!$B:$B,0)+COLUMN(I$1),1))</f>
        <v/>
      </c>
      <c r="BE119" t="str">
        <f>IF($A119="","", INDEX(CS!$B$1:$B$12828,MATCH($A119,CS!$B:$B,0)+COLUMN(J$1),1))</f>
        <v/>
      </c>
      <c r="BF119" t="str">
        <f>IF($A119="","", INDEX(CS!$B$1:$B$12828,MATCH($A119,CS!$B:$B,0)+COLUMN(K$1),1))</f>
        <v/>
      </c>
      <c r="BG119" t="str">
        <f>IF($A119="","", INDEX(CS!$B$1:$B$12828,MATCH($A119,CS!$B:$B,0)+COLUMN(L$1),1))</f>
        <v/>
      </c>
    </row>
    <row r="120" spans="3:59" x14ac:dyDescent="0.4">
      <c r="C120" t="s">
        <v>194</v>
      </c>
      <c r="D120" t="str">
        <f t="shared" si="8"/>
        <v>0/0/0</v>
      </c>
      <c r="E120">
        <v>1</v>
      </c>
      <c r="AX120" t="str">
        <f>IF($A120="","", INDEX(CS!$B$1:$B$12828,MATCH($A120,CS!$B:$B,0)+COLUMN(A$1),1))</f>
        <v/>
      </c>
      <c r="AY120" t="str">
        <f>IF($A120="","", INDEX(CS!$B$1:$B$12828,MATCH($A120,CS!$B:$B,0)+COLUMN(B$1),1))</f>
        <v/>
      </c>
      <c r="AZ120" t="str">
        <f>IF($A120="","", INDEX(CS!$B$1:$B$12828,MATCH($A120,CS!$B:$B,0)+COLUMN(C$1),1))</f>
        <v/>
      </c>
      <c r="BA120" t="str">
        <f>IF($A120="","", INDEX(CS!$B$1:$B$12828,MATCH($A120,CS!$B:$B,0)+COLUMN(D$1),1))</f>
        <v/>
      </c>
      <c r="BB120" t="str">
        <f>IF($A120="","", INDEX(CS!$B$1:$B$12828,MATCH($A120,CS!$B:$B,0)+COLUMN(E$1),1))</f>
        <v/>
      </c>
      <c r="BC120" t="str">
        <f>IF($A120="","", INDEX(CS!$B$1:$B$12828,MATCH($A120,CS!$B:$B,0)+COLUMN(F$1),1))</f>
        <v/>
      </c>
      <c r="BD120" t="str">
        <f>IF($A120="","", INDEX(CS!$B$1:$B$12828,MATCH($A120,CS!$B:$B,0)+COLUMN(I$1),1))</f>
        <v/>
      </c>
      <c r="BE120" t="str">
        <f>IF($A120="","", INDEX(CS!$B$1:$B$12828,MATCH($A120,CS!$B:$B,0)+COLUMN(J$1),1))</f>
        <v/>
      </c>
      <c r="BF120" t="str">
        <f>IF($A120="","", INDEX(CS!$B$1:$B$12828,MATCH($A120,CS!$B:$B,0)+COLUMN(K$1),1))</f>
        <v/>
      </c>
      <c r="BG120" t="str">
        <f>IF($A120="","", INDEX(CS!$B$1:$B$12828,MATCH($A120,CS!$B:$B,0)+COLUMN(L$1),1))</f>
        <v/>
      </c>
    </row>
    <row r="121" spans="3:59" x14ac:dyDescent="0.4">
      <c r="C121" t="s">
        <v>194</v>
      </c>
      <c r="D121" t="str">
        <f t="shared" si="8"/>
        <v>0/0/0</v>
      </c>
      <c r="E121">
        <v>1</v>
      </c>
      <c r="AX121" t="str">
        <f>IF($A121="","", INDEX(CS!$B$1:$B$12828,MATCH($A121,CS!$B:$B,0)+COLUMN(A$1),1))</f>
        <v/>
      </c>
      <c r="AY121" t="str">
        <f>IF($A121="","", INDEX(CS!$B$1:$B$12828,MATCH($A121,CS!$B:$B,0)+COLUMN(B$1),1))</f>
        <v/>
      </c>
      <c r="AZ121" t="str">
        <f>IF($A121="","", INDEX(CS!$B$1:$B$12828,MATCH($A121,CS!$B:$B,0)+COLUMN(C$1),1))</f>
        <v/>
      </c>
      <c r="BA121" t="str">
        <f>IF($A121="","", INDEX(CS!$B$1:$B$12828,MATCH($A121,CS!$B:$B,0)+COLUMN(D$1),1))</f>
        <v/>
      </c>
      <c r="BB121" t="str">
        <f>IF($A121="","", INDEX(CS!$B$1:$B$12828,MATCH($A121,CS!$B:$B,0)+COLUMN(E$1),1))</f>
        <v/>
      </c>
      <c r="BC121" t="str">
        <f>IF($A121="","", INDEX(CS!$B$1:$B$12828,MATCH($A121,CS!$B:$B,0)+COLUMN(F$1),1))</f>
        <v/>
      </c>
      <c r="BD121" t="str">
        <f>IF($A121="","", INDEX(CS!$B$1:$B$12828,MATCH($A121,CS!$B:$B,0)+COLUMN(I$1),1))</f>
        <v/>
      </c>
      <c r="BE121" t="str">
        <f>IF($A121="","", INDEX(CS!$B$1:$B$12828,MATCH($A121,CS!$B:$B,0)+COLUMN(J$1),1))</f>
        <v/>
      </c>
      <c r="BF121" t="str">
        <f>IF($A121="","", INDEX(CS!$B$1:$B$12828,MATCH($A121,CS!$B:$B,0)+COLUMN(K$1),1))</f>
        <v/>
      </c>
      <c r="BG121" t="str">
        <f>IF($A121="","", INDEX(CS!$B$1:$B$12828,MATCH($A121,CS!$B:$B,0)+COLUMN(L$1),1))</f>
        <v/>
      </c>
    </row>
    <row r="122" spans="3:59" x14ac:dyDescent="0.4">
      <c r="C122" t="s">
        <v>194</v>
      </c>
      <c r="D122" t="str">
        <f t="shared" si="8"/>
        <v>0/0/0</v>
      </c>
      <c r="E122">
        <v>1</v>
      </c>
      <c r="AX122" t="str">
        <f>IF($A122="","", INDEX(CS!$B$1:$B$12828,MATCH($A122,CS!$B:$B,0)+COLUMN(A$1),1))</f>
        <v/>
      </c>
      <c r="AY122" t="str">
        <f>IF($A122="","", INDEX(CS!$B$1:$B$12828,MATCH($A122,CS!$B:$B,0)+COLUMN(B$1),1))</f>
        <v/>
      </c>
      <c r="AZ122" t="str">
        <f>IF($A122="","", INDEX(CS!$B$1:$B$12828,MATCH($A122,CS!$B:$B,0)+COLUMN(C$1),1))</f>
        <v/>
      </c>
      <c r="BA122" t="str">
        <f>IF($A122="","", INDEX(CS!$B$1:$B$12828,MATCH($A122,CS!$B:$B,0)+COLUMN(D$1),1))</f>
        <v/>
      </c>
      <c r="BB122" t="str">
        <f>IF($A122="","", INDEX(CS!$B$1:$B$12828,MATCH($A122,CS!$B:$B,0)+COLUMN(E$1),1))</f>
        <v/>
      </c>
      <c r="BC122" t="str">
        <f>IF($A122="","", INDEX(CS!$B$1:$B$12828,MATCH($A122,CS!$B:$B,0)+COLUMN(F$1),1))</f>
        <v/>
      </c>
      <c r="BD122" t="str">
        <f>IF($A122="","", INDEX(CS!$B$1:$B$12828,MATCH($A122,CS!$B:$B,0)+COLUMN(I$1),1))</f>
        <v/>
      </c>
      <c r="BE122" t="str">
        <f>IF($A122="","", INDEX(CS!$B$1:$B$12828,MATCH($A122,CS!$B:$B,0)+COLUMN(J$1),1))</f>
        <v/>
      </c>
      <c r="BF122" t="str">
        <f>IF($A122="","", INDEX(CS!$B$1:$B$12828,MATCH($A122,CS!$B:$B,0)+COLUMN(K$1),1))</f>
        <v/>
      </c>
      <c r="BG122" t="str">
        <f>IF($A122="","", INDEX(CS!$B$1:$B$12828,MATCH($A122,CS!$B:$B,0)+COLUMN(L$1),1))</f>
        <v/>
      </c>
    </row>
    <row r="123" spans="3:59" x14ac:dyDescent="0.4">
      <c r="C123" t="s">
        <v>194</v>
      </c>
      <c r="D123" t="str">
        <f t="shared" si="8"/>
        <v>0/0/0</v>
      </c>
      <c r="E123">
        <v>1</v>
      </c>
      <c r="AX123" t="str">
        <f>IF($A123="","", INDEX(CS!$B$1:$B$12828,MATCH($A123,CS!$B:$B,0)+COLUMN(A$1),1))</f>
        <v/>
      </c>
      <c r="AY123" t="str">
        <f>IF($A123="","", INDEX(CS!$B$1:$B$12828,MATCH($A123,CS!$B:$B,0)+COLUMN(B$1),1))</f>
        <v/>
      </c>
      <c r="AZ123" t="str">
        <f>IF($A123="","", INDEX(CS!$B$1:$B$12828,MATCH($A123,CS!$B:$B,0)+COLUMN(C$1),1))</f>
        <v/>
      </c>
      <c r="BA123" t="str">
        <f>IF($A123="","", INDEX(CS!$B$1:$B$12828,MATCH($A123,CS!$B:$B,0)+COLUMN(D$1),1))</f>
        <v/>
      </c>
      <c r="BB123" t="str">
        <f>IF($A123="","", INDEX(CS!$B$1:$B$12828,MATCH($A123,CS!$B:$B,0)+COLUMN(E$1),1))</f>
        <v/>
      </c>
      <c r="BC123" t="str">
        <f>IF($A123="","", INDEX(CS!$B$1:$B$12828,MATCH($A123,CS!$B:$B,0)+COLUMN(F$1),1))</f>
        <v/>
      </c>
      <c r="BD123" t="str">
        <f>IF($A123="","", INDEX(CS!$B$1:$B$12828,MATCH($A123,CS!$B:$B,0)+COLUMN(I$1),1))</f>
        <v/>
      </c>
      <c r="BE123" t="str">
        <f>IF($A123="","", INDEX(CS!$B$1:$B$12828,MATCH($A123,CS!$B:$B,0)+COLUMN(J$1),1))</f>
        <v/>
      </c>
      <c r="BF123" t="str">
        <f>IF($A123="","", INDEX(CS!$B$1:$B$12828,MATCH($A123,CS!$B:$B,0)+COLUMN(K$1),1))</f>
        <v/>
      </c>
      <c r="BG123" t="str">
        <f>IF($A123="","", INDEX(CS!$B$1:$B$12828,MATCH($A123,CS!$B:$B,0)+COLUMN(L$1),1))</f>
        <v/>
      </c>
    </row>
    <row r="124" spans="3:59" x14ac:dyDescent="0.4">
      <c r="C124" t="s">
        <v>194</v>
      </c>
      <c r="D124" t="str">
        <f t="shared" si="8"/>
        <v>0/0/0</v>
      </c>
      <c r="E124">
        <v>1</v>
      </c>
      <c r="AX124" t="str">
        <f>IF($A124="","", INDEX(CS!$B$1:$B$12828,MATCH($A124,CS!$B:$B,0)+COLUMN(A$1),1))</f>
        <v/>
      </c>
      <c r="AY124" t="str">
        <f>IF($A124="","", INDEX(CS!$B$1:$B$12828,MATCH($A124,CS!$B:$B,0)+COLUMN(B$1),1))</f>
        <v/>
      </c>
      <c r="AZ124" t="str">
        <f>IF($A124="","", INDEX(CS!$B$1:$B$12828,MATCH($A124,CS!$B:$B,0)+COLUMN(C$1),1))</f>
        <v/>
      </c>
      <c r="BA124" t="str">
        <f>IF($A124="","", INDEX(CS!$B$1:$B$12828,MATCH($A124,CS!$B:$B,0)+COLUMN(D$1),1))</f>
        <v/>
      </c>
      <c r="BB124" t="str">
        <f>IF($A124="","", INDEX(CS!$B$1:$B$12828,MATCH($A124,CS!$B:$B,0)+COLUMN(E$1),1))</f>
        <v/>
      </c>
      <c r="BC124" t="str">
        <f>IF($A124="","", INDEX(CS!$B$1:$B$12828,MATCH($A124,CS!$B:$B,0)+COLUMN(F$1),1))</f>
        <v/>
      </c>
      <c r="BD124" t="str">
        <f>IF($A124="","", INDEX(CS!$B$1:$B$12828,MATCH($A124,CS!$B:$B,0)+COLUMN(I$1),1))</f>
        <v/>
      </c>
      <c r="BE124" t="str">
        <f>IF($A124="","", INDEX(CS!$B$1:$B$12828,MATCH($A124,CS!$B:$B,0)+COLUMN(J$1),1))</f>
        <v/>
      </c>
      <c r="BF124" t="str">
        <f>IF($A124="","", INDEX(CS!$B$1:$B$12828,MATCH($A124,CS!$B:$B,0)+COLUMN(K$1),1))</f>
        <v/>
      </c>
      <c r="BG124" t="str">
        <f>IF($A124="","", INDEX(CS!$B$1:$B$12828,MATCH($A124,CS!$B:$B,0)+COLUMN(L$1),1))</f>
        <v/>
      </c>
    </row>
    <row r="125" spans="3:59" x14ac:dyDescent="0.4">
      <c r="C125" t="s">
        <v>194</v>
      </c>
      <c r="D125" t="str">
        <f t="shared" si="8"/>
        <v>0/0/0</v>
      </c>
      <c r="E125">
        <v>1</v>
      </c>
      <c r="AX125" t="str">
        <f>IF($A125="","", INDEX(CS!$B$1:$B$12828,MATCH($A125,CS!$B:$B,0)+COLUMN(A$1),1))</f>
        <v/>
      </c>
      <c r="AY125" t="str">
        <f>IF($A125="","", INDEX(CS!$B$1:$B$12828,MATCH($A125,CS!$B:$B,0)+COLUMN(B$1),1))</f>
        <v/>
      </c>
      <c r="AZ125" t="str">
        <f>IF($A125="","", INDEX(CS!$B$1:$B$12828,MATCH($A125,CS!$B:$B,0)+COLUMN(C$1),1))</f>
        <v/>
      </c>
      <c r="BA125" t="str">
        <f>IF($A125="","", INDEX(CS!$B$1:$B$12828,MATCH($A125,CS!$B:$B,0)+COLUMN(D$1),1))</f>
        <v/>
      </c>
      <c r="BB125" t="str">
        <f>IF($A125="","", INDEX(CS!$B$1:$B$12828,MATCH($A125,CS!$B:$B,0)+COLUMN(E$1),1))</f>
        <v/>
      </c>
      <c r="BC125" t="str">
        <f>IF($A125="","", INDEX(CS!$B$1:$B$12828,MATCH($A125,CS!$B:$B,0)+COLUMN(F$1),1))</f>
        <v/>
      </c>
      <c r="BD125" t="str">
        <f>IF($A125="","", INDEX(CS!$B$1:$B$12828,MATCH($A125,CS!$B:$B,0)+COLUMN(I$1),1))</f>
        <v/>
      </c>
      <c r="BE125" t="str">
        <f>IF($A125="","", INDEX(CS!$B$1:$B$12828,MATCH($A125,CS!$B:$B,0)+COLUMN(J$1),1))</f>
        <v/>
      </c>
      <c r="BF125" t="str">
        <f>IF($A125="","", INDEX(CS!$B$1:$B$12828,MATCH($A125,CS!$B:$B,0)+COLUMN(K$1),1))</f>
        <v/>
      </c>
      <c r="BG125" t="str">
        <f>IF($A125="","", INDEX(CS!$B$1:$B$12828,MATCH($A125,CS!$B:$B,0)+COLUMN(L$1),1))</f>
        <v/>
      </c>
    </row>
    <row r="126" spans="3:59" x14ac:dyDescent="0.4">
      <c r="C126" t="s">
        <v>194</v>
      </c>
      <c r="D126" t="str">
        <f t="shared" si="8"/>
        <v>0/0/0</v>
      </c>
      <c r="E126">
        <v>1</v>
      </c>
      <c r="AX126" t="str">
        <f>IF($A126="","", INDEX(CS!$B$1:$B$12828,MATCH($A126,CS!$B:$B,0)+COLUMN(A$1),1))</f>
        <v/>
      </c>
      <c r="AY126" t="str">
        <f>IF($A126="","", INDEX(CS!$B$1:$B$12828,MATCH($A126,CS!$B:$B,0)+COLUMN(B$1),1))</f>
        <v/>
      </c>
      <c r="AZ126" t="str">
        <f>IF($A126="","", INDEX(CS!$B$1:$B$12828,MATCH($A126,CS!$B:$B,0)+COLUMN(C$1),1))</f>
        <v/>
      </c>
      <c r="BA126" t="str">
        <f>IF($A126="","", INDEX(CS!$B$1:$B$12828,MATCH($A126,CS!$B:$B,0)+COLUMN(D$1),1))</f>
        <v/>
      </c>
      <c r="BB126" t="str">
        <f>IF($A126="","", INDEX(CS!$B$1:$B$12828,MATCH($A126,CS!$B:$B,0)+COLUMN(E$1),1))</f>
        <v/>
      </c>
      <c r="BC126" t="str">
        <f>IF($A126="","", INDEX(CS!$B$1:$B$12828,MATCH($A126,CS!$B:$B,0)+COLUMN(F$1),1))</f>
        <v/>
      </c>
      <c r="BD126" t="str">
        <f>IF($A126="","", INDEX(CS!$B$1:$B$12828,MATCH($A126,CS!$B:$B,0)+COLUMN(I$1),1))</f>
        <v/>
      </c>
      <c r="BE126" t="str">
        <f>IF($A126="","", INDEX(CS!$B$1:$B$12828,MATCH($A126,CS!$B:$B,0)+COLUMN(J$1),1))</f>
        <v/>
      </c>
      <c r="BF126" t="str">
        <f>IF($A126="","", INDEX(CS!$B$1:$B$12828,MATCH($A126,CS!$B:$B,0)+COLUMN(K$1),1))</f>
        <v/>
      </c>
      <c r="BG126" t="str">
        <f>IF($A126="","", INDEX(CS!$B$1:$B$12828,MATCH($A126,CS!$B:$B,0)+COLUMN(L$1),1))</f>
        <v/>
      </c>
    </row>
    <row r="127" spans="3:59" x14ac:dyDescent="0.4">
      <c r="C127" t="s">
        <v>194</v>
      </c>
      <c r="D127" t="str">
        <f t="shared" si="8"/>
        <v>0/0/0</v>
      </c>
      <c r="E127">
        <v>1</v>
      </c>
      <c r="AX127" t="str">
        <f>IF($A127="","", INDEX(CS!$B$1:$B$12828,MATCH($A127,CS!$B:$B,0)+COLUMN(A$1),1))</f>
        <v/>
      </c>
      <c r="AY127" t="str">
        <f>IF($A127="","", INDEX(CS!$B$1:$B$12828,MATCH($A127,CS!$B:$B,0)+COLUMN(B$1),1))</f>
        <v/>
      </c>
      <c r="AZ127" t="str">
        <f>IF($A127="","", INDEX(CS!$B$1:$B$12828,MATCH($A127,CS!$B:$B,0)+COLUMN(C$1),1))</f>
        <v/>
      </c>
      <c r="BA127" t="str">
        <f>IF($A127="","", INDEX(CS!$B$1:$B$12828,MATCH($A127,CS!$B:$B,0)+COLUMN(D$1),1))</f>
        <v/>
      </c>
      <c r="BB127" t="str">
        <f>IF($A127="","", INDEX(CS!$B$1:$B$12828,MATCH($A127,CS!$B:$B,0)+COLUMN(E$1),1))</f>
        <v/>
      </c>
      <c r="BC127" t="str">
        <f>IF($A127="","", INDEX(CS!$B$1:$B$12828,MATCH($A127,CS!$B:$B,0)+COLUMN(F$1),1))</f>
        <v/>
      </c>
      <c r="BD127" t="str">
        <f>IF($A127="","", INDEX(CS!$B$1:$B$12828,MATCH($A127,CS!$B:$B,0)+COLUMN(I$1),1))</f>
        <v/>
      </c>
      <c r="BE127" t="str">
        <f>IF($A127="","", INDEX(CS!$B$1:$B$12828,MATCH($A127,CS!$B:$B,0)+COLUMN(J$1),1))</f>
        <v/>
      </c>
      <c r="BF127" t="str">
        <f>IF($A127="","", INDEX(CS!$B$1:$B$12828,MATCH($A127,CS!$B:$B,0)+COLUMN(K$1),1))</f>
        <v/>
      </c>
      <c r="BG127" t="str">
        <f>IF($A127="","", INDEX(CS!$B$1:$B$12828,MATCH($A127,CS!$B:$B,0)+COLUMN(L$1),1))</f>
        <v/>
      </c>
    </row>
    <row r="128" spans="3:59" x14ac:dyDescent="0.4">
      <c r="C128" t="s">
        <v>194</v>
      </c>
      <c r="D128" t="str">
        <f t="shared" si="8"/>
        <v>0/0/0</v>
      </c>
      <c r="E128">
        <v>1</v>
      </c>
      <c r="AX128" t="str">
        <f>IF($A128="","", INDEX(CS!$B$1:$B$12828,MATCH($A128,CS!$B:$B,0)+COLUMN(A$1),1))</f>
        <v/>
      </c>
      <c r="AY128" t="str">
        <f>IF($A128="","", INDEX(CS!$B$1:$B$12828,MATCH($A128,CS!$B:$B,0)+COLUMN(B$1),1))</f>
        <v/>
      </c>
      <c r="AZ128" t="str">
        <f>IF($A128="","", INDEX(CS!$B$1:$B$12828,MATCH($A128,CS!$B:$B,0)+COLUMN(C$1),1))</f>
        <v/>
      </c>
      <c r="BA128" t="str">
        <f>IF($A128="","", INDEX(CS!$B$1:$B$12828,MATCH($A128,CS!$B:$B,0)+COLUMN(D$1),1))</f>
        <v/>
      </c>
      <c r="BB128" t="str">
        <f>IF($A128="","", INDEX(CS!$B$1:$B$12828,MATCH($A128,CS!$B:$B,0)+COLUMN(E$1),1))</f>
        <v/>
      </c>
      <c r="BC128" t="str">
        <f>IF($A128="","", INDEX(CS!$B$1:$B$12828,MATCH($A128,CS!$B:$B,0)+COLUMN(F$1),1))</f>
        <v/>
      </c>
      <c r="BD128" t="str">
        <f>IF($A128="","", INDEX(CS!$B$1:$B$12828,MATCH($A128,CS!$B:$B,0)+COLUMN(I$1),1))</f>
        <v/>
      </c>
      <c r="BE128" t="str">
        <f>IF($A128="","", INDEX(CS!$B$1:$B$12828,MATCH($A128,CS!$B:$B,0)+COLUMN(J$1),1))</f>
        <v/>
      </c>
      <c r="BF128" t="str">
        <f>IF($A128="","", INDEX(CS!$B$1:$B$12828,MATCH($A128,CS!$B:$B,0)+COLUMN(K$1),1))</f>
        <v/>
      </c>
      <c r="BG128" t="str">
        <f>IF($A128="","", INDEX(CS!$B$1:$B$12828,MATCH($A128,CS!$B:$B,0)+COLUMN(L$1),1))</f>
        <v/>
      </c>
    </row>
    <row r="129" spans="3:59" x14ac:dyDescent="0.4">
      <c r="C129" t="s">
        <v>194</v>
      </c>
      <c r="D129" t="str">
        <f t="shared" si="8"/>
        <v>0/0/0</v>
      </c>
      <c r="E129">
        <v>1</v>
      </c>
      <c r="AX129" t="str">
        <f>IF($A129="","", INDEX(CS!$B$1:$B$12828,MATCH($A129,CS!$B:$B,0)+COLUMN(A$1),1))</f>
        <v/>
      </c>
      <c r="AY129" t="str">
        <f>IF($A129="","", INDEX(CS!$B$1:$B$12828,MATCH($A129,CS!$B:$B,0)+COLUMN(B$1),1))</f>
        <v/>
      </c>
      <c r="AZ129" t="str">
        <f>IF($A129="","", INDEX(CS!$B$1:$B$12828,MATCH($A129,CS!$B:$B,0)+COLUMN(C$1),1))</f>
        <v/>
      </c>
      <c r="BA129" t="str">
        <f>IF($A129="","", INDEX(CS!$B$1:$B$12828,MATCH($A129,CS!$B:$B,0)+COLUMN(D$1),1))</f>
        <v/>
      </c>
      <c r="BB129" t="str">
        <f>IF($A129="","", INDEX(CS!$B$1:$B$12828,MATCH($A129,CS!$B:$B,0)+COLUMN(E$1),1))</f>
        <v/>
      </c>
      <c r="BC129" t="str">
        <f>IF($A129="","", INDEX(CS!$B$1:$B$12828,MATCH($A129,CS!$B:$B,0)+COLUMN(F$1),1))</f>
        <v/>
      </c>
      <c r="BD129" t="str">
        <f>IF($A129="","", INDEX(CS!$B$1:$B$12828,MATCH($A129,CS!$B:$B,0)+COLUMN(I$1),1))</f>
        <v/>
      </c>
      <c r="BE129" t="str">
        <f>IF($A129="","", INDEX(CS!$B$1:$B$12828,MATCH($A129,CS!$B:$B,0)+COLUMN(J$1),1))</f>
        <v/>
      </c>
      <c r="BF129" t="str">
        <f>IF($A129="","", INDEX(CS!$B$1:$B$12828,MATCH($A129,CS!$B:$B,0)+COLUMN(K$1),1))</f>
        <v/>
      </c>
      <c r="BG129" t="str">
        <f>IF($A129="","", INDEX(CS!$B$1:$B$12828,MATCH($A129,CS!$B:$B,0)+COLUMN(L$1),1))</f>
        <v/>
      </c>
    </row>
    <row r="130" spans="3:59" x14ac:dyDescent="0.4">
      <c r="C130" t="s">
        <v>194</v>
      </c>
      <c r="D130" t="str">
        <f t="shared" si="8"/>
        <v>0/0/0</v>
      </c>
      <c r="E130">
        <v>1</v>
      </c>
      <c r="AX130" t="str">
        <f>IF($A130="","", INDEX(CS!$B$1:$B$12828,MATCH($A130,CS!$B:$B,0)+COLUMN(A$1),1))</f>
        <v/>
      </c>
      <c r="AY130" t="str">
        <f>IF($A130="","", INDEX(CS!$B$1:$B$12828,MATCH($A130,CS!$B:$B,0)+COLUMN(B$1),1))</f>
        <v/>
      </c>
      <c r="AZ130" t="str">
        <f>IF($A130="","", INDEX(CS!$B$1:$B$12828,MATCH($A130,CS!$B:$B,0)+COLUMN(C$1),1))</f>
        <v/>
      </c>
      <c r="BA130" t="str">
        <f>IF($A130="","", INDEX(CS!$B$1:$B$12828,MATCH($A130,CS!$B:$B,0)+COLUMN(D$1),1))</f>
        <v/>
      </c>
      <c r="BB130" t="str">
        <f>IF($A130="","", INDEX(CS!$B$1:$B$12828,MATCH($A130,CS!$B:$B,0)+COLUMN(E$1),1))</f>
        <v/>
      </c>
      <c r="BC130" t="str">
        <f>IF($A130="","", INDEX(CS!$B$1:$B$12828,MATCH($A130,CS!$B:$B,0)+COLUMN(F$1),1))</f>
        <v/>
      </c>
      <c r="BD130" t="str">
        <f>IF($A130="","", INDEX(CS!$B$1:$B$12828,MATCH($A130,CS!$B:$B,0)+COLUMN(I$1),1))</f>
        <v/>
      </c>
      <c r="BE130" t="str">
        <f>IF($A130="","", INDEX(CS!$B$1:$B$12828,MATCH($A130,CS!$B:$B,0)+COLUMN(J$1),1))</f>
        <v/>
      </c>
      <c r="BF130" t="str">
        <f>IF($A130="","", INDEX(CS!$B$1:$B$12828,MATCH($A130,CS!$B:$B,0)+COLUMN(K$1),1))</f>
        <v/>
      </c>
      <c r="BG130" t="str">
        <f>IF($A130="","", INDEX(CS!$B$1:$B$12828,MATCH($A130,CS!$B:$B,0)+COLUMN(L$1),1))</f>
        <v/>
      </c>
    </row>
    <row r="131" spans="3:59" x14ac:dyDescent="0.4">
      <c r="C131" t="s">
        <v>194</v>
      </c>
      <c r="D131" t="str">
        <f t="shared" si="8"/>
        <v>0/0/0</v>
      </c>
      <c r="E131">
        <v>1</v>
      </c>
      <c r="AX131" t="str">
        <f>IF($A131="","", INDEX(CS!$B$1:$B$12828,MATCH($A131,CS!$B:$B,0)+COLUMN(A$1),1))</f>
        <v/>
      </c>
      <c r="AY131" t="str">
        <f>IF($A131="","", INDEX(CS!$B$1:$B$12828,MATCH($A131,CS!$B:$B,0)+COLUMN(B$1),1))</f>
        <v/>
      </c>
      <c r="AZ131" t="str">
        <f>IF($A131="","", INDEX(CS!$B$1:$B$12828,MATCH($A131,CS!$B:$B,0)+COLUMN(C$1),1))</f>
        <v/>
      </c>
      <c r="BA131" t="str">
        <f>IF($A131="","", INDEX(CS!$B$1:$B$12828,MATCH($A131,CS!$B:$B,0)+COLUMN(D$1),1))</f>
        <v/>
      </c>
      <c r="BB131" t="str">
        <f>IF($A131="","", INDEX(CS!$B$1:$B$12828,MATCH($A131,CS!$B:$B,0)+COLUMN(E$1),1))</f>
        <v/>
      </c>
      <c r="BC131" t="str">
        <f>IF($A131="","", INDEX(CS!$B$1:$B$12828,MATCH($A131,CS!$B:$B,0)+COLUMN(F$1),1))</f>
        <v/>
      </c>
      <c r="BD131" t="str">
        <f>IF($A131="","", INDEX(CS!$B$1:$B$12828,MATCH($A131,CS!$B:$B,0)+COLUMN(I$1),1))</f>
        <v/>
      </c>
      <c r="BE131" t="str">
        <f>IF($A131="","", INDEX(CS!$B$1:$B$12828,MATCH($A131,CS!$B:$B,0)+COLUMN(J$1),1))</f>
        <v/>
      </c>
      <c r="BF131" t="str">
        <f>IF($A131="","", INDEX(CS!$B$1:$B$12828,MATCH($A131,CS!$B:$B,0)+COLUMN(K$1),1))</f>
        <v/>
      </c>
      <c r="BG131" t="str">
        <f>IF($A131="","", INDEX(CS!$B$1:$B$12828,MATCH($A131,CS!$B:$B,0)+COLUMN(L$1),1))</f>
        <v/>
      </c>
    </row>
    <row r="132" spans="3:59" x14ac:dyDescent="0.4">
      <c r="C132" t="s">
        <v>194</v>
      </c>
      <c r="D132" t="str">
        <f t="shared" si="8"/>
        <v>0/0/0</v>
      </c>
      <c r="E132">
        <v>1</v>
      </c>
      <c r="AX132" t="str">
        <f>IF($A132="","", INDEX(CS!$B$1:$B$12828,MATCH($A132,CS!$B:$B,0)+COLUMN(A$1),1))</f>
        <v/>
      </c>
      <c r="AY132" t="str">
        <f>IF($A132="","", INDEX(CS!$B$1:$B$12828,MATCH($A132,CS!$B:$B,0)+COLUMN(B$1),1))</f>
        <v/>
      </c>
      <c r="AZ132" t="str">
        <f>IF($A132="","", INDEX(CS!$B$1:$B$12828,MATCH($A132,CS!$B:$B,0)+COLUMN(C$1),1))</f>
        <v/>
      </c>
      <c r="BA132" t="str">
        <f>IF($A132="","", INDEX(CS!$B$1:$B$12828,MATCH($A132,CS!$B:$B,0)+COLUMN(D$1),1))</f>
        <v/>
      </c>
      <c r="BB132" t="str">
        <f>IF($A132="","", INDEX(CS!$B$1:$B$12828,MATCH($A132,CS!$B:$B,0)+COLUMN(E$1),1))</f>
        <v/>
      </c>
      <c r="BC132" t="str">
        <f>IF($A132="","", INDEX(CS!$B$1:$B$12828,MATCH($A132,CS!$B:$B,0)+COLUMN(F$1),1))</f>
        <v/>
      </c>
      <c r="BD132" t="str">
        <f>IF($A132="","", INDEX(CS!$B$1:$B$12828,MATCH($A132,CS!$B:$B,0)+COLUMN(I$1),1))</f>
        <v/>
      </c>
      <c r="BE132" t="str">
        <f>IF($A132="","", INDEX(CS!$B$1:$B$12828,MATCH($A132,CS!$B:$B,0)+COLUMN(J$1),1))</f>
        <v/>
      </c>
      <c r="BF132" t="str">
        <f>IF($A132="","", INDEX(CS!$B$1:$B$12828,MATCH($A132,CS!$B:$B,0)+COLUMN(K$1),1))</f>
        <v/>
      </c>
      <c r="BG132" t="str">
        <f>IF($A132="","", INDEX(CS!$B$1:$B$12828,MATCH($A132,CS!$B:$B,0)+COLUMN(L$1),1))</f>
        <v/>
      </c>
    </row>
    <row r="133" spans="3:59" x14ac:dyDescent="0.4">
      <c r="C133" t="s">
        <v>194</v>
      </c>
      <c r="D133" t="str">
        <f t="shared" si="8"/>
        <v>0/0/0</v>
      </c>
      <c r="E133">
        <v>1</v>
      </c>
      <c r="AX133" t="str">
        <f>IF($A133="","", INDEX(CS!$B$1:$B$12828,MATCH($A133,CS!$B:$B,0)+COLUMN(A$1),1))</f>
        <v/>
      </c>
      <c r="AY133" t="str">
        <f>IF($A133="","", INDEX(CS!$B$1:$B$12828,MATCH($A133,CS!$B:$B,0)+COLUMN(B$1),1))</f>
        <v/>
      </c>
      <c r="AZ133" t="str">
        <f>IF($A133="","", INDEX(CS!$B$1:$B$12828,MATCH($A133,CS!$B:$B,0)+COLUMN(C$1),1))</f>
        <v/>
      </c>
      <c r="BA133" t="str">
        <f>IF($A133="","", INDEX(CS!$B$1:$B$12828,MATCH($A133,CS!$B:$B,0)+COLUMN(D$1),1))</f>
        <v/>
      </c>
      <c r="BB133" t="str">
        <f>IF($A133="","", INDEX(CS!$B$1:$B$12828,MATCH($A133,CS!$B:$B,0)+COLUMN(E$1),1))</f>
        <v/>
      </c>
      <c r="BC133" t="str">
        <f>IF($A133="","", INDEX(CS!$B$1:$B$12828,MATCH($A133,CS!$B:$B,0)+COLUMN(F$1),1))</f>
        <v/>
      </c>
      <c r="BD133" t="str">
        <f>IF($A133="","", INDEX(CS!$B$1:$B$12828,MATCH($A133,CS!$B:$B,0)+COLUMN(I$1),1))</f>
        <v/>
      </c>
      <c r="BE133" t="str">
        <f>IF($A133="","", INDEX(CS!$B$1:$B$12828,MATCH($A133,CS!$B:$B,0)+COLUMN(J$1),1))</f>
        <v/>
      </c>
      <c r="BF133" t="str">
        <f>IF($A133="","", INDEX(CS!$B$1:$B$12828,MATCH($A133,CS!$B:$B,0)+COLUMN(K$1),1))</f>
        <v/>
      </c>
      <c r="BG133" t="str">
        <f>IF($A133="","", INDEX(CS!$B$1:$B$12828,MATCH($A133,CS!$B:$B,0)+COLUMN(L$1),1))</f>
        <v/>
      </c>
    </row>
    <row r="134" spans="3:59" x14ac:dyDescent="0.4">
      <c r="C134" t="s">
        <v>194</v>
      </c>
      <c r="D134" t="str">
        <f t="shared" si="8"/>
        <v>0/0/0</v>
      </c>
      <c r="E134">
        <v>1</v>
      </c>
      <c r="AX134" t="str">
        <f>IF($A134="","", INDEX(CS!$B$1:$B$12828,MATCH($A134,CS!$B:$B,0)+COLUMN(A$1),1))</f>
        <v/>
      </c>
      <c r="AY134" t="str">
        <f>IF($A134="","", INDEX(CS!$B$1:$B$12828,MATCH($A134,CS!$B:$B,0)+COLUMN(B$1),1))</f>
        <v/>
      </c>
      <c r="AZ134" t="str">
        <f>IF($A134="","", INDEX(CS!$B$1:$B$12828,MATCH($A134,CS!$B:$B,0)+COLUMN(C$1),1))</f>
        <v/>
      </c>
      <c r="BA134" t="str">
        <f>IF($A134="","", INDEX(CS!$B$1:$B$12828,MATCH($A134,CS!$B:$B,0)+COLUMN(D$1),1))</f>
        <v/>
      </c>
      <c r="BB134" t="str">
        <f>IF($A134="","", INDEX(CS!$B$1:$B$12828,MATCH($A134,CS!$B:$B,0)+COLUMN(E$1),1))</f>
        <v/>
      </c>
      <c r="BC134" t="str">
        <f>IF($A134="","", INDEX(CS!$B$1:$B$12828,MATCH($A134,CS!$B:$B,0)+COLUMN(F$1),1))</f>
        <v/>
      </c>
      <c r="BD134" t="str">
        <f>IF($A134="","", INDEX(CS!$B$1:$B$12828,MATCH($A134,CS!$B:$B,0)+COLUMN(I$1),1))</f>
        <v/>
      </c>
      <c r="BE134" t="str">
        <f>IF($A134="","", INDEX(CS!$B$1:$B$12828,MATCH($A134,CS!$B:$B,0)+COLUMN(J$1),1))</f>
        <v/>
      </c>
      <c r="BF134" t="str">
        <f>IF($A134="","", INDEX(CS!$B$1:$B$12828,MATCH($A134,CS!$B:$B,0)+COLUMN(K$1),1))</f>
        <v/>
      </c>
      <c r="BG134" t="str">
        <f>IF($A134="","", INDEX(CS!$B$1:$B$12828,MATCH($A134,CS!$B:$B,0)+COLUMN(L$1),1))</f>
        <v/>
      </c>
    </row>
    <row r="135" spans="3:59" x14ac:dyDescent="0.4">
      <c r="C135" t="s">
        <v>194</v>
      </c>
      <c r="D135" t="str">
        <f t="shared" si="8"/>
        <v>0/0/0</v>
      </c>
      <c r="E135">
        <v>1</v>
      </c>
      <c r="AX135" t="str">
        <f>IF($A135="","", INDEX(CS!$B$1:$B$12828,MATCH($A135,CS!$B:$B,0)+COLUMN(A$1),1))</f>
        <v/>
      </c>
      <c r="AY135" t="str">
        <f>IF($A135="","", INDEX(CS!$B$1:$B$12828,MATCH($A135,CS!$B:$B,0)+COLUMN(B$1),1))</f>
        <v/>
      </c>
      <c r="AZ135" t="str">
        <f>IF($A135="","", INDEX(CS!$B$1:$B$12828,MATCH($A135,CS!$B:$B,0)+COLUMN(C$1),1))</f>
        <v/>
      </c>
      <c r="BA135" t="str">
        <f>IF($A135="","", INDEX(CS!$B$1:$B$12828,MATCH($A135,CS!$B:$B,0)+COLUMN(D$1),1))</f>
        <v/>
      </c>
      <c r="BB135" t="str">
        <f>IF($A135="","", INDEX(CS!$B$1:$B$12828,MATCH($A135,CS!$B:$B,0)+COLUMN(E$1),1))</f>
        <v/>
      </c>
      <c r="BC135" t="str">
        <f>IF($A135="","", INDEX(CS!$B$1:$B$12828,MATCH($A135,CS!$B:$B,0)+COLUMN(F$1),1))</f>
        <v/>
      </c>
      <c r="BD135" t="str">
        <f>IF($A135="","", INDEX(CS!$B$1:$B$12828,MATCH($A135,CS!$B:$B,0)+COLUMN(I$1),1))</f>
        <v/>
      </c>
      <c r="BE135" t="str">
        <f>IF($A135="","", INDEX(CS!$B$1:$B$12828,MATCH($A135,CS!$B:$B,0)+COLUMN(J$1),1))</f>
        <v/>
      </c>
      <c r="BF135" t="str">
        <f>IF($A135="","", INDEX(CS!$B$1:$B$12828,MATCH($A135,CS!$B:$B,0)+COLUMN(K$1),1))</f>
        <v/>
      </c>
      <c r="BG135" t="str">
        <f>IF($A135="","", INDEX(CS!$B$1:$B$12828,MATCH($A135,CS!$B:$B,0)+COLUMN(L$1),1))</f>
        <v/>
      </c>
    </row>
    <row r="136" spans="3:59" x14ac:dyDescent="0.4">
      <c r="C136" t="s">
        <v>194</v>
      </c>
      <c r="D136" t="str">
        <f t="shared" si="8"/>
        <v>0/0/0</v>
      </c>
      <c r="E136">
        <v>1</v>
      </c>
      <c r="AX136" t="str">
        <f>IF($A136="","", INDEX(CS!$B$1:$B$12828,MATCH($A136,CS!$B:$B,0)+COLUMN(A$1),1))</f>
        <v/>
      </c>
      <c r="AY136" t="str">
        <f>IF($A136="","", INDEX(CS!$B$1:$B$12828,MATCH($A136,CS!$B:$B,0)+COLUMN(B$1),1))</f>
        <v/>
      </c>
      <c r="AZ136" t="str">
        <f>IF($A136="","", INDEX(CS!$B$1:$B$12828,MATCH($A136,CS!$B:$B,0)+COLUMN(C$1),1))</f>
        <v/>
      </c>
      <c r="BA136" t="str">
        <f>IF($A136="","", INDEX(CS!$B$1:$B$12828,MATCH($A136,CS!$B:$B,0)+COLUMN(D$1),1))</f>
        <v/>
      </c>
      <c r="BB136" t="str">
        <f>IF($A136="","", INDEX(CS!$B$1:$B$12828,MATCH($A136,CS!$B:$B,0)+COLUMN(E$1),1))</f>
        <v/>
      </c>
      <c r="BC136" t="str">
        <f>IF($A136="","", INDEX(CS!$B$1:$B$12828,MATCH($A136,CS!$B:$B,0)+COLUMN(F$1),1))</f>
        <v/>
      </c>
      <c r="BD136" t="str">
        <f>IF($A136="","", INDEX(CS!$B$1:$B$12828,MATCH($A136,CS!$B:$B,0)+COLUMN(I$1),1))</f>
        <v/>
      </c>
      <c r="BE136" t="str">
        <f>IF($A136="","", INDEX(CS!$B$1:$B$12828,MATCH($A136,CS!$B:$B,0)+COLUMN(J$1),1))</f>
        <v/>
      </c>
      <c r="BF136" t="str">
        <f>IF($A136="","", INDEX(CS!$B$1:$B$12828,MATCH($A136,CS!$B:$B,0)+COLUMN(K$1),1))</f>
        <v/>
      </c>
      <c r="BG136" t="str">
        <f>IF($A136="","", INDEX(CS!$B$1:$B$12828,MATCH($A136,CS!$B:$B,0)+COLUMN(L$1),1))</f>
        <v/>
      </c>
    </row>
    <row r="137" spans="3:59" x14ac:dyDescent="0.4">
      <c r="C137" t="s">
        <v>194</v>
      </c>
      <c r="D137" t="str">
        <f t="shared" si="8"/>
        <v>0/0/0</v>
      </c>
      <c r="E137">
        <v>1</v>
      </c>
      <c r="AX137" t="str">
        <f>IF($A137="","", INDEX(CS!$B$1:$B$12828,MATCH($A137,CS!$B:$B,0)+COLUMN(A$1),1))</f>
        <v/>
      </c>
      <c r="AY137" t="str">
        <f>IF($A137="","", INDEX(CS!$B$1:$B$12828,MATCH($A137,CS!$B:$B,0)+COLUMN(B$1),1))</f>
        <v/>
      </c>
      <c r="AZ137" t="str">
        <f>IF($A137="","", INDEX(CS!$B$1:$B$12828,MATCH($A137,CS!$B:$B,0)+COLUMN(C$1),1))</f>
        <v/>
      </c>
      <c r="BA137" t="str">
        <f>IF($A137="","", INDEX(CS!$B$1:$B$12828,MATCH($A137,CS!$B:$B,0)+COLUMN(D$1),1))</f>
        <v/>
      </c>
      <c r="BB137" t="str">
        <f>IF($A137="","", INDEX(CS!$B$1:$B$12828,MATCH($A137,CS!$B:$B,0)+COLUMN(E$1),1))</f>
        <v/>
      </c>
      <c r="BC137" t="str">
        <f>IF($A137="","", INDEX(CS!$B$1:$B$12828,MATCH($A137,CS!$B:$B,0)+COLUMN(F$1),1))</f>
        <v/>
      </c>
      <c r="BD137" t="str">
        <f>IF($A137="","", INDEX(CS!$B$1:$B$12828,MATCH($A137,CS!$B:$B,0)+COLUMN(I$1),1))</f>
        <v/>
      </c>
      <c r="BE137" t="str">
        <f>IF($A137="","", INDEX(CS!$B$1:$B$12828,MATCH($A137,CS!$B:$B,0)+COLUMN(J$1),1))</f>
        <v/>
      </c>
      <c r="BF137" t="str">
        <f>IF($A137="","", INDEX(CS!$B$1:$B$12828,MATCH($A137,CS!$B:$B,0)+COLUMN(K$1),1))</f>
        <v/>
      </c>
      <c r="BG137" t="str">
        <f>IF($A137="","", INDEX(CS!$B$1:$B$12828,MATCH($A137,CS!$B:$B,0)+COLUMN(L$1),1))</f>
        <v/>
      </c>
    </row>
    <row r="138" spans="3:59" x14ac:dyDescent="0.4">
      <c r="C138" t="s">
        <v>194</v>
      </c>
      <c r="D138" t="str">
        <f t="shared" si="8"/>
        <v>0/0/0</v>
      </c>
      <c r="E138">
        <v>1</v>
      </c>
      <c r="AX138" t="str">
        <f>IF($A138="","", INDEX(CS!$B$1:$B$12828,MATCH($A138,CS!$B:$B,0)+COLUMN(A$1),1))</f>
        <v/>
      </c>
      <c r="AY138" t="str">
        <f>IF($A138="","", INDEX(CS!$B$1:$B$12828,MATCH($A138,CS!$B:$B,0)+COLUMN(B$1),1))</f>
        <v/>
      </c>
      <c r="AZ138" t="str">
        <f>IF($A138="","", INDEX(CS!$B$1:$B$12828,MATCH($A138,CS!$B:$B,0)+COLUMN(C$1),1))</f>
        <v/>
      </c>
      <c r="BA138" t="str">
        <f>IF($A138="","", INDEX(CS!$B$1:$B$12828,MATCH($A138,CS!$B:$B,0)+COLUMN(D$1),1))</f>
        <v/>
      </c>
      <c r="BB138" t="str">
        <f>IF($A138="","", INDEX(CS!$B$1:$B$12828,MATCH($A138,CS!$B:$B,0)+COLUMN(E$1),1))</f>
        <v/>
      </c>
      <c r="BC138" t="str">
        <f>IF($A138="","", INDEX(CS!$B$1:$B$12828,MATCH($A138,CS!$B:$B,0)+COLUMN(F$1),1))</f>
        <v/>
      </c>
      <c r="BD138" t="str">
        <f>IF($A138="","", INDEX(CS!$B$1:$B$12828,MATCH($A138,CS!$B:$B,0)+COLUMN(I$1),1))</f>
        <v/>
      </c>
      <c r="BE138" t="str">
        <f>IF($A138="","", INDEX(CS!$B$1:$B$12828,MATCH($A138,CS!$B:$B,0)+COLUMN(J$1),1))</f>
        <v/>
      </c>
      <c r="BF138" t="str">
        <f>IF($A138="","", INDEX(CS!$B$1:$B$12828,MATCH($A138,CS!$B:$B,0)+COLUMN(K$1),1))</f>
        <v/>
      </c>
      <c r="BG138" t="str">
        <f>IF($A138="","", INDEX(CS!$B$1:$B$12828,MATCH($A138,CS!$B:$B,0)+COLUMN(L$1),1))</f>
        <v/>
      </c>
    </row>
    <row r="139" spans="3:59" x14ac:dyDescent="0.4">
      <c r="C139" t="s">
        <v>194</v>
      </c>
      <c r="D139" t="str">
        <f t="shared" si="8"/>
        <v>0/0/0</v>
      </c>
      <c r="E139">
        <v>1</v>
      </c>
      <c r="AX139" t="str">
        <f>IF($A139="","", INDEX(CS!$B$1:$B$12828,MATCH($A139,CS!$B:$B,0)+COLUMN(A$1),1))</f>
        <v/>
      </c>
      <c r="AY139" t="str">
        <f>IF($A139="","", INDEX(CS!$B$1:$B$12828,MATCH($A139,CS!$B:$B,0)+COLUMN(B$1),1))</f>
        <v/>
      </c>
      <c r="AZ139" t="str">
        <f>IF($A139="","", INDEX(CS!$B$1:$B$12828,MATCH($A139,CS!$B:$B,0)+COLUMN(C$1),1))</f>
        <v/>
      </c>
      <c r="BA139" t="str">
        <f>IF($A139="","", INDEX(CS!$B$1:$B$12828,MATCH($A139,CS!$B:$B,0)+COLUMN(D$1),1))</f>
        <v/>
      </c>
      <c r="BB139" t="str">
        <f>IF($A139="","", INDEX(CS!$B$1:$B$12828,MATCH($A139,CS!$B:$B,0)+COLUMN(E$1),1))</f>
        <v/>
      </c>
      <c r="BC139" t="str">
        <f>IF($A139="","", INDEX(CS!$B$1:$B$12828,MATCH($A139,CS!$B:$B,0)+COLUMN(F$1),1))</f>
        <v/>
      </c>
      <c r="BD139" t="str">
        <f>IF($A139="","", INDEX(CS!$B$1:$B$12828,MATCH($A139,CS!$B:$B,0)+COLUMN(I$1),1))</f>
        <v/>
      </c>
      <c r="BE139" t="str">
        <f>IF($A139="","", INDEX(CS!$B$1:$B$12828,MATCH($A139,CS!$B:$B,0)+COLUMN(J$1),1))</f>
        <v/>
      </c>
      <c r="BF139" t="str">
        <f>IF($A139="","", INDEX(CS!$B$1:$B$12828,MATCH($A139,CS!$B:$B,0)+COLUMN(K$1),1))</f>
        <v/>
      </c>
      <c r="BG139" t="str">
        <f>IF($A139="","", INDEX(CS!$B$1:$B$12828,MATCH($A139,CS!$B:$B,0)+COLUMN(L$1),1))</f>
        <v/>
      </c>
    </row>
    <row r="140" spans="3:59" x14ac:dyDescent="0.4">
      <c r="C140" t="s">
        <v>194</v>
      </c>
      <c r="D140" t="str">
        <f t="shared" si="8"/>
        <v>0/0/0</v>
      </c>
      <c r="E140">
        <v>1</v>
      </c>
      <c r="AX140" t="str">
        <f>IF($A140="","", INDEX(CS!$B$1:$B$12828,MATCH($A140,CS!$B:$B,0)+COLUMN(A$1),1))</f>
        <v/>
      </c>
      <c r="AY140" t="str">
        <f>IF($A140="","", INDEX(CS!$B$1:$B$12828,MATCH($A140,CS!$B:$B,0)+COLUMN(B$1),1))</f>
        <v/>
      </c>
      <c r="AZ140" t="str">
        <f>IF($A140="","", INDEX(CS!$B$1:$B$12828,MATCH($A140,CS!$B:$B,0)+COLUMN(C$1),1))</f>
        <v/>
      </c>
      <c r="BA140" t="str">
        <f>IF($A140="","", INDEX(CS!$B$1:$B$12828,MATCH($A140,CS!$B:$B,0)+COLUMN(D$1),1))</f>
        <v/>
      </c>
      <c r="BB140" t="str">
        <f>IF($A140="","", INDEX(CS!$B$1:$B$12828,MATCH($A140,CS!$B:$B,0)+COLUMN(E$1),1))</f>
        <v/>
      </c>
      <c r="BC140" t="str">
        <f>IF($A140="","", INDEX(CS!$B$1:$B$12828,MATCH($A140,CS!$B:$B,0)+COLUMN(F$1),1))</f>
        <v/>
      </c>
      <c r="BD140" t="str">
        <f>IF($A140="","", INDEX(CS!$B$1:$B$12828,MATCH($A140,CS!$B:$B,0)+COLUMN(I$1),1))</f>
        <v/>
      </c>
      <c r="BE140" t="str">
        <f>IF($A140="","", INDEX(CS!$B$1:$B$12828,MATCH($A140,CS!$B:$B,0)+COLUMN(J$1),1))</f>
        <v/>
      </c>
      <c r="BF140" t="str">
        <f>IF($A140="","", INDEX(CS!$B$1:$B$12828,MATCH($A140,CS!$B:$B,0)+COLUMN(K$1),1))</f>
        <v/>
      </c>
      <c r="BG140" t="str">
        <f>IF($A140="","", INDEX(CS!$B$1:$B$12828,MATCH($A140,CS!$B:$B,0)+COLUMN(L$1),1))</f>
        <v/>
      </c>
    </row>
    <row r="141" spans="3:59" x14ac:dyDescent="0.4">
      <c r="C141" t="s">
        <v>194</v>
      </c>
      <c r="D141" t="str">
        <f t="shared" si="8"/>
        <v>0/0/0</v>
      </c>
      <c r="E141">
        <v>1</v>
      </c>
      <c r="AX141" t="str">
        <f>IF($A141="","", INDEX(CS!$B$1:$B$12828,MATCH($A141,CS!$B:$B,0)+COLUMN(A$1),1))</f>
        <v/>
      </c>
      <c r="AY141" t="str">
        <f>IF($A141="","", INDEX(CS!$B$1:$B$12828,MATCH($A141,CS!$B:$B,0)+COLUMN(B$1),1))</f>
        <v/>
      </c>
      <c r="AZ141" t="str">
        <f>IF($A141="","", INDEX(CS!$B$1:$B$12828,MATCH($A141,CS!$B:$B,0)+COLUMN(C$1),1))</f>
        <v/>
      </c>
      <c r="BA141" t="str">
        <f>IF($A141="","", INDEX(CS!$B$1:$B$12828,MATCH($A141,CS!$B:$B,0)+COLUMN(D$1),1))</f>
        <v/>
      </c>
      <c r="BB141" t="str">
        <f>IF($A141="","", INDEX(CS!$B$1:$B$12828,MATCH($A141,CS!$B:$B,0)+COLUMN(E$1),1))</f>
        <v/>
      </c>
      <c r="BC141" t="str">
        <f>IF($A141="","", INDEX(CS!$B$1:$B$12828,MATCH($A141,CS!$B:$B,0)+COLUMN(F$1),1))</f>
        <v/>
      </c>
      <c r="BD141" t="str">
        <f>IF($A141="","", INDEX(CS!$B$1:$B$12828,MATCH($A141,CS!$B:$B,0)+COLUMN(I$1),1))</f>
        <v/>
      </c>
      <c r="BE141" t="str">
        <f>IF($A141="","", INDEX(CS!$B$1:$B$12828,MATCH($A141,CS!$B:$B,0)+COLUMN(J$1),1))</f>
        <v/>
      </c>
      <c r="BF141" t="str">
        <f>IF($A141="","", INDEX(CS!$B$1:$B$12828,MATCH($A141,CS!$B:$B,0)+COLUMN(K$1),1))</f>
        <v/>
      </c>
      <c r="BG141" t="str">
        <f>IF($A141="","", INDEX(CS!$B$1:$B$12828,MATCH($A141,CS!$B:$B,0)+COLUMN(L$1),1))</f>
        <v/>
      </c>
    </row>
    <row r="142" spans="3:59" x14ac:dyDescent="0.4">
      <c r="C142" t="s">
        <v>194</v>
      </c>
      <c r="D142" t="str">
        <f t="shared" si="8"/>
        <v>0/0/0</v>
      </c>
      <c r="E142">
        <v>1</v>
      </c>
      <c r="AX142" t="str">
        <f>IF($A142="","", INDEX(CS!$B$1:$B$12828,MATCH($A142,CS!$B:$B,0)+COLUMN(A$1),1))</f>
        <v/>
      </c>
      <c r="AY142" t="str">
        <f>IF($A142="","", INDEX(CS!$B$1:$B$12828,MATCH($A142,CS!$B:$B,0)+COLUMN(B$1),1))</f>
        <v/>
      </c>
      <c r="AZ142" t="str">
        <f>IF($A142="","", INDEX(CS!$B$1:$B$12828,MATCH($A142,CS!$B:$B,0)+COLUMN(C$1),1))</f>
        <v/>
      </c>
      <c r="BA142" t="str">
        <f>IF($A142="","", INDEX(CS!$B$1:$B$12828,MATCH($A142,CS!$B:$B,0)+COLUMN(D$1),1))</f>
        <v/>
      </c>
      <c r="BB142" t="str">
        <f>IF($A142="","", INDEX(CS!$B$1:$B$12828,MATCH($A142,CS!$B:$B,0)+COLUMN(E$1),1))</f>
        <v/>
      </c>
      <c r="BC142" t="str">
        <f>IF($A142="","", INDEX(CS!$B$1:$B$12828,MATCH($A142,CS!$B:$B,0)+COLUMN(F$1),1))</f>
        <v/>
      </c>
      <c r="BD142" t="str">
        <f>IF($A142="","", INDEX(CS!$B$1:$B$12828,MATCH($A142,CS!$B:$B,0)+COLUMN(I$1),1))</f>
        <v/>
      </c>
      <c r="BE142" t="str">
        <f>IF($A142="","", INDEX(CS!$B$1:$B$12828,MATCH($A142,CS!$B:$B,0)+COLUMN(J$1),1))</f>
        <v/>
      </c>
      <c r="BF142" t="str">
        <f>IF($A142="","", INDEX(CS!$B$1:$B$12828,MATCH($A142,CS!$B:$B,0)+COLUMN(K$1),1))</f>
        <v/>
      </c>
      <c r="BG142" t="str">
        <f>IF($A142="","", INDEX(CS!$B$1:$B$12828,MATCH($A142,CS!$B:$B,0)+COLUMN(L$1),1))</f>
        <v/>
      </c>
    </row>
    <row r="143" spans="3:59" x14ac:dyDescent="0.4">
      <c r="C143" t="s">
        <v>194</v>
      </c>
      <c r="D143" t="str">
        <f t="shared" si="8"/>
        <v>0/0/0</v>
      </c>
      <c r="E143">
        <v>1</v>
      </c>
      <c r="AX143" t="str">
        <f>IF($A143="","", INDEX(CS!$B$1:$B$12828,MATCH($A143,CS!$B:$B,0)+COLUMN(A$1),1))</f>
        <v/>
      </c>
      <c r="AY143" t="str">
        <f>IF($A143="","", INDEX(CS!$B$1:$B$12828,MATCH($A143,CS!$B:$B,0)+COLUMN(B$1),1))</f>
        <v/>
      </c>
      <c r="AZ143" t="str">
        <f>IF($A143="","", INDEX(CS!$B$1:$B$12828,MATCH($A143,CS!$B:$B,0)+COLUMN(C$1),1))</f>
        <v/>
      </c>
      <c r="BA143" t="str">
        <f>IF($A143="","", INDEX(CS!$B$1:$B$12828,MATCH($A143,CS!$B:$B,0)+COLUMN(D$1),1))</f>
        <v/>
      </c>
      <c r="BB143" t="str">
        <f>IF($A143="","", INDEX(CS!$B$1:$B$12828,MATCH($A143,CS!$B:$B,0)+COLUMN(E$1),1))</f>
        <v/>
      </c>
      <c r="BC143" t="str">
        <f>IF($A143="","", INDEX(CS!$B$1:$B$12828,MATCH($A143,CS!$B:$B,0)+COLUMN(F$1),1))</f>
        <v/>
      </c>
      <c r="BD143" t="str">
        <f>IF($A143="","", INDEX(CS!$B$1:$B$12828,MATCH($A143,CS!$B:$B,0)+COLUMN(I$1),1))</f>
        <v/>
      </c>
      <c r="BE143" t="str">
        <f>IF($A143="","", INDEX(CS!$B$1:$B$12828,MATCH($A143,CS!$B:$B,0)+COLUMN(J$1),1))</f>
        <v/>
      </c>
      <c r="BF143" t="str">
        <f>IF($A143="","", INDEX(CS!$B$1:$B$12828,MATCH($A143,CS!$B:$B,0)+COLUMN(K$1),1))</f>
        <v/>
      </c>
      <c r="BG143" t="str">
        <f>IF($A143="","", INDEX(CS!$B$1:$B$12828,MATCH($A143,CS!$B:$B,0)+COLUMN(L$1),1))</f>
        <v/>
      </c>
    </row>
    <row r="144" spans="3:59" x14ac:dyDescent="0.4">
      <c r="C144" t="s">
        <v>194</v>
      </c>
      <c r="D144" t="str">
        <f t="shared" si="8"/>
        <v>0/0/0</v>
      </c>
      <c r="E144">
        <v>1</v>
      </c>
      <c r="AX144" t="str">
        <f>IF($A144="","", INDEX(CS!$B$1:$B$12828,MATCH($A144,CS!$B:$B,0)+COLUMN(A$1),1))</f>
        <v/>
      </c>
      <c r="AY144" t="str">
        <f>IF($A144="","", INDEX(CS!$B$1:$B$12828,MATCH($A144,CS!$B:$B,0)+COLUMN(B$1),1))</f>
        <v/>
      </c>
      <c r="AZ144" t="str">
        <f>IF($A144="","", INDEX(CS!$B$1:$B$12828,MATCH($A144,CS!$B:$B,0)+COLUMN(C$1),1))</f>
        <v/>
      </c>
      <c r="BA144" t="str">
        <f>IF($A144="","", INDEX(CS!$B$1:$B$12828,MATCH($A144,CS!$B:$B,0)+COLUMN(D$1),1))</f>
        <v/>
      </c>
      <c r="BB144" t="str">
        <f>IF($A144="","", INDEX(CS!$B$1:$B$12828,MATCH($A144,CS!$B:$B,0)+COLUMN(E$1),1))</f>
        <v/>
      </c>
      <c r="BC144" t="str">
        <f>IF($A144="","", INDEX(CS!$B$1:$B$12828,MATCH($A144,CS!$B:$B,0)+COLUMN(F$1),1))</f>
        <v/>
      </c>
      <c r="BD144" t="str">
        <f>IF($A144="","", INDEX(CS!$B$1:$B$12828,MATCH($A144,CS!$B:$B,0)+COLUMN(I$1),1))</f>
        <v/>
      </c>
      <c r="BE144" t="str">
        <f>IF($A144="","", INDEX(CS!$B$1:$B$12828,MATCH($A144,CS!$B:$B,0)+COLUMN(J$1),1))</f>
        <v/>
      </c>
      <c r="BF144" t="str">
        <f>IF($A144="","", INDEX(CS!$B$1:$B$12828,MATCH($A144,CS!$B:$B,0)+COLUMN(K$1),1))</f>
        <v/>
      </c>
      <c r="BG144" t="str">
        <f>IF($A144="","", INDEX(CS!$B$1:$B$12828,MATCH($A144,CS!$B:$B,0)+COLUMN(L$1),1))</f>
        <v/>
      </c>
    </row>
    <row r="145" spans="3:59" x14ac:dyDescent="0.4">
      <c r="C145" t="s">
        <v>194</v>
      </c>
      <c r="D145" t="str">
        <f t="shared" si="8"/>
        <v>0/0/0</v>
      </c>
      <c r="E145">
        <v>1</v>
      </c>
      <c r="AX145" t="str">
        <f>IF($A145="","", INDEX(CS!$B$1:$B$12828,MATCH($A145,CS!$B:$B,0)+COLUMN(A$1),1))</f>
        <v/>
      </c>
      <c r="AY145" t="str">
        <f>IF($A145="","", INDEX(CS!$B$1:$B$12828,MATCH($A145,CS!$B:$B,0)+COLUMN(B$1),1))</f>
        <v/>
      </c>
      <c r="AZ145" t="str">
        <f>IF($A145="","", INDEX(CS!$B$1:$B$12828,MATCH($A145,CS!$B:$B,0)+COLUMN(C$1),1))</f>
        <v/>
      </c>
      <c r="BA145" t="str">
        <f>IF($A145="","", INDEX(CS!$B$1:$B$12828,MATCH($A145,CS!$B:$B,0)+COLUMN(D$1),1))</f>
        <v/>
      </c>
      <c r="BB145" t="str">
        <f>IF($A145="","", INDEX(CS!$B$1:$B$12828,MATCH($A145,CS!$B:$B,0)+COLUMN(E$1),1))</f>
        <v/>
      </c>
      <c r="BC145" t="str">
        <f>IF($A145="","", INDEX(CS!$B$1:$B$12828,MATCH($A145,CS!$B:$B,0)+COLUMN(F$1),1))</f>
        <v/>
      </c>
      <c r="BD145" t="str">
        <f>IF($A145="","", INDEX(CS!$B$1:$B$12828,MATCH($A145,CS!$B:$B,0)+COLUMN(I$1),1))</f>
        <v/>
      </c>
      <c r="BE145" t="str">
        <f>IF($A145="","", INDEX(CS!$B$1:$B$12828,MATCH($A145,CS!$B:$B,0)+COLUMN(J$1),1))</f>
        <v/>
      </c>
      <c r="BF145" t="str">
        <f>IF($A145="","", INDEX(CS!$B$1:$B$12828,MATCH($A145,CS!$B:$B,0)+COLUMN(K$1),1))</f>
        <v/>
      </c>
      <c r="BG145" t="str">
        <f>IF($A145="","", INDEX(CS!$B$1:$B$12828,MATCH($A145,CS!$B:$B,0)+COLUMN(L$1),1))</f>
        <v/>
      </c>
    </row>
    <row r="146" spans="3:59" x14ac:dyDescent="0.4">
      <c r="C146" t="s">
        <v>194</v>
      </c>
      <c r="D146" t="str">
        <f t="shared" si="8"/>
        <v>0/0/0</v>
      </c>
      <c r="E146">
        <v>1</v>
      </c>
      <c r="AX146" t="str">
        <f>IF($A146="","", INDEX(CS!$B$1:$B$12828,MATCH($A146,CS!$B:$B,0)+COLUMN(A$1),1))</f>
        <v/>
      </c>
      <c r="AY146" t="str">
        <f>IF($A146="","", INDEX(CS!$B$1:$B$12828,MATCH($A146,CS!$B:$B,0)+COLUMN(B$1),1))</f>
        <v/>
      </c>
      <c r="AZ146" t="str">
        <f>IF($A146="","", INDEX(CS!$B$1:$B$12828,MATCH($A146,CS!$B:$B,0)+COLUMN(C$1),1))</f>
        <v/>
      </c>
      <c r="BA146" t="str">
        <f>IF($A146="","", INDEX(CS!$B$1:$B$12828,MATCH($A146,CS!$B:$B,0)+COLUMN(D$1),1))</f>
        <v/>
      </c>
      <c r="BB146" t="str">
        <f>IF($A146="","", INDEX(CS!$B$1:$B$12828,MATCH($A146,CS!$B:$B,0)+COLUMN(E$1),1))</f>
        <v/>
      </c>
      <c r="BC146" t="str">
        <f>IF($A146="","", INDEX(CS!$B$1:$B$12828,MATCH($A146,CS!$B:$B,0)+COLUMN(F$1),1))</f>
        <v/>
      </c>
      <c r="BD146" t="str">
        <f>IF($A146="","", INDEX(CS!$B$1:$B$12828,MATCH($A146,CS!$B:$B,0)+COLUMN(I$1),1))</f>
        <v/>
      </c>
      <c r="BE146" t="str">
        <f>IF($A146="","", INDEX(CS!$B$1:$B$12828,MATCH($A146,CS!$B:$B,0)+COLUMN(J$1),1))</f>
        <v/>
      </c>
      <c r="BF146" t="str">
        <f>IF($A146="","", INDEX(CS!$B$1:$B$12828,MATCH($A146,CS!$B:$B,0)+COLUMN(K$1),1))</f>
        <v/>
      </c>
      <c r="BG146" t="str">
        <f>IF($A146="","", INDEX(CS!$B$1:$B$12828,MATCH($A146,CS!$B:$B,0)+COLUMN(L$1),1))</f>
        <v/>
      </c>
    </row>
    <row r="147" spans="3:59" x14ac:dyDescent="0.4">
      <c r="C147" t="s">
        <v>194</v>
      </c>
      <c r="D147" t="str">
        <f t="shared" si="8"/>
        <v>0/0/0</v>
      </c>
      <c r="E147">
        <v>1</v>
      </c>
      <c r="AX147" t="str">
        <f>IF($A147="","", INDEX(CS!$B$1:$B$12828,MATCH($A147,CS!$B:$B,0)+COLUMN(A$1),1))</f>
        <v/>
      </c>
      <c r="AY147" t="str">
        <f>IF($A147="","", INDEX(CS!$B$1:$B$12828,MATCH($A147,CS!$B:$B,0)+COLUMN(B$1),1))</f>
        <v/>
      </c>
      <c r="AZ147" t="str">
        <f>IF($A147="","", INDEX(CS!$B$1:$B$12828,MATCH($A147,CS!$B:$B,0)+COLUMN(C$1),1))</f>
        <v/>
      </c>
      <c r="BA147" t="str">
        <f>IF($A147="","", INDEX(CS!$B$1:$B$12828,MATCH($A147,CS!$B:$B,0)+COLUMN(D$1),1))</f>
        <v/>
      </c>
      <c r="BB147" t="str">
        <f>IF($A147="","", INDEX(CS!$B$1:$B$12828,MATCH($A147,CS!$B:$B,0)+COLUMN(E$1),1))</f>
        <v/>
      </c>
      <c r="BC147" t="str">
        <f>IF($A147="","", INDEX(CS!$B$1:$B$12828,MATCH($A147,CS!$B:$B,0)+COLUMN(F$1),1))</f>
        <v/>
      </c>
      <c r="BD147" t="str">
        <f>IF($A147="","", INDEX(CS!$B$1:$B$12828,MATCH($A147,CS!$B:$B,0)+COLUMN(I$1),1))</f>
        <v/>
      </c>
      <c r="BE147" t="str">
        <f>IF($A147="","", INDEX(CS!$B$1:$B$12828,MATCH($A147,CS!$B:$B,0)+COLUMN(J$1),1))</f>
        <v/>
      </c>
      <c r="BF147" t="str">
        <f>IF($A147="","", INDEX(CS!$B$1:$B$12828,MATCH($A147,CS!$B:$B,0)+COLUMN(K$1),1))</f>
        <v/>
      </c>
      <c r="BG147" t="str">
        <f>IF($A147="","", INDEX(CS!$B$1:$B$12828,MATCH($A147,CS!$B:$B,0)+COLUMN(L$1),1))</f>
        <v/>
      </c>
    </row>
    <row r="148" spans="3:59" x14ac:dyDescent="0.4">
      <c r="C148" t="s">
        <v>194</v>
      </c>
      <c r="D148" t="str">
        <f t="shared" si="8"/>
        <v>0/0/0</v>
      </c>
      <c r="E148">
        <v>1</v>
      </c>
      <c r="AX148" t="str">
        <f>IF($A148="","", INDEX(CS!$B$1:$B$12828,MATCH($A148,CS!$B:$B,0)+COLUMN(A$1),1))</f>
        <v/>
      </c>
      <c r="AY148" t="str">
        <f>IF($A148="","", INDEX(CS!$B$1:$B$12828,MATCH($A148,CS!$B:$B,0)+COLUMN(B$1),1))</f>
        <v/>
      </c>
      <c r="AZ148" t="str">
        <f>IF($A148="","", INDEX(CS!$B$1:$B$12828,MATCH($A148,CS!$B:$B,0)+COLUMN(C$1),1))</f>
        <v/>
      </c>
      <c r="BA148" t="str">
        <f>IF($A148="","", INDEX(CS!$B$1:$B$12828,MATCH($A148,CS!$B:$B,0)+COLUMN(D$1),1))</f>
        <v/>
      </c>
      <c r="BB148" t="str">
        <f>IF($A148="","", INDEX(CS!$B$1:$B$12828,MATCH($A148,CS!$B:$B,0)+COLUMN(E$1),1))</f>
        <v/>
      </c>
      <c r="BC148" t="str">
        <f>IF($A148="","", INDEX(CS!$B$1:$B$12828,MATCH($A148,CS!$B:$B,0)+COLUMN(F$1),1))</f>
        <v/>
      </c>
      <c r="BD148" t="str">
        <f>IF($A148="","", INDEX(CS!$B$1:$B$12828,MATCH($A148,CS!$B:$B,0)+COLUMN(I$1),1))</f>
        <v/>
      </c>
      <c r="BE148" t="str">
        <f>IF($A148="","", INDEX(CS!$B$1:$B$12828,MATCH($A148,CS!$B:$B,0)+COLUMN(J$1),1))</f>
        <v/>
      </c>
      <c r="BF148" t="str">
        <f>IF($A148="","", INDEX(CS!$B$1:$B$12828,MATCH($A148,CS!$B:$B,0)+COLUMN(K$1),1))</f>
        <v/>
      </c>
      <c r="BG148" t="str">
        <f>IF($A148="","", INDEX(CS!$B$1:$B$12828,MATCH($A148,CS!$B:$B,0)+COLUMN(L$1),1))</f>
        <v/>
      </c>
    </row>
    <row r="149" spans="3:59" x14ac:dyDescent="0.4">
      <c r="C149" t="s">
        <v>194</v>
      </c>
      <c r="D149" t="str">
        <f t="shared" si="8"/>
        <v>0/0/0</v>
      </c>
      <c r="E149">
        <v>1</v>
      </c>
      <c r="AX149" t="str">
        <f>IF($A149="","", INDEX(CS!$B$1:$B$12828,MATCH($A149,CS!$B:$B,0)+COLUMN(A$1),1))</f>
        <v/>
      </c>
      <c r="AY149" t="str">
        <f>IF($A149="","", INDEX(CS!$B$1:$B$12828,MATCH($A149,CS!$B:$B,0)+COLUMN(B$1),1))</f>
        <v/>
      </c>
      <c r="AZ149" t="str">
        <f>IF($A149="","", INDEX(CS!$B$1:$B$12828,MATCH($A149,CS!$B:$B,0)+COLUMN(C$1),1))</f>
        <v/>
      </c>
      <c r="BA149" t="str">
        <f>IF($A149="","", INDEX(CS!$B$1:$B$12828,MATCH($A149,CS!$B:$B,0)+COLUMN(D$1),1))</f>
        <v/>
      </c>
      <c r="BB149" t="str">
        <f>IF($A149="","", INDEX(CS!$B$1:$B$12828,MATCH($A149,CS!$B:$B,0)+COLUMN(E$1),1))</f>
        <v/>
      </c>
      <c r="BC149" t="str">
        <f>IF($A149="","", INDEX(CS!$B$1:$B$12828,MATCH($A149,CS!$B:$B,0)+COLUMN(F$1),1))</f>
        <v/>
      </c>
      <c r="BD149" t="str">
        <f>IF($A149="","", INDEX(CS!$B$1:$B$12828,MATCH($A149,CS!$B:$B,0)+COLUMN(I$1),1))</f>
        <v/>
      </c>
      <c r="BE149" t="str">
        <f>IF($A149="","", INDEX(CS!$B$1:$B$12828,MATCH($A149,CS!$B:$B,0)+COLUMN(J$1),1))</f>
        <v/>
      </c>
      <c r="BF149" t="str">
        <f>IF($A149="","", INDEX(CS!$B$1:$B$12828,MATCH($A149,CS!$B:$B,0)+COLUMN(K$1),1))</f>
        <v/>
      </c>
      <c r="BG149" t="str">
        <f>IF($A149="","", INDEX(CS!$B$1:$B$12828,MATCH($A149,CS!$B:$B,0)+COLUMN(L$1),1))</f>
        <v/>
      </c>
    </row>
    <row r="150" spans="3:59" x14ac:dyDescent="0.4">
      <c r="C150" t="s">
        <v>194</v>
      </c>
      <c r="D150" t="str">
        <f t="shared" si="8"/>
        <v>0/0/0</v>
      </c>
      <c r="E150">
        <v>1</v>
      </c>
      <c r="AX150" t="str">
        <f>IF($A150="","", INDEX(CS!$B$1:$B$12828,MATCH($A150,CS!$B:$B,0)+COLUMN(A$1),1))</f>
        <v/>
      </c>
      <c r="AY150" t="str">
        <f>IF($A150="","", INDEX(CS!$B$1:$B$12828,MATCH($A150,CS!$B:$B,0)+COLUMN(B$1),1))</f>
        <v/>
      </c>
      <c r="AZ150" t="str">
        <f>IF($A150="","", INDEX(CS!$B$1:$B$12828,MATCH($A150,CS!$B:$B,0)+COLUMN(C$1),1))</f>
        <v/>
      </c>
      <c r="BA150" t="str">
        <f>IF($A150="","", INDEX(CS!$B$1:$B$12828,MATCH($A150,CS!$B:$B,0)+COLUMN(D$1),1))</f>
        <v/>
      </c>
      <c r="BB150" t="str">
        <f>IF($A150="","", INDEX(CS!$B$1:$B$12828,MATCH($A150,CS!$B:$B,0)+COLUMN(E$1),1))</f>
        <v/>
      </c>
      <c r="BC150" t="str">
        <f>IF($A150="","", INDEX(CS!$B$1:$B$12828,MATCH($A150,CS!$B:$B,0)+COLUMN(F$1),1))</f>
        <v/>
      </c>
      <c r="BD150" t="str">
        <f>IF($A150="","", INDEX(CS!$B$1:$B$12828,MATCH($A150,CS!$B:$B,0)+COLUMN(I$1),1))</f>
        <v/>
      </c>
      <c r="BE150" t="str">
        <f>IF($A150="","", INDEX(CS!$B$1:$B$12828,MATCH($A150,CS!$B:$B,0)+COLUMN(J$1),1))</f>
        <v/>
      </c>
      <c r="BF150" t="str">
        <f>IF($A150="","", INDEX(CS!$B$1:$B$12828,MATCH($A150,CS!$B:$B,0)+COLUMN(K$1),1))</f>
        <v/>
      </c>
      <c r="BG150" t="str">
        <f>IF($A150="","", INDEX(CS!$B$1:$B$12828,MATCH($A150,CS!$B:$B,0)+COLUMN(L$1),1))</f>
        <v/>
      </c>
    </row>
    <row r="151" spans="3:59" x14ac:dyDescent="0.4">
      <c r="C151" t="s">
        <v>194</v>
      </c>
      <c r="D151" t="str">
        <f t="shared" si="8"/>
        <v>0/0/0</v>
      </c>
      <c r="E151">
        <v>1</v>
      </c>
      <c r="AX151" t="str">
        <f>IF($A151="","", INDEX(CS!$B$1:$B$12828,MATCH($A151,CS!$B:$B,0)+COLUMN(A$1),1))</f>
        <v/>
      </c>
      <c r="AY151" t="str">
        <f>IF($A151="","", INDEX(CS!$B$1:$B$12828,MATCH($A151,CS!$B:$B,0)+COLUMN(B$1),1))</f>
        <v/>
      </c>
      <c r="AZ151" t="str">
        <f>IF($A151="","", INDEX(CS!$B$1:$B$12828,MATCH($A151,CS!$B:$B,0)+COLUMN(C$1),1))</f>
        <v/>
      </c>
      <c r="BA151" t="str">
        <f>IF($A151="","", INDEX(CS!$B$1:$B$12828,MATCH($A151,CS!$B:$B,0)+COLUMN(D$1),1))</f>
        <v/>
      </c>
      <c r="BB151" t="str">
        <f>IF($A151="","", INDEX(CS!$B$1:$B$12828,MATCH($A151,CS!$B:$B,0)+COLUMN(E$1),1))</f>
        <v/>
      </c>
      <c r="BC151" t="str">
        <f>IF($A151="","", INDEX(CS!$B$1:$B$12828,MATCH($A151,CS!$B:$B,0)+COLUMN(F$1),1))</f>
        <v/>
      </c>
      <c r="BD151" t="str">
        <f>IF($A151="","", INDEX(CS!$B$1:$B$12828,MATCH($A151,CS!$B:$B,0)+COLUMN(I$1),1))</f>
        <v/>
      </c>
      <c r="BE151" t="str">
        <f>IF($A151="","", INDEX(CS!$B$1:$B$12828,MATCH($A151,CS!$B:$B,0)+COLUMN(J$1),1))</f>
        <v/>
      </c>
      <c r="BF151" t="str">
        <f>IF($A151="","", INDEX(CS!$B$1:$B$12828,MATCH($A151,CS!$B:$B,0)+COLUMN(K$1),1))</f>
        <v/>
      </c>
      <c r="BG151" t="str">
        <f>IF($A151="","", INDEX(CS!$B$1:$B$12828,MATCH($A151,CS!$B:$B,0)+COLUMN(L$1),1))</f>
        <v/>
      </c>
    </row>
    <row r="152" spans="3:59" x14ac:dyDescent="0.4">
      <c r="C152" t="s">
        <v>194</v>
      </c>
      <c r="D152" t="str">
        <f t="shared" si="8"/>
        <v>0/0/0</v>
      </c>
      <c r="E152">
        <v>1</v>
      </c>
      <c r="AX152" t="str">
        <f>IF($A152="","", INDEX(CS!$B$1:$B$12828,MATCH($A152,CS!$B:$B,0)+COLUMN(A$1),1))</f>
        <v/>
      </c>
      <c r="AY152" t="str">
        <f>IF($A152="","", INDEX(CS!$B$1:$B$12828,MATCH($A152,CS!$B:$B,0)+COLUMN(B$1),1))</f>
        <v/>
      </c>
      <c r="AZ152" t="str">
        <f>IF($A152="","", INDEX(CS!$B$1:$B$12828,MATCH($A152,CS!$B:$B,0)+COLUMN(C$1),1))</f>
        <v/>
      </c>
      <c r="BA152" t="str">
        <f>IF($A152="","", INDEX(CS!$B$1:$B$12828,MATCH($A152,CS!$B:$B,0)+COLUMN(D$1),1))</f>
        <v/>
      </c>
      <c r="BB152" t="str">
        <f>IF($A152="","", INDEX(CS!$B$1:$B$12828,MATCH($A152,CS!$B:$B,0)+COLUMN(E$1),1))</f>
        <v/>
      </c>
      <c r="BC152" t="str">
        <f>IF($A152="","", INDEX(CS!$B$1:$B$12828,MATCH($A152,CS!$B:$B,0)+COLUMN(F$1),1))</f>
        <v/>
      </c>
      <c r="BD152" t="str">
        <f>IF($A152="","", INDEX(CS!$B$1:$B$12828,MATCH($A152,CS!$B:$B,0)+COLUMN(I$1),1))</f>
        <v/>
      </c>
      <c r="BE152" t="str">
        <f>IF($A152="","", INDEX(CS!$B$1:$B$12828,MATCH($A152,CS!$B:$B,0)+COLUMN(J$1),1))</f>
        <v/>
      </c>
      <c r="BF152" t="str">
        <f>IF($A152="","", INDEX(CS!$B$1:$B$12828,MATCH($A152,CS!$B:$B,0)+COLUMN(K$1),1))</f>
        <v/>
      </c>
      <c r="BG152" t="str">
        <f>IF($A152="","", INDEX(CS!$B$1:$B$12828,MATCH($A152,CS!$B:$B,0)+COLUMN(L$1),1))</f>
        <v/>
      </c>
    </row>
    <row r="153" spans="3:59" x14ac:dyDescent="0.4">
      <c r="C153" t="s">
        <v>194</v>
      </c>
      <c r="D153" t="str">
        <f t="shared" si="8"/>
        <v>0/0/0</v>
      </c>
      <c r="E153">
        <v>1</v>
      </c>
      <c r="AX153" t="str">
        <f>IF($A153="","", INDEX(CS!$B$1:$B$12828,MATCH($A153,CS!$B:$B,0)+COLUMN(A$1),1))</f>
        <v/>
      </c>
      <c r="AY153" t="str">
        <f>IF($A153="","", INDEX(CS!$B$1:$B$12828,MATCH($A153,CS!$B:$B,0)+COLUMN(B$1),1))</f>
        <v/>
      </c>
      <c r="AZ153" t="str">
        <f>IF($A153="","", INDEX(CS!$B$1:$B$12828,MATCH($A153,CS!$B:$B,0)+COLUMN(C$1),1))</f>
        <v/>
      </c>
      <c r="BA153" t="str">
        <f>IF($A153="","", INDEX(CS!$B$1:$B$12828,MATCH($A153,CS!$B:$B,0)+COLUMN(D$1),1))</f>
        <v/>
      </c>
      <c r="BB153" t="str">
        <f>IF($A153="","", INDEX(CS!$B$1:$B$12828,MATCH($A153,CS!$B:$B,0)+COLUMN(E$1),1))</f>
        <v/>
      </c>
      <c r="BC153" t="str">
        <f>IF($A153="","", INDEX(CS!$B$1:$B$12828,MATCH($A153,CS!$B:$B,0)+COLUMN(F$1),1))</f>
        <v/>
      </c>
      <c r="BD153" t="str">
        <f>IF($A153="","", INDEX(CS!$B$1:$B$12828,MATCH($A153,CS!$B:$B,0)+COLUMN(I$1),1))</f>
        <v/>
      </c>
      <c r="BE153" t="str">
        <f>IF($A153="","", INDEX(CS!$B$1:$B$12828,MATCH($A153,CS!$B:$B,0)+COLUMN(J$1),1))</f>
        <v/>
      </c>
      <c r="BF153" t="str">
        <f>IF($A153="","", INDEX(CS!$B$1:$B$12828,MATCH($A153,CS!$B:$B,0)+COLUMN(K$1),1))</f>
        <v/>
      </c>
      <c r="BG153" t="str">
        <f>IF($A153="","", INDEX(CS!$B$1:$B$12828,MATCH($A153,CS!$B:$B,0)+COLUMN(L$1),1))</f>
        <v/>
      </c>
    </row>
    <row r="154" spans="3:59" x14ac:dyDescent="0.4">
      <c r="C154" t="s">
        <v>194</v>
      </c>
      <c r="D154" t="str">
        <f t="shared" si="8"/>
        <v>0/0/0</v>
      </c>
      <c r="E154">
        <v>1</v>
      </c>
      <c r="AX154" t="str">
        <f>IF($A154="","", INDEX(CS!$B$1:$B$12828,MATCH($A154,CS!$B:$B,0)+COLUMN(A$1),1))</f>
        <v/>
      </c>
      <c r="AY154" t="str">
        <f>IF($A154="","", INDEX(CS!$B$1:$B$12828,MATCH($A154,CS!$B:$B,0)+COLUMN(B$1),1))</f>
        <v/>
      </c>
      <c r="AZ154" t="str">
        <f>IF($A154="","", INDEX(CS!$B$1:$B$12828,MATCH($A154,CS!$B:$B,0)+COLUMN(C$1),1))</f>
        <v/>
      </c>
      <c r="BA154" t="str">
        <f>IF($A154="","", INDEX(CS!$B$1:$B$12828,MATCH($A154,CS!$B:$B,0)+COLUMN(D$1),1))</f>
        <v/>
      </c>
      <c r="BB154" t="str">
        <f>IF($A154="","", INDEX(CS!$B$1:$B$12828,MATCH($A154,CS!$B:$B,0)+COLUMN(E$1),1))</f>
        <v/>
      </c>
      <c r="BC154" t="str">
        <f>IF($A154="","", INDEX(CS!$B$1:$B$12828,MATCH($A154,CS!$B:$B,0)+COLUMN(F$1),1))</f>
        <v/>
      </c>
      <c r="BD154" t="str">
        <f>IF($A154="","", INDEX(CS!$B$1:$B$12828,MATCH($A154,CS!$B:$B,0)+COLUMN(I$1),1))</f>
        <v/>
      </c>
      <c r="BE154" t="str">
        <f>IF($A154="","", INDEX(CS!$B$1:$B$12828,MATCH($A154,CS!$B:$B,0)+COLUMN(J$1),1))</f>
        <v/>
      </c>
      <c r="BF154" t="str">
        <f>IF($A154="","", INDEX(CS!$B$1:$B$12828,MATCH($A154,CS!$B:$B,0)+COLUMN(K$1),1))</f>
        <v/>
      </c>
      <c r="BG154" t="str">
        <f>IF($A154="","", INDEX(CS!$B$1:$B$12828,MATCH($A154,CS!$B:$B,0)+COLUMN(L$1),1))</f>
        <v/>
      </c>
    </row>
    <row r="155" spans="3:59" x14ac:dyDescent="0.4">
      <c r="C155" t="s">
        <v>194</v>
      </c>
      <c r="D155" t="str">
        <f t="shared" si="8"/>
        <v>0/0/0</v>
      </c>
      <c r="E155">
        <v>1</v>
      </c>
      <c r="AX155" t="str">
        <f>IF($A155="","", INDEX(CS!$B$1:$B$12828,MATCH($A155,CS!$B:$B,0)+COLUMN(A$1),1))</f>
        <v/>
      </c>
      <c r="AY155" t="str">
        <f>IF($A155="","", INDEX(CS!$B$1:$B$12828,MATCH($A155,CS!$B:$B,0)+COLUMN(B$1),1))</f>
        <v/>
      </c>
      <c r="AZ155" t="str">
        <f>IF($A155="","", INDEX(CS!$B$1:$B$12828,MATCH($A155,CS!$B:$B,0)+COLUMN(C$1),1))</f>
        <v/>
      </c>
      <c r="BA155" t="str">
        <f>IF($A155="","", INDEX(CS!$B$1:$B$12828,MATCH($A155,CS!$B:$B,0)+COLUMN(D$1),1))</f>
        <v/>
      </c>
      <c r="BB155" t="str">
        <f>IF($A155="","", INDEX(CS!$B$1:$B$12828,MATCH($A155,CS!$B:$B,0)+COLUMN(E$1),1))</f>
        <v/>
      </c>
      <c r="BC155" t="str">
        <f>IF($A155="","", INDEX(CS!$B$1:$B$12828,MATCH($A155,CS!$B:$B,0)+COLUMN(F$1),1))</f>
        <v/>
      </c>
      <c r="BD155" t="str">
        <f>IF($A155="","", INDEX(CS!$B$1:$B$12828,MATCH($A155,CS!$B:$B,0)+COLUMN(I$1),1))</f>
        <v/>
      </c>
      <c r="BE155" t="str">
        <f>IF($A155="","", INDEX(CS!$B$1:$B$12828,MATCH($A155,CS!$B:$B,0)+COLUMN(J$1),1))</f>
        <v/>
      </c>
      <c r="BF155" t="str">
        <f>IF($A155="","", INDEX(CS!$B$1:$B$12828,MATCH($A155,CS!$B:$B,0)+COLUMN(K$1),1))</f>
        <v/>
      </c>
      <c r="BG155" t="str">
        <f>IF($A155="","", INDEX(CS!$B$1:$B$12828,MATCH($A155,CS!$B:$B,0)+COLUMN(L$1),1))</f>
        <v/>
      </c>
    </row>
    <row r="156" spans="3:59" x14ac:dyDescent="0.4">
      <c r="C156" t="s">
        <v>194</v>
      </c>
      <c r="D156" t="str">
        <f t="shared" si="8"/>
        <v>0/0/0</v>
      </c>
      <c r="E156">
        <v>1</v>
      </c>
      <c r="AX156" t="str">
        <f>IF($A156="","", INDEX(CS!$B$1:$B$12828,MATCH($A156,CS!$B:$B,0)+COLUMN(A$1),1))</f>
        <v/>
      </c>
      <c r="AY156" t="str">
        <f>IF($A156="","", INDEX(CS!$B$1:$B$12828,MATCH($A156,CS!$B:$B,0)+COLUMN(B$1),1))</f>
        <v/>
      </c>
      <c r="AZ156" t="str">
        <f>IF($A156="","", INDEX(CS!$B$1:$B$12828,MATCH($A156,CS!$B:$B,0)+COLUMN(C$1),1))</f>
        <v/>
      </c>
      <c r="BA156" t="str">
        <f>IF($A156="","", INDEX(CS!$B$1:$B$12828,MATCH($A156,CS!$B:$B,0)+COLUMN(D$1),1))</f>
        <v/>
      </c>
      <c r="BB156" t="str">
        <f>IF($A156="","", INDEX(CS!$B$1:$B$12828,MATCH($A156,CS!$B:$B,0)+COLUMN(E$1),1))</f>
        <v/>
      </c>
      <c r="BC156" t="str">
        <f>IF($A156="","", INDEX(CS!$B$1:$B$12828,MATCH($A156,CS!$B:$B,0)+COLUMN(F$1),1))</f>
        <v/>
      </c>
      <c r="BD156" t="str">
        <f>IF($A156="","", INDEX(CS!$B$1:$B$12828,MATCH($A156,CS!$B:$B,0)+COLUMN(I$1),1))</f>
        <v/>
      </c>
      <c r="BE156" t="str">
        <f>IF($A156="","", INDEX(CS!$B$1:$B$12828,MATCH($A156,CS!$B:$B,0)+COLUMN(J$1),1))</f>
        <v/>
      </c>
      <c r="BF156" t="str">
        <f>IF($A156="","", INDEX(CS!$B$1:$B$12828,MATCH($A156,CS!$B:$B,0)+COLUMN(K$1),1))</f>
        <v/>
      </c>
      <c r="BG156" t="str">
        <f>IF($A156="","", INDEX(CS!$B$1:$B$12828,MATCH($A156,CS!$B:$B,0)+COLUMN(L$1),1))</f>
        <v/>
      </c>
    </row>
    <row r="157" spans="3:59" x14ac:dyDescent="0.4">
      <c r="C157" t="s">
        <v>194</v>
      </c>
      <c r="D157" t="str">
        <f t="shared" si="8"/>
        <v>0/0/0</v>
      </c>
      <c r="E157">
        <v>1</v>
      </c>
      <c r="AX157" t="str">
        <f>IF($A157="","", INDEX(CS!$B$1:$B$12828,MATCH($A157,CS!$B:$B,0)+COLUMN(A$1),1))</f>
        <v/>
      </c>
      <c r="AY157" t="str">
        <f>IF($A157="","", INDEX(CS!$B$1:$B$12828,MATCH($A157,CS!$B:$B,0)+COLUMN(B$1),1))</f>
        <v/>
      </c>
      <c r="AZ157" t="str">
        <f>IF($A157="","", INDEX(CS!$B$1:$B$12828,MATCH($A157,CS!$B:$B,0)+COLUMN(C$1),1))</f>
        <v/>
      </c>
      <c r="BA157" t="str">
        <f>IF($A157="","", INDEX(CS!$B$1:$B$12828,MATCH($A157,CS!$B:$B,0)+COLUMN(D$1),1))</f>
        <v/>
      </c>
      <c r="BB157" t="str">
        <f>IF($A157="","", INDEX(CS!$B$1:$B$12828,MATCH($A157,CS!$B:$B,0)+COLUMN(E$1),1))</f>
        <v/>
      </c>
      <c r="BC157" t="str">
        <f>IF($A157="","", INDEX(CS!$B$1:$B$12828,MATCH($A157,CS!$B:$B,0)+COLUMN(F$1),1))</f>
        <v/>
      </c>
      <c r="BD157" t="str">
        <f>IF($A157="","", INDEX(CS!$B$1:$B$12828,MATCH($A157,CS!$B:$B,0)+COLUMN(I$1),1))</f>
        <v/>
      </c>
      <c r="BE157" t="str">
        <f>IF($A157="","", INDEX(CS!$B$1:$B$12828,MATCH($A157,CS!$B:$B,0)+COLUMN(J$1),1))</f>
        <v/>
      </c>
      <c r="BF157" t="str">
        <f>IF($A157="","", INDEX(CS!$B$1:$B$12828,MATCH($A157,CS!$B:$B,0)+COLUMN(K$1),1))</f>
        <v/>
      </c>
      <c r="BG157" t="str">
        <f>IF($A157="","", INDEX(CS!$B$1:$B$12828,MATCH($A157,CS!$B:$B,0)+COLUMN(L$1),1))</f>
        <v/>
      </c>
    </row>
    <row r="158" spans="3:59" x14ac:dyDescent="0.4">
      <c r="C158" t="s">
        <v>194</v>
      </c>
      <c r="D158" t="str">
        <f t="shared" si="8"/>
        <v>0/0/0</v>
      </c>
      <c r="E158">
        <v>1</v>
      </c>
      <c r="AX158" t="str">
        <f>IF($A158="","", INDEX(CS!$B$1:$B$12828,MATCH($A158,CS!$B:$B,0)+COLUMN(A$1),1))</f>
        <v/>
      </c>
      <c r="AY158" t="str">
        <f>IF($A158="","", INDEX(CS!$B$1:$B$12828,MATCH($A158,CS!$B:$B,0)+COLUMN(B$1),1))</f>
        <v/>
      </c>
      <c r="AZ158" t="str">
        <f>IF($A158="","", INDEX(CS!$B$1:$B$12828,MATCH($A158,CS!$B:$B,0)+COLUMN(C$1),1))</f>
        <v/>
      </c>
      <c r="BA158" t="str">
        <f>IF($A158="","", INDEX(CS!$B$1:$B$12828,MATCH($A158,CS!$B:$B,0)+COLUMN(D$1),1))</f>
        <v/>
      </c>
      <c r="BB158" t="str">
        <f>IF($A158="","", INDEX(CS!$B$1:$B$12828,MATCH($A158,CS!$B:$B,0)+COLUMN(E$1),1))</f>
        <v/>
      </c>
      <c r="BC158" t="str">
        <f>IF($A158="","", INDEX(CS!$B$1:$B$12828,MATCH($A158,CS!$B:$B,0)+COLUMN(F$1),1))</f>
        <v/>
      </c>
      <c r="BD158" t="str">
        <f>IF($A158="","", INDEX(CS!$B$1:$B$12828,MATCH($A158,CS!$B:$B,0)+COLUMN(I$1),1))</f>
        <v/>
      </c>
      <c r="BE158" t="str">
        <f>IF($A158="","", INDEX(CS!$B$1:$B$12828,MATCH($A158,CS!$B:$B,0)+COLUMN(J$1),1))</f>
        <v/>
      </c>
      <c r="BF158" t="str">
        <f>IF($A158="","", INDEX(CS!$B$1:$B$12828,MATCH($A158,CS!$B:$B,0)+COLUMN(K$1),1))</f>
        <v/>
      </c>
      <c r="BG158" t="str">
        <f>IF($A158="","", INDEX(CS!$B$1:$B$12828,MATCH($A158,CS!$B:$B,0)+COLUMN(L$1),1))</f>
        <v/>
      </c>
    </row>
    <row r="159" spans="3:59" x14ac:dyDescent="0.4">
      <c r="C159" t="s">
        <v>194</v>
      </c>
      <c r="D159" t="str">
        <f t="shared" si="8"/>
        <v>0/0/0</v>
      </c>
      <c r="E159">
        <v>1</v>
      </c>
      <c r="AX159" t="str">
        <f>IF($A159="","", INDEX(CS!$B$1:$B$12828,MATCH($A159,CS!$B:$B,0)+COLUMN(A$1),1))</f>
        <v/>
      </c>
      <c r="AY159" t="str">
        <f>IF($A159="","", INDEX(CS!$B$1:$B$12828,MATCH($A159,CS!$B:$B,0)+COLUMN(B$1),1))</f>
        <v/>
      </c>
      <c r="AZ159" t="str">
        <f>IF($A159="","", INDEX(CS!$B$1:$B$12828,MATCH($A159,CS!$B:$B,0)+COLUMN(C$1),1))</f>
        <v/>
      </c>
      <c r="BA159" t="str">
        <f>IF($A159="","", INDEX(CS!$B$1:$B$12828,MATCH($A159,CS!$B:$B,0)+COLUMN(D$1),1))</f>
        <v/>
      </c>
      <c r="BB159" t="str">
        <f>IF($A159="","", INDEX(CS!$B$1:$B$12828,MATCH($A159,CS!$B:$B,0)+COLUMN(E$1),1))</f>
        <v/>
      </c>
      <c r="BC159" t="str">
        <f>IF($A159="","", INDEX(CS!$B$1:$B$12828,MATCH($A159,CS!$B:$B,0)+COLUMN(F$1),1))</f>
        <v/>
      </c>
      <c r="BD159" t="str">
        <f>IF($A159="","", INDEX(CS!$B$1:$B$12828,MATCH($A159,CS!$B:$B,0)+COLUMN(I$1),1))</f>
        <v/>
      </c>
      <c r="BE159" t="str">
        <f>IF($A159="","", INDEX(CS!$B$1:$B$12828,MATCH($A159,CS!$B:$B,0)+COLUMN(J$1),1))</f>
        <v/>
      </c>
      <c r="BF159" t="str">
        <f>IF($A159="","", INDEX(CS!$B$1:$B$12828,MATCH($A159,CS!$B:$B,0)+COLUMN(K$1),1))</f>
        <v/>
      </c>
      <c r="BG159" t="str">
        <f>IF($A159="","", INDEX(CS!$B$1:$B$12828,MATCH($A159,CS!$B:$B,0)+COLUMN(L$1),1))</f>
        <v/>
      </c>
    </row>
    <row r="160" spans="3:59" x14ac:dyDescent="0.4">
      <c r="C160" t="s">
        <v>194</v>
      </c>
      <c r="D160" t="str">
        <f t="shared" ref="D160:D219" si="9">SUM(AI160:AW160,F160:N160)&amp;"/"&amp;SUM(F160:N160)&amp;"/"&amp;SUM(AI160:AW160)</f>
        <v>0/0/0</v>
      </c>
      <c r="E160">
        <v>1</v>
      </c>
      <c r="AX160" t="str">
        <f>IF($A160="","", INDEX(CS!$B$1:$B$12828,MATCH($A160,CS!$B:$B,0)+COLUMN(A$1),1))</f>
        <v/>
      </c>
      <c r="AY160" t="str">
        <f>IF($A160="","", INDEX(CS!$B$1:$B$12828,MATCH($A160,CS!$B:$B,0)+COLUMN(B$1),1))</f>
        <v/>
      </c>
      <c r="AZ160" t="str">
        <f>IF($A160="","", INDEX(CS!$B$1:$B$12828,MATCH($A160,CS!$B:$B,0)+COLUMN(C$1),1))</f>
        <v/>
      </c>
      <c r="BA160" t="str">
        <f>IF($A160="","", INDEX(CS!$B$1:$B$12828,MATCH($A160,CS!$B:$B,0)+COLUMN(D$1),1))</f>
        <v/>
      </c>
      <c r="BB160" t="str">
        <f>IF($A160="","", INDEX(CS!$B$1:$B$12828,MATCH($A160,CS!$B:$B,0)+COLUMN(E$1),1))</f>
        <v/>
      </c>
      <c r="BC160" t="str">
        <f>IF($A160="","", INDEX(CS!$B$1:$B$12828,MATCH($A160,CS!$B:$B,0)+COLUMN(F$1),1))</f>
        <v/>
      </c>
      <c r="BD160" t="str">
        <f>IF($A160="","", INDEX(CS!$B$1:$B$12828,MATCH($A160,CS!$B:$B,0)+COLUMN(I$1),1))</f>
        <v/>
      </c>
      <c r="BE160" t="str">
        <f>IF($A160="","", INDEX(CS!$B$1:$B$12828,MATCH($A160,CS!$B:$B,0)+COLUMN(J$1),1))</f>
        <v/>
      </c>
      <c r="BF160" t="str">
        <f>IF($A160="","", INDEX(CS!$B$1:$B$12828,MATCH($A160,CS!$B:$B,0)+COLUMN(K$1),1))</f>
        <v/>
      </c>
      <c r="BG160" t="str">
        <f>IF($A160="","", INDEX(CS!$B$1:$B$12828,MATCH($A160,CS!$B:$B,0)+COLUMN(L$1),1))</f>
        <v/>
      </c>
    </row>
    <row r="161" spans="3:59" x14ac:dyDescent="0.4">
      <c r="C161" t="s">
        <v>194</v>
      </c>
      <c r="D161" t="str">
        <f t="shared" si="9"/>
        <v>0/0/0</v>
      </c>
      <c r="E161">
        <v>1</v>
      </c>
      <c r="AX161" t="str">
        <f>IF($A161="","", INDEX(CS!$B$1:$B$12828,MATCH($A161,CS!$B:$B,0)+COLUMN(A$1),1))</f>
        <v/>
      </c>
      <c r="AY161" t="str">
        <f>IF($A161="","", INDEX(CS!$B$1:$B$12828,MATCH($A161,CS!$B:$B,0)+COLUMN(B$1),1))</f>
        <v/>
      </c>
      <c r="AZ161" t="str">
        <f>IF($A161="","", INDEX(CS!$B$1:$B$12828,MATCH($A161,CS!$B:$B,0)+COLUMN(C$1),1))</f>
        <v/>
      </c>
      <c r="BA161" t="str">
        <f>IF($A161="","", INDEX(CS!$B$1:$B$12828,MATCH($A161,CS!$B:$B,0)+COLUMN(D$1),1))</f>
        <v/>
      </c>
      <c r="BB161" t="str">
        <f>IF($A161="","", INDEX(CS!$B$1:$B$12828,MATCH($A161,CS!$B:$B,0)+COLUMN(E$1),1))</f>
        <v/>
      </c>
      <c r="BC161" t="str">
        <f>IF($A161="","", INDEX(CS!$B$1:$B$12828,MATCH($A161,CS!$B:$B,0)+COLUMN(F$1),1))</f>
        <v/>
      </c>
      <c r="BD161" t="str">
        <f>IF($A161="","", INDEX(CS!$B$1:$B$12828,MATCH($A161,CS!$B:$B,0)+COLUMN(I$1),1))</f>
        <v/>
      </c>
      <c r="BE161" t="str">
        <f>IF($A161="","", INDEX(CS!$B$1:$B$12828,MATCH($A161,CS!$B:$B,0)+COLUMN(J$1),1))</f>
        <v/>
      </c>
      <c r="BF161" t="str">
        <f>IF($A161="","", INDEX(CS!$B$1:$B$12828,MATCH($A161,CS!$B:$B,0)+COLUMN(K$1),1))</f>
        <v/>
      </c>
      <c r="BG161" t="str">
        <f>IF($A161="","", INDEX(CS!$B$1:$B$12828,MATCH($A161,CS!$B:$B,0)+COLUMN(L$1),1))</f>
        <v/>
      </c>
    </row>
    <row r="162" spans="3:59" x14ac:dyDescent="0.4">
      <c r="C162" t="s">
        <v>194</v>
      </c>
      <c r="D162" t="str">
        <f t="shared" si="9"/>
        <v>0/0/0</v>
      </c>
      <c r="E162">
        <v>1</v>
      </c>
      <c r="AX162" t="str">
        <f>IF($A162="","", INDEX(CS!$B$1:$B$12828,MATCH($A162,CS!$B:$B,0)+COLUMN(A$1),1))</f>
        <v/>
      </c>
      <c r="AY162" t="str">
        <f>IF($A162="","", INDEX(CS!$B$1:$B$12828,MATCH($A162,CS!$B:$B,0)+COLUMN(B$1),1))</f>
        <v/>
      </c>
      <c r="AZ162" t="str">
        <f>IF($A162="","", INDEX(CS!$B$1:$B$12828,MATCH($A162,CS!$B:$B,0)+COLUMN(C$1),1))</f>
        <v/>
      </c>
      <c r="BA162" t="str">
        <f>IF($A162="","", INDEX(CS!$B$1:$B$12828,MATCH($A162,CS!$B:$B,0)+COLUMN(D$1),1))</f>
        <v/>
      </c>
      <c r="BB162" t="str">
        <f>IF($A162="","", INDEX(CS!$B$1:$B$12828,MATCH($A162,CS!$B:$B,0)+COLUMN(E$1),1))</f>
        <v/>
      </c>
      <c r="BC162" t="str">
        <f>IF($A162="","", INDEX(CS!$B$1:$B$12828,MATCH($A162,CS!$B:$B,0)+COLUMN(F$1),1))</f>
        <v/>
      </c>
      <c r="BD162" t="str">
        <f>IF($A162="","", INDEX(CS!$B$1:$B$12828,MATCH($A162,CS!$B:$B,0)+COLUMN(I$1),1))</f>
        <v/>
      </c>
      <c r="BE162" t="str">
        <f>IF($A162="","", INDEX(CS!$B$1:$B$12828,MATCH($A162,CS!$B:$B,0)+COLUMN(J$1),1))</f>
        <v/>
      </c>
      <c r="BF162" t="str">
        <f>IF($A162="","", INDEX(CS!$B$1:$B$12828,MATCH($A162,CS!$B:$B,0)+COLUMN(K$1),1))</f>
        <v/>
      </c>
      <c r="BG162" t="str">
        <f>IF($A162="","", INDEX(CS!$B$1:$B$12828,MATCH($A162,CS!$B:$B,0)+COLUMN(L$1),1))</f>
        <v/>
      </c>
    </row>
    <row r="163" spans="3:59" x14ac:dyDescent="0.4">
      <c r="C163" t="s">
        <v>194</v>
      </c>
      <c r="D163" t="str">
        <f t="shared" si="9"/>
        <v>0/0/0</v>
      </c>
      <c r="E163">
        <v>1</v>
      </c>
      <c r="AX163" t="str">
        <f>IF($A163="","", INDEX(CS!$B$1:$B$12828,MATCH($A163,CS!$B:$B,0)+COLUMN(A$1),1))</f>
        <v/>
      </c>
      <c r="AY163" t="str">
        <f>IF($A163="","", INDEX(CS!$B$1:$B$12828,MATCH($A163,CS!$B:$B,0)+COLUMN(B$1),1))</f>
        <v/>
      </c>
      <c r="AZ163" t="str">
        <f>IF($A163="","", INDEX(CS!$B$1:$B$12828,MATCH($A163,CS!$B:$B,0)+COLUMN(C$1),1))</f>
        <v/>
      </c>
      <c r="BA163" t="str">
        <f>IF($A163="","", INDEX(CS!$B$1:$B$12828,MATCH($A163,CS!$B:$B,0)+COLUMN(D$1),1))</f>
        <v/>
      </c>
      <c r="BB163" t="str">
        <f>IF($A163="","", INDEX(CS!$B$1:$B$12828,MATCH($A163,CS!$B:$B,0)+COLUMN(E$1),1))</f>
        <v/>
      </c>
      <c r="BC163" t="str">
        <f>IF($A163="","", INDEX(CS!$B$1:$B$12828,MATCH($A163,CS!$B:$B,0)+COLUMN(F$1),1))</f>
        <v/>
      </c>
      <c r="BD163" t="str">
        <f>IF($A163="","", INDEX(CS!$B$1:$B$12828,MATCH($A163,CS!$B:$B,0)+COLUMN(I$1),1))</f>
        <v/>
      </c>
      <c r="BE163" t="str">
        <f>IF($A163="","", INDEX(CS!$B$1:$B$12828,MATCH($A163,CS!$B:$B,0)+COLUMN(J$1),1))</f>
        <v/>
      </c>
      <c r="BF163" t="str">
        <f>IF($A163="","", INDEX(CS!$B$1:$B$12828,MATCH($A163,CS!$B:$B,0)+COLUMN(K$1),1))</f>
        <v/>
      </c>
      <c r="BG163" t="str">
        <f>IF($A163="","", INDEX(CS!$B$1:$B$12828,MATCH($A163,CS!$B:$B,0)+COLUMN(L$1),1))</f>
        <v/>
      </c>
    </row>
    <row r="164" spans="3:59" x14ac:dyDescent="0.4">
      <c r="C164" t="s">
        <v>194</v>
      </c>
      <c r="D164" t="str">
        <f t="shared" si="9"/>
        <v>0/0/0</v>
      </c>
      <c r="E164">
        <v>1</v>
      </c>
      <c r="AX164" t="str">
        <f>IF($A164="","", INDEX(CS!$B$1:$B$12828,MATCH($A164,CS!$B:$B,0)+COLUMN(A$1),1))</f>
        <v/>
      </c>
      <c r="AY164" t="str">
        <f>IF($A164="","", INDEX(CS!$B$1:$B$12828,MATCH($A164,CS!$B:$B,0)+COLUMN(B$1),1))</f>
        <v/>
      </c>
      <c r="AZ164" t="str">
        <f>IF($A164="","", INDEX(CS!$B$1:$B$12828,MATCH($A164,CS!$B:$B,0)+COLUMN(C$1),1))</f>
        <v/>
      </c>
      <c r="BA164" t="str">
        <f>IF($A164="","", INDEX(CS!$B$1:$B$12828,MATCH($A164,CS!$B:$B,0)+COLUMN(D$1),1))</f>
        <v/>
      </c>
      <c r="BB164" t="str">
        <f>IF($A164="","", INDEX(CS!$B$1:$B$12828,MATCH($A164,CS!$B:$B,0)+COLUMN(E$1),1))</f>
        <v/>
      </c>
      <c r="BC164" t="str">
        <f>IF($A164="","", INDEX(CS!$B$1:$B$12828,MATCH($A164,CS!$B:$B,0)+COLUMN(F$1),1))</f>
        <v/>
      </c>
      <c r="BD164" t="str">
        <f>IF($A164="","", INDEX(CS!$B$1:$B$12828,MATCH($A164,CS!$B:$B,0)+COLUMN(I$1),1))</f>
        <v/>
      </c>
      <c r="BE164" t="str">
        <f>IF($A164="","", INDEX(CS!$B$1:$B$12828,MATCH($A164,CS!$B:$B,0)+COLUMN(J$1),1))</f>
        <v/>
      </c>
      <c r="BF164" t="str">
        <f>IF($A164="","", INDEX(CS!$B$1:$B$12828,MATCH($A164,CS!$B:$B,0)+COLUMN(K$1),1))</f>
        <v/>
      </c>
      <c r="BG164" t="str">
        <f>IF($A164="","", INDEX(CS!$B$1:$B$12828,MATCH($A164,CS!$B:$B,0)+COLUMN(L$1),1))</f>
        <v/>
      </c>
    </row>
    <row r="165" spans="3:59" x14ac:dyDescent="0.4">
      <c r="C165" t="s">
        <v>194</v>
      </c>
      <c r="D165" t="str">
        <f t="shared" si="9"/>
        <v>0/0/0</v>
      </c>
      <c r="E165">
        <v>1</v>
      </c>
      <c r="AX165" t="str">
        <f>IF($A165="","", INDEX(CS!$B$1:$B$12828,MATCH($A165,CS!$B:$B,0)+COLUMN(A$1),1))</f>
        <v/>
      </c>
      <c r="AY165" t="str">
        <f>IF($A165="","", INDEX(CS!$B$1:$B$12828,MATCH($A165,CS!$B:$B,0)+COLUMN(B$1),1))</f>
        <v/>
      </c>
      <c r="AZ165" t="str">
        <f>IF($A165="","", INDEX(CS!$B$1:$B$12828,MATCH($A165,CS!$B:$B,0)+COLUMN(C$1),1))</f>
        <v/>
      </c>
      <c r="BA165" t="str">
        <f>IF($A165="","", INDEX(CS!$B$1:$B$12828,MATCH($A165,CS!$B:$B,0)+COLUMN(D$1),1))</f>
        <v/>
      </c>
      <c r="BB165" t="str">
        <f>IF($A165="","", INDEX(CS!$B$1:$B$12828,MATCH($A165,CS!$B:$B,0)+COLUMN(E$1),1))</f>
        <v/>
      </c>
      <c r="BC165" t="str">
        <f>IF($A165="","", INDEX(CS!$B$1:$B$12828,MATCH($A165,CS!$B:$B,0)+COLUMN(F$1),1))</f>
        <v/>
      </c>
      <c r="BD165" t="str">
        <f>IF($A165="","", INDEX(CS!$B$1:$B$12828,MATCH($A165,CS!$B:$B,0)+COLUMN(I$1),1))</f>
        <v/>
      </c>
      <c r="BE165" t="str">
        <f>IF($A165="","", INDEX(CS!$B$1:$B$12828,MATCH($A165,CS!$B:$B,0)+COLUMN(J$1),1))</f>
        <v/>
      </c>
      <c r="BF165" t="str">
        <f>IF($A165="","", INDEX(CS!$B$1:$B$12828,MATCH($A165,CS!$B:$B,0)+COLUMN(K$1),1))</f>
        <v/>
      </c>
      <c r="BG165" t="str">
        <f>IF($A165="","", INDEX(CS!$B$1:$B$12828,MATCH($A165,CS!$B:$B,0)+COLUMN(L$1),1))</f>
        <v/>
      </c>
    </row>
    <row r="166" spans="3:59" x14ac:dyDescent="0.4">
      <c r="C166" t="s">
        <v>194</v>
      </c>
      <c r="D166" t="str">
        <f t="shared" si="9"/>
        <v>0/0/0</v>
      </c>
      <c r="E166">
        <v>1</v>
      </c>
      <c r="AX166" t="str">
        <f>IF($A166="","", INDEX(CS!$B$1:$B$12828,MATCH($A166,CS!$B:$B,0)+COLUMN(A$1),1))</f>
        <v/>
      </c>
      <c r="AY166" t="str">
        <f>IF($A166="","", INDEX(CS!$B$1:$B$12828,MATCH($A166,CS!$B:$B,0)+COLUMN(B$1),1))</f>
        <v/>
      </c>
      <c r="AZ166" t="str">
        <f>IF($A166="","", INDEX(CS!$B$1:$B$12828,MATCH($A166,CS!$B:$B,0)+COLUMN(C$1),1))</f>
        <v/>
      </c>
      <c r="BA166" t="str">
        <f>IF($A166="","", INDEX(CS!$B$1:$B$12828,MATCH($A166,CS!$B:$B,0)+COLUMN(D$1),1))</f>
        <v/>
      </c>
      <c r="BB166" t="str">
        <f>IF($A166="","", INDEX(CS!$B$1:$B$12828,MATCH($A166,CS!$B:$B,0)+COLUMN(E$1),1))</f>
        <v/>
      </c>
      <c r="BC166" t="str">
        <f>IF($A166="","", INDEX(CS!$B$1:$B$12828,MATCH($A166,CS!$B:$B,0)+COLUMN(F$1),1))</f>
        <v/>
      </c>
      <c r="BD166" t="str">
        <f>IF($A166="","", INDEX(CS!$B$1:$B$12828,MATCH($A166,CS!$B:$B,0)+COLUMN(I$1),1))</f>
        <v/>
      </c>
      <c r="BE166" t="str">
        <f>IF($A166="","", INDEX(CS!$B$1:$B$12828,MATCH($A166,CS!$B:$B,0)+COLUMN(J$1),1))</f>
        <v/>
      </c>
      <c r="BF166" t="str">
        <f>IF($A166="","", INDEX(CS!$B$1:$B$12828,MATCH($A166,CS!$B:$B,0)+COLUMN(K$1),1))</f>
        <v/>
      </c>
      <c r="BG166" t="str">
        <f>IF($A166="","", INDEX(CS!$B$1:$B$12828,MATCH($A166,CS!$B:$B,0)+COLUMN(L$1),1))</f>
        <v/>
      </c>
    </row>
    <row r="167" spans="3:59" x14ac:dyDescent="0.4">
      <c r="C167" t="s">
        <v>194</v>
      </c>
      <c r="D167" t="str">
        <f t="shared" si="9"/>
        <v>0/0/0</v>
      </c>
      <c r="E167">
        <v>1</v>
      </c>
      <c r="AX167" t="str">
        <f>IF($A167="","", INDEX(CS!$B$1:$B$12828,MATCH($A167,CS!$B:$B,0)+COLUMN(A$1),1))</f>
        <v/>
      </c>
      <c r="AY167" t="str">
        <f>IF($A167="","", INDEX(CS!$B$1:$B$12828,MATCH($A167,CS!$B:$B,0)+COLUMN(B$1),1))</f>
        <v/>
      </c>
      <c r="AZ167" t="str">
        <f>IF($A167="","", INDEX(CS!$B$1:$B$12828,MATCH($A167,CS!$B:$B,0)+COLUMN(C$1),1))</f>
        <v/>
      </c>
      <c r="BA167" t="str">
        <f>IF($A167="","", INDEX(CS!$B$1:$B$12828,MATCH($A167,CS!$B:$B,0)+COLUMN(D$1),1))</f>
        <v/>
      </c>
      <c r="BB167" t="str">
        <f>IF($A167="","", INDEX(CS!$B$1:$B$12828,MATCH($A167,CS!$B:$B,0)+COLUMN(E$1),1))</f>
        <v/>
      </c>
      <c r="BC167" t="str">
        <f>IF($A167="","", INDEX(CS!$B$1:$B$12828,MATCH($A167,CS!$B:$B,0)+COLUMN(F$1),1))</f>
        <v/>
      </c>
      <c r="BD167" t="str">
        <f>IF($A167="","", INDEX(CS!$B$1:$B$12828,MATCH($A167,CS!$B:$B,0)+COLUMN(I$1),1))</f>
        <v/>
      </c>
      <c r="BE167" t="str">
        <f>IF($A167="","", INDEX(CS!$B$1:$B$12828,MATCH($A167,CS!$B:$B,0)+COLUMN(J$1),1))</f>
        <v/>
      </c>
      <c r="BF167" t="str">
        <f>IF($A167="","", INDEX(CS!$B$1:$B$12828,MATCH($A167,CS!$B:$B,0)+COLUMN(K$1),1))</f>
        <v/>
      </c>
      <c r="BG167" t="str">
        <f>IF($A167="","", INDEX(CS!$B$1:$B$12828,MATCH($A167,CS!$B:$B,0)+COLUMN(L$1),1))</f>
        <v/>
      </c>
    </row>
    <row r="168" spans="3:59" x14ac:dyDescent="0.4">
      <c r="C168" t="s">
        <v>194</v>
      </c>
      <c r="D168" t="str">
        <f t="shared" si="9"/>
        <v>0/0/0</v>
      </c>
      <c r="E168">
        <v>1</v>
      </c>
      <c r="AX168" t="str">
        <f>IF($A168="","", INDEX(CS!$B$1:$B$12828,MATCH($A168,CS!$B:$B,0)+COLUMN(A$1),1))</f>
        <v/>
      </c>
      <c r="AY168" t="str">
        <f>IF($A168="","", INDEX(CS!$B$1:$B$12828,MATCH($A168,CS!$B:$B,0)+COLUMN(B$1),1))</f>
        <v/>
      </c>
      <c r="AZ168" t="str">
        <f>IF($A168="","", INDEX(CS!$B$1:$B$12828,MATCH($A168,CS!$B:$B,0)+COLUMN(C$1),1))</f>
        <v/>
      </c>
      <c r="BA168" t="str">
        <f>IF($A168="","", INDEX(CS!$B$1:$B$12828,MATCH($A168,CS!$B:$B,0)+COLUMN(D$1),1))</f>
        <v/>
      </c>
      <c r="BB168" t="str">
        <f>IF($A168="","", INDEX(CS!$B$1:$B$12828,MATCH($A168,CS!$B:$B,0)+COLUMN(E$1),1))</f>
        <v/>
      </c>
      <c r="BC168" t="str">
        <f>IF($A168="","", INDEX(CS!$B$1:$B$12828,MATCH($A168,CS!$B:$B,0)+COLUMN(F$1),1))</f>
        <v/>
      </c>
      <c r="BD168" t="str">
        <f>IF($A168="","", INDEX(CS!$B$1:$B$12828,MATCH($A168,CS!$B:$B,0)+COLUMN(I$1),1))</f>
        <v/>
      </c>
      <c r="BE168" t="str">
        <f>IF($A168="","", INDEX(CS!$B$1:$B$12828,MATCH($A168,CS!$B:$B,0)+COLUMN(J$1),1))</f>
        <v/>
      </c>
      <c r="BF168" t="str">
        <f>IF($A168="","", INDEX(CS!$B$1:$B$12828,MATCH($A168,CS!$B:$B,0)+COLUMN(K$1),1))</f>
        <v/>
      </c>
      <c r="BG168" t="str">
        <f>IF($A168="","", INDEX(CS!$B$1:$B$12828,MATCH($A168,CS!$B:$B,0)+COLUMN(L$1),1))</f>
        <v/>
      </c>
    </row>
    <row r="169" spans="3:59" x14ac:dyDescent="0.4">
      <c r="C169" t="s">
        <v>194</v>
      </c>
      <c r="D169" t="str">
        <f t="shared" si="9"/>
        <v>0/0/0</v>
      </c>
      <c r="E169">
        <v>1</v>
      </c>
      <c r="AX169" t="str">
        <f>IF($A169="","", INDEX(CS!$B$1:$B$12828,MATCH($A169,CS!$B:$B,0)+COLUMN(A$1),1))</f>
        <v/>
      </c>
      <c r="AY169" t="str">
        <f>IF($A169="","", INDEX(CS!$B$1:$B$12828,MATCH($A169,CS!$B:$B,0)+COLUMN(B$1),1))</f>
        <v/>
      </c>
      <c r="AZ169" t="str">
        <f>IF($A169="","", INDEX(CS!$B$1:$B$12828,MATCH($A169,CS!$B:$B,0)+COLUMN(C$1),1))</f>
        <v/>
      </c>
      <c r="BA169" t="str">
        <f>IF($A169="","", INDEX(CS!$B$1:$B$12828,MATCH($A169,CS!$B:$B,0)+COLUMN(D$1),1))</f>
        <v/>
      </c>
      <c r="BB169" t="str">
        <f>IF($A169="","", INDEX(CS!$B$1:$B$12828,MATCH($A169,CS!$B:$B,0)+COLUMN(E$1),1))</f>
        <v/>
      </c>
      <c r="BC169" t="str">
        <f>IF($A169="","", INDEX(CS!$B$1:$B$12828,MATCH($A169,CS!$B:$B,0)+COLUMN(F$1),1))</f>
        <v/>
      </c>
      <c r="BD169" t="str">
        <f>IF($A169="","", INDEX(CS!$B$1:$B$12828,MATCH($A169,CS!$B:$B,0)+COLUMN(I$1),1))</f>
        <v/>
      </c>
      <c r="BE169" t="str">
        <f>IF($A169="","", INDEX(CS!$B$1:$B$12828,MATCH($A169,CS!$B:$B,0)+COLUMN(J$1),1))</f>
        <v/>
      </c>
      <c r="BF169" t="str">
        <f>IF($A169="","", INDEX(CS!$B$1:$B$12828,MATCH($A169,CS!$B:$B,0)+COLUMN(K$1),1))</f>
        <v/>
      </c>
      <c r="BG169" t="str">
        <f>IF($A169="","", INDEX(CS!$B$1:$B$12828,MATCH($A169,CS!$B:$B,0)+COLUMN(L$1),1))</f>
        <v/>
      </c>
    </row>
    <row r="170" spans="3:59" x14ac:dyDescent="0.4">
      <c r="C170" t="s">
        <v>194</v>
      </c>
      <c r="D170" t="str">
        <f t="shared" si="9"/>
        <v>0/0/0</v>
      </c>
      <c r="E170">
        <v>1</v>
      </c>
      <c r="AX170" t="str">
        <f>IF($A170="","", INDEX(CS!$B$1:$B$12828,MATCH($A170,CS!$B:$B,0)+COLUMN(A$1),1))</f>
        <v/>
      </c>
      <c r="AY170" t="str">
        <f>IF($A170="","", INDEX(CS!$B$1:$B$12828,MATCH($A170,CS!$B:$B,0)+COLUMN(B$1),1))</f>
        <v/>
      </c>
      <c r="AZ170" t="str">
        <f>IF($A170="","", INDEX(CS!$B$1:$B$12828,MATCH($A170,CS!$B:$B,0)+COLUMN(C$1),1))</f>
        <v/>
      </c>
      <c r="BA170" t="str">
        <f>IF($A170="","", INDEX(CS!$B$1:$B$12828,MATCH($A170,CS!$B:$B,0)+COLUMN(D$1),1))</f>
        <v/>
      </c>
      <c r="BB170" t="str">
        <f>IF($A170="","", INDEX(CS!$B$1:$B$12828,MATCH($A170,CS!$B:$B,0)+COLUMN(E$1),1))</f>
        <v/>
      </c>
      <c r="BC170" t="str">
        <f>IF($A170="","", INDEX(CS!$B$1:$B$12828,MATCH($A170,CS!$B:$B,0)+COLUMN(F$1),1))</f>
        <v/>
      </c>
      <c r="BD170" t="str">
        <f>IF($A170="","", INDEX(CS!$B$1:$B$12828,MATCH($A170,CS!$B:$B,0)+COLUMN(I$1),1))</f>
        <v/>
      </c>
      <c r="BE170" t="str">
        <f>IF($A170="","", INDEX(CS!$B$1:$B$12828,MATCH($A170,CS!$B:$B,0)+COLUMN(J$1),1))</f>
        <v/>
      </c>
      <c r="BF170" t="str">
        <f>IF($A170="","", INDEX(CS!$B$1:$B$12828,MATCH($A170,CS!$B:$B,0)+COLUMN(K$1),1))</f>
        <v/>
      </c>
      <c r="BG170" t="str">
        <f>IF($A170="","", INDEX(CS!$B$1:$B$12828,MATCH($A170,CS!$B:$B,0)+COLUMN(L$1),1))</f>
        <v/>
      </c>
    </row>
    <row r="171" spans="3:59" x14ac:dyDescent="0.4">
      <c r="C171" t="s">
        <v>194</v>
      </c>
      <c r="D171" t="str">
        <f t="shared" si="9"/>
        <v>0/0/0</v>
      </c>
      <c r="E171">
        <v>1</v>
      </c>
      <c r="AX171" t="str">
        <f>IF($A171="","", INDEX(CS!$B$1:$B$12828,MATCH($A171,CS!$B:$B,0)+COLUMN(A$1),1))</f>
        <v/>
      </c>
      <c r="AY171" t="str">
        <f>IF($A171="","", INDEX(CS!$B$1:$B$12828,MATCH($A171,CS!$B:$B,0)+COLUMN(B$1),1))</f>
        <v/>
      </c>
      <c r="AZ171" t="str">
        <f>IF($A171="","", INDEX(CS!$B$1:$B$12828,MATCH($A171,CS!$B:$B,0)+COLUMN(C$1),1))</f>
        <v/>
      </c>
      <c r="BA171" t="str">
        <f>IF($A171="","", INDEX(CS!$B$1:$B$12828,MATCH($A171,CS!$B:$B,0)+COLUMN(D$1),1))</f>
        <v/>
      </c>
      <c r="BB171" t="str">
        <f>IF($A171="","", INDEX(CS!$B$1:$B$12828,MATCH($A171,CS!$B:$B,0)+COLUMN(E$1),1))</f>
        <v/>
      </c>
      <c r="BC171" t="str">
        <f>IF($A171="","", INDEX(CS!$B$1:$B$12828,MATCH($A171,CS!$B:$B,0)+COLUMN(F$1),1))</f>
        <v/>
      </c>
      <c r="BD171" t="str">
        <f>IF($A171="","", INDEX(CS!$B$1:$B$12828,MATCH($A171,CS!$B:$B,0)+COLUMN(I$1),1))</f>
        <v/>
      </c>
      <c r="BE171" t="str">
        <f>IF($A171="","", INDEX(CS!$B$1:$B$12828,MATCH($A171,CS!$B:$B,0)+COLUMN(J$1),1))</f>
        <v/>
      </c>
      <c r="BF171" t="str">
        <f>IF($A171="","", INDEX(CS!$B$1:$B$12828,MATCH($A171,CS!$B:$B,0)+COLUMN(K$1),1))</f>
        <v/>
      </c>
      <c r="BG171" t="str">
        <f>IF($A171="","", INDEX(CS!$B$1:$B$12828,MATCH($A171,CS!$B:$B,0)+COLUMN(L$1),1))</f>
        <v/>
      </c>
    </row>
    <row r="172" spans="3:59" x14ac:dyDescent="0.4">
      <c r="C172" t="s">
        <v>194</v>
      </c>
      <c r="D172" t="str">
        <f t="shared" si="9"/>
        <v>0/0/0</v>
      </c>
      <c r="E172">
        <v>1</v>
      </c>
      <c r="AX172" t="str">
        <f>IF($A172="","", INDEX(CS!$B$1:$B$12828,MATCH($A172,CS!$B:$B,0)+COLUMN(A$1),1))</f>
        <v/>
      </c>
      <c r="AY172" t="str">
        <f>IF($A172="","", INDEX(CS!$B$1:$B$12828,MATCH($A172,CS!$B:$B,0)+COLUMN(B$1),1))</f>
        <v/>
      </c>
      <c r="AZ172" t="str">
        <f>IF($A172="","", INDEX(CS!$B$1:$B$12828,MATCH($A172,CS!$B:$B,0)+COLUMN(C$1),1))</f>
        <v/>
      </c>
      <c r="BA172" t="str">
        <f>IF($A172="","", INDEX(CS!$B$1:$B$12828,MATCH($A172,CS!$B:$B,0)+COLUMN(D$1),1))</f>
        <v/>
      </c>
      <c r="BB172" t="str">
        <f>IF($A172="","", INDEX(CS!$B$1:$B$12828,MATCH($A172,CS!$B:$B,0)+COLUMN(E$1),1))</f>
        <v/>
      </c>
      <c r="BC172" t="str">
        <f>IF($A172="","", INDEX(CS!$B$1:$B$12828,MATCH($A172,CS!$B:$B,0)+COLUMN(F$1),1))</f>
        <v/>
      </c>
      <c r="BD172" t="str">
        <f>IF($A172="","", INDEX(CS!$B$1:$B$12828,MATCH($A172,CS!$B:$B,0)+COLUMN(I$1),1))</f>
        <v/>
      </c>
      <c r="BE172" t="str">
        <f>IF($A172="","", INDEX(CS!$B$1:$B$12828,MATCH($A172,CS!$B:$B,0)+COLUMN(J$1),1))</f>
        <v/>
      </c>
      <c r="BF172" t="str">
        <f>IF($A172="","", INDEX(CS!$B$1:$B$12828,MATCH($A172,CS!$B:$B,0)+COLUMN(K$1),1))</f>
        <v/>
      </c>
      <c r="BG172" t="str">
        <f>IF($A172="","", INDEX(CS!$B$1:$B$12828,MATCH($A172,CS!$B:$B,0)+COLUMN(L$1),1))</f>
        <v/>
      </c>
    </row>
    <row r="173" spans="3:59" x14ac:dyDescent="0.4">
      <c r="C173" t="s">
        <v>194</v>
      </c>
      <c r="D173" t="str">
        <f t="shared" si="9"/>
        <v>0/0/0</v>
      </c>
      <c r="E173">
        <v>1</v>
      </c>
      <c r="AX173" t="str">
        <f>IF($A173="","", INDEX(CS!$B$1:$B$12828,MATCH($A173,CS!$B:$B,0)+COLUMN(A$1),1))</f>
        <v/>
      </c>
      <c r="AY173" t="str">
        <f>IF($A173="","", INDEX(CS!$B$1:$B$12828,MATCH($A173,CS!$B:$B,0)+COLUMN(B$1),1))</f>
        <v/>
      </c>
      <c r="AZ173" t="str">
        <f>IF($A173="","", INDEX(CS!$B$1:$B$12828,MATCH($A173,CS!$B:$B,0)+COLUMN(C$1),1))</f>
        <v/>
      </c>
      <c r="BA173" t="str">
        <f>IF($A173="","", INDEX(CS!$B$1:$B$12828,MATCH($A173,CS!$B:$B,0)+COLUMN(D$1),1))</f>
        <v/>
      </c>
      <c r="BB173" t="str">
        <f>IF($A173="","", INDEX(CS!$B$1:$B$12828,MATCH($A173,CS!$B:$B,0)+COLUMN(E$1),1))</f>
        <v/>
      </c>
      <c r="BC173" t="str">
        <f>IF($A173="","", INDEX(CS!$B$1:$B$12828,MATCH($A173,CS!$B:$B,0)+COLUMN(F$1),1))</f>
        <v/>
      </c>
      <c r="BD173" t="str">
        <f>IF($A173="","", INDEX(CS!$B$1:$B$12828,MATCH($A173,CS!$B:$B,0)+COLUMN(I$1),1))</f>
        <v/>
      </c>
      <c r="BE173" t="str">
        <f>IF($A173="","", INDEX(CS!$B$1:$B$12828,MATCH($A173,CS!$B:$B,0)+COLUMN(J$1),1))</f>
        <v/>
      </c>
      <c r="BF173" t="str">
        <f>IF($A173="","", INDEX(CS!$B$1:$B$12828,MATCH($A173,CS!$B:$B,0)+COLUMN(K$1),1))</f>
        <v/>
      </c>
      <c r="BG173" t="str">
        <f>IF($A173="","", INDEX(CS!$B$1:$B$12828,MATCH($A173,CS!$B:$B,0)+COLUMN(L$1),1))</f>
        <v/>
      </c>
    </row>
    <row r="174" spans="3:59" x14ac:dyDescent="0.4">
      <c r="C174" t="s">
        <v>194</v>
      </c>
      <c r="D174" t="str">
        <f t="shared" si="9"/>
        <v>0/0/0</v>
      </c>
      <c r="E174">
        <v>1</v>
      </c>
      <c r="AX174" t="str">
        <f>IF($A174="","", INDEX(CS!$B$1:$B$12828,MATCH($A174,CS!$B:$B,0)+COLUMN(A$1),1))</f>
        <v/>
      </c>
      <c r="AY174" t="str">
        <f>IF($A174="","", INDEX(CS!$B$1:$B$12828,MATCH($A174,CS!$B:$B,0)+COLUMN(B$1),1))</f>
        <v/>
      </c>
      <c r="AZ174" t="str">
        <f>IF($A174="","", INDEX(CS!$B$1:$B$12828,MATCH($A174,CS!$B:$B,0)+COLUMN(C$1),1))</f>
        <v/>
      </c>
      <c r="BA174" t="str">
        <f>IF($A174="","", INDEX(CS!$B$1:$B$12828,MATCH($A174,CS!$B:$B,0)+COLUMN(D$1),1))</f>
        <v/>
      </c>
      <c r="BB174" t="str">
        <f>IF($A174="","", INDEX(CS!$B$1:$B$12828,MATCH($A174,CS!$B:$B,0)+COLUMN(E$1),1))</f>
        <v/>
      </c>
      <c r="BC174" t="str">
        <f>IF($A174="","", INDEX(CS!$B$1:$B$12828,MATCH($A174,CS!$B:$B,0)+COLUMN(F$1),1))</f>
        <v/>
      </c>
      <c r="BD174" t="str">
        <f>IF($A174="","", INDEX(CS!$B$1:$B$12828,MATCH($A174,CS!$B:$B,0)+COLUMN(I$1),1))</f>
        <v/>
      </c>
      <c r="BE174" t="str">
        <f>IF($A174="","", INDEX(CS!$B$1:$B$12828,MATCH($A174,CS!$B:$B,0)+COLUMN(J$1),1))</f>
        <v/>
      </c>
      <c r="BF174" t="str">
        <f>IF($A174="","", INDEX(CS!$B$1:$B$12828,MATCH($A174,CS!$B:$B,0)+COLUMN(K$1),1))</f>
        <v/>
      </c>
      <c r="BG174" t="str">
        <f>IF($A174="","", INDEX(CS!$B$1:$B$12828,MATCH($A174,CS!$B:$B,0)+COLUMN(L$1),1))</f>
        <v/>
      </c>
    </row>
    <row r="175" spans="3:59" x14ac:dyDescent="0.4">
      <c r="C175" t="s">
        <v>194</v>
      </c>
      <c r="D175" t="str">
        <f t="shared" si="9"/>
        <v>0/0/0</v>
      </c>
      <c r="E175">
        <v>1</v>
      </c>
      <c r="AX175" t="str">
        <f>IF($A175="","", INDEX(CS!$B$1:$B$12828,MATCH($A175,CS!$B:$B,0)+COLUMN(A$1),1))</f>
        <v/>
      </c>
      <c r="AY175" t="str">
        <f>IF($A175="","", INDEX(CS!$B$1:$B$12828,MATCH($A175,CS!$B:$B,0)+COLUMN(B$1),1))</f>
        <v/>
      </c>
      <c r="AZ175" t="str">
        <f>IF($A175="","", INDEX(CS!$B$1:$B$12828,MATCH($A175,CS!$B:$B,0)+COLUMN(C$1),1))</f>
        <v/>
      </c>
      <c r="BA175" t="str">
        <f>IF($A175="","", INDEX(CS!$B$1:$B$12828,MATCH($A175,CS!$B:$B,0)+COLUMN(D$1),1))</f>
        <v/>
      </c>
      <c r="BB175" t="str">
        <f>IF($A175="","", INDEX(CS!$B$1:$B$12828,MATCH($A175,CS!$B:$B,0)+COLUMN(E$1),1))</f>
        <v/>
      </c>
      <c r="BC175" t="str">
        <f>IF($A175="","", INDEX(CS!$B$1:$B$12828,MATCH($A175,CS!$B:$B,0)+COLUMN(F$1),1))</f>
        <v/>
      </c>
      <c r="BD175" t="str">
        <f>IF($A175="","", INDEX(CS!$B$1:$B$12828,MATCH($A175,CS!$B:$B,0)+COLUMN(I$1),1))</f>
        <v/>
      </c>
      <c r="BE175" t="str">
        <f>IF($A175="","", INDEX(CS!$B$1:$B$12828,MATCH($A175,CS!$B:$B,0)+COLUMN(J$1),1))</f>
        <v/>
      </c>
      <c r="BF175" t="str">
        <f>IF($A175="","", INDEX(CS!$B$1:$B$12828,MATCH($A175,CS!$B:$B,0)+COLUMN(K$1),1))</f>
        <v/>
      </c>
      <c r="BG175" t="str">
        <f>IF($A175="","", INDEX(CS!$B$1:$B$12828,MATCH($A175,CS!$B:$B,0)+COLUMN(L$1),1))</f>
        <v/>
      </c>
    </row>
    <row r="176" spans="3:59" x14ac:dyDescent="0.4">
      <c r="C176" t="s">
        <v>194</v>
      </c>
      <c r="D176" t="str">
        <f t="shared" si="9"/>
        <v>0/0/0</v>
      </c>
      <c r="E176">
        <v>1</v>
      </c>
      <c r="AX176" t="str">
        <f>IF($A176="","", INDEX(CS!$B$1:$B$12828,MATCH($A176,CS!$B:$B,0)+COLUMN(A$1),1))</f>
        <v/>
      </c>
      <c r="AY176" t="str">
        <f>IF($A176="","", INDEX(CS!$B$1:$B$12828,MATCH($A176,CS!$B:$B,0)+COLUMN(B$1),1))</f>
        <v/>
      </c>
      <c r="AZ176" t="str">
        <f>IF($A176="","", INDEX(CS!$B$1:$B$12828,MATCH($A176,CS!$B:$B,0)+COLUMN(C$1),1))</f>
        <v/>
      </c>
      <c r="BA176" t="str">
        <f>IF($A176="","", INDEX(CS!$B$1:$B$12828,MATCH($A176,CS!$B:$B,0)+COLUMN(D$1),1))</f>
        <v/>
      </c>
      <c r="BB176" t="str">
        <f>IF($A176="","", INDEX(CS!$B$1:$B$12828,MATCH($A176,CS!$B:$B,0)+COLUMN(E$1),1))</f>
        <v/>
      </c>
      <c r="BC176" t="str">
        <f>IF($A176="","", INDEX(CS!$B$1:$B$12828,MATCH($A176,CS!$B:$B,0)+COLUMN(F$1),1))</f>
        <v/>
      </c>
      <c r="BD176" t="str">
        <f>IF($A176="","", INDEX(CS!$B$1:$B$12828,MATCH($A176,CS!$B:$B,0)+COLUMN(I$1),1))</f>
        <v/>
      </c>
      <c r="BE176" t="str">
        <f>IF($A176="","", INDEX(CS!$B$1:$B$12828,MATCH($A176,CS!$B:$B,0)+COLUMN(J$1),1))</f>
        <v/>
      </c>
      <c r="BF176" t="str">
        <f>IF($A176="","", INDEX(CS!$B$1:$B$12828,MATCH($A176,CS!$B:$B,0)+COLUMN(K$1),1))</f>
        <v/>
      </c>
      <c r="BG176" t="str">
        <f>IF($A176="","", INDEX(CS!$B$1:$B$12828,MATCH($A176,CS!$B:$B,0)+COLUMN(L$1),1))</f>
        <v/>
      </c>
    </row>
    <row r="177" spans="3:59" x14ac:dyDescent="0.4">
      <c r="C177" t="s">
        <v>194</v>
      </c>
      <c r="D177" t="str">
        <f t="shared" si="9"/>
        <v>0/0/0</v>
      </c>
      <c r="E177">
        <v>1</v>
      </c>
      <c r="AX177" t="str">
        <f>IF($A177="","", INDEX(CS!$B$1:$B$12828,MATCH($A177,CS!$B:$B,0)+COLUMN(A$1),1))</f>
        <v/>
      </c>
      <c r="AY177" t="str">
        <f>IF($A177="","", INDEX(CS!$B$1:$B$12828,MATCH($A177,CS!$B:$B,0)+COLUMN(B$1),1))</f>
        <v/>
      </c>
      <c r="AZ177" t="str">
        <f>IF($A177="","", INDEX(CS!$B$1:$B$12828,MATCH($A177,CS!$B:$B,0)+COLUMN(C$1),1))</f>
        <v/>
      </c>
      <c r="BA177" t="str">
        <f>IF($A177="","", INDEX(CS!$B$1:$B$12828,MATCH($A177,CS!$B:$B,0)+COLUMN(D$1),1))</f>
        <v/>
      </c>
      <c r="BB177" t="str">
        <f>IF($A177="","", INDEX(CS!$B$1:$B$12828,MATCH($A177,CS!$B:$B,0)+COLUMN(E$1),1))</f>
        <v/>
      </c>
      <c r="BC177" t="str">
        <f>IF($A177="","", INDEX(CS!$B$1:$B$12828,MATCH($A177,CS!$B:$B,0)+COLUMN(F$1),1))</f>
        <v/>
      </c>
      <c r="BD177" t="str">
        <f>IF($A177="","", INDEX(CS!$B$1:$B$12828,MATCH($A177,CS!$B:$B,0)+COLUMN(I$1),1))</f>
        <v/>
      </c>
      <c r="BE177" t="str">
        <f>IF($A177="","", INDEX(CS!$B$1:$B$12828,MATCH($A177,CS!$B:$B,0)+COLUMN(J$1),1))</f>
        <v/>
      </c>
      <c r="BF177" t="str">
        <f>IF($A177="","", INDEX(CS!$B$1:$B$12828,MATCH($A177,CS!$B:$B,0)+COLUMN(K$1),1))</f>
        <v/>
      </c>
      <c r="BG177" t="str">
        <f>IF($A177="","", INDEX(CS!$B$1:$B$12828,MATCH($A177,CS!$B:$B,0)+COLUMN(L$1),1))</f>
        <v/>
      </c>
    </row>
    <row r="178" spans="3:59" x14ac:dyDescent="0.4">
      <c r="C178" t="s">
        <v>194</v>
      </c>
      <c r="D178" t="str">
        <f t="shared" si="9"/>
        <v>0/0/0</v>
      </c>
      <c r="E178">
        <v>1</v>
      </c>
      <c r="AX178" t="str">
        <f>IF($A178="","", INDEX(CS!$B$1:$B$12828,MATCH($A178,CS!$B:$B,0)+COLUMN(A$1),1))</f>
        <v/>
      </c>
      <c r="AY178" t="str">
        <f>IF($A178="","", INDEX(CS!$B$1:$B$12828,MATCH($A178,CS!$B:$B,0)+COLUMN(B$1),1))</f>
        <v/>
      </c>
      <c r="AZ178" t="str">
        <f>IF($A178="","", INDEX(CS!$B$1:$B$12828,MATCH($A178,CS!$B:$B,0)+COLUMN(C$1),1))</f>
        <v/>
      </c>
      <c r="BA178" t="str">
        <f>IF($A178="","", INDEX(CS!$B$1:$B$12828,MATCH($A178,CS!$B:$B,0)+COLUMN(D$1),1))</f>
        <v/>
      </c>
      <c r="BB178" t="str">
        <f>IF($A178="","", INDEX(CS!$B$1:$B$12828,MATCH($A178,CS!$B:$B,0)+COLUMN(E$1),1))</f>
        <v/>
      </c>
      <c r="BC178" t="str">
        <f>IF($A178="","", INDEX(CS!$B$1:$B$12828,MATCH($A178,CS!$B:$B,0)+COLUMN(F$1),1))</f>
        <v/>
      </c>
      <c r="BD178" t="str">
        <f>IF($A178="","", INDEX(CS!$B$1:$B$12828,MATCH($A178,CS!$B:$B,0)+COLUMN(I$1),1))</f>
        <v/>
      </c>
      <c r="BE178" t="str">
        <f>IF($A178="","", INDEX(CS!$B$1:$B$12828,MATCH($A178,CS!$B:$B,0)+COLUMN(J$1),1))</f>
        <v/>
      </c>
      <c r="BF178" t="str">
        <f>IF($A178="","", INDEX(CS!$B$1:$B$12828,MATCH($A178,CS!$B:$B,0)+COLUMN(K$1),1))</f>
        <v/>
      </c>
      <c r="BG178" t="str">
        <f>IF($A178="","", INDEX(CS!$B$1:$B$12828,MATCH($A178,CS!$B:$B,0)+COLUMN(L$1),1))</f>
        <v/>
      </c>
    </row>
    <row r="179" spans="3:59" x14ac:dyDescent="0.4">
      <c r="C179" t="s">
        <v>194</v>
      </c>
      <c r="D179" t="str">
        <f t="shared" si="9"/>
        <v>0/0/0</v>
      </c>
      <c r="E179">
        <v>1</v>
      </c>
      <c r="AX179" t="str">
        <f>IF($A179="","", INDEX(CS!$B$1:$B$12828,MATCH($A179,CS!$B:$B,0)+COLUMN(A$1),1))</f>
        <v/>
      </c>
      <c r="AY179" t="str">
        <f>IF($A179="","", INDEX(CS!$B$1:$B$12828,MATCH($A179,CS!$B:$B,0)+COLUMN(B$1),1))</f>
        <v/>
      </c>
      <c r="AZ179" t="str">
        <f>IF($A179="","", INDEX(CS!$B$1:$B$12828,MATCH($A179,CS!$B:$B,0)+COLUMN(C$1),1))</f>
        <v/>
      </c>
      <c r="BA179" t="str">
        <f>IF($A179="","", INDEX(CS!$B$1:$B$12828,MATCH($A179,CS!$B:$B,0)+COLUMN(D$1),1))</f>
        <v/>
      </c>
      <c r="BB179" t="str">
        <f>IF($A179="","", INDEX(CS!$B$1:$B$12828,MATCH($A179,CS!$B:$B,0)+COLUMN(E$1),1))</f>
        <v/>
      </c>
      <c r="BC179" t="str">
        <f>IF($A179="","", INDEX(CS!$B$1:$B$12828,MATCH($A179,CS!$B:$B,0)+COLUMN(F$1),1))</f>
        <v/>
      </c>
      <c r="BD179" t="str">
        <f>IF($A179="","", INDEX(CS!$B$1:$B$12828,MATCH($A179,CS!$B:$B,0)+COLUMN(I$1),1))</f>
        <v/>
      </c>
      <c r="BE179" t="str">
        <f>IF($A179="","", INDEX(CS!$B$1:$B$12828,MATCH($A179,CS!$B:$B,0)+COLUMN(J$1),1))</f>
        <v/>
      </c>
      <c r="BF179" t="str">
        <f>IF($A179="","", INDEX(CS!$B$1:$B$12828,MATCH($A179,CS!$B:$B,0)+COLUMN(K$1),1))</f>
        <v/>
      </c>
      <c r="BG179" t="str">
        <f>IF($A179="","", INDEX(CS!$B$1:$B$12828,MATCH($A179,CS!$B:$B,0)+COLUMN(L$1),1))</f>
        <v/>
      </c>
    </row>
    <row r="180" spans="3:59" x14ac:dyDescent="0.4">
      <c r="C180" t="s">
        <v>194</v>
      </c>
      <c r="D180" t="str">
        <f t="shared" si="9"/>
        <v>0/0/0</v>
      </c>
      <c r="E180">
        <v>1</v>
      </c>
      <c r="AX180" t="str">
        <f>IF($A180="","", INDEX(CS!$B$1:$B$12828,MATCH($A180,CS!$B:$B,0)+COLUMN(A$1),1))</f>
        <v/>
      </c>
      <c r="AY180" t="str">
        <f>IF($A180="","", INDEX(CS!$B$1:$B$12828,MATCH($A180,CS!$B:$B,0)+COLUMN(B$1),1))</f>
        <v/>
      </c>
      <c r="AZ180" t="str">
        <f>IF($A180="","", INDEX(CS!$B$1:$B$12828,MATCH($A180,CS!$B:$B,0)+COLUMN(C$1),1))</f>
        <v/>
      </c>
      <c r="BA180" t="str">
        <f>IF($A180="","", INDEX(CS!$B$1:$B$12828,MATCH($A180,CS!$B:$B,0)+COLUMN(D$1),1))</f>
        <v/>
      </c>
      <c r="BB180" t="str">
        <f>IF($A180="","", INDEX(CS!$B$1:$B$12828,MATCH($A180,CS!$B:$B,0)+COLUMN(E$1),1))</f>
        <v/>
      </c>
      <c r="BC180" t="str">
        <f>IF($A180="","", INDEX(CS!$B$1:$B$12828,MATCH($A180,CS!$B:$B,0)+COLUMN(F$1),1))</f>
        <v/>
      </c>
      <c r="BD180" t="str">
        <f>IF($A180="","", INDEX(CS!$B$1:$B$12828,MATCH($A180,CS!$B:$B,0)+COLUMN(I$1),1))</f>
        <v/>
      </c>
      <c r="BE180" t="str">
        <f>IF($A180="","", INDEX(CS!$B$1:$B$12828,MATCH($A180,CS!$B:$B,0)+COLUMN(J$1),1))</f>
        <v/>
      </c>
      <c r="BF180" t="str">
        <f>IF($A180="","", INDEX(CS!$B$1:$B$12828,MATCH($A180,CS!$B:$B,0)+COLUMN(K$1),1))</f>
        <v/>
      </c>
      <c r="BG180" t="str">
        <f>IF($A180="","", INDEX(CS!$B$1:$B$12828,MATCH($A180,CS!$B:$B,0)+COLUMN(L$1),1))</f>
        <v/>
      </c>
    </row>
    <row r="181" spans="3:59" x14ac:dyDescent="0.4">
      <c r="C181" t="s">
        <v>194</v>
      </c>
      <c r="D181" t="str">
        <f t="shared" si="9"/>
        <v>0/0/0</v>
      </c>
      <c r="E181">
        <v>1</v>
      </c>
      <c r="AX181" t="str">
        <f>IF($A181="","", INDEX(CS!$B$1:$B$12828,MATCH($A181,CS!$B:$B,0)+COLUMN(A$1),1))</f>
        <v/>
      </c>
      <c r="AY181" t="str">
        <f>IF($A181="","", INDEX(CS!$B$1:$B$12828,MATCH($A181,CS!$B:$B,0)+COLUMN(B$1),1))</f>
        <v/>
      </c>
      <c r="AZ181" t="str">
        <f>IF($A181="","", INDEX(CS!$B$1:$B$12828,MATCH($A181,CS!$B:$B,0)+COLUMN(C$1),1))</f>
        <v/>
      </c>
      <c r="BA181" t="str">
        <f>IF($A181="","", INDEX(CS!$B$1:$B$12828,MATCH($A181,CS!$B:$B,0)+COLUMN(D$1),1))</f>
        <v/>
      </c>
      <c r="BB181" t="str">
        <f>IF($A181="","", INDEX(CS!$B$1:$B$12828,MATCH($A181,CS!$B:$B,0)+COLUMN(E$1),1))</f>
        <v/>
      </c>
      <c r="BC181" t="str">
        <f>IF($A181="","", INDEX(CS!$B$1:$B$12828,MATCH($A181,CS!$B:$B,0)+COLUMN(F$1),1))</f>
        <v/>
      </c>
      <c r="BD181" t="str">
        <f>IF($A181="","", INDEX(CS!$B$1:$B$12828,MATCH($A181,CS!$B:$B,0)+COLUMN(I$1),1))</f>
        <v/>
      </c>
      <c r="BE181" t="str">
        <f>IF($A181="","", INDEX(CS!$B$1:$B$12828,MATCH($A181,CS!$B:$B,0)+COLUMN(J$1),1))</f>
        <v/>
      </c>
      <c r="BF181" t="str">
        <f>IF($A181="","", INDEX(CS!$B$1:$B$12828,MATCH($A181,CS!$B:$B,0)+COLUMN(K$1),1))</f>
        <v/>
      </c>
      <c r="BG181" t="str">
        <f>IF($A181="","", INDEX(CS!$B$1:$B$12828,MATCH($A181,CS!$B:$B,0)+COLUMN(L$1),1))</f>
        <v/>
      </c>
    </row>
    <row r="182" spans="3:59" x14ac:dyDescent="0.4">
      <c r="C182" t="s">
        <v>194</v>
      </c>
      <c r="D182" t="str">
        <f t="shared" si="9"/>
        <v>0/0/0</v>
      </c>
      <c r="E182">
        <v>1</v>
      </c>
      <c r="AX182" t="str">
        <f>IF($A182="","", INDEX(CS!$B$1:$B$12828,MATCH($A182,CS!$B:$B,0)+COLUMN(A$1),1))</f>
        <v/>
      </c>
      <c r="AY182" t="str">
        <f>IF($A182="","", INDEX(CS!$B$1:$B$12828,MATCH($A182,CS!$B:$B,0)+COLUMN(B$1),1))</f>
        <v/>
      </c>
      <c r="AZ182" t="str">
        <f>IF($A182="","", INDEX(CS!$B$1:$B$12828,MATCH($A182,CS!$B:$B,0)+COLUMN(C$1),1))</f>
        <v/>
      </c>
      <c r="BA182" t="str">
        <f>IF($A182="","", INDEX(CS!$B$1:$B$12828,MATCH($A182,CS!$B:$B,0)+COLUMN(D$1),1))</f>
        <v/>
      </c>
      <c r="BB182" t="str">
        <f>IF($A182="","", INDEX(CS!$B$1:$B$12828,MATCH($A182,CS!$B:$B,0)+COLUMN(E$1),1))</f>
        <v/>
      </c>
      <c r="BC182" t="str">
        <f>IF($A182="","", INDEX(CS!$B$1:$B$12828,MATCH($A182,CS!$B:$B,0)+COLUMN(F$1),1))</f>
        <v/>
      </c>
      <c r="BD182" t="str">
        <f>IF($A182="","", INDEX(CS!$B$1:$B$12828,MATCH($A182,CS!$B:$B,0)+COLUMN(I$1),1))</f>
        <v/>
      </c>
      <c r="BE182" t="str">
        <f>IF($A182="","", INDEX(CS!$B$1:$B$12828,MATCH($A182,CS!$B:$B,0)+COLUMN(J$1),1))</f>
        <v/>
      </c>
      <c r="BF182" t="str">
        <f>IF($A182="","", INDEX(CS!$B$1:$B$12828,MATCH($A182,CS!$B:$B,0)+COLUMN(K$1),1))</f>
        <v/>
      </c>
      <c r="BG182" t="str">
        <f>IF($A182="","", INDEX(CS!$B$1:$B$12828,MATCH($A182,CS!$B:$B,0)+COLUMN(L$1),1))</f>
        <v/>
      </c>
    </row>
    <row r="183" spans="3:59" x14ac:dyDescent="0.4">
      <c r="C183" t="s">
        <v>194</v>
      </c>
      <c r="D183" t="str">
        <f t="shared" si="9"/>
        <v>0/0/0</v>
      </c>
      <c r="E183">
        <v>1</v>
      </c>
      <c r="AX183" t="str">
        <f>IF($A183="","", INDEX(CS!$B$1:$B$12828,MATCH($A183,CS!$B:$B,0)+COLUMN(A$1),1))</f>
        <v/>
      </c>
      <c r="AY183" t="str">
        <f>IF($A183="","", INDEX(CS!$B$1:$B$12828,MATCH($A183,CS!$B:$B,0)+COLUMN(B$1),1))</f>
        <v/>
      </c>
      <c r="AZ183" t="str">
        <f>IF($A183="","", INDEX(CS!$B$1:$B$12828,MATCH($A183,CS!$B:$B,0)+COLUMN(C$1),1))</f>
        <v/>
      </c>
      <c r="BA183" t="str">
        <f>IF($A183="","", INDEX(CS!$B$1:$B$12828,MATCH($A183,CS!$B:$B,0)+COLUMN(D$1),1))</f>
        <v/>
      </c>
      <c r="BB183" t="str">
        <f>IF($A183="","", INDEX(CS!$B$1:$B$12828,MATCH($A183,CS!$B:$B,0)+COLUMN(E$1),1))</f>
        <v/>
      </c>
      <c r="BC183" t="str">
        <f>IF($A183="","", INDEX(CS!$B$1:$B$12828,MATCH($A183,CS!$B:$B,0)+COLUMN(F$1),1))</f>
        <v/>
      </c>
      <c r="BD183" t="str">
        <f>IF($A183="","", INDEX(CS!$B$1:$B$12828,MATCH($A183,CS!$B:$B,0)+COLUMN(I$1),1))</f>
        <v/>
      </c>
      <c r="BE183" t="str">
        <f>IF($A183="","", INDEX(CS!$B$1:$B$12828,MATCH($A183,CS!$B:$B,0)+COLUMN(J$1),1))</f>
        <v/>
      </c>
      <c r="BF183" t="str">
        <f>IF($A183="","", INDEX(CS!$B$1:$B$12828,MATCH($A183,CS!$B:$B,0)+COLUMN(K$1),1))</f>
        <v/>
      </c>
      <c r="BG183" t="str">
        <f>IF($A183="","", INDEX(CS!$B$1:$B$12828,MATCH($A183,CS!$B:$B,0)+COLUMN(L$1),1))</f>
        <v/>
      </c>
    </row>
    <row r="184" spans="3:59" x14ac:dyDescent="0.4">
      <c r="C184" t="s">
        <v>194</v>
      </c>
      <c r="D184" t="str">
        <f t="shared" si="9"/>
        <v>0/0/0</v>
      </c>
      <c r="E184">
        <v>1</v>
      </c>
      <c r="AX184" t="str">
        <f>IF($A184="","", INDEX(CS!$B$1:$B$12828,MATCH($A184,CS!$B:$B,0)+COLUMN(A$1),1))</f>
        <v/>
      </c>
      <c r="AY184" t="str">
        <f>IF($A184="","", INDEX(CS!$B$1:$B$12828,MATCH($A184,CS!$B:$B,0)+COLUMN(B$1),1))</f>
        <v/>
      </c>
      <c r="AZ184" t="str">
        <f>IF($A184="","", INDEX(CS!$B$1:$B$12828,MATCH($A184,CS!$B:$B,0)+COLUMN(C$1),1))</f>
        <v/>
      </c>
      <c r="BA184" t="str">
        <f>IF($A184="","", INDEX(CS!$B$1:$B$12828,MATCH($A184,CS!$B:$B,0)+COLUMN(D$1),1))</f>
        <v/>
      </c>
      <c r="BB184" t="str">
        <f>IF($A184="","", INDEX(CS!$B$1:$B$12828,MATCH($A184,CS!$B:$B,0)+COLUMN(E$1),1))</f>
        <v/>
      </c>
      <c r="BC184" t="str">
        <f>IF($A184="","", INDEX(CS!$B$1:$B$12828,MATCH($A184,CS!$B:$B,0)+COLUMN(F$1),1))</f>
        <v/>
      </c>
      <c r="BD184" t="str">
        <f>IF($A184="","", INDEX(CS!$B$1:$B$12828,MATCH($A184,CS!$B:$B,0)+COLUMN(I$1),1))</f>
        <v/>
      </c>
      <c r="BE184" t="str">
        <f>IF($A184="","", INDEX(CS!$B$1:$B$12828,MATCH($A184,CS!$B:$B,0)+COLUMN(J$1),1))</f>
        <v/>
      </c>
      <c r="BF184" t="str">
        <f>IF($A184="","", INDEX(CS!$B$1:$B$12828,MATCH($A184,CS!$B:$B,0)+COLUMN(K$1),1))</f>
        <v/>
      </c>
      <c r="BG184" t="str">
        <f>IF($A184="","", INDEX(CS!$B$1:$B$12828,MATCH($A184,CS!$B:$B,0)+COLUMN(L$1),1))</f>
        <v/>
      </c>
    </row>
    <row r="185" spans="3:59" x14ac:dyDescent="0.4">
      <c r="C185" t="s">
        <v>194</v>
      </c>
      <c r="D185" t="str">
        <f t="shared" si="9"/>
        <v>0/0/0</v>
      </c>
      <c r="E185">
        <v>1</v>
      </c>
      <c r="AX185" t="str">
        <f>IF($A185="","", INDEX(CS!$B$1:$B$12828,MATCH($A185,CS!$B:$B,0)+COLUMN(A$1),1))</f>
        <v/>
      </c>
      <c r="AY185" t="str">
        <f>IF($A185="","", INDEX(CS!$B$1:$B$12828,MATCH($A185,CS!$B:$B,0)+COLUMN(B$1),1))</f>
        <v/>
      </c>
      <c r="AZ185" t="str">
        <f>IF($A185="","", INDEX(CS!$B$1:$B$12828,MATCH($A185,CS!$B:$B,0)+COLUMN(C$1),1))</f>
        <v/>
      </c>
      <c r="BA185" t="str">
        <f>IF($A185="","", INDEX(CS!$B$1:$B$12828,MATCH($A185,CS!$B:$B,0)+COLUMN(D$1),1))</f>
        <v/>
      </c>
      <c r="BB185" t="str">
        <f>IF($A185="","", INDEX(CS!$B$1:$B$12828,MATCH($A185,CS!$B:$B,0)+COLUMN(E$1),1))</f>
        <v/>
      </c>
      <c r="BC185" t="str">
        <f>IF($A185="","", INDEX(CS!$B$1:$B$12828,MATCH($A185,CS!$B:$B,0)+COLUMN(F$1),1))</f>
        <v/>
      </c>
      <c r="BD185" t="str">
        <f>IF($A185="","", INDEX(CS!$B$1:$B$12828,MATCH($A185,CS!$B:$B,0)+COLUMN(I$1),1))</f>
        <v/>
      </c>
      <c r="BE185" t="str">
        <f>IF($A185="","", INDEX(CS!$B$1:$B$12828,MATCH($A185,CS!$B:$B,0)+COLUMN(J$1),1))</f>
        <v/>
      </c>
      <c r="BF185" t="str">
        <f>IF($A185="","", INDEX(CS!$B$1:$B$12828,MATCH($A185,CS!$B:$B,0)+COLUMN(K$1),1))</f>
        <v/>
      </c>
      <c r="BG185" t="str">
        <f>IF($A185="","", INDEX(CS!$B$1:$B$12828,MATCH($A185,CS!$B:$B,0)+COLUMN(L$1),1))</f>
        <v/>
      </c>
    </row>
    <row r="186" spans="3:59" x14ac:dyDescent="0.4">
      <c r="C186" t="s">
        <v>194</v>
      </c>
      <c r="D186" t="str">
        <f t="shared" si="9"/>
        <v>0/0/0</v>
      </c>
      <c r="E186">
        <v>1</v>
      </c>
      <c r="AX186" t="str">
        <f>IF($A186="","", INDEX(CS!$B$1:$B$12828,MATCH($A186,CS!$B:$B,0)+COLUMN(A$1),1))</f>
        <v/>
      </c>
      <c r="AY186" t="str">
        <f>IF($A186="","", INDEX(CS!$B$1:$B$12828,MATCH($A186,CS!$B:$B,0)+COLUMN(B$1),1))</f>
        <v/>
      </c>
      <c r="AZ186" t="str">
        <f>IF($A186="","", INDEX(CS!$B$1:$B$12828,MATCH($A186,CS!$B:$B,0)+COLUMN(C$1),1))</f>
        <v/>
      </c>
      <c r="BA186" t="str">
        <f>IF($A186="","", INDEX(CS!$B$1:$B$12828,MATCH($A186,CS!$B:$B,0)+COLUMN(D$1),1))</f>
        <v/>
      </c>
      <c r="BB186" t="str">
        <f>IF($A186="","", INDEX(CS!$B$1:$B$12828,MATCH($A186,CS!$B:$B,0)+COLUMN(E$1),1))</f>
        <v/>
      </c>
      <c r="BC186" t="str">
        <f>IF($A186="","", INDEX(CS!$B$1:$B$12828,MATCH($A186,CS!$B:$B,0)+COLUMN(F$1),1))</f>
        <v/>
      </c>
      <c r="BD186" t="str">
        <f>IF($A186="","", INDEX(CS!$B$1:$B$12828,MATCH($A186,CS!$B:$B,0)+COLUMN(I$1),1))</f>
        <v/>
      </c>
      <c r="BE186" t="str">
        <f>IF($A186="","", INDEX(CS!$B$1:$B$12828,MATCH($A186,CS!$B:$B,0)+COLUMN(J$1),1))</f>
        <v/>
      </c>
      <c r="BF186" t="str">
        <f>IF($A186="","", INDEX(CS!$B$1:$B$12828,MATCH($A186,CS!$B:$B,0)+COLUMN(K$1),1))</f>
        <v/>
      </c>
      <c r="BG186" t="str">
        <f>IF($A186="","", INDEX(CS!$B$1:$B$12828,MATCH($A186,CS!$B:$B,0)+COLUMN(L$1),1))</f>
        <v/>
      </c>
    </row>
    <row r="187" spans="3:59" x14ac:dyDescent="0.4">
      <c r="C187" t="s">
        <v>194</v>
      </c>
      <c r="D187" t="str">
        <f t="shared" si="9"/>
        <v>0/0/0</v>
      </c>
      <c r="E187">
        <v>1</v>
      </c>
      <c r="AX187" t="str">
        <f>IF($A187="","", INDEX(CS!$B$1:$B$12828,MATCH($A187,CS!$B:$B,0)+COLUMN(A$1),1))</f>
        <v/>
      </c>
      <c r="AY187" t="str">
        <f>IF($A187="","", INDEX(CS!$B$1:$B$12828,MATCH($A187,CS!$B:$B,0)+COLUMN(B$1),1))</f>
        <v/>
      </c>
      <c r="AZ187" t="str">
        <f>IF($A187="","", INDEX(CS!$B$1:$B$12828,MATCH($A187,CS!$B:$B,0)+COLUMN(C$1),1))</f>
        <v/>
      </c>
      <c r="BA187" t="str">
        <f>IF($A187="","", INDEX(CS!$B$1:$B$12828,MATCH($A187,CS!$B:$B,0)+COLUMN(D$1),1))</f>
        <v/>
      </c>
      <c r="BB187" t="str">
        <f>IF($A187="","", INDEX(CS!$B$1:$B$12828,MATCH($A187,CS!$B:$B,0)+COLUMN(E$1),1))</f>
        <v/>
      </c>
      <c r="BC187" t="str">
        <f>IF($A187="","", INDEX(CS!$B$1:$B$12828,MATCH($A187,CS!$B:$B,0)+COLUMN(F$1),1))</f>
        <v/>
      </c>
      <c r="BD187" t="str">
        <f>IF($A187="","", INDEX(CS!$B$1:$B$12828,MATCH($A187,CS!$B:$B,0)+COLUMN(I$1),1))</f>
        <v/>
      </c>
      <c r="BE187" t="str">
        <f>IF($A187="","", INDEX(CS!$B$1:$B$12828,MATCH($A187,CS!$B:$B,0)+COLUMN(J$1),1))</f>
        <v/>
      </c>
      <c r="BF187" t="str">
        <f>IF($A187="","", INDEX(CS!$B$1:$B$12828,MATCH($A187,CS!$B:$B,0)+COLUMN(K$1),1))</f>
        <v/>
      </c>
      <c r="BG187" t="str">
        <f>IF($A187="","", INDEX(CS!$B$1:$B$12828,MATCH($A187,CS!$B:$B,0)+COLUMN(L$1),1))</f>
        <v/>
      </c>
    </row>
    <row r="188" spans="3:59" x14ac:dyDescent="0.4">
      <c r="C188" t="s">
        <v>194</v>
      </c>
      <c r="D188" t="str">
        <f t="shared" si="9"/>
        <v>0/0/0</v>
      </c>
      <c r="E188">
        <v>1</v>
      </c>
      <c r="AX188" t="str">
        <f>IF($A188="","", INDEX(CS!$B$1:$B$12828,MATCH($A188,CS!$B:$B,0)+COLUMN(A$1),1))</f>
        <v/>
      </c>
      <c r="AY188" t="str">
        <f>IF($A188="","", INDEX(CS!$B$1:$B$12828,MATCH($A188,CS!$B:$B,0)+COLUMN(B$1),1))</f>
        <v/>
      </c>
      <c r="AZ188" t="str">
        <f>IF($A188="","", INDEX(CS!$B$1:$B$12828,MATCH($A188,CS!$B:$B,0)+COLUMN(C$1),1))</f>
        <v/>
      </c>
      <c r="BA188" t="str">
        <f>IF($A188="","", INDEX(CS!$B$1:$B$12828,MATCH($A188,CS!$B:$B,0)+COLUMN(D$1),1))</f>
        <v/>
      </c>
      <c r="BB188" t="str">
        <f>IF($A188="","", INDEX(CS!$B$1:$B$12828,MATCH($A188,CS!$B:$B,0)+COLUMN(E$1),1))</f>
        <v/>
      </c>
      <c r="BC188" t="str">
        <f>IF($A188="","", INDEX(CS!$B$1:$B$12828,MATCH($A188,CS!$B:$B,0)+COLUMN(F$1),1))</f>
        <v/>
      </c>
      <c r="BD188" t="str">
        <f>IF($A188="","", INDEX(CS!$B$1:$B$12828,MATCH($A188,CS!$B:$B,0)+COLUMN(I$1),1))</f>
        <v/>
      </c>
      <c r="BE188" t="str">
        <f>IF($A188="","", INDEX(CS!$B$1:$B$12828,MATCH($A188,CS!$B:$B,0)+COLUMN(J$1),1))</f>
        <v/>
      </c>
      <c r="BF188" t="str">
        <f>IF($A188="","", INDEX(CS!$B$1:$B$12828,MATCH($A188,CS!$B:$B,0)+COLUMN(K$1),1))</f>
        <v/>
      </c>
      <c r="BG188" t="str">
        <f>IF($A188="","", INDEX(CS!$B$1:$B$12828,MATCH($A188,CS!$B:$B,0)+COLUMN(L$1),1))</f>
        <v/>
      </c>
    </row>
    <row r="189" spans="3:59" x14ac:dyDescent="0.4">
      <c r="C189" t="s">
        <v>194</v>
      </c>
      <c r="D189" t="str">
        <f t="shared" si="9"/>
        <v>0/0/0</v>
      </c>
      <c r="E189">
        <v>1</v>
      </c>
      <c r="AX189" t="str">
        <f>IF($A189="","", INDEX(CS!$B$1:$B$12828,MATCH($A189,CS!$B:$B,0)+COLUMN(A$1),1))</f>
        <v/>
      </c>
      <c r="AY189" t="str">
        <f>IF($A189="","", INDEX(CS!$B$1:$B$12828,MATCH($A189,CS!$B:$B,0)+COLUMN(B$1),1))</f>
        <v/>
      </c>
      <c r="AZ189" t="str">
        <f>IF($A189="","", INDEX(CS!$B$1:$B$12828,MATCH($A189,CS!$B:$B,0)+COLUMN(C$1),1))</f>
        <v/>
      </c>
      <c r="BA189" t="str">
        <f>IF($A189="","", INDEX(CS!$B$1:$B$12828,MATCH($A189,CS!$B:$B,0)+COLUMN(D$1),1))</f>
        <v/>
      </c>
      <c r="BB189" t="str">
        <f>IF($A189="","", INDEX(CS!$B$1:$B$12828,MATCH($A189,CS!$B:$B,0)+COLUMN(E$1),1))</f>
        <v/>
      </c>
      <c r="BC189" t="str">
        <f>IF($A189="","", INDEX(CS!$B$1:$B$12828,MATCH($A189,CS!$B:$B,0)+COLUMN(F$1),1))</f>
        <v/>
      </c>
      <c r="BD189" t="str">
        <f>IF($A189="","", INDEX(CS!$B$1:$B$12828,MATCH($A189,CS!$B:$B,0)+COLUMN(I$1),1))</f>
        <v/>
      </c>
      <c r="BE189" t="str">
        <f>IF($A189="","", INDEX(CS!$B$1:$B$12828,MATCH($A189,CS!$B:$B,0)+COLUMN(J$1),1))</f>
        <v/>
      </c>
      <c r="BF189" t="str">
        <f>IF($A189="","", INDEX(CS!$B$1:$B$12828,MATCH($A189,CS!$B:$B,0)+COLUMN(K$1),1))</f>
        <v/>
      </c>
      <c r="BG189" t="str">
        <f>IF($A189="","", INDEX(CS!$B$1:$B$12828,MATCH($A189,CS!$B:$B,0)+COLUMN(L$1),1))</f>
        <v/>
      </c>
    </row>
    <row r="190" spans="3:59" x14ac:dyDescent="0.4">
      <c r="C190" t="s">
        <v>194</v>
      </c>
      <c r="D190" t="str">
        <f t="shared" si="9"/>
        <v>0/0/0</v>
      </c>
      <c r="E190">
        <v>1</v>
      </c>
      <c r="AX190" t="str">
        <f>IF($A190="","", INDEX(CS!$B$1:$B$12828,MATCH($A190,CS!$B:$B,0)+COLUMN(A$1),1))</f>
        <v/>
      </c>
      <c r="AY190" t="str">
        <f>IF($A190="","", INDEX(CS!$B$1:$B$12828,MATCH($A190,CS!$B:$B,0)+COLUMN(B$1),1))</f>
        <v/>
      </c>
      <c r="AZ190" t="str">
        <f>IF($A190="","", INDEX(CS!$B$1:$B$12828,MATCH($A190,CS!$B:$B,0)+COLUMN(C$1),1))</f>
        <v/>
      </c>
      <c r="BA190" t="str">
        <f>IF($A190="","", INDEX(CS!$B$1:$B$12828,MATCH($A190,CS!$B:$B,0)+COLUMN(D$1),1))</f>
        <v/>
      </c>
      <c r="BB190" t="str">
        <f>IF($A190="","", INDEX(CS!$B$1:$B$12828,MATCH($A190,CS!$B:$B,0)+COLUMN(E$1),1))</f>
        <v/>
      </c>
      <c r="BC190" t="str">
        <f>IF($A190="","", INDEX(CS!$B$1:$B$12828,MATCH($A190,CS!$B:$B,0)+COLUMN(F$1),1))</f>
        <v/>
      </c>
      <c r="BD190" t="str">
        <f>IF($A190="","", INDEX(CS!$B$1:$B$12828,MATCH($A190,CS!$B:$B,0)+COLUMN(I$1),1))</f>
        <v/>
      </c>
      <c r="BE190" t="str">
        <f>IF($A190="","", INDEX(CS!$B$1:$B$12828,MATCH($A190,CS!$B:$B,0)+COLUMN(J$1),1))</f>
        <v/>
      </c>
      <c r="BF190" t="str">
        <f>IF($A190="","", INDEX(CS!$B$1:$B$12828,MATCH($A190,CS!$B:$B,0)+COLUMN(K$1),1))</f>
        <v/>
      </c>
      <c r="BG190" t="str">
        <f>IF($A190="","", INDEX(CS!$B$1:$B$12828,MATCH($A190,CS!$B:$B,0)+COLUMN(L$1),1))</f>
        <v/>
      </c>
    </row>
    <row r="191" spans="3:59" x14ac:dyDescent="0.4">
      <c r="C191" t="s">
        <v>194</v>
      </c>
      <c r="D191" t="str">
        <f t="shared" si="9"/>
        <v>0/0/0</v>
      </c>
      <c r="E191">
        <v>1</v>
      </c>
      <c r="AX191" t="str">
        <f>IF($A191="","", INDEX(CS!$B$1:$B$12828,MATCH($A191,CS!$B:$B,0)+COLUMN(A$1),1))</f>
        <v/>
      </c>
      <c r="AY191" t="str">
        <f>IF($A191="","", INDEX(CS!$B$1:$B$12828,MATCH($A191,CS!$B:$B,0)+COLUMN(B$1),1))</f>
        <v/>
      </c>
      <c r="AZ191" t="str">
        <f>IF($A191="","", INDEX(CS!$B$1:$B$12828,MATCH($A191,CS!$B:$B,0)+COLUMN(C$1),1))</f>
        <v/>
      </c>
      <c r="BA191" t="str">
        <f>IF($A191="","", INDEX(CS!$B$1:$B$12828,MATCH($A191,CS!$B:$B,0)+COLUMN(D$1),1))</f>
        <v/>
      </c>
      <c r="BB191" t="str">
        <f>IF($A191="","", INDEX(CS!$B$1:$B$12828,MATCH($A191,CS!$B:$B,0)+COLUMN(E$1),1))</f>
        <v/>
      </c>
      <c r="BC191" t="str">
        <f>IF($A191="","", INDEX(CS!$B$1:$B$12828,MATCH($A191,CS!$B:$B,0)+COLUMN(F$1),1))</f>
        <v/>
      </c>
      <c r="BD191" t="str">
        <f>IF($A191="","", INDEX(CS!$B$1:$B$12828,MATCH($A191,CS!$B:$B,0)+COLUMN(I$1),1))</f>
        <v/>
      </c>
      <c r="BE191" t="str">
        <f>IF($A191="","", INDEX(CS!$B$1:$B$12828,MATCH($A191,CS!$B:$B,0)+COLUMN(J$1),1))</f>
        <v/>
      </c>
      <c r="BF191" t="str">
        <f>IF($A191="","", INDEX(CS!$B$1:$B$12828,MATCH($A191,CS!$B:$B,0)+COLUMN(K$1),1))</f>
        <v/>
      </c>
      <c r="BG191" t="str">
        <f>IF($A191="","", INDEX(CS!$B$1:$B$12828,MATCH($A191,CS!$B:$B,0)+COLUMN(L$1),1))</f>
        <v/>
      </c>
    </row>
    <row r="192" spans="3:59" x14ac:dyDescent="0.4">
      <c r="C192" t="s">
        <v>194</v>
      </c>
      <c r="D192" t="str">
        <f t="shared" si="9"/>
        <v>0/0/0</v>
      </c>
      <c r="E192">
        <v>1</v>
      </c>
      <c r="AX192" t="str">
        <f>IF($A192="","", INDEX(CS!$B$1:$B$12828,MATCH($A192,CS!$B:$B,0)+COLUMN(A$1),1))</f>
        <v/>
      </c>
      <c r="AY192" t="str">
        <f>IF($A192="","", INDEX(CS!$B$1:$B$12828,MATCH($A192,CS!$B:$B,0)+COLUMN(B$1),1))</f>
        <v/>
      </c>
      <c r="AZ192" t="str">
        <f>IF($A192="","", INDEX(CS!$B$1:$B$12828,MATCH($A192,CS!$B:$B,0)+COLUMN(C$1),1))</f>
        <v/>
      </c>
      <c r="BA192" t="str">
        <f>IF($A192="","", INDEX(CS!$B$1:$B$12828,MATCH($A192,CS!$B:$B,0)+COLUMN(D$1),1))</f>
        <v/>
      </c>
      <c r="BB192" t="str">
        <f>IF($A192="","", INDEX(CS!$B$1:$B$12828,MATCH($A192,CS!$B:$B,0)+COLUMN(E$1),1))</f>
        <v/>
      </c>
      <c r="BC192" t="str">
        <f>IF($A192="","", INDEX(CS!$B$1:$B$12828,MATCH($A192,CS!$B:$B,0)+COLUMN(F$1),1))</f>
        <v/>
      </c>
      <c r="BD192" t="str">
        <f>IF($A192="","", INDEX(CS!$B$1:$B$12828,MATCH($A192,CS!$B:$B,0)+COLUMN(I$1),1))</f>
        <v/>
      </c>
      <c r="BE192" t="str">
        <f>IF($A192="","", INDEX(CS!$B$1:$B$12828,MATCH($A192,CS!$B:$B,0)+COLUMN(J$1),1))</f>
        <v/>
      </c>
      <c r="BF192" t="str">
        <f>IF($A192="","", INDEX(CS!$B$1:$B$12828,MATCH($A192,CS!$B:$B,0)+COLUMN(K$1),1))</f>
        <v/>
      </c>
      <c r="BG192" t="str">
        <f>IF($A192="","", INDEX(CS!$B$1:$B$12828,MATCH($A192,CS!$B:$B,0)+COLUMN(L$1),1))</f>
        <v/>
      </c>
    </row>
    <row r="193" spans="3:59" x14ac:dyDescent="0.4">
      <c r="C193" t="s">
        <v>194</v>
      </c>
      <c r="D193" t="str">
        <f t="shared" si="9"/>
        <v>0/0/0</v>
      </c>
      <c r="E193">
        <v>1</v>
      </c>
      <c r="AX193" t="str">
        <f>IF($A193="","", INDEX(CS!$B$1:$B$12828,MATCH($A193,CS!$B:$B,0)+COLUMN(A$1),1))</f>
        <v/>
      </c>
      <c r="AY193" t="str">
        <f>IF($A193="","", INDEX(CS!$B$1:$B$12828,MATCH($A193,CS!$B:$B,0)+COLUMN(B$1),1))</f>
        <v/>
      </c>
      <c r="AZ193" t="str">
        <f>IF($A193="","", INDEX(CS!$B$1:$B$12828,MATCH($A193,CS!$B:$B,0)+COLUMN(C$1),1))</f>
        <v/>
      </c>
      <c r="BA193" t="str">
        <f>IF($A193="","", INDEX(CS!$B$1:$B$12828,MATCH($A193,CS!$B:$B,0)+COLUMN(D$1),1))</f>
        <v/>
      </c>
      <c r="BB193" t="str">
        <f>IF($A193="","", INDEX(CS!$B$1:$B$12828,MATCH($A193,CS!$B:$B,0)+COLUMN(E$1),1))</f>
        <v/>
      </c>
      <c r="BC193" t="str">
        <f>IF($A193="","", INDEX(CS!$B$1:$B$12828,MATCH($A193,CS!$B:$B,0)+COLUMN(F$1),1))</f>
        <v/>
      </c>
      <c r="BD193" t="str">
        <f>IF($A193="","", INDEX(CS!$B$1:$B$12828,MATCH($A193,CS!$B:$B,0)+COLUMN(I$1),1))</f>
        <v/>
      </c>
      <c r="BE193" t="str">
        <f>IF($A193="","", INDEX(CS!$B$1:$B$12828,MATCH($A193,CS!$B:$B,0)+COLUMN(J$1),1))</f>
        <v/>
      </c>
      <c r="BF193" t="str">
        <f>IF($A193="","", INDEX(CS!$B$1:$B$12828,MATCH($A193,CS!$B:$B,0)+COLUMN(K$1),1))</f>
        <v/>
      </c>
      <c r="BG193" t="str">
        <f>IF($A193="","", INDEX(CS!$B$1:$B$12828,MATCH($A193,CS!$B:$B,0)+COLUMN(L$1),1))</f>
        <v/>
      </c>
    </row>
    <row r="194" spans="3:59" x14ac:dyDescent="0.4">
      <c r="C194" t="s">
        <v>194</v>
      </c>
      <c r="D194" t="str">
        <f t="shared" si="9"/>
        <v>0/0/0</v>
      </c>
      <c r="E194">
        <v>1</v>
      </c>
      <c r="AX194" t="str">
        <f>IF($A194="","", INDEX(CS!$B$1:$B$12828,MATCH($A194,CS!$B:$B,0)+COLUMN(A$1),1))</f>
        <v/>
      </c>
      <c r="AY194" t="str">
        <f>IF($A194="","", INDEX(CS!$B$1:$B$12828,MATCH($A194,CS!$B:$B,0)+COLUMN(B$1),1))</f>
        <v/>
      </c>
      <c r="AZ194" t="str">
        <f>IF($A194="","", INDEX(CS!$B$1:$B$12828,MATCH($A194,CS!$B:$B,0)+COLUMN(C$1),1))</f>
        <v/>
      </c>
      <c r="BA194" t="str">
        <f>IF($A194="","", INDEX(CS!$B$1:$B$12828,MATCH($A194,CS!$B:$B,0)+COLUMN(D$1),1))</f>
        <v/>
      </c>
      <c r="BB194" t="str">
        <f>IF($A194="","", INDEX(CS!$B$1:$B$12828,MATCH($A194,CS!$B:$B,0)+COLUMN(E$1),1))</f>
        <v/>
      </c>
      <c r="BC194" t="str">
        <f>IF($A194="","", INDEX(CS!$B$1:$B$12828,MATCH($A194,CS!$B:$B,0)+COLUMN(F$1),1))</f>
        <v/>
      </c>
      <c r="BD194" t="str">
        <f>IF($A194="","", INDEX(CS!$B$1:$B$12828,MATCH($A194,CS!$B:$B,0)+COLUMN(I$1),1))</f>
        <v/>
      </c>
      <c r="BE194" t="str">
        <f>IF($A194="","", INDEX(CS!$B$1:$B$12828,MATCH($A194,CS!$B:$B,0)+COLUMN(J$1),1))</f>
        <v/>
      </c>
      <c r="BF194" t="str">
        <f>IF($A194="","", INDEX(CS!$B$1:$B$12828,MATCH($A194,CS!$B:$B,0)+COLUMN(K$1),1))</f>
        <v/>
      </c>
      <c r="BG194" t="str">
        <f>IF($A194="","", INDEX(CS!$B$1:$B$12828,MATCH($A194,CS!$B:$B,0)+COLUMN(L$1),1))</f>
        <v/>
      </c>
    </row>
    <row r="195" spans="3:59" x14ac:dyDescent="0.4">
      <c r="C195" t="s">
        <v>194</v>
      </c>
      <c r="D195" t="str">
        <f t="shared" si="9"/>
        <v>0/0/0</v>
      </c>
      <c r="E195">
        <v>1</v>
      </c>
      <c r="AX195" t="str">
        <f>IF($A195="","", INDEX(CS!$B$1:$B$12828,MATCH($A195,CS!$B:$B,0)+COLUMN(A$1),1))</f>
        <v/>
      </c>
      <c r="AY195" t="str">
        <f>IF($A195="","", INDEX(CS!$B$1:$B$12828,MATCH($A195,CS!$B:$B,0)+COLUMN(B$1),1))</f>
        <v/>
      </c>
      <c r="AZ195" t="str">
        <f>IF($A195="","", INDEX(CS!$B$1:$B$12828,MATCH($A195,CS!$B:$B,0)+COLUMN(C$1),1))</f>
        <v/>
      </c>
      <c r="BA195" t="str">
        <f>IF($A195="","", INDEX(CS!$B$1:$B$12828,MATCH($A195,CS!$B:$B,0)+COLUMN(D$1),1))</f>
        <v/>
      </c>
      <c r="BB195" t="str">
        <f>IF($A195="","", INDEX(CS!$B$1:$B$12828,MATCH($A195,CS!$B:$B,0)+COLUMN(E$1),1))</f>
        <v/>
      </c>
      <c r="BC195" t="str">
        <f>IF($A195="","", INDEX(CS!$B$1:$B$12828,MATCH($A195,CS!$B:$B,0)+COLUMN(F$1),1))</f>
        <v/>
      </c>
      <c r="BD195" t="str">
        <f>IF($A195="","", INDEX(CS!$B$1:$B$12828,MATCH($A195,CS!$B:$B,0)+COLUMN(I$1),1))</f>
        <v/>
      </c>
      <c r="BE195" t="str">
        <f>IF($A195="","", INDEX(CS!$B$1:$B$12828,MATCH($A195,CS!$B:$B,0)+COLUMN(J$1),1))</f>
        <v/>
      </c>
      <c r="BF195" t="str">
        <f>IF($A195="","", INDEX(CS!$B$1:$B$12828,MATCH($A195,CS!$B:$B,0)+COLUMN(K$1),1))</f>
        <v/>
      </c>
      <c r="BG195" t="str">
        <f>IF($A195="","", INDEX(CS!$B$1:$B$12828,MATCH($A195,CS!$B:$B,0)+COLUMN(L$1),1))</f>
        <v/>
      </c>
    </row>
    <row r="196" spans="3:59" x14ac:dyDescent="0.4">
      <c r="C196" t="s">
        <v>194</v>
      </c>
      <c r="D196" t="str">
        <f t="shared" si="9"/>
        <v>0/0/0</v>
      </c>
      <c r="E196">
        <v>1</v>
      </c>
      <c r="AX196" t="str">
        <f>IF($A196="","", INDEX(CS!$B$1:$B$12828,MATCH($A196,CS!$B:$B,0)+COLUMN(A$1),1))</f>
        <v/>
      </c>
      <c r="AY196" t="str">
        <f>IF($A196="","", INDEX(CS!$B$1:$B$12828,MATCH($A196,CS!$B:$B,0)+COLUMN(B$1),1))</f>
        <v/>
      </c>
      <c r="AZ196" t="str">
        <f>IF($A196="","", INDEX(CS!$B$1:$B$12828,MATCH($A196,CS!$B:$B,0)+COLUMN(C$1),1))</f>
        <v/>
      </c>
      <c r="BA196" t="str">
        <f>IF($A196="","", INDEX(CS!$B$1:$B$12828,MATCH($A196,CS!$B:$B,0)+COLUMN(D$1),1))</f>
        <v/>
      </c>
      <c r="BB196" t="str">
        <f>IF($A196="","", INDEX(CS!$B$1:$B$12828,MATCH($A196,CS!$B:$B,0)+COLUMN(E$1),1))</f>
        <v/>
      </c>
      <c r="BC196" t="str">
        <f>IF($A196="","", INDEX(CS!$B$1:$B$12828,MATCH($A196,CS!$B:$B,0)+COLUMN(F$1),1))</f>
        <v/>
      </c>
      <c r="BD196" t="str">
        <f>IF($A196="","", INDEX(CS!$B$1:$B$12828,MATCH($A196,CS!$B:$B,0)+COLUMN(I$1),1))</f>
        <v/>
      </c>
      <c r="BE196" t="str">
        <f>IF($A196="","", INDEX(CS!$B$1:$B$12828,MATCH($A196,CS!$B:$B,0)+COLUMN(J$1),1))</f>
        <v/>
      </c>
      <c r="BF196" t="str">
        <f>IF($A196="","", INDEX(CS!$B$1:$B$12828,MATCH($A196,CS!$B:$B,0)+COLUMN(K$1),1))</f>
        <v/>
      </c>
      <c r="BG196" t="str">
        <f>IF($A196="","", INDEX(CS!$B$1:$B$12828,MATCH($A196,CS!$B:$B,0)+COLUMN(L$1),1))</f>
        <v/>
      </c>
    </row>
    <row r="197" spans="3:59" x14ac:dyDescent="0.4">
      <c r="C197" t="s">
        <v>194</v>
      </c>
      <c r="D197" t="str">
        <f t="shared" si="9"/>
        <v>0/0/0</v>
      </c>
      <c r="E197">
        <v>1</v>
      </c>
      <c r="AX197" t="str">
        <f>IF($A197="","", INDEX(CS!$B$1:$B$12828,MATCH($A197,CS!$B:$B,0)+COLUMN(A$1),1))</f>
        <v/>
      </c>
      <c r="AY197" t="str">
        <f>IF($A197="","", INDEX(CS!$B$1:$B$12828,MATCH($A197,CS!$B:$B,0)+COLUMN(B$1),1))</f>
        <v/>
      </c>
      <c r="AZ197" t="str">
        <f>IF($A197="","", INDEX(CS!$B$1:$B$12828,MATCH($A197,CS!$B:$B,0)+COLUMN(C$1),1))</f>
        <v/>
      </c>
      <c r="BA197" t="str">
        <f>IF($A197="","", INDEX(CS!$B$1:$B$12828,MATCH($A197,CS!$B:$B,0)+COLUMN(D$1),1))</f>
        <v/>
      </c>
      <c r="BB197" t="str">
        <f>IF($A197="","", INDEX(CS!$B$1:$B$12828,MATCH($A197,CS!$B:$B,0)+COLUMN(E$1),1))</f>
        <v/>
      </c>
      <c r="BC197" t="str">
        <f>IF($A197="","", INDEX(CS!$B$1:$B$12828,MATCH($A197,CS!$B:$B,0)+COLUMN(F$1),1))</f>
        <v/>
      </c>
      <c r="BD197" t="str">
        <f>IF($A197="","", INDEX(CS!$B$1:$B$12828,MATCH($A197,CS!$B:$B,0)+COLUMN(I$1),1))</f>
        <v/>
      </c>
      <c r="BE197" t="str">
        <f>IF($A197="","", INDEX(CS!$B$1:$B$12828,MATCH($A197,CS!$B:$B,0)+COLUMN(J$1),1))</f>
        <v/>
      </c>
      <c r="BF197" t="str">
        <f>IF($A197="","", INDEX(CS!$B$1:$B$12828,MATCH($A197,CS!$B:$B,0)+COLUMN(K$1),1))</f>
        <v/>
      </c>
      <c r="BG197" t="str">
        <f>IF($A197="","", INDEX(CS!$B$1:$B$12828,MATCH($A197,CS!$B:$B,0)+COLUMN(L$1),1))</f>
        <v/>
      </c>
    </row>
    <row r="198" spans="3:59" x14ac:dyDescent="0.4">
      <c r="C198" t="s">
        <v>194</v>
      </c>
      <c r="D198" t="str">
        <f t="shared" si="9"/>
        <v>0/0/0</v>
      </c>
      <c r="E198">
        <v>1</v>
      </c>
      <c r="AX198" t="str">
        <f>IF($A198="","", INDEX(CS!$B$1:$B$12828,MATCH($A198,CS!$B:$B,0)+COLUMN(A$1),1))</f>
        <v/>
      </c>
      <c r="AY198" t="str">
        <f>IF($A198="","", INDEX(CS!$B$1:$B$12828,MATCH($A198,CS!$B:$B,0)+COLUMN(B$1),1))</f>
        <v/>
      </c>
      <c r="AZ198" t="str">
        <f>IF($A198="","", INDEX(CS!$B$1:$B$12828,MATCH($A198,CS!$B:$B,0)+COLUMN(C$1),1))</f>
        <v/>
      </c>
      <c r="BA198" t="str">
        <f>IF($A198="","", INDEX(CS!$B$1:$B$12828,MATCH($A198,CS!$B:$B,0)+COLUMN(D$1),1))</f>
        <v/>
      </c>
      <c r="BB198" t="str">
        <f>IF($A198="","", INDEX(CS!$B$1:$B$12828,MATCH($A198,CS!$B:$B,0)+COLUMN(E$1),1))</f>
        <v/>
      </c>
      <c r="BC198" t="str">
        <f>IF($A198="","", INDEX(CS!$B$1:$B$12828,MATCH($A198,CS!$B:$B,0)+COLUMN(F$1),1))</f>
        <v/>
      </c>
      <c r="BD198" t="str">
        <f>IF($A198="","", INDEX(CS!$B$1:$B$12828,MATCH($A198,CS!$B:$B,0)+COLUMN(I$1),1))</f>
        <v/>
      </c>
      <c r="BE198" t="str">
        <f>IF($A198="","", INDEX(CS!$B$1:$B$12828,MATCH($A198,CS!$B:$B,0)+COLUMN(J$1),1))</f>
        <v/>
      </c>
      <c r="BF198" t="str">
        <f>IF($A198="","", INDEX(CS!$B$1:$B$12828,MATCH($A198,CS!$B:$B,0)+COLUMN(K$1),1))</f>
        <v/>
      </c>
      <c r="BG198" t="str">
        <f>IF($A198="","", INDEX(CS!$B$1:$B$12828,MATCH($A198,CS!$B:$B,0)+COLUMN(L$1),1))</f>
        <v/>
      </c>
    </row>
    <row r="199" spans="3:59" x14ac:dyDescent="0.4">
      <c r="C199" t="s">
        <v>194</v>
      </c>
      <c r="D199" t="str">
        <f t="shared" si="9"/>
        <v>0/0/0</v>
      </c>
      <c r="E199">
        <v>1</v>
      </c>
      <c r="AX199" t="str">
        <f>IF($A199="","", INDEX(CS!$B$1:$B$12828,MATCH($A199,CS!$B:$B,0)+COLUMN(A$1),1))</f>
        <v/>
      </c>
      <c r="AY199" t="str">
        <f>IF($A199="","", INDEX(CS!$B$1:$B$12828,MATCH($A199,CS!$B:$B,0)+COLUMN(B$1),1))</f>
        <v/>
      </c>
      <c r="AZ199" t="str">
        <f>IF($A199="","", INDEX(CS!$B$1:$B$12828,MATCH($A199,CS!$B:$B,0)+COLUMN(C$1),1))</f>
        <v/>
      </c>
      <c r="BA199" t="str">
        <f>IF($A199="","", INDEX(CS!$B$1:$B$12828,MATCH($A199,CS!$B:$B,0)+COLUMN(D$1),1))</f>
        <v/>
      </c>
      <c r="BB199" t="str">
        <f>IF($A199="","", INDEX(CS!$B$1:$B$12828,MATCH($A199,CS!$B:$B,0)+COLUMN(E$1),1))</f>
        <v/>
      </c>
      <c r="BC199" t="str">
        <f>IF($A199="","", INDEX(CS!$B$1:$B$12828,MATCH($A199,CS!$B:$B,0)+COLUMN(F$1),1))</f>
        <v/>
      </c>
      <c r="BD199" t="str">
        <f>IF($A199="","", INDEX(CS!$B$1:$B$12828,MATCH($A199,CS!$B:$B,0)+COLUMN(I$1),1))</f>
        <v/>
      </c>
      <c r="BE199" t="str">
        <f>IF($A199="","", INDEX(CS!$B$1:$B$12828,MATCH($A199,CS!$B:$B,0)+COLUMN(J$1),1))</f>
        <v/>
      </c>
      <c r="BF199" t="str">
        <f>IF($A199="","", INDEX(CS!$B$1:$B$12828,MATCH($A199,CS!$B:$B,0)+COLUMN(K$1),1))</f>
        <v/>
      </c>
      <c r="BG199" t="str">
        <f>IF($A199="","", INDEX(CS!$B$1:$B$12828,MATCH($A199,CS!$B:$B,0)+COLUMN(L$1),1))</f>
        <v/>
      </c>
    </row>
    <row r="200" spans="3:59" x14ac:dyDescent="0.4">
      <c r="C200" t="s">
        <v>194</v>
      </c>
      <c r="D200" t="str">
        <f t="shared" si="9"/>
        <v>0/0/0</v>
      </c>
      <c r="E200">
        <v>1</v>
      </c>
      <c r="AX200" t="str">
        <f>IF($A200="","", INDEX(CS!$B$1:$B$12828,MATCH($A200,CS!$B:$B,0)+COLUMN(A$1),1))</f>
        <v/>
      </c>
      <c r="AY200" t="str">
        <f>IF($A200="","", INDEX(CS!$B$1:$B$12828,MATCH($A200,CS!$B:$B,0)+COLUMN(B$1),1))</f>
        <v/>
      </c>
      <c r="AZ200" t="str">
        <f>IF($A200="","", INDEX(CS!$B$1:$B$12828,MATCH($A200,CS!$B:$B,0)+COLUMN(C$1),1))</f>
        <v/>
      </c>
      <c r="BA200" t="str">
        <f>IF($A200="","", INDEX(CS!$B$1:$B$12828,MATCH($A200,CS!$B:$B,0)+COLUMN(D$1),1))</f>
        <v/>
      </c>
      <c r="BB200" t="str">
        <f>IF($A200="","", INDEX(CS!$B$1:$B$12828,MATCH($A200,CS!$B:$B,0)+COLUMN(E$1),1))</f>
        <v/>
      </c>
      <c r="BC200" t="str">
        <f>IF($A200="","", INDEX(CS!$B$1:$B$12828,MATCH($A200,CS!$B:$B,0)+COLUMN(F$1),1))</f>
        <v/>
      </c>
      <c r="BD200" t="str">
        <f>IF($A200="","", INDEX(CS!$B$1:$B$12828,MATCH($A200,CS!$B:$B,0)+COLUMN(I$1),1))</f>
        <v/>
      </c>
      <c r="BE200" t="str">
        <f>IF($A200="","", INDEX(CS!$B$1:$B$12828,MATCH($A200,CS!$B:$B,0)+COLUMN(J$1),1))</f>
        <v/>
      </c>
      <c r="BF200" t="str">
        <f>IF($A200="","", INDEX(CS!$B$1:$B$12828,MATCH($A200,CS!$B:$B,0)+COLUMN(K$1),1))</f>
        <v/>
      </c>
      <c r="BG200" t="str">
        <f>IF($A200="","", INDEX(CS!$B$1:$B$12828,MATCH($A200,CS!$B:$B,0)+COLUMN(L$1),1))</f>
        <v/>
      </c>
    </row>
    <row r="201" spans="3:59" x14ac:dyDescent="0.4">
      <c r="C201" t="s">
        <v>194</v>
      </c>
      <c r="D201" t="str">
        <f t="shared" si="9"/>
        <v>0/0/0</v>
      </c>
      <c r="E201">
        <v>1</v>
      </c>
      <c r="AX201" t="str">
        <f>IF($A201="","", INDEX(CS!$B$1:$B$12828,MATCH($A201,CS!$B:$B,0)+COLUMN(A$1),1))</f>
        <v/>
      </c>
      <c r="AY201" t="str">
        <f>IF($A201="","", INDEX(CS!$B$1:$B$12828,MATCH($A201,CS!$B:$B,0)+COLUMN(B$1),1))</f>
        <v/>
      </c>
      <c r="AZ201" t="str">
        <f>IF($A201="","", INDEX(CS!$B$1:$B$12828,MATCH($A201,CS!$B:$B,0)+COLUMN(C$1),1))</f>
        <v/>
      </c>
      <c r="BA201" t="str">
        <f>IF($A201="","", INDEX(CS!$B$1:$B$12828,MATCH($A201,CS!$B:$B,0)+COLUMN(D$1),1))</f>
        <v/>
      </c>
      <c r="BB201" t="str">
        <f>IF($A201="","", INDEX(CS!$B$1:$B$12828,MATCH($A201,CS!$B:$B,0)+COLUMN(E$1),1))</f>
        <v/>
      </c>
      <c r="BC201" t="str">
        <f>IF($A201="","", INDEX(CS!$B$1:$B$12828,MATCH($A201,CS!$B:$B,0)+COLUMN(F$1),1))</f>
        <v/>
      </c>
      <c r="BD201" t="str">
        <f>IF($A201="","", INDEX(CS!$B$1:$B$12828,MATCH($A201,CS!$B:$B,0)+COLUMN(I$1),1))</f>
        <v/>
      </c>
      <c r="BE201" t="str">
        <f>IF($A201="","", INDEX(CS!$B$1:$B$12828,MATCH($A201,CS!$B:$B,0)+COLUMN(J$1),1))</f>
        <v/>
      </c>
      <c r="BF201" t="str">
        <f>IF($A201="","", INDEX(CS!$B$1:$B$12828,MATCH($A201,CS!$B:$B,0)+COLUMN(K$1),1))</f>
        <v/>
      </c>
      <c r="BG201" t="str">
        <f>IF($A201="","", INDEX(CS!$B$1:$B$12828,MATCH($A201,CS!$B:$B,0)+COLUMN(L$1),1))</f>
        <v/>
      </c>
    </row>
    <row r="202" spans="3:59" x14ac:dyDescent="0.4">
      <c r="C202" t="s">
        <v>194</v>
      </c>
      <c r="D202" t="str">
        <f t="shared" si="9"/>
        <v>0/0/0</v>
      </c>
      <c r="E202">
        <v>1</v>
      </c>
      <c r="AX202" t="str">
        <f>IF($A202="","", INDEX(CS!$B$1:$B$12828,MATCH($A202,CS!$B:$B,0)+COLUMN(A$1),1))</f>
        <v/>
      </c>
      <c r="AY202" t="str">
        <f>IF($A202="","", INDEX(CS!$B$1:$B$12828,MATCH($A202,CS!$B:$B,0)+COLUMN(B$1),1))</f>
        <v/>
      </c>
      <c r="AZ202" t="str">
        <f>IF($A202="","", INDEX(CS!$B$1:$B$12828,MATCH($A202,CS!$B:$B,0)+COLUMN(C$1),1))</f>
        <v/>
      </c>
      <c r="BA202" t="str">
        <f>IF($A202="","", INDEX(CS!$B$1:$B$12828,MATCH($A202,CS!$B:$B,0)+COLUMN(D$1),1))</f>
        <v/>
      </c>
      <c r="BB202" t="str">
        <f>IF($A202="","", INDEX(CS!$B$1:$B$12828,MATCH($A202,CS!$B:$B,0)+COLUMN(E$1),1))</f>
        <v/>
      </c>
      <c r="BC202" t="str">
        <f>IF($A202="","", INDEX(CS!$B$1:$B$12828,MATCH($A202,CS!$B:$B,0)+COLUMN(F$1),1))</f>
        <v/>
      </c>
      <c r="BD202" t="str">
        <f>IF($A202="","", INDEX(CS!$B$1:$B$12828,MATCH($A202,CS!$B:$B,0)+COLUMN(I$1),1))</f>
        <v/>
      </c>
      <c r="BE202" t="str">
        <f>IF($A202="","", INDEX(CS!$B$1:$B$12828,MATCH($A202,CS!$B:$B,0)+COLUMN(J$1),1))</f>
        <v/>
      </c>
      <c r="BF202" t="str">
        <f>IF($A202="","", INDEX(CS!$B$1:$B$12828,MATCH($A202,CS!$B:$B,0)+COLUMN(K$1),1))</f>
        <v/>
      </c>
      <c r="BG202" t="str">
        <f>IF($A202="","", INDEX(CS!$B$1:$B$12828,MATCH($A202,CS!$B:$B,0)+COLUMN(L$1),1))</f>
        <v/>
      </c>
    </row>
    <row r="203" spans="3:59" x14ac:dyDescent="0.4">
      <c r="C203" t="s">
        <v>194</v>
      </c>
      <c r="D203" t="str">
        <f t="shared" si="9"/>
        <v>0/0/0</v>
      </c>
      <c r="E203">
        <v>1</v>
      </c>
      <c r="AX203" t="str">
        <f>IF($A203="","", INDEX(CS!$B$1:$B$12828,MATCH($A203,CS!$B:$B,0)+COLUMN(A$1),1))</f>
        <v/>
      </c>
      <c r="AY203" t="str">
        <f>IF($A203="","", INDEX(CS!$B$1:$B$12828,MATCH($A203,CS!$B:$B,0)+COLUMN(B$1),1))</f>
        <v/>
      </c>
      <c r="AZ203" t="str">
        <f>IF($A203="","", INDEX(CS!$B$1:$B$12828,MATCH($A203,CS!$B:$B,0)+COLUMN(C$1),1))</f>
        <v/>
      </c>
      <c r="BA203" t="str">
        <f>IF($A203="","", INDEX(CS!$B$1:$B$12828,MATCH($A203,CS!$B:$B,0)+COLUMN(D$1),1))</f>
        <v/>
      </c>
      <c r="BB203" t="str">
        <f>IF($A203="","", INDEX(CS!$B$1:$B$12828,MATCH($A203,CS!$B:$B,0)+COLUMN(E$1),1))</f>
        <v/>
      </c>
      <c r="BC203" t="str">
        <f>IF($A203="","", INDEX(CS!$B$1:$B$12828,MATCH($A203,CS!$B:$B,0)+COLUMN(F$1),1))</f>
        <v/>
      </c>
      <c r="BD203" t="str">
        <f>IF($A203="","", INDEX(CS!$B$1:$B$12828,MATCH($A203,CS!$B:$B,0)+COLUMN(I$1),1))</f>
        <v/>
      </c>
      <c r="BE203" t="str">
        <f>IF($A203="","", INDEX(CS!$B$1:$B$12828,MATCH($A203,CS!$B:$B,0)+COLUMN(J$1),1))</f>
        <v/>
      </c>
      <c r="BF203" t="str">
        <f>IF($A203="","", INDEX(CS!$B$1:$B$12828,MATCH($A203,CS!$B:$B,0)+COLUMN(K$1),1))</f>
        <v/>
      </c>
      <c r="BG203" t="str">
        <f>IF($A203="","", INDEX(CS!$B$1:$B$12828,MATCH($A203,CS!$B:$B,0)+COLUMN(L$1),1))</f>
        <v/>
      </c>
    </row>
    <row r="204" spans="3:59" x14ac:dyDescent="0.4">
      <c r="C204" t="s">
        <v>194</v>
      </c>
      <c r="D204" t="str">
        <f t="shared" si="9"/>
        <v>0/0/0</v>
      </c>
      <c r="E204">
        <v>1</v>
      </c>
      <c r="AX204" t="str">
        <f>IF($A204="","", INDEX(CS!$B$1:$B$12828,MATCH($A204,CS!$B:$B,0)+COLUMN(A$1),1))</f>
        <v/>
      </c>
      <c r="AY204" t="str">
        <f>IF($A204="","", INDEX(CS!$B$1:$B$12828,MATCH($A204,CS!$B:$B,0)+COLUMN(B$1),1))</f>
        <v/>
      </c>
      <c r="AZ204" t="str">
        <f>IF($A204="","", INDEX(CS!$B$1:$B$12828,MATCH($A204,CS!$B:$B,0)+COLUMN(C$1),1))</f>
        <v/>
      </c>
      <c r="BA204" t="str">
        <f>IF($A204="","", INDEX(CS!$B$1:$B$12828,MATCH($A204,CS!$B:$B,0)+COLUMN(D$1),1))</f>
        <v/>
      </c>
      <c r="BB204" t="str">
        <f>IF($A204="","", INDEX(CS!$B$1:$B$12828,MATCH($A204,CS!$B:$B,0)+COLUMN(E$1),1))</f>
        <v/>
      </c>
      <c r="BC204" t="str">
        <f>IF($A204="","", INDEX(CS!$B$1:$B$12828,MATCH($A204,CS!$B:$B,0)+COLUMN(F$1),1))</f>
        <v/>
      </c>
      <c r="BD204" t="str">
        <f>IF($A204="","", INDEX(CS!$B$1:$B$12828,MATCH($A204,CS!$B:$B,0)+COLUMN(I$1),1))</f>
        <v/>
      </c>
      <c r="BE204" t="str">
        <f>IF($A204="","", INDEX(CS!$B$1:$B$12828,MATCH($A204,CS!$B:$B,0)+COLUMN(J$1),1))</f>
        <v/>
      </c>
      <c r="BF204" t="str">
        <f>IF($A204="","", INDEX(CS!$B$1:$B$12828,MATCH($A204,CS!$B:$B,0)+COLUMN(K$1),1))</f>
        <v/>
      </c>
      <c r="BG204" t="str">
        <f>IF($A204="","", INDEX(CS!$B$1:$B$12828,MATCH($A204,CS!$B:$B,0)+COLUMN(L$1),1))</f>
        <v/>
      </c>
    </row>
    <row r="205" spans="3:59" x14ac:dyDescent="0.4">
      <c r="C205" t="s">
        <v>194</v>
      </c>
      <c r="D205" t="str">
        <f t="shared" si="9"/>
        <v>0/0/0</v>
      </c>
      <c r="E205">
        <v>1</v>
      </c>
      <c r="AX205" t="str">
        <f>IF($A205="","", INDEX(CS!$B$1:$B$12828,MATCH($A205,CS!$B:$B,0)+COLUMN(A$1),1))</f>
        <v/>
      </c>
      <c r="AY205" t="str">
        <f>IF($A205="","", INDEX(CS!$B$1:$B$12828,MATCH($A205,CS!$B:$B,0)+COLUMN(B$1),1))</f>
        <v/>
      </c>
      <c r="AZ205" t="str">
        <f>IF($A205="","", INDEX(CS!$B$1:$B$12828,MATCH($A205,CS!$B:$B,0)+COLUMN(C$1),1))</f>
        <v/>
      </c>
      <c r="BA205" t="str">
        <f>IF($A205="","", INDEX(CS!$B$1:$B$12828,MATCH($A205,CS!$B:$B,0)+COLUMN(D$1),1))</f>
        <v/>
      </c>
      <c r="BB205" t="str">
        <f>IF($A205="","", INDEX(CS!$B$1:$B$12828,MATCH($A205,CS!$B:$B,0)+COLUMN(E$1),1))</f>
        <v/>
      </c>
      <c r="BC205" t="str">
        <f>IF($A205="","", INDEX(CS!$B$1:$B$12828,MATCH($A205,CS!$B:$B,0)+COLUMN(F$1),1))</f>
        <v/>
      </c>
      <c r="BD205" t="str">
        <f>IF($A205="","", INDEX(CS!$B$1:$B$12828,MATCH($A205,CS!$B:$B,0)+COLUMN(I$1),1))</f>
        <v/>
      </c>
      <c r="BE205" t="str">
        <f>IF($A205="","", INDEX(CS!$B$1:$B$12828,MATCH($A205,CS!$B:$B,0)+COLUMN(J$1),1))</f>
        <v/>
      </c>
      <c r="BF205" t="str">
        <f>IF($A205="","", INDEX(CS!$B$1:$B$12828,MATCH($A205,CS!$B:$B,0)+COLUMN(K$1),1))</f>
        <v/>
      </c>
      <c r="BG205" t="str">
        <f>IF($A205="","", INDEX(CS!$B$1:$B$12828,MATCH($A205,CS!$B:$B,0)+COLUMN(L$1),1))</f>
        <v/>
      </c>
    </row>
    <row r="206" spans="3:59" x14ac:dyDescent="0.4">
      <c r="C206" t="s">
        <v>194</v>
      </c>
      <c r="D206" t="str">
        <f t="shared" si="9"/>
        <v>0/0/0</v>
      </c>
      <c r="E206">
        <v>1</v>
      </c>
      <c r="AX206" t="str">
        <f>IF($A206="","", INDEX(CS!$B$1:$B$12828,MATCH($A206,CS!$B:$B,0)+COLUMN(A$1),1))</f>
        <v/>
      </c>
      <c r="AY206" t="str">
        <f>IF($A206="","", INDEX(CS!$B$1:$B$12828,MATCH($A206,CS!$B:$B,0)+COLUMN(B$1),1))</f>
        <v/>
      </c>
      <c r="AZ206" t="str">
        <f>IF($A206="","", INDEX(CS!$B$1:$B$12828,MATCH($A206,CS!$B:$B,0)+COLUMN(C$1),1))</f>
        <v/>
      </c>
      <c r="BA206" t="str">
        <f>IF($A206="","", INDEX(CS!$B$1:$B$12828,MATCH($A206,CS!$B:$B,0)+COLUMN(D$1),1))</f>
        <v/>
      </c>
      <c r="BB206" t="str">
        <f>IF($A206="","", INDEX(CS!$B$1:$B$12828,MATCH($A206,CS!$B:$B,0)+COLUMN(E$1),1))</f>
        <v/>
      </c>
      <c r="BC206" t="str">
        <f>IF($A206="","", INDEX(CS!$B$1:$B$12828,MATCH($A206,CS!$B:$B,0)+COLUMN(F$1),1))</f>
        <v/>
      </c>
      <c r="BD206" t="str">
        <f>IF($A206="","", INDEX(CS!$B$1:$B$12828,MATCH($A206,CS!$B:$B,0)+COLUMN(I$1),1))</f>
        <v/>
      </c>
      <c r="BE206" t="str">
        <f>IF($A206="","", INDEX(CS!$B$1:$B$12828,MATCH($A206,CS!$B:$B,0)+COLUMN(J$1),1))</f>
        <v/>
      </c>
      <c r="BF206" t="str">
        <f>IF($A206="","", INDEX(CS!$B$1:$B$12828,MATCH($A206,CS!$B:$B,0)+COLUMN(K$1),1))</f>
        <v/>
      </c>
      <c r="BG206" t="str">
        <f>IF($A206="","", INDEX(CS!$B$1:$B$12828,MATCH($A206,CS!$B:$B,0)+COLUMN(L$1),1))</f>
        <v/>
      </c>
    </row>
    <row r="207" spans="3:59" x14ac:dyDescent="0.4">
      <c r="C207" t="s">
        <v>194</v>
      </c>
      <c r="D207" t="str">
        <f t="shared" si="9"/>
        <v>0/0/0</v>
      </c>
      <c r="E207">
        <v>1</v>
      </c>
      <c r="AX207" t="str">
        <f>IF($A207="","", INDEX(CS!$B$1:$B$12828,MATCH($A207,CS!$B:$B,0)+COLUMN(A$1),1))</f>
        <v/>
      </c>
      <c r="AY207" t="str">
        <f>IF($A207="","", INDEX(CS!$B$1:$B$12828,MATCH($A207,CS!$B:$B,0)+COLUMN(B$1),1))</f>
        <v/>
      </c>
      <c r="AZ207" t="str">
        <f>IF($A207="","", INDEX(CS!$B$1:$B$12828,MATCH($A207,CS!$B:$B,0)+COLUMN(C$1),1))</f>
        <v/>
      </c>
      <c r="BA207" t="str">
        <f>IF($A207="","", INDEX(CS!$B$1:$B$12828,MATCH($A207,CS!$B:$B,0)+COLUMN(D$1),1))</f>
        <v/>
      </c>
      <c r="BB207" t="str">
        <f>IF($A207="","", INDEX(CS!$B$1:$B$12828,MATCH($A207,CS!$B:$B,0)+COLUMN(E$1),1))</f>
        <v/>
      </c>
      <c r="BC207" t="str">
        <f>IF($A207="","", INDEX(CS!$B$1:$B$12828,MATCH($A207,CS!$B:$B,0)+COLUMN(F$1),1))</f>
        <v/>
      </c>
      <c r="BD207" t="str">
        <f>IF($A207="","", INDEX(CS!$B$1:$B$12828,MATCH($A207,CS!$B:$B,0)+COLUMN(I$1),1))</f>
        <v/>
      </c>
      <c r="BE207" t="str">
        <f>IF($A207="","", INDEX(CS!$B$1:$B$12828,MATCH($A207,CS!$B:$B,0)+COLUMN(J$1),1))</f>
        <v/>
      </c>
      <c r="BF207" t="str">
        <f>IF($A207="","", INDEX(CS!$B$1:$B$12828,MATCH($A207,CS!$B:$B,0)+COLUMN(K$1),1))</f>
        <v/>
      </c>
      <c r="BG207" t="str">
        <f>IF($A207="","", INDEX(CS!$B$1:$B$12828,MATCH($A207,CS!$B:$B,0)+COLUMN(L$1),1))</f>
        <v/>
      </c>
    </row>
    <row r="208" spans="3:59" x14ac:dyDescent="0.4">
      <c r="C208" t="s">
        <v>194</v>
      </c>
      <c r="D208" t="str">
        <f t="shared" si="9"/>
        <v>0/0/0</v>
      </c>
      <c r="E208">
        <v>1</v>
      </c>
      <c r="AX208" t="str">
        <f>IF($A208="","", INDEX(CS!$B$1:$B$12828,MATCH($A208,CS!$B:$B,0)+COLUMN(A$1),1))</f>
        <v/>
      </c>
      <c r="AY208" t="str">
        <f>IF($A208="","", INDEX(CS!$B$1:$B$12828,MATCH($A208,CS!$B:$B,0)+COLUMN(B$1),1))</f>
        <v/>
      </c>
      <c r="AZ208" t="str">
        <f>IF($A208="","", INDEX(CS!$B$1:$B$12828,MATCH($A208,CS!$B:$B,0)+COLUMN(C$1),1))</f>
        <v/>
      </c>
      <c r="BA208" t="str">
        <f>IF($A208="","", INDEX(CS!$B$1:$B$12828,MATCH($A208,CS!$B:$B,0)+COLUMN(D$1),1))</f>
        <v/>
      </c>
      <c r="BB208" t="str">
        <f>IF($A208="","", INDEX(CS!$B$1:$B$12828,MATCH($A208,CS!$B:$B,0)+COLUMN(E$1),1))</f>
        <v/>
      </c>
      <c r="BC208" t="str">
        <f>IF($A208="","", INDEX(CS!$B$1:$B$12828,MATCH($A208,CS!$B:$B,0)+COLUMN(F$1),1))</f>
        <v/>
      </c>
      <c r="BD208" t="str">
        <f>IF($A208="","", INDEX(CS!$B$1:$B$12828,MATCH($A208,CS!$B:$B,0)+COLUMN(I$1),1))</f>
        <v/>
      </c>
      <c r="BE208" t="str">
        <f>IF($A208="","", INDEX(CS!$B$1:$B$12828,MATCH($A208,CS!$B:$B,0)+COLUMN(J$1),1))</f>
        <v/>
      </c>
      <c r="BF208" t="str">
        <f>IF($A208="","", INDEX(CS!$B$1:$B$12828,MATCH($A208,CS!$B:$B,0)+COLUMN(K$1),1))</f>
        <v/>
      </c>
      <c r="BG208" t="str">
        <f>IF($A208="","", INDEX(CS!$B$1:$B$12828,MATCH($A208,CS!$B:$B,0)+COLUMN(L$1),1))</f>
        <v/>
      </c>
    </row>
    <row r="209" spans="3:59" x14ac:dyDescent="0.4">
      <c r="C209" t="s">
        <v>194</v>
      </c>
      <c r="D209" t="str">
        <f t="shared" si="9"/>
        <v>0/0/0</v>
      </c>
      <c r="E209">
        <v>1</v>
      </c>
      <c r="AX209" t="str">
        <f>IF($A209="","", INDEX(CS!$B$1:$B$12828,MATCH($A209,CS!$B:$B,0)+COLUMN(A$1),1))</f>
        <v/>
      </c>
      <c r="AY209" t="str">
        <f>IF($A209="","", INDEX(CS!$B$1:$B$12828,MATCH($A209,CS!$B:$B,0)+COLUMN(B$1),1))</f>
        <v/>
      </c>
      <c r="AZ209" t="str">
        <f>IF($A209="","", INDEX(CS!$B$1:$B$12828,MATCH($A209,CS!$B:$B,0)+COLUMN(C$1),1))</f>
        <v/>
      </c>
      <c r="BA209" t="str">
        <f>IF($A209="","", INDEX(CS!$B$1:$B$12828,MATCH($A209,CS!$B:$B,0)+COLUMN(D$1),1))</f>
        <v/>
      </c>
      <c r="BB209" t="str">
        <f>IF($A209="","", INDEX(CS!$B$1:$B$12828,MATCH($A209,CS!$B:$B,0)+COLUMN(E$1),1))</f>
        <v/>
      </c>
      <c r="BC209" t="str">
        <f>IF($A209="","", INDEX(CS!$B$1:$B$12828,MATCH($A209,CS!$B:$B,0)+COLUMN(F$1),1))</f>
        <v/>
      </c>
      <c r="BD209" t="str">
        <f>IF($A209="","", INDEX(CS!$B$1:$B$12828,MATCH($A209,CS!$B:$B,0)+COLUMN(I$1),1))</f>
        <v/>
      </c>
      <c r="BE209" t="str">
        <f>IF($A209="","", INDEX(CS!$B$1:$B$12828,MATCH($A209,CS!$B:$B,0)+COLUMN(J$1),1))</f>
        <v/>
      </c>
      <c r="BF209" t="str">
        <f>IF($A209="","", INDEX(CS!$B$1:$B$12828,MATCH($A209,CS!$B:$B,0)+COLUMN(K$1),1))</f>
        <v/>
      </c>
      <c r="BG209" t="str">
        <f>IF($A209="","", INDEX(CS!$B$1:$B$12828,MATCH($A209,CS!$B:$B,0)+COLUMN(L$1),1))</f>
        <v/>
      </c>
    </row>
    <row r="210" spans="3:59" x14ac:dyDescent="0.4">
      <c r="C210" t="s">
        <v>194</v>
      </c>
      <c r="D210" t="str">
        <f t="shared" si="9"/>
        <v>0/0/0</v>
      </c>
      <c r="E210">
        <v>1</v>
      </c>
      <c r="AX210" t="str">
        <f>IF($A210="","", INDEX(CS!$B$1:$B$12828,MATCH($A210,CS!$B:$B,0)+COLUMN(A$1),1))</f>
        <v/>
      </c>
      <c r="AY210" t="str">
        <f>IF($A210="","", INDEX(CS!$B$1:$B$12828,MATCH($A210,CS!$B:$B,0)+COLUMN(B$1),1))</f>
        <v/>
      </c>
      <c r="AZ210" t="str">
        <f>IF($A210="","", INDEX(CS!$B$1:$B$12828,MATCH($A210,CS!$B:$B,0)+COLUMN(C$1),1))</f>
        <v/>
      </c>
      <c r="BA210" t="str">
        <f>IF($A210="","", INDEX(CS!$B$1:$B$12828,MATCH($A210,CS!$B:$B,0)+COLUMN(D$1),1))</f>
        <v/>
      </c>
      <c r="BB210" t="str">
        <f>IF($A210="","", INDEX(CS!$B$1:$B$12828,MATCH($A210,CS!$B:$B,0)+COLUMN(E$1),1))</f>
        <v/>
      </c>
      <c r="BC210" t="str">
        <f>IF($A210="","", INDEX(CS!$B$1:$B$12828,MATCH($A210,CS!$B:$B,0)+COLUMN(F$1),1))</f>
        <v/>
      </c>
      <c r="BD210" t="str">
        <f>IF($A210="","", INDEX(CS!$B$1:$B$12828,MATCH($A210,CS!$B:$B,0)+COLUMN(I$1),1))</f>
        <v/>
      </c>
      <c r="BE210" t="str">
        <f>IF($A210="","", INDEX(CS!$B$1:$B$12828,MATCH($A210,CS!$B:$B,0)+COLUMN(J$1),1))</f>
        <v/>
      </c>
      <c r="BF210" t="str">
        <f>IF($A210="","", INDEX(CS!$B$1:$B$12828,MATCH($A210,CS!$B:$B,0)+COLUMN(K$1),1))</f>
        <v/>
      </c>
      <c r="BG210" t="str">
        <f>IF($A210="","", INDEX(CS!$B$1:$B$12828,MATCH($A210,CS!$B:$B,0)+COLUMN(L$1),1))</f>
        <v/>
      </c>
    </row>
    <row r="211" spans="3:59" x14ac:dyDescent="0.4">
      <c r="C211" t="s">
        <v>194</v>
      </c>
      <c r="D211" t="str">
        <f t="shared" si="9"/>
        <v>0/0/0</v>
      </c>
      <c r="E211">
        <v>1</v>
      </c>
      <c r="AX211" t="str">
        <f>IF($A211="","", INDEX(CS!$B$1:$B$12828,MATCH($A211,CS!$B:$B,0)+COLUMN(A$1),1))</f>
        <v/>
      </c>
      <c r="AY211" t="str">
        <f>IF($A211="","", INDEX(CS!$B$1:$B$12828,MATCH($A211,CS!$B:$B,0)+COLUMN(B$1),1))</f>
        <v/>
      </c>
      <c r="AZ211" t="str">
        <f>IF($A211="","", INDEX(CS!$B$1:$B$12828,MATCH($A211,CS!$B:$B,0)+COLUMN(C$1),1))</f>
        <v/>
      </c>
      <c r="BA211" t="str">
        <f>IF($A211="","", INDEX(CS!$B$1:$B$12828,MATCH($A211,CS!$B:$B,0)+COLUMN(D$1),1))</f>
        <v/>
      </c>
      <c r="BB211" t="str">
        <f>IF($A211="","", INDEX(CS!$B$1:$B$12828,MATCH($A211,CS!$B:$B,0)+COLUMN(E$1),1))</f>
        <v/>
      </c>
      <c r="BC211" t="str">
        <f>IF($A211="","", INDEX(CS!$B$1:$B$12828,MATCH($A211,CS!$B:$B,0)+COLUMN(F$1),1))</f>
        <v/>
      </c>
      <c r="BD211" t="str">
        <f>IF($A211="","", INDEX(CS!$B$1:$B$12828,MATCH($A211,CS!$B:$B,0)+COLUMN(I$1),1))</f>
        <v/>
      </c>
      <c r="BE211" t="str">
        <f>IF($A211="","", INDEX(CS!$B$1:$B$12828,MATCH($A211,CS!$B:$B,0)+COLUMN(J$1),1))</f>
        <v/>
      </c>
      <c r="BF211" t="str">
        <f>IF($A211="","", INDEX(CS!$B$1:$B$12828,MATCH($A211,CS!$B:$B,0)+COLUMN(K$1),1))</f>
        <v/>
      </c>
      <c r="BG211" t="str">
        <f>IF($A211="","", INDEX(CS!$B$1:$B$12828,MATCH($A211,CS!$B:$B,0)+COLUMN(L$1),1))</f>
        <v/>
      </c>
    </row>
    <row r="212" spans="3:59" x14ac:dyDescent="0.4">
      <c r="C212" t="s">
        <v>194</v>
      </c>
      <c r="D212" t="str">
        <f t="shared" si="9"/>
        <v>0/0/0</v>
      </c>
      <c r="E212">
        <v>1</v>
      </c>
      <c r="AX212" t="str">
        <f>IF($A212="","", INDEX(CS!$B$1:$B$12828,MATCH($A212,CS!$B:$B,0)+COLUMN(A$1),1))</f>
        <v/>
      </c>
      <c r="AY212" t="str">
        <f>IF($A212="","", INDEX(CS!$B$1:$B$12828,MATCH($A212,CS!$B:$B,0)+COLUMN(B$1),1))</f>
        <v/>
      </c>
      <c r="AZ212" t="str">
        <f>IF($A212="","", INDEX(CS!$B$1:$B$12828,MATCH($A212,CS!$B:$B,0)+COLUMN(C$1),1))</f>
        <v/>
      </c>
      <c r="BA212" t="str">
        <f>IF($A212="","", INDEX(CS!$B$1:$B$12828,MATCH($A212,CS!$B:$B,0)+COLUMN(D$1),1))</f>
        <v/>
      </c>
      <c r="BB212" t="str">
        <f>IF($A212="","", INDEX(CS!$B$1:$B$12828,MATCH($A212,CS!$B:$B,0)+COLUMN(E$1),1))</f>
        <v/>
      </c>
      <c r="BC212" t="str">
        <f>IF($A212="","", INDEX(CS!$B$1:$B$12828,MATCH($A212,CS!$B:$B,0)+COLUMN(F$1),1))</f>
        <v/>
      </c>
      <c r="BD212" t="str">
        <f>IF($A212="","", INDEX(CS!$B$1:$B$12828,MATCH($A212,CS!$B:$B,0)+COLUMN(I$1),1))</f>
        <v/>
      </c>
      <c r="BE212" t="str">
        <f>IF($A212="","", INDEX(CS!$B$1:$B$12828,MATCH($A212,CS!$B:$B,0)+COLUMN(J$1),1))</f>
        <v/>
      </c>
      <c r="BF212" t="str">
        <f>IF($A212="","", INDEX(CS!$B$1:$B$12828,MATCH($A212,CS!$B:$B,0)+COLUMN(K$1),1))</f>
        <v/>
      </c>
      <c r="BG212" t="str">
        <f>IF($A212="","", INDEX(CS!$B$1:$B$12828,MATCH($A212,CS!$B:$B,0)+COLUMN(L$1),1))</f>
        <v/>
      </c>
    </row>
    <row r="213" spans="3:59" x14ac:dyDescent="0.4">
      <c r="C213" t="s">
        <v>194</v>
      </c>
      <c r="D213" t="str">
        <f t="shared" si="9"/>
        <v>0/0/0</v>
      </c>
      <c r="E213">
        <v>1</v>
      </c>
      <c r="AX213" t="str">
        <f>IF($A213="","", INDEX(CS!$B$1:$B$12828,MATCH($A213,CS!$B:$B,0)+COLUMN(A$1),1))</f>
        <v/>
      </c>
      <c r="AY213" t="str">
        <f>IF($A213="","", INDEX(CS!$B$1:$B$12828,MATCH($A213,CS!$B:$B,0)+COLUMN(B$1),1))</f>
        <v/>
      </c>
      <c r="AZ213" t="str">
        <f>IF($A213="","", INDEX(CS!$B$1:$B$12828,MATCH($A213,CS!$B:$B,0)+COLUMN(C$1),1))</f>
        <v/>
      </c>
      <c r="BA213" t="str">
        <f>IF($A213="","", INDEX(CS!$B$1:$B$12828,MATCH($A213,CS!$B:$B,0)+COLUMN(D$1),1))</f>
        <v/>
      </c>
      <c r="BB213" t="str">
        <f>IF($A213="","", INDEX(CS!$B$1:$B$12828,MATCH($A213,CS!$B:$B,0)+COLUMN(E$1),1))</f>
        <v/>
      </c>
      <c r="BC213" t="str">
        <f>IF($A213="","", INDEX(CS!$B$1:$B$12828,MATCH($A213,CS!$B:$B,0)+COLUMN(F$1),1))</f>
        <v/>
      </c>
      <c r="BD213" t="str">
        <f>IF($A213="","", INDEX(CS!$B$1:$B$12828,MATCH($A213,CS!$B:$B,0)+COLUMN(I$1),1))</f>
        <v/>
      </c>
      <c r="BE213" t="str">
        <f>IF($A213="","", INDEX(CS!$B$1:$B$12828,MATCH($A213,CS!$B:$B,0)+COLUMN(J$1),1))</f>
        <v/>
      </c>
      <c r="BF213" t="str">
        <f>IF($A213="","", INDEX(CS!$B$1:$B$12828,MATCH($A213,CS!$B:$B,0)+COLUMN(K$1),1))</f>
        <v/>
      </c>
      <c r="BG213" t="str">
        <f>IF($A213="","", INDEX(CS!$B$1:$B$12828,MATCH($A213,CS!$B:$B,0)+COLUMN(L$1),1))</f>
        <v/>
      </c>
    </row>
    <row r="214" spans="3:59" x14ac:dyDescent="0.4">
      <c r="C214" t="s">
        <v>194</v>
      </c>
      <c r="D214" t="str">
        <f t="shared" si="9"/>
        <v>0/0/0</v>
      </c>
      <c r="E214">
        <v>1</v>
      </c>
      <c r="AX214" t="str">
        <f>IF($A214="","", INDEX(CS!$B$1:$B$12828,MATCH($A214,CS!$B:$B,0)+COLUMN(A$1),1))</f>
        <v/>
      </c>
      <c r="AY214" t="str">
        <f>IF($A214="","", INDEX(CS!$B$1:$B$12828,MATCH($A214,CS!$B:$B,0)+COLUMN(B$1),1))</f>
        <v/>
      </c>
      <c r="AZ214" t="str">
        <f>IF($A214="","", INDEX(CS!$B$1:$B$12828,MATCH($A214,CS!$B:$B,0)+COLUMN(C$1),1))</f>
        <v/>
      </c>
      <c r="BA214" t="str">
        <f>IF($A214="","", INDEX(CS!$B$1:$B$12828,MATCH($A214,CS!$B:$B,0)+COLUMN(D$1),1))</f>
        <v/>
      </c>
      <c r="BB214" t="str">
        <f>IF($A214="","", INDEX(CS!$B$1:$B$12828,MATCH($A214,CS!$B:$B,0)+COLUMN(E$1),1))</f>
        <v/>
      </c>
      <c r="BC214" t="str">
        <f>IF($A214="","", INDEX(CS!$B$1:$B$12828,MATCH($A214,CS!$B:$B,0)+COLUMN(F$1),1))</f>
        <v/>
      </c>
      <c r="BD214" t="str">
        <f>IF($A214="","", INDEX(CS!$B$1:$B$12828,MATCH($A214,CS!$B:$B,0)+COLUMN(I$1),1))</f>
        <v/>
      </c>
      <c r="BE214" t="str">
        <f>IF($A214="","", INDEX(CS!$B$1:$B$12828,MATCH($A214,CS!$B:$B,0)+COLUMN(J$1),1))</f>
        <v/>
      </c>
      <c r="BF214" t="str">
        <f>IF($A214="","", INDEX(CS!$B$1:$B$12828,MATCH($A214,CS!$B:$B,0)+COLUMN(K$1),1))</f>
        <v/>
      </c>
      <c r="BG214" t="str">
        <f>IF($A214="","", INDEX(CS!$B$1:$B$12828,MATCH($A214,CS!$B:$B,0)+COLUMN(L$1),1))</f>
        <v/>
      </c>
    </row>
    <row r="215" spans="3:59" x14ac:dyDescent="0.4">
      <c r="C215" t="s">
        <v>194</v>
      </c>
      <c r="D215" t="str">
        <f t="shared" si="9"/>
        <v>0/0/0</v>
      </c>
      <c r="E215">
        <v>1</v>
      </c>
      <c r="AX215" t="str">
        <f>IF($A215="","", INDEX(CS!$B$1:$B$12828,MATCH($A215,CS!$B:$B,0)+COLUMN(A$1),1))</f>
        <v/>
      </c>
      <c r="AY215" t="str">
        <f>IF($A215="","", INDEX(CS!$B$1:$B$12828,MATCH($A215,CS!$B:$B,0)+COLUMN(B$1),1))</f>
        <v/>
      </c>
      <c r="AZ215" t="str">
        <f>IF($A215="","", INDEX(CS!$B$1:$B$12828,MATCH($A215,CS!$B:$B,0)+COLUMN(C$1),1))</f>
        <v/>
      </c>
      <c r="BA215" t="str">
        <f>IF($A215="","", INDEX(CS!$B$1:$B$12828,MATCH($A215,CS!$B:$B,0)+COLUMN(D$1),1))</f>
        <v/>
      </c>
      <c r="BB215" t="str">
        <f>IF($A215="","", INDEX(CS!$B$1:$B$12828,MATCH($A215,CS!$B:$B,0)+COLUMN(E$1),1))</f>
        <v/>
      </c>
      <c r="BC215" t="str">
        <f>IF($A215="","", INDEX(CS!$B$1:$B$12828,MATCH($A215,CS!$B:$B,0)+COLUMN(F$1),1))</f>
        <v/>
      </c>
      <c r="BD215" t="str">
        <f>IF($A215="","", INDEX(CS!$B$1:$B$12828,MATCH($A215,CS!$B:$B,0)+COLUMN(I$1),1))</f>
        <v/>
      </c>
      <c r="BE215" t="str">
        <f>IF($A215="","", INDEX(CS!$B$1:$B$12828,MATCH($A215,CS!$B:$B,0)+COLUMN(J$1),1))</f>
        <v/>
      </c>
      <c r="BF215" t="str">
        <f>IF($A215="","", INDEX(CS!$B$1:$B$12828,MATCH($A215,CS!$B:$B,0)+COLUMN(K$1),1))</f>
        <v/>
      </c>
      <c r="BG215" t="str">
        <f>IF($A215="","", INDEX(CS!$B$1:$B$12828,MATCH($A215,CS!$B:$B,0)+COLUMN(L$1),1))</f>
        <v/>
      </c>
    </row>
    <row r="216" spans="3:59" x14ac:dyDescent="0.4">
      <c r="C216" t="s">
        <v>194</v>
      </c>
      <c r="D216" t="str">
        <f t="shared" si="9"/>
        <v>0/0/0</v>
      </c>
      <c r="E216">
        <v>1</v>
      </c>
      <c r="AX216" t="str">
        <f>IF($A216="","", INDEX(CS!$B$1:$B$12828,MATCH($A216,CS!$B:$B,0)+COLUMN(A$1),1))</f>
        <v/>
      </c>
      <c r="AY216" t="str">
        <f>IF($A216="","", INDEX(CS!$B$1:$B$12828,MATCH($A216,CS!$B:$B,0)+COLUMN(B$1),1))</f>
        <v/>
      </c>
      <c r="AZ216" t="str">
        <f>IF($A216="","", INDEX(CS!$B$1:$B$12828,MATCH($A216,CS!$B:$B,0)+COLUMN(C$1),1))</f>
        <v/>
      </c>
      <c r="BA216" t="str">
        <f>IF($A216="","", INDEX(CS!$B$1:$B$12828,MATCH($A216,CS!$B:$B,0)+COLUMN(D$1),1))</f>
        <v/>
      </c>
      <c r="BB216" t="str">
        <f>IF($A216="","", INDEX(CS!$B$1:$B$12828,MATCH($A216,CS!$B:$B,0)+COLUMN(E$1),1))</f>
        <v/>
      </c>
      <c r="BC216" t="str">
        <f>IF($A216="","", INDEX(CS!$B$1:$B$12828,MATCH($A216,CS!$B:$B,0)+COLUMN(F$1),1))</f>
        <v/>
      </c>
      <c r="BD216" t="str">
        <f>IF($A216="","", INDEX(CS!$B$1:$B$12828,MATCH($A216,CS!$B:$B,0)+COLUMN(I$1),1))</f>
        <v/>
      </c>
      <c r="BE216" t="str">
        <f>IF($A216="","", INDEX(CS!$B$1:$B$12828,MATCH($A216,CS!$B:$B,0)+COLUMN(J$1),1))</f>
        <v/>
      </c>
      <c r="BF216" t="str">
        <f>IF($A216="","", INDEX(CS!$B$1:$B$12828,MATCH($A216,CS!$B:$B,0)+COLUMN(K$1),1))</f>
        <v/>
      </c>
      <c r="BG216" t="str">
        <f>IF($A216="","", INDEX(CS!$B$1:$B$12828,MATCH($A216,CS!$B:$B,0)+COLUMN(L$1),1))</f>
        <v/>
      </c>
    </row>
    <row r="217" spans="3:59" x14ac:dyDescent="0.4">
      <c r="C217" t="s">
        <v>194</v>
      </c>
      <c r="D217" t="str">
        <f t="shared" si="9"/>
        <v>0/0/0</v>
      </c>
      <c r="E217">
        <v>1</v>
      </c>
      <c r="AX217" t="str">
        <f>IF($A217="","", INDEX(CS!$B$1:$B$12828,MATCH($A217,CS!$B:$B,0)+COLUMN(A$1),1))</f>
        <v/>
      </c>
      <c r="AY217" t="str">
        <f>IF($A217="","", INDEX(CS!$B$1:$B$12828,MATCH($A217,CS!$B:$B,0)+COLUMN(B$1),1))</f>
        <v/>
      </c>
      <c r="AZ217" t="str">
        <f>IF($A217="","", INDEX(CS!$B$1:$B$12828,MATCH($A217,CS!$B:$B,0)+COLUMN(C$1),1))</f>
        <v/>
      </c>
      <c r="BA217" t="str">
        <f>IF($A217="","", INDEX(CS!$B$1:$B$12828,MATCH($A217,CS!$B:$B,0)+COLUMN(D$1),1))</f>
        <v/>
      </c>
      <c r="BB217" t="str">
        <f>IF($A217="","", INDEX(CS!$B$1:$B$12828,MATCH($A217,CS!$B:$B,0)+COLUMN(E$1),1))</f>
        <v/>
      </c>
      <c r="BC217" t="str">
        <f>IF($A217="","", INDEX(CS!$B$1:$B$12828,MATCH($A217,CS!$B:$B,0)+COLUMN(F$1),1))</f>
        <v/>
      </c>
      <c r="BD217" t="str">
        <f>IF($A217="","", INDEX(CS!$B$1:$B$12828,MATCH($A217,CS!$B:$B,0)+COLUMN(I$1),1))</f>
        <v/>
      </c>
      <c r="BE217" t="str">
        <f>IF($A217="","", INDEX(CS!$B$1:$B$12828,MATCH($A217,CS!$B:$B,0)+COLUMN(J$1),1))</f>
        <v/>
      </c>
      <c r="BF217" t="str">
        <f>IF($A217="","", INDEX(CS!$B$1:$B$12828,MATCH($A217,CS!$B:$B,0)+COLUMN(K$1),1))</f>
        <v/>
      </c>
      <c r="BG217" t="str">
        <f>IF($A217="","", INDEX(CS!$B$1:$B$12828,MATCH($A217,CS!$B:$B,0)+COLUMN(L$1),1))</f>
        <v/>
      </c>
    </row>
    <row r="218" spans="3:59" x14ac:dyDescent="0.4">
      <c r="C218" t="s">
        <v>194</v>
      </c>
      <c r="D218" t="str">
        <f t="shared" si="9"/>
        <v>0/0/0</v>
      </c>
      <c r="E218">
        <v>1</v>
      </c>
      <c r="AX218" t="str">
        <f>IF($A218="","", INDEX(CS!$B$1:$B$12828,MATCH($A218,CS!$B:$B,0)+COLUMN(A$1),1))</f>
        <v/>
      </c>
      <c r="AY218" t="str">
        <f>IF($A218="","", INDEX(CS!$B$1:$B$12828,MATCH($A218,CS!$B:$B,0)+COLUMN(B$1),1))</f>
        <v/>
      </c>
      <c r="AZ218" t="str">
        <f>IF($A218="","", INDEX(CS!$B$1:$B$12828,MATCH($A218,CS!$B:$B,0)+COLUMN(C$1),1))</f>
        <v/>
      </c>
      <c r="BA218" t="str">
        <f>IF($A218="","", INDEX(CS!$B$1:$B$12828,MATCH($A218,CS!$B:$B,0)+COLUMN(D$1),1))</f>
        <v/>
      </c>
      <c r="BB218" t="str">
        <f>IF($A218="","", INDEX(CS!$B$1:$B$12828,MATCH($A218,CS!$B:$B,0)+COLUMN(E$1),1))</f>
        <v/>
      </c>
      <c r="BC218" t="str">
        <f>IF($A218="","", INDEX(CS!$B$1:$B$12828,MATCH($A218,CS!$B:$B,0)+COLUMN(F$1),1))</f>
        <v/>
      </c>
      <c r="BD218" t="str">
        <f>IF($A218="","", INDEX(CS!$B$1:$B$12828,MATCH($A218,CS!$B:$B,0)+COLUMN(I$1),1))</f>
        <v/>
      </c>
      <c r="BE218" t="str">
        <f>IF($A218="","", INDEX(CS!$B$1:$B$12828,MATCH($A218,CS!$B:$B,0)+COLUMN(J$1),1))</f>
        <v/>
      </c>
      <c r="BF218" t="str">
        <f>IF($A218="","", INDEX(CS!$B$1:$B$12828,MATCH($A218,CS!$B:$B,0)+COLUMN(K$1),1))</f>
        <v/>
      </c>
      <c r="BG218" t="str">
        <f>IF($A218="","", INDEX(CS!$B$1:$B$12828,MATCH($A218,CS!$B:$B,0)+COLUMN(L$1),1))</f>
        <v/>
      </c>
    </row>
    <row r="219" spans="3:59" x14ac:dyDescent="0.4">
      <c r="C219" t="s">
        <v>194</v>
      </c>
      <c r="D219" t="str">
        <f t="shared" si="9"/>
        <v>0/0/0</v>
      </c>
      <c r="E219">
        <v>1</v>
      </c>
      <c r="AX219" t="str">
        <f>IF($A219="","", INDEX(CS!$B$1:$B$12828,MATCH($A219,CS!$B:$B,0)+COLUMN(A$1),1))</f>
        <v/>
      </c>
      <c r="AY219" t="str">
        <f>IF($A219="","", INDEX(CS!$B$1:$B$12828,MATCH($A219,CS!$B:$B,0)+COLUMN(B$1),1))</f>
        <v/>
      </c>
      <c r="AZ219" t="str">
        <f>IF($A219="","", INDEX(CS!$B$1:$B$12828,MATCH($A219,CS!$B:$B,0)+COLUMN(C$1),1))</f>
        <v/>
      </c>
      <c r="BA219" t="str">
        <f>IF($A219="","", INDEX(CS!$B$1:$B$12828,MATCH($A219,CS!$B:$B,0)+COLUMN(D$1),1))</f>
        <v/>
      </c>
      <c r="BB219" t="str">
        <f>IF($A219="","", INDEX(CS!$B$1:$B$12828,MATCH($A219,CS!$B:$B,0)+COLUMN(E$1),1))</f>
        <v/>
      </c>
      <c r="BC219" t="str">
        <f>IF($A219="","", INDEX(CS!$B$1:$B$12828,MATCH($A219,CS!$B:$B,0)+COLUMN(F$1),1))</f>
        <v/>
      </c>
      <c r="BD219" t="str">
        <f>IF($A219="","", INDEX(CS!$B$1:$B$12828,MATCH($A219,CS!$B:$B,0)+COLUMN(I$1),1))</f>
        <v/>
      </c>
      <c r="BE219" t="str">
        <f>IF($A219="","", INDEX(CS!$B$1:$B$12828,MATCH($A219,CS!$B:$B,0)+COLUMN(J$1),1))</f>
        <v/>
      </c>
      <c r="BF219" t="str">
        <f>IF($A219="","", INDEX(CS!$B$1:$B$12828,MATCH($A219,CS!$B:$B,0)+COLUMN(K$1),1))</f>
        <v/>
      </c>
      <c r="BG219" t="str">
        <f>IF($A219="","", INDEX(CS!$B$1:$B$12828,MATCH($A219,CS!$B:$B,0)+COLUMN(L$1),1))</f>
        <v/>
      </c>
    </row>
  </sheetData>
  <mergeCells count="15">
    <mergeCell ref="AJ14:AY14"/>
    <mergeCell ref="AJ15:AY15"/>
    <mergeCell ref="AJ16:AY16"/>
    <mergeCell ref="AJ8:AY8"/>
    <mergeCell ref="AJ9:AY9"/>
    <mergeCell ref="AJ10:AY10"/>
    <mergeCell ref="AJ11:AY11"/>
    <mergeCell ref="AJ12:AY12"/>
    <mergeCell ref="AJ13:AY13"/>
    <mergeCell ref="AJ7:AY7"/>
    <mergeCell ref="AJ2:AY2"/>
    <mergeCell ref="AJ3:AY3"/>
    <mergeCell ref="AJ4:AY4"/>
    <mergeCell ref="AJ5:AY5"/>
    <mergeCell ref="AJ6:AY6"/>
  </mergeCells>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G12"/>
  <sheetViews>
    <sheetView workbookViewId="0">
      <selection activeCell="E1" sqref="E1:F1"/>
    </sheetView>
  </sheetViews>
  <sheetFormatPr defaultRowHeight="18.75" x14ac:dyDescent="0.4"/>
  <cols>
    <col min="1" max="1" width="7.125" bestFit="1" customWidth="1"/>
    <col min="2" max="2" width="15" bestFit="1" customWidth="1"/>
    <col min="3" max="3" width="8.5" customWidth="1"/>
    <col min="7" max="7" width="5.625" customWidth="1"/>
  </cols>
  <sheetData>
    <row r="1" spans="1:7" x14ac:dyDescent="0.4">
      <c r="A1" t="s">
        <v>897</v>
      </c>
      <c r="B1" t="s">
        <v>930</v>
      </c>
      <c r="C1" t="s">
        <v>939</v>
      </c>
      <c r="D1" t="s">
        <v>1025</v>
      </c>
      <c r="E1" t="s">
        <v>1221</v>
      </c>
      <c r="F1" t="s">
        <v>1068</v>
      </c>
      <c r="G1" t="s">
        <v>1024</v>
      </c>
    </row>
    <row r="2" spans="1:7" x14ac:dyDescent="0.4">
      <c r="A2" t="s">
        <v>919</v>
      </c>
      <c r="B2" t="s">
        <v>55</v>
      </c>
      <c r="C2">
        <v>50</v>
      </c>
      <c r="D2">
        <v>0</v>
      </c>
      <c r="E2" s="39">
        <v>1</v>
      </c>
      <c r="F2" s="39">
        <v>0.15</v>
      </c>
      <c r="G2" t="s">
        <v>1027</v>
      </c>
    </row>
    <row r="3" spans="1:7" x14ac:dyDescent="0.4">
      <c r="A3" t="s">
        <v>920</v>
      </c>
      <c r="B3" t="s">
        <v>57</v>
      </c>
      <c r="C3">
        <v>50</v>
      </c>
      <c r="D3">
        <v>0</v>
      </c>
      <c r="E3" s="39">
        <v>1</v>
      </c>
      <c r="F3" s="39">
        <v>0.1</v>
      </c>
      <c r="G3" t="s">
        <v>1026</v>
      </c>
    </row>
    <row r="4" spans="1:7" x14ac:dyDescent="0.4">
      <c r="A4" t="s">
        <v>921</v>
      </c>
      <c r="B4" t="s">
        <v>59</v>
      </c>
      <c r="C4">
        <v>50</v>
      </c>
      <c r="D4">
        <v>1</v>
      </c>
      <c r="E4" s="39">
        <v>1</v>
      </c>
      <c r="F4" s="39">
        <v>0.1</v>
      </c>
      <c r="G4" t="s">
        <v>1028</v>
      </c>
    </row>
    <row r="5" spans="1:7" x14ac:dyDescent="0.4">
      <c r="A5" t="s">
        <v>922</v>
      </c>
      <c r="B5" t="s">
        <v>53</v>
      </c>
      <c r="C5">
        <v>60</v>
      </c>
      <c r="D5">
        <v>1</v>
      </c>
      <c r="E5" s="39">
        <v>0.8</v>
      </c>
      <c r="F5" s="39">
        <v>0.2</v>
      </c>
      <c r="G5" t="s">
        <v>1027</v>
      </c>
    </row>
    <row r="6" spans="1:7" x14ac:dyDescent="0.4">
      <c r="A6" t="s">
        <v>923</v>
      </c>
      <c r="B6" t="s">
        <v>64</v>
      </c>
      <c r="C6">
        <v>25</v>
      </c>
      <c r="D6">
        <v>1</v>
      </c>
      <c r="E6" s="39">
        <v>1.25</v>
      </c>
      <c r="F6" s="39">
        <v>0.25</v>
      </c>
      <c r="G6" t="s">
        <v>1032</v>
      </c>
    </row>
    <row r="7" spans="1:7" x14ac:dyDescent="0.4">
      <c r="A7" t="s">
        <v>924</v>
      </c>
      <c r="B7" t="s">
        <v>42</v>
      </c>
      <c r="C7">
        <v>25</v>
      </c>
      <c r="D7">
        <v>1</v>
      </c>
      <c r="E7" s="39">
        <v>0.8</v>
      </c>
      <c r="F7" s="39">
        <v>0.35</v>
      </c>
      <c r="G7" t="s">
        <v>1029</v>
      </c>
    </row>
    <row r="8" spans="1:7" x14ac:dyDescent="0.4">
      <c r="A8" t="s">
        <v>925</v>
      </c>
      <c r="B8" t="s">
        <v>66</v>
      </c>
      <c r="C8">
        <v>15</v>
      </c>
      <c r="D8">
        <v>2</v>
      </c>
      <c r="E8" s="39">
        <v>1.2</v>
      </c>
      <c r="F8" s="39">
        <v>0.45</v>
      </c>
      <c r="G8" t="s">
        <v>1031</v>
      </c>
    </row>
    <row r="9" spans="1:7" x14ac:dyDescent="0.4">
      <c r="A9" t="s">
        <v>926</v>
      </c>
      <c r="B9" t="s">
        <v>44</v>
      </c>
      <c r="C9">
        <v>75</v>
      </c>
      <c r="D9">
        <v>0</v>
      </c>
      <c r="E9" s="39">
        <v>0.5</v>
      </c>
      <c r="F9" s="39">
        <v>0.1</v>
      </c>
      <c r="G9" t="s">
        <v>1030</v>
      </c>
    </row>
    <row r="10" spans="1:7" x14ac:dyDescent="0.4">
      <c r="A10" t="s">
        <v>927</v>
      </c>
      <c r="B10" t="s">
        <v>46</v>
      </c>
      <c r="C10">
        <v>10</v>
      </c>
      <c r="D10">
        <v>3</v>
      </c>
      <c r="E10" s="39">
        <v>1.5</v>
      </c>
      <c r="F10" s="39">
        <v>0.6</v>
      </c>
      <c r="G10" t="s">
        <v>1034</v>
      </c>
    </row>
    <row r="11" spans="1:7" x14ac:dyDescent="0.4">
      <c r="A11" t="s">
        <v>928</v>
      </c>
      <c r="B11" t="s">
        <v>48</v>
      </c>
      <c r="C11">
        <v>15</v>
      </c>
      <c r="D11">
        <v>3</v>
      </c>
      <c r="E11" s="39">
        <v>1.5</v>
      </c>
      <c r="F11" s="39">
        <v>0.6</v>
      </c>
      <c r="G11" t="s">
        <v>1033</v>
      </c>
    </row>
    <row r="12" spans="1:7" x14ac:dyDescent="0.4">
      <c r="A12" t="s">
        <v>929</v>
      </c>
      <c r="B12" t="s">
        <v>50</v>
      </c>
      <c r="C12">
        <v>10</v>
      </c>
      <c r="E12" s="39">
        <v>1.5</v>
      </c>
      <c r="F12" s="39">
        <v>0.6</v>
      </c>
      <c r="G12" t="s">
        <v>1035</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A13" sqref="A13:A16"/>
    </sheetView>
  </sheetViews>
  <sheetFormatPr defaultRowHeight="18.75" x14ac:dyDescent="0.4"/>
  <cols>
    <col min="2" max="2" width="51.875" style="17" customWidth="1"/>
  </cols>
  <sheetData>
    <row r="1" spans="1:2" x14ac:dyDescent="0.4">
      <c r="A1" t="s">
        <v>232</v>
      </c>
      <c r="B1" s="17" t="s">
        <v>81</v>
      </c>
    </row>
    <row r="2" spans="1:2" ht="37.5" x14ac:dyDescent="0.4">
      <c r="A2" t="s">
        <v>0</v>
      </c>
      <c r="B2" s="17" t="s">
        <v>233</v>
      </c>
    </row>
    <row r="3" spans="1:2" ht="37.5" x14ac:dyDescent="0.4">
      <c r="A3" t="s">
        <v>1</v>
      </c>
      <c r="B3" s="17" t="s">
        <v>234</v>
      </c>
    </row>
    <row r="4" spans="1:2" ht="37.5" x14ac:dyDescent="0.4">
      <c r="A4" t="s">
        <v>2</v>
      </c>
      <c r="B4" s="17" t="s">
        <v>235</v>
      </c>
    </row>
    <row r="5" spans="1:2" ht="37.5" x14ac:dyDescent="0.4">
      <c r="A5" t="s">
        <v>106</v>
      </c>
      <c r="B5" s="17" t="s">
        <v>236</v>
      </c>
    </row>
    <row r="6" spans="1:2" ht="37.5" x14ac:dyDescent="0.4">
      <c r="A6" t="s">
        <v>105</v>
      </c>
      <c r="B6" s="17" t="s">
        <v>237</v>
      </c>
    </row>
    <row r="7" spans="1:2" ht="37.5" x14ac:dyDescent="0.4">
      <c r="A7" t="s">
        <v>4</v>
      </c>
      <c r="B7" s="17" t="s">
        <v>238</v>
      </c>
    </row>
    <row r="8" spans="1:2" ht="37.5" x14ac:dyDescent="0.4">
      <c r="A8" t="s">
        <v>3</v>
      </c>
      <c r="B8" s="17" t="s">
        <v>239</v>
      </c>
    </row>
    <row r="9" spans="1:2" ht="37.5" x14ac:dyDescent="0.4">
      <c r="A9" t="s">
        <v>227</v>
      </c>
      <c r="B9" s="17" t="s">
        <v>240</v>
      </c>
    </row>
    <row r="10" spans="1:2" ht="37.5" x14ac:dyDescent="0.4">
      <c r="A10" t="s">
        <v>228</v>
      </c>
      <c r="B10" s="17" t="s">
        <v>241</v>
      </c>
    </row>
    <row r="11" spans="1:2" ht="37.5" x14ac:dyDescent="0.4">
      <c r="A11" t="s">
        <v>229</v>
      </c>
      <c r="B11" s="17" t="s">
        <v>242</v>
      </c>
    </row>
    <row r="12" spans="1:2" ht="37.5" x14ac:dyDescent="0.4">
      <c r="A12" t="s">
        <v>992</v>
      </c>
      <c r="B12" s="17" t="s">
        <v>243</v>
      </c>
    </row>
    <row r="13" spans="1:2" ht="37.5" x14ac:dyDescent="0.4">
      <c r="A13" t="s">
        <v>231</v>
      </c>
      <c r="B13" s="17" t="s">
        <v>244</v>
      </c>
    </row>
    <row r="14" spans="1:2" ht="37.5" x14ac:dyDescent="0.4">
      <c r="A14" t="s">
        <v>5</v>
      </c>
      <c r="B14" s="17" t="s">
        <v>245</v>
      </c>
    </row>
    <row r="15" spans="1:2" ht="37.5" x14ac:dyDescent="0.4">
      <c r="A15" t="s">
        <v>1044</v>
      </c>
      <c r="B15" s="17" t="s">
        <v>989</v>
      </c>
    </row>
    <row r="16" spans="1:2" ht="37.5" x14ac:dyDescent="0.4">
      <c r="A16" t="s">
        <v>6</v>
      </c>
      <c r="B16" s="17" t="s">
        <v>988</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K100"/>
  <sheetViews>
    <sheetView workbookViewId="0">
      <pane xSplit="7" ySplit="3" topLeftCell="R4" activePane="bottomRight" state="frozen"/>
      <selection pane="topRight" activeCell="H1" sqref="H1"/>
      <selection pane="bottomLeft" activeCell="A4" sqref="A4"/>
      <selection pane="bottomRight" activeCell="AJ1" sqref="AI1:AJ1048576"/>
    </sheetView>
  </sheetViews>
  <sheetFormatPr defaultRowHeight="18.75" outlineLevelRow="1" outlineLevelCol="1" x14ac:dyDescent="0.4"/>
  <cols>
    <col min="1" max="2" width="11.625" customWidth="1"/>
    <col min="3" max="4" width="2.875" customWidth="1"/>
    <col min="5" max="6" width="3.625" customWidth="1"/>
    <col min="7" max="7" width="31.375" style="17" customWidth="1"/>
    <col min="8" max="10" width="5.5" customWidth="1"/>
    <col min="11" max="11" width="5.375" style="17" customWidth="1"/>
    <col min="12" max="13" width="6.5" style="17" customWidth="1" collapsed="1"/>
    <col min="14" max="14" width="4.875" style="17" customWidth="1" collapsed="1"/>
    <col min="15" max="24" width="4.875" style="17" customWidth="1" outlineLevel="1"/>
    <col min="25" max="31" width="4.875" customWidth="1" outlineLevel="1"/>
    <col min="32" max="32" width="5.25" customWidth="1" outlineLevel="1"/>
    <col min="33" max="33" width="7.125" customWidth="1" outlineLevel="1"/>
    <col min="34" max="34" width="4.125" bestFit="1" customWidth="1"/>
    <col min="35" max="36" width="4.5" customWidth="1" outlineLevel="1"/>
    <col min="37" max="42" width="5.25" customWidth="1" outlineLevel="1"/>
    <col min="43" max="43" width="4.25" customWidth="1" outlineLevel="1"/>
    <col min="44" max="44" width="5.25" bestFit="1" customWidth="1"/>
    <col min="45" max="58" width="5.25" hidden="1" customWidth="1" outlineLevel="1"/>
    <col min="59" max="59" width="4.875" style="17" customWidth="1" collapsed="1"/>
    <col min="60" max="69" width="4.875" style="17" customWidth="1" outlineLevel="1"/>
    <col min="70" max="76" width="4.875" customWidth="1" outlineLevel="1"/>
    <col min="77" max="77" width="5" customWidth="1" outlineLevel="1"/>
    <col min="78" max="78" width="6.625" customWidth="1" outlineLevel="1"/>
    <col min="79" max="89" width="4.875" customWidth="1"/>
  </cols>
  <sheetData>
    <row r="1" spans="1:89" s="10" customFormat="1" ht="34.5" customHeight="1" x14ac:dyDescent="0.4">
      <c r="A1" s="10" t="s">
        <v>7</v>
      </c>
      <c r="B1" s="10" t="s">
        <v>9</v>
      </c>
      <c r="C1" s="3" t="s">
        <v>77</v>
      </c>
      <c r="D1" s="4" t="s">
        <v>78</v>
      </c>
      <c r="E1" s="5" t="s">
        <v>79</v>
      </c>
      <c r="F1" s="18" t="s">
        <v>127</v>
      </c>
      <c r="G1" s="21" t="s">
        <v>306</v>
      </c>
      <c r="H1" s="38" t="s">
        <v>159</v>
      </c>
      <c r="I1" s="38" t="s">
        <v>160</v>
      </c>
      <c r="J1" s="38" t="s">
        <v>161</v>
      </c>
      <c r="K1" s="37" t="s">
        <v>216</v>
      </c>
      <c r="L1" s="37" t="s">
        <v>315</v>
      </c>
      <c r="M1" s="37" t="s">
        <v>176</v>
      </c>
      <c r="N1" s="37" t="s">
        <v>147</v>
      </c>
      <c r="O1" s="37" t="s">
        <v>177</v>
      </c>
      <c r="P1" s="37" t="s">
        <v>706</v>
      </c>
      <c r="Q1" s="37" t="s">
        <v>1286</v>
      </c>
      <c r="R1" s="37" t="s">
        <v>1287</v>
      </c>
      <c r="S1" s="37" t="s">
        <v>1288</v>
      </c>
      <c r="T1" s="37" t="s">
        <v>148</v>
      </c>
      <c r="U1" s="37" t="s">
        <v>149</v>
      </c>
      <c r="V1" s="37" t="s">
        <v>150</v>
      </c>
      <c r="W1" s="37" t="s">
        <v>151</v>
      </c>
      <c r="X1" s="37" t="s">
        <v>137</v>
      </c>
      <c r="Y1" s="37" t="s">
        <v>152</v>
      </c>
      <c r="Z1" s="37" t="s">
        <v>18</v>
      </c>
      <c r="AA1" s="37" t="s">
        <v>324</v>
      </c>
      <c r="AB1" s="37" t="s">
        <v>140</v>
      </c>
      <c r="AC1" s="37" t="s">
        <v>112</v>
      </c>
      <c r="AD1" s="37" t="s">
        <v>153</v>
      </c>
      <c r="AE1" s="37" t="s">
        <v>154</v>
      </c>
      <c r="AF1" s="37" t="s">
        <v>155</v>
      </c>
      <c r="AG1" s="37" t="s">
        <v>156</v>
      </c>
      <c r="AH1" s="22" t="s">
        <v>11</v>
      </c>
      <c r="AI1" s="22" t="s">
        <v>1289</v>
      </c>
      <c r="AJ1" s="22" t="s">
        <v>1290</v>
      </c>
      <c r="AK1" s="22" t="s">
        <v>13</v>
      </c>
      <c r="AL1" s="22" t="s">
        <v>15</v>
      </c>
      <c r="AM1" s="22" t="s">
        <v>17</v>
      </c>
      <c r="AN1" s="22" t="s">
        <v>18</v>
      </c>
      <c r="AO1" s="22" t="s">
        <v>20</v>
      </c>
      <c r="AP1" s="22" t="s">
        <v>22</v>
      </c>
      <c r="AQ1" s="22" t="s">
        <v>29</v>
      </c>
      <c r="AR1" s="26" t="s">
        <v>248</v>
      </c>
      <c r="AS1" s="26" t="s">
        <v>1</v>
      </c>
      <c r="AT1" s="26" t="s">
        <v>2</v>
      </c>
      <c r="AU1" s="26" t="s">
        <v>106</v>
      </c>
      <c r="AV1" s="26" t="s">
        <v>105</v>
      </c>
      <c r="AW1" s="27" t="s">
        <v>4</v>
      </c>
      <c r="AX1" s="27" t="s">
        <v>3</v>
      </c>
      <c r="AY1" s="28" t="s">
        <v>227</v>
      </c>
      <c r="AZ1" s="28" t="s">
        <v>228</v>
      </c>
      <c r="BA1" s="28" t="s">
        <v>229</v>
      </c>
      <c r="BB1" s="28" t="s">
        <v>230</v>
      </c>
      <c r="BC1" s="29" t="s">
        <v>231</v>
      </c>
      <c r="BD1" s="29" t="s">
        <v>5</v>
      </c>
      <c r="BE1" s="29" t="s">
        <v>1044</v>
      </c>
      <c r="BF1" s="29" t="s">
        <v>6</v>
      </c>
      <c r="BG1" s="20" t="s">
        <v>146</v>
      </c>
      <c r="BH1" s="20" t="s">
        <v>178</v>
      </c>
      <c r="BI1" s="20" t="s">
        <v>707</v>
      </c>
      <c r="BJ1" s="20" t="s">
        <v>1283</v>
      </c>
      <c r="BK1" s="20" t="s">
        <v>1284</v>
      </c>
      <c r="BL1" s="20" t="s">
        <v>1285</v>
      </c>
      <c r="BM1" s="20" t="s">
        <v>133</v>
      </c>
      <c r="BN1" s="20" t="s">
        <v>134</v>
      </c>
      <c r="BO1" s="20" t="s">
        <v>135</v>
      </c>
      <c r="BP1" s="20" t="s">
        <v>136</v>
      </c>
      <c r="BQ1" s="20" t="s">
        <v>138</v>
      </c>
      <c r="BR1" s="20" t="s">
        <v>139</v>
      </c>
      <c r="BS1" s="20" t="s">
        <v>141</v>
      </c>
      <c r="BT1" s="20" t="s">
        <v>323</v>
      </c>
      <c r="BU1" s="20" t="s">
        <v>142</v>
      </c>
      <c r="BV1" s="20" t="s">
        <v>143</v>
      </c>
      <c r="BW1" s="20" t="s">
        <v>144</v>
      </c>
      <c r="BX1" s="20" t="s">
        <v>145</v>
      </c>
      <c r="BY1" s="20" t="s">
        <v>157</v>
      </c>
      <c r="BZ1" s="20" t="s">
        <v>158</v>
      </c>
      <c r="CA1" s="23" t="s">
        <v>162</v>
      </c>
      <c r="CB1" s="23" t="s">
        <v>163</v>
      </c>
      <c r="CC1" s="23" t="s">
        <v>164</v>
      </c>
      <c r="CD1" s="23" t="s">
        <v>165</v>
      </c>
      <c r="CE1" s="23" t="s">
        <v>166</v>
      </c>
      <c r="CF1" s="23" t="s">
        <v>167</v>
      </c>
      <c r="CG1" s="23" t="s">
        <v>168</v>
      </c>
      <c r="CH1" s="23" t="s">
        <v>169</v>
      </c>
      <c r="CI1" s="23" t="s">
        <v>170</v>
      </c>
      <c r="CJ1" s="23" t="s">
        <v>171</v>
      </c>
      <c r="CK1" s="23" t="s">
        <v>861</v>
      </c>
    </row>
    <row r="2" spans="1:89" outlineLevel="1" x14ac:dyDescent="0.4">
      <c r="B2">
        <v>2</v>
      </c>
      <c r="C2">
        <v>3</v>
      </c>
      <c r="D2">
        <v>4</v>
      </c>
      <c r="E2">
        <v>5</v>
      </c>
      <c r="F2">
        <v>6</v>
      </c>
      <c r="G2">
        <v>7</v>
      </c>
      <c r="K2"/>
      <c r="L2"/>
      <c r="M2"/>
      <c r="N2"/>
      <c r="O2"/>
      <c r="P2"/>
      <c r="Q2"/>
      <c r="R2"/>
      <c r="S2"/>
      <c r="T2"/>
      <c r="U2"/>
      <c r="V2"/>
      <c r="W2"/>
      <c r="X2"/>
      <c r="BG2"/>
      <c r="BH2"/>
      <c r="BI2"/>
      <c r="BJ2"/>
      <c r="BK2"/>
      <c r="BL2"/>
      <c r="BM2"/>
      <c r="BN2"/>
      <c r="BO2"/>
      <c r="BP2"/>
      <c r="BQ2"/>
    </row>
    <row r="3" spans="1:89"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G3" s="17" t="str">
        <f>IFERROR(_xlfn.LET(_xlpm.v,
VLOOKUP($A3,CS!$B:$H,COLUMN(CS!G$1),FALSE),
IF(_xlpm.v=0,"",_xlpm.v)
),"")</f>
        <v/>
      </c>
    </row>
    <row r="4" spans="1:89" outlineLevel="1" x14ac:dyDescent="0.4">
      <c r="A4" s="2" t="s">
        <v>286</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17" t="str">
        <f>IFERROR(_xlfn.LET(_xlpm.v,
VLOOKUP($A4,CS!$B:$H,COLUMN(CS!G$1),FALSE),
IF(_xlpm.v=0,"",_xlpm.v)
),"")</f>
        <v>攻撃手段:角 物理+25 判定:攻撃</v>
      </c>
      <c r="H4" t="s">
        <v>108</v>
      </c>
      <c r="N4" s="17">
        <v>25</v>
      </c>
      <c r="CH4" t="s">
        <v>12</v>
      </c>
    </row>
    <row r="5" spans="1:89" outlineLevel="1" x14ac:dyDescent="0.4">
      <c r="A5" s="2" t="s">
        <v>284</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17" t="str">
        <f>IFERROR(_xlfn.LET(_xlpm.v,
VLOOKUP($A5,CS!$B:$H,COLUMN(CS!G$1),FALSE),
IF(_xlpm.v=0,"",_xlpm.v)
),"")</f>
        <v>攻撃手段:牙 物理+20 判定:攻撃</v>
      </c>
      <c r="H5" t="s">
        <v>109</v>
      </c>
      <c r="N5" s="17">
        <v>20</v>
      </c>
      <c r="CH5" t="s">
        <v>12</v>
      </c>
    </row>
    <row r="6" spans="1:89" ht="37.5" outlineLevel="1" x14ac:dyDescent="0.4">
      <c r="A6" s="2" t="s">
        <v>283</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17" t="str">
        <f>IFERROR(_xlfn.LET(_xlpm.v,
VLOOKUP($A6,CS!$B:$H,COLUMN(CS!G$1),FALSE),
IF(_xlpm.v=0,"",_xlpm.v)
),"")</f>
        <v>攻撃手段:爪 物理+15 攻撃回数:2 判定:攻撃</v>
      </c>
      <c r="H6" t="s">
        <v>110</v>
      </c>
      <c r="N6" s="17">
        <v>15</v>
      </c>
      <c r="CE6">
        <v>2</v>
      </c>
      <c r="CH6" t="s">
        <v>12</v>
      </c>
    </row>
    <row r="7" spans="1:89" outlineLevel="1" x14ac:dyDescent="0.4">
      <c r="A7" s="2" t="s">
        <v>287</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17" t="str">
        <f>IFERROR(_xlfn.LET(_xlpm.v,
VLOOKUP($A7,CS!$B:$H,COLUMN(CS!G$1),FALSE),
IF(_xlpm.v=0,"",_xlpm.v)
),"")</f>
        <v>攻撃手段:尾 物理+15 判定:攻撃</v>
      </c>
      <c r="H7" t="s">
        <v>111</v>
      </c>
      <c r="N7" s="17">
        <v>15</v>
      </c>
      <c r="CH7" t="s">
        <v>12</v>
      </c>
    </row>
    <row r="8" spans="1:89" outlineLevel="1" x14ac:dyDescent="0.4">
      <c r="A8" s="2" t="s">
        <v>288</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17" t="str">
        <f>IFERROR(_xlfn.LET(_xlpm.v,
VLOOKUP($A8,CS!$B:$H,COLUMN(CS!G$1),FALSE),
IF(_xlpm.v=0,"",_xlpm.v)
),"")</f>
        <v>攻撃手段:尾 物理+25  判定:攻撃</v>
      </c>
      <c r="H8" t="s">
        <v>111</v>
      </c>
      <c r="N8" s="17">
        <v>25</v>
      </c>
      <c r="CH8" t="s">
        <v>12</v>
      </c>
    </row>
    <row r="9" spans="1:89" ht="37.5" outlineLevel="1" x14ac:dyDescent="0.4">
      <c r="A9" s="2" t="s">
        <v>290</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17" t="str">
        <f>IFERROR(_xlfn.LET(_xlpm.v,
VLOOKUP($A9,CS!$B:$H,COLUMN(CS!G$1),FALSE),
IF(_xlpm.v=0,"",_xlpm.v)
),"")</f>
        <v>攻撃手段:尾 物理+10 拘束+30 判定:攻撃</v>
      </c>
      <c r="H9" t="s">
        <v>111</v>
      </c>
      <c r="N9" s="17">
        <v>10</v>
      </c>
      <c r="AD9">
        <v>30</v>
      </c>
      <c r="CH9" t="s">
        <v>12</v>
      </c>
    </row>
    <row r="10" spans="1:89" ht="37.5" outlineLevel="1" x14ac:dyDescent="0.4">
      <c r="A10" s="2" t="s">
        <v>289</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17" t="str">
        <f>IFERROR(_xlfn.LET(_xlpm.v,
VLOOKUP($A10,CS!$B:$H,COLUMN(CS!G$1),FALSE),
IF(_xlpm.v=0,"",_xlpm.v)
),"")</f>
        <v>攻撃手段:角 物理+25 攻撃回数:2 判定:攻撃</v>
      </c>
      <c r="H10" t="s">
        <v>108</v>
      </c>
      <c r="N10" s="17">
        <v>25</v>
      </c>
      <c r="CE10">
        <v>2</v>
      </c>
      <c r="CH10" t="s">
        <v>12</v>
      </c>
    </row>
    <row r="11" spans="1:89" outlineLevel="1" x14ac:dyDescent="0.4">
      <c r="A11" s="2" t="s">
        <v>172</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17" t="str">
        <f>IFERROR(_xlfn.LET(_xlpm.v,
VLOOKUP($A11,CS!$B:$H,COLUMN(CS!G$1),FALSE),
IF(_xlpm.v=0,"",_xlpm.v)
),"")</f>
        <v>攻撃手段:武器 物理+25 判定:攻撃</v>
      </c>
      <c r="H11" t="s">
        <v>316</v>
      </c>
      <c r="N11" s="17">
        <v>25</v>
      </c>
      <c r="CH11" t="s">
        <v>12</v>
      </c>
    </row>
    <row r="12" spans="1:89" outlineLevel="1" x14ac:dyDescent="0.4">
      <c r="A12" s="2" t="s">
        <v>131</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17" t="str">
        <f>IFERROR(_xlfn.LET(_xlpm.v,
VLOOKUP($A12,CS!$B:$H,COLUMN(CS!G$1),FALSE),
IF(_xlpm.v=0,"",_xlpm.v)
),"")</f>
        <v>攻撃手段:武器 命中+10</v>
      </c>
      <c r="H12" t="s">
        <v>316</v>
      </c>
      <c r="AP12">
        <v>10</v>
      </c>
    </row>
    <row r="13" spans="1:89" outlineLevel="1" x14ac:dyDescent="0.4">
      <c r="A13" s="2" t="s">
        <v>174</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17" t="str">
        <f>IFERROR(_xlfn.LET(_xlpm.v,
VLOOKUP($A13,CS!$B:$H,COLUMN(CS!G$1),FALSE),
IF(_xlpm.v=0,"",_xlpm.v)
),"")</f>
        <v>攻撃手段:武器 ガード+25 判定:防御</v>
      </c>
      <c r="H13" t="s">
        <v>316</v>
      </c>
      <c r="M13" s="17">
        <v>25</v>
      </c>
      <c r="CH13" t="s">
        <v>14</v>
      </c>
    </row>
    <row r="14" spans="1:89" outlineLevel="1" x14ac:dyDescent="0.4">
      <c r="A14" s="2" t="s">
        <v>118</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17" t="str">
        <f>IFERROR(_xlfn.LET(_xlpm.v,
VLOOKUP($A14,CS!$B:$H,COLUMN(CS!G$1),FALSE),
IF(_xlpm.v=0,"",_xlpm.v)
),"")</f>
        <v>効果時間:4t 攻撃+15 精神耐性+10</v>
      </c>
      <c r="AK14">
        <v>15</v>
      </c>
      <c r="BS14">
        <v>10</v>
      </c>
      <c r="CI14" t="s">
        <v>327</v>
      </c>
    </row>
    <row r="15" spans="1:89" outlineLevel="1" x14ac:dyDescent="0.4">
      <c r="A15" s="2" t="s">
        <v>210</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17" t="str">
        <f>IFERROR(_xlfn.LET(_xlpm.v,
VLOOKUP($A15,CS!$B:$H,COLUMN(CS!G$1),FALSE),
IF(_xlpm.v=0,"",_xlpm.v)
),"")</f>
        <v>攻撃手段:武器 物理+2 命中+5</v>
      </c>
      <c r="H15" t="s">
        <v>316</v>
      </c>
      <c r="N15" s="17">
        <v>2</v>
      </c>
      <c r="AP15">
        <v>5</v>
      </c>
    </row>
    <row r="16" spans="1:89" ht="37.5" outlineLevel="1" x14ac:dyDescent="0.4">
      <c r="A16" s="2" t="s">
        <v>179</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17" t="str">
        <f>IFERROR(_xlfn.LET(_xlpm.v,
VLOOKUP($A16,CS!$B:$H,COLUMN(CS!G$1),FALSE),
IF(_xlpm.v=0,"",_xlpm.v)
),"")</f>
        <v>攻撃手段:武器 物理+15 命中+25 判定:攻撃</v>
      </c>
      <c r="H16" t="s">
        <v>316</v>
      </c>
      <c r="N16" s="17">
        <v>15</v>
      </c>
      <c r="AP16">
        <v>25</v>
      </c>
      <c r="CH16" t="s">
        <v>12</v>
      </c>
    </row>
    <row r="17" spans="1:87" outlineLevel="1" x14ac:dyDescent="0.4">
      <c r="A17" s="2" t="s">
        <v>225</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17" t="str">
        <f>IFERROR(_xlfn.LET(_xlpm.v,
VLOOKUP($A17,CS!$B:$H,COLUMN(CS!G$1),FALSE),
IF(_xlpm.v=0,"",_xlpm.v)
),"")</f>
        <v xml:space="preserve">条件:ガード時 物理+3 </v>
      </c>
      <c r="I17" t="s">
        <v>317</v>
      </c>
      <c r="N17" s="17">
        <v>3</v>
      </c>
    </row>
    <row r="18" spans="1:87" outlineLevel="1" x14ac:dyDescent="0.4">
      <c r="A18" s="2" t="s">
        <v>211</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17" t="str">
        <f>IFERROR(_xlfn.LET(_xlpm.v,
VLOOKUP($A18,CS!$B:$H,COLUMN(CS!G$1),FALSE),
IF(_xlpm.v=0,"",_xlpm.v)
),"")</f>
        <v>攻撃手段:武器 ガード+2 命中+5</v>
      </c>
      <c r="H18" t="s">
        <v>316</v>
      </c>
      <c r="M18" s="17">
        <v>2</v>
      </c>
      <c r="AP18">
        <v>5</v>
      </c>
    </row>
    <row r="19" spans="1:87" ht="37.5" outlineLevel="1" x14ac:dyDescent="0.4">
      <c r="A19" s="2" t="s">
        <v>213</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17" t="str">
        <f>IFERROR(_xlfn.LET(_xlpm.v,
VLOOKUP($A19,CS!$B:$H,COLUMN(CS!G$1),FALSE),
IF(_xlpm.v=0,"",_xlpm.v)
),"")</f>
        <v xml:space="preserve">攻撃手段:武器 物理+15 速度+25 判定:速度 </v>
      </c>
      <c r="H19" t="s">
        <v>316</v>
      </c>
      <c r="N19" s="17">
        <v>15</v>
      </c>
      <c r="AO19">
        <v>25</v>
      </c>
      <c r="CH19" t="s">
        <v>19</v>
      </c>
    </row>
    <row r="20" spans="1:87" outlineLevel="1" x14ac:dyDescent="0.4">
      <c r="A20" s="2" t="s">
        <v>217</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17" t="str">
        <f>IFERROR(_xlfn.LET(_xlpm.v,
VLOOKUP($A20,CS!$B:$H,COLUMN(CS!G$1),FALSE),
IF(_xlpm.v=0,"",_xlpm.v)
),"")</f>
        <v xml:space="preserve">条件:不意打ち 物理+35 判定:命中 </v>
      </c>
      <c r="I20" t="s">
        <v>318</v>
      </c>
      <c r="N20" s="17">
        <v>35</v>
      </c>
      <c r="CH20" t="s">
        <v>21</v>
      </c>
    </row>
    <row r="21" spans="1:87" outlineLevel="1" x14ac:dyDescent="0.4">
      <c r="A21" s="2" t="s">
        <v>226</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17" t="str">
        <f>IFERROR(_xlfn.LET(_xlpm.v,
VLOOKUP($A21,CS!$B:$H,COLUMN(CS!G$1),FALSE),
IF(_xlpm.v=0,"",_xlpm.v)
),"")</f>
        <v/>
      </c>
    </row>
    <row r="22" spans="1:87" outlineLevel="1" x14ac:dyDescent="0.4">
      <c r="A22" s="2" t="s">
        <v>220</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17" t="str">
        <f>IFERROR(_xlfn.LET(_xlpm.v,
VLOOKUP($A22,CS!$B:$H,COLUMN(CS!G$1),FALSE),
IF(_xlpm.v=0,"",_xlpm.v)
),"")</f>
        <v>攻撃手段:武器 怯み+30 判定:命中</v>
      </c>
      <c r="H22" t="s">
        <v>316</v>
      </c>
      <c r="AB22">
        <v>30</v>
      </c>
      <c r="CH22" t="s">
        <v>21</v>
      </c>
    </row>
    <row r="23" spans="1:87" outlineLevel="1" x14ac:dyDescent="0.4">
      <c r="A23" s="2" t="s">
        <v>275</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17" t="str">
        <f>IFERROR(_xlfn.LET(_xlpm.v,
VLOOKUP($A23,CS!$B:$H,COLUMN(CS!G$1),FALSE),
IF(_xlpm.v=0,"",_xlpm.v)
),"")</f>
        <v/>
      </c>
    </row>
    <row r="24" spans="1:87" outlineLevel="1" x14ac:dyDescent="0.4">
      <c r="A24" s="2" t="s">
        <v>223</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17" t="str">
        <f>IFERROR(_xlfn.LET(_xlpm.v,
VLOOKUP($A24,CS!$B:$H,COLUMN(CS!G$1),FALSE),
IF(_xlpm.v=0,"",_xlpm.v)
),"")</f>
        <v>効果時間:4t 命中+20 Cr率+5</v>
      </c>
      <c r="AF24">
        <v>5</v>
      </c>
      <c r="AP24">
        <v>20</v>
      </c>
      <c r="CI24" t="s">
        <v>327</v>
      </c>
    </row>
    <row r="25" spans="1:87" ht="37.5" outlineLevel="1" x14ac:dyDescent="0.4">
      <c r="A25" s="2" t="s">
        <v>276</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17" t="str">
        <f>IFERROR(_xlfn.LET(_xlpm.v,
VLOOKUP($A25,CS!$B:$H,COLUMN(CS!G$1),FALSE),
IF(_xlpm.v=0,"",_xlpm.v)
),"")</f>
        <v>攻撃手段:素手 物理+15 炎+25 判定:攻撃</v>
      </c>
      <c r="H25" t="s">
        <v>107</v>
      </c>
      <c r="N25" s="17">
        <v>15</v>
      </c>
      <c r="T25" s="17">
        <v>25</v>
      </c>
      <c r="CH25" t="s">
        <v>12</v>
      </c>
    </row>
    <row r="26" spans="1:87" outlineLevel="1" x14ac:dyDescent="0.4">
      <c r="A26" s="2" t="s">
        <v>279</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17" t="str">
        <f>IFERROR(_xlfn.LET(_xlpm.v,
VLOOKUP($A26,CS!$B:$H,COLUMN(CS!G$1),FALSE),
IF(_xlpm.v=0,"",_xlpm.v)
),"")</f>
        <v>効果:浮遊</v>
      </c>
      <c r="CD26" t="s">
        <v>278</v>
      </c>
    </row>
    <row r="27" spans="1:87" outlineLevel="1" x14ac:dyDescent="0.4">
      <c r="A27" s="2" t="s">
        <v>277</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17" t="str">
        <f>IFERROR(_xlfn.LET(_xlpm.v,
VLOOKUP($A27,CS!$B:$H,COLUMN(CS!G$1),FALSE),
IF(_xlpm.v=0,"",_xlpm.v)
),"")</f>
        <v>条件系統:炎 魔力+30</v>
      </c>
      <c r="J27" t="s">
        <v>99</v>
      </c>
      <c r="AM27">
        <v>30</v>
      </c>
    </row>
    <row r="28" spans="1:87" outlineLevel="1" x14ac:dyDescent="0.4">
      <c r="A28" s="2" t="s">
        <v>113</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17" t="str">
        <f>IFERROR(_xlfn.LET(_xlpm.v,
VLOOKUP($A28,CS!$B:$H,COLUMN(CS!G$1),FALSE),
IF(_xlpm.v=0,"",_xlpm.v)
),"")</f>
        <v>条件系統:炎 攻撃+30</v>
      </c>
      <c r="J28" t="s">
        <v>99</v>
      </c>
      <c r="AK28">
        <v>30</v>
      </c>
    </row>
    <row r="29" spans="1:87" ht="37.5" outlineLevel="1" x14ac:dyDescent="0.4">
      <c r="A29" s="2" t="s">
        <v>115</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17" t="str">
        <f>IFERROR(_xlfn.LET(_xlpm.v,
VLOOKUP($A29,CS!$B:$H,COLUMN(CS!G$1),FALSE),
IF(_xlpm.v=0,"",_xlpm.v)
),"")</f>
        <v>攻撃手段:吐息 炎+45 射程:2 範囲:放射</v>
      </c>
      <c r="H29" t="s">
        <v>319</v>
      </c>
      <c r="T29" s="17">
        <v>45</v>
      </c>
      <c r="CA29">
        <v>2</v>
      </c>
      <c r="CB29" t="s">
        <v>320</v>
      </c>
    </row>
    <row r="30" spans="1:87" ht="37.5" outlineLevel="1" x14ac:dyDescent="0.4">
      <c r="A30" s="2" t="s">
        <v>296</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17" t="str">
        <f>IFERROR(_xlfn.LET(_xlpm.v,
VLOOKUP($A30,CS!$B:$H,COLUMN(CS!G$1),FALSE),
IF(_xlpm.v=0,"",_xlpm.v)
),"")</f>
        <v>攻撃手段:素手 物理+15 氷+25 判定:攻撃</v>
      </c>
      <c r="H30" t="s">
        <v>107</v>
      </c>
      <c r="N30" s="17">
        <v>15</v>
      </c>
      <c r="U30" s="17">
        <v>25</v>
      </c>
      <c r="CH30" t="s">
        <v>12</v>
      </c>
    </row>
    <row r="31" spans="1:87" outlineLevel="1" x14ac:dyDescent="0.4">
      <c r="A31" s="2" t="s">
        <v>297</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17" t="str">
        <f>IFERROR(_xlfn.LET(_xlpm.v,
VLOOKUP($A31,CS!$B:$H,COLUMN(CS!G$1),FALSE),
IF(_xlpm.v=0,"",_xlpm.v)
),"")</f>
        <v>条件系統:氷 魔力+30</v>
      </c>
      <c r="J31" t="s">
        <v>100</v>
      </c>
      <c r="AM31">
        <v>30</v>
      </c>
    </row>
    <row r="32" spans="1:87" outlineLevel="1" x14ac:dyDescent="0.4">
      <c r="A32" s="2" t="s">
        <v>114</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17" t="str">
        <f>IFERROR(_xlfn.LET(_xlpm.v,
VLOOKUP($A32,CS!$B:$H,COLUMN(CS!G$1),FALSE),
IF(_xlpm.v=0,"",_xlpm.v)
),"")</f>
        <v>条件系統:氷 攻撃+30</v>
      </c>
      <c r="J32" t="s">
        <v>100</v>
      </c>
      <c r="AK32">
        <v>30</v>
      </c>
    </row>
    <row r="33" spans="1:86" ht="37.5" outlineLevel="1" x14ac:dyDescent="0.4">
      <c r="A33" s="2" t="s">
        <v>116</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17" t="str">
        <f>IFERROR(_xlfn.LET(_xlpm.v,
VLOOKUP($A33,CS!$B:$H,COLUMN(CS!G$1),FALSE),
IF(_xlpm.v=0,"",_xlpm.v)
),"")</f>
        <v>攻撃手段:吐息 氷+45 射程:2 範囲:放射</v>
      </c>
      <c r="H33" t="s">
        <v>319</v>
      </c>
      <c r="U33" s="17">
        <v>45</v>
      </c>
      <c r="CA33">
        <v>2</v>
      </c>
      <c r="CB33" t="s">
        <v>320</v>
      </c>
    </row>
    <row r="34" spans="1:86" ht="37.5" outlineLevel="1" x14ac:dyDescent="0.4">
      <c r="A34" s="2" t="s">
        <v>298</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17" t="str">
        <f>IFERROR(_xlfn.LET(_xlpm.v,
VLOOKUP($A34,CS!$B:$H,COLUMN(CS!G$1),FALSE),
IF(_xlpm.v=0,"",_xlpm.v)
),"")</f>
        <v>攻撃手段:素手 物理+15 怯み+25 判定:攻撃</v>
      </c>
      <c r="H34" t="s">
        <v>107</v>
      </c>
      <c r="N34" s="17">
        <v>15</v>
      </c>
      <c r="AB34">
        <v>25</v>
      </c>
      <c r="CH34" t="s">
        <v>12</v>
      </c>
    </row>
    <row r="35" spans="1:86" outlineLevel="1" x14ac:dyDescent="0.4">
      <c r="A35" s="2" t="s">
        <v>299</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17" t="str">
        <f>IFERROR(_xlfn.LET(_xlpm.v,
VLOOKUP($A35,CS!$B:$H,COLUMN(CS!G$1),FALSE),
IF(_xlpm.v=0,"",_xlpm.v)
),"")</f>
        <v>条件系統:風 魔力+30</v>
      </c>
      <c r="J35" t="s">
        <v>102</v>
      </c>
      <c r="AM35">
        <v>30</v>
      </c>
    </row>
    <row r="36" spans="1:86" outlineLevel="1" x14ac:dyDescent="0.4">
      <c r="A36" s="2" t="s">
        <v>300</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17" t="str">
        <f>IFERROR(_xlfn.LET(_xlpm.v,
VLOOKUP($A36,CS!$B:$H,COLUMN(CS!G$1),FALSE),
IF(_xlpm.v=0,"",_xlpm.v)
),"")</f>
        <v>条件系統:風 攻撃+30</v>
      </c>
      <c r="J36" t="s">
        <v>102</v>
      </c>
      <c r="AK36">
        <v>30</v>
      </c>
    </row>
    <row r="37" spans="1:86" ht="37.5" outlineLevel="1" x14ac:dyDescent="0.4">
      <c r="A37" s="2" t="s">
        <v>301</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17" t="str">
        <f>IFERROR(_xlfn.LET(_xlpm.v,
VLOOKUP($A37,CS!$B:$H,COLUMN(CS!G$1),FALSE),
IF(_xlpm.v=0,"",_xlpm.v)
),"")</f>
        <v>攻撃手段:吐息 怯み+45 射程:2 範囲:放射</v>
      </c>
      <c r="H37" t="s">
        <v>319</v>
      </c>
      <c r="AB37">
        <v>45</v>
      </c>
      <c r="CA37">
        <v>2</v>
      </c>
      <c r="CB37" t="s">
        <v>320</v>
      </c>
    </row>
    <row r="38" spans="1:86" ht="37.5" outlineLevel="1" x14ac:dyDescent="0.4">
      <c r="A38" s="2" t="s">
        <v>302</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17" t="str">
        <f>IFERROR(_xlfn.LET(_xlpm.v,
VLOOKUP($A38,CS!$B:$H,COLUMN(CS!G$1),FALSE),
IF(_xlpm.v=0,"",_xlpm.v)
),"")</f>
        <v>攻撃手段:素手 物理+15 ガード+25 判定:攻撃</v>
      </c>
      <c r="H38" t="s">
        <v>107</v>
      </c>
      <c r="M38" s="17">
        <v>25</v>
      </c>
      <c r="N38" s="17">
        <v>15</v>
      </c>
      <c r="CH38" t="s">
        <v>12</v>
      </c>
    </row>
    <row r="39" spans="1:86" outlineLevel="1" x14ac:dyDescent="0.4">
      <c r="A39" s="2" t="s">
        <v>303</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17" t="str">
        <f>IFERROR(_xlfn.LET(_xlpm.v,
VLOOKUP($A39,CS!$B:$H,COLUMN(CS!G$1),FALSE),
IF(_xlpm.v=0,"",_xlpm.v)
),"")</f>
        <v>条件系統:地 魔力+30</v>
      </c>
      <c r="J39" t="s">
        <v>103</v>
      </c>
      <c r="AM39">
        <v>30</v>
      </c>
    </row>
    <row r="40" spans="1:86" outlineLevel="1" x14ac:dyDescent="0.4">
      <c r="A40" s="2" t="s">
        <v>304</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17" t="str">
        <f>IFERROR(_xlfn.LET(_xlpm.v,
VLOOKUP($A40,CS!$B:$H,COLUMN(CS!G$1),FALSE),
IF(_xlpm.v=0,"",_xlpm.v)
),"")</f>
        <v>条件系統:地 攻撃+30</v>
      </c>
      <c r="J40" t="s">
        <v>103</v>
      </c>
      <c r="AK40">
        <v>30</v>
      </c>
    </row>
    <row r="41" spans="1:86" ht="37.5" outlineLevel="1" x14ac:dyDescent="0.4">
      <c r="A41" s="2" t="s">
        <v>305</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17" t="str">
        <f>IFERROR(_xlfn.LET(_xlpm.v,
VLOOKUP($A41,CS!$B:$H,COLUMN(CS!G$1),FALSE),
IF(_xlpm.v=0,"",_xlpm.v)
),"")</f>
        <v>攻撃手段:吐息 物理+35 怯み+20 射程:2 範囲:放射</v>
      </c>
      <c r="H41" t="s">
        <v>319</v>
      </c>
      <c r="N41" s="17">
        <v>35</v>
      </c>
      <c r="AB41">
        <v>20</v>
      </c>
      <c r="CA41">
        <v>2</v>
      </c>
      <c r="CB41" t="s">
        <v>320</v>
      </c>
    </row>
    <row r="42" spans="1:86" ht="37.5" outlineLevel="1" x14ac:dyDescent="0.4">
      <c r="A42" s="2" t="s">
        <v>307</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17" t="str">
        <f>IFERROR(_xlfn.LET(_xlpm.v,
VLOOKUP($A42,CS!$B:$H,COLUMN(CS!G$1),FALSE),
IF(_xlpm.v=0,"",_xlpm.v)
),"")</f>
        <v xml:space="preserve">攻撃手段:魔法 光+25 盲目+20 射程:1 判定:魔力 </v>
      </c>
      <c r="H42" t="s">
        <v>104</v>
      </c>
      <c r="X42" s="17">
        <v>25</v>
      </c>
      <c r="AA42">
        <v>20</v>
      </c>
      <c r="CA42">
        <v>1</v>
      </c>
      <c r="CH42" t="s">
        <v>16</v>
      </c>
    </row>
    <row r="43" spans="1:86" ht="37.5" outlineLevel="1" x14ac:dyDescent="0.4">
      <c r="A43" s="2" t="s">
        <v>310</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17" t="str">
        <f>IFERROR(_xlfn.LET(_xlpm.v,
VLOOKUP($A43,CS!$B:$H,COLUMN(CS!G$1),FALSE),
IF(_xlpm.v=0,"",_xlpm.v)
),"")</f>
        <v>攻撃手段:魔法 回復+15 射程:1 追加威力:魔力</v>
      </c>
      <c r="H43" t="s">
        <v>104</v>
      </c>
      <c r="K43" s="17">
        <v>15</v>
      </c>
      <c r="CA43">
        <v>1</v>
      </c>
      <c r="CG43" t="s">
        <v>16</v>
      </c>
    </row>
    <row r="44" spans="1:86" ht="37.5" outlineLevel="1" x14ac:dyDescent="0.4">
      <c r="A44" s="2" t="s">
        <v>313</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17" t="str">
        <f>IFERROR(_xlfn.LET(_xlpm.v,
VLOOKUP($A44,CS!$B:$H,COLUMN(CS!G$1),FALSE),
IF(_xlpm.v=0,"",_xlpm.v)
),"")</f>
        <v>攻撃手段:魔法 物理+10 拘束+30 射程:2 判定:魔力</v>
      </c>
      <c r="H44" t="s">
        <v>104</v>
      </c>
      <c r="N44" s="17">
        <v>10</v>
      </c>
      <c r="AD44">
        <v>30</v>
      </c>
      <c r="CA44">
        <v>2</v>
      </c>
      <c r="CH44" t="s">
        <v>16</v>
      </c>
    </row>
    <row r="45" spans="1:86" outlineLevel="1" x14ac:dyDescent="0.4">
      <c r="B45" t="str">
        <f>IFERROR(_xlfn.LET(_xlpm.v,
VLOOKUP($A45,CS!$B:$H,COLUMN(CS!B$1),FALSE),
IF(_xlpm.v=0,"",_xlpm.v)
),"")</f>
        <v/>
      </c>
      <c r="C45" t="str">
        <f>IFERROR(_xlfn.LET(_xlpm.v,
VLOOKUP($A45,CS!$B:$H,COLUMN(CS!C$1),FALSE),
IF(_xlpm.v=0,"",_xlpm.v)
),"")</f>
        <v/>
      </c>
      <c r="D45" t="str">
        <f>IFERROR(_xlfn.LET(_xlpm.v,
VLOOKUP($A45,CS!$B:$H,COLUMN(CS!D$1),FALSE),
IF(_xlpm.v=0,"",_xlpm.v)
),"")</f>
        <v/>
      </c>
      <c r="E45" t="str">
        <f>IFERROR(_xlfn.LET(_xlpm.v,
VLOOKUP($A45,CS!$B:$H,COLUMN(CS!E$1),FALSE),
IF(_xlpm.v=0,"",_xlpm.v)
),"")</f>
        <v/>
      </c>
      <c r="F45" t="str">
        <f>IFERROR(_xlfn.LET(_xlpm.v,
VLOOKUP($A45,CS!$B:$H,COLUMN(CS!F$1),FALSE),
IF(_xlpm.v=0,"",_xlpm.v)
),"")</f>
        <v/>
      </c>
      <c r="G45" s="17" t="str">
        <f>IFERROR(_xlfn.LET(_xlpm.v,
VLOOKUP($A45,CS!$B:$H,COLUMN(CS!G$1),FALSE),
IF(_xlpm.v=0,"",_xlpm.v)
),"")</f>
        <v/>
      </c>
    </row>
    <row r="46" spans="1:86" outlineLevel="1" x14ac:dyDescent="0.4">
      <c r="B46" t="str">
        <f>IFERROR(_xlfn.LET(_xlpm.v,
VLOOKUP($A46,CS!$B:$H,COLUMN(CS!B$1),FALSE),
IF(_xlpm.v=0,"",_xlpm.v)
),"")</f>
        <v/>
      </c>
      <c r="C46" t="str">
        <f>IFERROR(_xlfn.LET(_xlpm.v,
VLOOKUP($A46,CS!$B:$H,COLUMN(CS!C$1),FALSE),
IF(_xlpm.v=0,"",_xlpm.v)
),"")</f>
        <v/>
      </c>
      <c r="D46" t="str">
        <f>IFERROR(_xlfn.LET(_xlpm.v,
VLOOKUP($A46,CS!$B:$H,COLUMN(CS!D$1),FALSE),
IF(_xlpm.v=0,"",_xlpm.v)
),"")</f>
        <v/>
      </c>
      <c r="E46" t="str">
        <f>IFERROR(_xlfn.LET(_xlpm.v,
VLOOKUP($A46,CS!$B:$H,COLUMN(CS!E$1),FALSE),
IF(_xlpm.v=0,"",_xlpm.v)
),"")</f>
        <v/>
      </c>
      <c r="F46" t="str">
        <f>IFERROR(_xlfn.LET(_xlpm.v,
VLOOKUP($A46,CS!$B:$H,COLUMN(CS!F$1),FALSE),
IF(_xlpm.v=0,"",_xlpm.v)
),"")</f>
        <v/>
      </c>
      <c r="G46" s="17" t="str">
        <f>IFERROR(_xlfn.LET(_xlpm.v,
VLOOKUP($A46,CS!$B:$H,COLUMN(CS!G$1),FALSE),
IF(_xlpm.v=0,"",_xlpm.v)
),"")</f>
        <v/>
      </c>
    </row>
    <row r="47" spans="1:86" outlineLevel="1" x14ac:dyDescent="0.4">
      <c r="B47" t="str">
        <f>IFERROR(_xlfn.LET(_xlpm.v,
VLOOKUP($A47,CS!$B:$H,COLUMN(CS!B$1),FALSE),
IF(_xlpm.v=0,"",_xlpm.v)
),"")</f>
        <v/>
      </c>
      <c r="C47" t="str">
        <f>IFERROR(_xlfn.LET(_xlpm.v,
VLOOKUP($A47,CS!$B:$H,COLUMN(CS!C$1),FALSE),
IF(_xlpm.v=0,"",_xlpm.v)
),"")</f>
        <v/>
      </c>
      <c r="D47" t="str">
        <f>IFERROR(_xlfn.LET(_xlpm.v,
VLOOKUP($A47,CS!$B:$H,COLUMN(CS!D$1),FALSE),
IF(_xlpm.v=0,"",_xlpm.v)
),"")</f>
        <v/>
      </c>
      <c r="E47" t="str">
        <f>IFERROR(_xlfn.LET(_xlpm.v,
VLOOKUP($A47,CS!$B:$H,COLUMN(CS!E$1),FALSE),
IF(_xlpm.v=0,"",_xlpm.v)
),"")</f>
        <v/>
      </c>
      <c r="F47" t="str">
        <f>IFERROR(_xlfn.LET(_xlpm.v,
VLOOKUP($A47,CS!$B:$H,COLUMN(CS!F$1),FALSE),
IF(_xlpm.v=0,"",_xlpm.v)
),"")</f>
        <v/>
      </c>
      <c r="G47" s="17" t="str">
        <f>IFERROR(_xlfn.LET(_xlpm.v,
VLOOKUP($A47,CS!$B:$H,COLUMN(CS!G$1),FALSE),
IF(_xlpm.v=0,"",_xlpm.v)
),"")</f>
        <v/>
      </c>
    </row>
    <row r="48" spans="1:86" outlineLevel="1" x14ac:dyDescent="0.4">
      <c r="B48" t="str">
        <f>IFERROR(_xlfn.LET(_xlpm.v,
VLOOKUP($A48,CS!$B:$H,COLUMN(CS!B$1),FALSE),
IF(_xlpm.v=0,"",_xlpm.v)
),"")</f>
        <v/>
      </c>
      <c r="C48" t="str">
        <f>IFERROR(_xlfn.LET(_xlpm.v,
VLOOKUP($A48,CS!$B:$H,COLUMN(CS!C$1),FALSE),
IF(_xlpm.v=0,"",_xlpm.v)
),"")</f>
        <v/>
      </c>
      <c r="D48" t="str">
        <f>IFERROR(_xlfn.LET(_xlpm.v,
VLOOKUP($A48,CS!$B:$H,COLUMN(CS!D$1),FALSE),
IF(_xlpm.v=0,"",_xlpm.v)
),"")</f>
        <v/>
      </c>
      <c r="E48" t="str">
        <f>IFERROR(_xlfn.LET(_xlpm.v,
VLOOKUP($A48,CS!$B:$H,COLUMN(CS!E$1),FALSE),
IF(_xlpm.v=0,"",_xlpm.v)
),"")</f>
        <v/>
      </c>
      <c r="F48" t="str">
        <f>IFERROR(_xlfn.LET(_xlpm.v,
VLOOKUP($A48,CS!$B:$H,COLUMN(CS!F$1),FALSE),
IF(_xlpm.v=0,"",_xlpm.v)
),"")</f>
        <v/>
      </c>
      <c r="G48" s="17" t="str">
        <f>IFERROR(_xlfn.LET(_xlpm.v,
VLOOKUP($A48,CS!$B:$H,COLUMN(CS!G$1),FALSE),
IF(_xlpm.v=0,"",_xlpm.v)
),"")</f>
        <v/>
      </c>
    </row>
    <row r="49" spans="2:7" outlineLevel="1" x14ac:dyDescent="0.4">
      <c r="B49" t="str">
        <f>IFERROR(_xlfn.LET(_xlpm.v,
VLOOKUP($A49,CS!$B:$H,COLUMN(CS!B$1),FALSE),
IF(_xlpm.v=0,"",_xlpm.v)
),"")</f>
        <v/>
      </c>
      <c r="C49" t="str">
        <f>IFERROR(_xlfn.LET(_xlpm.v,
VLOOKUP($A49,CS!$B:$H,COLUMN(CS!C$1),FALSE),
IF(_xlpm.v=0,"",_xlpm.v)
),"")</f>
        <v/>
      </c>
      <c r="D49" t="str">
        <f>IFERROR(_xlfn.LET(_xlpm.v,
VLOOKUP($A49,CS!$B:$H,COLUMN(CS!D$1),FALSE),
IF(_xlpm.v=0,"",_xlpm.v)
),"")</f>
        <v/>
      </c>
      <c r="E49" t="str">
        <f>IFERROR(_xlfn.LET(_xlpm.v,
VLOOKUP($A49,CS!$B:$H,COLUMN(CS!E$1),FALSE),
IF(_xlpm.v=0,"",_xlpm.v)
),"")</f>
        <v/>
      </c>
      <c r="F49" t="str">
        <f>IFERROR(_xlfn.LET(_xlpm.v,
VLOOKUP($A49,CS!$B:$H,COLUMN(CS!F$1),FALSE),
IF(_xlpm.v=0,"",_xlpm.v)
),"")</f>
        <v/>
      </c>
      <c r="G49" s="17" t="str">
        <f>IFERROR(_xlfn.LET(_xlpm.v,
VLOOKUP($A49,CS!$B:$H,COLUMN(CS!G$1),FALSE),
IF(_xlpm.v=0,"",_xlpm.v)
),"")</f>
        <v/>
      </c>
    </row>
    <row r="50" spans="2:7" outlineLevel="1" x14ac:dyDescent="0.4">
      <c r="B50" t="str">
        <f>IFERROR(_xlfn.LET(_xlpm.v,
VLOOKUP($A50,CS!$B:$H,COLUMN(CS!B$1),FALSE),
IF(_xlpm.v=0,"",_xlpm.v)
),"")</f>
        <v/>
      </c>
      <c r="C50" t="str">
        <f>IFERROR(_xlfn.LET(_xlpm.v,
VLOOKUP($A50,CS!$B:$H,COLUMN(CS!C$1),FALSE),
IF(_xlpm.v=0,"",_xlpm.v)
),"")</f>
        <v/>
      </c>
      <c r="D50" t="str">
        <f>IFERROR(_xlfn.LET(_xlpm.v,
VLOOKUP($A50,CS!$B:$H,COLUMN(CS!D$1),FALSE),
IF(_xlpm.v=0,"",_xlpm.v)
),"")</f>
        <v/>
      </c>
      <c r="E50" t="str">
        <f>IFERROR(_xlfn.LET(_xlpm.v,
VLOOKUP($A50,CS!$B:$H,COLUMN(CS!E$1),FALSE),
IF(_xlpm.v=0,"",_xlpm.v)
),"")</f>
        <v/>
      </c>
      <c r="F50" t="str">
        <f>IFERROR(_xlfn.LET(_xlpm.v,
VLOOKUP($A50,CS!$B:$H,COLUMN(CS!F$1),FALSE),
IF(_xlpm.v=0,"",_xlpm.v)
),"")</f>
        <v/>
      </c>
      <c r="G50" s="17" t="str">
        <f>IFERROR(_xlfn.LET(_xlpm.v,
VLOOKUP($A50,CS!$B:$H,COLUMN(CS!G$1),FALSE),
IF(_xlpm.v=0,"",_xlpm.v)
),"")</f>
        <v/>
      </c>
    </row>
    <row r="51" spans="2:7" outlineLevel="1" x14ac:dyDescent="0.4">
      <c r="B51" t="str">
        <f>IFERROR(_xlfn.LET(_xlpm.v,
VLOOKUP($A51,CS!$B:$H,COLUMN(CS!B$1),FALSE),
IF(_xlpm.v=0,"",_xlpm.v)
),"")</f>
        <v/>
      </c>
      <c r="C51" t="str">
        <f>IFERROR(_xlfn.LET(_xlpm.v,
VLOOKUP($A51,CS!$B:$H,COLUMN(CS!C$1),FALSE),
IF(_xlpm.v=0,"",_xlpm.v)
),"")</f>
        <v/>
      </c>
      <c r="D51" t="str">
        <f>IFERROR(_xlfn.LET(_xlpm.v,
VLOOKUP($A51,CS!$B:$H,COLUMN(CS!D$1),FALSE),
IF(_xlpm.v=0,"",_xlpm.v)
),"")</f>
        <v/>
      </c>
      <c r="E51" t="str">
        <f>IFERROR(_xlfn.LET(_xlpm.v,
VLOOKUP($A51,CS!$B:$H,COLUMN(CS!E$1),FALSE),
IF(_xlpm.v=0,"",_xlpm.v)
),"")</f>
        <v/>
      </c>
      <c r="F51" t="str">
        <f>IFERROR(_xlfn.LET(_xlpm.v,
VLOOKUP($A51,CS!$B:$H,COLUMN(CS!F$1),FALSE),
IF(_xlpm.v=0,"",_xlpm.v)
),"")</f>
        <v/>
      </c>
      <c r="G51" s="17" t="str">
        <f>IFERROR(_xlfn.LET(_xlpm.v,
VLOOKUP($A51,CS!$B:$H,COLUMN(CS!G$1),FALSE),
IF(_xlpm.v=0,"",_xlpm.v)
),"")</f>
        <v/>
      </c>
    </row>
    <row r="52" spans="2:7" outlineLevel="1" x14ac:dyDescent="0.4">
      <c r="B52" t="str">
        <f>IFERROR(_xlfn.LET(_xlpm.v,
VLOOKUP($A52,CS!$B:$H,COLUMN(CS!B$1),FALSE),
IF(_xlpm.v=0,"",_xlpm.v)
),"")</f>
        <v/>
      </c>
      <c r="C52" t="str">
        <f>IFERROR(_xlfn.LET(_xlpm.v,
VLOOKUP($A52,CS!$B:$H,COLUMN(CS!C$1),FALSE),
IF(_xlpm.v=0,"",_xlpm.v)
),"")</f>
        <v/>
      </c>
      <c r="D52" t="str">
        <f>IFERROR(_xlfn.LET(_xlpm.v,
VLOOKUP($A52,CS!$B:$H,COLUMN(CS!D$1),FALSE),
IF(_xlpm.v=0,"",_xlpm.v)
),"")</f>
        <v/>
      </c>
      <c r="E52" t="str">
        <f>IFERROR(_xlfn.LET(_xlpm.v,
VLOOKUP($A52,CS!$B:$H,COLUMN(CS!E$1),FALSE),
IF(_xlpm.v=0,"",_xlpm.v)
),"")</f>
        <v/>
      </c>
      <c r="F52" t="str">
        <f>IFERROR(_xlfn.LET(_xlpm.v,
VLOOKUP($A52,CS!$B:$H,COLUMN(CS!F$1),FALSE),
IF(_xlpm.v=0,"",_xlpm.v)
),"")</f>
        <v/>
      </c>
      <c r="G52" s="17" t="str">
        <f>IFERROR(_xlfn.LET(_xlpm.v,
VLOOKUP($A52,CS!$B:$H,COLUMN(CS!G$1),FALSE),
IF(_xlpm.v=0,"",_xlpm.v)
),"")</f>
        <v/>
      </c>
    </row>
    <row r="53" spans="2:7" outlineLevel="1" x14ac:dyDescent="0.4">
      <c r="B53" t="str">
        <f>IFERROR(_xlfn.LET(_xlpm.v,
VLOOKUP($A53,CS!$B:$H,COLUMN(CS!B$1),FALSE),
IF(_xlpm.v=0,"",_xlpm.v)
),"")</f>
        <v/>
      </c>
      <c r="C53" t="str">
        <f>IFERROR(_xlfn.LET(_xlpm.v,
VLOOKUP($A53,CS!$B:$H,COLUMN(CS!C$1),FALSE),
IF(_xlpm.v=0,"",_xlpm.v)
),"")</f>
        <v/>
      </c>
      <c r="D53" t="str">
        <f>IFERROR(_xlfn.LET(_xlpm.v,
VLOOKUP($A53,CS!$B:$H,COLUMN(CS!D$1),FALSE),
IF(_xlpm.v=0,"",_xlpm.v)
),"")</f>
        <v/>
      </c>
      <c r="E53" t="str">
        <f>IFERROR(_xlfn.LET(_xlpm.v,
VLOOKUP($A53,CS!$B:$H,COLUMN(CS!E$1),FALSE),
IF(_xlpm.v=0,"",_xlpm.v)
),"")</f>
        <v/>
      </c>
      <c r="F53" t="str">
        <f>IFERROR(_xlfn.LET(_xlpm.v,
VLOOKUP($A53,CS!$B:$H,COLUMN(CS!F$1),FALSE),
IF(_xlpm.v=0,"",_xlpm.v)
),"")</f>
        <v/>
      </c>
      <c r="G53" s="17" t="str">
        <f>IFERROR(_xlfn.LET(_xlpm.v,
VLOOKUP($A53,CS!$B:$H,COLUMN(CS!G$1),FALSE),
IF(_xlpm.v=0,"",_xlpm.v)
),"")</f>
        <v/>
      </c>
    </row>
    <row r="54" spans="2:7" outlineLevel="1" x14ac:dyDescent="0.4">
      <c r="B54" t="str">
        <f>IFERROR(_xlfn.LET(_xlpm.v,
VLOOKUP($A54,CS!$B:$H,COLUMN(CS!B$1),FALSE),
IF(_xlpm.v=0,"",_xlpm.v)
),"")</f>
        <v/>
      </c>
      <c r="C54" t="str">
        <f>IFERROR(_xlfn.LET(_xlpm.v,
VLOOKUP($A54,CS!$B:$H,COLUMN(CS!C$1),FALSE),
IF(_xlpm.v=0,"",_xlpm.v)
),"")</f>
        <v/>
      </c>
      <c r="D54" t="str">
        <f>IFERROR(_xlfn.LET(_xlpm.v,
VLOOKUP($A54,CS!$B:$H,COLUMN(CS!D$1),FALSE),
IF(_xlpm.v=0,"",_xlpm.v)
),"")</f>
        <v/>
      </c>
      <c r="E54" t="str">
        <f>IFERROR(_xlfn.LET(_xlpm.v,
VLOOKUP($A54,CS!$B:$H,COLUMN(CS!E$1),FALSE),
IF(_xlpm.v=0,"",_xlpm.v)
),"")</f>
        <v/>
      </c>
      <c r="F54" t="str">
        <f>IFERROR(_xlfn.LET(_xlpm.v,
VLOOKUP($A54,CS!$B:$H,COLUMN(CS!F$1),FALSE),
IF(_xlpm.v=0,"",_xlpm.v)
),"")</f>
        <v/>
      </c>
      <c r="G54" s="17" t="str">
        <f>IFERROR(_xlfn.LET(_xlpm.v,
VLOOKUP($A54,CS!$B:$H,COLUMN(CS!G$1),FALSE),
IF(_xlpm.v=0,"",_xlpm.v)
),"")</f>
        <v/>
      </c>
    </row>
    <row r="55" spans="2:7" outlineLevel="1" x14ac:dyDescent="0.4">
      <c r="B55" t="str">
        <f>IFERROR(_xlfn.LET(_xlpm.v,
VLOOKUP($A55,CS!$B:$H,COLUMN(CS!B$1),FALSE),
IF(_xlpm.v=0,"",_xlpm.v)
),"")</f>
        <v/>
      </c>
      <c r="C55" t="str">
        <f>IFERROR(_xlfn.LET(_xlpm.v,
VLOOKUP($A55,CS!$B:$H,COLUMN(CS!C$1),FALSE),
IF(_xlpm.v=0,"",_xlpm.v)
),"")</f>
        <v/>
      </c>
      <c r="D55" t="str">
        <f>IFERROR(_xlfn.LET(_xlpm.v,
VLOOKUP($A55,CS!$B:$H,COLUMN(CS!D$1),FALSE),
IF(_xlpm.v=0,"",_xlpm.v)
),"")</f>
        <v/>
      </c>
      <c r="E55" t="str">
        <f>IFERROR(_xlfn.LET(_xlpm.v,
VLOOKUP($A55,CS!$B:$H,COLUMN(CS!E$1),FALSE),
IF(_xlpm.v=0,"",_xlpm.v)
),"")</f>
        <v/>
      </c>
      <c r="F55" t="str">
        <f>IFERROR(_xlfn.LET(_xlpm.v,
VLOOKUP($A55,CS!$B:$H,COLUMN(CS!F$1),FALSE),
IF(_xlpm.v=0,"",_xlpm.v)
),"")</f>
        <v/>
      </c>
      <c r="G55" s="17" t="str">
        <f>IFERROR(_xlfn.LET(_xlpm.v,
VLOOKUP($A55,CS!$B:$H,COLUMN(CS!G$1),FALSE),
IF(_xlpm.v=0,"",_xlpm.v)
),"")</f>
        <v/>
      </c>
    </row>
    <row r="56" spans="2:7" outlineLevel="1" x14ac:dyDescent="0.4">
      <c r="B56" t="str">
        <f>IFERROR(_xlfn.LET(_xlpm.v,
VLOOKUP($A56,CS!$B:$H,COLUMN(CS!B$1),FALSE),
IF(_xlpm.v=0,"",_xlpm.v)
),"")</f>
        <v/>
      </c>
      <c r="C56" t="str">
        <f>IFERROR(_xlfn.LET(_xlpm.v,
VLOOKUP($A56,CS!$B:$H,COLUMN(CS!C$1),FALSE),
IF(_xlpm.v=0,"",_xlpm.v)
),"")</f>
        <v/>
      </c>
      <c r="D56" t="str">
        <f>IFERROR(_xlfn.LET(_xlpm.v,
VLOOKUP($A56,CS!$B:$H,COLUMN(CS!D$1),FALSE),
IF(_xlpm.v=0,"",_xlpm.v)
),"")</f>
        <v/>
      </c>
      <c r="E56" t="str">
        <f>IFERROR(_xlfn.LET(_xlpm.v,
VLOOKUP($A56,CS!$B:$H,COLUMN(CS!E$1),FALSE),
IF(_xlpm.v=0,"",_xlpm.v)
),"")</f>
        <v/>
      </c>
      <c r="F56" t="str">
        <f>IFERROR(_xlfn.LET(_xlpm.v,
VLOOKUP($A56,CS!$B:$H,COLUMN(CS!F$1),FALSE),
IF(_xlpm.v=0,"",_xlpm.v)
),"")</f>
        <v/>
      </c>
      <c r="G56" s="17" t="str">
        <f>IFERROR(_xlfn.LET(_xlpm.v,
VLOOKUP($A56,CS!$B:$H,COLUMN(CS!G$1),FALSE),
IF(_xlpm.v=0,"",_xlpm.v)
),"")</f>
        <v/>
      </c>
    </row>
    <row r="57" spans="2:7" outlineLevel="1" x14ac:dyDescent="0.4">
      <c r="B57" t="str">
        <f>IFERROR(_xlfn.LET(_xlpm.v,
VLOOKUP($A57,CS!$B:$H,COLUMN(CS!B$1),FALSE),
IF(_xlpm.v=0,"",_xlpm.v)
),"")</f>
        <v/>
      </c>
      <c r="C57" t="str">
        <f>IFERROR(_xlfn.LET(_xlpm.v,
VLOOKUP($A57,CS!$B:$H,COLUMN(CS!C$1),FALSE),
IF(_xlpm.v=0,"",_xlpm.v)
),"")</f>
        <v/>
      </c>
      <c r="D57" t="str">
        <f>IFERROR(_xlfn.LET(_xlpm.v,
VLOOKUP($A57,CS!$B:$H,COLUMN(CS!D$1),FALSE),
IF(_xlpm.v=0,"",_xlpm.v)
),"")</f>
        <v/>
      </c>
      <c r="E57" t="str">
        <f>IFERROR(_xlfn.LET(_xlpm.v,
VLOOKUP($A57,CS!$B:$H,COLUMN(CS!E$1),FALSE),
IF(_xlpm.v=0,"",_xlpm.v)
),"")</f>
        <v/>
      </c>
      <c r="F57" t="str">
        <f>IFERROR(_xlfn.LET(_xlpm.v,
VLOOKUP($A57,CS!$B:$H,COLUMN(CS!F$1),FALSE),
IF(_xlpm.v=0,"",_xlpm.v)
),"")</f>
        <v/>
      </c>
      <c r="G57" s="17" t="str">
        <f>IFERROR(_xlfn.LET(_xlpm.v,
VLOOKUP($A57,CS!$B:$H,COLUMN(CS!G$1),FALSE),
IF(_xlpm.v=0,"",_xlpm.v)
),"")</f>
        <v/>
      </c>
    </row>
    <row r="58" spans="2:7" outlineLevel="1" x14ac:dyDescent="0.4">
      <c r="B58" t="str">
        <f>IFERROR(_xlfn.LET(_xlpm.v,
VLOOKUP($A58,CS!$B:$H,COLUMN(CS!B$1),FALSE),
IF(_xlpm.v=0,"",_xlpm.v)
),"")</f>
        <v/>
      </c>
      <c r="C58" t="str">
        <f>IFERROR(_xlfn.LET(_xlpm.v,
VLOOKUP($A58,CS!$B:$H,COLUMN(CS!C$1),FALSE),
IF(_xlpm.v=0,"",_xlpm.v)
),"")</f>
        <v/>
      </c>
      <c r="D58" t="str">
        <f>IFERROR(_xlfn.LET(_xlpm.v,
VLOOKUP($A58,CS!$B:$H,COLUMN(CS!D$1),FALSE),
IF(_xlpm.v=0,"",_xlpm.v)
),"")</f>
        <v/>
      </c>
      <c r="E58" t="str">
        <f>IFERROR(_xlfn.LET(_xlpm.v,
VLOOKUP($A58,CS!$B:$H,COLUMN(CS!E$1),FALSE),
IF(_xlpm.v=0,"",_xlpm.v)
),"")</f>
        <v/>
      </c>
      <c r="F58" t="str">
        <f>IFERROR(_xlfn.LET(_xlpm.v,
VLOOKUP($A58,CS!$B:$H,COLUMN(CS!F$1),FALSE),
IF(_xlpm.v=0,"",_xlpm.v)
),"")</f>
        <v/>
      </c>
      <c r="G58" s="17" t="str">
        <f>IFERROR(_xlfn.LET(_xlpm.v,
VLOOKUP($A58,CS!$B:$H,COLUMN(CS!G$1),FALSE),
IF(_xlpm.v=0,"",_xlpm.v)
),"")</f>
        <v/>
      </c>
    </row>
    <row r="59" spans="2:7" outlineLevel="1" x14ac:dyDescent="0.4">
      <c r="B59" t="str">
        <f>IFERROR(_xlfn.LET(_xlpm.v,
VLOOKUP($A59,CS!$B:$H,COLUMN(CS!B$1),FALSE),
IF(_xlpm.v=0,"",_xlpm.v)
),"")</f>
        <v/>
      </c>
      <c r="C59" t="str">
        <f>IFERROR(_xlfn.LET(_xlpm.v,
VLOOKUP($A59,CS!$B:$H,COLUMN(CS!C$1),FALSE),
IF(_xlpm.v=0,"",_xlpm.v)
),"")</f>
        <v/>
      </c>
      <c r="D59" t="str">
        <f>IFERROR(_xlfn.LET(_xlpm.v,
VLOOKUP($A59,CS!$B:$H,COLUMN(CS!D$1),FALSE),
IF(_xlpm.v=0,"",_xlpm.v)
),"")</f>
        <v/>
      </c>
      <c r="E59" t="str">
        <f>IFERROR(_xlfn.LET(_xlpm.v,
VLOOKUP($A59,CS!$B:$H,COLUMN(CS!E$1),FALSE),
IF(_xlpm.v=0,"",_xlpm.v)
),"")</f>
        <v/>
      </c>
      <c r="F59" t="str">
        <f>IFERROR(_xlfn.LET(_xlpm.v,
VLOOKUP($A59,CS!$B:$H,COLUMN(CS!F$1),FALSE),
IF(_xlpm.v=0,"",_xlpm.v)
),"")</f>
        <v/>
      </c>
      <c r="G59" s="17" t="str">
        <f>IFERROR(_xlfn.LET(_xlpm.v,
VLOOKUP($A59,CS!$B:$H,COLUMN(CS!G$1),FALSE),
IF(_xlpm.v=0,"",_xlpm.v)
),"")</f>
        <v/>
      </c>
    </row>
    <row r="60" spans="2:7"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17" t="str">
        <f>IFERROR(_xlfn.LET(_xlpm.v,
VLOOKUP($A60,CS!$B:$H,COLUMN(CS!G$1),FALSE),
IF(_xlpm.v=0,"",_xlpm.v)
),"")</f>
        <v/>
      </c>
    </row>
    <row r="61" spans="2:7"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17" t="str">
        <f>IFERROR(_xlfn.LET(_xlpm.v,
VLOOKUP($A61,CS!$B:$H,COLUMN(CS!G$1),FALSE),
IF(_xlpm.v=0,"",_xlpm.v)
),"")</f>
        <v/>
      </c>
    </row>
    <row r="62" spans="2:7"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17" t="str">
        <f>IFERROR(_xlfn.LET(_xlpm.v,
VLOOKUP($A62,CS!$B:$H,COLUMN(CS!G$1),FALSE),
IF(_xlpm.v=0,"",_xlpm.v)
),"")</f>
        <v/>
      </c>
    </row>
    <row r="63" spans="2:7"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17" t="str">
        <f>IFERROR(_xlfn.LET(_xlpm.v,
VLOOKUP($A63,CS!$B:$H,COLUMN(CS!G$1),FALSE),
IF(_xlpm.v=0,"",_xlpm.v)
),"")</f>
        <v/>
      </c>
    </row>
    <row r="64" spans="2:7"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17" t="str">
        <f>IFERROR(_xlfn.LET(_xlpm.v,
VLOOKUP($A64,CS!$B:$H,COLUMN(CS!G$1),FALSE),
IF(_xlpm.v=0,"",_xlpm.v)
),"")</f>
        <v/>
      </c>
    </row>
    <row r="65" spans="2:7"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17" t="str">
        <f>IFERROR(_xlfn.LET(_xlpm.v,
VLOOKUP($A65,CS!$B:$H,COLUMN(CS!G$1),FALSE),
IF(_xlpm.v=0,"",_xlpm.v)
),"")</f>
        <v/>
      </c>
    </row>
    <row r="66" spans="2:7"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17" t="str">
        <f>IFERROR(_xlfn.LET(_xlpm.v,
VLOOKUP($A66,CS!$B:$H,COLUMN(CS!G$1),FALSE),
IF(_xlpm.v=0,"",_xlpm.v)
),"")</f>
        <v/>
      </c>
    </row>
    <row r="67" spans="2:7"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17" t="str">
        <f>IFERROR(_xlfn.LET(_xlpm.v,
VLOOKUP($A67,CS!$B:$H,COLUMN(CS!G$1),FALSE),
IF(_xlpm.v=0,"",_xlpm.v)
),"")</f>
        <v/>
      </c>
    </row>
    <row r="68" spans="2:7"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17" t="str">
        <f>IFERROR(_xlfn.LET(_xlpm.v,
VLOOKUP($A68,CS!$B:$H,COLUMN(CS!G$1),FALSE),
IF(_xlpm.v=0,"",_xlpm.v)
),"")</f>
        <v/>
      </c>
    </row>
    <row r="69" spans="2:7"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17" t="str">
        <f>IFERROR(_xlfn.LET(_xlpm.v,
VLOOKUP($A69,CS!$B:$H,COLUMN(CS!G$1),FALSE),
IF(_xlpm.v=0,"",_xlpm.v)
),"")</f>
        <v/>
      </c>
    </row>
    <row r="70" spans="2:7"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17" t="str">
        <f>IFERROR(_xlfn.LET(_xlpm.v,
VLOOKUP($A70,CS!$B:$H,COLUMN(CS!G$1),FALSE),
IF(_xlpm.v=0,"",_xlpm.v)
),"")</f>
        <v/>
      </c>
    </row>
    <row r="71" spans="2:7"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17" t="str">
        <f>IFERROR(_xlfn.LET(_xlpm.v,
VLOOKUP($A71,CS!$B:$H,COLUMN(CS!G$1),FALSE),
IF(_xlpm.v=0,"",_xlpm.v)
),"")</f>
        <v/>
      </c>
    </row>
    <row r="72" spans="2:7"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17" t="str">
        <f>IFERROR(_xlfn.LET(_xlpm.v,
VLOOKUP($A72,CS!$B:$H,COLUMN(CS!G$1),FALSE),
IF(_xlpm.v=0,"",_xlpm.v)
),"")</f>
        <v/>
      </c>
    </row>
    <row r="73" spans="2:7"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17" t="str">
        <f>IFERROR(_xlfn.LET(_xlpm.v,
VLOOKUP($A73,CS!$B:$H,COLUMN(CS!G$1),FALSE),
IF(_xlpm.v=0,"",_xlpm.v)
),"")</f>
        <v/>
      </c>
    </row>
    <row r="74" spans="2:7"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17" t="str">
        <f>IFERROR(_xlfn.LET(_xlpm.v,
VLOOKUP($A74,CS!$B:$H,COLUMN(CS!G$1),FALSE),
IF(_xlpm.v=0,"",_xlpm.v)
),"")</f>
        <v/>
      </c>
    </row>
    <row r="75" spans="2:7"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17" t="str">
        <f>IFERROR(_xlfn.LET(_xlpm.v,
VLOOKUP($A75,CS!$B:$H,COLUMN(CS!G$1),FALSE),
IF(_xlpm.v=0,"",_xlpm.v)
),"")</f>
        <v/>
      </c>
    </row>
    <row r="76" spans="2:7"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17" t="str">
        <f>IFERROR(_xlfn.LET(_xlpm.v,
VLOOKUP($A76,CS!$B:$H,COLUMN(CS!G$1),FALSE),
IF(_xlpm.v=0,"",_xlpm.v)
),"")</f>
        <v/>
      </c>
    </row>
    <row r="77" spans="2:7"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17" t="str">
        <f>IFERROR(_xlfn.LET(_xlpm.v,
VLOOKUP($A77,CS!$B:$H,COLUMN(CS!G$1),FALSE),
IF(_xlpm.v=0,"",_xlpm.v)
),"")</f>
        <v/>
      </c>
    </row>
    <row r="78" spans="2:7"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17" t="str">
        <f>IFERROR(_xlfn.LET(_xlpm.v,
VLOOKUP($A78,CS!$B:$H,COLUMN(CS!G$1),FALSE),
IF(_xlpm.v=0,"",_xlpm.v)
),"")</f>
        <v/>
      </c>
    </row>
    <row r="79" spans="2:7"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17" t="str">
        <f>IFERROR(_xlfn.LET(_xlpm.v,
VLOOKUP($A79,CS!$B:$H,COLUMN(CS!G$1),FALSE),
IF(_xlpm.v=0,"",_xlpm.v)
),"")</f>
        <v/>
      </c>
    </row>
    <row r="80" spans="2:7"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17" t="str">
        <f>IFERROR(_xlfn.LET(_xlpm.v,
VLOOKUP($A80,CS!$B:$H,COLUMN(CS!G$1),FALSE),
IF(_xlpm.v=0,"",_xlpm.v)
),"")</f>
        <v/>
      </c>
    </row>
    <row r="81" spans="2:7"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17" t="str">
        <f>IFERROR(_xlfn.LET(_xlpm.v,
VLOOKUP($A81,CS!$B:$H,COLUMN(CS!G$1),FALSE),
IF(_xlpm.v=0,"",_xlpm.v)
),"")</f>
        <v/>
      </c>
    </row>
    <row r="82" spans="2:7"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17" t="str">
        <f>IFERROR(_xlfn.LET(_xlpm.v,
VLOOKUP($A82,CS!$B:$H,COLUMN(CS!G$1),FALSE),
IF(_xlpm.v=0,"",_xlpm.v)
),"")</f>
        <v/>
      </c>
    </row>
    <row r="83" spans="2:7"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17" t="str">
        <f>IFERROR(_xlfn.LET(_xlpm.v,
VLOOKUP($A83,CS!$B:$H,COLUMN(CS!G$1),FALSE),
IF(_xlpm.v=0,"",_xlpm.v)
),"")</f>
        <v/>
      </c>
    </row>
    <row r="84" spans="2:7"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17" t="str">
        <f>IFERROR(_xlfn.LET(_xlpm.v,
VLOOKUP($A84,CS!$B:$H,COLUMN(CS!G$1),FALSE),
IF(_xlpm.v=0,"",_xlpm.v)
),"")</f>
        <v/>
      </c>
    </row>
    <row r="85" spans="2:7"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17" t="str">
        <f>IFERROR(_xlfn.LET(_xlpm.v,
VLOOKUP($A85,CS!$B:$H,COLUMN(CS!G$1),FALSE),
IF(_xlpm.v=0,"",_xlpm.v)
),"")</f>
        <v/>
      </c>
    </row>
    <row r="86" spans="2:7"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17" t="str">
        <f>IFERROR(_xlfn.LET(_xlpm.v,
VLOOKUP($A86,CS!$B:$H,COLUMN(CS!G$1),FALSE),
IF(_xlpm.v=0,"",_xlpm.v)
),"")</f>
        <v/>
      </c>
    </row>
    <row r="87" spans="2:7"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17" t="str">
        <f>IFERROR(_xlfn.LET(_xlpm.v,
VLOOKUP($A87,CS!$B:$H,COLUMN(CS!G$1),FALSE),
IF(_xlpm.v=0,"",_xlpm.v)
),"")</f>
        <v/>
      </c>
    </row>
    <row r="88" spans="2:7"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17" t="str">
        <f>IFERROR(_xlfn.LET(_xlpm.v,
VLOOKUP($A88,CS!$B:$H,COLUMN(CS!G$1),FALSE),
IF(_xlpm.v=0,"",_xlpm.v)
),"")</f>
        <v/>
      </c>
    </row>
    <row r="89" spans="2:7"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17" t="str">
        <f>IFERROR(_xlfn.LET(_xlpm.v,
VLOOKUP($A89,CS!$B:$H,COLUMN(CS!G$1),FALSE),
IF(_xlpm.v=0,"",_xlpm.v)
),"")</f>
        <v/>
      </c>
    </row>
    <row r="90" spans="2:7"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17" t="str">
        <f>IFERROR(_xlfn.LET(_xlpm.v,
VLOOKUP($A90,CS!$B:$H,COLUMN(CS!G$1),FALSE),
IF(_xlpm.v=0,"",_xlpm.v)
),"")</f>
        <v/>
      </c>
    </row>
    <row r="91" spans="2:7"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17" t="str">
        <f>IFERROR(_xlfn.LET(_xlpm.v,
VLOOKUP($A91,CS!$B:$H,COLUMN(CS!G$1),FALSE),
IF(_xlpm.v=0,"",_xlpm.v)
),"")</f>
        <v/>
      </c>
    </row>
    <row r="92" spans="2:7"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17" t="str">
        <f>IFERROR(_xlfn.LET(_xlpm.v,
VLOOKUP($A92,CS!$B:$H,COLUMN(CS!G$1),FALSE),
IF(_xlpm.v=0,"",_xlpm.v)
),"")</f>
        <v/>
      </c>
    </row>
    <row r="93" spans="2:7"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17" t="str">
        <f>IFERROR(_xlfn.LET(_xlpm.v,
VLOOKUP($A93,CS!$B:$H,COLUMN(CS!G$1),FALSE),
IF(_xlpm.v=0,"",_xlpm.v)
),"")</f>
        <v/>
      </c>
    </row>
    <row r="94" spans="2:7"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17" t="str">
        <f>IFERROR(_xlfn.LET(_xlpm.v,
VLOOKUP($A94,CS!$B:$H,COLUMN(CS!G$1),FALSE),
IF(_xlpm.v=0,"",_xlpm.v)
),"")</f>
        <v/>
      </c>
    </row>
    <row r="95" spans="2:7"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17" t="str">
        <f>IFERROR(_xlfn.LET(_xlpm.v,
VLOOKUP($A95,CS!$B:$H,COLUMN(CS!G$1),FALSE),
IF(_xlpm.v=0,"",_xlpm.v)
),"")</f>
        <v/>
      </c>
    </row>
    <row r="96" spans="2:7"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17" t="str">
        <f>IFERROR(_xlfn.LET(_xlpm.v,
VLOOKUP($A96,CS!$B:$H,COLUMN(CS!G$1),FALSE),
IF(_xlpm.v=0,"",_xlpm.v)
),"")</f>
        <v/>
      </c>
    </row>
    <row r="97" spans="2:7"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17" t="str">
        <f>IFERROR(_xlfn.LET(_xlpm.v,
VLOOKUP($A97,CS!$B:$H,COLUMN(CS!G$1),FALSE),
IF(_xlpm.v=0,"",_xlpm.v)
),"")</f>
        <v/>
      </c>
    </row>
    <row r="98" spans="2:7"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17" t="str">
        <f>IFERROR(_xlfn.LET(_xlpm.v,
VLOOKUP($A98,CS!$B:$H,COLUMN(CS!G$1),FALSE),
IF(_xlpm.v=0,"",_xlpm.v)
),"")</f>
        <v/>
      </c>
    </row>
    <row r="99" spans="2:7"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17" t="str">
        <f>IFERROR(_xlfn.LET(_xlpm.v,
VLOOKUP($A99,CS!$B:$H,COLUMN(CS!G$1),FALSE),
IF(_xlpm.v=0,"",_xlpm.v)
),"")</f>
        <v/>
      </c>
    </row>
    <row r="100" spans="2:7"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17" t="str">
        <f>IFERROR(_xlfn.LET(_xlpm.v,
VLOOKUP($A100,CS!$B:$H,COLUMN(CS!G$1),FALSE),
IF(_xlpm.v=0,"",_xlpm.v)
),"")</f>
        <v/>
      </c>
    </row>
  </sheetData>
  <autoFilter ref="A3:CK100" xr:uid="{5691C196-6ACB-43D4-A2AD-35AA78DAEC1F}"/>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B14"/>
  <sheetViews>
    <sheetView workbookViewId="0">
      <selection activeCell="A2" sqref="A2:A9"/>
    </sheetView>
  </sheetViews>
  <sheetFormatPr defaultRowHeight="18.75" x14ac:dyDescent="0.4"/>
  <cols>
    <col min="2" max="2" width="41.375" style="17" customWidth="1"/>
  </cols>
  <sheetData>
    <row r="1" spans="1:2" x14ac:dyDescent="0.4">
      <c r="A1" t="s">
        <v>342</v>
      </c>
      <c r="B1" s="17" t="s">
        <v>81</v>
      </c>
    </row>
    <row r="2" spans="1:2" x14ac:dyDescent="0.4">
      <c r="A2" t="s">
        <v>331</v>
      </c>
      <c r="B2" s="17" t="s">
        <v>343</v>
      </c>
    </row>
    <row r="3" spans="1:2" x14ac:dyDescent="0.4">
      <c r="A3" t="s">
        <v>332</v>
      </c>
      <c r="B3" s="17" t="s">
        <v>344</v>
      </c>
    </row>
    <row r="4" spans="1:2" x14ac:dyDescent="0.4">
      <c r="A4" t="s">
        <v>333</v>
      </c>
      <c r="B4" s="17" t="s">
        <v>345</v>
      </c>
    </row>
    <row r="5" spans="1:2" x14ac:dyDescent="0.4">
      <c r="A5" t="s">
        <v>334</v>
      </c>
      <c r="B5" s="17" t="s">
        <v>348</v>
      </c>
    </row>
    <row r="6" spans="1:2" ht="37.5" x14ac:dyDescent="0.4">
      <c r="A6" t="s">
        <v>335</v>
      </c>
      <c r="B6" s="17" t="s">
        <v>349</v>
      </c>
    </row>
    <row r="7" spans="1:2" x14ac:dyDescent="0.4">
      <c r="A7" t="s">
        <v>336</v>
      </c>
      <c r="B7" s="17" t="s">
        <v>350</v>
      </c>
    </row>
    <row r="8" spans="1:2" x14ac:dyDescent="0.4">
      <c r="A8" t="s">
        <v>351</v>
      </c>
      <c r="B8" s="17" t="s">
        <v>352</v>
      </c>
    </row>
    <row r="9" spans="1:2" x14ac:dyDescent="0.4">
      <c r="A9" t="s">
        <v>1291</v>
      </c>
      <c r="B9" s="17" t="s">
        <v>347</v>
      </c>
    </row>
    <row r="11" spans="1:2" x14ac:dyDescent="0.4">
      <c r="A11" t="s">
        <v>338</v>
      </c>
    </row>
    <row r="12" spans="1:2" x14ac:dyDescent="0.4">
      <c r="A12" t="s">
        <v>339</v>
      </c>
    </row>
    <row r="13" spans="1:2" x14ac:dyDescent="0.4">
      <c r="A13" t="s">
        <v>340</v>
      </c>
    </row>
    <row r="14" spans="1:2" x14ac:dyDescent="0.4">
      <c r="A14" t="s">
        <v>341</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377</v>
      </c>
      <c r="B1" s="17" t="s">
        <v>81</v>
      </c>
    </row>
    <row r="2" spans="1:2" ht="37.5" x14ac:dyDescent="0.4">
      <c r="A2" t="s">
        <v>337</v>
      </c>
      <c r="B2" s="17" t="s">
        <v>346</v>
      </c>
    </row>
    <row r="3" spans="1:2" ht="37.5" x14ac:dyDescent="0.4">
      <c r="A3" t="s">
        <v>374</v>
      </c>
      <c r="B3" s="17" t="s">
        <v>378</v>
      </c>
    </row>
    <row r="4" spans="1:2" x14ac:dyDescent="0.4">
      <c r="A4" t="s">
        <v>353</v>
      </c>
      <c r="B4" s="17" t="s">
        <v>379</v>
      </c>
    </row>
    <row r="5" spans="1:2" ht="37.5" x14ac:dyDescent="0.4">
      <c r="A5" t="s">
        <v>376</v>
      </c>
      <c r="B5" s="17" t="s">
        <v>380</v>
      </c>
    </row>
    <row r="6" spans="1:2" x14ac:dyDescent="0.4">
      <c r="A6" t="s">
        <v>373</v>
      </c>
      <c r="B6" s="17" t="s">
        <v>381</v>
      </c>
    </row>
    <row r="7" spans="1:2" x14ac:dyDescent="0.4">
      <c r="A7" t="s">
        <v>354</v>
      </c>
      <c r="B7" s="17" t="s">
        <v>382</v>
      </c>
    </row>
    <row r="8" spans="1:2" x14ac:dyDescent="0.4">
      <c r="A8" t="s">
        <v>355</v>
      </c>
      <c r="B8" s="17" t="s">
        <v>383</v>
      </c>
    </row>
    <row r="9" spans="1:2" x14ac:dyDescent="0.4">
      <c r="A9" t="s">
        <v>356</v>
      </c>
      <c r="B9" s="17" t="s">
        <v>384</v>
      </c>
    </row>
    <row r="10" spans="1:2" x14ac:dyDescent="0.4">
      <c r="A10" t="s">
        <v>357</v>
      </c>
      <c r="B10" s="17" t="s">
        <v>385</v>
      </c>
    </row>
    <row r="11" spans="1:2" x14ac:dyDescent="0.4">
      <c r="A11" t="s">
        <v>358</v>
      </c>
      <c r="B11" s="17" t="s">
        <v>386</v>
      </c>
    </row>
    <row r="12" spans="1:2" x14ac:dyDescent="0.4">
      <c r="A12" t="s">
        <v>359</v>
      </c>
      <c r="B12" s="17" t="s">
        <v>387</v>
      </c>
    </row>
    <row r="13" spans="1:2" x14ac:dyDescent="0.4">
      <c r="A13" t="s">
        <v>360</v>
      </c>
      <c r="B13" s="17" t="s">
        <v>388</v>
      </c>
    </row>
    <row r="14" spans="1:2" x14ac:dyDescent="0.4">
      <c r="A14" t="s">
        <v>361</v>
      </c>
      <c r="B14" s="17" t="s">
        <v>389</v>
      </c>
    </row>
    <row r="15" spans="1:2" x14ac:dyDescent="0.4">
      <c r="A15" t="s">
        <v>362</v>
      </c>
      <c r="B15" s="17" t="s">
        <v>397</v>
      </c>
    </row>
    <row r="16" spans="1:2" x14ac:dyDescent="0.4">
      <c r="A16" t="s">
        <v>101</v>
      </c>
      <c r="B16" s="17" t="s">
        <v>394</v>
      </c>
    </row>
    <row r="17" spans="1:2" x14ac:dyDescent="0.4">
      <c r="A17" t="s">
        <v>363</v>
      </c>
      <c r="B17" s="17" t="s">
        <v>395</v>
      </c>
    </row>
    <row r="18" spans="1:2" x14ac:dyDescent="0.4">
      <c r="A18" t="s">
        <v>365</v>
      </c>
      <c r="B18" s="17" t="s">
        <v>396</v>
      </c>
    </row>
    <row r="19" spans="1:2" x14ac:dyDescent="0.4">
      <c r="A19" t="s">
        <v>364</v>
      </c>
      <c r="B19" s="17" t="s">
        <v>390</v>
      </c>
    </row>
    <row r="20" spans="1:2" x14ac:dyDescent="0.4">
      <c r="A20" t="s">
        <v>366</v>
      </c>
      <c r="B20" s="17" t="s">
        <v>398</v>
      </c>
    </row>
    <row r="21" spans="1:2" x14ac:dyDescent="0.4">
      <c r="A21" t="s">
        <v>367</v>
      </c>
      <c r="B21" s="17" t="s">
        <v>399</v>
      </c>
    </row>
    <row r="22" spans="1:2" ht="56.25" x14ac:dyDescent="0.4">
      <c r="A22" t="s">
        <v>368</v>
      </c>
      <c r="B22" s="17" t="s">
        <v>400</v>
      </c>
    </row>
    <row r="23" spans="1:2" ht="37.5" x14ac:dyDescent="0.4">
      <c r="A23" t="s">
        <v>369</v>
      </c>
      <c r="B23" s="17" t="s">
        <v>391</v>
      </c>
    </row>
    <row r="24" spans="1:2" x14ac:dyDescent="0.4">
      <c r="A24" t="s">
        <v>124</v>
      </c>
      <c r="B24" s="17" t="s">
        <v>401</v>
      </c>
    </row>
    <row r="25" spans="1:2" ht="37.5" x14ac:dyDescent="0.4">
      <c r="A25" t="s">
        <v>370</v>
      </c>
      <c r="B25" s="17" t="s">
        <v>402</v>
      </c>
    </row>
    <row r="26" spans="1:2" x14ac:dyDescent="0.4">
      <c r="A26" t="s">
        <v>371</v>
      </c>
      <c r="B26" s="17" t="s">
        <v>392</v>
      </c>
    </row>
    <row r="27" spans="1:2" ht="37.5" x14ac:dyDescent="0.4">
      <c r="A27" t="s">
        <v>372</v>
      </c>
      <c r="B27" s="17" t="s">
        <v>403</v>
      </c>
    </row>
    <row r="28" spans="1:2" x14ac:dyDescent="0.4">
      <c r="A28" t="s">
        <v>375</v>
      </c>
      <c r="B28" s="17" t="s">
        <v>393</v>
      </c>
    </row>
    <row r="30" spans="1:2" x14ac:dyDescent="0.4">
      <c r="A30" t="s">
        <v>424</v>
      </c>
      <c r="B30" s="17" t="s">
        <v>404</v>
      </c>
    </row>
    <row r="31" spans="1:2" x14ac:dyDescent="0.4">
      <c r="A31" t="s">
        <v>405</v>
      </c>
      <c r="B31" s="17" t="s">
        <v>406</v>
      </c>
    </row>
    <row r="32" spans="1:2" x14ac:dyDescent="0.4">
      <c r="A32" t="s">
        <v>407</v>
      </c>
      <c r="B32" s="17" t="s">
        <v>408</v>
      </c>
    </row>
    <row r="33" spans="1:2" x14ac:dyDescent="0.4">
      <c r="A33" t="s">
        <v>409</v>
      </c>
      <c r="B33" s="17" t="s">
        <v>410</v>
      </c>
    </row>
    <row r="34" spans="1:2" x14ac:dyDescent="0.4">
      <c r="A34" t="s">
        <v>278</v>
      </c>
      <c r="B34" s="17" t="s">
        <v>411</v>
      </c>
    </row>
    <row r="35" spans="1:2" x14ac:dyDescent="0.4">
      <c r="A35" t="s">
        <v>412</v>
      </c>
      <c r="B35" s="17" t="s">
        <v>413</v>
      </c>
    </row>
    <row r="37" spans="1:2" x14ac:dyDescent="0.4">
      <c r="A37" t="s">
        <v>416</v>
      </c>
      <c r="B37" s="17" t="s">
        <v>417</v>
      </c>
    </row>
    <row r="38" spans="1:2" x14ac:dyDescent="0.4">
      <c r="A38" t="s">
        <v>414</v>
      </c>
      <c r="B38" s="17" t="s">
        <v>415</v>
      </c>
    </row>
    <row r="39" spans="1:2" x14ac:dyDescent="0.4">
      <c r="A39" t="s">
        <v>418</v>
      </c>
      <c r="B39" s="17" t="s">
        <v>419</v>
      </c>
    </row>
    <row r="41" spans="1:2" ht="37.5" x14ac:dyDescent="0.4">
      <c r="A41" t="s">
        <v>420</v>
      </c>
      <c r="B41" s="17" t="s">
        <v>421</v>
      </c>
    </row>
    <row r="42" spans="1:2" x14ac:dyDescent="0.4">
      <c r="A42" t="s">
        <v>422</v>
      </c>
      <c r="B42" s="17" t="s">
        <v>423</v>
      </c>
    </row>
    <row r="46" spans="1:2" x14ac:dyDescent="0.4">
      <c r="A46" t="s">
        <v>426</v>
      </c>
      <c r="B46" s="17" t="s">
        <v>427</v>
      </c>
    </row>
    <row r="47" spans="1:2" x14ac:dyDescent="0.4">
      <c r="A47" t="s">
        <v>425</v>
      </c>
      <c r="B47" s="17" t="s">
        <v>428</v>
      </c>
    </row>
    <row r="48" spans="1:2" ht="37.5" x14ac:dyDescent="0.4">
      <c r="A48" t="s">
        <v>429</v>
      </c>
      <c r="B48" s="17" t="s">
        <v>430</v>
      </c>
    </row>
    <row r="49" spans="1:2" x14ac:dyDescent="0.4">
      <c r="A49" t="s">
        <v>431</v>
      </c>
      <c r="B49" s="17" t="s">
        <v>432</v>
      </c>
    </row>
    <row r="50" spans="1:2" x14ac:dyDescent="0.4">
      <c r="A50" t="s">
        <v>433</v>
      </c>
      <c r="B50" s="17" t="s">
        <v>434</v>
      </c>
    </row>
    <row r="51" spans="1:2" x14ac:dyDescent="0.4">
      <c r="A51" t="s">
        <v>435</v>
      </c>
      <c r="B51" s="17" t="s">
        <v>436</v>
      </c>
    </row>
    <row r="52" spans="1:2" x14ac:dyDescent="0.4">
      <c r="A52" t="s">
        <v>437</v>
      </c>
      <c r="B52" s="17" t="s">
        <v>438</v>
      </c>
    </row>
    <row r="53" spans="1:2" ht="37.5" x14ac:dyDescent="0.4">
      <c r="A53" t="s">
        <v>439</v>
      </c>
      <c r="B53" s="17" t="s">
        <v>440</v>
      </c>
    </row>
    <row r="54" spans="1:2" ht="37.5" x14ac:dyDescent="0.4">
      <c r="A54" t="s">
        <v>441</v>
      </c>
      <c r="B54" s="17" t="s">
        <v>442</v>
      </c>
    </row>
    <row r="55" spans="1:2" x14ac:dyDescent="0.4">
      <c r="A55" t="s">
        <v>443</v>
      </c>
      <c r="B55" s="17" t="s">
        <v>444</v>
      </c>
    </row>
    <row r="56" spans="1:2" x14ac:dyDescent="0.4">
      <c r="A56" t="s">
        <v>445</v>
      </c>
      <c r="B56" s="17" t="s">
        <v>446</v>
      </c>
    </row>
    <row r="57" spans="1:2" x14ac:dyDescent="0.4">
      <c r="A57" t="s">
        <v>447</v>
      </c>
      <c r="B57" s="17" t="s">
        <v>448</v>
      </c>
    </row>
    <row r="58" spans="1:2" x14ac:dyDescent="0.4">
      <c r="A58" t="s">
        <v>449</v>
      </c>
      <c r="B58" s="17" t="s">
        <v>450</v>
      </c>
    </row>
    <row r="59" spans="1:2" x14ac:dyDescent="0.4">
      <c r="A59" t="s">
        <v>451</v>
      </c>
      <c r="B59" s="17" t="s">
        <v>452</v>
      </c>
    </row>
    <row r="60" spans="1:2" x14ac:dyDescent="0.4">
      <c r="A60" t="s">
        <v>453</v>
      </c>
      <c r="B60" s="17" t="s">
        <v>454</v>
      </c>
    </row>
    <row r="61" spans="1:2" x14ac:dyDescent="0.4">
      <c r="A61" t="s">
        <v>455</v>
      </c>
      <c r="B61" s="17" t="s">
        <v>456</v>
      </c>
    </row>
    <row r="62" spans="1:2" x14ac:dyDescent="0.4">
      <c r="A62" t="s">
        <v>457</v>
      </c>
      <c r="B62" s="17" t="s">
        <v>458</v>
      </c>
    </row>
    <row r="63" spans="1:2" x14ac:dyDescent="0.4">
      <c r="A63" t="s">
        <v>459</v>
      </c>
      <c r="B63" s="17" t="s">
        <v>460</v>
      </c>
    </row>
    <row r="64" spans="1:2" x14ac:dyDescent="0.4">
      <c r="A64" t="s">
        <v>470</v>
      </c>
      <c r="B64" s="17" t="s">
        <v>461</v>
      </c>
    </row>
    <row r="65" spans="1:2" x14ac:dyDescent="0.4">
      <c r="A65" t="s">
        <v>462</v>
      </c>
      <c r="B65" s="17" t="s">
        <v>463</v>
      </c>
    </row>
    <row r="66" spans="1:2" x14ac:dyDescent="0.4">
      <c r="A66" t="s">
        <v>464</v>
      </c>
      <c r="B66" s="17" t="s">
        <v>465</v>
      </c>
    </row>
    <row r="67" spans="1:2" x14ac:dyDescent="0.4">
      <c r="A67" t="s">
        <v>466</v>
      </c>
      <c r="B67" s="17" t="s">
        <v>467</v>
      </c>
    </row>
    <row r="68" spans="1:2" x14ac:dyDescent="0.4">
      <c r="A68" t="s">
        <v>468</v>
      </c>
      <c r="B68" s="17" t="s">
        <v>469</v>
      </c>
    </row>
    <row r="70" spans="1:2" x14ac:dyDescent="0.4">
      <c r="A70" t="s">
        <v>471</v>
      </c>
      <c r="B70" s="17" t="s">
        <v>472</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I31"/>
  <sheetViews>
    <sheetView workbookViewId="0">
      <pane xSplit="2" ySplit="1" topLeftCell="C2" activePane="bottomRight" state="frozen"/>
      <selection pane="topRight" activeCell="C1" sqref="C1"/>
      <selection pane="bottomLeft" activeCell="A2" sqref="A2"/>
      <selection pane="bottomRight" activeCell="C12" sqref="C12"/>
    </sheetView>
  </sheetViews>
  <sheetFormatPr defaultRowHeight="18.75" outlineLevelCol="2" x14ac:dyDescent="0.4"/>
  <cols>
    <col min="1" max="1" width="5.5" style="49" bestFit="1" customWidth="1"/>
    <col min="2" max="2" width="32.5" style="50" customWidth="1"/>
    <col min="3" max="3" width="10.875" customWidth="1"/>
    <col min="4" max="6" width="7.375" customWidth="1" outlineLevel="1"/>
    <col min="7" max="7" width="5.25" bestFit="1" customWidth="1"/>
    <col min="8" max="8" width="5.25" customWidth="1" outlineLevel="1"/>
    <col min="9" max="9" width="4.375" customWidth="1" outlineLevel="1"/>
    <col min="10" max="10" width="4.5" customWidth="1" outlineLevel="1"/>
    <col min="11" max="14" width="5.25" customWidth="1" outlineLevel="1"/>
    <col min="15" max="15" width="4.5" customWidth="1" outlineLevel="1"/>
    <col min="16" max="16" width="5.25" customWidth="1" outlineLevel="1"/>
    <col min="17" max="18" width="7.125" customWidth="1" outlineLevel="1"/>
    <col min="19" max="19" width="3.5" customWidth="1" outlineLevel="1"/>
    <col min="20" max="20" width="4.5" customWidth="1" outlineLevel="1"/>
    <col min="21" max="21" width="5.25" customWidth="1" outlineLevel="1"/>
    <col min="22" max="22" width="5.875" customWidth="1"/>
    <col min="23" max="24" width="5.875" customWidth="1" outlineLevel="1"/>
    <col min="25" max="26" width="5.25" customWidth="1" outlineLevel="1"/>
    <col min="27" max="28" width="5.875" customWidth="1" outlineLevel="1"/>
    <col min="29" max="29" width="5.25" customWidth="1" outlineLevel="1"/>
    <col min="30" max="30" width="4.75" customWidth="1"/>
    <col min="31" max="31" width="4.875" customWidth="1" outlineLevel="2"/>
    <col min="32" max="39" width="4.75" customWidth="1" outlineLevel="2"/>
    <col min="40" max="40" width="4.75" customWidth="1" outlineLevel="1"/>
    <col min="41" max="44" width="4.75" hidden="1" customWidth="1" outlineLevel="2"/>
    <col min="45" max="45" width="4.75" customWidth="1" outlineLevel="1" collapsed="1"/>
    <col min="46" max="46" width="4.75" customWidth="1" outlineLevel="2"/>
    <col min="47" max="47" width="4.75" customWidth="1" outlineLevel="1"/>
    <col min="48" max="50" width="4.75" hidden="1" customWidth="1" outlineLevel="2"/>
    <col min="51" max="51" width="4.75" customWidth="1" outlineLevel="1" collapsed="1"/>
    <col min="52" max="54" width="4.75" customWidth="1" outlineLevel="2"/>
    <col min="55" max="55" width="4.75" customWidth="1"/>
    <col min="56" max="56" width="6.625" customWidth="1" outlineLevel="1"/>
    <col min="57" max="57" width="4.75" customWidth="1" outlineLevel="1"/>
    <col min="58" max="58" width="5.125" customWidth="1"/>
    <col min="59" max="59" width="3.75" customWidth="1"/>
  </cols>
  <sheetData>
    <row r="1" spans="1:61" s="47" customFormat="1" ht="34.5" customHeight="1" x14ac:dyDescent="0.4">
      <c r="A1" s="46" t="s">
        <v>478</v>
      </c>
      <c r="B1" s="46" t="s">
        <v>665</v>
      </c>
      <c r="C1" s="47" t="s">
        <v>995</v>
      </c>
      <c r="D1" s="47" t="s">
        <v>502</v>
      </c>
      <c r="E1" s="47" t="s">
        <v>1298</v>
      </c>
      <c r="F1" s="47" t="s">
        <v>1299</v>
      </c>
      <c r="G1" s="47" t="s">
        <v>1022</v>
      </c>
      <c r="H1" s="47" t="s">
        <v>480</v>
      </c>
      <c r="I1" s="47" t="s">
        <v>481</v>
      </c>
      <c r="J1" s="47" t="s">
        <v>482</v>
      </c>
      <c r="K1" s="47" t="s">
        <v>483</v>
      </c>
      <c r="L1" s="47" t="s">
        <v>484</v>
      </c>
      <c r="M1" s="47" t="s">
        <v>485</v>
      </c>
      <c r="N1" s="47" t="s">
        <v>486</v>
      </c>
      <c r="O1" s="47" t="s">
        <v>487</v>
      </c>
      <c r="P1" s="47" t="s">
        <v>488</v>
      </c>
      <c r="Q1" s="47" t="s">
        <v>489</v>
      </c>
      <c r="R1" s="47" t="s">
        <v>490</v>
      </c>
      <c r="S1" s="47" t="s">
        <v>491</v>
      </c>
      <c r="T1" s="47" t="s">
        <v>492</v>
      </c>
      <c r="U1" s="47" t="s">
        <v>493</v>
      </c>
      <c r="V1" s="47" t="s">
        <v>494</v>
      </c>
      <c r="W1" s="47" t="s">
        <v>495</v>
      </c>
      <c r="X1" s="47" t="s">
        <v>496</v>
      </c>
      <c r="Y1" s="47" t="s">
        <v>497</v>
      </c>
      <c r="Z1" s="47" t="s">
        <v>498</v>
      </c>
      <c r="AA1" s="47" t="s">
        <v>499</v>
      </c>
      <c r="AB1" s="47" t="s">
        <v>500</v>
      </c>
      <c r="AC1" s="47" t="s">
        <v>501</v>
      </c>
      <c r="AD1" s="22" t="s">
        <v>11</v>
      </c>
      <c r="AE1" s="22" t="s">
        <v>1289</v>
      </c>
      <c r="AF1" s="22" t="s">
        <v>1290</v>
      </c>
      <c r="AG1" s="22" t="s">
        <v>13</v>
      </c>
      <c r="AH1" s="22" t="s">
        <v>15</v>
      </c>
      <c r="AI1" s="22" t="s">
        <v>17</v>
      </c>
      <c r="AJ1" s="22" t="s">
        <v>18</v>
      </c>
      <c r="AK1" s="22" t="s">
        <v>20</v>
      </c>
      <c r="AL1" s="22" t="s">
        <v>22</v>
      </c>
      <c r="AM1" s="22" t="s">
        <v>29</v>
      </c>
      <c r="AN1" s="26" t="s">
        <v>248</v>
      </c>
      <c r="AO1" s="26" t="s">
        <v>1</v>
      </c>
      <c r="AP1" s="26" t="s">
        <v>2</v>
      </c>
      <c r="AQ1" s="26" t="s">
        <v>106</v>
      </c>
      <c r="AR1" s="26" t="s">
        <v>105</v>
      </c>
      <c r="AS1" s="27" t="s">
        <v>4</v>
      </c>
      <c r="AT1" s="27" t="s">
        <v>3</v>
      </c>
      <c r="AU1" s="28" t="s">
        <v>227</v>
      </c>
      <c r="AV1" s="28" t="s">
        <v>228</v>
      </c>
      <c r="AW1" s="28" t="s">
        <v>229</v>
      </c>
      <c r="AX1" s="28" t="s">
        <v>230</v>
      </c>
      <c r="AY1" s="29" t="s">
        <v>231</v>
      </c>
      <c r="AZ1" s="29" t="s">
        <v>5</v>
      </c>
      <c r="BA1" s="29" t="s">
        <v>1044</v>
      </c>
      <c r="BB1" s="29" t="s">
        <v>6</v>
      </c>
      <c r="BD1" s="17" t="s">
        <v>1246</v>
      </c>
      <c r="BE1" s="17" t="s">
        <v>1247</v>
      </c>
      <c r="BF1" s="17" t="s">
        <v>1248</v>
      </c>
      <c r="BG1" s="17" t="s">
        <v>216</v>
      </c>
      <c r="BH1" t="s">
        <v>1221</v>
      </c>
      <c r="BI1" t="s">
        <v>1068</v>
      </c>
    </row>
    <row r="2" spans="1:61" ht="27" x14ac:dyDescent="0.4">
      <c r="A2" s="48" t="s">
        <v>503</v>
      </c>
      <c r="B2" s="46" t="s">
        <v>792</v>
      </c>
      <c r="C2" s="39">
        <v>0.2</v>
      </c>
      <c r="D2">
        <v>1</v>
      </c>
      <c r="E2">
        <v>1</v>
      </c>
      <c r="F2" t="s">
        <v>1300</v>
      </c>
      <c r="G2">
        <v>60</v>
      </c>
      <c r="H2">
        <v>40</v>
      </c>
      <c r="I2">
        <v>20</v>
      </c>
      <c r="J2">
        <v>0</v>
      </c>
      <c r="K2">
        <v>25</v>
      </c>
      <c r="L2">
        <v>0</v>
      </c>
      <c r="M2">
        <v>0</v>
      </c>
      <c r="N2">
        <v>25</v>
      </c>
      <c r="O2">
        <v>10</v>
      </c>
      <c r="P2">
        <v>0</v>
      </c>
      <c r="Q2">
        <v>0</v>
      </c>
      <c r="R2">
        <v>0</v>
      </c>
      <c r="S2">
        <v>0</v>
      </c>
      <c r="T2">
        <v>0</v>
      </c>
      <c r="U2">
        <v>0</v>
      </c>
      <c r="V2" s="39">
        <v>0</v>
      </c>
      <c r="W2" s="39">
        <v>0.1</v>
      </c>
      <c r="X2" s="39">
        <v>0</v>
      </c>
      <c r="Y2" s="39">
        <v>0</v>
      </c>
      <c r="Z2" s="39">
        <v>0</v>
      </c>
      <c r="AA2" s="39">
        <v>0.05</v>
      </c>
      <c r="AB2" s="39">
        <v>-0.05</v>
      </c>
      <c r="AC2" s="39">
        <v>0.05</v>
      </c>
      <c r="AK2" s="17"/>
      <c r="AL2" s="17"/>
    </row>
    <row r="3" spans="1:61" ht="27" x14ac:dyDescent="0.4">
      <c r="A3" s="48" t="s">
        <v>504</v>
      </c>
      <c r="B3" s="46" t="s">
        <v>990</v>
      </c>
      <c r="C3" s="39">
        <v>0.6</v>
      </c>
      <c r="D3">
        <v>3</v>
      </c>
      <c r="E3">
        <v>2</v>
      </c>
      <c r="F3" t="s">
        <v>1300</v>
      </c>
      <c r="G3">
        <v>25</v>
      </c>
      <c r="H3">
        <v>60</v>
      </c>
      <c r="I3">
        <v>35</v>
      </c>
      <c r="J3">
        <v>0</v>
      </c>
      <c r="K3">
        <v>100</v>
      </c>
      <c r="L3">
        <v>70</v>
      </c>
      <c r="M3">
        <v>30</v>
      </c>
      <c r="N3">
        <v>25</v>
      </c>
      <c r="O3">
        <v>0</v>
      </c>
      <c r="P3">
        <v>0</v>
      </c>
      <c r="Q3">
        <v>0</v>
      </c>
      <c r="R3">
        <v>0</v>
      </c>
      <c r="S3">
        <v>0</v>
      </c>
      <c r="T3">
        <v>10</v>
      </c>
      <c r="U3">
        <v>10</v>
      </c>
      <c r="V3" s="39">
        <v>-0.05</v>
      </c>
      <c r="W3" s="39">
        <v>-0.05</v>
      </c>
      <c r="X3" s="39">
        <v>0.05</v>
      </c>
      <c r="Y3" s="39">
        <v>0</v>
      </c>
      <c r="Z3" s="39">
        <v>0</v>
      </c>
      <c r="AA3" s="39">
        <v>0.05</v>
      </c>
      <c r="AB3" s="39">
        <v>0.05</v>
      </c>
      <c r="AC3" s="39">
        <v>0.1</v>
      </c>
      <c r="AK3" s="17">
        <v>-10</v>
      </c>
      <c r="AL3" s="17">
        <v>-5</v>
      </c>
      <c r="AS3">
        <v>35</v>
      </c>
      <c r="BB3">
        <v>15</v>
      </c>
    </row>
    <row r="4" spans="1:61" ht="27" x14ac:dyDescent="0.4">
      <c r="A4" s="48" t="s">
        <v>506</v>
      </c>
      <c r="B4" s="46" t="s">
        <v>808</v>
      </c>
      <c r="C4" s="39">
        <v>0.5</v>
      </c>
      <c r="D4">
        <v>3</v>
      </c>
      <c r="E4">
        <v>2</v>
      </c>
      <c r="F4" t="s">
        <v>1300</v>
      </c>
      <c r="G4">
        <v>20</v>
      </c>
      <c r="H4">
        <v>20</v>
      </c>
      <c r="I4">
        <v>60</v>
      </c>
      <c r="J4">
        <v>10</v>
      </c>
      <c r="K4">
        <v>40</v>
      </c>
      <c r="L4">
        <v>25</v>
      </c>
      <c r="M4">
        <v>5</v>
      </c>
      <c r="N4">
        <v>100</v>
      </c>
      <c r="O4">
        <v>80</v>
      </c>
      <c r="P4">
        <v>40</v>
      </c>
      <c r="Q4">
        <v>20</v>
      </c>
      <c r="R4">
        <v>10</v>
      </c>
      <c r="S4">
        <v>10</v>
      </c>
      <c r="T4">
        <v>25</v>
      </c>
      <c r="U4">
        <v>10</v>
      </c>
      <c r="V4" s="39">
        <v>-0.05</v>
      </c>
      <c r="W4" s="39">
        <v>-0.05</v>
      </c>
      <c r="X4" s="39">
        <v>0.1</v>
      </c>
      <c r="Y4" s="39">
        <v>0.1</v>
      </c>
      <c r="Z4" s="39">
        <v>0</v>
      </c>
      <c r="AA4" s="39">
        <v>-0.05</v>
      </c>
      <c r="AB4" s="39">
        <v>0.15</v>
      </c>
      <c r="AC4" s="39">
        <v>0.1</v>
      </c>
      <c r="AK4" s="17"/>
      <c r="AL4" s="17"/>
      <c r="AS4">
        <v>-10</v>
      </c>
    </row>
    <row r="5" spans="1:61" ht="27" x14ac:dyDescent="0.4">
      <c r="A5" s="48" t="s">
        <v>505</v>
      </c>
      <c r="B5" s="46" t="s">
        <v>807</v>
      </c>
      <c r="C5" s="39">
        <v>0.8</v>
      </c>
      <c r="D5">
        <v>5</v>
      </c>
      <c r="E5">
        <v>2</v>
      </c>
      <c r="F5" t="s">
        <v>1300</v>
      </c>
      <c r="G5">
        <v>10</v>
      </c>
      <c r="H5">
        <v>10</v>
      </c>
      <c r="I5">
        <v>20</v>
      </c>
      <c r="J5">
        <v>10</v>
      </c>
      <c r="K5">
        <v>30</v>
      </c>
      <c r="L5">
        <v>10</v>
      </c>
      <c r="M5">
        <v>0</v>
      </c>
      <c r="N5">
        <v>150</v>
      </c>
      <c r="O5">
        <v>200</v>
      </c>
      <c r="P5">
        <v>80</v>
      </c>
      <c r="Q5">
        <v>50</v>
      </c>
      <c r="R5">
        <v>30</v>
      </c>
      <c r="S5">
        <v>30</v>
      </c>
      <c r="T5">
        <v>100</v>
      </c>
      <c r="U5">
        <v>50</v>
      </c>
      <c r="V5" s="39">
        <v>-0.1</v>
      </c>
      <c r="W5" s="39">
        <v>-0.05</v>
      </c>
      <c r="X5" s="39">
        <v>0.15</v>
      </c>
      <c r="Y5" s="39">
        <v>0.2</v>
      </c>
      <c r="Z5" s="39">
        <v>0</v>
      </c>
      <c r="AA5" s="39">
        <v>-0.05</v>
      </c>
      <c r="AB5" s="39">
        <v>0.2</v>
      </c>
      <c r="AC5" s="39">
        <v>0.1</v>
      </c>
      <c r="AK5" s="17">
        <v>-15</v>
      </c>
      <c r="AL5" s="17">
        <v>-10</v>
      </c>
      <c r="BB5">
        <v>25</v>
      </c>
    </row>
    <row r="6" spans="1:61" ht="27" x14ac:dyDescent="0.4">
      <c r="A6" s="48" t="s">
        <v>508</v>
      </c>
      <c r="B6" s="46" t="s">
        <v>794</v>
      </c>
      <c r="C6" s="39">
        <v>0.5</v>
      </c>
      <c r="D6">
        <v>2</v>
      </c>
      <c r="E6">
        <v>1</v>
      </c>
      <c r="F6" t="s">
        <v>1300</v>
      </c>
      <c r="G6">
        <v>10</v>
      </c>
      <c r="H6">
        <v>10</v>
      </c>
      <c r="I6">
        <v>0</v>
      </c>
      <c r="J6">
        <v>90</v>
      </c>
      <c r="K6">
        <v>0</v>
      </c>
      <c r="L6">
        <v>0</v>
      </c>
      <c r="M6">
        <v>0</v>
      </c>
      <c r="N6">
        <v>0</v>
      </c>
      <c r="O6">
        <v>35</v>
      </c>
      <c r="P6">
        <v>25</v>
      </c>
      <c r="Q6">
        <v>0</v>
      </c>
      <c r="R6">
        <v>0</v>
      </c>
      <c r="S6">
        <v>8</v>
      </c>
      <c r="T6">
        <v>15</v>
      </c>
      <c r="U6">
        <v>10</v>
      </c>
      <c r="V6" s="39">
        <v>0.1</v>
      </c>
      <c r="W6" s="39">
        <v>-0.1</v>
      </c>
      <c r="X6" s="39">
        <v>-0.05</v>
      </c>
      <c r="Y6" s="39">
        <v>0</v>
      </c>
      <c r="Z6" s="39">
        <v>0</v>
      </c>
      <c r="AA6" s="39">
        <v>0.2</v>
      </c>
      <c r="AB6" s="39">
        <v>-0.1</v>
      </c>
      <c r="AC6" s="39">
        <v>0.05</v>
      </c>
      <c r="AK6" s="17"/>
      <c r="AL6" s="17"/>
      <c r="BB6">
        <v>35</v>
      </c>
    </row>
    <row r="7" spans="1:61" ht="27" x14ac:dyDescent="0.4">
      <c r="A7" s="48" t="s">
        <v>1303</v>
      </c>
      <c r="B7" s="46" t="s">
        <v>793</v>
      </c>
      <c r="C7" s="39">
        <v>0.4</v>
      </c>
      <c r="D7">
        <v>2</v>
      </c>
      <c r="E7">
        <v>1</v>
      </c>
      <c r="F7" t="s">
        <v>1300</v>
      </c>
      <c r="G7">
        <v>20</v>
      </c>
      <c r="H7">
        <v>15</v>
      </c>
      <c r="I7">
        <v>5</v>
      </c>
      <c r="J7">
        <v>35</v>
      </c>
      <c r="K7">
        <v>0</v>
      </c>
      <c r="L7">
        <v>0</v>
      </c>
      <c r="M7">
        <v>0</v>
      </c>
      <c r="N7">
        <v>0</v>
      </c>
      <c r="O7">
        <v>0</v>
      </c>
      <c r="P7">
        <v>0</v>
      </c>
      <c r="Q7">
        <v>0</v>
      </c>
      <c r="R7">
        <v>0</v>
      </c>
      <c r="S7">
        <v>5</v>
      </c>
      <c r="T7">
        <v>15</v>
      </c>
      <c r="U7">
        <v>5</v>
      </c>
      <c r="V7" s="39">
        <v>0.2</v>
      </c>
      <c r="W7" s="39">
        <v>-0.05</v>
      </c>
      <c r="X7" s="39">
        <v>-0.05</v>
      </c>
      <c r="Y7" s="39">
        <v>0</v>
      </c>
      <c r="Z7" s="39">
        <v>0</v>
      </c>
      <c r="AA7" s="39">
        <v>0.2</v>
      </c>
      <c r="AB7" s="39">
        <v>-0.05</v>
      </c>
      <c r="AC7" s="39">
        <v>0.05</v>
      </c>
      <c r="AK7" s="17"/>
      <c r="AL7" s="17"/>
    </row>
    <row r="8" spans="1:61" ht="27" x14ac:dyDescent="0.4">
      <c r="A8" s="48" t="s">
        <v>1295</v>
      </c>
      <c r="B8" s="46" t="s">
        <v>1296</v>
      </c>
      <c r="C8" s="39">
        <v>0.4</v>
      </c>
      <c r="D8">
        <v>2</v>
      </c>
      <c r="E8">
        <v>4</v>
      </c>
      <c r="F8" t="s">
        <v>1300</v>
      </c>
      <c r="G8">
        <v>25</v>
      </c>
      <c r="H8">
        <v>35</v>
      </c>
      <c r="I8">
        <v>10</v>
      </c>
      <c r="J8">
        <v>60</v>
      </c>
      <c r="K8">
        <v>0</v>
      </c>
      <c r="L8">
        <v>0</v>
      </c>
      <c r="M8">
        <v>0</v>
      </c>
      <c r="N8">
        <v>0</v>
      </c>
      <c r="O8">
        <v>0</v>
      </c>
      <c r="P8">
        <v>0</v>
      </c>
      <c r="Q8">
        <v>0</v>
      </c>
      <c r="R8">
        <v>0</v>
      </c>
      <c r="S8">
        <v>5</v>
      </c>
      <c r="T8">
        <v>15</v>
      </c>
      <c r="U8">
        <v>5</v>
      </c>
      <c r="V8" s="39">
        <v>0.2</v>
      </c>
      <c r="W8" s="39">
        <v>-0.05</v>
      </c>
      <c r="X8" s="39">
        <v>-0.05</v>
      </c>
      <c r="Y8" s="39">
        <v>0</v>
      </c>
      <c r="Z8" s="39">
        <v>0</v>
      </c>
      <c r="AA8" s="39">
        <v>0.2</v>
      </c>
      <c r="AB8" s="39">
        <v>-0.05</v>
      </c>
      <c r="AC8" s="39">
        <v>0.05</v>
      </c>
      <c r="AK8" s="17"/>
      <c r="AL8" s="17"/>
    </row>
    <row r="9" spans="1:61" ht="27" x14ac:dyDescent="0.4">
      <c r="A9" s="48" t="s">
        <v>509</v>
      </c>
      <c r="B9" s="46" t="s">
        <v>795</v>
      </c>
      <c r="C9" s="39">
        <v>0.75</v>
      </c>
      <c r="D9">
        <v>4</v>
      </c>
      <c r="E9">
        <v>2</v>
      </c>
      <c r="F9" t="s">
        <v>1301</v>
      </c>
      <c r="G9">
        <v>10</v>
      </c>
      <c r="H9">
        <v>10</v>
      </c>
      <c r="I9">
        <v>0</v>
      </c>
      <c r="J9">
        <v>110</v>
      </c>
      <c r="K9">
        <v>0</v>
      </c>
      <c r="L9">
        <v>0</v>
      </c>
      <c r="M9">
        <v>0</v>
      </c>
      <c r="N9">
        <v>0</v>
      </c>
      <c r="O9">
        <v>35</v>
      </c>
      <c r="P9">
        <v>25</v>
      </c>
      <c r="Q9">
        <v>0</v>
      </c>
      <c r="R9">
        <v>0</v>
      </c>
      <c r="S9">
        <v>20</v>
      </c>
      <c r="T9">
        <v>40</v>
      </c>
      <c r="U9">
        <v>35</v>
      </c>
      <c r="V9" s="39">
        <v>0.35</v>
      </c>
      <c r="W9" s="39">
        <v>-0.1</v>
      </c>
      <c r="X9" s="39">
        <v>-0.05</v>
      </c>
      <c r="Y9" s="39">
        <v>0</v>
      </c>
      <c r="Z9" s="39">
        <v>0</v>
      </c>
      <c r="AA9" s="39">
        <v>0.35</v>
      </c>
      <c r="AB9" s="39">
        <v>-0.1</v>
      </c>
      <c r="AC9" s="39">
        <v>0.05</v>
      </c>
      <c r="AK9" s="17"/>
      <c r="AL9" s="17"/>
    </row>
    <row r="10" spans="1:61" ht="27" x14ac:dyDescent="0.4">
      <c r="A10" s="48" t="s">
        <v>1292</v>
      </c>
      <c r="B10" s="46" t="s">
        <v>1293</v>
      </c>
      <c r="C10" s="39">
        <v>0.3</v>
      </c>
      <c r="D10">
        <v>1</v>
      </c>
      <c r="E10">
        <v>1</v>
      </c>
      <c r="F10" t="s">
        <v>1300</v>
      </c>
      <c r="G10">
        <v>15</v>
      </c>
      <c r="H10">
        <v>15</v>
      </c>
      <c r="I10">
        <v>20</v>
      </c>
      <c r="J10">
        <v>0</v>
      </c>
      <c r="K10">
        <v>0</v>
      </c>
      <c r="L10">
        <v>0</v>
      </c>
      <c r="M10">
        <v>0</v>
      </c>
      <c r="N10">
        <v>100</v>
      </c>
      <c r="O10">
        <v>45</v>
      </c>
      <c r="P10">
        <v>15</v>
      </c>
      <c r="Q10">
        <v>0</v>
      </c>
      <c r="R10">
        <v>0</v>
      </c>
      <c r="S10">
        <v>5</v>
      </c>
      <c r="T10">
        <v>25</v>
      </c>
      <c r="U10">
        <v>15</v>
      </c>
      <c r="V10" s="39">
        <v>0</v>
      </c>
      <c r="W10" s="39">
        <v>0.1</v>
      </c>
      <c r="X10" s="39">
        <v>0</v>
      </c>
      <c r="Y10" s="39">
        <v>0</v>
      </c>
      <c r="Z10" s="39">
        <v>0.1</v>
      </c>
      <c r="AA10" s="39">
        <v>0</v>
      </c>
      <c r="AB10" s="39">
        <v>0.1</v>
      </c>
      <c r="AC10" s="39">
        <v>0</v>
      </c>
      <c r="AK10" s="17"/>
      <c r="AL10" s="17"/>
    </row>
    <row r="11" spans="1:61" ht="27" x14ac:dyDescent="0.4">
      <c r="A11" s="48" t="s">
        <v>510</v>
      </c>
      <c r="B11" s="46" t="s">
        <v>796</v>
      </c>
      <c r="C11" s="39">
        <v>0.5</v>
      </c>
      <c r="D11">
        <v>4</v>
      </c>
      <c r="E11">
        <v>2</v>
      </c>
      <c r="F11" t="s">
        <v>1300</v>
      </c>
      <c r="G11">
        <v>10</v>
      </c>
      <c r="H11">
        <v>10</v>
      </c>
      <c r="I11">
        <v>10</v>
      </c>
      <c r="J11">
        <v>0</v>
      </c>
      <c r="K11">
        <v>0</v>
      </c>
      <c r="L11">
        <v>0</v>
      </c>
      <c r="M11">
        <v>0</v>
      </c>
      <c r="N11">
        <v>50</v>
      </c>
      <c r="O11">
        <v>0</v>
      </c>
      <c r="P11">
        <v>30</v>
      </c>
      <c r="Q11">
        <v>20</v>
      </c>
      <c r="R11">
        <v>15</v>
      </c>
      <c r="S11">
        <v>30</v>
      </c>
      <c r="T11">
        <v>50</v>
      </c>
      <c r="U11">
        <v>50</v>
      </c>
      <c r="V11" s="39">
        <v>-0.05</v>
      </c>
      <c r="W11" s="39">
        <v>0.05</v>
      </c>
      <c r="X11" s="39">
        <v>-0.1</v>
      </c>
      <c r="Y11" s="39">
        <v>0</v>
      </c>
      <c r="Z11" s="39">
        <v>0.3</v>
      </c>
      <c r="AA11" s="39">
        <v>-0.05</v>
      </c>
      <c r="AB11" s="39">
        <v>0.05</v>
      </c>
      <c r="AC11" s="39">
        <v>0.05</v>
      </c>
      <c r="AK11" s="17">
        <v>-10</v>
      </c>
      <c r="AL11" s="17">
        <v>-10</v>
      </c>
      <c r="AS11">
        <v>-10</v>
      </c>
    </row>
    <row r="12" spans="1:61" ht="27" x14ac:dyDescent="0.4">
      <c r="A12" s="48" t="s">
        <v>511</v>
      </c>
      <c r="B12" s="46" t="s">
        <v>797</v>
      </c>
      <c r="C12" s="39">
        <v>0.65</v>
      </c>
      <c r="D12">
        <v>4</v>
      </c>
      <c r="E12">
        <v>3</v>
      </c>
      <c r="F12" t="s">
        <v>1300</v>
      </c>
      <c r="G12">
        <v>20</v>
      </c>
      <c r="H12">
        <v>45</v>
      </c>
      <c r="I12">
        <v>20</v>
      </c>
      <c r="J12">
        <v>50</v>
      </c>
      <c r="K12">
        <v>20</v>
      </c>
      <c r="L12">
        <v>5</v>
      </c>
      <c r="M12">
        <v>0</v>
      </c>
      <c r="N12">
        <v>5</v>
      </c>
      <c r="O12">
        <v>0</v>
      </c>
      <c r="P12">
        <v>0</v>
      </c>
      <c r="Q12">
        <v>0</v>
      </c>
      <c r="R12">
        <v>0</v>
      </c>
      <c r="S12">
        <v>0</v>
      </c>
      <c r="T12">
        <v>5</v>
      </c>
      <c r="U12">
        <v>5</v>
      </c>
      <c r="V12" s="39">
        <v>0.1</v>
      </c>
      <c r="W12" s="39">
        <v>0</v>
      </c>
      <c r="X12" s="39">
        <v>0</v>
      </c>
      <c r="Y12" s="39">
        <v>0</v>
      </c>
      <c r="Z12" s="39">
        <v>0</v>
      </c>
      <c r="AA12" s="39">
        <v>0.3</v>
      </c>
      <c r="AB12" s="39">
        <v>0</v>
      </c>
      <c r="AC12" s="39">
        <v>0.1</v>
      </c>
      <c r="AK12" s="17">
        <v>-25</v>
      </c>
      <c r="AL12" s="17">
        <v>-15</v>
      </c>
      <c r="AS12">
        <v>10</v>
      </c>
    </row>
    <row r="13" spans="1:61" ht="27" x14ac:dyDescent="0.4">
      <c r="A13" s="48" t="s">
        <v>1297</v>
      </c>
      <c r="B13" s="46" t="s">
        <v>797</v>
      </c>
      <c r="C13" s="39">
        <v>0.65</v>
      </c>
      <c r="D13">
        <v>4</v>
      </c>
      <c r="E13">
        <v>3</v>
      </c>
      <c r="F13" t="s">
        <v>1300</v>
      </c>
      <c r="G13">
        <v>20</v>
      </c>
      <c r="H13">
        <v>45</v>
      </c>
      <c r="I13">
        <v>20</v>
      </c>
      <c r="J13">
        <v>50</v>
      </c>
      <c r="K13">
        <v>20</v>
      </c>
      <c r="L13">
        <v>5</v>
      </c>
      <c r="M13">
        <v>0</v>
      </c>
      <c r="N13">
        <v>5</v>
      </c>
      <c r="O13">
        <v>0</v>
      </c>
      <c r="P13">
        <v>0</v>
      </c>
      <c r="Q13">
        <v>0</v>
      </c>
      <c r="R13">
        <v>0</v>
      </c>
      <c r="S13">
        <v>0</v>
      </c>
      <c r="T13">
        <v>5</v>
      </c>
      <c r="U13">
        <v>5</v>
      </c>
      <c r="V13" s="39">
        <v>0.1</v>
      </c>
      <c r="W13" s="39">
        <v>0</v>
      </c>
      <c r="X13" s="39">
        <v>0</v>
      </c>
      <c r="Y13" s="39">
        <v>0</v>
      </c>
      <c r="Z13" s="39">
        <v>0</v>
      </c>
      <c r="AA13" s="39">
        <v>0.3</v>
      </c>
      <c r="AB13" s="39">
        <v>0</v>
      </c>
      <c r="AC13" s="39">
        <v>0.1</v>
      </c>
      <c r="AK13" s="17">
        <v>-25</v>
      </c>
      <c r="AL13" s="17">
        <v>-15</v>
      </c>
      <c r="AS13">
        <v>10</v>
      </c>
    </row>
    <row r="14" spans="1:61" ht="27" x14ac:dyDescent="0.4">
      <c r="A14" s="48" t="s">
        <v>1043</v>
      </c>
      <c r="B14" s="46" t="s">
        <v>798</v>
      </c>
      <c r="C14" s="39">
        <v>0.7</v>
      </c>
      <c r="D14">
        <v>5</v>
      </c>
      <c r="E14">
        <v>2</v>
      </c>
      <c r="F14" t="s">
        <v>1302</v>
      </c>
      <c r="G14">
        <v>5</v>
      </c>
      <c r="H14">
        <v>5</v>
      </c>
      <c r="I14">
        <v>15</v>
      </c>
      <c r="J14">
        <v>0</v>
      </c>
      <c r="K14">
        <v>5</v>
      </c>
      <c r="L14">
        <v>0</v>
      </c>
      <c r="M14">
        <v>0</v>
      </c>
      <c r="N14">
        <v>160</v>
      </c>
      <c r="O14">
        <v>120</v>
      </c>
      <c r="P14">
        <v>60</v>
      </c>
      <c r="Q14">
        <v>40</v>
      </c>
      <c r="R14">
        <v>25</v>
      </c>
      <c r="S14">
        <v>20</v>
      </c>
      <c r="T14">
        <v>35</v>
      </c>
      <c r="U14">
        <v>25</v>
      </c>
      <c r="V14" s="39">
        <v>-0.1</v>
      </c>
      <c r="W14" s="39">
        <v>-0.05</v>
      </c>
      <c r="X14" s="39">
        <v>0.05</v>
      </c>
      <c r="Y14" s="39">
        <v>0.1</v>
      </c>
      <c r="Z14" s="39">
        <v>0.05</v>
      </c>
      <c r="AA14" s="39">
        <v>-0.2</v>
      </c>
      <c r="AB14" s="39">
        <v>0.3</v>
      </c>
      <c r="AC14" s="39">
        <v>0.05</v>
      </c>
      <c r="AK14" s="17"/>
      <c r="AL14" s="17"/>
      <c r="AS14">
        <v>15</v>
      </c>
    </row>
    <row r="15" spans="1:61" ht="27" x14ac:dyDescent="0.4">
      <c r="A15" s="48" t="s">
        <v>513</v>
      </c>
      <c r="B15" s="46" t="s">
        <v>799</v>
      </c>
      <c r="C15" s="39">
        <v>0.9</v>
      </c>
      <c r="D15">
        <v>6</v>
      </c>
      <c r="E15">
        <v>1</v>
      </c>
      <c r="F15" t="s">
        <v>1300</v>
      </c>
      <c r="G15">
        <v>0</v>
      </c>
      <c r="H15">
        <v>0</v>
      </c>
      <c r="I15">
        <v>10</v>
      </c>
      <c r="J15">
        <v>0</v>
      </c>
      <c r="K15">
        <v>0</v>
      </c>
      <c r="L15">
        <v>0</v>
      </c>
      <c r="M15">
        <v>0</v>
      </c>
      <c r="N15">
        <v>80</v>
      </c>
      <c r="O15">
        <v>150</v>
      </c>
      <c r="P15">
        <v>120</v>
      </c>
      <c r="Q15">
        <v>80</v>
      </c>
      <c r="R15">
        <v>60</v>
      </c>
      <c r="S15">
        <v>40</v>
      </c>
      <c r="T15">
        <v>80</v>
      </c>
      <c r="U15">
        <v>120</v>
      </c>
      <c r="V15" s="39">
        <v>0</v>
      </c>
      <c r="W15" s="39">
        <v>0</v>
      </c>
      <c r="X15" s="39">
        <v>0</v>
      </c>
      <c r="Y15" s="39">
        <v>0</v>
      </c>
      <c r="Z15" s="39">
        <v>0</v>
      </c>
      <c r="AA15" s="39">
        <v>-0.3</v>
      </c>
      <c r="AB15" s="39">
        <v>0.25</v>
      </c>
      <c r="AC15" s="39">
        <v>0</v>
      </c>
      <c r="AK15" s="17"/>
      <c r="AL15" s="17"/>
      <c r="AS15" s="17">
        <v>45</v>
      </c>
    </row>
    <row r="16" spans="1:61" ht="27" x14ac:dyDescent="0.4">
      <c r="A16" s="48" t="s">
        <v>514</v>
      </c>
      <c r="B16" s="46" t="s">
        <v>800</v>
      </c>
      <c r="C16" s="39">
        <v>0.65</v>
      </c>
      <c r="D16">
        <v>3</v>
      </c>
      <c r="E16">
        <v>1</v>
      </c>
      <c r="F16" t="s">
        <v>1300</v>
      </c>
      <c r="G16">
        <v>12</v>
      </c>
      <c r="H16">
        <v>10</v>
      </c>
      <c r="I16">
        <v>35</v>
      </c>
      <c r="J16">
        <v>5</v>
      </c>
      <c r="K16">
        <v>8</v>
      </c>
      <c r="L16">
        <v>0</v>
      </c>
      <c r="M16">
        <v>0</v>
      </c>
      <c r="N16">
        <v>70</v>
      </c>
      <c r="O16">
        <v>50</v>
      </c>
      <c r="P16">
        <v>20</v>
      </c>
      <c r="Q16">
        <v>5</v>
      </c>
      <c r="R16">
        <v>0</v>
      </c>
      <c r="S16">
        <v>8</v>
      </c>
      <c r="T16">
        <v>10</v>
      </c>
      <c r="U16">
        <v>8</v>
      </c>
      <c r="V16" s="39">
        <v>-0.05</v>
      </c>
      <c r="W16" s="39">
        <v>0.05</v>
      </c>
      <c r="X16" s="39">
        <v>0.25</v>
      </c>
      <c r="Y16" s="39">
        <v>0</v>
      </c>
      <c r="Z16" s="39">
        <v>0</v>
      </c>
      <c r="AA16" s="39">
        <v>-0.05</v>
      </c>
      <c r="AB16" s="39">
        <v>0.1</v>
      </c>
      <c r="AC16" s="39">
        <v>0.1</v>
      </c>
      <c r="AK16" s="17">
        <v>-15</v>
      </c>
      <c r="AL16" s="17">
        <v>-10</v>
      </c>
    </row>
    <row r="17" spans="1:59" ht="27" x14ac:dyDescent="0.4">
      <c r="A17" s="48" t="s">
        <v>515</v>
      </c>
      <c r="B17" s="46" t="s">
        <v>801</v>
      </c>
      <c r="C17" s="39">
        <v>0.95</v>
      </c>
      <c r="D17">
        <v>6</v>
      </c>
      <c r="E17">
        <v>2</v>
      </c>
      <c r="F17" t="s">
        <v>1300</v>
      </c>
      <c r="G17">
        <v>2</v>
      </c>
      <c r="H17">
        <v>3</v>
      </c>
      <c r="I17">
        <v>10</v>
      </c>
      <c r="J17">
        <v>0</v>
      </c>
      <c r="K17">
        <v>0</v>
      </c>
      <c r="L17">
        <v>0</v>
      </c>
      <c r="M17">
        <v>0</v>
      </c>
      <c r="N17">
        <v>180</v>
      </c>
      <c r="O17">
        <v>80</v>
      </c>
      <c r="P17">
        <v>140</v>
      </c>
      <c r="Q17">
        <v>130</v>
      </c>
      <c r="R17">
        <v>170</v>
      </c>
      <c r="S17">
        <v>80</v>
      </c>
      <c r="T17">
        <v>45</v>
      </c>
      <c r="U17">
        <v>30</v>
      </c>
      <c r="V17" s="39">
        <v>0</v>
      </c>
      <c r="W17" s="39">
        <v>0</v>
      </c>
      <c r="X17" s="39">
        <v>0</v>
      </c>
      <c r="Y17" s="39">
        <v>0.4</v>
      </c>
      <c r="Z17" s="39">
        <v>0.1</v>
      </c>
      <c r="AA17" s="39">
        <v>-0.3</v>
      </c>
      <c r="AB17" s="39">
        <v>0.3</v>
      </c>
      <c r="AC17" s="39">
        <v>0.15</v>
      </c>
      <c r="AK17" s="17"/>
      <c r="AL17" s="17"/>
      <c r="BB17">
        <v>50</v>
      </c>
    </row>
    <row r="18" spans="1:59" ht="27" x14ac:dyDescent="0.4">
      <c r="A18" s="48" t="s">
        <v>780</v>
      </c>
      <c r="B18" s="46" t="s">
        <v>1023</v>
      </c>
      <c r="C18" s="39">
        <v>0.9</v>
      </c>
      <c r="D18">
        <v>3</v>
      </c>
      <c r="E18">
        <v>2</v>
      </c>
      <c r="F18" t="s">
        <v>1300</v>
      </c>
      <c r="G18">
        <v>-50</v>
      </c>
      <c r="H18">
        <v>-50</v>
      </c>
      <c r="I18">
        <v>-50</v>
      </c>
      <c r="J18">
        <v>-50</v>
      </c>
      <c r="K18">
        <v>-75</v>
      </c>
      <c r="L18">
        <v>-50</v>
      </c>
      <c r="M18">
        <v>-20</v>
      </c>
      <c r="N18">
        <v>25</v>
      </c>
      <c r="O18">
        <v>25</v>
      </c>
      <c r="P18">
        <v>25</v>
      </c>
      <c r="Q18">
        <v>10</v>
      </c>
      <c r="R18">
        <v>15</v>
      </c>
      <c r="S18">
        <v>10</v>
      </c>
      <c r="T18">
        <v>15</v>
      </c>
      <c r="U18">
        <v>10</v>
      </c>
      <c r="V18" s="39">
        <v>0</v>
      </c>
      <c r="W18" s="39">
        <v>0</v>
      </c>
      <c r="X18" s="39">
        <v>0</v>
      </c>
      <c r="Y18" s="39">
        <v>0</v>
      </c>
      <c r="Z18" s="39">
        <v>0</v>
      </c>
      <c r="AA18" s="39">
        <v>0</v>
      </c>
      <c r="AB18" s="39">
        <v>0</v>
      </c>
      <c r="AC18" s="39">
        <v>0</v>
      </c>
      <c r="AK18" s="17">
        <v>-30</v>
      </c>
      <c r="AL18" s="17">
        <v>-30</v>
      </c>
    </row>
    <row r="19" spans="1:59" ht="54" x14ac:dyDescent="0.4">
      <c r="A19" s="48" t="s">
        <v>917</v>
      </c>
      <c r="B19" s="46" t="s">
        <v>918</v>
      </c>
      <c r="C19" s="39">
        <v>0.9</v>
      </c>
      <c r="D19">
        <v>4</v>
      </c>
      <c r="E19">
        <v>0</v>
      </c>
      <c r="F19" t="s">
        <v>1300</v>
      </c>
      <c r="G19">
        <v>-50</v>
      </c>
      <c r="H19">
        <v>-50</v>
      </c>
      <c r="I19">
        <v>-50</v>
      </c>
      <c r="J19">
        <v>-50</v>
      </c>
      <c r="K19">
        <v>-75</v>
      </c>
      <c r="L19">
        <v>-50</v>
      </c>
      <c r="M19">
        <v>-20</v>
      </c>
      <c r="N19">
        <v>0</v>
      </c>
      <c r="O19">
        <v>0</v>
      </c>
      <c r="P19">
        <v>0</v>
      </c>
      <c r="Q19">
        <v>0</v>
      </c>
      <c r="R19">
        <v>0</v>
      </c>
      <c r="S19">
        <v>0</v>
      </c>
      <c r="T19">
        <v>0</v>
      </c>
      <c r="U19">
        <v>0</v>
      </c>
      <c r="V19" s="39">
        <v>0</v>
      </c>
      <c r="W19" s="39">
        <v>0</v>
      </c>
      <c r="X19" s="39">
        <v>0</v>
      </c>
      <c r="Y19" s="39">
        <v>0</v>
      </c>
      <c r="Z19" s="39">
        <v>0</v>
      </c>
      <c r="AA19" s="39">
        <v>0</v>
      </c>
      <c r="AB19" s="39">
        <v>0</v>
      </c>
      <c r="AC19" s="39">
        <v>0</v>
      </c>
      <c r="AK19" s="17"/>
      <c r="AL19" s="17">
        <v>-15</v>
      </c>
      <c r="AS19" s="17">
        <v>20</v>
      </c>
      <c r="BF19">
        <v>50</v>
      </c>
    </row>
    <row r="20" spans="1:59" x14ac:dyDescent="0.4">
      <c r="A20" s="48"/>
      <c r="B20" s="46"/>
      <c r="C20" s="39"/>
      <c r="V20" s="39"/>
      <c r="W20" s="39"/>
      <c r="X20" s="39"/>
      <c r="Y20" s="39"/>
      <c r="Z20" s="39"/>
      <c r="AA20" s="39"/>
      <c r="AB20" s="39"/>
      <c r="AC20" s="39"/>
      <c r="AK20" s="17"/>
      <c r="AL20" s="17"/>
      <c r="AS20" s="17"/>
    </row>
    <row r="21" spans="1:59" x14ac:dyDescent="0.4">
      <c r="A21" s="48" t="s">
        <v>1258</v>
      </c>
      <c r="B21" s="46"/>
      <c r="C21" s="39"/>
      <c r="G21">
        <v>15</v>
      </c>
      <c r="H21">
        <v>15</v>
      </c>
      <c r="V21" s="39"/>
      <c r="W21" s="39"/>
      <c r="X21" s="39"/>
      <c r="Y21" s="39"/>
      <c r="Z21" s="39"/>
      <c r="AA21" s="39"/>
      <c r="AB21" s="39"/>
      <c r="AC21" s="39"/>
      <c r="AK21" s="17"/>
      <c r="AL21" s="17"/>
      <c r="AS21" s="17"/>
      <c r="BE21">
        <v>5</v>
      </c>
      <c r="BG21">
        <v>10</v>
      </c>
    </row>
    <row r="22" spans="1:59" x14ac:dyDescent="0.4">
      <c r="A22" s="48" t="s">
        <v>1259</v>
      </c>
      <c r="B22" s="46"/>
      <c r="C22" s="39">
        <v>0.3</v>
      </c>
      <c r="S22">
        <v>40</v>
      </c>
      <c r="V22" s="39"/>
      <c r="W22" s="39"/>
      <c r="X22" s="39"/>
      <c r="Y22" s="39"/>
      <c r="Z22" s="39"/>
      <c r="AA22" s="39"/>
      <c r="AB22" s="39"/>
      <c r="AC22" s="39"/>
      <c r="AK22" s="17"/>
      <c r="AL22" s="17"/>
      <c r="AS22" s="17"/>
    </row>
    <row r="23" spans="1:59" x14ac:dyDescent="0.4">
      <c r="A23" s="48" t="s">
        <v>1260</v>
      </c>
      <c r="B23" s="46"/>
      <c r="C23" s="39">
        <v>0.15</v>
      </c>
      <c r="T23">
        <v>40</v>
      </c>
      <c r="V23" s="39"/>
      <c r="W23" s="39"/>
      <c r="X23" s="39"/>
      <c r="Y23" s="39"/>
      <c r="Z23" s="39"/>
      <c r="AA23" s="39"/>
      <c r="AB23" s="39"/>
      <c r="AC23" s="39"/>
      <c r="AK23" s="17"/>
      <c r="AL23" s="17"/>
      <c r="AS23" s="17"/>
    </row>
    <row r="24" spans="1:59" x14ac:dyDescent="0.4">
      <c r="A24" s="48" t="s">
        <v>1261</v>
      </c>
      <c r="B24" s="46"/>
      <c r="C24" s="39">
        <v>0.15</v>
      </c>
      <c r="U24">
        <v>40</v>
      </c>
      <c r="V24" s="39"/>
      <c r="W24" s="39"/>
      <c r="X24" s="39"/>
      <c r="Y24" s="39"/>
      <c r="Z24" s="39"/>
      <c r="AA24" s="39"/>
      <c r="AB24" s="39"/>
      <c r="AC24" s="39"/>
      <c r="AK24" s="17"/>
      <c r="AL24" s="17"/>
      <c r="AS24" s="17"/>
    </row>
    <row r="25" spans="1:59" x14ac:dyDescent="0.4">
      <c r="A25" s="48" t="s">
        <v>1262</v>
      </c>
      <c r="B25" s="46"/>
      <c r="C25" s="39">
        <v>0.1</v>
      </c>
      <c r="G25">
        <v>20</v>
      </c>
      <c r="J25">
        <v>10</v>
      </c>
      <c r="V25" s="39"/>
      <c r="W25" s="39"/>
      <c r="X25" s="39"/>
      <c r="Y25" s="39"/>
      <c r="Z25" s="39"/>
      <c r="AA25" s="39">
        <v>0.25</v>
      </c>
      <c r="AB25" s="39">
        <v>0.25</v>
      </c>
      <c r="AC25" s="39"/>
      <c r="AK25" s="17"/>
      <c r="AL25" s="17"/>
      <c r="AS25" s="17"/>
      <c r="BG25">
        <v>5</v>
      </c>
    </row>
    <row r="26" spans="1:59" x14ac:dyDescent="0.4">
      <c r="A26" s="48" t="s">
        <v>1263</v>
      </c>
      <c r="B26" s="46"/>
      <c r="C26" s="39"/>
      <c r="G26">
        <v>-15</v>
      </c>
      <c r="H26">
        <v>-15</v>
      </c>
      <c r="I26">
        <v>-15</v>
      </c>
      <c r="J26">
        <v>-15</v>
      </c>
      <c r="K26">
        <v>-15</v>
      </c>
      <c r="L26">
        <v>-15</v>
      </c>
      <c r="M26">
        <v>-15</v>
      </c>
      <c r="N26">
        <v>-15</v>
      </c>
      <c r="O26">
        <v>-15</v>
      </c>
      <c r="P26">
        <v>-15</v>
      </c>
      <c r="Q26">
        <v>-15</v>
      </c>
      <c r="R26">
        <v>-15</v>
      </c>
      <c r="S26">
        <v>-15</v>
      </c>
      <c r="T26">
        <v>-15</v>
      </c>
      <c r="V26" s="39"/>
      <c r="W26" s="39"/>
      <c r="X26" s="39"/>
      <c r="Y26" s="39"/>
      <c r="Z26" s="39"/>
      <c r="AA26" s="39"/>
      <c r="AB26" s="39"/>
      <c r="AC26" s="39"/>
      <c r="AK26" s="17"/>
      <c r="AL26" s="17"/>
      <c r="AS26" s="17"/>
      <c r="BF26">
        <v>20</v>
      </c>
    </row>
    <row r="27" spans="1:59" x14ac:dyDescent="0.4">
      <c r="A27" s="48"/>
      <c r="B27" s="46"/>
      <c r="C27" s="39"/>
      <c r="V27" s="39"/>
      <c r="W27" s="39"/>
      <c r="X27" s="39"/>
      <c r="Y27" s="39"/>
      <c r="Z27" s="39"/>
      <c r="AA27" s="39"/>
      <c r="AB27" s="39"/>
      <c r="AC27" s="39"/>
      <c r="AK27" s="17"/>
      <c r="AL27" s="17"/>
      <c r="AS27" s="17"/>
    </row>
    <row r="29" spans="1:59" ht="27" x14ac:dyDescent="0.4">
      <c r="A29" s="49" t="s">
        <v>599</v>
      </c>
      <c r="B29" s="50" t="s">
        <v>802</v>
      </c>
      <c r="C29">
        <v>0</v>
      </c>
      <c r="D29">
        <v>2</v>
      </c>
      <c r="G29">
        <v>-10</v>
      </c>
      <c r="H29">
        <v>-10</v>
      </c>
      <c r="I29">
        <v>-10</v>
      </c>
      <c r="J29">
        <v>-10</v>
      </c>
      <c r="K29">
        <v>-10</v>
      </c>
      <c r="L29">
        <v>-10</v>
      </c>
      <c r="M29">
        <v>-10</v>
      </c>
      <c r="N29">
        <v>-10</v>
      </c>
      <c r="O29">
        <v>-10</v>
      </c>
      <c r="P29">
        <v>-10</v>
      </c>
      <c r="Q29">
        <v>-10</v>
      </c>
      <c r="R29">
        <v>-10</v>
      </c>
      <c r="S29">
        <v>-10</v>
      </c>
      <c r="T29">
        <v>-10</v>
      </c>
      <c r="U29">
        <v>-10</v>
      </c>
      <c r="V29">
        <v>0</v>
      </c>
      <c r="W29">
        <v>0</v>
      </c>
      <c r="X29">
        <v>0</v>
      </c>
      <c r="Y29">
        <v>0</v>
      </c>
      <c r="Z29">
        <v>0</v>
      </c>
      <c r="AA29">
        <v>0</v>
      </c>
      <c r="AB29">
        <v>0</v>
      </c>
      <c r="AC29">
        <v>0</v>
      </c>
      <c r="AS29">
        <v>-30</v>
      </c>
    </row>
    <row r="30" spans="1:59" ht="27" x14ac:dyDescent="0.4">
      <c r="A30" s="48" t="s">
        <v>803</v>
      </c>
      <c r="B30" s="46" t="s">
        <v>804</v>
      </c>
      <c r="C30">
        <v>0</v>
      </c>
      <c r="D30">
        <v>3</v>
      </c>
      <c r="G30">
        <v>-10</v>
      </c>
      <c r="H30">
        <v>-10</v>
      </c>
      <c r="I30">
        <v>-10</v>
      </c>
      <c r="J30">
        <v>-10</v>
      </c>
      <c r="K30">
        <v>-10</v>
      </c>
      <c r="L30">
        <v>-10</v>
      </c>
      <c r="M30">
        <v>-10</v>
      </c>
      <c r="N30">
        <v>-10</v>
      </c>
      <c r="O30">
        <v>-10</v>
      </c>
      <c r="P30">
        <v>-10</v>
      </c>
      <c r="Q30">
        <v>-10</v>
      </c>
      <c r="R30">
        <v>-10</v>
      </c>
      <c r="S30">
        <v>-10</v>
      </c>
      <c r="T30">
        <v>-10</v>
      </c>
      <c r="U30">
        <v>-10</v>
      </c>
      <c r="V30">
        <v>0</v>
      </c>
      <c r="W30">
        <v>0</v>
      </c>
      <c r="X30">
        <v>0</v>
      </c>
      <c r="Y30">
        <v>0</v>
      </c>
      <c r="Z30">
        <v>0</v>
      </c>
      <c r="AA30">
        <v>0</v>
      </c>
      <c r="AB30">
        <v>0</v>
      </c>
      <c r="AC30">
        <v>0</v>
      </c>
      <c r="AS30">
        <v>-30</v>
      </c>
    </row>
    <row r="31" spans="1:59" ht="27" x14ac:dyDescent="0.4">
      <c r="A31" s="48" t="s">
        <v>805</v>
      </c>
      <c r="B31" s="46" t="s">
        <v>806</v>
      </c>
      <c r="C31">
        <v>0</v>
      </c>
      <c r="D31">
        <v>4</v>
      </c>
      <c r="G31">
        <v>-10</v>
      </c>
      <c r="H31">
        <v>-10</v>
      </c>
      <c r="I31">
        <v>-10</v>
      </c>
      <c r="J31">
        <v>-10</v>
      </c>
      <c r="K31">
        <v>-10</v>
      </c>
      <c r="L31">
        <v>-10</v>
      </c>
      <c r="M31">
        <v>-10</v>
      </c>
      <c r="N31">
        <v>-10</v>
      </c>
      <c r="O31">
        <v>-10</v>
      </c>
      <c r="P31">
        <v>-10</v>
      </c>
      <c r="Q31">
        <v>-10</v>
      </c>
      <c r="R31">
        <v>-10</v>
      </c>
      <c r="S31">
        <v>-10</v>
      </c>
      <c r="T31">
        <v>-10</v>
      </c>
      <c r="U31">
        <v>-10</v>
      </c>
      <c r="V31">
        <v>0</v>
      </c>
      <c r="W31">
        <v>0</v>
      </c>
      <c r="X31">
        <v>0</v>
      </c>
      <c r="Y31">
        <v>0</v>
      </c>
      <c r="Z31">
        <v>0</v>
      </c>
      <c r="AA31">
        <v>0</v>
      </c>
      <c r="AB31">
        <v>0</v>
      </c>
      <c r="AC31">
        <v>0</v>
      </c>
      <c r="AS31">
        <v>-30</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R176"/>
  <sheetViews>
    <sheetView workbookViewId="0">
      <pane xSplit="5" ySplit="2" topLeftCell="F19" activePane="bottomRight" state="frozen"/>
      <selection pane="topRight" activeCell="E1" sqref="E1"/>
      <selection pane="bottomLeft" activeCell="A3" sqref="A3"/>
      <selection pane="bottomRight" activeCell="C31" sqref="C31:D31"/>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s>
  <sheetData>
    <row r="1" spans="1:18" s="10" customFormat="1" ht="36" x14ac:dyDescent="0.4">
      <c r="A1" s="10" t="s">
        <v>781</v>
      </c>
      <c r="B1" s="10" t="s">
        <v>782</v>
      </c>
      <c r="C1" s="2" t="s">
        <v>912</v>
      </c>
      <c r="D1" s="2" t="s">
        <v>1294</v>
      </c>
      <c r="E1" s="2" t="s">
        <v>897</v>
      </c>
      <c r="F1" s="2" t="s">
        <v>852</v>
      </c>
      <c r="G1" s="51" t="s">
        <v>784</v>
      </c>
      <c r="H1" s="51" t="s">
        <v>783</v>
      </c>
      <c r="I1" s="51" t="s">
        <v>913</v>
      </c>
      <c r="J1" s="10" t="s">
        <v>785</v>
      </c>
      <c r="K1" s="10" t="s">
        <v>316</v>
      </c>
      <c r="L1" s="10" t="s">
        <v>791</v>
      </c>
      <c r="M1" s="10" t="s">
        <v>788</v>
      </c>
      <c r="N1" s="10" t="s">
        <v>789</v>
      </c>
      <c r="O1" s="10" t="s">
        <v>790</v>
      </c>
      <c r="P1" s="10" t="s">
        <v>786</v>
      </c>
      <c r="Q1" s="10" t="s">
        <v>787</v>
      </c>
      <c r="R1" s="10" t="s">
        <v>1171</v>
      </c>
    </row>
    <row r="2" spans="1:18"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18" x14ac:dyDescent="0.4">
      <c r="A3" s="2" t="s">
        <v>503</v>
      </c>
      <c r="B3" s="10" t="s">
        <v>199</v>
      </c>
      <c r="C3" t="str">
        <f>_xlfn.LET(
 _xlpm.dOK,COUNTIF(クラス!A:A,E3)&gt;0,
 _xlpm.eOK,COUNTIF(クラス!A:A,F3)&gt;0,
 IF(_xlpm.dOK,"○","×") &amp; IF(_xlpm.eOK,"○","×")
)</f>
        <v>○×</v>
      </c>
      <c r="D3" t="b">
        <v>1</v>
      </c>
      <c r="E3" t="s">
        <v>200</v>
      </c>
      <c r="G3">
        <v>5</v>
      </c>
      <c r="H3">
        <v>8</v>
      </c>
      <c r="R3" t="s">
        <v>1172</v>
      </c>
    </row>
    <row r="4" spans="1:18" outlineLevel="1" x14ac:dyDescent="0.4">
      <c r="A4" s="2" t="s">
        <v>503</v>
      </c>
      <c r="B4" s="10" t="s">
        <v>196</v>
      </c>
      <c r="C4" t="str">
        <f>_xlfn.LET(
 _xlpm.dOK,COUNTIF(クラス!A:A,E4)&gt;0,
 _xlpm.eOK,COUNTIF(クラス!A:A,F4)&gt;0,
 IF(_xlpm.dOK,"○","×") &amp; IF(_xlpm.eOK,"○","×")
)</f>
        <v>○×</v>
      </c>
      <c r="E4" t="s">
        <v>196</v>
      </c>
      <c r="G4">
        <v>4</v>
      </c>
      <c r="H4">
        <v>7</v>
      </c>
      <c r="R4" t="s">
        <v>196</v>
      </c>
    </row>
    <row r="5" spans="1:18" outlineLevel="1" x14ac:dyDescent="0.4">
      <c r="A5" s="2" t="s">
        <v>503</v>
      </c>
      <c r="B5" s="10" t="s">
        <v>809</v>
      </c>
      <c r="C5" t="str">
        <f>_xlfn.LET(
 _xlpm.dOK,COUNTIF(クラス!A:A,E5)&gt;0,
 _xlpm.eOK,COUNTIF(クラス!A:A,F5)&gt;0,
 IF(_xlpm.dOK,"○","×") &amp; IF(_xlpm.eOK,"○","×")
)</f>
        <v>××</v>
      </c>
    </row>
    <row r="6" spans="1:18" outlineLevel="1" x14ac:dyDescent="0.4">
      <c r="A6" s="2" t="s">
        <v>503</v>
      </c>
      <c r="B6" s="10" t="s">
        <v>810</v>
      </c>
      <c r="C6" t="str">
        <f>_xlfn.LET(
 _xlpm.dOK,COUNTIF(クラス!A:A,E6)&gt;0,
 _xlpm.eOK,COUNTIF(クラス!A:A,F6)&gt;0,
 IF(_xlpm.dOK,"○","×") &amp; IF(_xlpm.eOK,"○","×")
)</f>
        <v>××</v>
      </c>
    </row>
    <row r="7" spans="1:18" outlineLevel="1" x14ac:dyDescent="0.4">
      <c r="A7" s="2" t="s">
        <v>503</v>
      </c>
      <c r="B7" s="10" t="s">
        <v>811</v>
      </c>
      <c r="C7" t="str">
        <f>_xlfn.LET(
 _xlpm.dOK,COUNTIF(クラス!A:A,E7)&gt;0,
 _xlpm.eOK,COUNTIF(クラス!A:A,F7)&gt;0,
 IF(_xlpm.dOK,"○","×") &amp; IF(_xlpm.eOK,"○","×")
)</f>
        <v>○○</v>
      </c>
      <c r="D7" t="b">
        <v>1</v>
      </c>
      <c r="E7" t="s">
        <v>197</v>
      </c>
      <c r="F7" t="s">
        <v>200</v>
      </c>
      <c r="G7">
        <v>12</v>
      </c>
      <c r="H7">
        <v>15</v>
      </c>
      <c r="R7" t="s">
        <v>811</v>
      </c>
    </row>
    <row r="8" spans="1:18" ht="36" outlineLevel="1" x14ac:dyDescent="0.4">
      <c r="A8" s="2" t="s">
        <v>503</v>
      </c>
      <c r="B8" s="10" t="s">
        <v>1251</v>
      </c>
      <c r="C8" t="str">
        <f>_xlfn.LET(
 _xlpm.dOK,COUNTIF(クラス!A:A,E8)&gt;0,
 _xlpm.eOK,COUNTIF(クラス!A:A,F8)&gt;0,
 IF(_xlpm.dOK,"○","×") &amp; IF(_xlpm.eOK,"○","×")
)</f>
        <v>○○</v>
      </c>
      <c r="E8" t="s">
        <v>195</v>
      </c>
      <c r="F8" t="s">
        <v>207</v>
      </c>
      <c r="G8">
        <v>12</v>
      </c>
      <c r="H8">
        <v>15</v>
      </c>
      <c r="R8" t="s">
        <v>1281</v>
      </c>
    </row>
    <row r="9" spans="1:18" outlineLevel="1" x14ac:dyDescent="0.4">
      <c r="A9" s="2" t="s">
        <v>503</v>
      </c>
      <c r="B9" s="10" t="s">
        <v>815</v>
      </c>
      <c r="C9" t="str">
        <f>_xlfn.LET(
 _xlpm.dOK,COUNTIF(クラス!A:A,E9)&gt;0,
 _xlpm.eOK,COUNTIF(クラス!A:A,F9)&gt;0,
 IF(_xlpm.dOK,"○","×") &amp; IF(_xlpm.eOK,"○","×")
)</f>
        <v>○×</v>
      </c>
      <c r="D9" t="b">
        <v>1</v>
      </c>
      <c r="E9" t="s">
        <v>896</v>
      </c>
      <c r="G9">
        <v>15</v>
      </c>
      <c r="H9">
        <v>20</v>
      </c>
      <c r="R9" t="s">
        <v>896</v>
      </c>
    </row>
    <row r="10" spans="1:18" outlineLevel="1" x14ac:dyDescent="0.4">
      <c r="C10" t="str">
        <f>_xlfn.LET(
 _xlpm.dOK,COUNTIF(クラス!A:A,E10)&gt;0,
 _xlpm.eOK,COUNTIF(クラス!A:A,F10)&gt;0,
 IF(_xlpm.dOK,"○","×") &amp; IF(_xlpm.eOK,"○","×")
)</f>
        <v>××</v>
      </c>
    </row>
    <row r="11" spans="1:18" outlineLevel="1" x14ac:dyDescent="0.4">
      <c r="A11" s="2" t="s">
        <v>1292</v>
      </c>
      <c r="B11" s="10" t="s">
        <v>195</v>
      </c>
      <c r="C11" t="str">
        <f>_xlfn.LET(
 _xlpm.dOK,COUNTIF(クラス!A:A,E11)&gt;0,
 _xlpm.eOK,COUNTIF(クラス!A:A,F11)&gt;0,
 IF(_xlpm.dOK,"○","×") &amp; IF(_xlpm.eOK,"○","×")
)</f>
        <v>○×</v>
      </c>
      <c r="D11" t="b">
        <v>1</v>
      </c>
      <c r="E11" t="s">
        <v>200</v>
      </c>
      <c r="G11">
        <v>5</v>
      </c>
      <c r="H11">
        <v>8</v>
      </c>
      <c r="R11" t="s">
        <v>1172</v>
      </c>
    </row>
    <row r="12" spans="1:18" outlineLevel="1" x14ac:dyDescent="0.4">
      <c r="A12" s="2" t="s">
        <v>1292</v>
      </c>
      <c r="B12" s="10" t="s">
        <v>196</v>
      </c>
      <c r="C12" t="str">
        <f>_xlfn.LET(
 _xlpm.dOK,COUNTIF(クラス!A:A,E12)&gt;0,
 _xlpm.eOK,COUNTIF(クラス!A:A,F12)&gt;0,
 IF(_xlpm.dOK,"○","×") &amp; IF(_xlpm.eOK,"○","×")
)</f>
        <v>○×</v>
      </c>
      <c r="E12" t="s">
        <v>196</v>
      </c>
      <c r="G12">
        <v>4</v>
      </c>
      <c r="H12">
        <v>7</v>
      </c>
      <c r="R12" t="s">
        <v>196</v>
      </c>
    </row>
    <row r="13" spans="1:18" outlineLevel="1" x14ac:dyDescent="0.4">
      <c r="A13" s="2" t="s">
        <v>1292</v>
      </c>
      <c r="B13" s="10" t="s">
        <v>204</v>
      </c>
      <c r="C13" t="str">
        <f>_xlfn.LET(
 _xlpm.dOK,COUNTIF(クラス!A:A,E13)&gt;0,
 _xlpm.eOK,COUNTIF(クラス!A:A,F13)&gt;0,
 IF(_xlpm.dOK,"○","×") &amp; IF(_xlpm.eOK,"○","×")
)</f>
        <v>○×</v>
      </c>
      <c r="D13" t="b">
        <v>1</v>
      </c>
      <c r="E13" t="s">
        <v>203</v>
      </c>
      <c r="G13">
        <v>7</v>
      </c>
      <c r="H13">
        <v>9</v>
      </c>
    </row>
    <row r="14" spans="1:18" outlineLevel="1" x14ac:dyDescent="0.4">
      <c r="A14" s="2" t="s">
        <v>1292</v>
      </c>
      <c r="B14" s="10" t="s">
        <v>839</v>
      </c>
      <c r="C14" t="str">
        <f>_xlfn.LET(
 _xlpm.dOK,COUNTIF(クラス!A:A,E14)&gt;0,
 _xlpm.eOK,COUNTIF(クラス!A:A,F14)&gt;0,
 IF(_xlpm.dOK,"○","×") &amp; IF(_xlpm.eOK,"○","×")
)</f>
        <v>○×</v>
      </c>
      <c r="E14" t="s">
        <v>196</v>
      </c>
      <c r="G14">
        <v>8</v>
      </c>
      <c r="H14">
        <v>12</v>
      </c>
    </row>
    <row r="15" spans="1:18" outlineLevel="1" x14ac:dyDescent="0.4">
      <c r="A15" s="2" t="s">
        <v>1292</v>
      </c>
      <c r="B15" s="10" t="s">
        <v>811</v>
      </c>
      <c r="C15" t="str">
        <f>_xlfn.LET(
 _xlpm.dOK,COUNTIF(クラス!A:A,E15)&gt;0,
 _xlpm.eOK,COUNTIF(クラス!A:A,F15)&gt;0,
 IF(_xlpm.dOK,"○","×") &amp; IF(_xlpm.eOK,"○","×")
)</f>
        <v>○○</v>
      </c>
      <c r="D15" t="b">
        <v>1</v>
      </c>
      <c r="E15" t="s">
        <v>197</v>
      </c>
      <c r="F15" t="s">
        <v>200</v>
      </c>
      <c r="G15">
        <v>12</v>
      </c>
      <c r="H15">
        <v>15</v>
      </c>
      <c r="R15" t="s">
        <v>811</v>
      </c>
    </row>
    <row r="16" spans="1:18" ht="36" outlineLevel="1" x14ac:dyDescent="0.4">
      <c r="A16" s="2" t="s">
        <v>1292</v>
      </c>
      <c r="B16" s="10" t="s">
        <v>1251</v>
      </c>
      <c r="C16" t="str">
        <f>_xlfn.LET(
 _xlpm.dOK,COUNTIF(クラス!A:A,E16)&gt;0,
 _xlpm.eOK,COUNTIF(クラス!A:A,F16)&gt;0,
 IF(_xlpm.dOK,"○","×") &amp; IF(_xlpm.eOK,"○","×")
)</f>
        <v>○○</v>
      </c>
      <c r="E16" t="s">
        <v>195</v>
      </c>
      <c r="F16" t="s">
        <v>207</v>
      </c>
      <c r="G16">
        <v>12</v>
      </c>
      <c r="H16">
        <v>15</v>
      </c>
      <c r="R16" t="s">
        <v>1281</v>
      </c>
    </row>
    <row r="17" spans="1:18" outlineLevel="1" x14ac:dyDescent="0.4">
      <c r="A17" s="2" t="s">
        <v>1292</v>
      </c>
      <c r="B17" s="10" t="s">
        <v>896</v>
      </c>
      <c r="C17" t="str">
        <f>_xlfn.LET(
 _xlpm.dOK,COUNTIF(クラス!A:A,E17)&gt;0,
 _xlpm.eOK,COUNTIF(クラス!A:A,F17)&gt;0,
 IF(_xlpm.dOK,"○","×") &amp; IF(_xlpm.eOK,"○","×")
)</f>
        <v>○×</v>
      </c>
      <c r="D17" t="b">
        <v>1</v>
      </c>
      <c r="E17" t="s">
        <v>896</v>
      </c>
      <c r="G17">
        <v>15</v>
      </c>
      <c r="H17">
        <v>20</v>
      </c>
      <c r="R17" t="s">
        <v>896</v>
      </c>
    </row>
    <row r="18" spans="1:18" outlineLevel="1" x14ac:dyDescent="0.4">
      <c r="C18" t="str">
        <f>_xlfn.LET(
 _xlpm.dOK,COUNTIF(クラス!A:A,E18)&gt;0,
 _xlpm.eOK,COUNTIF(クラス!A:A,F18)&gt;0,
 IF(_xlpm.dOK,"○","×") &amp; IF(_xlpm.eOK,"○","×")
)</f>
        <v>××</v>
      </c>
    </row>
    <row r="19" spans="1:18" outlineLevel="1" x14ac:dyDescent="0.4">
      <c r="A19" s="2" t="s">
        <v>510</v>
      </c>
      <c r="B19" s="10" t="s">
        <v>832</v>
      </c>
      <c r="C19" t="str">
        <f>_xlfn.LET(
 _xlpm.dOK,COUNTIF(クラス!A:A,E19)&gt;0,
 _xlpm.eOK,COUNTIF(クラス!A:A,F19)&gt;0,
 IF(_xlpm.dOK,"○","×") &amp; IF(_xlpm.eOK,"○","×")
)</f>
        <v>××</v>
      </c>
    </row>
    <row r="20" spans="1:18" outlineLevel="1" x14ac:dyDescent="0.4">
      <c r="A20" s="2" t="s">
        <v>510</v>
      </c>
      <c r="B20" s="10" t="s">
        <v>833</v>
      </c>
      <c r="C20" t="str">
        <f>_xlfn.LET(
 _xlpm.dOK,COUNTIF(クラス!A:A,E20)&gt;0,
 _xlpm.eOK,COUNTIF(クラス!A:A,F20)&gt;0,
 IF(_xlpm.dOK,"○","×") &amp; IF(_xlpm.eOK,"○","×")
)</f>
        <v>××</v>
      </c>
    </row>
    <row r="21" spans="1:18" outlineLevel="1" x14ac:dyDescent="0.4">
      <c r="A21" s="2" t="s">
        <v>510</v>
      </c>
      <c r="B21" s="10" t="s">
        <v>834</v>
      </c>
      <c r="C21" t="str">
        <f>_xlfn.LET(
 _xlpm.dOK,COUNTIF(クラス!A:A,E21)&gt;0,
 _xlpm.eOK,COUNTIF(クラス!A:A,F21)&gt;0,
 IF(_xlpm.dOK,"○","×") &amp; IF(_xlpm.eOK,"○","×")
)</f>
        <v>××</v>
      </c>
    </row>
    <row r="22" spans="1:18" outlineLevel="1" x14ac:dyDescent="0.4">
      <c r="A22" s="2" t="s">
        <v>510</v>
      </c>
      <c r="B22" s="10" t="s">
        <v>835</v>
      </c>
      <c r="C22" t="str">
        <f>_xlfn.LET(
 _xlpm.dOK,COUNTIF(クラス!A:A,E22)&gt;0,
 _xlpm.eOK,COUNTIF(クラス!A:A,F22)&gt;0,
 IF(_xlpm.dOK,"○","×") &amp; IF(_xlpm.eOK,"○","×")
)</f>
        <v>××</v>
      </c>
      <c r="R22" t="s">
        <v>835</v>
      </c>
    </row>
    <row r="23" spans="1:18" ht="36" outlineLevel="1" x14ac:dyDescent="0.4">
      <c r="A23" s="2" t="s">
        <v>510</v>
      </c>
      <c r="B23" s="10" t="s">
        <v>836</v>
      </c>
      <c r="C23" t="str">
        <f>_xlfn.LET(
 _xlpm.dOK,COUNTIF(クラス!A:A,E23)&gt;0,
 _xlpm.eOK,COUNTIF(クラス!A:A,F23)&gt;0,
 IF(_xlpm.dOK,"○","×") &amp; IF(_xlpm.eOK,"○","×")
)</f>
        <v>××</v>
      </c>
      <c r="R23" t="s">
        <v>1282</v>
      </c>
    </row>
    <row r="24" spans="1:18" outlineLevel="1" x14ac:dyDescent="0.4">
      <c r="A24" s="2" t="s">
        <v>510</v>
      </c>
      <c r="B24" s="10" t="s">
        <v>837</v>
      </c>
      <c r="C24" t="str">
        <f>_xlfn.LET(
 _xlpm.dOK,COUNTIF(クラス!A:A,E24)&gt;0,
 _xlpm.eOK,COUNTIF(クラス!A:A,F24)&gt;0,
 IF(_xlpm.dOK,"○","×") &amp; IF(_xlpm.eOK,"○","×")
)</f>
        <v>××</v>
      </c>
    </row>
    <row r="25" spans="1:18" ht="36" outlineLevel="1" x14ac:dyDescent="0.4">
      <c r="A25" s="2" t="s">
        <v>510</v>
      </c>
      <c r="B25" s="10" t="s">
        <v>838</v>
      </c>
      <c r="C25" t="str">
        <f>_xlfn.LET(
 _xlpm.dOK,COUNTIF(クラス!A:A,E25)&gt;0,
 _xlpm.eOK,COUNTIF(クラス!A:A,F25)&gt;0,
 IF(_xlpm.dOK,"○","×") &amp; IF(_xlpm.eOK,"○","×")
)</f>
        <v>××</v>
      </c>
    </row>
    <row r="26" spans="1:18" outlineLevel="1" x14ac:dyDescent="0.4">
      <c r="A26" s="2" t="s">
        <v>510</v>
      </c>
      <c r="B26" s="10" t="s">
        <v>839</v>
      </c>
      <c r="C26" t="str">
        <f>_xlfn.LET(
 _xlpm.dOK,COUNTIF(クラス!A:A,E26)&gt;0,
 _xlpm.eOK,COUNTIF(クラス!A:A,F26)&gt;0,
 IF(_xlpm.dOK,"○","×") &amp; IF(_xlpm.eOK,"○","×")
)</f>
        <v>××</v>
      </c>
      <c r="R26" t="s">
        <v>839</v>
      </c>
    </row>
    <row r="27" spans="1:18" outlineLevel="1" x14ac:dyDescent="0.4">
      <c r="A27" s="2" t="s">
        <v>510</v>
      </c>
      <c r="B27" s="10" t="s">
        <v>840</v>
      </c>
      <c r="C27" t="str">
        <f>_xlfn.LET(
 _xlpm.dOK,COUNTIF(クラス!A:A,E27)&gt;0,
 _xlpm.eOK,COUNTIF(クラス!A:A,F27)&gt;0,
 IF(_xlpm.dOK,"○","×") &amp; IF(_xlpm.eOK,"○","×")
)</f>
        <v>××</v>
      </c>
    </row>
    <row r="28" spans="1:18" outlineLevel="1" x14ac:dyDescent="0.4">
      <c r="C28" t="str">
        <f>_xlfn.LET(
 _xlpm.dOK,COUNTIF(クラス!A:A,E28)&gt;0,
 _xlpm.eOK,COUNTIF(クラス!A:A,F28)&gt;0,
 IF(_xlpm.dOK,"○","×") &amp; IF(_xlpm.eOK,"○","×")
)</f>
        <v>××</v>
      </c>
    </row>
    <row r="29" spans="1:18" x14ac:dyDescent="0.4">
      <c r="C29" t="str">
        <f>_xlfn.LET(
 _xlpm.dOK,COUNTIF(クラス!A:A,E29)&gt;0,
 _xlpm.eOK,COUNTIF(クラス!A:A,F29)&gt;0,
 IF(_xlpm.dOK,"○","×") &amp; IF(_xlpm.eOK,"○","×")
)</f>
        <v>××</v>
      </c>
    </row>
    <row r="30" spans="1:18" x14ac:dyDescent="0.4">
      <c r="A30" s="2" t="s">
        <v>504</v>
      </c>
      <c r="B30" s="10" t="s">
        <v>816</v>
      </c>
      <c r="C30" t="str">
        <f>_xlfn.LET(
 _xlpm.dOK,COUNTIF(クラス!A:A,E30)&gt;0,
 _xlpm.eOK,COUNTIF(クラス!A:A,F30)&gt;0,
 IF(_xlpm.dOK,"○","×") &amp; IF(_xlpm.eOK,"○","×")
)</f>
        <v>××</v>
      </c>
    </row>
    <row r="31" spans="1:18" outlineLevel="1" x14ac:dyDescent="0.4">
      <c r="A31" s="2" t="s">
        <v>504</v>
      </c>
      <c r="B31" s="10" t="s">
        <v>817</v>
      </c>
      <c r="C31" t="str">
        <f>_xlfn.LET(
 _xlpm.dOK,COUNTIF(クラス!A:A,E31)&gt;0,
 _xlpm.eOK,COUNTIF(クラス!A:A,F31)&gt;0,
 IF(_xlpm.dOK,"○","×") &amp; IF(_xlpm.eOK,"○","×")
)</f>
        <v>××</v>
      </c>
      <c r="R31" t="s">
        <v>1177</v>
      </c>
    </row>
    <row r="32" spans="1:18" outlineLevel="1" x14ac:dyDescent="0.4">
      <c r="A32" s="2" t="s">
        <v>504</v>
      </c>
      <c r="B32" s="10" t="s">
        <v>1280</v>
      </c>
      <c r="C32" t="str">
        <f>_xlfn.LET(
 _xlpm.dOK,COUNTIF(クラス!A:A,E32)&gt;0,
 _xlpm.eOK,COUNTIF(クラス!A:A,F32)&gt;0,
 IF(_xlpm.dOK,"○","×") &amp; IF(_xlpm.eOK,"○","×")
)</f>
        <v>○○</v>
      </c>
      <c r="D32" t="b">
        <v>1</v>
      </c>
      <c r="E32" t="s">
        <v>202</v>
      </c>
      <c r="F32" t="s">
        <v>855</v>
      </c>
      <c r="G32">
        <v>15</v>
      </c>
      <c r="H32">
        <v>25</v>
      </c>
      <c r="R32" t="s">
        <v>818</v>
      </c>
    </row>
    <row r="33" spans="1:18" outlineLevel="1" x14ac:dyDescent="0.4">
      <c r="A33" s="2" t="s">
        <v>504</v>
      </c>
      <c r="B33" s="10" t="s">
        <v>819</v>
      </c>
      <c r="C33" t="str">
        <f>_xlfn.LET(
 _xlpm.dOK,COUNTIF(クラス!A:A,E33)&gt;0,
 _xlpm.eOK,COUNTIF(クラス!A:A,F33)&gt;0,
 IF(_xlpm.dOK,"○","×") &amp; IF(_xlpm.eOK,"○","×")
)</f>
        <v>××</v>
      </c>
    </row>
    <row r="34" spans="1:18" ht="36" outlineLevel="1" x14ac:dyDescent="0.4">
      <c r="A34" s="2" t="s">
        <v>504</v>
      </c>
      <c r="B34" s="10" t="s">
        <v>820</v>
      </c>
      <c r="C34" t="str">
        <f>_xlfn.LET(
 _xlpm.dOK,COUNTIF(クラス!A:A,E34)&gt;0,
 _xlpm.eOK,COUNTIF(クラス!A:A,F34)&gt;0,
 IF(_xlpm.dOK,"○","×") &amp; IF(_xlpm.eOK,"○","×")
)</f>
        <v>××</v>
      </c>
    </row>
    <row r="35" spans="1:18" outlineLevel="1" x14ac:dyDescent="0.4">
      <c r="A35" s="2" t="s">
        <v>504</v>
      </c>
      <c r="B35" s="10" t="s">
        <v>821</v>
      </c>
      <c r="C35" t="str">
        <f>_xlfn.LET(
 _xlpm.dOK,COUNTIF(クラス!A:A,E35)&gt;0,
 _xlpm.eOK,COUNTIF(クラス!A:A,F35)&gt;0,
 IF(_xlpm.dOK,"○","×") &amp; IF(_xlpm.eOK,"○","×")
)</f>
        <v>××</v>
      </c>
    </row>
    <row r="36" spans="1:18" outlineLevel="1" x14ac:dyDescent="0.4">
      <c r="A36" s="2" t="s">
        <v>504</v>
      </c>
      <c r="B36" s="10" t="s">
        <v>822</v>
      </c>
      <c r="C36" t="str">
        <f>_xlfn.LET(
 _xlpm.dOK,COUNTIF(クラス!A:A,E36)&gt;0,
 _xlpm.eOK,COUNTIF(クラス!A:A,F36)&gt;0,
 IF(_xlpm.dOK,"○","×") &amp; IF(_xlpm.eOK,"○","×")
)</f>
        <v>××</v>
      </c>
    </row>
    <row r="37" spans="1:18" ht="36" outlineLevel="1" x14ac:dyDescent="0.4">
      <c r="A37" s="2" t="s">
        <v>504</v>
      </c>
      <c r="B37" s="10" t="s">
        <v>823</v>
      </c>
      <c r="C37" t="str">
        <f>_xlfn.LET(
 _xlpm.dOK,COUNTIF(クラス!A:A,E37)&gt;0,
 _xlpm.eOK,COUNTIF(クラス!A:A,F37)&gt;0,
 IF(_xlpm.dOK,"○","×") &amp; IF(_xlpm.eOK,"○","×")
)</f>
        <v>××</v>
      </c>
    </row>
    <row r="38" spans="1:18" outlineLevel="1" x14ac:dyDescent="0.4">
      <c r="A38" s="2" t="s">
        <v>504</v>
      </c>
      <c r="B38" s="10" t="s">
        <v>198</v>
      </c>
      <c r="C38" t="str">
        <f>_xlfn.LET(
 _xlpm.dOK,COUNTIF(クラス!A:A,E38)&gt;0,
 _xlpm.eOK,COUNTIF(クラス!A:A,F38)&gt;0,
 IF(_xlpm.dOK,"○","×") &amp; IF(_xlpm.eOK,"○","×")
)</f>
        <v>○×</v>
      </c>
      <c r="D38" t="b">
        <v>1</v>
      </c>
      <c r="E38" t="s">
        <v>198</v>
      </c>
      <c r="G38">
        <v>9</v>
      </c>
      <c r="H38">
        <v>15</v>
      </c>
      <c r="R38" t="s">
        <v>198</v>
      </c>
    </row>
    <row r="39" spans="1:18" outlineLevel="1" x14ac:dyDescent="0.4">
      <c r="A39" s="2" t="s">
        <v>504</v>
      </c>
      <c r="B39" s="10" t="s">
        <v>195</v>
      </c>
      <c r="C39" t="str">
        <f>_xlfn.LET(
 _xlpm.dOK,COUNTIF(クラス!A:A,E39)&gt;0,
 _xlpm.eOK,COUNTIF(クラス!A:A,F39)&gt;0,
 IF(_xlpm.dOK,"○","×") &amp; IF(_xlpm.eOK,"○","×")
)</f>
        <v>○×</v>
      </c>
      <c r="E39" t="s">
        <v>195</v>
      </c>
      <c r="G39">
        <v>9</v>
      </c>
      <c r="H39">
        <v>15</v>
      </c>
      <c r="R39" t="s">
        <v>1173</v>
      </c>
    </row>
    <row r="40" spans="1:18" outlineLevel="1" x14ac:dyDescent="0.4">
      <c r="C40" t="str">
        <f>_xlfn.LET(
 _xlpm.dOK,COUNTIF(クラス!A:A,E40)&gt;0,
 _xlpm.eOK,COUNTIF(クラス!A:A,F40)&gt;0,
 IF(_xlpm.dOK,"○","×") &amp; IF(_xlpm.eOK,"○","×")
)</f>
        <v>××</v>
      </c>
    </row>
    <row r="41" spans="1:18" ht="36" outlineLevel="1" x14ac:dyDescent="0.4">
      <c r="A41" s="2" t="s">
        <v>511</v>
      </c>
      <c r="B41" s="10" t="s">
        <v>841</v>
      </c>
      <c r="C41" t="str">
        <f>_xlfn.LET(
 _xlpm.dOK,COUNTIF(クラス!A:A,E41)&gt;0,
 _xlpm.eOK,COUNTIF(クラス!A:A,F41)&gt;0,
 IF(_xlpm.dOK,"○","×") &amp; IF(_xlpm.eOK,"○","×")
)</f>
        <v>××</v>
      </c>
    </row>
    <row r="42" spans="1:18" ht="36" outlineLevel="1" x14ac:dyDescent="0.4">
      <c r="A42" s="2" t="s">
        <v>511</v>
      </c>
      <c r="B42" s="10" t="s">
        <v>1253</v>
      </c>
      <c r="C42" t="str">
        <f>_xlfn.LET(
 _xlpm.dOK,COUNTIF(クラス!A:A,E42)&gt;0,
 _xlpm.eOK,COUNTIF(クラス!A:A,F42)&gt;0,
 IF(_xlpm.dOK,"○","×") &amp; IF(_xlpm.eOK,"○","×")
)</f>
        <v>××</v>
      </c>
    </row>
    <row r="43" spans="1:18" ht="36" outlineLevel="1" x14ac:dyDescent="0.4">
      <c r="A43" s="2" t="s">
        <v>511</v>
      </c>
      <c r="B43" s="10" t="s">
        <v>1254</v>
      </c>
      <c r="C43" t="str">
        <f>_xlfn.LET(
 _xlpm.dOK,COUNTIF(クラス!A:A,E43)&gt;0,
 _xlpm.eOK,COUNTIF(クラス!A:A,F43)&gt;0,
 IF(_xlpm.dOK,"○","×") &amp; IF(_xlpm.eOK,"○","×")
)</f>
        <v>××</v>
      </c>
    </row>
    <row r="44" spans="1:18" outlineLevel="1" x14ac:dyDescent="0.4">
      <c r="A44" s="2" t="s">
        <v>511</v>
      </c>
      <c r="B44" s="10" t="s">
        <v>1255</v>
      </c>
      <c r="C44" t="str">
        <f>_xlfn.LET(
 _xlpm.dOK,COUNTIF(クラス!A:A,E44)&gt;0,
 _xlpm.eOK,COUNTIF(クラス!A:A,F44)&gt;0,
 IF(_xlpm.dOK,"○","×") &amp; IF(_xlpm.eOK,"○","×")
)</f>
        <v>××</v>
      </c>
    </row>
    <row r="45" spans="1:18" outlineLevel="1" x14ac:dyDescent="0.4">
      <c r="A45" s="2" t="s">
        <v>511</v>
      </c>
      <c r="B45" s="10" t="s">
        <v>1252</v>
      </c>
      <c r="C45" t="str">
        <f>_xlfn.LET(
 _xlpm.dOK,COUNTIF(クラス!A:A,E45)&gt;0,
 _xlpm.eOK,COUNTIF(クラス!A:A,F45)&gt;0,
 IF(_xlpm.dOK,"○","×") &amp; IF(_xlpm.eOK,"○","×")
)</f>
        <v>××</v>
      </c>
    </row>
    <row r="46" spans="1:18" outlineLevel="1" x14ac:dyDescent="0.4">
      <c r="A46" s="2" t="s">
        <v>511</v>
      </c>
      <c r="B46" s="10" t="s">
        <v>842</v>
      </c>
      <c r="C46" t="str">
        <f>_xlfn.LET(
 _xlpm.dOK,COUNTIF(クラス!A:A,E46)&gt;0,
 _xlpm.eOK,COUNTIF(クラス!A:A,F46)&gt;0,
 IF(_xlpm.dOK,"○","×") &amp; IF(_xlpm.eOK,"○","×")
)</f>
        <v>××</v>
      </c>
    </row>
    <row r="47" spans="1:18" ht="36" outlineLevel="1" x14ac:dyDescent="0.4">
      <c r="A47" s="2" t="s">
        <v>511</v>
      </c>
      <c r="B47" s="10" t="s">
        <v>843</v>
      </c>
      <c r="C47" t="str">
        <f>_xlfn.LET(
 _xlpm.dOK,COUNTIF(クラス!A:A,E47)&gt;0,
 _xlpm.eOK,COUNTIF(クラス!A:A,F47)&gt;0,
 IF(_xlpm.dOK,"○","×") &amp; IF(_xlpm.eOK,"○","×")
)</f>
        <v>××</v>
      </c>
    </row>
    <row r="48" spans="1:18" outlineLevel="1" x14ac:dyDescent="0.4">
      <c r="C48" t="str">
        <f>_xlfn.LET(
 _xlpm.dOK,COUNTIF(クラス!A:A,E48)&gt;0,
 _xlpm.eOK,COUNTIF(クラス!A:A,F48)&gt;0,
 IF(_xlpm.dOK,"○","×") &amp; IF(_xlpm.eOK,"○","×")
)</f>
        <v>××</v>
      </c>
    </row>
    <row r="49" spans="1:18" x14ac:dyDescent="0.4">
      <c r="C49" t="str">
        <f>_xlfn.LET(
 _xlpm.dOK,COUNTIF(クラス!A:A,E49)&gt;0,
 _xlpm.eOK,COUNTIF(クラス!A:A,F49)&gt;0,
 IF(_xlpm.dOK,"○","×") &amp; IF(_xlpm.eOK,"○","×")
)</f>
        <v>××</v>
      </c>
    </row>
    <row r="50" spans="1:18" x14ac:dyDescent="0.4">
      <c r="A50" s="2" t="s">
        <v>506</v>
      </c>
      <c r="B50" s="10" t="s">
        <v>813</v>
      </c>
      <c r="C50" t="str">
        <f>_xlfn.LET(
 _xlpm.dOK,COUNTIF(クラス!A:A,E50)&gt;0,
 _xlpm.eOK,COUNTIF(クラス!A:A,F50)&gt;0,
 IF(_xlpm.dOK,"○","×") &amp; IF(_xlpm.eOK,"○","×")
)</f>
        <v>○○</v>
      </c>
      <c r="D50" t="b">
        <v>1</v>
      </c>
      <c r="E50" t="s">
        <v>197</v>
      </c>
      <c r="F50" t="s">
        <v>200</v>
      </c>
      <c r="G50">
        <v>8</v>
      </c>
      <c r="H50">
        <v>12</v>
      </c>
      <c r="R50" t="s">
        <v>813</v>
      </c>
    </row>
    <row r="51" spans="1:18" outlineLevel="1" x14ac:dyDescent="0.4">
      <c r="A51" s="2" t="s">
        <v>506</v>
      </c>
      <c r="B51" s="10" t="s">
        <v>200</v>
      </c>
      <c r="C51" t="str">
        <f>_xlfn.LET(
 _xlpm.dOK,COUNTIF(クラス!A:A,E51)&gt;0,
 _xlpm.eOK,COUNTIF(クラス!A:A,F51)&gt;0,
 IF(_xlpm.dOK,"○","×") &amp; IF(_xlpm.eOK,"○","×")
)</f>
        <v>○×</v>
      </c>
      <c r="E51" t="s">
        <v>200</v>
      </c>
      <c r="G51">
        <v>10</v>
      </c>
      <c r="H51">
        <v>15</v>
      </c>
      <c r="I51" t="s">
        <v>915</v>
      </c>
      <c r="R51" t="s">
        <v>200</v>
      </c>
    </row>
    <row r="52" spans="1:18" ht="54" outlineLevel="1" x14ac:dyDescent="0.4">
      <c r="A52" s="2" t="s">
        <v>506</v>
      </c>
      <c r="B52" s="10" t="s">
        <v>75</v>
      </c>
      <c r="C52" t="str">
        <f>_xlfn.LET(
 _xlpm.dOK,COUNTIF(クラス!A:A,E52)&gt;0,
 _xlpm.eOK,COUNTIF(クラス!A:A,F52)&gt;0,
 IF(_xlpm.dOK,"○","×") &amp; IF(_xlpm.eOK,"○","×")
)</f>
        <v>○×</v>
      </c>
      <c r="D52" s="10"/>
      <c r="E52" s="10" t="s">
        <v>75</v>
      </c>
      <c r="G52">
        <v>7</v>
      </c>
      <c r="H52">
        <v>12</v>
      </c>
      <c r="R52" t="s">
        <v>1175</v>
      </c>
    </row>
    <row r="53" spans="1:18" outlineLevel="1" x14ac:dyDescent="0.4">
      <c r="A53" s="2" t="s">
        <v>506</v>
      </c>
      <c r="B53" s="10" t="s">
        <v>814</v>
      </c>
      <c r="C53" t="str">
        <f>_xlfn.LET(
 _xlpm.dOK,COUNTIF(クラス!A:A,E53)&gt;0,
 _xlpm.eOK,COUNTIF(クラス!A:A,F53)&gt;0,
 IF(_xlpm.dOK,"○","×") &amp; IF(_xlpm.eOK,"○","×")
)</f>
        <v>○○</v>
      </c>
      <c r="E53" t="s">
        <v>197</v>
      </c>
      <c r="F53" t="s">
        <v>196</v>
      </c>
      <c r="G53">
        <v>14</v>
      </c>
      <c r="H53">
        <v>18</v>
      </c>
      <c r="R53" t="s">
        <v>814</v>
      </c>
    </row>
    <row r="54" spans="1:18" outlineLevel="1" x14ac:dyDescent="0.4">
      <c r="A54" s="2" t="s">
        <v>506</v>
      </c>
      <c r="B54" s="10" t="s">
        <v>1256</v>
      </c>
      <c r="C54" t="str">
        <f>_xlfn.LET(
 _xlpm.dOK,COUNTIF(クラス!A:A,E54)&gt;0,
 _xlpm.eOK,COUNTIF(クラス!A:A,F54)&gt;0,
 IF(_xlpm.dOK,"○","×") &amp; IF(_xlpm.eOK,"○","×")
)</f>
        <v>××</v>
      </c>
    </row>
    <row r="55" spans="1:18" ht="36" outlineLevel="1" x14ac:dyDescent="0.4">
      <c r="A55" s="2" t="s">
        <v>506</v>
      </c>
      <c r="B55" s="10" t="s">
        <v>812</v>
      </c>
      <c r="C55" t="str">
        <f>_xlfn.LET(
 _xlpm.dOK,COUNTIF(クラス!A:A,E55)&gt;0,
 _xlpm.eOK,COUNTIF(クラス!A:A,F55)&gt;0,
 IF(_xlpm.dOK,"○","×") &amp; IF(_xlpm.eOK,"○","×")
)</f>
        <v>××</v>
      </c>
    </row>
    <row r="56" spans="1:18" outlineLevel="1" x14ac:dyDescent="0.4">
      <c r="A56" s="2" t="s">
        <v>506</v>
      </c>
      <c r="B56" s="10" t="s">
        <v>811</v>
      </c>
      <c r="C56" t="str">
        <f>_xlfn.LET(
 _xlpm.dOK,COUNTIF(クラス!A:A,E56)&gt;0,
 _xlpm.eOK,COUNTIF(クラス!A:A,F56)&gt;0,
 IF(_xlpm.dOK,"○","×") &amp; IF(_xlpm.eOK,"○","×")
)</f>
        <v>××</v>
      </c>
    </row>
    <row r="57" spans="1:18" outlineLevel="1" x14ac:dyDescent="0.4">
      <c r="A57" s="2" t="s">
        <v>506</v>
      </c>
      <c r="B57" s="10" t="s">
        <v>815</v>
      </c>
      <c r="C57" t="str">
        <f>_xlfn.LET(
 _xlpm.dOK,COUNTIF(クラス!A:A,E57)&gt;0,
 _xlpm.eOK,COUNTIF(クラス!A:A,F57)&gt;0,
 IF(_xlpm.dOK,"○","×") &amp; IF(_xlpm.eOK,"○","×")
)</f>
        <v>○×</v>
      </c>
      <c r="D57" t="b">
        <v>1</v>
      </c>
      <c r="E57" t="s">
        <v>896</v>
      </c>
      <c r="G57">
        <v>15</v>
      </c>
      <c r="H57">
        <v>20</v>
      </c>
      <c r="I57" t="s">
        <v>914</v>
      </c>
      <c r="R57" t="s">
        <v>896</v>
      </c>
    </row>
    <row r="58" spans="1:18" outlineLevel="1" x14ac:dyDescent="0.4">
      <c r="C58" t="str">
        <f>_xlfn.LET(
 _xlpm.dOK,COUNTIF(クラス!A:A,E58)&gt;0,
 _xlpm.eOK,COUNTIF(クラス!A:A,F58)&gt;0,
 IF(_xlpm.dOK,"○","×") &amp; IF(_xlpm.eOK,"○","×")
)</f>
        <v>××</v>
      </c>
    </row>
    <row r="59" spans="1:18" outlineLevel="1" x14ac:dyDescent="0.4">
      <c r="A59" s="2" t="s">
        <v>505</v>
      </c>
      <c r="B59" s="10" t="s">
        <v>910</v>
      </c>
      <c r="C59" t="str">
        <f>_xlfn.LET(
 _xlpm.dOK,COUNTIF(クラス!A:A,E59)&gt;0,
 _xlpm.eOK,COUNTIF(クラス!A:A,F59)&gt;0,
 IF(_xlpm.dOK,"○","×") &amp; IF(_xlpm.eOK,"○","×")
)</f>
        <v>○○</v>
      </c>
      <c r="E59" t="s">
        <v>200</v>
      </c>
      <c r="F59" t="s">
        <v>856</v>
      </c>
      <c r="G59">
        <v>15</v>
      </c>
      <c r="H59">
        <v>25</v>
      </c>
      <c r="R59" t="s">
        <v>200</v>
      </c>
    </row>
    <row r="60" spans="1:18" ht="54" outlineLevel="1" x14ac:dyDescent="0.4">
      <c r="A60" s="2" t="s">
        <v>505</v>
      </c>
      <c r="B60" s="10" t="s">
        <v>75</v>
      </c>
      <c r="C60" t="str">
        <f>_xlfn.LET(
 _xlpm.dOK,COUNTIF(クラス!A:A,E60)&gt;0,
 _xlpm.eOK,COUNTIF(クラス!A:A,F60)&gt;0,
 IF(_xlpm.dOK,"○","×") &amp; IF(_xlpm.eOK,"○","×")
)</f>
        <v>○×</v>
      </c>
      <c r="D60" s="10"/>
      <c r="E60" s="10" t="s">
        <v>75</v>
      </c>
      <c r="G60">
        <v>15</v>
      </c>
      <c r="H60">
        <v>20</v>
      </c>
      <c r="I60" t="s">
        <v>916</v>
      </c>
      <c r="R60" t="s">
        <v>1175</v>
      </c>
    </row>
    <row r="61" spans="1:18" outlineLevel="1" x14ac:dyDescent="0.4">
      <c r="A61" s="2" t="s">
        <v>505</v>
      </c>
      <c r="B61" s="10" t="s">
        <v>911</v>
      </c>
      <c r="C61" t="str">
        <f>_xlfn.LET(
 _xlpm.dOK,COUNTIF(クラス!A:A,E61)&gt;0,
 _xlpm.eOK,COUNTIF(クラス!A:A,F61)&gt;0,
 IF(_xlpm.dOK,"○","×") &amp; IF(_xlpm.eOK,"○","×")
)</f>
        <v>○○</v>
      </c>
      <c r="D61" t="b">
        <v>1</v>
      </c>
      <c r="E61" t="s">
        <v>202</v>
      </c>
      <c r="F61" t="s">
        <v>75</v>
      </c>
      <c r="G61">
        <v>25</v>
      </c>
      <c r="H61">
        <v>30</v>
      </c>
      <c r="R61" t="s">
        <v>1176</v>
      </c>
    </row>
    <row r="62" spans="1:18" ht="36" outlineLevel="1" x14ac:dyDescent="0.4">
      <c r="A62" s="2" t="s">
        <v>505</v>
      </c>
      <c r="B62" s="10" t="s">
        <v>824</v>
      </c>
      <c r="C62" t="str">
        <f>_xlfn.LET(
 _xlpm.dOK,COUNTIF(クラス!A:A,E62)&gt;0,
 _xlpm.eOK,COUNTIF(クラス!A:A,F62)&gt;0,
 IF(_xlpm.dOK,"○","×") &amp; IF(_xlpm.eOK,"○","×")
)</f>
        <v>××</v>
      </c>
    </row>
    <row r="63" spans="1:18" ht="36" outlineLevel="1" x14ac:dyDescent="0.4">
      <c r="A63" s="2" t="s">
        <v>505</v>
      </c>
      <c r="B63" s="10" t="s">
        <v>825</v>
      </c>
      <c r="C63" t="str">
        <f>_xlfn.LET(
 _xlpm.dOK,COUNTIF(クラス!A:A,E63)&gt;0,
 _xlpm.eOK,COUNTIF(クラス!A:A,F63)&gt;0,
 IF(_xlpm.dOK,"○","×") &amp; IF(_xlpm.eOK,"○","×")
)</f>
        <v>××</v>
      </c>
    </row>
    <row r="64" spans="1:18" outlineLevel="1" x14ac:dyDescent="0.4">
      <c r="A64" s="2" t="s">
        <v>505</v>
      </c>
      <c r="B64" s="10" t="s">
        <v>826</v>
      </c>
      <c r="C64" t="str">
        <f>_xlfn.LET(
 _xlpm.dOK,COUNTIF(クラス!A:A,E64)&gt;0,
 _xlpm.eOK,COUNTIF(クラス!A:A,F64)&gt;0,
 IF(_xlpm.dOK,"○","×") &amp; IF(_xlpm.eOK,"○","×")
)</f>
        <v>××</v>
      </c>
    </row>
    <row r="65" spans="1:18" outlineLevel="1" x14ac:dyDescent="0.4">
      <c r="A65" s="2" t="s">
        <v>505</v>
      </c>
      <c r="B65" s="10" t="s">
        <v>827</v>
      </c>
      <c r="C65" t="str">
        <f>_xlfn.LET(
 _xlpm.dOK,COUNTIF(クラス!A:A,E65)&gt;0,
 _xlpm.eOK,COUNTIF(クラス!A:A,F65)&gt;0,
 IF(_xlpm.dOK,"○","×") &amp; IF(_xlpm.eOK,"○","×")
)</f>
        <v>××</v>
      </c>
    </row>
    <row r="66" spans="1:18" outlineLevel="1" x14ac:dyDescent="0.4">
      <c r="A66" s="2" t="s">
        <v>505</v>
      </c>
      <c r="B66" s="10" t="s">
        <v>828</v>
      </c>
      <c r="C66" t="str">
        <f>_xlfn.LET(
 _xlpm.dOK,COUNTIF(クラス!A:A,E66)&gt;0,
 _xlpm.eOK,COUNTIF(クラス!A:A,F66)&gt;0,
 IF(_xlpm.dOK,"○","×") &amp; IF(_xlpm.eOK,"○","×")
)</f>
        <v>××</v>
      </c>
    </row>
    <row r="67" spans="1:18" outlineLevel="1" x14ac:dyDescent="0.4">
      <c r="A67" s="2" t="s">
        <v>505</v>
      </c>
      <c r="B67" s="10" t="s">
        <v>829</v>
      </c>
      <c r="C67" t="str">
        <f>_xlfn.LET(
 _xlpm.dOK,COUNTIF(クラス!A:A,E67)&gt;0,
 _xlpm.eOK,COUNTIF(クラス!A:A,F67)&gt;0,
 IF(_xlpm.dOK,"○","×") &amp; IF(_xlpm.eOK,"○","×")
)</f>
        <v>××</v>
      </c>
    </row>
    <row r="68" spans="1:18" outlineLevel="1" x14ac:dyDescent="0.4">
      <c r="C68" t="str">
        <f>_xlfn.LET(
 _xlpm.dOK,COUNTIF(クラス!A:A,E68)&gt;0,
 _xlpm.eOK,COUNTIF(クラス!A:A,F68)&gt;0,
 IF(_xlpm.dOK,"○","×") &amp; IF(_xlpm.eOK,"○","×")
)</f>
        <v>××</v>
      </c>
    </row>
    <row r="69" spans="1:18" x14ac:dyDescent="0.4">
      <c r="C69" t="str">
        <f>_xlfn.LET(
 _xlpm.dOK,COUNTIF(クラス!A:A,E69)&gt;0,
 _xlpm.eOK,COUNTIF(クラス!A:A,F69)&gt;0,
 IF(_xlpm.dOK,"○","×") &amp; IF(_xlpm.eOK,"○","×")
)</f>
        <v>××</v>
      </c>
    </row>
    <row r="70" spans="1:18" x14ac:dyDescent="0.4">
      <c r="A70" s="2" t="s">
        <v>512</v>
      </c>
      <c r="B70" s="10" t="s">
        <v>826</v>
      </c>
      <c r="C70" t="str">
        <f>_xlfn.LET(
 _xlpm.dOK,COUNTIF(クラス!A:A,E70)&gt;0,
 _xlpm.eOK,COUNTIF(クラス!A:A,F70)&gt;0,
 IF(_xlpm.dOK,"○","×") &amp; IF(_xlpm.eOK,"○","×")
)</f>
        <v>××</v>
      </c>
    </row>
    <row r="71" spans="1:18" outlineLevel="1" x14ac:dyDescent="0.4">
      <c r="A71" s="2" t="s">
        <v>512</v>
      </c>
      <c r="B71" s="10" t="s">
        <v>815</v>
      </c>
      <c r="C71" t="str">
        <f>_xlfn.LET(
 _xlpm.dOK,COUNTIF(クラス!A:A,E71)&gt;0,
 _xlpm.eOK,COUNTIF(クラス!A:A,F71)&gt;0,
 IF(_xlpm.dOK,"○","×") &amp; IF(_xlpm.eOK,"○","×")
)</f>
        <v>××</v>
      </c>
    </row>
    <row r="72" spans="1:18" outlineLevel="1" x14ac:dyDescent="0.4">
      <c r="A72" s="2" t="s">
        <v>512</v>
      </c>
      <c r="B72" s="10" t="s">
        <v>811</v>
      </c>
      <c r="C72" t="str">
        <f>_xlfn.LET(
 _xlpm.dOK,COUNTIF(クラス!A:A,E72)&gt;0,
 _xlpm.eOK,COUNTIF(クラス!A:A,F72)&gt;0,
 IF(_xlpm.dOK,"○","×") &amp; IF(_xlpm.eOK,"○","×")
)</f>
        <v>××</v>
      </c>
    </row>
    <row r="73" spans="1:18" ht="36" outlineLevel="1" x14ac:dyDescent="0.4">
      <c r="A73" s="2" t="s">
        <v>512</v>
      </c>
      <c r="B73" s="10" t="s">
        <v>824</v>
      </c>
      <c r="C73" t="str">
        <f>_xlfn.LET(
 _xlpm.dOK,COUNTIF(クラス!A:A,E73)&gt;0,
 _xlpm.eOK,COUNTIF(クラス!A:A,F73)&gt;0,
 IF(_xlpm.dOK,"○","×") &amp; IF(_xlpm.eOK,"○","×")
)</f>
        <v>××</v>
      </c>
    </row>
    <row r="74" spans="1:18" outlineLevel="1" x14ac:dyDescent="0.4">
      <c r="A74" s="2" t="s">
        <v>512</v>
      </c>
      <c r="B74" s="10" t="s">
        <v>844</v>
      </c>
      <c r="C74" t="str">
        <f>_xlfn.LET(
 _xlpm.dOK,COUNTIF(クラス!A:A,E74)&gt;0,
 _xlpm.eOK,COUNTIF(クラス!A:A,F74)&gt;0,
 IF(_xlpm.dOK,"○","×") &amp; IF(_xlpm.eOK,"○","×")
)</f>
        <v>××</v>
      </c>
    </row>
    <row r="75" spans="1:18" outlineLevel="1" x14ac:dyDescent="0.4">
      <c r="C75" t="str">
        <f>_xlfn.LET(
 _xlpm.dOK,COUNTIF(クラス!A:A,E75)&gt;0,
 _xlpm.eOK,COUNTIF(クラス!A:A,F75)&gt;0,
 IF(_xlpm.dOK,"○","×") &amp; IF(_xlpm.eOK,"○","×")
)</f>
        <v>××</v>
      </c>
    </row>
    <row r="76" spans="1:18" outlineLevel="1" x14ac:dyDescent="0.4">
      <c r="A76" s="2" t="s">
        <v>513</v>
      </c>
      <c r="B76" s="10" t="s">
        <v>1257</v>
      </c>
      <c r="C76" t="str">
        <f>_xlfn.LET(
 _xlpm.dOK,COUNTIF(クラス!A:A,E76)&gt;0,
 _xlpm.eOK,COUNTIF(クラス!A:A,F76)&gt;0,
 IF(_xlpm.dOK,"○","×") &amp; IF(_xlpm.eOK,"○","×")
)</f>
        <v>××</v>
      </c>
    </row>
    <row r="77" spans="1:18" ht="36" outlineLevel="1" x14ac:dyDescent="0.4">
      <c r="A77" s="2" t="s">
        <v>513</v>
      </c>
      <c r="B77" s="10" t="s">
        <v>845</v>
      </c>
      <c r="C77" t="str">
        <f>_xlfn.LET(
 _xlpm.dOK,COUNTIF(クラス!A:A,E77)&gt;0,
 _xlpm.eOK,COUNTIF(クラス!A:A,F77)&gt;0,
 IF(_xlpm.dOK,"○","×") &amp; IF(_xlpm.eOK,"○","×")
)</f>
        <v>××</v>
      </c>
    </row>
    <row r="78" spans="1:18" outlineLevel="1" x14ac:dyDescent="0.4">
      <c r="A78" s="2" t="s">
        <v>513</v>
      </c>
      <c r="B78" s="10" t="s">
        <v>809</v>
      </c>
      <c r="C78" t="str">
        <f>_xlfn.LET(
 _xlpm.dOK,COUNTIF(クラス!A:A,E78)&gt;0,
 _xlpm.eOK,COUNTIF(クラス!A:A,F78)&gt;0,
 IF(_xlpm.dOK,"○","×") &amp; IF(_xlpm.eOK,"○","×")
)</f>
        <v>××</v>
      </c>
    </row>
    <row r="79" spans="1:18" outlineLevel="1" x14ac:dyDescent="0.4">
      <c r="A79" s="2" t="s">
        <v>513</v>
      </c>
      <c r="B79" s="10" t="s">
        <v>826</v>
      </c>
      <c r="C79" t="str">
        <f>_xlfn.LET(
 _xlpm.dOK,COUNTIF(クラス!A:A,E79)&gt;0,
 _xlpm.eOK,COUNTIF(クラス!A:A,F79)&gt;0,
 IF(_xlpm.dOK,"○","×") &amp; IF(_xlpm.eOK,"○","×")
)</f>
        <v>××</v>
      </c>
    </row>
    <row r="80" spans="1:18" outlineLevel="1" x14ac:dyDescent="0.4">
      <c r="A80" s="2" t="s">
        <v>513</v>
      </c>
      <c r="B80" s="10" t="s">
        <v>829</v>
      </c>
      <c r="C80" t="str">
        <f>_xlfn.LET(
 _xlpm.dOK,COUNTIF(クラス!A:A,E80)&gt;0,
 _xlpm.eOK,COUNTIF(クラス!A:A,F80)&gt;0,
 IF(_xlpm.dOK,"○","×") &amp; IF(_xlpm.eOK,"○","×")
)</f>
        <v>××</v>
      </c>
      <c r="R80" t="s">
        <v>829</v>
      </c>
    </row>
    <row r="81" spans="1:18" outlineLevel="1" x14ac:dyDescent="0.4">
      <c r="A81" s="2" t="s">
        <v>513</v>
      </c>
      <c r="B81" s="10" t="s">
        <v>835</v>
      </c>
      <c r="C81" t="str">
        <f>_xlfn.LET(
 _xlpm.dOK,COUNTIF(クラス!A:A,E81)&gt;0,
 _xlpm.eOK,COUNTIF(クラス!A:A,F81)&gt;0,
 IF(_xlpm.dOK,"○","×") &amp; IF(_xlpm.eOK,"○","×")
)</f>
        <v>××</v>
      </c>
      <c r="R81" t="s">
        <v>835</v>
      </c>
    </row>
    <row r="82" spans="1:18" outlineLevel="1" x14ac:dyDescent="0.4">
      <c r="C82" t="str">
        <f>_xlfn.LET(
 _xlpm.dOK,COUNTIF(クラス!A:A,E82)&gt;0,
 _xlpm.eOK,COUNTIF(クラス!A:A,F82)&gt;0,
 IF(_xlpm.dOK,"○","×") &amp; IF(_xlpm.eOK,"○","×")
)</f>
        <v>××</v>
      </c>
    </row>
    <row r="83" spans="1:18" x14ac:dyDescent="0.4">
      <c r="C83" t="str">
        <f>_xlfn.LET(
 _xlpm.dOK,COUNTIF(クラス!A:A,E83)&gt;0,
 _xlpm.eOK,COUNTIF(クラス!A:A,F83)&gt;0,
 IF(_xlpm.dOK,"○","×") &amp; IF(_xlpm.eOK,"○","×")
)</f>
        <v>××</v>
      </c>
    </row>
    <row r="84" spans="1:18" ht="36" x14ac:dyDescent="0.4">
      <c r="A84" s="2" t="s">
        <v>507</v>
      </c>
      <c r="B84" s="10" t="s">
        <v>830</v>
      </c>
      <c r="C84" t="str">
        <f>_xlfn.LET(
 _xlpm.dOK,COUNTIF(クラス!A:A,E84)&gt;0,
 _xlpm.eOK,COUNTIF(クラス!A:A,F84)&gt;0,
 IF(_xlpm.dOK,"○","×") &amp; IF(_xlpm.eOK,"○","×")
)</f>
        <v>○×</v>
      </c>
      <c r="E84" t="s">
        <v>898</v>
      </c>
      <c r="G84">
        <v>5</v>
      </c>
      <c r="H84">
        <v>10</v>
      </c>
      <c r="R84" t="s">
        <v>906</v>
      </c>
    </row>
    <row r="85" spans="1:18" ht="36" outlineLevel="1" x14ac:dyDescent="0.4">
      <c r="A85" s="2" t="s">
        <v>507</v>
      </c>
      <c r="B85" s="10" t="s">
        <v>909</v>
      </c>
      <c r="C85" t="str">
        <f>_xlfn.LET(
 _xlpm.dOK,COUNTIF(クラス!A:A,E85)&gt;0,
 _xlpm.eOK,COUNTIF(クラス!A:A,F85)&gt;0,
 IF(_xlpm.dOK,"○","×") &amp; IF(_xlpm.eOK,"○","×")
)</f>
        <v>○○</v>
      </c>
      <c r="D85" t="b">
        <v>1</v>
      </c>
      <c r="E85" t="s">
        <v>196</v>
      </c>
      <c r="F85" t="s">
        <v>857</v>
      </c>
      <c r="G85">
        <v>7</v>
      </c>
      <c r="H85">
        <v>10</v>
      </c>
      <c r="R85" t="s">
        <v>196</v>
      </c>
    </row>
    <row r="86" spans="1:18" outlineLevel="1" x14ac:dyDescent="0.4">
      <c r="C86" t="str">
        <f>_xlfn.LET(
 _xlpm.dOK,COUNTIF(クラス!A:A,E86)&gt;0,
 _xlpm.eOK,COUNTIF(クラス!A:A,F86)&gt;0,
 IF(_xlpm.dOK,"○","×") &amp; IF(_xlpm.eOK,"○","×")
)</f>
        <v>××</v>
      </c>
    </row>
    <row r="87" spans="1:18" ht="36" outlineLevel="1" x14ac:dyDescent="0.4">
      <c r="A87" s="2" t="s">
        <v>508</v>
      </c>
      <c r="B87" s="10" t="s">
        <v>830</v>
      </c>
      <c r="C87" t="str">
        <f>_xlfn.LET(
 _xlpm.dOK,COUNTIF(クラス!A:A,E87)&gt;0,
 _xlpm.eOK,COUNTIF(クラス!A:A,F87)&gt;0,
 IF(_xlpm.dOK,"○","×") &amp; IF(_xlpm.eOK,"○","×")
)</f>
        <v>○×</v>
      </c>
      <c r="E87" t="s">
        <v>898</v>
      </c>
      <c r="G87">
        <v>15</v>
      </c>
      <c r="H87">
        <v>30</v>
      </c>
      <c r="R87" t="s">
        <v>906</v>
      </c>
    </row>
    <row r="88" spans="1:18" outlineLevel="1" x14ac:dyDescent="0.4">
      <c r="A88" s="2" t="s">
        <v>508</v>
      </c>
      <c r="B88" s="10" t="s">
        <v>831</v>
      </c>
      <c r="C88" t="str">
        <f>_xlfn.LET(
 _xlpm.dOK,COUNTIF(クラス!A:A,E88)&gt;0,
 _xlpm.eOK,COUNTIF(クラス!A:A,F88)&gt;0,
 IF(_xlpm.dOK,"○","×") &amp; IF(_xlpm.eOK,"○","×")
)</f>
        <v>○○</v>
      </c>
      <c r="D88" t="b">
        <v>1</v>
      </c>
      <c r="E88" t="s">
        <v>196</v>
      </c>
      <c r="F88" t="s">
        <v>858</v>
      </c>
      <c r="G88">
        <v>15</v>
      </c>
      <c r="H88">
        <v>20</v>
      </c>
    </row>
    <row r="89" spans="1:18" outlineLevel="1" x14ac:dyDescent="0.4">
      <c r="C89" t="str">
        <f>_xlfn.LET(
 _xlpm.dOK,COUNTIF(クラス!A:A,E89)&gt;0,
 _xlpm.eOK,COUNTIF(クラス!A:A,F89)&gt;0,
 IF(_xlpm.dOK,"○","×") &amp; IF(_xlpm.eOK,"○","×")
)</f>
        <v>××</v>
      </c>
    </row>
    <row r="90" spans="1:18" outlineLevel="1" x14ac:dyDescent="0.4">
      <c r="A90" s="2" t="s">
        <v>509</v>
      </c>
      <c r="B90" s="10" t="s">
        <v>831</v>
      </c>
      <c r="C90" t="str">
        <f>_xlfn.LET(
 _xlpm.dOK,COUNTIF(クラス!A:A,E90)&gt;0,
 _xlpm.eOK,COUNTIF(クラス!A:A,F90)&gt;0,
 IF(_xlpm.dOK,"○","×") &amp; IF(_xlpm.eOK,"○","×")
)</f>
        <v>○○</v>
      </c>
      <c r="E90" t="s">
        <v>196</v>
      </c>
      <c r="F90" t="s">
        <v>858</v>
      </c>
      <c r="G90">
        <v>5</v>
      </c>
      <c r="H90">
        <v>20</v>
      </c>
    </row>
    <row r="91" spans="1:18" ht="36" outlineLevel="1" x14ac:dyDescent="0.4">
      <c r="A91" s="2" t="s">
        <v>509</v>
      </c>
      <c r="B91" s="10" t="s">
        <v>830</v>
      </c>
      <c r="C91" t="str">
        <f>_xlfn.LET(
 _xlpm.dOK,COUNTIF(クラス!A:A,E91)&gt;0,
 _xlpm.eOK,COUNTIF(クラス!A:A,F91)&gt;0,
 IF(_xlpm.dOK,"○","×") &amp; IF(_xlpm.eOK,"○","×")
)</f>
        <v>○×</v>
      </c>
      <c r="E91" t="s">
        <v>898</v>
      </c>
      <c r="G91">
        <v>15</v>
      </c>
      <c r="H91">
        <v>30</v>
      </c>
      <c r="R91" t="s">
        <v>906</v>
      </c>
    </row>
    <row r="92" spans="1:18" outlineLevel="1" x14ac:dyDescent="0.4">
      <c r="C92" t="str">
        <f>_xlfn.LET(
 _xlpm.dOK,COUNTIF(クラス!A:A,E92)&gt;0,
 _xlpm.eOK,COUNTIF(クラス!A:A,F92)&gt;0,
 IF(_xlpm.dOK,"○","×") &amp; IF(_xlpm.eOK,"○","×")
)</f>
        <v>××</v>
      </c>
    </row>
    <row r="93" spans="1:18" x14ac:dyDescent="0.4">
      <c r="C93" t="str">
        <f>_xlfn.LET(
 _xlpm.dOK,COUNTIF(クラス!A:A,E93)&gt;0,
 _xlpm.eOK,COUNTIF(クラス!A:A,F93)&gt;0,
 IF(_xlpm.dOK,"○","×") &amp; IF(_xlpm.eOK,"○","×")
)</f>
        <v>××</v>
      </c>
    </row>
    <row r="94" spans="1:18" x14ac:dyDescent="0.4">
      <c r="A94" s="2" t="s">
        <v>515</v>
      </c>
      <c r="B94" s="10" t="s">
        <v>827</v>
      </c>
      <c r="C94" t="str">
        <f>_xlfn.LET(
 _xlpm.dOK,COUNTIF(クラス!A:A,E94)&gt;0,
 _xlpm.eOK,COUNTIF(クラス!A:A,F94)&gt;0,
 IF(_xlpm.dOK,"○","×") &amp; IF(_xlpm.eOK,"○","×")
)</f>
        <v>××</v>
      </c>
    </row>
    <row r="95" spans="1:18" ht="72" hidden="1" outlineLevel="1" x14ac:dyDescent="0.4">
      <c r="A95" s="2" t="s">
        <v>515</v>
      </c>
      <c r="B95" s="10" t="s">
        <v>847</v>
      </c>
      <c r="C95" t="str">
        <f>_xlfn.LET(
 _xlpm.dOK,COUNTIF(クラス!A:A,E95)&gt;0,
 _xlpm.eOK,COUNTIF(クラス!A:A,F95)&gt;0,
 IF(_xlpm.dOK,"○","×") &amp; IF(_xlpm.eOK,"○","×")
)</f>
        <v>○×</v>
      </c>
      <c r="D95" s="10"/>
      <c r="E95" s="10" t="s">
        <v>69</v>
      </c>
      <c r="G95">
        <v>15</v>
      </c>
      <c r="H95">
        <v>30</v>
      </c>
      <c r="R95" t="s">
        <v>1174</v>
      </c>
    </row>
    <row r="96" spans="1:18" hidden="1" outlineLevel="1" x14ac:dyDescent="0.4">
      <c r="A96" s="2" t="s">
        <v>515</v>
      </c>
      <c r="B96" s="10" t="s">
        <v>848</v>
      </c>
      <c r="C96" t="str">
        <f>_xlfn.LET(
 _xlpm.dOK,COUNTIF(クラス!A:A,E96)&gt;0,
 _xlpm.eOK,COUNTIF(クラス!A:A,F96)&gt;0,
 IF(_xlpm.dOK,"○","×") &amp; IF(_xlpm.eOK,"○","×")
)</f>
        <v>××</v>
      </c>
    </row>
    <row r="97" spans="1:18" hidden="1" outlineLevel="1" x14ac:dyDescent="0.4">
      <c r="C97" t="str">
        <f>_xlfn.LET(
 _xlpm.dOK,COUNTIF(クラス!A:A,E97)&gt;0,
 _xlpm.eOK,COUNTIF(クラス!A:A,F97)&gt;0,
 IF(_xlpm.dOK,"○","×") &amp; IF(_xlpm.eOK,"○","×")
)</f>
        <v>××</v>
      </c>
    </row>
    <row r="98" spans="1:18" hidden="1" outlineLevel="1" x14ac:dyDescent="0.4">
      <c r="C98" t="str">
        <f>_xlfn.LET(
 _xlpm.dOK,COUNTIF(クラス!A:A,E98)&gt;0,
 _xlpm.eOK,COUNTIF(クラス!A:A,F98)&gt;0,
 IF(_xlpm.dOK,"○","×") &amp; IF(_xlpm.eOK,"○","×")
)</f>
        <v>××</v>
      </c>
    </row>
    <row r="99" spans="1:18" ht="72" hidden="1" outlineLevel="1" x14ac:dyDescent="0.4">
      <c r="A99" s="2" t="s">
        <v>780</v>
      </c>
      <c r="B99" s="10" t="s">
        <v>847</v>
      </c>
      <c r="C99" t="str">
        <f>_xlfn.LET(
 _xlpm.dOK,COUNTIF(クラス!A:A,E99)&gt;0,
 _xlpm.eOK,COUNTIF(クラス!A:A,F99)&gt;0,
 IF(_xlpm.dOK,"○","×") &amp; IF(_xlpm.eOK,"○","×")
)</f>
        <v>○×</v>
      </c>
      <c r="D99" s="10"/>
      <c r="E99" s="10" t="s">
        <v>69</v>
      </c>
      <c r="G99">
        <v>10</v>
      </c>
      <c r="H99">
        <v>15</v>
      </c>
      <c r="R99" t="s">
        <v>1174</v>
      </c>
    </row>
    <row r="100" spans="1:18" ht="36" hidden="1" outlineLevel="1" x14ac:dyDescent="0.4">
      <c r="A100" s="2" t="s">
        <v>780</v>
      </c>
      <c r="B100" s="10" t="s">
        <v>849</v>
      </c>
      <c r="C100" t="str">
        <f>_xlfn.LET(
 _xlpm.dOK,COUNTIF(クラス!A:A,E100)&gt;0,
 _xlpm.eOK,COUNTIF(クラス!A:A,F100)&gt;0,
 IF(_xlpm.dOK,"○","×") &amp; IF(_xlpm.eOK,"○","×")
)</f>
        <v>××</v>
      </c>
    </row>
    <row r="101" spans="1:18" hidden="1" outlineLevel="1" x14ac:dyDescent="0.4">
      <c r="A101" s="2" t="s">
        <v>780</v>
      </c>
      <c r="B101" s="10" t="s">
        <v>850</v>
      </c>
      <c r="C101" t="str">
        <f>_xlfn.LET(
 _xlpm.dOK,COUNTIF(クラス!A:A,E101)&gt;0,
 _xlpm.eOK,COUNTIF(クラス!A:A,F101)&gt;0,
 IF(_xlpm.dOK,"○","×") &amp; IF(_xlpm.eOK,"○","×")
)</f>
        <v>××</v>
      </c>
    </row>
    <row r="102" spans="1:18" hidden="1" outlineLevel="1" x14ac:dyDescent="0.4">
      <c r="C102" t="str">
        <f>_xlfn.LET(
 _xlpm.dOK,COUNTIF(クラス!A:A,E102)&gt;0,
 _xlpm.eOK,COUNTIF(クラス!A:A,F102)&gt;0,
 IF(_xlpm.dOK,"○","×") &amp; IF(_xlpm.eOK,"○","×")
)</f>
        <v>××</v>
      </c>
    </row>
    <row r="103" spans="1:18" collapsed="1" x14ac:dyDescent="0.4">
      <c r="C103" t="str">
        <f>_xlfn.LET(
 _xlpm.dOK,COUNTIF(クラス!A:A,E103)&gt;0,
 _xlpm.eOK,COUNTIF(クラス!A:A,F103)&gt;0,
 IF(_xlpm.dOK,"○","×") &amp; IF(_xlpm.eOK,"○","×")
)</f>
        <v>××</v>
      </c>
    </row>
    <row r="104" spans="1:18" ht="36" x14ac:dyDescent="0.4">
      <c r="A104" s="2" t="s">
        <v>514</v>
      </c>
      <c r="B104" s="10" t="s">
        <v>825</v>
      </c>
      <c r="C104" t="str">
        <f>_xlfn.LET(
 _xlpm.dOK,COUNTIF(クラス!A:A,E104)&gt;0,
 _xlpm.eOK,COUNTIF(クラス!A:A,F104)&gt;0,
 IF(_xlpm.dOK,"○","×") &amp; IF(_xlpm.eOK,"○","×")
)</f>
        <v>××</v>
      </c>
    </row>
    <row r="105" spans="1:18" hidden="1" outlineLevel="1" x14ac:dyDescent="0.4">
      <c r="A105" s="2" t="s">
        <v>514</v>
      </c>
      <c r="B105" s="10" t="s">
        <v>846</v>
      </c>
      <c r="C105" t="str">
        <f>_xlfn.LET(
 _xlpm.dOK,COUNTIF(クラス!A:A,E105)&gt;0,
 _xlpm.eOK,COUNTIF(クラス!A:A,F105)&gt;0,
 IF(_xlpm.dOK,"○","×") &amp; IF(_xlpm.eOK,"○","×")
)</f>
        <v>××</v>
      </c>
    </row>
    <row r="106" spans="1:18" ht="36" hidden="1" outlineLevel="1" x14ac:dyDescent="0.4">
      <c r="A106" s="2" t="s">
        <v>514</v>
      </c>
      <c r="B106" s="10" t="s">
        <v>851</v>
      </c>
      <c r="C106" t="str">
        <f>_xlfn.LET(
 _xlpm.dOK,COUNTIF(クラス!A:A,E106)&gt;0,
 _xlpm.eOK,COUNTIF(クラス!A:A,F106)&gt;0,
 IF(_xlpm.dOK,"○","×") &amp; IF(_xlpm.eOK,"○","×")
)</f>
        <v>××</v>
      </c>
    </row>
    <row r="107" spans="1:18" ht="72" hidden="1" outlineLevel="1" x14ac:dyDescent="0.4">
      <c r="A107" s="2" t="s">
        <v>514</v>
      </c>
      <c r="B107" s="10" t="s">
        <v>71</v>
      </c>
      <c r="C107" t="str">
        <f>_xlfn.LET(
 _xlpm.dOK,COUNTIF(クラス!A:A,E107)&gt;0,
 _xlpm.eOK,COUNTIF(クラス!A:A,F107)&gt;0,
 IF(_xlpm.dOK,"○","×") &amp; IF(_xlpm.eOK,"○","×")
)</f>
        <v>○×</v>
      </c>
      <c r="D107" s="10"/>
      <c r="E107" s="10" t="s">
        <v>71</v>
      </c>
      <c r="G107">
        <v>15</v>
      </c>
      <c r="H107">
        <v>25</v>
      </c>
    </row>
    <row r="108" spans="1:18" hidden="1" outlineLevel="1" x14ac:dyDescent="0.4">
      <c r="C108" t="str">
        <f>_xlfn.LET(
 _xlpm.dOK,COUNTIF(クラス!A:A,E108)&gt;0,
 _xlpm.eOK,COUNTIF(クラス!A:A,F108)&gt;0,
 IF(_xlpm.dOK,"○","×") &amp; IF(_xlpm.eOK,"○","×")
)</f>
        <v>××</v>
      </c>
    </row>
    <row r="109" spans="1:18" hidden="1" outlineLevel="1" x14ac:dyDescent="0.4">
      <c r="C109" t="str">
        <f>_xlfn.LET(
 _xlpm.dOK,COUNTIF(クラス!A:A,E109)&gt;0,
 _xlpm.eOK,COUNTIF(クラス!A:A,F109)&gt;0,
 IF(_xlpm.dOK,"○","×") &amp; IF(_xlpm.eOK,"○","×")
)</f>
        <v>××</v>
      </c>
    </row>
    <row r="110" spans="1:18" hidden="1" outlineLevel="1" x14ac:dyDescent="0.4">
      <c r="C110" t="str">
        <f>_xlfn.LET(
 _xlpm.dOK,COUNTIF(クラス!A:A,E110)&gt;0,
 _xlpm.eOK,COUNTIF(クラス!A:A,F110)&gt;0,
 IF(_xlpm.dOK,"○","×") &amp; IF(_xlpm.eOK,"○","×")
)</f>
        <v>××</v>
      </c>
    </row>
    <row r="111" spans="1:18" hidden="1" outlineLevel="1" x14ac:dyDescent="0.4">
      <c r="C111" t="str">
        <f>_xlfn.LET(
 _xlpm.dOK,COUNTIF(クラス!A:A,E111)&gt;0,
 _xlpm.eOK,COUNTIF(クラス!A:A,F111)&gt;0,
 IF(_xlpm.dOK,"○","×") &amp; IF(_xlpm.eOK,"○","×")
)</f>
        <v>××</v>
      </c>
    </row>
    <row r="112" spans="1:18" hidden="1" outlineLevel="1" x14ac:dyDescent="0.4">
      <c r="C112" t="str">
        <f>_xlfn.LET(
 _xlpm.dOK,COUNTIF(クラス!A:A,E112)&gt;0,
 _xlpm.eOK,COUNTIF(クラス!A:A,F112)&gt;0,
 IF(_xlpm.dOK,"○","×") &amp; IF(_xlpm.eOK,"○","×")
)</f>
        <v>××</v>
      </c>
    </row>
    <row r="113" spans="3:3" hidden="1" outlineLevel="1" x14ac:dyDescent="0.4">
      <c r="C113" t="str">
        <f>_xlfn.LET(
 _xlpm.dOK,COUNTIF(クラス!A:A,E113)&gt;0,
 _xlpm.eOK,COUNTIF(クラス!A:A,F113)&gt;0,
 IF(_xlpm.dOK,"○","×") &amp; IF(_xlpm.eOK,"○","×")
)</f>
        <v>××</v>
      </c>
    </row>
    <row r="114" spans="3:3" hidden="1" outlineLevel="1" x14ac:dyDescent="0.4">
      <c r="C114" t="str">
        <f>_xlfn.LET(
 _xlpm.dOK,COUNTIF(クラス!A:A,E114)&gt;0,
 _xlpm.eOK,COUNTIF(クラス!A:A,F114)&gt;0,
 IF(_xlpm.dOK,"○","×") &amp; IF(_xlpm.eOK,"○","×")
)</f>
        <v>××</v>
      </c>
    </row>
    <row r="115" spans="3:3" collapsed="1" x14ac:dyDescent="0.4">
      <c r="C115" t="str">
        <f>_xlfn.LET(
 _xlpm.dOK,COUNTIF(クラス!A:A,E115)&gt;0,
 _xlpm.eOK,COUNTIF(クラス!A:A,F115)&gt;0,
 IF(_xlpm.dOK,"○","×") &amp; IF(_xlpm.eOK,"○","×")
)</f>
        <v>××</v>
      </c>
    </row>
    <row r="116" spans="3:3" x14ac:dyDescent="0.4">
      <c r="C116" t="str">
        <f>_xlfn.LET(
 _xlpm.dOK,COUNTIF(クラス!A:A,E116)&gt;0,
 _xlpm.eOK,COUNTIF(クラス!A:A,F116)&gt;0,
 IF(_xlpm.dOK,"○","×") &amp; IF(_xlpm.eOK,"○","×")
)</f>
        <v>××</v>
      </c>
    </row>
    <row r="117" spans="3:3" x14ac:dyDescent="0.4">
      <c r="C117" t="str">
        <f>_xlfn.LET(
 _xlpm.dOK,COUNTIF(クラス!A:A,E117)&gt;0,
 _xlpm.eOK,COUNTIF(クラス!A:A,F117)&gt;0,
 IF(_xlpm.dOK,"○","×") &amp; IF(_xlpm.eOK,"○","×")
)</f>
        <v>××</v>
      </c>
    </row>
    <row r="118" spans="3:3" x14ac:dyDescent="0.4">
      <c r="C118" t="str">
        <f>_xlfn.LET(
 _xlpm.dOK,COUNTIF(クラス!A:A,E118)&gt;0,
 _xlpm.eOK,COUNTIF(クラス!A:A,F118)&gt;0,
 IF(_xlpm.dOK,"○","×") &amp; IF(_xlpm.eOK,"○","×")
)</f>
        <v>××</v>
      </c>
    </row>
    <row r="119" spans="3:3" x14ac:dyDescent="0.4">
      <c r="C119" t="str">
        <f>IFERROR(_xlfn.LET(_xlpm.v,
VLOOKUP($B119,クラス!$A:$B,1,FALSE),
IF(_xlpm.v=0,"",_xlpm.v)
),"")</f>
        <v/>
      </c>
    </row>
    <row r="120" spans="3:3" x14ac:dyDescent="0.4">
      <c r="C120" t="str">
        <f>IFERROR(_xlfn.LET(_xlpm.v,
VLOOKUP($B120,クラス!$A:$B,1,FALSE),
IF(_xlpm.v=0,"",_xlpm.v)
),"")</f>
        <v/>
      </c>
    </row>
    <row r="121" spans="3:3" x14ac:dyDescent="0.4">
      <c r="C121" t="str">
        <f>IFERROR(_xlfn.LET(_xlpm.v,
VLOOKUP($B121,クラス!$A:$B,1,FALSE),
IF(_xlpm.v=0,"",_xlpm.v)
),"")</f>
        <v/>
      </c>
    </row>
    <row r="122" spans="3:3" x14ac:dyDescent="0.4">
      <c r="C122" t="str">
        <f>IFERROR(_xlfn.LET(_xlpm.v,
VLOOKUP($B122,クラス!$A:$B,1,FALSE),
IF(_xlpm.v=0,"",_xlpm.v)
),"")</f>
        <v/>
      </c>
    </row>
    <row r="123" spans="3:3" x14ac:dyDescent="0.4">
      <c r="C123" t="str">
        <f>IFERROR(_xlfn.LET(_xlpm.v,
VLOOKUP($B123,クラス!$A:$B,1,FALSE),
IF(_xlpm.v=0,"",_xlpm.v)
),"")</f>
        <v/>
      </c>
    </row>
    <row r="124" spans="3:3" x14ac:dyDescent="0.4">
      <c r="C124" t="str">
        <f>IFERROR(_xlfn.LET(_xlpm.v,
VLOOKUP($B124,クラス!$A:$B,1,FALSE),
IF(_xlpm.v=0,"",_xlpm.v)
),"")</f>
        <v/>
      </c>
    </row>
    <row r="125" spans="3:3" x14ac:dyDescent="0.4">
      <c r="C125" t="str">
        <f>IFERROR(_xlfn.LET(_xlpm.v,
VLOOKUP($B125,クラス!$A:$B,1,FALSE),
IF(_xlpm.v=0,"",_xlpm.v)
),"")</f>
        <v/>
      </c>
    </row>
    <row r="126" spans="3:3" x14ac:dyDescent="0.4">
      <c r="C126" t="str">
        <f>IFERROR(_xlfn.LET(_xlpm.v,
VLOOKUP($B126,クラス!$A:$B,1,FALSE),
IF(_xlpm.v=0,"",_xlpm.v)
),"")</f>
        <v/>
      </c>
    </row>
    <row r="127" spans="3:3" x14ac:dyDescent="0.4">
      <c r="C127" t="str">
        <f>IFERROR(_xlfn.LET(_xlpm.v,
VLOOKUP($B127,クラス!$A:$B,1,FALSE),
IF(_xlpm.v=0,"",_xlpm.v)
),"")</f>
        <v/>
      </c>
    </row>
    <row r="128" spans="3:3"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B34"/>
  <sheetViews>
    <sheetView workbookViewId="0"/>
  </sheetViews>
  <sheetFormatPr defaultRowHeight="18.75" x14ac:dyDescent="0.4"/>
  <cols>
    <col min="1" max="1" width="10.875" style="17" bestFit="1" customWidth="1"/>
    <col min="2" max="2" width="32.125" style="17" customWidth="1"/>
  </cols>
  <sheetData>
    <row r="1" spans="1:2" x14ac:dyDescent="0.4">
      <c r="A1" s="17" t="s">
        <v>552</v>
      </c>
      <c r="B1" s="17" t="s">
        <v>165</v>
      </c>
    </row>
    <row r="2" spans="1:2" x14ac:dyDescent="0.4">
      <c r="A2" s="17" t="s">
        <v>553</v>
      </c>
      <c r="B2" s="17" t="s">
        <v>81</v>
      </c>
    </row>
    <row r="3" spans="1:2" ht="56.25" x14ac:dyDescent="0.4">
      <c r="A3" s="17" t="s">
        <v>554</v>
      </c>
      <c r="B3" s="17" t="s">
        <v>584</v>
      </c>
    </row>
    <row r="4" spans="1:2" ht="37.5" x14ac:dyDescent="0.4">
      <c r="A4" s="17" t="s">
        <v>499</v>
      </c>
      <c r="B4" s="17" t="s">
        <v>581</v>
      </c>
    </row>
    <row r="5" spans="1:2" x14ac:dyDescent="0.4">
      <c r="A5" s="17" t="s">
        <v>555</v>
      </c>
      <c r="B5" s="17" t="s">
        <v>580</v>
      </c>
    </row>
    <row r="6" spans="1:2" ht="37.5" x14ac:dyDescent="0.4">
      <c r="A6" s="17" t="s">
        <v>556</v>
      </c>
      <c r="B6" s="17" t="s">
        <v>583</v>
      </c>
    </row>
    <row r="7" spans="1:2" ht="75" x14ac:dyDescent="0.4">
      <c r="A7" s="17" t="s">
        <v>500</v>
      </c>
      <c r="B7" s="17" t="s">
        <v>579</v>
      </c>
    </row>
    <row r="8" spans="1:2" ht="37.5" x14ac:dyDescent="0.4">
      <c r="A8" s="17" t="s">
        <v>557</v>
      </c>
      <c r="B8" s="17" t="s">
        <v>582</v>
      </c>
    </row>
    <row r="9" spans="1:2" x14ac:dyDescent="0.4">
      <c r="A9" s="17" t="s">
        <v>558</v>
      </c>
      <c r="B9" s="17" t="s">
        <v>578</v>
      </c>
    </row>
    <row r="10" spans="1:2" x14ac:dyDescent="0.4">
      <c r="A10" s="17" t="s">
        <v>559</v>
      </c>
      <c r="B10" s="17" t="s">
        <v>577</v>
      </c>
    </row>
    <row r="11" spans="1:2" x14ac:dyDescent="0.4">
      <c r="A11" s="17" t="s">
        <v>560</v>
      </c>
      <c r="B11" s="17" t="s">
        <v>561</v>
      </c>
    </row>
    <row r="12" spans="1:2" x14ac:dyDescent="0.4">
      <c r="A12" s="17" t="s">
        <v>562</v>
      </c>
      <c r="B12" s="17" t="s">
        <v>563</v>
      </c>
    </row>
    <row r="15" spans="1:2" x14ac:dyDescent="0.4">
      <c r="A15" s="17" t="s">
        <v>553</v>
      </c>
      <c r="B15" s="17" t="s">
        <v>81</v>
      </c>
    </row>
    <row r="16" spans="1:2" x14ac:dyDescent="0.4">
      <c r="A16" s="17" t="s">
        <v>586</v>
      </c>
      <c r="B16" s="17" t="s">
        <v>585</v>
      </c>
    </row>
    <row r="17" spans="1:2" x14ac:dyDescent="0.4">
      <c r="A17" s="17" t="s">
        <v>564</v>
      </c>
      <c r="B17" s="17" t="s">
        <v>591</v>
      </c>
    </row>
    <row r="18" spans="1:2" x14ac:dyDescent="0.4">
      <c r="A18" s="17" t="s">
        <v>565</v>
      </c>
      <c r="B18" s="17" t="s">
        <v>590</v>
      </c>
    </row>
    <row r="19" spans="1:2" ht="37.5" x14ac:dyDescent="0.4">
      <c r="A19" s="17" t="s">
        <v>566</v>
      </c>
      <c r="B19" s="17" t="s">
        <v>592</v>
      </c>
    </row>
    <row r="20" spans="1:2" ht="56.25" x14ac:dyDescent="0.4">
      <c r="A20" s="17" t="s">
        <v>593</v>
      </c>
      <c r="B20" s="17" t="s">
        <v>594</v>
      </c>
    </row>
    <row r="21" spans="1:2" x14ac:dyDescent="0.4">
      <c r="A21" s="17" t="s">
        <v>567</v>
      </c>
      <c r="B21" s="17" t="s">
        <v>589</v>
      </c>
    </row>
    <row r="22" spans="1:2" x14ac:dyDescent="0.4">
      <c r="A22" s="17" t="s">
        <v>587</v>
      </c>
      <c r="B22" s="17" t="s">
        <v>588</v>
      </c>
    </row>
    <row r="25" spans="1:2" x14ac:dyDescent="0.4">
      <c r="A25" s="17" t="s">
        <v>553</v>
      </c>
      <c r="B25" s="17" t="s">
        <v>81</v>
      </c>
    </row>
    <row r="26" spans="1:2" x14ac:dyDescent="0.4">
      <c r="A26" s="17" t="s">
        <v>568</v>
      </c>
      <c r="B26" s="17" t="s">
        <v>600</v>
      </c>
    </row>
    <row r="27" spans="1:2" ht="56.25" x14ac:dyDescent="0.4">
      <c r="A27" s="17" t="s">
        <v>569</v>
      </c>
      <c r="B27" s="17" t="s">
        <v>601</v>
      </c>
    </row>
    <row r="28" spans="1:2" ht="37.5" x14ac:dyDescent="0.4">
      <c r="A28" s="17" t="s">
        <v>570</v>
      </c>
      <c r="B28" s="17" t="s">
        <v>595</v>
      </c>
    </row>
    <row r="29" spans="1:2" ht="37.5" x14ac:dyDescent="0.4">
      <c r="A29" s="17" t="s">
        <v>571</v>
      </c>
      <c r="B29" s="17" t="s">
        <v>596</v>
      </c>
    </row>
    <row r="30" spans="1:2" x14ac:dyDescent="0.4">
      <c r="A30" s="17" t="s">
        <v>572</v>
      </c>
      <c r="B30" s="17" t="s">
        <v>573</v>
      </c>
    </row>
    <row r="31" spans="1:2" x14ac:dyDescent="0.4">
      <c r="A31" s="17" t="s">
        <v>574</v>
      </c>
      <c r="B31" s="17" t="s">
        <v>575</v>
      </c>
    </row>
    <row r="32" spans="1:2" x14ac:dyDescent="0.4">
      <c r="A32" s="17" t="s">
        <v>597</v>
      </c>
      <c r="B32" s="17" t="s">
        <v>598</v>
      </c>
    </row>
    <row r="34" spans="1:2" x14ac:dyDescent="0.4">
      <c r="A34" s="17" t="s">
        <v>576</v>
      </c>
      <c r="B34" s="17" t="s">
        <v>602</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D49"/>
  <sheetViews>
    <sheetView workbookViewId="0">
      <selection activeCell="D8" sqref="D8"/>
    </sheetView>
  </sheetViews>
  <sheetFormatPr defaultRowHeight="18.75" x14ac:dyDescent="0.4"/>
  <cols>
    <col min="1" max="1" width="11.375" customWidth="1"/>
    <col min="3" max="3" width="46" style="17" customWidth="1"/>
    <col min="4" max="4" width="7.5" customWidth="1"/>
    <col min="5" max="18" width="4.875" customWidth="1"/>
  </cols>
  <sheetData>
    <row r="1" spans="1:4" x14ac:dyDescent="0.4">
      <c r="A1" t="s">
        <v>985</v>
      </c>
      <c r="B1" t="s">
        <v>664</v>
      </c>
      <c r="C1" s="17" t="s">
        <v>665</v>
      </c>
      <c r="D1" t="s">
        <v>1007</v>
      </c>
    </row>
    <row r="2" spans="1:4" x14ac:dyDescent="0.4">
      <c r="A2" t="s">
        <v>619</v>
      </c>
      <c r="B2" t="s">
        <v>666</v>
      </c>
      <c r="C2" s="17" t="s">
        <v>667</v>
      </c>
    </row>
    <row r="3" spans="1:4" ht="37.5" x14ac:dyDescent="0.4">
      <c r="A3" t="s">
        <v>620</v>
      </c>
      <c r="B3" t="s">
        <v>1266</v>
      </c>
      <c r="C3" s="17" t="s">
        <v>668</v>
      </c>
    </row>
    <row r="4" spans="1:4" x14ac:dyDescent="0.4">
      <c r="A4" t="s">
        <v>1003</v>
      </c>
      <c r="B4" t="s">
        <v>1265</v>
      </c>
      <c r="C4" s="17" t="s">
        <v>1008</v>
      </c>
      <c r="D4" t="s">
        <v>1278</v>
      </c>
    </row>
    <row r="5" spans="1:4" ht="37.5" x14ac:dyDescent="0.4">
      <c r="A5" t="s">
        <v>622</v>
      </c>
      <c r="B5" t="s">
        <v>1265</v>
      </c>
      <c r="C5" s="17" t="s">
        <v>669</v>
      </c>
      <c r="D5" t="s">
        <v>1044</v>
      </c>
    </row>
    <row r="6" spans="1:4" ht="37.5" x14ac:dyDescent="0.4">
      <c r="A6" t="s">
        <v>623</v>
      </c>
      <c r="B6" t="s">
        <v>1265</v>
      </c>
      <c r="C6" s="17" t="s">
        <v>670</v>
      </c>
      <c r="D6" t="s">
        <v>6</v>
      </c>
    </row>
    <row r="7" spans="1:4" ht="37.5" x14ac:dyDescent="0.4">
      <c r="A7" t="s">
        <v>621</v>
      </c>
      <c r="B7" t="s">
        <v>1265</v>
      </c>
      <c r="C7" s="17" t="s">
        <v>1005</v>
      </c>
      <c r="D7" t="s">
        <v>0</v>
      </c>
    </row>
    <row r="8" spans="1:4" ht="37.5" x14ac:dyDescent="0.4">
      <c r="A8" t="s">
        <v>1004</v>
      </c>
      <c r="B8" t="s">
        <v>1265</v>
      </c>
      <c r="C8" s="17" t="s">
        <v>1006</v>
      </c>
      <c r="D8" t="s">
        <v>231</v>
      </c>
    </row>
    <row r="9" spans="1:4" x14ac:dyDescent="0.4">
      <c r="A9" t="s">
        <v>624</v>
      </c>
      <c r="B9" t="s">
        <v>624</v>
      </c>
      <c r="C9" s="17" t="s">
        <v>671</v>
      </c>
    </row>
    <row r="10" spans="1:4" x14ac:dyDescent="0.4">
      <c r="A10" t="s">
        <v>1246</v>
      </c>
      <c r="B10" t="s">
        <v>624</v>
      </c>
      <c r="C10" s="17" t="s">
        <v>1267</v>
      </c>
    </row>
    <row r="11" spans="1:4" x14ac:dyDescent="0.4">
      <c r="A11" t="s">
        <v>625</v>
      </c>
      <c r="B11" t="s">
        <v>624</v>
      </c>
      <c r="C11" s="17" t="s">
        <v>672</v>
      </c>
    </row>
    <row r="12" spans="1:4" x14ac:dyDescent="0.4">
      <c r="A12" t="s">
        <v>626</v>
      </c>
      <c r="B12" t="s">
        <v>673</v>
      </c>
      <c r="C12" s="17" t="s">
        <v>674</v>
      </c>
    </row>
    <row r="13" spans="1:4" ht="37.5" x14ac:dyDescent="0.4">
      <c r="A13" t="s">
        <v>627</v>
      </c>
      <c r="B13" t="s">
        <v>675</v>
      </c>
      <c r="C13" s="17" t="s">
        <v>991</v>
      </c>
    </row>
    <row r="14" spans="1:4" x14ac:dyDescent="0.4">
      <c r="A14" t="s">
        <v>775</v>
      </c>
    </row>
    <row r="15" spans="1:4" x14ac:dyDescent="0.4">
      <c r="A15" t="s">
        <v>1264</v>
      </c>
      <c r="B15" t="s">
        <v>1272</v>
      </c>
      <c r="C15" s="17" t="s">
        <v>1273</v>
      </c>
    </row>
    <row r="16" spans="1:4" x14ac:dyDescent="0.4">
      <c r="A16" t="s">
        <v>1068</v>
      </c>
      <c r="B16" t="s">
        <v>1272</v>
      </c>
      <c r="C16" s="17" t="s">
        <v>1274</v>
      </c>
    </row>
    <row r="17" spans="1:3" x14ac:dyDescent="0.4">
      <c r="A17" t="s">
        <v>629</v>
      </c>
      <c r="B17" t="s">
        <v>678</v>
      </c>
      <c r="C17" s="17" t="s">
        <v>679</v>
      </c>
    </row>
    <row r="18" spans="1:3" ht="37.5" x14ac:dyDescent="0.4">
      <c r="A18" t="s">
        <v>632</v>
      </c>
      <c r="B18" t="s">
        <v>694</v>
      </c>
      <c r="C18" s="17" t="s">
        <v>986</v>
      </c>
    </row>
    <row r="19" spans="1:3" x14ac:dyDescent="0.4">
      <c r="A19" t="s">
        <v>628</v>
      </c>
      <c r="B19" t="s">
        <v>676</v>
      </c>
      <c r="C19" s="17" t="s">
        <v>677</v>
      </c>
    </row>
    <row r="20" spans="1:3" ht="37.5" x14ac:dyDescent="0.4">
      <c r="A20" t="s">
        <v>773</v>
      </c>
      <c r="B20" t="s">
        <v>676</v>
      </c>
      <c r="C20" s="17" t="s">
        <v>774</v>
      </c>
    </row>
    <row r="21" spans="1:3" x14ac:dyDescent="0.4">
      <c r="A21" t="s">
        <v>633</v>
      </c>
      <c r="B21" t="s">
        <v>695</v>
      </c>
      <c r="C21" s="17" t="s">
        <v>696</v>
      </c>
    </row>
    <row r="22" spans="1:3" x14ac:dyDescent="0.4">
      <c r="A22" t="s">
        <v>216</v>
      </c>
      <c r="B22" t="s">
        <v>1268</v>
      </c>
      <c r="C22" s="17" t="s">
        <v>1269</v>
      </c>
    </row>
    <row r="23" spans="1:3" x14ac:dyDescent="0.4">
      <c r="A23" t="s">
        <v>1247</v>
      </c>
      <c r="C23" s="17" t="s">
        <v>1271</v>
      </c>
    </row>
    <row r="24" spans="1:3" x14ac:dyDescent="0.4">
      <c r="A24" t="s">
        <v>1248</v>
      </c>
      <c r="C24" s="17" t="s">
        <v>1270</v>
      </c>
    </row>
    <row r="26" spans="1:3" x14ac:dyDescent="0.4">
      <c r="A26" t="s">
        <v>632</v>
      </c>
    </row>
    <row r="28" spans="1:3" x14ac:dyDescent="0.4">
      <c r="A28" t="s">
        <v>1245</v>
      </c>
    </row>
    <row r="29" spans="1:3" x14ac:dyDescent="0.4">
      <c r="A29" s="43" t="s">
        <v>479</v>
      </c>
      <c r="B29" t="s">
        <v>630</v>
      </c>
      <c r="C29" s="17" t="s">
        <v>680</v>
      </c>
    </row>
    <row r="30" spans="1:3" x14ac:dyDescent="0.4">
      <c r="A30" s="43" t="s">
        <v>480</v>
      </c>
      <c r="B30" t="s">
        <v>630</v>
      </c>
      <c r="C30" s="17" t="s">
        <v>681</v>
      </c>
    </row>
    <row r="31" spans="1:3" x14ac:dyDescent="0.4">
      <c r="A31" s="43" t="s">
        <v>481</v>
      </c>
      <c r="B31" t="s">
        <v>630</v>
      </c>
      <c r="C31" s="17" t="s">
        <v>682</v>
      </c>
    </row>
    <row r="32" spans="1:3" x14ac:dyDescent="0.4">
      <c r="A32" s="43" t="s">
        <v>482</v>
      </c>
      <c r="B32" t="s">
        <v>630</v>
      </c>
      <c r="C32" s="17" t="s">
        <v>683</v>
      </c>
    </row>
    <row r="33" spans="1:3" x14ac:dyDescent="0.4">
      <c r="A33" s="42" t="s">
        <v>483</v>
      </c>
      <c r="B33" t="s">
        <v>483</v>
      </c>
      <c r="C33" s="17" t="s">
        <v>684</v>
      </c>
    </row>
    <row r="34" spans="1:3" x14ac:dyDescent="0.4">
      <c r="A34" s="42" t="s">
        <v>484</v>
      </c>
      <c r="B34" t="s">
        <v>483</v>
      </c>
      <c r="C34" s="17" t="s">
        <v>685</v>
      </c>
    </row>
    <row r="35" spans="1:3" x14ac:dyDescent="0.4">
      <c r="A35" s="42" t="s">
        <v>485</v>
      </c>
      <c r="B35" t="s">
        <v>483</v>
      </c>
      <c r="C35" s="17" t="s">
        <v>686</v>
      </c>
    </row>
    <row r="36" spans="1:3" x14ac:dyDescent="0.4">
      <c r="A36" s="44" t="s">
        <v>486</v>
      </c>
      <c r="B36" t="s">
        <v>486</v>
      </c>
      <c r="C36" s="17" t="s">
        <v>687</v>
      </c>
    </row>
    <row r="37" spans="1:3" x14ac:dyDescent="0.4">
      <c r="A37" s="44" t="s">
        <v>487</v>
      </c>
      <c r="B37" t="s">
        <v>1001</v>
      </c>
      <c r="C37" s="17" t="s">
        <v>688</v>
      </c>
    </row>
    <row r="38" spans="1:3" x14ac:dyDescent="0.4">
      <c r="A38" s="44" t="s">
        <v>488</v>
      </c>
      <c r="B38" t="s">
        <v>631</v>
      </c>
      <c r="C38" s="17" t="s">
        <v>1017</v>
      </c>
    </row>
    <row r="39" spans="1:3" x14ac:dyDescent="0.4">
      <c r="A39" s="44" t="s">
        <v>489</v>
      </c>
      <c r="B39" t="s">
        <v>631</v>
      </c>
      <c r="C39" s="17" t="s">
        <v>689</v>
      </c>
    </row>
    <row r="40" spans="1:3" x14ac:dyDescent="0.4">
      <c r="A40" s="44" t="s">
        <v>490</v>
      </c>
      <c r="B40" t="s">
        <v>631</v>
      </c>
      <c r="C40" s="17" t="s">
        <v>690</v>
      </c>
    </row>
    <row r="41" spans="1:3" x14ac:dyDescent="0.4">
      <c r="A41" s="36" t="s">
        <v>491</v>
      </c>
      <c r="B41" t="s">
        <v>1000</v>
      </c>
      <c r="C41" s="17" t="s">
        <v>691</v>
      </c>
    </row>
    <row r="42" spans="1:3" x14ac:dyDescent="0.4">
      <c r="A42" s="36" t="s">
        <v>492</v>
      </c>
      <c r="B42" t="s">
        <v>634</v>
      </c>
      <c r="C42" s="17" t="s">
        <v>692</v>
      </c>
    </row>
    <row r="43" spans="1:3" x14ac:dyDescent="0.4">
      <c r="A43" s="36" t="s">
        <v>493</v>
      </c>
      <c r="B43" t="s">
        <v>493</v>
      </c>
      <c r="C43" s="17" t="s">
        <v>693</v>
      </c>
    </row>
    <row r="44" spans="1:3" x14ac:dyDescent="0.4">
      <c r="A44" s="56" t="s">
        <v>949</v>
      </c>
      <c r="B44" t="s">
        <v>1018</v>
      </c>
      <c r="C44" s="17" t="s">
        <v>1019</v>
      </c>
    </row>
    <row r="45" spans="1:3" x14ac:dyDescent="0.4">
      <c r="A45" s="56" t="s">
        <v>946</v>
      </c>
      <c r="B45" t="s">
        <v>1018</v>
      </c>
      <c r="C45" s="17" t="s">
        <v>1020</v>
      </c>
    </row>
    <row r="46" spans="1:3" x14ac:dyDescent="0.4">
      <c r="A46" t="s">
        <v>950</v>
      </c>
    </row>
    <row r="47" spans="1:3" x14ac:dyDescent="0.4">
      <c r="A47" s="36" t="s">
        <v>951</v>
      </c>
    </row>
    <row r="48" spans="1:3" x14ac:dyDescent="0.4">
      <c r="A48" s="36" t="s">
        <v>952</v>
      </c>
    </row>
    <row r="49" spans="1:1" x14ac:dyDescent="0.4">
      <c r="A49" s="36" t="s">
        <v>953</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517</v>
      </c>
      <c r="B1" s="41" t="s">
        <v>603</v>
      </c>
      <c r="C1" t="s">
        <v>518</v>
      </c>
      <c r="D1" t="s">
        <v>160</v>
      </c>
      <c r="E1" t="s">
        <v>519</v>
      </c>
      <c r="F1" t="s">
        <v>520</v>
      </c>
    </row>
    <row r="2" spans="1:6" x14ac:dyDescent="0.4">
      <c r="A2" t="s">
        <v>522</v>
      </c>
      <c r="B2" s="40" t="s">
        <v>521</v>
      </c>
      <c r="C2" t="s">
        <v>523</v>
      </c>
      <c r="D2" t="s">
        <v>615</v>
      </c>
      <c r="E2" t="s">
        <v>524</v>
      </c>
      <c r="F2" t="s">
        <v>525</v>
      </c>
    </row>
    <row r="3" spans="1:6" x14ac:dyDescent="0.4">
      <c r="A3" t="s">
        <v>526</v>
      </c>
      <c r="B3" s="40" t="s">
        <v>521</v>
      </c>
      <c r="C3" t="s">
        <v>523</v>
      </c>
      <c r="D3" t="s">
        <v>614</v>
      </c>
      <c r="E3" t="s">
        <v>524</v>
      </c>
      <c r="F3" t="s">
        <v>525</v>
      </c>
    </row>
    <row r="4" spans="1:6" x14ac:dyDescent="0.4">
      <c r="A4" t="s">
        <v>527</v>
      </c>
      <c r="B4" s="40" t="s">
        <v>521</v>
      </c>
      <c r="C4" t="s">
        <v>523</v>
      </c>
      <c r="D4" t="s">
        <v>613</v>
      </c>
      <c r="E4" t="s">
        <v>524</v>
      </c>
      <c r="F4" t="s">
        <v>525</v>
      </c>
    </row>
    <row r="5" spans="1:6" x14ac:dyDescent="0.4">
      <c r="A5" t="s">
        <v>528</v>
      </c>
      <c r="B5" s="40" t="s">
        <v>521</v>
      </c>
      <c r="C5" t="s">
        <v>523</v>
      </c>
      <c r="D5" t="s">
        <v>612</v>
      </c>
      <c r="E5" t="s">
        <v>524</v>
      </c>
      <c r="F5" t="s">
        <v>525</v>
      </c>
    </row>
    <row r="6" spans="1:6" x14ac:dyDescent="0.4">
      <c r="A6" t="s">
        <v>529</v>
      </c>
      <c r="B6" s="40" t="s">
        <v>521</v>
      </c>
      <c r="C6" t="s">
        <v>523</v>
      </c>
      <c r="D6" t="s">
        <v>611</v>
      </c>
      <c r="E6" t="s">
        <v>524</v>
      </c>
      <c r="F6" t="s">
        <v>525</v>
      </c>
    </row>
    <row r="7" spans="1:6" x14ac:dyDescent="0.4">
      <c r="A7" t="s">
        <v>530</v>
      </c>
      <c r="B7" s="40" t="s">
        <v>521</v>
      </c>
      <c r="C7" t="s">
        <v>523</v>
      </c>
      <c r="D7" t="s">
        <v>610</v>
      </c>
      <c r="E7" t="s">
        <v>524</v>
      </c>
      <c r="F7" t="s">
        <v>525</v>
      </c>
    </row>
    <row r="8" spans="1:6" x14ac:dyDescent="0.4">
      <c r="A8" t="s">
        <v>531</v>
      </c>
      <c r="B8" s="40" t="s">
        <v>521</v>
      </c>
      <c r="C8" t="s">
        <v>523</v>
      </c>
      <c r="D8" t="s">
        <v>609</v>
      </c>
      <c r="E8" t="s">
        <v>524</v>
      </c>
      <c r="F8" t="s">
        <v>525</v>
      </c>
    </row>
    <row r="9" spans="1:6" x14ac:dyDescent="0.4">
      <c r="A9" t="s">
        <v>532</v>
      </c>
      <c r="B9" s="40" t="s">
        <v>521</v>
      </c>
      <c r="C9" t="s">
        <v>523</v>
      </c>
      <c r="E9" t="s">
        <v>524</v>
      </c>
      <c r="F9" t="s">
        <v>525</v>
      </c>
    </row>
    <row r="10" spans="1:6" x14ac:dyDescent="0.4">
      <c r="A10" t="s">
        <v>533</v>
      </c>
      <c r="B10" s="40" t="s">
        <v>521</v>
      </c>
      <c r="C10" t="s">
        <v>523</v>
      </c>
      <c r="D10" t="s">
        <v>604</v>
      </c>
      <c r="E10" t="s">
        <v>524</v>
      </c>
      <c r="F10" t="s">
        <v>525</v>
      </c>
    </row>
    <row r="11" spans="1:6" x14ac:dyDescent="0.4">
      <c r="A11" t="s">
        <v>534</v>
      </c>
      <c r="B11" s="40" t="s">
        <v>521</v>
      </c>
      <c r="C11" t="s">
        <v>523</v>
      </c>
      <c r="D11" t="s">
        <v>608</v>
      </c>
      <c r="E11" t="s">
        <v>524</v>
      </c>
      <c r="F11" t="s">
        <v>525</v>
      </c>
    </row>
    <row r="12" spans="1:6" x14ac:dyDescent="0.4">
      <c r="A12" t="s">
        <v>535</v>
      </c>
      <c r="B12" s="40" t="s">
        <v>521</v>
      </c>
      <c r="C12" t="s">
        <v>523</v>
      </c>
      <c r="D12" t="s">
        <v>605</v>
      </c>
      <c r="E12" t="s">
        <v>524</v>
      </c>
      <c r="F12" t="s">
        <v>525</v>
      </c>
    </row>
    <row r="13" spans="1:6" x14ac:dyDescent="0.4">
      <c r="A13" t="s">
        <v>536</v>
      </c>
      <c r="B13" s="40" t="s">
        <v>521</v>
      </c>
      <c r="C13" t="s">
        <v>523</v>
      </c>
      <c r="E13" t="s">
        <v>524</v>
      </c>
      <c r="F13" t="s">
        <v>525</v>
      </c>
    </row>
    <row r="14" spans="1:6" x14ac:dyDescent="0.4">
      <c r="A14" t="s">
        <v>537</v>
      </c>
      <c r="B14" s="40" t="s">
        <v>521</v>
      </c>
      <c r="C14" t="s">
        <v>523</v>
      </c>
      <c r="D14" t="s">
        <v>606</v>
      </c>
      <c r="E14" t="s">
        <v>524</v>
      </c>
      <c r="F14" t="s">
        <v>525</v>
      </c>
    </row>
    <row r="15" spans="1:6" x14ac:dyDescent="0.4">
      <c r="A15" t="s">
        <v>538</v>
      </c>
      <c r="B15" s="40" t="s">
        <v>521</v>
      </c>
      <c r="C15" t="s">
        <v>523</v>
      </c>
      <c r="D15" t="s">
        <v>607</v>
      </c>
      <c r="E15" t="s">
        <v>524</v>
      </c>
      <c r="F15" t="s">
        <v>525</v>
      </c>
    </row>
    <row r="16" spans="1:6" x14ac:dyDescent="0.4">
      <c r="A16" t="s">
        <v>540</v>
      </c>
      <c r="B16" s="40" t="s">
        <v>539</v>
      </c>
      <c r="C16" t="s">
        <v>541</v>
      </c>
      <c r="E16" t="s">
        <v>542</v>
      </c>
      <c r="F16" t="s">
        <v>543</v>
      </c>
    </row>
    <row r="17" spans="1:6" x14ac:dyDescent="0.4">
      <c r="A17" t="s">
        <v>544</v>
      </c>
      <c r="B17" s="40" t="s">
        <v>539</v>
      </c>
      <c r="C17" t="s">
        <v>541</v>
      </c>
      <c r="E17" t="s">
        <v>542</v>
      </c>
      <c r="F17" t="s">
        <v>543</v>
      </c>
    </row>
    <row r="18" spans="1:6" x14ac:dyDescent="0.4">
      <c r="A18" t="s">
        <v>545</v>
      </c>
      <c r="B18" s="40" t="s">
        <v>539</v>
      </c>
      <c r="C18" t="s">
        <v>541</v>
      </c>
      <c r="E18" t="s">
        <v>542</v>
      </c>
      <c r="F18" t="s">
        <v>543</v>
      </c>
    </row>
    <row r="19" spans="1:6" x14ac:dyDescent="0.4">
      <c r="A19" t="s">
        <v>547</v>
      </c>
      <c r="B19" s="40" t="s">
        <v>546</v>
      </c>
      <c r="C19" t="s">
        <v>548</v>
      </c>
      <c r="D19" t="s">
        <v>616</v>
      </c>
      <c r="E19" t="s">
        <v>549</v>
      </c>
      <c r="F19" t="s">
        <v>525</v>
      </c>
    </row>
    <row r="20" spans="1:6" x14ac:dyDescent="0.4">
      <c r="A20" t="s">
        <v>550</v>
      </c>
      <c r="B20" s="40" t="s">
        <v>546</v>
      </c>
      <c r="C20" t="s">
        <v>548</v>
      </c>
      <c r="D20" t="s">
        <v>617</v>
      </c>
      <c r="E20" t="s">
        <v>549</v>
      </c>
      <c r="F20" t="s">
        <v>525</v>
      </c>
    </row>
    <row r="21" spans="1:6" x14ac:dyDescent="0.4">
      <c r="A21" t="s">
        <v>551</v>
      </c>
      <c r="B21" s="40" t="s">
        <v>546</v>
      </c>
      <c r="C21" t="s">
        <v>548</v>
      </c>
      <c r="D21" t="s">
        <v>618</v>
      </c>
      <c r="E21" t="s">
        <v>549</v>
      </c>
      <c r="F21" t="s">
        <v>525</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516</v>
      </c>
      <c r="B1" t="s">
        <v>517</v>
      </c>
      <c r="C1" t="s">
        <v>518</v>
      </c>
      <c r="D1" t="s">
        <v>773</v>
      </c>
      <c r="E1" t="s">
        <v>777</v>
      </c>
      <c r="F1" t="s">
        <v>778</v>
      </c>
      <c r="G1" t="s">
        <v>779</v>
      </c>
      <c r="H1" t="s">
        <v>519</v>
      </c>
      <c r="I1" t="s">
        <v>520</v>
      </c>
    </row>
    <row r="2" spans="1:9" x14ac:dyDescent="0.4">
      <c r="A2" s="45" t="s">
        <v>635</v>
      </c>
      <c r="B2" t="s">
        <v>636</v>
      </c>
      <c r="C2" t="s">
        <v>637</v>
      </c>
      <c r="D2" s="39">
        <v>-0.15</v>
      </c>
      <c r="H2" t="s">
        <v>776</v>
      </c>
      <c r="I2" t="s">
        <v>525</v>
      </c>
    </row>
    <row r="3" spans="1:9" x14ac:dyDescent="0.4">
      <c r="A3" s="45" t="s">
        <v>635</v>
      </c>
      <c r="B3" t="s">
        <v>639</v>
      </c>
      <c r="C3" t="s">
        <v>637</v>
      </c>
      <c r="H3" t="s">
        <v>638</v>
      </c>
      <c r="I3" t="s">
        <v>525</v>
      </c>
    </row>
    <row r="4" spans="1:9" x14ac:dyDescent="0.4">
      <c r="A4" s="45" t="s">
        <v>635</v>
      </c>
      <c r="B4" t="s">
        <v>640</v>
      </c>
      <c r="C4" t="s">
        <v>637</v>
      </c>
      <c r="H4" t="s">
        <v>638</v>
      </c>
      <c r="I4" t="s">
        <v>525</v>
      </c>
    </row>
    <row r="5" spans="1:9" x14ac:dyDescent="0.4">
      <c r="A5" s="45" t="s">
        <v>635</v>
      </c>
      <c r="B5" t="s">
        <v>641</v>
      </c>
      <c r="C5" t="s">
        <v>637</v>
      </c>
      <c r="H5" t="s">
        <v>638</v>
      </c>
      <c r="I5" t="s">
        <v>525</v>
      </c>
    </row>
    <row r="6" spans="1:9" x14ac:dyDescent="0.4">
      <c r="A6" s="45" t="s">
        <v>635</v>
      </c>
      <c r="B6" t="s">
        <v>642</v>
      </c>
      <c r="C6" t="s">
        <v>637</v>
      </c>
      <c r="H6" t="s">
        <v>638</v>
      </c>
      <c r="I6" t="s">
        <v>525</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517</v>
      </c>
      <c r="B1" t="s">
        <v>518</v>
      </c>
      <c r="C1" t="s">
        <v>519</v>
      </c>
      <c r="D1" t="s">
        <v>520</v>
      </c>
    </row>
    <row r="2" spans="1:4" x14ac:dyDescent="0.4">
      <c r="A2" t="s">
        <v>643</v>
      </c>
      <c r="B2" t="s">
        <v>644</v>
      </c>
      <c r="C2" t="s">
        <v>645</v>
      </c>
      <c r="D2" t="s">
        <v>525</v>
      </c>
    </row>
    <row r="3" spans="1:4" x14ac:dyDescent="0.4">
      <c r="A3" t="s">
        <v>646</v>
      </c>
      <c r="B3" t="s">
        <v>644</v>
      </c>
      <c r="C3" t="s">
        <v>645</v>
      </c>
      <c r="D3" t="s">
        <v>525</v>
      </c>
    </row>
    <row r="4" spans="1:4" x14ac:dyDescent="0.4">
      <c r="A4" t="s">
        <v>647</v>
      </c>
      <c r="B4" t="s">
        <v>644</v>
      </c>
      <c r="C4" t="s">
        <v>645</v>
      </c>
      <c r="D4" t="s">
        <v>525</v>
      </c>
    </row>
    <row r="5" spans="1:4" x14ac:dyDescent="0.4">
      <c r="A5" t="s">
        <v>648</v>
      </c>
      <c r="B5" t="s">
        <v>644</v>
      </c>
      <c r="C5" t="s">
        <v>645</v>
      </c>
      <c r="D5" t="s">
        <v>525</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516</v>
      </c>
      <c r="B1" t="s">
        <v>517</v>
      </c>
      <c r="C1" t="s">
        <v>518</v>
      </c>
      <c r="D1" t="s">
        <v>519</v>
      </c>
      <c r="E1" t="s">
        <v>520</v>
      </c>
      <c r="F1" s="55" t="s">
        <v>1015</v>
      </c>
      <c r="G1" s="55" t="s">
        <v>622</v>
      </c>
      <c r="H1" s="55" t="s">
        <v>623</v>
      </c>
      <c r="I1" s="55" t="s">
        <v>621</v>
      </c>
      <c r="J1" s="55" t="s">
        <v>1004</v>
      </c>
      <c r="K1" s="26" t="s">
        <v>248</v>
      </c>
      <c r="L1" s="26" t="s">
        <v>1</v>
      </c>
      <c r="M1" s="26" t="s">
        <v>2</v>
      </c>
      <c r="N1" s="26" t="s">
        <v>106</v>
      </c>
      <c r="O1" s="26" t="s">
        <v>1278</v>
      </c>
      <c r="P1" s="27" t="s">
        <v>4</v>
      </c>
      <c r="Q1" s="27" t="s">
        <v>3</v>
      </c>
      <c r="R1" s="28" t="s">
        <v>227</v>
      </c>
      <c r="S1" s="28" t="s">
        <v>228</v>
      </c>
      <c r="T1" s="28" t="s">
        <v>229</v>
      </c>
      <c r="U1" s="28" t="s">
        <v>230</v>
      </c>
      <c r="V1" s="29" t="s">
        <v>231</v>
      </c>
      <c r="W1" s="29" t="s">
        <v>5</v>
      </c>
      <c r="X1" s="29" t="s">
        <v>1044</v>
      </c>
      <c r="Y1" s="29" t="s">
        <v>6</v>
      </c>
    </row>
    <row r="2" spans="1:25" x14ac:dyDescent="0.4">
      <c r="F2" s="60" t="s">
        <v>1222</v>
      </c>
      <c r="G2" s="60" t="s">
        <v>1222</v>
      </c>
      <c r="H2" s="60" t="s">
        <v>1222</v>
      </c>
      <c r="I2" s="60" t="s">
        <v>1222</v>
      </c>
      <c r="J2" s="60" t="s">
        <v>1222</v>
      </c>
      <c r="K2" s="26"/>
      <c r="L2" s="26"/>
      <c r="M2" s="26"/>
      <c r="N2" s="26"/>
      <c r="O2" s="26"/>
      <c r="P2" s="27"/>
      <c r="Q2" s="27"/>
      <c r="R2" s="28"/>
      <c r="S2" s="28"/>
      <c r="T2" s="28"/>
      <c r="U2" s="28"/>
      <c r="V2" s="29"/>
      <c r="W2" s="29"/>
      <c r="X2" s="29"/>
      <c r="Y2" s="29"/>
    </row>
    <row r="3" spans="1:25" x14ac:dyDescent="0.4">
      <c r="A3" t="s">
        <v>6</v>
      </c>
      <c r="B3" t="s">
        <v>649</v>
      </c>
      <c r="C3" t="s">
        <v>650</v>
      </c>
      <c r="D3" t="s">
        <v>651</v>
      </c>
      <c r="E3" t="s">
        <v>652</v>
      </c>
    </row>
    <row r="4" spans="1:25" x14ac:dyDescent="0.4">
      <c r="A4" t="s">
        <v>6</v>
      </c>
      <c r="B4" t="s">
        <v>653</v>
      </c>
      <c r="C4" t="s">
        <v>650</v>
      </c>
      <c r="D4" t="s">
        <v>651</v>
      </c>
      <c r="E4" t="s">
        <v>652</v>
      </c>
    </row>
    <row r="5" spans="1:25" x14ac:dyDescent="0.4">
      <c r="A5" t="s">
        <v>6</v>
      </c>
      <c r="B5" t="s">
        <v>654</v>
      </c>
      <c r="C5" t="s">
        <v>650</v>
      </c>
      <c r="D5" t="s">
        <v>651</v>
      </c>
      <c r="E5" t="s">
        <v>652</v>
      </c>
    </row>
    <row r="6" spans="1:25" x14ac:dyDescent="0.4">
      <c r="A6" t="s">
        <v>6</v>
      </c>
      <c r="B6" t="s">
        <v>655</v>
      </c>
      <c r="C6" t="s">
        <v>650</v>
      </c>
      <c r="D6" t="s">
        <v>651</v>
      </c>
      <c r="E6" t="s">
        <v>652</v>
      </c>
    </row>
    <row r="7" spans="1:25" x14ac:dyDescent="0.4">
      <c r="A7" t="s">
        <v>6</v>
      </c>
      <c r="B7" t="s">
        <v>656</v>
      </c>
      <c r="C7" t="s">
        <v>650</v>
      </c>
      <c r="D7" t="s">
        <v>651</v>
      </c>
      <c r="E7" t="s">
        <v>652</v>
      </c>
    </row>
    <row r="8" spans="1:25" x14ac:dyDescent="0.4">
      <c r="A8" t="s">
        <v>6</v>
      </c>
      <c r="B8" t="s">
        <v>657</v>
      </c>
      <c r="C8" t="s">
        <v>650</v>
      </c>
      <c r="D8" t="s">
        <v>651</v>
      </c>
      <c r="E8" t="s">
        <v>652</v>
      </c>
    </row>
    <row r="9" spans="1:25" x14ac:dyDescent="0.4">
      <c r="A9" t="s">
        <v>6</v>
      </c>
      <c r="B9" t="s">
        <v>658</v>
      </c>
      <c r="C9" t="s">
        <v>650</v>
      </c>
      <c r="D9" t="s">
        <v>651</v>
      </c>
      <c r="E9" t="s">
        <v>652</v>
      </c>
    </row>
    <row r="10" spans="1:25" x14ac:dyDescent="0.4">
      <c r="A10" t="s">
        <v>6</v>
      </c>
      <c r="B10" t="s">
        <v>659</v>
      </c>
      <c r="C10" t="s">
        <v>650</v>
      </c>
      <c r="D10" t="s">
        <v>651</v>
      </c>
      <c r="E10" t="s">
        <v>652</v>
      </c>
    </row>
    <row r="11" spans="1:25" x14ac:dyDescent="0.4">
      <c r="A11" t="s">
        <v>6</v>
      </c>
      <c r="B11" t="s">
        <v>660</v>
      </c>
      <c r="C11" t="s">
        <v>650</v>
      </c>
      <c r="D11" t="s">
        <v>651</v>
      </c>
      <c r="E11" t="s">
        <v>652</v>
      </c>
    </row>
    <row r="12" spans="1:25" x14ac:dyDescent="0.4">
      <c r="A12" t="s">
        <v>6</v>
      </c>
      <c r="B12" t="s">
        <v>661</v>
      </c>
      <c r="C12" t="s">
        <v>650</v>
      </c>
      <c r="D12" t="s">
        <v>651</v>
      </c>
      <c r="E12" t="s">
        <v>652</v>
      </c>
    </row>
    <row r="13" spans="1:25" x14ac:dyDescent="0.4">
      <c r="A13" t="s">
        <v>6</v>
      </c>
      <c r="B13" t="s">
        <v>663</v>
      </c>
      <c r="C13" t="s">
        <v>650</v>
      </c>
      <c r="D13" t="s">
        <v>651</v>
      </c>
      <c r="E13" t="s">
        <v>652</v>
      </c>
    </row>
    <row r="14" spans="1:25" x14ac:dyDescent="0.4">
      <c r="A14" t="s">
        <v>6</v>
      </c>
      <c r="B14" t="s">
        <v>662</v>
      </c>
      <c r="C14" t="s">
        <v>650</v>
      </c>
      <c r="D14" t="s">
        <v>651</v>
      </c>
      <c r="E14" t="s">
        <v>652</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B38"/>
  <sheetViews>
    <sheetView workbookViewId="0">
      <pane xSplit="11" ySplit="5" topLeftCell="AE6" activePane="bottomRight" state="frozen"/>
      <selection pane="topRight" activeCell="I1" sqref="I1"/>
      <selection pane="bottomLeft" activeCell="A6" sqref="A6"/>
      <selection pane="bottomRight" activeCell="AQ1" sqref="AQ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hidden="1" customWidth="1" outlineLevel="1"/>
    <col min="14" max="15" width="4.625" hidden="1" customWidth="1" outlineLevel="1"/>
    <col min="16" max="17" width="4.5" hidden="1" customWidth="1" outlineLevel="1"/>
    <col min="18" max="19" width="5.25" hidden="1" customWidth="1" outlineLevel="1"/>
    <col min="20" max="20" width="5.5" hidden="1" customWidth="1" outlineLevel="1"/>
    <col min="21" max="21" width="4.5" hidden="1" customWidth="1" outlineLevel="1"/>
    <col min="22" max="23" width="5.5" hidden="1" customWidth="1" outlineLevel="1"/>
    <col min="24" max="24" width="3.625" hidden="1" customWidth="1" outlineLevel="1"/>
    <col min="25" max="25" width="9" collapsed="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97" width="3.75" customWidth="1"/>
  </cols>
  <sheetData>
    <row r="1" spans="1:54" s="17" customFormat="1" ht="37.5" customHeight="1" x14ac:dyDescent="0.4">
      <c r="A1" s="17" t="s">
        <v>741</v>
      </c>
      <c r="B1" s="17" t="s">
        <v>744</v>
      </c>
      <c r="C1" s="17" t="s">
        <v>665</v>
      </c>
      <c r="D1" s="17" t="s">
        <v>1244</v>
      </c>
      <c r="E1" s="17" t="s">
        <v>1250</v>
      </c>
      <c r="F1" s="17" t="s">
        <v>1275</v>
      </c>
      <c r="G1" s="55" t="s">
        <v>1015</v>
      </c>
      <c r="H1" s="55" t="s">
        <v>622</v>
      </c>
      <c r="I1" s="55" t="s">
        <v>623</v>
      </c>
      <c r="J1" s="55" t="s">
        <v>621</v>
      </c>
      <c r="K1" s="55" t="s">
        <v>1004</v>
      </c>
      <c r="L1" s="57" t="s">
        <v>483</v>
      </c>
      <c r="M1" s="57" t="s">
        <v>484</v>
      </c>
      <c r="N1" s="57" t="s">
        <v>485</v>
      </c>
      <c r="O1" s="58" t="s">
        <v>486</v>
      </c>
      <c r="P1" s="58" t="s">
        <v>487</v>
      </c>
      <c r="Q1" s="58" t="s">
        <v>488</v>
      </c>
      <c r="R1" s="58" t="s">
        <v>489</v>
      </c>
      <c r="S1" s="58" t="s">
        <v>490</v>
      </c>
      <c r="T1" s="36" t="s">
        <v>491</v>
      </c>
      <c r="U1" s="36" t="s">
        <v>492</v>
      </c>
      <c r="V1" s="36" t="s">
        <v>493</v>
      </c>
      <c r="W1" s="56" t="s">
        <v>949</v>
      </c>
      <c r="X1" s="56" t="s">
        <v>946</v>
      </c>
      <c r="AD1" s="26" t="s">
        <v>248</v>
      </c>
      <c r="AE1" s="26" t="s">
        <v>1</v>
      </c>
      <c r="AF1" s="26" t="s">
        <v>2</v>
      </c>
      <c r="AG1" s="26" t="s">
        <v>106</v>
      </c>
      <c r="AH1" s="26" t="s">
        <v>105</v>
      </c>
      <c r="AI1" s="27" t="s">
        <v>4</v>
      </c>
      <c r="AJ1" s="27" t="s">
        <v>3</v>
      </c>
      <c r="AK1" s="61" t="s">
        <v>227</v>
      </c>
      <c r="AL1" s="61" t="s">
        <v>228</v>
      </c>
      <c r="AM1" s="61" t="s">
        <v>229</v>
      </c>
      <c r="AN1" s="61" t="s">
        <v>230</v>
      </c>
      <c r="AO1" s="29" t="s">
        <v>231</v>
      </c>
      <c r="AP1" s="29" t="s">
        <v>5</v>
      </c>
      <c r="AQ1" s="29" t="s">
        <v>1044</v>
      </c>
      <c r="AR1" s="29" t="s">
        <v>6</v>
      </c>
      <c r="AS1" s="17" t="s">
        <v>1245</v>
      </c>
      <c r="AT1" s="17" t="s">
        <v>1246</v>
      </c>
      <c r="AU1" s="17" t="s">
        <v>632</v>
      </c>
      <c r="AV1" s="17" t="s">
        <v>628</v>
      </c>
      <c r="AW1" s="17" t="s">
        <v>773</v>
      </c>
      <c r="AX1" s="17" t="s">
        <v>633</v>
      </c>
      <c r="AY1" s="17" t="s">
        <v>1247</v>
      </c>
      <c r="AZ1" s="17" t="s">
        <v>1248</v>
      </c>
      <c r="BA1" s="17" t="s">
        <v>216</v>
      </c>
      <c r="BB1" s="17" t="s">
        <v>995</v>
      </c>
    </row>
    <row r="2" spans="1:54" ht="13.5" customHeight="1" x14ac:dyDescent="0.4">
      <c r="A2" t="s">
        <v>1234</v>
      </c>
      <c r="B2" t="s">
        <v>1014</v>
      </c>
      <c r="C2" s="17" t="s">
        <v>1240</v>
      </c>
      <c r="D2" s="17">
        <v>4</v>
      </c>
      <c r="E2" s="17">
        <v>3</v>
      </c>
      <c r="L2">
        <v>100</v>
      </c>
      <c r="M2">
        <v>0</v>
      </c>
      <c r="N2">
        <v>0</v>
      </c>
      <c r="O2">
        <v>100</v>
      </c>
      <c r="P2">
        <v>50</v>
      </c>
      <c r="Q2" cm="1">
        <f t="array" ref="Q2">_xlfn.LET(
_xlpm.h,Q$1,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 cm="1">
        <f t="array" ref="R2">_xlfn.LET(
_xlpm.h,R$1,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 cm="1">
        <f t="array" ref="S2">_xlfn.LET(
_xlpm.h,S$1,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 cm="1">
        <f t="array" ref="T2">_xlfn.LET(
_xlpm.h,T$1,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 cm="1">
        <f t="array" ref="U2">_xlfn.LET(
_xlpm.h,U$1,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 cm="1">
        <f t="array" ref="V2">_xlfn.LET(
_xlpm.h,V$1,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 cm="1">
        <f t="array" ref="W2">_xlfn.LET(
_xlpm.h,W$1,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 cm="1">
        <f t="array" ref="X2">_xlfn.LET(
_xlpm.h,X$1,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 spans="1:54" ht="13.5" customHeight="1" x14ac:dyDescent="0.4">
      <c r="A3" t="s">
        <v>1235</v>
      </c>
      <c r="B3" t="s">
        <v>1237</v>
      </c>
      <c r="C3" s="17" t="s">
        <v>1241</v>
      </c>
      <c r="D3" s="17">
        <v>8</v>
      </c>
      <c r="E3" s="17">
        <v>5</v>
      </c>
      <c r="L3">
        <f>L2*2</f>
        <v>200</v>
      </c>
      <c r="M3">
        <v>50</v>
      </c>
      <c r="N3" cm="1">
        <f t="array" ref="N3">_xlfn.LET(
_xlpm.h,N$1,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 cm="1">
        <f t="array" ref="R3">_xlfn.LET(
_xlpm.h,R$1,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 cm="1">
        <f t="array" ref="S3">_xlfn.LET(
_xlpm.h,S$1,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 cm="1">
        <f t="array" ref="T3">_xlfn.LET(
_xlpm.h,T$1,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 cm="1">
        <f t="array" ref="U3">_xlfn.LET(
_xlpm.h,U$1,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 cm="1">
        <f t="array" ref="V3">_xlfn.LET(
_xlpm.h,V$1,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 cm="1">
        <f t="array" ref="W3">_xlfn.LET(
_xlpm.h,W$1,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 cm="1">
        <f t="array" ref="X3">_xlfn.LET(
_xlpm.h,X$1,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4" spans="1:54" ht="13.5" customHeight="1" x14ac:dyDescent="0.4">
      <c r="A4" t="s">
        <v>1117</v>
      </c>
      <c r="B4" t="s">
        <v>1238</v>
      </c>
      <c r="C4" s="17" t="s">
        <v>1242</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4" cm="1">
        <f t="array" ref="W4">_xlfn.LET(
_xlpm.h,W$1,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4" cm="1">
        <f t="array" ref="X4">_xlfn.LET(
_xlpm.h,X$1,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5" spans="1:54" ht="13.5" customHeight="1" x14ac:dyDescent="0.4">
      <c r="A5" t="s">
        <v>1236</v>
      </c>
      <c r="B5" t="s">
        <v>1239</v>
      </c>
      <c r="C5" s="17" t="s">
        <v>1243</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5" cm="1">
        <f t="array" ref="W5">_xlfn.LET(
_xlpm.h,W$1,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5" cm="1">
        <f t="array" ref="X5">_xlfn.LET(
_xlpm.h,X$1,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6" spans="1:54" ht="37.5" x14ac:dyDescent="0.4">
      <c r="A6" t="s">
        <v>724</v>
      </c>
      <c r="B6" t="s">
        <v>750</v>
      </c>
      <c r="C6" s="17" t="s">
        <v>749</v>
      </c>
      <c r="D6" s="17">
        <v>2</v>
      </c>
      <c r="F6" s="17" t="s">
        <v>1276</v>
      </c>
      <c r="J6">
        <v>1</v>
      </c>
      <c r="L6" cm="1">
        <f t="array" ref="L6">_xlfn.LET(
_xlpm.h,L$1,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6" cm="1">
        <f t="array" ref="M6">_xlfn.LET(
_xlpm.h,M$1,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6" cm="1">
        <f t="array" ref="N6">_xlfn.LET(
_xlpm.h,N$1,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6" cm="1">
        <f t="array" ref="O6">_xlfn.LET(
_xlpm.h,P$1,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6" cm="1">
        <f t="array" ref="P6">_xlfn.LET(
_xlpm.h,P$1,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)*2</f>
        <v>20</v>
      </c>
      <c r="Q6" cm="1">
        <f t="array" ref="Q6">_xlfn.LET(
_xlpm.h,Q$1,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6" cm="1">
        <f t="array" ref="R6">_xlfn.LET(
_xlpm.h,R$1,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6" cm="1">
        <f t="array" ref="S6">_xlfn.LET(
_xlpm.h,S$1,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6" cm="1">
        <f t="array" ref="T6">_xlfn.LET(
_xlpm.h,T$1,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6" cm="1">
        <f t="array" ref="U6">_xlfn.LET(
_xlpm.h,U$1,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6" cm="1">
        <f t="array" ref="V6">_xlfn.LET(
_xlpm.h,V$1,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6" cm="1">
        <f t="array" ref="W6">_xlfn.LET(
_xlpm.h,W$1,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6" cm="1">
        <f t="array" ref="X6">_xlfn.LET(
_xlpm.h,X$1,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7" spans="1:54" ht="37.5" x14ac:dyDescent="0.4">
      <c r="A7" t="s">
        <v>994</v>
      </c>
      <c r="B7" t="s">
        <v>750</v>
      </c>
      <c r="C7" s="17" t="s">
        <v>993</v>
      </c>
      <c r="D7" s="17">
        <v>4</v>
      </c>
      <c r="F7" s="17" t="s">
        <v>1276</v>
      </c>
      <c r="G7">
        <v>2</v>
      </c>
      <c r="H7">
        <v>2</v>
      </c>
      <c r="I7">
        <v>2</v>
      </c>
      <c r="J7">
        <v>2</v>
      </c>
      <c r="K7">
        <v>2</v>
      </c>
      <c r="L7" cm="1">
        <f t="array" ref="L7">_xlfn.LET(
_xlpm.h,L$1,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7" cm="1">
        <f t="array" ref="M7">_xlfn.LET(
_xlpm.h,M$1,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7" cm="1">
        <f t="array" ref="N7">_xlfn.LET(
_xlpm.h,N$1,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7" cm="1">
        <f t="array" ref="O7">_xlfn.LET(
_xlpm.h,P$1,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7" cm="1">
        <f t="array" ref="P7">_xlfn.LET(
_xlpm.h,P$1,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7" cm="1">
        <f t="array" ref="Q7">_xlfn.LET(
_xlpm.h,Q$1,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7" cm="1">
        <f t="array" ref="R7">_xlfn.LET(
_xlpm.h,R$1,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7" cm="1">
        <f t="array" ref="S7">_xlfn.LET(
_xlpm.h,S$1,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7" cm="1">
        <f t="array" ref="T7">_xlfn.LET(
_xlpm.h,T$1,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7" cm="1">
        <f t="array" ref="U7">_xlfn.LET(
_xlpm.h,U$1,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7" cm="1">
        <f t="array" ref="V7">_xlfn.LET(
_xlpm.h,V$1,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7" cm="1">
        <f t="array" ref="W7">_xlfn.LET(
_xlpm.h,W$1,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7" cm="1">
        <f t="array" ref="X7">_xlfn.LET(
_xlpm.h,X$1,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X7">
        <v>25</v>
      </c>
      <c r="BB7">
        <v>35</v>
      </c>
    </row>
    <row r="8" spans="1:54" ht="37.5" x14ac:dyDescent="0.4">
      <c r="A8" t="s">
        <v>725</v>
      </c>
      <c r="B8" t="s">
        <v>750</v>
      </c>
      <c r="C8" s="17" t="s">
        <v>751</v>
      </c>
      <c r="D8" s="17">
        <v>2</v>
      </c>
      <c r="F8" s="17" t="s">
        <v>1276</v>
      </c>
      <c r="J8">
        <v>2</v>
      </c>
      <c r="L8" cm="1">
        <f t="array" ref="L8">_xlfn.LET(
_xlpm.h,L$1,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8" cm="1">
        <f t="array" ref="M8">_xlfn.LET(
_xlpm.h,M$1,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8" cm="1">
        <f t="array" ref="N8">_xlfn.LET(
_xlpm.h,N$1,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8" cm="1">
        <f t="array" ref="O8">_xlfn.LET(
_xlpm.h,P$1,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8" cm="1">
        <f t="array" ref="P8">_xlfn.LET(
_xlpm.h,P$1,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8" cm="1">
        <f t="array" ref="Q8">_xlfn.LET(
_xlpm.h,Q$1,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8" cm="1">
        <f t="array" ref="R8">_xlfn.LET(
_xlpm.h,R$1,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8" cm="1">
        <f t="array" ref="S8">_xlfn.LET(
_xlpm.h,S$1,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8" cm="1">
        <f t="array" ref="T8">_xlfn.LET(
_xlpm.h,T$1,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8" cm="1">
        <f t="array" ref="U8">_xlfn.LET(
_xlpm.h,U$1,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8" cm="1">
        <f t="array" ref="V8">_xlfn.LET(
_xlpm.h,V$1,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8" cm="1">
        <f t="array" ref="W8">_xlfn.LET(
_xlpm.h,W$1,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8" cm="1">
        <f t="array" ref="X8">_xlfn.LET(
_xlpm.h,X$1,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9" spans="1:54" ht="37.5" x14ac:dyDescent="0.4">
      <c r="A9" t="s">
        <v>726</v>
      </c>
      <c r="B9" t="s">
        <v>750</v>
      </c>
      <c r="C9" s="17" t="s">
        <v>1016</v>
      </c>
      <c r="D9" s="17">
        <v>2</v>
      </c>
      <c r="F9" s="17" t="s">
        <v>1276</v>
      </c>
      <c r="G9">
        <v>1</v>
      </c>
      <c r="L9" cm="1">
        <f t="array" ref="L9">_xlfn.LET(
_xlpm.h,L$1,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9" cm="1">
        <f t="array" ref="M9">_xlfn.LET(
_xlpm.h,M$1,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9" cm="1">
        <f t="array" ref="N9">_xlfn.LET(
_xlpm.h,N$1,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9" cm="1">
        <f t="array" ref="O9">_xlfn.LET(
_xlpm.h,P$1,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9" cm="1">
        <f t="array" ref="P9">_xlfn.LET(
_xlpm.h,P$1,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9" cm="1">
        <f t="array" ref="Q9">_xlfn.LET(
_xlpm.h,Q$1,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9" cm="1">
        <f t="array" ref="R9">_xlfn.LET(
_xlpm.h,R$1,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9" cm="1">
        <f t="array" ref="S9">_xlfn.LET(
_xlpm.h,S$1,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9" cm="1">
        <f t="array" ref="T9">_xlfn.LET(
_xlpm.h,T$1,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9" cm="1">
        <f t="array" ref="U9">_xlfn.LET(
_xlpm.h,U$1,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9" cm="1">
        <f t="array" ref="V9">_xlfn.LET(
_xlpm.h,V$1,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9" cm="1">
        <f t="array" ref="W9">_xlfn.LET(
_xlpm.h,W$1,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9" cm="1">
        <f t="array" ref="X9">_xlfn.LET(
_xlpm.h,X$1,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9" s="62">
        <v>25</v>
      </c>
      <c r="AS9">
        <v>25</v>
      </c>
    </row>
    <row r="10" spans="1:54" ht="56.25" x14ac:dyDescent="0.4">
      <c r="A10" t="s">
        <v>727</v>
      </c>
      <c r="B10" t="s">
        <v>750</v>
      </c>
      <c r="C10" s="17" t="s">
        <v>996</v>
      </c>
      <c r="D10" s="17">
        <v>6</v>
      </c>
      <c r="F10" s="17" t="s">
        <v>1277</v>
      </c>
      <c r="J10">
        <v>2</v>
      </c>
      <c r="L10" cm="1">
        <f t="array" ref="L10">_xlfn.LET(
_xlpm.h,L$1,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0" cm="1">
        <f t="array" ref="M10">_xlfn.LET(
_xlpm.h,M$1,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0" cm="1">
        <f t="array" ref="N10">_xlfn.LET(
_xlpm.h,N$1,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0" cm="1">
        <f t="array" ref="O10">_xlfn.LET(
_xlpm.h,P$1,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0" cm="1">
        <f t="array" ref="P10">_xlfn.LET(
_xlpm.h,P$1,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0" cm="1">
        <f t="array" ref="Q10">_xlfn.LET(
_xlpm.h,Q$1,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0" cm="1">
        <f t="array" ref="R10">_xlfn.LET(
_xlpm.h,R$1,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0" cm="1">
        <f t="array" ref="S10">_xlfn.LET(
_xlpm.h,S$1,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0" cm="1">
        <f t="array" ref="T10">_xlfn.LET(
_xlpm.h,T$1,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0" cm="1">
        <f t="array" ref="U10">_xlfn.LET(
_xlpm.h,U$1,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0" cm="1">
        <f t="array" ref="V10">_xlfn.LET(
_xlpm.h,V$1,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0" cm="1">
        <f t="array" ref="W10">_xlfn.LET(
_xlpm.h,W$1,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0" cm="1">
        <f t="array" ref="X10">_xlfn.LET(
_xlpm.h,X$1,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1" spans="1:54" ht="37.5" x14ac:dyDescent="0.4">
      <c r="A11" t="s">
        <v>1013</v>
      </c>
      <c r="B11" t="s">
        <v>1014</v>
      </c>
      <c r="D11" s="17">
        <v>6</v>
      </c>
      <c r="F11" s="17" t="s">
        <v>1277</v>
      </c>
      <c r="J11">
        <v>3</v>
      </c>
      <c r="K11">
        <v>2</v>
      </c>
      <c r="L11" cm="1">
        <f t="array" ref="L11">_xlfn.LET(
_xlpm.h,L$1,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1" cm="1">
        <f t="array" ref="M11">_xlfn.LET(
_xlpm.h,M$1,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1" cm="1">
        <f t="array" ref="N11">_xlfn.LET(
_xlpm.h,N$1,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1" cm="1">
        <f t="array" ref="O11">_xlfn.LET(
_xlpm.h,P$1,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1" cm="1">
        <f t="array" ref="P11">_xlfn.LET(
_xlpm.h,P$1,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1" cm="1">
        <f t="array" ref="Q11">_xlfn.LET(
_xlpm.h,Q$1,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1" cm="1">
        <f t="array" ref="R11">_xlfn.LET(
_xlpm.h,R$1,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1" cm="1">
        <f t="array" ref="S11">_xlfn.LET(
_xlpm.h,S$1,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1" cm="1">
        <f t="array" ref="T11">_xlfn.LET(
_xlpm.h,T$1,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1" cm="1">
        <f t="array" ref="U11">_xlfn.LET(
_xlpm.h,U$1,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1" cm="1">
        <f t="array" ref="V11">_xlfn.LET(
_xlpm.h,V$1,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1" cm="1">
        <f t="array" ref="W11">_xlfn.LET(
_xlpm.h,W$1,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1" cm="1">
        <f t="array" ref="X11">_xlfn.LET(
_xlpm.h,X$1,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2" spans="1:54" ht="37.5" x14ac:dyDescent="0.4">
      <c r="A12" t="s">
        <v>728</v>
      </c>
      <c r="B12" t="s">
        <v>750</v>
      </c>
      <c r="C12" s="17" t="s">
        <v>752</v>
      </c>
      <c r="D12" s="17">
        <v>2</v>
      </c>
      <c r="F12" s="17" t="s">
        <v>1277</v>
      </c>
      <c r="J12">
        <v>2</v>
      </c>
      <c r="L12" cm="1">
        <f t="array" ref="L12">_xlfn.LET(
_xlpm.h,L$1,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2" cm="1">
        <f t="array" ref="M12">_xlfn.LET(
_xlpm.h,M$1,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2" cm="1">
        <f t="array" ref="N12">_xlfn.LET(
_xlpm.h,N$1,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2" cm="1">
        <f t="array" ref="O12">_xlfn.LET(
_xlpm.h,P$1,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2" cm="1">
        <f t="array" ref="P12">_xlfn.LET(
_xlpm.h,P$1,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2" cm="1">
        <f t="array" ref="Q12">_xlfn.LET(
_xlpm.h,Q$1,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2" cm="1">
        <f t="array" ref="R12">_xlfn.LET(
_xlpm.h,R$1,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2" cm="1">
        <f t="array" ref="S12">_xlfn.LET(
_xlpm.h,S$1,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2" cm="1">
        <f t="array" ref="T12">_xlfn.LET(
_xlpm.h,T$1,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2" cm="1">
        <f t="array" ref="U12">_xlfn.LET(
_xlpm.h,U$1,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2" cm="1">
        <f t="array" ref="V12">_xlfn.LET(
_xlpm.h,V$1,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2" cm="1">
        <f t="array" ref="W12">_xlfn.LET(
_xlpm.h,W$1,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2" cm="1">
        <f t="array" ref="X12">_xlfn.LET(
_xlpm.h,X$1,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J12">
        <v>75</v>
      </c>
    </row>
    <row r="13" spans="1:54" x14ac:dyDescent="0.4">
      <c r="A13" t="s">
        <v>729</v>
      </c>
      <c r="B13" t="s">
        <v>750</v>
      </c>
      <c r="C13" s="17" t="s">
        <v>753</v>
      </c>
      <c r="D13" s="17">
        <v>2</v>
      </c>
      <c r="F13" s="17" t="s">
        <v>1276</v>
      </c>
      <c r="J13">
        <v>3</v>
      </c>
      <c r="L13" cm="1">
        <f t="array" ref="L13">_xlfn.LET(
_xlpm.h,L$1,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3" cm="1">
        <f t="array" ref="M13">_xlfn.LET(
_xlpm.h,M$1,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3" cm="1">
        <f t="array" ref="N13">_xlfn.LET(
_xlpm.h,N$1,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3" cm="1">
        <f t="array" ref="O13">_xlfn.LET(
_xlpm.h,P$1,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3" cm="1">
        <f t="array" ref="P13">_xlfn.LET(
_xlpm.h,P$1,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3" cm="1">
        <f t="array" ref="Q13">_xlfn.LET(
_xlpm.h,Q$1,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3" cm="1">
        <f t="array" ref="R13">_xlfn.LET(
_xlpm.h,R$1,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3" cm="1">
        <f t="array" ref="S13">_xlfn.LET(
_xlpm.h,S$1,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3" cm="1">
        <f t="array" ref="T13">_xlfn.LET(
_xlpm.h,T$1,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3" cm="1">
        <f t="array" ref="U13">_xlfn.LET(
_xlpm.h,U$1,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3" cm="1">
        <f t="array" ref="V13">_xlfn.LET(
_xlpm.h,V$1,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3" cm="1">
        <f t="array" ref="W13">_xlfn.LET(
_xlpm.h,W$1,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3" cm="1">
        <f t="array" ref="X13">_xlfn.LET(
_xlpm.h,X$1,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D13">
        <v>25</v>
      </c>
    </row>
    <row r="14" spans="1:54" x14ac:dyDescent="0.4">
      <c r="A14" t="s">
        <v>742</v>
      </c>
      <c r="B14" t="s">
        <v>750</v>
      </c>
      <c r="C14" s="17" t="s">
        <v>1021</v>
      </c>
      <c r="D14" s="17">
        <v>3</v>
      </c>
      <c r="F14" s="17" t="s">
        <v>1276</v>
      </c>
      <c r="K14">
        <v>2</v>
      </c>
      <c r="L14" cm="1">
        <f t="array" ref="L14">_xlfn.LET(
_xlpm.h,L$1,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4" cm="1">
        <f t="array" ref="M14">_xlfn.LET(
_xlpm.h,M$1,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4" cm="1">
        <f t="array" ref="N14">_xlfn.LET(
_xlpm.h,N$1,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4" cm="1">
        <f t="array" ref="O14">_xlfn.LET(
_xlpm.h,P$1,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4" cm="1">
        <f t="array" ref="P14">_xlfn.LET(
_xlpm.h,P$1,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4" cm="1">
        <f t="array" ref="Q14">_xlfn.LET(
_xlpm.h,Q$1,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4" cm="1">
        <f t="array" ref="R14">_xlfn.LET(
_xlpm.h,R$1,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4" cm="1">
        <f t="array" ref="S14">_xlfn.LET(
_xlpm.h,S$1,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4" cm="1">
        <f t="array" ref="T14">_xlfn.LET(
_xlpm.h,T$1,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4" cm="1">
        <f t="array" ref="U14">_xlfn.LET(
_xlpm.h,U$1,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4" cm="1">
        <f t="array" ref="V14">_xlfn.LET(
_xlpm.h,V$1,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4" cm="1">
        <f t="array" ref="W14">_xlfn.LET(
_xlpm.h,W$1,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4" cm="1">
        <f t="array" ref="X14">_xlfn.LET(
_xlpm.h,X$1,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4">
        <v>10</v>
      </c>
      <c r="AW14">
        <v>10</v>
      </c>
    </row>
    <row r="15" spans="1:54" ht="37.5" x14ac:dyDescent="0.4">
      <c r="A15" t="s">
        <v>730</v>
      </c>
      <c r="B15" t="s">
        <v>750</v>
      </c>
      <c r="C15" s="17" t="s">
        <v>754</v>
      </c>
      <c r="D15" s="17">
        <v>4</v>
      </c>
      <c r="F15" s="17" t="s">
        <v>1276</v>
      </c>
      <c r="H15">
        <v>1</v>
      </c>
      <c r="L15" cm="1">
        <f t="array" ref="L15">_xlfn.LET(
_xlpm.h,L$1,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5" cm="1">
        <f t="array" ref="M15">_xlfn.LET(
_xlpm.h,M$1,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5" cm="1">
        <f t="array" ref="N15">_xlfn.LET(
_xlpm.h,N$1,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5" cm="1">
        <f t="array" ref="O15">_xlfn.LET(
_xlpm.h,P$1,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5" cm="1">
        <f t="array" ref="P15">_xlfn.LET(
_xlpm.h,P$1,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5" cm="1">
        <f t="array" ref="Q15">_xlfn.LET(
_xlpm.h,Q$1,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5" cm="1">
        <f t="array" ref="R15">_xlfn.LET(
_xlpm.h,R$1,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5" cm="1">
        <f t="array" ref="S15">_xlfn.LET(
_xlpm.h,S$1,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5" cm="1">
        <f t="array" ref="T15">_xlfn.LET(
_xlpm.h,T$1,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5" cm="1">
        <f t="array" ref="U15">_xlfn.LET(
_xlpm.h,U$1,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5" cm="1">
        <f t="array" ref="V15">_xlfn.LET(
_xlpm.h,V$1,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5" cm="1">
        <f t="array" ref="W15">_xlfn.LET(
_xlpm.h,W$1,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5" cm="1">
        <f t="array" ref="X15">_xlfn.LET(
_xlpm.h,X$1,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Q15">
        <v>15</v>
      </c>
    </row>
    <row r="16" spans="1:54" x14ac:dyDescent="0.4">
      <c r="A16" t="s">
        <v>997</v>
      </c>
      <c r="B16" t="s">
        <v>750</v>
      </c>
      <c r="C16" s="17" t="s">
        <v>998</v>
      </c>
      <c r="D16" s="17">
        <v>3</v>
      </c>
      <c r="F16" s="17" t="s">
        <v>1276</v>
      </c>
      <c r="G16">
        <v>1</v>
      </c>
      <c r="H16">
        <v>2</v>
      </c>
      <c r="L16" cm="1">
        <f t="array" ref="L16">_xlfn.LET(
_xlpm.h,L$1,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6" cm="1">
        <f t="array" ref="M16">_xlfn.LET(
_xlpm.h,M$1,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6" cm="1">
        <f t="array" ref="N16">_xlfn.LET(
_xlpm.h,N$1,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6" cm="1">
        <f t="array" ref="O16">_xlfn.LET(
_xlpm.h,P$1,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6" cm="1">
        <f t="array" ref="P16">_xlfn.LET(
_xlpm.h,P$1,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6" cm="1">
        <f t="array" ref="Q16">_xlfn.LET(
_xlpm.h,Q$1,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6" cm="1">
        <f t="array" ref="R16">_xlfn.LET(
_xlpm.h,R$1,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6" cm="1">
        <f t="array" ref="S16">_xlfn.LET(
_xlpm.h,S$1,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6" cm="1">
        <f t="array" ref="T16">_xlfn.LET(
_xlpm.h,T$1,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6" cm="1">
        <f t="array" ref="U16">_xlfn.LET(
_xlpm.h,U$1,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6" cm="1">
        <f t="array" ref="V16">_xlfn.LET(
_xlpm.h,V$1,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6" cm="1">
        <f t="array" ref="W16">_xlfn.LET(
_xlpm.h,W$1,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6" cm="1">
        <f t="array" ref="X16">_xlfn.LET(
_xlpm.h,X$1,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16" s="62">
        <v>10</v>
      </c>
      <c r="AQ16">
        <v>5</v>
      </c>
    </row>
    <row r="17" spans="1:53" ht="37.5" x14ac:dyDescent="0.4">
      <c r="A17" t="s">
        <v>731</v>
      </c>
      <c r="B17" t="s">
        <v>750</v>
      </c>
      <c r="C17" s="17" t="s">
        <v>755</v>
      </c>
      <c r="D17" s="17">
        <v>8</v>
      </c>
      <c r="F17" s="17" t="s">
        <v>1277</v>
      </c>
      <c r="H17">
        <v>3</v>
      </c>
      <c r="J17">
        <v>3</v>
      </c>
      <c r="L17" cm="1">
        <f t="array" ref="L17">_xlfn.LET(
_xlpm.h,L$1,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7" cm="1">
        <f t="array" ref="M17">_xlfn.LET(
_xlpm.h,M$1,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7" cm="1">
        <f t="array" ref="N17">_xlfn.LET(
_xlpm.h,N$1,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7" cm="1">
        <f t="array" ref="O17">_xlfn.LET(
_xlpm.h,P$1,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7" cm="1">
        <f t="array" ref="P17">_xlfn.LET(
_xlpm.h,P$1,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7" cm="1">
        <f t="array" ref="Q17">_xlfn.LET(
_xlpm.h,Q$1,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7" cm="1">
        <f t="array" ref="R17">_xlfn.LET(
_xlpm.h,R$1,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7" cm="1">
        <f t="array" ref="S17">_xlfn.LET(
_xlpm.h,S$1,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7" cm="1">
        <f t="array" ref="T17">_xlfn.LET(
_xlpm.h,T$1,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7" cm="1">
        <f t="array" ref="U17">_xlfn.LET(
_xlpm.h,U$1,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7" cm="1">
        <f t="array" ref="V17">_xlfn.LET(
_xlpm.h,V$1,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7" cm="1">
        <f t="array" ref="W17">_xlfn.LET(
_xlpm.h,W$1,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7" cm="1">
        <f t="array" ref="X17">_xlfn.LET(
_xlpm.h,X$1,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7">
        <v>15</v>
      </c>
      <c r="AX17">
        <v>30</v>
      </c>
    </row>
    <row r="18" spans="1:53" ht="37.5" x14ac:dyDescent="0.4">
      <c r="A18" t="s">
        <v>743</v>
      </c>
      <c r="B18" t="s">
        <v>750</v>
      </c>
      <c r="C18" s="17" t="s">
        <v>756</v>
      </c>
      <c r="D18" s="17">
        <v>2</v>
      </c>
      <c r="F18" s="17" t="s">
        <v>1276</v>
      </c>
      <c r="I18">
        <v>1</v>
      </c>
      <c r="L18" cm="1">
        <f t="array" ref="L18">_xlfn.LET(
_xlpm.h,L$1,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8" cm="1">
        <f t="array" ref="M18">_xlfn.LET(
_xlpm.h,M$1,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8" cm="1">
        <f t="array" ref="N18">_xlfn.LET(
_xlpm.h,N$1,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8" cm="1">
        <f t="array" ref="O18">_xlfn.LET(
_xlpm.h,P$1,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8" cm="1">
        <f t="array" ref="P18">_xlfn.LET(
_xlpm.h,P$1,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8" cm="1">
        <f t="array" ref="Q18">_xlfn.LET(
_xlpm.h,Q$1,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8" cm="1">
        <f t="array" ref="R18">_xlfn.LET(
_xlpm.h,R$1,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8" cm="1">
        <f t="array" ref="S18">_xlfn.LET(
_xlpm.h,S$1,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8" cm="1">
        <f t="array" ref="T18">_xlfn.LET(
_xlpm.h,T$1,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8" cm="1">
        <f t="array" ref="U18">_xlfn.LET(
_xlpm.h,U$1,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8" cm="1">
        <f t="array" ref="V18">_xlfn.LET(
_xlpm.h,V$1,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8" cm="1">
        <f t="array" ref="W18">_xlfn.LET(
_xlpm.h,W$1,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8" cm="1">
        <f t="array" ref="X18">_xlfn.LET(
_xlpm.h,X$1,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8">
        <v>10</v>
      </c>
      <c r="AW18">
        <v>5</v>
      </c>
      <c r="AY18">
        <v>5</v>
      </c>
      <c r="BA18">
        <v>3</v>
      </c>
    </row>
    <row r="19" spans="1:53" ht="17.25" customHeight="1" x14ac:dyDescent="0.4">
      <c r="A19" t="s">
        <v>1279</v>
      </c>
      <c r="B19" t="s">
        <v>750</v>
      </c>
      <c r="C19" s="17" t="s">
        <v>757</v>
      </c>
      <c r="D19" s="17">
        <v>4</v>
      </c>
      <c r="F19" s="17" t="s">
        <v>1277</v>
      </c>
      <c r="I19">
        <v>1</v>
      </c>
      <c r="L19" cm="1">
        <f t="array" ref="L19">_xlfn.LET(
_xlpm.h,L$1,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9" cm="1">
        <f t="array" ref="M19">_xlfn.LET(
_xlpm.h,M$1,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9" cm="1">
        <f t="array" ref="N19">_xlfn.LET(
_xlpm.h,N$1,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9" cm="1">
        <f t="array" ref="O19">_xlfn.LET(
_xlpm.h,P$1,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9" cm="1">
        <f t="array" ref="P19">_xlfn.LET(
_xlpm.h,P$1,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9" cm="1">
        <f t="array" ref="Q19">_xlfn.LET(
_xlpm.h,Q$1,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9" cm="1">
        <f t="array" ref="R19">_xlfn.LET(
_xlpm.h,R$1,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9" cm="1">
        <f t="array" ref="S19">_xlfn.LET(
_xlpm.h,S$1,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9" cm="1">
        <f t="array" ref="T19">_xlfn.LET(
_xlpm.h,T$1,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9" cm="1">
        <f t="array" ref="U19">_xlfn.LET(
_xlpm.h,U$1,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9" cm="1">
        <f t="array" ref="V19">_xlfn.LET(
_xlpm.h,V$1,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9" cm="1">
        <f t="array" ref="W19">_xlfn.LET(
_xlpm.h,W$1,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9" cm="1">
        <f t="array" ref="X19">_xlfn.LET(
_xlpm.h,X$1,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19">
        <v>15</v>
      </c>
      <c r="AV19">
        <v>10</v>
      </c>
      <c r="AW19">
        <v>10</v>
      </c>
      <c r="AY19">
        <v>15</v>
      </c>
      <c r="BA19">
        <v>5</v>
      </c>
    </row>
    <row r="20" spans="1:53" ht="37.5" x14ac:dyDescent="0.4">
      <c r="A20" t="s">
        <v>732</v>
      </c>
      <c r="B20" t="s">
        <v>750</v>
      </c>
      <c r="C20" s="17" t="s">
        <v>758</v>
      </c>
      <c r="D20" s="17">
        <v>8</v>
      </c>
      <c r="F20" s="17" t="s">
        <v>1277</v>
      </c>
      <c r="I20">
        <v>2</v>
      </c>
      <c r="L20" cm="1">
        <f t="array" ref="L20">_xlfn.LET(
_xlpm.h,L$1,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0" cm="1">
        <f t="array" ref="M20">_xlfn.LET(
_xlpm.h,M$1,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0" cm="1">
        <f t="array" ref="N20">_xlfn.LET(
_xlpm.h,N$1,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0" cm="1">
        <f t="array" ref="O20">_xlfn.LET(
_xlpm.h,P$1,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0" cm="1">
        <f t="array" ref="P20">_xlfn.LET(
_xlpm.h,P$1,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0" cm="1">
        <f t="array" ref="Q20">_xlfn.LET(
_xlpm.h,Q$1,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0" cm="1">
        <f t="array" ref="R20">_xlfn.LET(
_xlpm.h,R$1,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0" cm="1">
        <f t="array" ref="S20">_xlfn.LET(
_xlpm.h,S$1,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0" cm="1">
        <f t="array" ref="T20">_xlfn.LET(
_xlpm.h,T$1,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0" cm="1">
        <f t="array" ref="U20">_xlfn.LET(
_xlpm.h,U$1,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0" cm="1">
        <f t="array" ref="V20">_xlfn.LET(
_xlpm.h,V$1,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0" cm="1">
        <f t="array" ref="W20">_xlfn.LET(
_xlpm.h,W$1,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0" cm="1">
        <f t="array" ref="X20">_xlfn.LET(
_xlpm.h,X$1,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20">
        <v>25</v>
      </c>
      <c r="AV20">
        <v>10</v>
      </c>
      <c r="AY20">
        <v>5</v>
      </c>
      <c r="BA20">
        <v>15</v>
      </c>
    </row>
    <row r="21" spans="1:53" ht="37.5" x14ac:dyDescent="0.4">
      <c r="A21" t="s">
        <v>733</v>
      </c>
      <c r="B21" t="s">
        <v>750</v>
      </c>
      <c r="C21" s="17" t="s">
        <v>759</v>
      </c>
      <c r="D21" s="17">
        <v>16</v>
      </c>
      <c r="F21" s="17" t="s">
        <v>1276</v>
      </c>
      <c r="I21">
        <v>4</v>
      </c>
      <c r="L21" cm="1">
        <f t="array" ref="L21">_xlfn.LET(
_xlpm.h,L$1,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1" cm="1">
        <f t="array" ref="M21">_xlfn.LET(
_xlpm.h,M$1,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1" cm="1">
        <f t="array" ref="N21">_xlfn.LET(
_xlpm.h,N$1,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1" cm="1">
        <f t="array" ref="O21">_xlfn.LET(
_xlpm.h,P$1,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1" cm="1">
        <f t="array" ref="P21">_xlfn.LET(
_xlpm.h,P$1,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1" cm="1">
        <f t="array" ref="Q21">_xlfn.LET(
_xlpm.h,Q$1,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R21" cm="1">
        <f t="array" ref="R21">_xlfn.LET(
_xlpm.h,R$1,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21" cm="1">
        <f t="array" ref="S21">_xlfn.LET(
_xlpm.h,S$1,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T21" cm="1">
        <f t="array" ref="T21">_xlfn.LET(
_xlpm.h,T$1,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1" cm="1">
        <f t="array" ref="U21">_xlfn.LET(
_xlpm.h,U$1,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1" cm="1">
        <f t="array" ref="V21">_xlfn.LET(
_xlpm.h,V$1,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1" cm="1">
        <f t="array" ref="W21">_xlfn.LET(
_xlpm.h,W$1,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1" cm="1">
        <f t="array" ref="X21">_xlfn.LET(
_xlpm.h,X$1,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21">
        <v>50</v>
      </c>
      <c r="AV21">
        <v>10</v>
      </c>
      <c r="AW21">
        <v>10</v>
      </c>
      <c r="AX21">
        <v>20</v>
      </c>
      <c r="AY21">
        <v>10</v>
      </c>
      <c r="BA21">
        <v>10</v>
      </c>
    </row>
    <row r="22" spans="1:53" ht="37.5" x14ac:dyDescent="0.4">
      <c r="A22" t="s">
        <v>734</v>
      </c>
      <c r="B22" t="s">
        <v>503</v>
      </c>
      <c r="C22" s="17" t="s">
        <v>760</v>
      </c>
      <c r="D22" s="17">
        <v>2</v>
      </c>
      <c r="F22" s="17" t="s">
        <v>1277</v>
      </c>
      <c r="K22">
        <v>1</v>
      </c>
      <c r="L22" cm="1">
        <f t="array" ref="L22">_xlfn.LET(
_xlpm.h,L$1,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2" cm="1">
        <f t="array" ref="M22">_xlfn.LET(
_xlpm.h,M$1,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2" cm="1">
        <f t="array" ref="N22">_xlfn.LET(
_xlpm.h,N$1,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2" cm="1">
        <f t="array" ref="O22">_xlfn.LET(
_xlpm.h,P$1,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2" cm="1">
        <f t="array" ref="P22">_xlfn.LET(
_xlpm.h,P$1,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2" cm="1">
        <f t="array" ref="Q22">_xlfn.LET(
_xlpm.h,Q$1,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2" cm="1">
        <f t="array" ref="R22">_xlfn.LET(
_xlpm.h,R$1,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2" cm="1">
        <f t="array" ref="S22">_xlfn.LET(
_xlpm.h,S$1,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2" cm="1">
        <f t="array" ref="T22">_xlfn.LET(
_xlpm.h,T$1,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2" cm="1">
        <f t="array" ref="U22">_xlfn.LET(
_xlpm.h,U$1,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2" cm="1">
        <f t="array" ref="V22">_xlfn.LET(
_xlpm.h,V$1,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2" cm="1">
        <f t="array" ref="W22">_xlfn.LET(
_xlpm.h,W$1,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2" cm="1">
        <f t="array" ref="X22">_xlfn.LET(
_xlpm.h,X$1,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K22" s="62">
        <v>100</v>
      </c>
    </row>
    <row r="23" spans="1:53" ht="37.5" x14ac:dyDescent="0.4">
      <c r="A23" t="s">
        <v>735</v>
      </c>
      <c r="B23" t="s">
        <v>504</v>
      </c>
      <c r="C23" s="17" t="s">
        <v>761</v>
      </c>
      <c r="D23" s="17">
        <v>2</v>
      </c>
      <c r="F23" s="17" t="s">
        <v>1277</v>
      </c>
      <c r="K23">
        <v>1</v>
      </c>
      <c r="L23" cm="1">
        <f t="array" ref="L23">_xlfn.LET(
_xlpm.h,L$1,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3" cm="1">
        <f t="array" ref="M23">_xlfn.LET(
_xlpm.h,M$1,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3" cm="1">
        <f t="array" ref="N23">_xlfn.LET(
_xlpm.h,N$1,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3" cm="1">
        <f t="array" ref="O23">_xlfn.LET(
_xlpm.h,P$1,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3" cm="1">
        <f t="array" ref="P23">_xlfn.LET(
_xlpm.h,P$1,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3" cm="1">
        <f t="array" ref="Q23">_xlfn.LET(
_xlpm.h,Q$1,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3" cm="1">
        <f t="array" ref="R23">_xlfn.LET(
_xlpm.h,R$1,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3" cm="1">
        <f t="array" ref="S23">_xlfn.LET(
_xlpm.h,S$1,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3" cm="1">
        <f t="array" ref="T23">_xlfn.LET(
_xlpm.h,T$1,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3" cm="1">
        <f t="array" ref="U23">_xlfn.LET(
_xlpm.h,U$1,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3" cm="1">
        <f t="array" ref="V23">_xlfn.LET(
_xlpm.h,V$1,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3" cm="1">
        <f t="array" ref="W23">_xlfn.LET(
_xlpm.h,W$1,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3" cm="1">
        <f t="array" ref="X23">_xlfn.LET(
_xlpm.h,X$1,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L23" s="62">
        <v>100</v>
      </c>
    </row>
    <row r="24" spans="1:53" ht="37.5" x14ac:dyDescent="0.4">
      <c r="A24" t="s">
        <v>736</v>
      </c>
      <c r="B24" t="s">
        <v>763</v>
      </c>
      <c r="C24" s="17" t="s">
        <v>762</v>
      </c>
      <c r="D24" s="17">
        <v>2</v>
      </c>
      <c r="F24" s="17" t="s">
        <v>1277</v>
      </c>
      <c r="K24">
        <v>1</v>
      </c>
      <c r="L24" cm="1">
        <f t="array" ref="L24">_xlfn.LET(
_xlpm.h,L$1,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4" cm="1">
        <f t="array" ref="M24">_xlfn.LET(
_xlpm.h,M$1,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4" cm="1">
        <f t="array" ref="N24">_xlfn.LET(
_xlpm.h,N$1,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4" cm="1">
        <f t="array" ref="O24">_xlfn.LET(
_xlpm.h,P$1,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4" cm="1">
        <f t="array" ref="P24">_xlfn.LET(
_xlpm.h,P$1,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4" cm="1">
        <f t="array" ref="Q24">_xlfn.LET(
_xlpm.h,Q$1,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4" cm="1">
        <f t="array" ref="R24">_xlfn.LET(
_xlpm.h,R$1,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4" cm="1">
        <f t="array" ref="S24">_xlfn.LET(
_xlpm.h,S$1,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4" cm="1">
        <f t="array" ref="T24">_xlfn.LET(
_xlpm.h,T$1,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4" cm="1">
        <f t="array" ref="U24">_xlfn.LET(
_xlpm.h,U$1,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4" cm="1">
        <f t="array" ref="V24">_xlfn.LET(
_xlpm.h,V$1,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4" cm="1">
        <f t="array" ref="W24">_xlfn.LET(
_xlpm.h,W$1,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4" cm="1">
        <f t="array" ref="X24">_xlfn.LET(
_xlpm.h,X$1,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24" s="62">
        <v>100</v>
      </c>
    </row>
    <row r="25" spans="1:53" ht="37.5" x14ac:dyDescent="0.4">
      <c r="A25" t="s">
        <v>737</v>
      </c>
      <c r="B25" t="s">
        <v>746</v>
      </c>
      <c r="C25" s="17" t="s">
        <v>764</v>
      </c>
      <c r="D25" s="17">
        <v>2</v>
      </c>
      <c r="F25" s="17" t="s">
        <v>1277</v>
      </c>
      <c r="G25">
        <v>1</v>
      </c>
      <c r="K25">
        <v>1</v>
      </c>
      <c r="L25" cm="1">
        <f t="array" ref="L25">_xlfn.LET(
_xlpm.h,L$1,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5" cm="1">
        <f t="array" ref="M25">_xlfn.LET(
_xlpm.h,M$1,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5" cm="1">
        <f t="array" ref="N25">_xlfn.LET(
_xlpm.h,N$1,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5" cm="1">
        <f t="array" ref="O25">_xlfn.LET(
_xlpm.h,P$1,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5" cm="1">
        <f t="array" ref="P25">_xlfn.LET(
_xlpm.h,P$1,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5" cm="1">
        <f t="array" ref="Q25">_xlfn.LET(
_xlpm.h,Q$1,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5" cm="1">
        <f t="array" ref="R25">_xlfn.LET(
_xlpm.h,R$1,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5" cm="1">
        <f t="array" ref="S25">_xlfn.LET(
_xlpm.h,S$1,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5" cm="1">
        <f t="array" ref="T25">_xlfn.LET(
_xlpm.h,T$1,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5" cm="1">
        <f t="array" ref="U25">_xlfn.LET(
_xlpm.h,U$1,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5" cm="1">
        <f t="array" ref="V25">_xlfn.LET(
_xlpm.h,V$1,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5" cm="1">
        <f t="array" ref="W25">_xlfn.LET(
_xlpm.h,W$1,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5" cm="1">
        <f t="array" ref="X25">_xlfn.LET(
_xlpm.h,X$1,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25" s="62">
        <v>100</v>
      </c>
    </row>
    <row r="26" spans="1:53" ht="37.5" x14ac:dyDescent="0.4">
      <c r="A26" t="s">
        <v>740</v>
      </c>
      <c r="B26" t="s">
        <v>745</v>
      </c>
      <c r="C26" s="17" t="s">
        <v>765</v>
      </c>
      <c r="D26" s="17">
        <v>2</v>
      </c>
      <c r="F26" s="17" t="s">
        <v>1277</v>
      </c>
      <c r="K26">
        <v>2</v>
      </c>
      <c r="L26" cm="1">
        <f t="array" ref="L26">_xlfn.LET(
_xlpm.h,L$1,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6" cm="1">
        <f t="array" ref="M26">_xlfn.LET(
_xlpm.h,M$1,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6" cm="1">
        <f t="array" ref="N26">_xlfn.LET(
_xlpm.h,N$1,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6" cm="1">
        <f t="array" ref="O26">_xlfn.LET(
_xlpm.h,P$1,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6" cm="1">
        <f t="array" ref="P26">_xlfn.LET(
_xlpm.h,P$1,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6" cm="1">
        <f t="array" ref="Q26">_xlfn.LET(
_xlpm.h,Q$1,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6" cm="1">
        <f t="array" ref="R26">_xlfn.LET(
_xlpm.h,R$1,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6" cm="1">
        <f t="array" ref="S26">_xlfn.LET(
_xlpm.h,S$1,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6" cm="1">
        <f t="array" ref="T26">_xlfn.LET(
_xlpm.h,T$1,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6" cm="1">
        <f t="array" ref="U26">_xlfn.LET(
_xlpm.h,U$1,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6" cm="1">
        <f t="array" ref="V26">_xlfn.LET(
_xlpm.h,V$1,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6" cm="1">
        <f t="array" ref="W26">_xlfn.LET(
_xlpm.h,W$1,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6" cm="1">
        <f t="array" ref="X26">_xlfn.LET(
_xlpm.h,X$1,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M26" s="62">
        <v>100</v>
      </c>
      <c r="AU26">
        <v>10</v>
      </c>
    </row>
    <row r="27" spans="1:53" ht="37.5" x14ac:dyDescent="0.4">
      <c r="A27" t="s">
        <v>738</v>
      </c>
      <c r="B27" t="s">
        <v>750</v>
      </c>
      <c r="C27" s="17" t="s">
        <v>766</v>
      </c>
      <c r="D27" s="17">
        <v>2</v>
      </c>
      <c r="F27" s="17" t="s">
        <v>1277</v>
      </c>
      <c r="K27">
        <v>1</v>
      </c>
      <c r="L27" cm="1">
        <f t="array" ref="L27">_xlfn.LET(
_xlpm.h,L$1,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7" cm="1">
        <f t="array" ref="M27">_xlfn.LET(
_xlpm.h,M$1,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7" cm="1">
        <f t="array" ref="N27">_xlfn.LET(
_xlpm.h,N$1,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7" cm="1">
        <f t="array" ref="O27">_xlfn.LET(
_xlpm.h,P$1,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7" cm="1">
        <f t="array" ref="P27">_xlfn.LET(
_xlpm.h,P$1,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7" cm="1">
        <f t="array" ref="Q27">_xlfn.LET(
_xlpm.h,Q$1,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7" cm="1">
        <f t="array" ref="R27">_xlfn.LET(
_xlpm.h,R$1,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7" cm="1">
        <f t="array" ref="S27">_xlfn.LET(
_xlpm.h,S$1,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7" cm="1">
        <f t="array" ref="T27">_xlfn.LET(
_xlpm.h,T$1,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7" cm="1">
        <f t="array" ref="U27">_xlfn.LET(
_xlpm.h,U$1,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7" cm="1">
        <f t="array" ref="V27">_xlfn.LET(
_xlpm.h,V$1,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7" cm="1">
        <f t="array" ref="W27">_xlfn.LET(
_xlpm.h,W$1,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7" cm="1">
        <f t="array" ref="X27">_xlfn.LET(
_xlpm.h,X$1,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7">
        <v>15</v>
      </c>
      <c r="AW27">
        <v>10</v>
      </c>
    </row>
    <row r="28" spans="1:53" ht="37.5" x14ac:dyDescent="0.4">
      <c r="A28" t="s">
        <v>739</v>
      </c>
      <c r="B28" t="s">
        <v>750</v>
      </c>
      <c r="C28" s="17" t="s">
        <v>767</v>
      </c>
      <c r="D28" s="17">
        <v>2</v>
      </c>
      <c r="F28" s="17" t="s">
        <v>1277</v>
      </c>
      <c r="K28">
        <v>2</v>
      </c>
      <c r="L28" cm="1">
        <f t="array" ref="L28">_xlfn.LET(
_xlpm.h,L$1,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8" cm="1">
        <f t="array" ref="M28">_xlfn.LET(
_xlpm.h,M$1,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8" cm="1">
        <f t="array" ref="N28">_xlfn.LET(
_xlpm.h,N$1,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8" cm="1">
        <f t="array" ref="O28">_xlfn.LET(
_xlpm.h,P$1,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8" cm="1">
        <f t="array" ref="P28">_xlfn.LET(
_xlpm.h,P$1,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8" cm="1">
        <f t="array" ref="Q28">_xlfn.LET(
_xlpm.h,Q$1,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8" cm="1">
        <f t="array" ref="R28">_xlfn.LET(
_xlpm.h,R$1,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8" cm="1">
        <f t="array" ref="S28">_xlfn.LET(
_xlpm.h,S$1,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8" cm="1">
        <f t="array" ref="T28">_xlfn.LET(
_xlpm.h,T$1,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8" cm="1">
        <f t="array" ref="U28">_xlfn.LET(
_xlpm.h,U$1,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8" cm="1">
        <f t="array" ref="V28">_xlfn.LET(
_xlpm.h,V$1,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8" cm="1">
        <f t="array" ref="W28">_xlfn.LET(
_xlpm.h,W$1,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8" cm="1">
        <f t="array" ref="X28">_xlfn.LET(
_xlpm.h,X$1,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8">
        <v>25</v>
      </c>
    </row>
    <row r="29" spans="1:53" ht="37.5" x14ac:dyDescent="0.4">
      <c r="A29" t="s">
        <v>723</v>
      </c>
      <c r="B29" t="s">
        <v>750</v>
      </c>
      <c r="C29" s="17" t="s">
        <v>768</v>
      </c>
      <c r="D29" s="17">
        <v>2</v>
      </c>
      <c r="F29" s="17" t="s">
        <v>1277</v>
      </c>
      <c r="K29">
        <v>2</v>
      </c>
      <c r="L29" cm="1">
        <f t="array" ref="L29">_xlfn.LET(
_xlpm.h,L$1,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9" cm="1">
        <f t="array" ref="M29">_xlfn.LET(
_xlpm.h,M$1,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9" cm="1">
        <f t="array" ref="N29">_xlfn.LET(
_xlpm.h,N$1,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9" cm="1">
        <f t="array" ref="O29">_xlfn.LET(
_xlpm.h,P$1,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9" cm="1">
        <f t="array" ref="P29">_xlfn.LET(
_xlpm.h,P$1,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9" cm="1">
        <f t="array" ref="Q29">_xlfn.LET(
_xlpm.h,Q$1,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9" cm="1">
        <f t="array" ref="R29">_xlfn.LET(
_xlpm.h,R$1,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9" cm="1">
        <f t="array" ref="S29">_xlfn.LET(
_xlpm.h,S$1,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9" cm="1">
        <f t="array" ref="T29">_xlfn.LET(
_xlpm.h,T$1,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9" cm="1">
        <f t="array" ref="U29">_xlfn.LET(
_xlpm.h,U$1,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9" cm="1">
        <f t="array" ref="V29">_xlfn.LET(
_xlpm.h,V$1,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9" cm="1">
        <f t="array" ref="W29">_xlfn.LET(
_xlpm.h,W$1,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9" cm="1">
        <f t="array" ref="X29">_xlfn.LET(
_xlpm.h,X$1,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29">
        <v>3</v>
      </c>
      <c r="AV29">
        <v>10</v>
      </c>
      <c r="AW29">
        <v>10</v>
      </c>
      <c r="BA29">
        <v>3</v>
      </c>
    </row>
    <row r="30" spans="1:53" ht="37.5" x14ac:dyDescent="0.4">
      <c r="A30" t="s">
        <v>747</v>
      </c>
      <c r="B30" t="s">
        <v>748</v>
      </c>
      <c r="C30" s="17" t="s">
        <v>769</v>
      </c>
      <c r="D30" s="17">
        <v>2</v>
      </c>
      <c r="F30" s="17" t="s">
        <v>1277</v>
      </c>
      <c r="I30">
        <v>1</v>
      </c>
      <c r="K30">
        <v>3</v>
      </c>
      <c r="L30" cm="1">
        <f t="array" ref="L30">_xlfn.LET(
_xlpm.h,L$1,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30" cm="1">
        <f t="array" ref="M30">_xlfn.LET(
_xlpm.h,M$1,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30" cm="1">
        <f t="array" ref="N30">_xlfn.LET(
_xlpm.h,N$1,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0" cm="1">
        <f t="array" ref="O30">_xlfn.LET(
_xlpm.h,P$1,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30" cm="1">
        <f t="array" ref="P30">_xlfn.LET(
_xlpm.h,P$1,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30" cm="1">
        <f t="array" ref="Q30">_xlfn.LET(
_xlpm.h,Q$1,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30" cm="1">
        <f t="array" ref="R30">_xlfn.LET(
_xlpm.h,R$1,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0" cm="1">
        <f t="array" ref="S30">_xlfn.LET(
_xlpm.h,S$1,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0" cm="1">
        <f t="array" ref="T30">_xlfn.LET(
_xlpm.h,T$1,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0" cm="1">
        <f t="array" ref="U30">_xlfn.LET(
_xlpm.h,U$1,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0" cm="1">
        <f t="array" ref="V30">_xlfn.LET(
_xlpm.h,V$1,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0" cm="1">
        <f t="array" ref="W30">_xlfn.LET(
_xlpm.h,W$1,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0" cm="1">
        <f t="array" ref="X30">_xlfn.LET(
_xlpm.h,X$1,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1" cm="1">
        <f t="array" ref="M31">_xlfn.LET(
_xlpm.h,M$1,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1" cm="1">
        <f t="array" ref="N31">_xlfn.LET(
_xlpm.h,N$1,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1" cm="1">
        <f t="array" ref="O31">_xlfn.LET(
_xlpm.h,P$1,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1" cm="1">
        <f t="array" ref="P31">_xlfn.LET(
_xlpm.h,P$1,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1" cm="1">
        <f t="array" ref="Q31">_xlfn.LET(
_xlpm.h,Q$1,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1" cm="1">
        <f t="array" ref="R31">_xlfn.LET(
_xlpm.h,R$1,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1" cm="1">
        <f t="array" ref="S31">_xlfn.LET(
_xlpm.h,S$1,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1" cm="1">
        <f t="array" ref="T31">_xlfn.LET(
_xlpm.h,T$1,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1" cm="1">
        <f t="array" ref="U31">_xlfn.LET(
_xlpm.h,U$1,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1" cm="1">
        <f t="array" ref="V31">_xlfn.LET(
_xlpm.h,V$1,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1" cm="1">
        <f t="array" ref="W31">_xlfn.LET(
_xlpm.h,W$1,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1" cm="1">
        <f t="array" ref="X31">_xlfn.LET(
_xlpm.h,X$1,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2" cm="1">
        <f t="array" ref="M32">_xlfn.LET(
_xlpm.h,M$1,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2" cm="1">
        <f t="array" ref="N32">_xlfn.LET(
_xlpm.h,N$1,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2" cm="1">
        <f t="array" ref="O32">_xlfn.LET(
_xlpm.h,P$1,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2" cm="1">
        <f t="array" ref="P32">_xlfn.LET(
_xlpm.h,P$1,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2" cm="1">
        <f t="array" ref="Q32">_xlfn.LET(
_xlpm.h,Q$1,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2" cm="1">
        <f t="array" ref="R32">_xlfn.LET(
_xlpm.h,R$1,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2" cm="1">
        <f t="array" ref="S32">_xlfn.LET(
_xlpm.h,S$1,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2" cm="1">
        <f t="array" ref="T32">_xlfn.LET(
_xlpm.h,T$1,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2" cm="1">
        <f t="array" ref="U32">_xlfn.LET(
_xlpm.h,U$1,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2" cm="1">
        <f t="array" ref="V32">_xlfn.LET(
_xlpm.h,V$1,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2" cm="1">
        <f t="array" ref="W32">_xlfn.LET(
_xlpm.h,W$1,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2" cm="1">
        <f t="array" ref="X32">_xlfn.LET(
_xlpm.h,X$1,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3" cm="1">
        <f t="array" ref="M33">_xlfn.LET(
_xlpm.h,M$1,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3" cm="1">
        <f t="array" ref="N33">_xlfn.LET(
_xlpm.h,N$1,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3" cm="1">
        <f t="array" ref="O33">_xlfn.LET(
_xlpm.h,P$1,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3" cm="1">
        <f t="array" ref="P33">_xlfn.LET(
_xlpm.h,P$1,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3" cm="1">
        <f t="array" ref="Q33">_xlfn.LET(
_xlpm.h,Q$1,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3" cm="1">
        <f t="array" ref="R33">_xlfn.LET(
_xlpm.h,R$1,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3" cm="1">
        <f t="array" ref="S33">_xlfn.LET(
_xlpm.h,S$1,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3" cm="1">
        <f t="array" ref="T33">_xlfn.LET(
_xlpm.h,T$1,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3" cm="1">
        <f t="array" ref="U33">_xlfn.LET(
_xlpm.h,U$1,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3" cm="1">
        <f t="array" ref="V33">_xlfn.LET(
_xlpm.h,V$1,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3" cm="1">
        <f t="array" ref="W33">_xlfn.LET(
_xlpm.h,W$1,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3" cm="1">
        <f t="array" ref="X33">_xlfn.LET(
_xlpm.h,X$1,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4" cm="1">
        <f t="array" ref="M34">_xlfn.LET(
_xlpm.h,M$1,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4" cm="1">
        <f t="array" ref="N34">_xlfn.LET(
_xlpm.h,N$1,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4" cm="1">
        <f t="array" ref="O34">_xlfn.LET(
_xlpm.h,P$1,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4" cm="1">
        <f t="array" ref="P34">_xlfn.LET(
_xlpm.h,P$1,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4" cm="1">
        <f t="array" ref="Q34">_xlfn.LET(
_xlpm.h,Q$1,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4" cm="1">
        <f t="array" ref="R34">_xlfn.LET(
_xlpm.h,R$1,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4" cm="1">
        <f t="array" ref="S34">_xlfn.LET(
_xlpm.h,S$1,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4" cm="1">
        <f t="array" ref="T34">_xlfn.LET(
_xlpm.h,T$1,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4" cm="1">
        <f t="array" ref="U34">_xlfn.LET(
_xlpm.h,U$1,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4" cm="1">
        <f t="array" ref="V34">_xlfn.LET(
_xlpm.h,V$1,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4" cm="1">
        <f t="array" ref="W34">_xlfn.LET(
_xlpm.h,W$1,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4" cm="1">
        <f t="array" ref="X34">_xlfn.LET(
_xlpm.h,X$1,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5" cm="1">
        <f t="array" ref="M35">_xlfn.LET(
_xlpm.h,M$1,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5" cm="1">
        <f t="array" ref="N35">_xlfn.LET(
_xlpm.h,N$1,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5" cm="1">
        <f t="array" ref="O35">_xlfn.LET(
_xlpm.h,P$1,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5" cm="1">
        <f t="array" ref="P35">_xlfn.LET(
_xlpm.h,P$1,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5" cm="1">
        <f t="array" ref="Q35">_xlfn.LET(
_xlpm.h,Q$1,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5" cm="1">
        <f t="array" ref="R35">_xlfn.LET(
_xlpm.h,R$1,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5" cm="1">
        <f t="array" ref="S35">_xlfn.LET(
_xlpm.h,S$1,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5" cm="1">
        <f t="array" ref="T35">_xlfn.LET(
_xlpm.h,T$1,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5" cm="1">
        <f t="array" ref="U35">_xlfn.LET(
_xlpm.h,U$1,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5" cm="1">
        <f t="array" ref="V35">_xlfn.LET(
_xlpm.h,V$1,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5" cm="1">
        <f t="array" ref="W35">_xlfn.LET(
_xlpm.h,W$1,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5" cm="1">
        <f t="array" ref="X35">_xlfn.LET(
_xlpm.h,X$1,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6" cm="1">
        <f t="array" ref="M36">_xlfn.LET(
_xlpm.h,M$1,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6" cm="1">
        <f t="array" ref="N36">_xlfn.LET(
_xlpm.h,N$1,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6" cm="1">
        <f t="array" ref="O36">_xlfn.LET(
_xlpm.h,P$1,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6" cm="1">
        <f t="array" ref="P36">_xlfn.LET(
_xlpm.h,P$1,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6" cm="1">
        <f t="array" ref="Q36">_xlfn.LET(
_xlpm.h,Q$1,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6" cm="1">
        <f t="array" ref="R36">_xlfn.LET(
_xlpm.h,R$1,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6" cm="1">
        <f t="array" ref="S36">_xlfn.LET(
_xlpm.h,S$1,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6" cm="1">
        <f t="array" ref="T36">_xlfn.LET(
_xlpm.h,T$1,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6" cm="1">
        <f t="array" ref="U36">_xlfn.LET(
_xlpm.h,U$1,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6" cm="1">
        <f t="array" ref="V36">_xlfn.LET(
_xlpm.h,V$1,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6" cm="1">
        <f t="array" ref="W36">_xlfn.LET(
_xlpm.h,W$1,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6" cm="1">
        <f t="array" ref="X36">_xlfn.LET(
_xlpm.h,X$1,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7" cm="1">
        <f t="array" ref="M37">_xlfn.LET(
_xlpm.h,M$1,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7" cm="1">
        <f t="array" ref="N37">_xlfn.LET(
_xlpm.h,N$1,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7" cm="1">
        <f t="array" ref="O37">_xlfn.LET(
_xlpm.h,P$1,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7" cm="1">
        <f t="array" ref="P37">_xlfn.LET(
_xlpm.h,P$1,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7" cm="1">
        <f t="array" ref="Q37">_xlfn.LET(
_xlpm.h,Q$1,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7" cm="1">
        <f t="array" ref="R37">_xlfn.LET(
_xlpm.h,R$1,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7" cm="1">
        <f t="array" ref="S37">_xlfn.LET(
_xlpm.h,S$1,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7" cm="1">
        <f t="array" ref="T37">_xlfn.LET(
_xlpm.h,T$1,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7" cm="1">
        <f t="array" ref="U37">_xlfn.LET(
_xlpm.h,U$1,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7" cm="1">
        <f t="array" ref="V37">_xlfn.LET(
_xlpm.h,V$1,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7" cm="1">
        <f t="array" ref="W37">_xlfn.LET(
_xlpm.h,W$1,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7" cm="1">
        <f t="array" ref="X37">_xlfn.LET(
_xlpm.h,X$1,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8" cm="1">
        <f t="array" ref="M38">_xlfn.LET(
_xlpm.h,M$1,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8" cm="1">
        <f t="array" ref="N38">_xlfn.LET(
_xlpm.h,N$1,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8" cm="1">
        <f t="array" ref="O38">_xlfn.LET(
_xlpm.h,P$1,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8" cm="1">
        <f t="array" ref="P38">_xlfn.LET(
_xlpm.h,P$1,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8" cm="1">
        <f t="array" ref="Q38">_xlfn.LET(
_xlpm.h,Q$1,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8" cm="1">
        <f t="array" ref="R38">_xlfn.LET(
_xlpm.h,R$1,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8" cm="1">
        <f t="array" ref="S38">_xlfn.LET(
_xlpm.h,S$1,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8" cm="1">
        <f t="array" ref="T38">_xlfn.LET(
_xlpm.h,T$1,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8" cm="1">
        <f t="array" ref="U38">_xlfn.LET(
_xlpm.h,U$1,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8" cm="1">
        <f t="array" ref="V38">_xlfn.LET(
_xlpm.h,V$1,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8" cm="1">
        <f t="array" ref="W38">_xlfn.LET(
_xlpm.h,W$1,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8" cm="1">
        <f t="array" ref="X38">_xlfn.LET(
_xlpm.h,X$1,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W106"/>
  <sheetViews>
    <sheetView zoomScale="70" zoomScaleNormal="70" workbookViewId="0">
      <pane xSplit="4" ySplit="1" topLeftCell="J2" activePane="bottomRight" state="frozen"/>
      <selection pane="topRight" activeCell="E1" sqref="E1"/>
      <selection pane="bottomLeft" activeCell="A2" sqref="A2"/>
      <selection pane="bottomRight" activeCell="AN11" sqref="AN11:AX11"/>
    </sheetView>
  </sheetViews>
  <sheetFormatPr defaultRowHeight="18.75" outlineLevelRow="1" outlineLevelCol="1" x14ac:dyDescent="0.4"/>
  <cols>
    <col min="1" max="1" width="10.875" bestFit="1" customWidth="1"/>
    <col min="2" max="2" width="9.25" bestFit="1" customWidth="1"/>
    <col min="3" max="3" width="3.75" customWidth="1"/>
    <col min="4" max="4" width="7.125" customWidth="1"/>
    <col min="5" max="5" width="9" outlineLevel="1"/>
    <col min="6" max="6" width="5.25" bestFit="1" customWidth="1" outlineLevel="1"/>
    <col min="7" max="7" width="9" outlineLevel="1"/>
    <col min="8" max="8" width="7.125" bestFit="1" customWidth="1" outlineLevel="1"/>
    <col min="9" max="9" width="9" outlineLevel="1"/>
    <col min="10" max="10" width="12.875" bestFit="1" customWidth="1" outlineLevel="1"/>
    <col min="11" max="11" width="11" bestFit="1" customWidth="1" outlineLevel="1"/>
    <col min="12" max="12" width="5.25" bestFit="1" customWidth="1" outlineLevel="1"/>
    <col min="13" max="13" width="7.125" bestFit="1" customWidth="1" outlineLevel="1"/>
    <col min="14" max="14" width="11" bestFit="1" customWidth="1" outlineLevel="1"/>
    <col min="15" max="16" width="5.25" bestFit="1" customWidth="1"/>
    <col min="17" max="17" width="5.25" customWidth="1" outlineLevel="1"/>
    <col min="18" max="19" width="3.375" customWidth="1" outlineLevel="1"/>
    <col min="20" max="23" width="5.25" customWidth="1" outlineLevel="1"/>
    <col min="24" max="24" width="3.375" customWidth="1" outlineLevel="1"/>
    <col min="25" max="25" width="5.25" customWidth="1" outlineLevel="1"/>
    <col min="26" max="27" width="7.125" customWidth="1" outlineLevel="1"/>
    <col min="28" max="29" width="3.375" customWidth="1" outlineLevel="1"/>
    <col min="30" max="30" width="5.25" customWidth="1" outlineLevel="1"/>
    <col min="31" max="31" width="5.5" customWidth="1" outlineLevel="1"/>
    <col min="32" max="32" width="3.625" customWidth="1" outlineLevel="1"/>
    <col min="33" max="34" width="5.25" bestFit="1" customWidth="1"/>
    <col min="35" max="35" width="5.125" customWidth="1"/>
    <col min="36" max="39" width="5.125" customWidth="1" outlineLevel="1"/>
    <col min="40" max="40" width="5.125" customWidth="1"/>
    <col min="41" max="41" width="5.125" customWidth="1" outlineLevel="1"/>
    <col min="42" max="42" width="5.125" customWidth="1"/>
    <col min="43" max="45" width="5.125" customWidth="1" outlineLevel="1"/>
    <col min="46" max="46" width="5.125" customWidth="1"/>
    <col min="47" max="49" width="5.125" customWidth="1" outlineLevel="1"/>
  </cols>
  <sheetData>
    <row r="1" spans="1:49" x14ac:dyDescent="0.4">
      <c r="A1" t="s">
        <v>517</v>
      </c>
      <c r="B1" t="s">
        <v>1053</v>
      </c>
      <c r="C1" t="s">
        <v>10</v>
      </c>
      <c r="D1" t="s">
        <v>665</v>
      </c>
      <c r="E1" t="s">
        <v>620</v>
      </c>
      <c r="F1" t="s">
        <v>624</v>
      </c>
      <c r="G1" t="s">
        <v>625</v>
      </c>
      <c r="H1" t="s">
        <v>626</v>
      </c>
      <c r="I1" t="s">
        <v>627</v>
      </c>
      <c r="J1" t="s">
        <v>629</v>
      </c>
      <c r="K1" t="s">
        <v>632</v>
      </c>
      <c r="L1" t="s">
        <v>628</v>
      </c>
      <c r="M1" t="s">
        <v>773</v>
      </c>
      <c r="N1" t="s">
        <v>633</v>
      </c>
      <c r="O1" t="s">
        <v>775</v>
      </c>
      <c r="P1" s="43" t="s">
        <v>479</v>
      </c>
      <c r="Q1" s="43" t="s">
        <v>480</v>
      </c>
      <c r="R1" s="43" t="s">
        <v>481</v>
      </c>
      <c r="S1" s="43" t="s">
        <v>482</v>
      </c>
      <c r="T1" s="42" t="s">
        <v>483</v>
      </c>
      <c r="U1" s="42" t="s">
        <v>484</v>
      </c>
      <c r="V1" s="42" t="s">
        <v>485</v>
      </c>
      <c r="W1" s="44" t="s">
        <v>486</v>
      </c>
      <c r="X1" s="44" t="s">
        <v>487</v>
      </c>
      <c r="Y1" s="44" t="s">
        <v>488</v>
      </c>
      <c r="Z1" s="44" t="s">
        <v>489</v>
      </c>
      <c r="AA1" s="44" t="s">
        <v>490</v>
      </c>
      <c r="AB1" s="36" t="s">
        <v>491</v>
      </c>
      <c r="AC1" s="36" t="s">
        <v>492</v>
      </c>
      <c r="AD1" s="36" t="s">
        <v>493</v>
      </c>
      <c r="AE1" s="56" t="s">
        <v>949</v>
      </c>
      <c r="AF1" s="56" t="s">
        <v>946</v>
      </c>
      <c r="AG1" t="s">
        <v>950</v>
      </c>
      <c r="AH1" s="36" t="s">
        <v>952</v>
      </c>
      <c r="AI1" s="26" t="s">
        <v>248</v>
      </c>
      <c r="AJ1" s="26" t="s">
        <v>1</v>
      </c>
      <c r="AK1" s="26" t="s">
        <v>2</v>
      </c>
      <c r="AL1" s="26" t="s">
        <v>106</v>
      </c>
      <c r="AM1" s="26" t="s">
        <v>105</v>
      </c>
      <c r="AN1" s="27" t="s">
        <v>4</v>
      </c>
      <c r="AO1" s="27" t="s">
        <v>3</v>
      </c>
      <c r="AP1" s="28" t="s">
        <v>227</v>
      </c>
      <c r="AQ1" s="28" t="s">
        <v>228</v>
      </c>
      <c r="AR1" s="28" t="s">
        <v>229</v>
      </c>
      <c r="AS1" s="28" t="s">
        <v>230</v>
      </c>
      <c r="AT1" s="29" t="s">
        <v>231</v>
      </c>
      <c r="AU1" s="29" t="s">
        <v>5</v>
      </c>
      <c r="AV1" s="29" t="s">
        <v>1044</v>
      </c>
      <c r="AW1" s="29" t="s">
        <v>6</v>
      </c>
    </row>
    <row r="2" spans="1:49" x14ac:dyDescent="0.4">
      <c r="A2" t="s">
        <v>1086</v>
      </c>
      <c r="B2" t="s">
        <v>1046</v>
      </c>
      <c r="C2">
        <v>1</v>
      </c>
      <c r="D2" t="s">
        <v>1054</v>
      </c>
    </row>
    <row r="3" spans="1:49" outlineLevel="1" x14ac:dyDescent="0.4">
      <c r="A3" t="s">
        <v>1087</v>
      </c>
      <c r="B3" t="s">
        <v>1046</v>
      </c>
      <c r="C3">
        <v>1</v>
      </c>
      <c r="D3" t="s">
        <v>1055</v>
      </c>
    </row>
    <row r="4" spans="1:49" outlineLevel="1" x14ac:dyDescent="0.4">
      <c r="A4" t="s">
        <v>1088</v>
      </c>
      <c r="B4" t="s">
        <v>1046</v>
      </c>
      <c r="C4">
        <v>1</v>
      </c>
      <c r="D4" t="s">
        <v>1056</v>
      </c>
    </row>
    <row r="5" spans="1:49" outlineLevel="1" x14ac:dyDescent="0.4">
      <c r="A5" t="s">
        <v>1089</v>
      </c>
      <c r="B5" t="s">
        <v>1046</v>
      </c>
      <c r="C5">
        <v>2</v>
      </c>
      <c r="D5" t="s">
        <v>1075</v>
      </c>
    </row>
    <row r="6" spans="1:49" outlineLevel="1" x14ac:dyDescent="0.4">
      <c r="A6" t="s">
        <v>1090</v>
      </c>
      <c r="B6" t="s">
        <v>1046</v>
      </c>
      <c r="C6">
        <v>2</v>
      </c>
      <c r="D6" t="s">
        <v>1076</v>
      </c>
    </row>
    <row r="7" spans="1:49" outlineLevel="1" x14ac:dyDescent="0.4">
      <c r="A7" t="s">
        <v>1091</v>
      </c>
      <c r="B7" t="s">
        <v>1046</v>
      </c>
      <c r="C7">
        <v>2</v>
      </c>
      <c r="D7" t="s">
        <v>1079</v>
      </c>
    </row>
    <row r="8" spans="1:49" outlineLevel="1" x14ac:dyDescent="0.4">
      <c r="A8" t="s">
        <v>1092</v>
      </c>
      <c r="B8" t="s">
        <v>1046</v>
      </c>
      <c r="C8">
        <v>3</v>
      </c>
      <c r="D8" t="s">
        <v>1077</v>
      </c>
    </row>
    <row r="9" spans="1:49" outlineLevel="1" x14ac:dyDescent="0.4">
      <c r="A9" t="s">
        <v>1080</v>
      </c>
      <c r="B9" t="s">
        <v>1046</v>
      </c>
      <c r="C9">
        <v>3</v>
      </c>
      <c r="D9" t="s">
        <v>1082</v>
      </c>
    </row>
    <row r="10" spans="1:49" outlineLevel="1" x14ac:dyDescent="0.4">
      <c r="A10" t="s">
        <v>1083</v>
      </c>
      <c r="B10" t="s">
        <v>1046</v>
      </c>
      <c r="C10">
        <v>3</v>
      </c>
      <c r="D10" t="s">
        <v>1083</v>
      </c>
    </row>
    <row r="11" spans="1:49" outlineLevel="1" x14ac:dyDescent="0.4">
      <c r="A11" t="s">
        <v>1093</v>
      </c>
      <c r="B11" t="s">
        <v>1046</v>
      </c>
      <c r="C11">
        <v>4</v>
      </c>
      <c r="D11" t="s">
        <v>1084</v>
      </c>
    </row>
    <row r="12" spans="1:49" outlineLevel="1" x14ac:dyDescent="0.4">
      <c r="A12" t="s">
        <v>1085</v>
      </c>
      <c r="B12" t="s">
        <v>1046</v>
      </c>
      <c r="C12">
        <v>4</v>
      </c>
      <c r="D12" t="s">
        <v>1078</v>
      </c>
    </row>
    <row r="13" spans="1:49" outlineLevel="1" x14ac:dyDescent="0.4">
      <c r="A13" t="s">
        <v>1094</v>
      </c>
      <c r="B13" t="s">
        <v>1046</v>
      </c>
      <c r="C13">
        <v>4</v>
      </c>
      <c r="D13" t="s">
        <v>1081</v>
      </c>
    </row>
    <row r="14" spans="1:49" outlineLevel="1" x14ac:dyDescent="0.4">
      <c r="B14" t="s">
        <v>1047</v>
      </c>
      <c r="C14">
        <f t="shared" ref="C14:C21" si="0">C11+1</f>
        <v>5</v>
      </c>
    </row>
    <row r="15" spans="1:49" outlineLevel="1" x14ac:dyDescent="0.4">
      <c r="B15" t="s">
        <v>1047</v>
      </c>
      <c r="C15">
        <f t="shared" si="0"/>
        <v>5</v>
      </c>
    </row>
    <row r="16" spans="1:49" outlineLevel="1" x14ac:dyDescent="0.4">
      <c r="B16" t="s">
        <v>1047</v>
      </c>
      <c r="C16">
        <f t="shared" si="0"/>
        <v>5</v>
      </c>
    </row>
    <row r="17" spans="1:4" outlineLevel="1" x14ac:dyDescent="0.4">
      <c r="B17" t="s">
        <v>1047</v>
      </c>
      <c r="C17">
        <f t="shared" si="0"/>
        <v>6</v>
      </c>
    </row>
    <row r="18" spans="1:4" outlineLevel="1" x14ac:dyDescent="0.4">
      <c r="B18" t="s">
        <v>1047</v>
      </c>
      <c r="C18">
        <f t="shared" si="0"/>
        <v>6</v>
      </c>
    </row>
    <row r="19" spans="1:4" outlineLevel="1" x14ac:dyDescent="0.4">
      <c r="B19" t="s">
        <v>1047</v>
      </c>
      <c r="C19">
        <f t="shared" si="0"/>
        <v>6</v>
      </c>
    </row>
    <row r="20" spans="1:4" outlineLevel="1" x14ac:dyDescent="0.4">
      <c r="B20" t="s">
        <v>1047</v>
      </c>
      <c r="C20">
        <f t="shared" si="0"/>
        <v>7</v>
      </c>
    </row>
    <row r="21" spans="1:4" outlineLevel="1" x14ac:dyDescent="0.4">
      <c r="B21" t="s">
        <v>1047</v>
      </c>
      <c r="C21">
        <f t="shared" si="0"/>
        <v>7</v>
      </c>
    </row>
    <row r="22" spans="1:4" outlineLevel="1" x14ac:dyDescent="0.4">
      <c r="A22" t="s">
        <v>517</v>
      </c>
      <c r="B22" t="s">
        <v>1053</v>
      </c>
      <c r="C22" t="s">
        <v>10</v>
      </c>
      <c r="D22" t="s">
        <v>665</v>
      </c>
    </row>
    <row r="23" spans="1:4" x14ac:dyDescent="0.4">
      <c r="A23" t="s">
        <v>1147</v>
      </c>
      <c r="B23" t="s">
        <v>104</v>
      </c>
      <c r="C23">
        <v>1</v>
      </c>
      <c r="D23" t="s">
        <v>1104</v>
      </c>
    </row>
    <row r="24" spans="1:4" outlineLevel="1" x14ac:dyDescent="0.4">
      <c r="A24" t="s">
        <v>1148</v>
      </c>
      <c r="B24" t="s">
        <v>104</v>
      </c>
      <c r="C24">
        <v>1</v>
      </c>
      <c r="D24" t="s">
        <v>1095</v>
      </c>
    </row>
    <row r="25" spans="1:4" outlineLevel="1" x14ac:dyDescent="0.4">
      <c r="A25" t="s">
        <v>1149</v>
      </c>
      <c r="B25" t="s">
        <v>104</v>
      </c>
      <c r="C25">
        <v>1</v>
      </c>
      <c r="D25" t="s">
        <v>1057</v>
      </c>
    </row>
    <row r="26" spans="1:4" outlineLevel="1" x14ac:dyDescent="0.4">
      <c r="A26" t="s">
        <v>1150</v>
      </c>
      <c r="B26" t="s">
        <v>104</v>
      </c>
      <c r="C26">
        <v>2</v>
      </c>
      <c r="D26" t="s">
        <v>1098</v>
      </c>
    </row>
    <row r="27" spans="1:4" outlineLevel="1" x14ac:dyDescent="0.4">
      <c r="A27" t="s">
        <v>1151</v>
      </c>
      <c r="B27" t="s">
        <v>104</v>
      </c>
      <c r="C27">
        <v>2</v>
      </c>
      <c r="D27" t="s">
        <v>1099</v>
      </c>
    </row>
    <row r="28" spans="1:4" outlineLevel="1" x14ac:dyDescent="0.4">
      <c r="A28" t="s">
        <v>1152</v>
      </c>
      <c r="B28" t="s">
        <v>104</v>
      </c>
      <c r="C28">
        <v>2</v>
      </c>
      <c r="D28" t="s">
        <v>1100</v>
      </c>
    </row>
    <row r="29" spans="1:4" outlineLevel="1" x14ac:dyDescent="0.4">
      <c r="A29" t="s">
        <v>1153</v>
      </c>
      <c r="B29" t="s">
        <v>104</v>
      </c>
      <c r="C29">
        <v>3</v>
      </c>
      <c r="D29" t="s">
        <v>1154</v>
      </c>
    </row>
    <row r="30" spans="1:4" outlineLevel="1" x14ac:dyDescent="0.4">
      <c r="A30" t="s">
        <v>1155</v>
      </c>
      <c r="B30" t="s">
        <v>104</v>
      </c>
      <c r="C30">
        <v>3</v>
      </c>
      <c r="D30" t="s">
        <v>1061</v>
      </c>
    </row>
    <row r="31" spans="1:4" outlineLevel="1" x14ac:dyDescent="0.4">
      <c r="A31" t="s">
        <v>1096</v>
      </c>
      <c r="B31" t="s">
        <v>104</v>
      </c>
      <c r="C31">
        <v>3</v>
      </c>
      <c r="D31" t="s">
        <v>1102</v>
      </c>
    </row>
    <row r="32" spans="1:4" outlineLevel="1" x14ac:dyDescent="0.4">
      <c r="A32" t="s">
        <v>1156</v>
      </c>
      <c r="B32" t="s">
        <v>104</v>
      </c>
      <c r="C32">
        <v>4</v>
      </c>
      <c r="D32" t="s">
        <v>1157</v>
      </c>
    </row>
    <row r="33" spans="1:4" outlineLevel="1" x14ac:dyDescent="0.4">
      <c r="A33" t="s">
        <v>1158</v>
      </c>
      <c r="B33" t="s">
        <v>104</v>
      </c>
      <c r="C33">
        <v>4</v>
      </c>
      <c r="D33" t="s">
        <v>1111</v>
      </c>
    </row>
    <row r="34" spans="1:4" outlineLevel="1" x14ac:dyDescent="0.4">
      <c r="A34" t="s">
        <v>1101</v>
      </c>
      <c r="B34" t="s">
        <v>104</v>
      </c>
      <c r="C34">
        <v>4</v>
      </c>
      <c r="D34" t="s">
        <v>1103</v>
      </c>
    </row>
    <row r="35" spans="1:4" outlineLevel="1" x14ac:dyDescent="0.4">
      <c r="B35" t="s">
        <v>1048</v>
      </c>
      <c r="C35">
        <f t="shared" ref="C35:C42" si="1">C32+1</f>
        <v>5</v>
      </c>
    </row>
    <row r="36" spans="1:4" outlineLevel="1" x14ac:dyDescent="0.4">
      <c r="B36" t="s">
        <v>1048</v>
      </c>
      <c r="C36">
        <f t="shared" si="1"/>
        <v>5</v>
      </c>
    </row>
    <row r="37" spans="1:4" outlineLevel="1" x14ac:dyDescent="0.4">
      <c r="B37" t="s">
        <v>1048</v>
      </c>
      <c r="C37">
        <f t="shared" si="1"/>
        <v>5</v>
      </c>
    </row>
    <row r="38" spans="1:4" outlineLevel="1" x14ac:dyDescent="0.4">
      <c r="B38" t="s">
        <v>1048</v>
      </c>
      <c r="C38">
        <f t="shared" si="1"/>
        <v>6</v>
      </c>
    </row>
    <row r="39" spans="1:4" outlineLevel="1" x14ac:dyDescent="0.4">
      <c r="B39" t="s">
        <v>1048</v>
      </c>
      <c r="C39">
        <f t="shared" si="1"/>
        <v>6</v>
      </c>
    </row>
    <row r="40" spans="1:4" outlineLevel="1" x14ac:dyDescent="0.4">
      <c r="B40" t="s">
        <v>1048</v>
      </c>
      <c r="C40">
        <f t="shared" si="1"/>
        <v>6</v>
      </c>
    </row>
    <row r="41" spans="1:4" outlineLevel="1" x14ac:dyDescent="0.4">
      <c r="B41" t="s">
        <v>1048</v>
      </c>
      <c r="C41">
        <f t="shared" si="1"/>
        <v>7</v>
      </c>
    </row>
    <row r="42" spans="1:4" outlineLevel="1" x14ac:dyDescent="0.4">
      <c r="B42" t="s">
        <v>1048</v>
      </c>
      <c r="C42">
        <f t="shared" si="1"/>
        <v>7</v>
      </c>
    </row>
    <row r="43" spans="1:4" outlineLevel="1" x14ac:dyDescent="0.4">
      <c r="A43" t="s">
        <v>517</v>
      </c>
      <c r="B43" t="s">
        <v>1053</v>
      </c>
      <c r="C43" t="s">
        <v>10</v>
      </c>
      <c r="D43" t="s">
        <v>665</v>
      </c>
    </row>
    <row r="44" spans="1:4" x14ac:dyDescent="0.4">
      <c r="A44" t="s">
        <v>1159</v>
      </c>
      <c r="B44" t="s">
        <v>6</v>
      </c>
      <c r="C44">
        <v>1</v>
      </c>
      <c r="D44" t="s">
        <v>1062</v>
      </c>
    </row>
    <row r="45" spans="1:4" outlineLevel="1" x14ac:dyDescent="0.4">
      <c r="A45" t="s">
        <v>1160</v>
      </c>
      <c r="B45" t="s">
        <v>6</v>
      </c>
      <c r="C45">
        <v>1</v>
      </c>
      <c r="D45" t="s">
        <v>1108</v>
      </c>
    </row>
    <row r="46" spans="1:4" outlineLevel="1" x14ac:dyDescent="0.4">
      <c r="A46" t="s">
        <v>1161</v>
      </c>
      <c r="B46" t="s">
        <v>6</v>
      </c>
      <c r="C46">
        <v>1</v>
      </c>
      <c r="D46" t="s">
        <v>1058</v>
      </c>
    </row>
    <row r="47" spans="1:4" outlineLevel="1" x14ac:dyDescent="0.4">
      <c r="A47" t="s">
        <v>1162</v>
      </c>
      <c r="B47" t="s">
        <v>6</v>
      </c>
      <c r="C47">
        <v>2</v>
      </c>
      <c r="D47" t="s">
        <v>1105</v>
      </c>
    </row>
    <row r="48" spans="1:4" outlineLevel="1" x14ac:dyDescent="0.4">
      <c r="A48" t="s">
        <v>1163</v>
      </c>
      <c r="B48" t="s">
        <v>6</v>
      </c>
      <c r="C48">
        <v>2</v>
      </c>
      <c r="D48" t="s">
        <v>1109</v>
      </c>
    </row>
    <row r="49" spans="1:4" outlineLevel="1" x14ac:dyDescent="0.4">
      <c r="A49" t="s">
        <v>1164</v>
      </c>
      <c r="B49" t="s">
        <v>6</v>
      </c>
      <c r="C49">
        <v>2</v>
      </c>
      <c r="D49" t="s">
        <v>1100</v>
      </c>
    </row>
    <row r="50" spans="1:4" outlineLevel="1" x14ac:dyDescent="0.4">
      <c r="A50" t="s">
        <v>1165</v>
      </c>
      <c r="B50" t="s">
        <v>6</v>
      </c>
      <c r="C50">
        <v>3</v>
      </c>
      <c r="D50" t="s">
        <v>1154</v>
      </c>
    </row>
    <row r="51" spans="1:4" outlineLevel="1" x14ac:dyDescent="0.4">
      <c r="A51" t="s">
        <v>1166</v>
      </c>
      <c r="B51" t="s">
        <v>6</v>
      </c>
      <c r="C51">
        <v>3</v>
      </c>
      <c r="D51" t="s">
        <v>1110</v>
      </c>
    </row>
    <row r="52" spans="1:4" outlineLevel="1" x14ac:dyDescent="0.4">
      <c r="A52" t="s">
        <v>1097</v>
      </c>
      <c r="B52" t="s">
        <v>6</v>
      </c>
      <c r="C52">
        <v>3</v>
      </c>
      <c r="D52" t="s">
        <v>1106</v>
      </c>
    </row>
    <row r="53" spans="1:4" outlineLevel="1" x14ac:dyDescent="0.4">
      <c r="A53" t="s">
        <v>1167</v>
      </c>
      <c r="B53" t="s">
        <v>6</v>
      </c>
      <c r="C53">
        <v>4</v>
      </c>
      <c r="D53" t="s">
        <v>1111</v>
      </c>
    </row>
    <row r="54" spans="1:4" outlineLevel="1" x14ac:dyDescent="0.4">
      <c r="A54" t="s">
        <v>1168</v>
      </c>
      <c r="B54" t="s">
        <v>6</v>
      </c>
      <c r="C54">
        <v>4</v>
      </c>
      <c r="D54" t="s">
        <v>1169</v>
      </c>
    </row>
    <row r="55" spans="1:4" outlineLevel="1" x14ac:dyDescent="0.4">
      <c r="A55" t="s">
        <v>1170</v>
      </c>
      <c r="B55" t="s">
        <v>6</v>
      </c>
      <c r="C55">
        <v>4</v>
      </c>
      <c r="D55" t="s">
        <v>1107</v>
      </c>
    </row>
    <row r="56" spans="1:4" outlineLevel="1" x14ac:dyDescent="0.4">
      <c r="B56" t="s">
        <v>1049</v>
      </c>
      <c r="C56">
        <f t="shared" ref="C56:C64" si="2">C53+1</f>
        <v>5</v>
      </c>
    </row>
    <row r="57" spans="1:4" outlineLevel="1" x14ac:dyDescent="0.4">
      <c r="B57" t="s">
        <v>1049</v>
      </c>
      <c r="C57">
        <f t="shared" si="2"/>
        <v>5</v>
      </c>
    </row>
    <row r="58" spans="1:4" outlineLevel="1" x14ac:dyDescent="0.4">
      <c r="B58" t="s">
        <v>1049</v>
      </c>
      <c r="C58">
        <f t="shared" si="2"/>
        <v>5</v>
      </c>
    </row>
    <row r="59" spans="1:4" outlineLevel="1" x14ac:dyDescent="0.4">
      <c r="B59" t="s">
        <v>1049</v>
      </c>
      <c r="C59">
        <f t="shared" si="2"/>
        <v>6</v>
      </c>
    </row>
    <row r="60" spans="1:4" outlineLevel="1" x14ac:dyDescent="0.4">
      <c r="B60" t="s">
        <v>1049</v>
      </c>
      <c r="C60">
        <f t="shared" si="2"/>
        <v>6</v>
      </c>
    </row>
    <row r="61" spans="1:4" outlineLevel="1" x14ac:dyDescent="0.4">
      <c r="B61" t="s">
        <v>1049</v>
      </c>
      <c r="C61">
        <f t="shared" si="2"/>
        <v>6</v>
      </c>
    </row>
    <row r="62" spans="1:4" outlineLevel="1" x14ac:dyDescent="0.4">
      <c r="B62" t="s">
        <v>1049</v>
      </c>
      <c r="C62">
        <f t="shared" si="2"/>
        <v>7</v>
      </c>
    </row>
    <row r="63" spans="1:4" outlineLevel="1" x14ac:dyDescent="0.4">
      <c r="B63" t="s">
        <v>1049</v>
      </c>
      <c r="C63">
        <f t="shared" si="2"/>
        <v>7</v>
      </c>
    </row>
    <row r="64" spans="1:4" outlineLevel="1" x14ac:dyDescent="0.4">
      <c r="B64" t="s">
        <v>1049</v>
      </c>
      <c r="C64">
        <f t="shared" si="2"/>
        <v>7</v>
      </c>
    </row>
    <row r="65" spans="1:4" x14ac:dyDescent="0.4">
      <c r="A65" t="s">
        <v>1135</v>
      </c>
      <c r="B65" t="s">
        <v>673</v>
      </c>
      <c r="C65">
        <v>1</v>
      </c>
      <c r="D65" t="s">
        <v>1063</v>
      </c>
    </row>
    <row r="66" spans="1:4" outlineLevel="1" x14ac:dyDescent="0.4">
      <c r="A66" t="s">
        <v>1136</v>
      </c>
      <c r="B66" t="s">
        <v>673</v>
      </c>
      <c r="C66">
        <v>1</v>
      </c>
      <c r="D66" t="s">
        <v>1069</v>
      </c>
    </row>
    <row r="67" spans="1:4" outlineLevel="1" x14ac:dyDescent="0.4">
      <c r="A67" t="s">
        <v>1137</v>
      </c>
      <c r="B67" t="s">
        <v>673</v>
      </c>
      <c r="C67">
        <v>1</v>
      </c>
      <c r="D67" t="s">
        <v>1059</v>
      </c>
    </row>
    <row r="68" spans="1:4" outlineLevel="1" x14ac:dyDescent="0.4">
      <c r="A68" t="s">
        <v>1138</v>
      </c>
      <c r="B68" t="s">
        <v>673</v>
      </c>
      <c r="C68">
        <v>2</v>
      </c>
      <c r="D68" t="s">
        <v>1065</v>
      </c>
    </row>
    <row r="69" spans="1:4" outlineLevel="1" x14ac:dyDescent="0.4">
      <c r="A69" t="s">
        <v>1139</v>
      </c>
      <c r="B69" t="s">
        <v>673</v>
      </c>
      <c r="C69">
        <v>2</v>
      </c>
      <c r="D69" t="s">
        <v>1066</v>
      </c>
    </row>
    <row r="70" spans="1:4" outlineLevel="1" x14ac:dyDescent="0.4">
      <c r="A70" t="s">
        <v>1140</v>
      </c>
      <c r="B70" t="s">
        <v>673</v>
      </c>
      <c r="C70">
        <v>2</v>
      </c>
      <c r="D70" t="s">
        <v>1070</v>
      </c>
    </row>
    <row r="71" spans="1:4" outlineLevel="1" x14ac:dyDescent="0.4">
      <c r="A71" t="s">
        <v>1141</v>
      </c>
      <c r="B71" t="s">
        <v>673</v>
      </c>
      <c r="C71">
        <v>3</v>
      </c>
      <c r="D71" t="s">
        <v>1069</v>
      </c>
    </row>
    <row r="72" spans="1:4" outlineLevel="1" x14ac:dyDescent="0.4">
      <c r="A72" t="s">
        <v>1142</v>
      </c>
      <c r="B72" t="s">
        <v>673</v>
      </c>
      <c r="C72">
        <v>3</v>
      </c>
      <c r="D72" t="s">
        <v>1072</v>
      </c>
    </row>
    <row r="73" spans="1:4" outlineLevel="1" x14ac:dyDescent="0.4">
      <c r="A73" t="s">
        <v>1143</v>
      </c>
      <c r="B73" t="s">
        <v>673</v>
      </c>
      <c r="C73">
        <v>3</v>
      </c>
      <c r="D73" t="s">
        <v>1067</v>
      </c>
    </row>
    <row r="74" spans="1:4" outlineLevel="1" x14ac:dyDescent="0.4">
      <c r="A74" t="s">
        <v>1144</v>
      </c>
      <c r="B74" t="s">
        <v>673</v>
      </c>
      <c r="C74">
        <v>4</v>
      </c>
      <c r="D74" t="s">
        <v>1071</v>
      </c>
    </row>
    <row r="75" spans="1:4" outlineLevel="1" x14ac:dyDescent="0.4">
      <c r="A75" t="s">
        <v>1145</v>
      </c>
      <c r="B75" t="s">
        <v>673</v>
      </c>
      <c r="C75">
        <v>4</v>
      </c>
      <c r="D75" t="s">
        <v>1074</v>
      </c>
    </row>
    <row r="76" spans="1:4" outlineLevel="1" x14ac:dyDescent="0.4">
      <c r="A76" t="s">
        <v>1146</v>
      </c>
      <c r="B76" t="s">
        <v>673</v>
      </c>
      <c r="C76">
        <v>4</v>
      </c>
      <c r="D76" t="s">
        <v>1073</v>
      </c>
    </row>
    <row r="77" spans="1:4" outlineLevel="1" x14ac:dyDescent="0.4">
      <c r="B77" t="s">
        <v>1050</v>
      </c>
      <c r="C77">
        <f t="shared" ref="C77:C85" si="3">C74+1</f>
        <v>5</v>
      </c>
    </row>
    <row r="78" spans="1:4" outlineLevel="1" x14ac:dyDescent="0.4">
      <c r="B78" t="s">
        <v>1050</v>
      </c>
      <c r="C78">
        <f t="shared" si="3"/>
        <v>5</v>
      </c>
    </row>
    <row r="79" spans="1:4" outlineLevel="1" x14ac:dyDescent="0.4">
      <c r="B79" t="s">
        <v>1050</v>
      </c>
      <c r="C79">
        <f t="shared" si="3"/>
        <v>5</v>
      </c>
    </row>
    <row r="80" spans="1:4" outlineLevel="1" x14ac:dyDescent="0.4">
      <c r="B80" t="s">
        <v>1050</v>
      </c>
      <c r="C80">
        <f t="shared" si="3"/>
        <v>6</v>
      </c>
    </row>
    <row r="81" spans="1:4" outlineLevel="1" x14ac:dyDescent="0.4">
      <c r="B81" t="s">
        <v>1050</v>
      </c>
      <c r="C81">
        <f t="shared" si="3"/>
        <v>6</v>
      </c>
    </row>
    <row r="82" spans="1:4" outlineLevel="1" x14ac:dyDescent="0.4">
      <c r="B82" t="s">
        <v>1050</v>
      </c>
      <c r="C82">
        <f t="shared" si="3"/>
        <v>6</v>
      </c>
    </row>
    <row r="83" spans="1:4" outlineLevel="1" x14ac:dyDescent="0.4">
      <c r="B83" t="s">
        <v>1050</v>
      </c>
      <c r="C83">
        <f t="shared" si="3"/>
        <v>7</v>
      </c>
    </row>
    <row r="84" spans="1:4" outlineLevel="1" x14ac:dyDescent="0.4">
      <c r="B84" t="s">
        <v>1050</v>
      </c>
      <c r="C84">
        <f t="shared" si="3"/>
        <v>7</v>
      </c>
    </row>
    <row r="85" spans="1:4" outlineLevel="1" x14ac:dyDescent="0.4">
      <c r="B85" t="s">
        <v>1050</v>
      </c>
      <c r="C85">
        <f t="shared" si="3"/>
        <v>7</v>
      </c>
    </row>
    <row r="86" spans="1:4" outlineLevel="1" x14ac:dyDescent="0.4">
      <c r="A86" t="s">
        <v>1118</v>
      </c>
      <c r="B86" t="s">
        <v>1051</v>
      </c>
      <c r="C86">
        <v>1</v>
      </c>
      <c r="D86" t="s">
        <v>1064</v>
      </c>
    </row>
    <row r="87" spans="1:4" x14ac:dyDescent="0.4">
      <c r="A87" t="s">
        <v>1119</v>
      </c>
      <c r="B87" t="s">
        <v>1051</v>
      </c>
      <c r="C87">
        <v>1</v>
      </c>
      <c r="D87" t="s">
        <v>1112</v>
      </c>
    </row>
    <row r="88" spans="1:4" outlineLevel="1" x14ac:dyDescent="0.4">
      <c r="A88" t="s">
        <v>1120</v>
      </c>
      <c r="B88" t="s">
        <v>1051</v>
      </c>
      <c r="C88">
        <v>1</v>
      </c>
      <c r="D88" t="s">
        <v>1060</v>
      </c>
    </row>
    <row r="89" spans="1:4" outlineLevel="1" x14ac:dyDescent="0.4">
      <c r="A89" t="s">
        <v>1121</v>
      </c>
      <c r="B89" t="s">
        <v>1051</v>
      </c>
      <c r="C89">
        <v>2</v>
      </c>
      <c r="D89" t="s">
        <v>1122</v>
      </c>
    </row>
    <row r="90" spans="1:4" outlineLevel="1" x14ac:dyDescent="0.4">
      <c r="A90" t="s">
        <v>1123</v>
      </c>
      <c r="B90" t="s">
        <v>1051</v>
      </c>
      <c r="C90">
        <v>2</v>
      </c>
      <c r="D90" t="s">
        <v>1114</v>
      </c>
    </row>
    <row r="91" spans="1:4" outlineLevel="1" x14ac:dyDescent="0.4">
      <c r="A91" t="s">
        <v>1124</v>
      </c>
      <c r="B91" t="s">
        <v>1051</v>
      </c>
      <c r="C91">
        <v>2</v>
      </c>
      <c r="D91" t="s">
        <v>1125</v>
      </c>
    </row>
    <row r="92" spans="1:4" outlineLevel="1" x14ac:dyDescent="0.4">
      <c r="A92" t="s">
        <v>1113</v>
      </c>
      <c r="B92" t="s">
        <v>1051</v>
      </c>
      <c r="C92">
        <v>3</v>
      </c>
      <c r="D92" t="s">
        <v>1126</v>
      </c>
    </row>
    <row r="93" spans="1:4" outlineLevel="1" x14ac:dyDescent="0.4">
      <c r="A93" t="s">
        <v>1115</v>
      </c>
      <c r="B93" t="s">
        <v>1051</v>
      </c>
      <c r="C93">
        <v>3</v>
      </c>
      <c r="D93" t="s">
        <v>1116</v>
      </c>
    </row>
    <row r="94" spans="1:4" outlineLevel="1" x14ac:dyDescent="0.4">
      <c r="A94" t="s">
        <v>1127</v>
      </c>
      <c r="B94" t="s">
        <v>1051</v>
      </c>
      <c r="C94">
        <v>3</v>
      </c>
      <c r="D94" t="s">
        <v>1128</v>
      </c>
    </row>
    <row r="95" spans="1:4" outlineLevel="1" x14ac:dyDescent="0.4">
      <c r="A95" t="s">
        <v>1129</v>
      </c>
      <c r="B95" t="s">
        <v>1051</v>
      </c>
      <c r="C95">
        <v>4</v>
      </c>
      <c r="D95" t="s">
        <v>1130</v>
      </c>
    </row>
    <row r="96" spans="1:4" outlineLevel="1" x14ac:dyDescent="0.4">
      <c r="A96" t="s">
        <v>1131</v>
      </c>
      <c r="B96" t="s">
        <v>1051</v>
      </c>
      <c r="C96">
        <v>4</v>
      </c>
      <c r="D96" t="s">
        <v>1132</v>
      </c>
    </row>
    <row r="97" spans="1:4" outlineLevel="1" x14ac:dyDescent="0.4">
      <c r="A97" t="s">
        <v>1133</v>
      </c>
      <c r="B97" t="s">
        <v>1051</v>
      </c>
      <c r="C97">
        <v>4</v>
      </c>
      <c r="D97" t="s">
        <v>1134</v>
      </c>
    </row>
    <row r="98" spans="1:4" outlineLevel="1" x14ac:dyDescent="0.4">
      <c r="B98" t="s">
        <v>1052</v>
      </c>
      <c r="C98">
        <f t="shared" ref="C98:C106" si="4">C95+1</f>
        <v>5</v>
      </c>
    </row>
    <row r="99" spans="1:4" outlineLevel="1" x14ac:dyDescent="0.4">
      <c r="B99" t="s">
        <v>1052</v>
      </c>
      <c r="C99">
        <f t="shared" si="4"/>
        <v>5</v>
      </c>
    </row>
    <row r="100" spans="1:4" outlineLevel="1" x14ac:dyDescent="0.4">
      <c r="B100" t="s">
        <v>1052</v>
      </c>
      <c r="C100">
        <f t="shared" si="4"/>
        <v>5</v>
      </c>
    </row>
    <row r="101" spans="1:4" outlineLevel="1" x14ac:dyDescent="0.4">
      <c r="B101" t="s">
        <v>1052</v>
      </c>
      <c r="C101">
        <f t="shared" si="4"/>
        <v>6</v>
      </c>
    </row>
    <row r="102" spans="1:4" outlineLevel="1" x14ac:dyDescent="0.4">
      <c r="B102" t="s">
        <v>1052</v>
      </c>
      <c r="C102">
        <f t="shared" si="4"/>
        <v>6</v>
      </c>
    </row>
    <row r="103" spans="1:4" outlineLevel="1" x14ac:dyDescent="0.4">
      <c r="B103" t="s">
        <v>1052</v>
      </c>
      <c r="C103">
        <f t="shared" si="4"/>
        <v>6</v>
      </c>
    </row>
    <row r="104" spans="1:4" outlineLevel="1" x14ac:dyDescent="0.4">
      <c r="B104" t="s">
        <v>1052</v>
      </c>
      <c r="C104">
        <f t="shared" si="4"/>
        <v>7</v>
      </c>
    </row>
    <row r="105" spans="1:4" outlineLevel="1" x14ac:dyDescent="0.4">
      <c r="B105" t="s">
        <v>1052</v>
      </c>
      <c r="C105">
        <f t="shared" si="4"/>
        <v>7</v>
      </c>
    </row>
    <row r="106" spans="1:4" outlineLevel="1" x14ac:dyDescent="0.4">
      <c r="B106" t="s">
        <v>1052</v>
      </c>
      <c r="C106">
        <f t="shared" si="4"/>
        <v>7</v>
      </c>
    </row>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999</v>
      </c>
      <c r="B1" s="10" t="s">
        <v>9</v>
      </c>
      <c r="C1" s="3" t="s">
        <v>1185</v>
      </c>
      <c r="D1" s="4" t="s">
        <v>1186</v>
      </c>
      <c r="E1" s="4" t="s">
        <v>1009</v>
      </c>
      <c r="F1" s="5" t="s">
        <v>1003</v>
      </c>
      <c r="G1" s="18" t="s">
        <v>622</v>
      </c>
      <c r="H1" s="21" t="s">
        <v>623</v>
      </c>
      <c r="I1" s="18" t="s">
        <v>621</v>
      </c>
      <c r="J1" s="21" t="s">
        <v>1004</v>
      </c>
      <c r="K1" s="21" t="s">
        <v>1220</v>
      </c>
      <c r="L1" s="38"/>
      <c r="M1" s="37" t="s">
        <v>216</v>
      </c>
      <c r="N1" s="37" t="s">
        <v>315</v>
      </c>
      <c r="O1" s="37" t="s">
        <v>176</v>
      </c>
      <c r="P1" s="37" t="s">
        <v>147</v>
      </c>
      <c r="Q1" s="37" t="s">
        <v>177</v>
      </c>
      <c r="R1" s="37" t="s">
        <v>706</v>
      </c>
      <c r="S1" s="37" t="s">
        <v>148</v>
      </c>
      <c r="T1" s="37" t="s">
        <v>149</v>
      </c>
      <c r="U1" s="37" t="s">
        <v>150</v>
      </c>
      <c r="V1" s="37" t="s">
        <v>151</v>
      </c>
      <c r="W1" s="37" t="s">
        <v>137</v>
      </c>
      <c r="X1" s="37" t="s">
        <v>152</v>
      </c>
      <c r="Y1" s="37" t="s">
        <v>18</v>
      </c>
      <c r="Z1" s="37" t="s">
        <v>324</v>
      </c>
      <c r="AA1" s="37" t="s">
        <v>140</v>
      </c>
      <c r="AB1" s="37" t="s">
        <v>112</v>
      </c>
      <c r="AC1" s="37" t="s">
        <v>153</v>
      </c>
      <c r="AD1" s="37" t="s">
        <v>154</v>
      </c>
      <c r="AE1" s="37" t="s">
        <v>155</v>
      </c>
      <c r="AF1" s="37" t="s">
        <v>156</v>
      </c>
      <c r="AG1" s="22" t="s">
        <v>11</v>
      </c>
      <c r="AH1" s="22" t="s">
        <v>1289</v>
      </c>
      <c r="AI1" s="22" t="s">
        <v>1290</v>
      </c>
      <c r="AJ1" s="22" t="s">
        <v>13</v>
      </c>
      <c r="AK1" s="22" t="s">
        <v>15</v>
      </c>
      <c r="AL1" s="22" t="s">
        <v>17</v>
      </c>
      <c r="AM1" s="22" t="s">
        <v>18</v>
      </c>
      <c r="AN1" s="22" t="s">
        <v>20</v>
      </c>
      <c r="AO1" s="22" t="s">
        <v>22</v>
      </c>
      <c r="AP1" s="22" t="s">
        <v>29</v>
      </c>
      <c r="AQ1" s="26" t="s">
        <v>248</v>
      </c>
      <c r="AR1" s="26" t="s">
        <v>1</v>
      </c>
      <c r="AS1" s="26" t="s">
        <v>2</v>
      </c>
      <c r="AT1" s="26" t="s">
        <v>106</v>
      </c>
      <c r="AU1" s="26" t="s">
        <v>105</v>
      </c>
      <c r="AV1" s="27" t="s">
        <v>4</v>
      </c>
      <c r="AW1" s="27" t="s">
        <v>3</v>
      </c>
      <c r="AX1" s="28" t="s">
        <v>227</v>
      </c>
      <c r="AY1" s="28" t="s">
        <v>228</v>
      </c>
      <c r="AZ1" s="28" t="s">
        <v>229</v>
      </c>
      <c r="BA1" s="28" t="s">
        <v>230</v>
      </c>
      <c r="BB1" s="29" t="s">
        <v>231</v>
      </c>
      <c r="BC1" s="29" t="s">
        <v>5</v>
      </c>
      <c r="BD1" s="29" t="s">
        <v>1044</v>
      </c>
      <c r="BE1" s="29" t="s">
        <v>6</v>
      </c>
      <c r="BF1" s="20" t="s">
        <v>146</v>
      </c>
      <c r="BG1" s="20" t="s">
        <v>178</v>
      </c>
      <c r="BH1" s="20" t="s">
        <v>707</v>
      </c>
      <c r="BI1" s="20" t="s">
        <v>1283</v>
      </c>
      <c r="BJ1" s="20" t="s">
        <v>1284</v>
      </c>
      <c r="BK1" s="20" t="s">
        <v>1285</v>
      </c>
      <c r="BL1" s="20" t="s">
        <v>133</v>
      </c>
      <c r="BM1" s="20" t="s">
        <v>134</v>
      </c>
      <c r="BN1" s="20" t="s">
        <v>135</v>
      </c>
      <c r="BO1" s="20" t="s">
        <v>136</v>
      </c>
      <c r="BP1" s="20" t="s">
        <v>138</v>
      </c>
      <c r="BQ1" s="20" t="s">
        <v>139</v>
      </c>
      <c r="BR1" s="20" t="s">
        <v>141</v>
      </c>
      <c r="BS1" s="20" t="s">
        <v>323</v>
      </c>
      <c r="BT1" s="20" t="s">
        <v>142</v>
      </c>
      <c r="BU1" s="20" t="s">
        <v>143</v>
      </c>
      <c r="BV1" s="20" t="s">
        <v>144</v>
      </c>
      <c r="BW1" s="20" t="s">
        <v>145</v>
      </c>
      <c r="BX1" s="20" t="s">
        <v>157</v>
      </c>
      <c r="BY1" s="20" t="s">
        <v>158</v>
      </c>
      <c r="BZ1" s="23" t="s">
        <v>162</v>
      </c>
      <c r="CA1" s="23" t="s">
        <v>163</v>
      </c>
      <c r="CB1" s="23" t="s">
        <v>164</v>
      </c>
      <c r="CC1" s="23" t="s">
        <v>165</v>
      </c>
      <c r="CD1" s="23" t="s">
        <v>166</v>
      </c>
      <c r="CE1" s="23" t="s">
        <v>167</v>
      </c>
      <c r="CF1" s="23" t="s">
        <v>168</v>
      </c>
      <c r="CG1" s="23" t="s">
        <v>169</v>
      </c>
      <c r="CH1" s="23" t="s">
        <v>170</v>
      </c>
      <c r="CI1" s="23" t="s">
        <v>171</v>
      </c>
      <c r="CJ1" s="23" t="s">
        <v>861</v>
      </c>
    </row>
    <row r="2" spans="1:88" s="10" customFormat="1" ht="36" x14ac:dyDescent="0.4">
      <c r="B2" s="10" t="s">
        <v>1187</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1188</v>
      </c>
      <c r="C3" t="s">
        <v>962</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1189</v>
      </c>
      <c r="C4" t="s">
        <v>962</v>
      </c>
      <c r="E4">
        <f t="shared" ref="E4:E42" si="1">MAX(F4:K4)</f>
        <v>4</v>
      </c>
      <c r="G4">
        <v>4</v>
      </c>
      <c r="S4">
        <f>$G4*15</f>
        <v>60</v>
      </c>
    </row>
    <row r="5" spans="1:88" outlineLevel="1" x14ac:dyDescent="0.4">
      <c r="A5" t="str">
        <f t="shared" si="0"/>
        <v>炎付与Ⅲ</v>
      </c>
      <c r="B5" t="s">
        <v>1190</v>
      </c>
      <c r="C5" t="s">
        <v>962</v>
      </c>
      <c r="E5">
        <f t="shared" si="1"/>
        <v>6</v>
      </c>
      <c r="G5">
        <v>6</v>
      </c>
      <c r="S5">
        <f>$G5*15</f>
        <v>90</v>
      </c>
    </row>
    <row r="6" spans="1:88" outlineLevel="1" x14ac:dyDescent="0.4">
      <c r="A6" t="str">
        <f>"氷付与"&amp;B6</f>
        <v>氷付与Ⅰ</v>
      </c>
      <c r="B6" t="s">
        <v>1188</v>
      </c>
      <c r="C6" t="s">
        <v>962</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1189</v>
      </c>
      <c r="C7" t="s">
        <v>962</v>
      </c>
      <c r="E7">
        <f t="shared" si="1"/>
        <v>4</v>
      </c>
      <c r="G7">
        <v>4</v>
      </c>
      <c r="T7">
        <f>$G7*15</f>
        <v>60</v>
      </c>
    </row>
    <row r="8" spans="1:88" outlineLevel="1" x14ac:dyDescent="0.4">
      <c r="A8" t="str">
        <f t="shared" si="2"/>
        <v>氷付与Ⅲ</v>
      </c>
      <c r="B8" t="s">
        <v>1190</v>
      </c>
      <c r="C8" t="s">
        <v>962</v>
      </c>
      <c r="E8">
        <f t="shared" si="1"/>
        <v>6</v>
      </c>
      <c r="G8">
        <v>6</v>
      </c>
      <c r="T8">
        <f>$G8*15</f>
        <v>90</v>
      </c>
    </row>
    <row r="9" spans="1:88" outlineLevel="1" x14ac:dyDescent="0.4">
      <c r="A9" t="str">
        <f>"雷付与"&amp;B9</f>
        <v>雷付与Ⅰ</v>
      </c>
      <c r="B9" t="s">
        <v>1188</v>
      </c>
      <c r="C9" t="s">
        <v>962</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1189</v>
      </c>
      <c r="C10" t="s">
        <v>962</v>
      </c>
      <c r="E10">
        <f t="shared" si="1"/>
        <v>4</v>
      </c>
      <c r="G10">
        <v>4</v>
      </c>
      <c r="U10">
        <f>$G10*15</f>
        <v>60</v>
      </c>
    </row>
    <row r="11" spans="1:88" outlineLevel="1" x14ac:dyDescent="0.4">
      <c r="A11" t="str">
        <f t="shared" si="3"/>
        <v>雷付与Ⅲ</v>
      </c>
      <c r="B11" t="s">
        <v>1190</v>
      </c>
      <c r="C11" t="s">
        <v>962</v>
      </c>
      <c r="E11">
        <f t="shared" si="1"/>
        <v>6</v>
      </c>
      <c r="G11">
        <v>6</v>
      </c>
      <c r="U11">
        <f>$G11*15</f>
        <v>90</v>
      </c>
    </row>
    <row r="12" spans="1:88" outlineLevel="1" x14ac:dyDescent="0.4">
      <c r="A12" t="str">
        <f>"毒付与"&amp;B12</f>
        <v>毒付与Ⅰ</v>
      </c>
      <c r="B12" t="s">
        <v>1188</v>
      </c>
      <c r="C12" t="s">
        <v>962</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1189</v>
      </c>
      <c r="C13" t="s">
        <v>962</v>
      </c>
      <c r="E13">
        <f t="shared" si="1"/>
        <v>4</v>
      </c>
      <c r="G13">
        <v>4</v>
      </c>
      <c r="V13">
        <f>$G13*15</f>
        <v>60</v>
      </c>
      <c r="X13" s="17"/>
    </row>
    <row r="14" spans="1:88" outlineLevel="1" x14ac:dyDescent="0.4">
      <c r="A14" t="str">
        <f t="shared" si="4"/>
        <v>毒付与Ⅲ</v>
      </c>
      <c r="B14" t="s">
        <v>1190</v>
      </c>
      <c r="C14" t="s">
        <v>962</v>
      </c>
      <c r="E14">
        <f t="shared" si="1"/>
        <v>6</v>
      </c>
      <c r="G14">
        <v>6</v>
      </c>
      <c r="V14">
        <f>$G14*15</f>
        <v>90</v>
      </c>
      <c r="X14" s="17"/>
    </row>
    <row r="15" spans="1:88" outlineLevel="1" x14ac:dyDescent="0.4">
      <c r="A15" t="str">
        <f>"光付与"&amp;B15</f>
        <v>光付与Ⅰ</v>
      </c>
      <c r="B15" t="s">
        <v>1188</v>
      </c>
      <c r="C15" t="s">
        <v>962</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1189</v>
      </c>
      <c r="C16" t="s">
        <v>962</v>
      </c>
      <c r="E16">
        <f t="shared" si="1"/>
        <v>4</v>
      </c>
      <c r="H16">
        <v>4</v>
      </c>
      <c r="W16">
        <f t="shared" ref="W16:W17" si="6">$H16*15</f>
        <v>60</v>
      </c>
      <c r="X16" s="17"/>
    </row>
    <row r="17" spans="1:68" outlineLevel="1" x14ac:dyDescent="0.4">
      <c r="A17" t="str">
        <f t="shared" si="5"/>
        <v>光付与Ⅲ</v>
      </c>
      <c r="B17" t="s">
        <v>1190</v>
      </c>
      <c r="C17" t="s">
        <v>962</v>
      </c>
      <c r="E17">
        <f t="shared" si="1"/>
        <v>6</v>
      </c>
      <c r="H17">
        <v>6</v>
      </c>
      <c r="W17">
        <f t="shared" si="6"/>
        <v>90</v>
      </c>
      <c r="X17" s="17"/>
    </row>
    <row r="18" spans="1:68" outlineLevel="1" x14ac:dyDescent="0.4">
      <c r="A18" t="str">
        <f>"闇付与"&amp;B18</f>
        <v>闇付与Ⅰ</v>
      </c>
      <c r="B18" t="s">
        <v>1188</v>
      </c>
      <c r="C18" t="s">
        <v>962</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1189</v>
      </c>
      <c r="C19" t="s">
        <v>962</v>
      </c>
      <c r="E19">
        <f t="shared" si="1"/>
        <v>4</v>
      </c>
      <c r="G19">
        <v>4</v>
      </c>
      <c r="X19">
        <f>$G19*15</f>
        <v>60</v>
      </c>
    </row>
    <row r="20" spans="1:68" outlineLevel="1" x14ac:dyDescent="0.4">
      <c r="A20" t="str">
        <f t="shared" si="7"/>
        <v>闇付与Ⅲ</v>
      </c>
      <c r="B20" t="s">
        <v>1190</v>
      </c>
      <c r="C20" t="s">
        <v>962</v>
      </c>
      <c r="E20">
        <f t="shared" si="1"/>
        <v>6</v>
      </c>
      <c r="G20">
        <v>6</v>
      </c>
      <c r="X20">
        <f t="shared" ref="X20" si="8">$G20*15</f>
        <v>90</v>
      </c>
    </row>
    <row r="21" spans="1:68" outlineLevel="1" x14ac:dyDescent="0.4">
      <c r="A21" s="2"/>
    </row>
    <row r="22" spans="1:68" outlineLevel="1" x14ac:dyDescent="0.4">
      <c r="A22" t="s">
        <v>1191</v>
      </c>
      <c r="C22" t="s">
        <v>1214</v>
      </c>
      <c r="E22">
        <f t="shared" si="1"/>
        <v>1</v>
      </c>
      <c r="H22" s="17">
        <v>1</v>
      </c>
      <c r="AG22">
        <v>5</v>
      </c>
    </row>
    <row r="23" spans="1:68" outlineLevel="1" x14ac:dyDescent="0.4">
      <c r="A23" t="s">
        <v>1192</v>
      </c>
      <c r="C23" t="s">
        <v>1214</v>
      </c>
      <c r="E23">
        <f t="shared" si="1"/>
        <v>3</v>
      </c>
      <c r="H23" s="17">
        <v>3</v>
      </c>
      <c r="AG23">
        <v>10</v>
      </c>
    </row>
    <row r="24" spans="1:68" outlineLevel="1" x14ac:dyDescent="0.4">
      <c r="A24" t="s">
        <v>1193</v>
      </c>
      <c r="C24" t="s">
        <v>1214</v>
      </c>
      <c r="E24">
        <f t="shared" si="1"/>
        <v>5</v>
      </c>
      <c r="H24" s="17">
        <v>5</v>
      </c>
      <c r="AG24">
        <v>15</v>
      </c>
    </row>
    <row r="25" spans="1:68" outlineLevel="1" x14ac:dyDescent="0.4">
      <c r="A25" t="s">
        <v>1194</v>
      </c>
      <c r="C25" t="s">
        <v>1215</v>
      </c>
      <c r="E25">
        <f t="shared" si="1"/>
        <v>1</v>
      </c>
      <c r="G25">
        <v>1</v>
      </c>
      <c r="AJ25">
        <v>10</v>
      </c>
    </row>
    <row r="26" spans="1:68" outlineLevel="1" x14ac:dyDescent="0.4">
      <c r="A26" t="s">
        <v>1195</v>
      </c>
      <c r="C26" t="s">
        <v>1215</v>
      </c>
      <c r="E26">
        <f t="shared" si="1"/>
        <v>3</v>
      </c>
      <c r="G26">
        <v>3</v>
      </c>
      <c r="AJ26">
        <v>30</v>
      </c>
    </row>
    <row r="27" spans="1:68" outlineLevel="1" x14ac:dyDescent="0.4">
      <c r="A27" t="s">
        <v>1196</v>
      </c>
      <c r="C27" t="s">
        <v>1215</v>
      </c>
      <c r="E27">
        <f t="shared" si="1"/>
        <v>5</v>
      </c>
      <c r="G27">
        <v>5</v>
      </c>
      <c r="AJ27">
        <v>50</v>
      </c>
    </row>
    <row r="28" spans="1:68" outlineLevel="1" x14ac:dyDescent="0.4">
      <c r="A28" t="s">
        <v>1197</v>
      </c>
      <c r="C28" t="s">
        <v>1214</v>
      </c>
      <c r="E28">
        <f t="shared" si="1"/>
        <v>1</v>
      </c>
      <c r="G28">
        <v>1</v>
      </c>
      <c r="AK28">
        <v>10</v>
      </c>
    </row>
    <row r="29" spans="1:68" outlineLevel="1" x14ac:dyDescent="0.4">
      <c r="A29" t="s">
        <v>1198</v>
      </c>
      <c r="C29" t="s">
        <v>1214</v>
      </c>
      <c r="E29">
        <f t="shared" si="1"/>
        <v>3</v>
      </c>
      <c r="G29">
        <v>3</v>
      </c>
      <c r="AK29">
        <v>30</v>
      </c>
    </row>
    <row r="30" spans="1:68" outlineLevel="1" x14ac:dyDescent="0.4">
      <c r="A30" t="s">
        <v>1199</v>
      </c>
      <c r="C30" t="s">
        <v>1214</v>
      </c>
      <c r="E30">
        <f t="shared" si="1"/>
        <v>5</v>
      </c>
      <c r="G30">
        <v>5</v>
      </c>
      <c r="AK30">
        <v>50</v>
      </c>
    </row>
    <row r="31" spans="1:68" outlineLevel="1" x14ac:dyDescent="0.4">
      <c r="A31" t="s">
        <v>1200</v>
      </c>
      <c r="C31" t="s">
        <v>1217</v>
      </c>
      <c r="E31">
        <f t="shared" si="1"/>
        <v>1</v>
      </c>
      <c r="G31">
        <v>1</v>
      </c>
      <c r="AL31">
        <v>10</v>
      </c>
    </row>
    <row r="32" spans="1:68" outlineLevel="1" x14ac:dyDescent="0.4">
      <c r="A32" t="s">
        <v>1201</v>
      </c>
      <c r="C32" t="s">
        <v>1217</v>
      </c>
      <c r="E32">
        <f t="shared" si="1"/>
        <v>3</v>
      </c>
      <c r="G32">
        <v>3</v>
      </c>
      <c r="AL32">
        <v>30</v>
      </c>
    </row>
    <row r="33" spans="1:41" ht="19.5" customHeight="1" outlineLevel="1" x14ac:dyDescent="0.4">
      <c r="A33" t="s">
        <v>1202</v>
      </c>
      <c r="C33" t="s">
        <v>1217</v>
      </c>
      <c r="E33">
        <f t="shared" si="1"/>
        <v>5</v>
      </c>
      <c r="G33">
        <v>5</v>
      </c>
      <c r="AL33">
        <v>50</v>
      </c>
    </row>
    <row r="34" spans="1:41" outlineLevel="1" x14ac:dyDescent="0.4">
      <c r="A34" t="s">
        <v>1203</v>
      </c>
      <c r="C34" t="s">
        <v>1218</v>
      </c>
      <c r="E34">
        <f t="shared" si="1"/>
        <v>1</v>
      </c>
      <c r="H34" s="17">
        <v>1</v>
      </c>
      <c r="AM34">
        <v>10</v>
      </c>
    </row>
    <row r="35" spans="1:41" outlineLevel="1" x14ac:dyDescent="0.4">
      <c r="A35" t="s">
        <v>1204</v>
      </c>
      <c r="C35" t="s">
        <v>1218</v>
      </c>
      <c r="E35">
        <f t="shared" si="1"/>
        <v>3</v>
      </c>
      <c r="H35" s="17">
        <v>3</v>
      </c>
      <c r="AM35">
        <v>30</v>
      </c>
    </row>
    <row r="36" spans="1:41" outlineLevel="1" x14ac:dyDescent="0.4">
      <c r="A36" t="s">
        <v>1205</v>
      </c>
      <c r="C36" t="s">
        <v>1218</v>
      </c>
      <c r="E36">
        <f t="shared" si="1"/>
        <v>5</v>
      </c>
      <c r="H36" s="17">
        <v>5</v>
      </c>
      <c r="AM36">
        <v>50</v>
      </c>
    </row>
    <row r="37" spans="1:41" outlineLevel="1" x14ac:dyDescent="0.4">
      <c r="A37" t="s">
        <v>1206</v>
      </c>
      <c r="C37" t="s">
        <v>1179</v>
      </c>
      <c r="E37">
        <f t="shared" si="1"/>
        <v>1</v>
      </c>
      <c r="G37">
        <v>1</v>
      </c>
      <c r="AN37">
        <v>10</v>
      </c>
    </row>
    <row r="38" spans="1:41" outlineLevel="1" x14ac:dyDescent="0.4">
      <c r="A38" t="s">
        <v>1207</v>
      </c>
      <c r="C38" t="s">
        <v>1179</v>
      </c>
      <c r="E38">
        <f t="shared" si="1"/>
        <v>3</v>
      </c>
      <c r="G38">
        <v>3</v>
      </c>
      <c r="AN38">
        <v>30</v>
      </c>
    </row>
    <row r="39" spans="1:41" outlineLevel="1" x14ac:dyDescent="0.4">
      <c r="A39" t="s">
        <v>1208</v>
      </c>
      <c r="C39" t="s">
        <v>1179</v>
      </c>
      <c r="E39">
        <f t="shared" si="1"/>
        <v>5</v>
      </c>
      <c r="G39">
        <v>5</v>
      </c>
      <c r="AN39">
        <v>50</v>
      </c>
    </row>
    <row r="40" spans="1:41" outlineLevel="1" x14ac:dyDescent="0.4">
      <c r="A40" t="s">
        <v>1209</v>
      </c>
      <c r="C40" t="s">
        <v>1212</v>
      </c>
      <c r="E40">
        <f t="shared" si="1"/>
        <v>1</v>
      </c>
      <c r="G40">
        <v>1</v>
      </c>
      <c r="AO40">
        <v>10</v>
      </c>
    </row>
    <row r="41" spans="1:41" outlineLevel="1" x14ac:dyDescent="0.4">
      <c r="A41" t="s">
        <v>1210</v>
      </c>
      <c r="C41" t="s">
        <v>1212</v>
      </c>
      <c r="E41">
        <f t="shared" si="1"/>
        <v>3</v>
      </c>
      <c r="G41">
        <v>3</v>
      </c>
      <c r="AO41">
        <v>30</v>
      </c>
    </row>
    <row r="42" spans="1:41" outlineLevel="1" x14ac:dyDescent="0.4">
      <c r="A42" t="s">
        <v>1211</v>
      </c>
      <c r="C42" t="s">
        <v>1212</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Q15"/>
  <sheetViews>
    <sheetView workbookViewId="0">
      <selection activeCell="B3" sqref="B3:I8"/>
    </sheetView>
  </sheetViews>
  <sheetFormatPr defaultRowHeight="18.75" x14ac:dyDescent="0.4"/>
  <cols>
    <col min="1" max="2" width="5.5" customWidth="1"/>
    <col min="3" max="5" width="5.25" bestFit="1" customWidth="1"/>
    <col min="6" max="6" width="3.375" bestFit="1" customWidth="1"/>
    <col min="7" max="7" width="5.25" bestFit="1" customWidth="1"/>
    <col min="8" max="9" width="7.125" bestFit="1" customWidth="1"/>
    <col min="10" max="11" width="4.5" bestFit="1" customWidth="1"/>
    <col min="12" max="12" width="5.25" bestFit="1" customWidth="1"/>
    <col min="13" max="13" width="4.125" customWidth="1"/>
    <col min="14" max="15" width="4.25" customWidth="1"/>
  </cols>
  <sheetData>
    <row r="1" spans="1:17" x14ac:dyDescent="0.4">
      <c r="A1" s="3" t="s">
        <v>1009</v>
      </c>
      <c r="B1" s="3" t="s">
        <v>1010</v>
      </c>
      <c r="C1" s="42" t="s">
        <v>483</v>
      </c>
      <c r="D1" s="42" t="s">
        <v>484</v>
      </c>
      <c r="E1" s="42" t="s">
        <v>485</v>
      </c>
      <c r="F1" s="44" t="s">
        <v>487</v>
      </c>
      <c r="G1" s="44" t="s">
        <v>488</v>
      </c>
      <c r="H1" s="44" t="s">
        <v>489</v>
      </c>
      <c r="I1" s="44" t="s">
        <v>490</v>
      </c>
      <c r="J1" s="36" t="s">
        <v>491</v>
      </c>
      <c r="K1" s="36" t="s">
        <v>492</v>
      </c>
      <c r="L1" s="36" t="s">
        <v>493</v>
      </c>
      <c r="M1" s="36" t="s">
        <v>1011</v>
      </c>
      <c r="N1" s="56" t="s">
        <v>949</v>
      </c>
      <c r="O1" s="56" t="s">
        <v>946</v>
      </c>
      <c r="P1" s="36" t="s">
        <v>1182</v>
      </c>
      <c r="Q1" s="36" t="s">
        <v>1183</v>
      </c>
    </row>
    <row r="2" spans="1:17" x14ac:dyDescent="0.4">
      <c r="A2" s="17">
        <v>1</v>
      </c>
      <c r="B2" s="17" t="s">
        <v>1002</v>
      </c>
      <c r="C2" s="17">
        <v>10</v>
      </c>
      <c r="D2" s="17">
        <v>0</v>
      </c>
      <c r="E2" s="17">
        <v>0</v>
      </c>
      <c r="F2" s="17">
        <v>10</v>
      </c>
      <c r="P2" s="39">
        <v>1</v>
      </c>
      <c r="Q2" s="39">
        <v>0</v>
      </c>
    </row>
    <row r="3" spans="1:17" x14ac:dyDescent="0.4">
      <c r="A3" s="17">
        <v>2</v>
      </c>
      <c r="B3" s="17" t="s">
        <v>1002</v>
      </c>
      <c r="C3" s="17">
        <v>20</v>
      </c>
      <c r="D3" s="17">
        <v>0</v>
      </c>
      <c r="E3" s="17">
        <v>0</v>
      </c>
      <c r="F3" s="17">
        <v>20</v>
      </c>
      <c r="P3" s="39">
        <v>1</v>
      </c>
      <c r="Q3" s="39">
        <v>0.15</v>
      </c>
    </row>
    <row r="4" spans="1:17" x14ac:dyDescent="0.4">
      <c r="A4" s="17">
        <v>3</v>
      </c>
      <c r="B4" s="17" t="s">
        <v>1002</v>
      </c>
      <c r="C4" s="17">
        <v>10</v>
      </c>
      <c r="D4" s="17">
        <v>10</v>
      </c>
      <c r="E4" s="17"/>
      <c r="F4">
        <v>10</v>
      </c>
      <c r="G4" s="17">
        <v>10</v>
      </c>
      <c r="P4" s="39">
        <v>1</v>
      </c>
      <c r="Q4" s="39">
        <v>0.3</v>
      </c>
    </row>
    <row r="5" spans="1:17" x14ac:dyDescent="0.4">
      <c r="A5" s="17">
        <v>4</v>
      </c>
      <c r="B5" s="17" t="s">
        <v>1002</v>
      </c>
      <c r="C5" s="17">
        <v>10</v>
      </c>
      <c r="D5" s="17">
        <v>20</v>
      </c>
      <c r="E5" s="17">
        <v>10</v>
      </c>
      <c r="F5" s="17">
        <v>10</v>
      </c>
      <c r="G5" s="17">
        <v>20</v>
      </c>
      <c r="H5">
        <v>5</v>
      </c>
      <c r="I5">
        <v>5</v>
      </c>
      <c r="P5" s="39">
        <v>1</v>
      </c>
      <c r="Q5" s="39">
        <v>0.5</v>
      </c>
    </row>
    <row r="6" spans="1:17" x14ac:dyDescent="0.4">
      <c r="A6" s="17">
        <v>5</v>
      </c>
      <c r="B6" s="17" t="s">
        <v>1002</v>
      </c>
      <c r="C6" s="17">
        <v>20</v>
      </c>
      <c r="D6" s="17">
        <v>40</v>
      </c>
      <c r="E6" s="17">
        <v>20</v>
      </c>
      <c r="F6" s="17">
        <v>20</v>
      </c>
      <c r="G6" s="17">
        <v>40</v>
      </c>
      <c r="H6" s="17">
        <v>10</v>
      </c>
      <c r="I6" s="17">
        <v>10</v>
      </c>
      <c r="J6">
        <v>20</v>
      </c>
      <c r="K6">
        <v>40</v>
      </c>
      <c r="L6">
        <v>10</v>
      </c>
      <c r="M6" t="s">
        <v>1012</v>
      </c>
      <c r="P6" s="39">
        <v>1</v>
      </c>
      <c r="Q6" s="39">
        <v>0.65</v>
      </c>
    </row>
    <row r="7" spans="1:17" x14ac:dyDescent="0.4">
      <c r="A7" s="17">
        <v>6</v>
      </c>
      <c r="B7" s="17" t="s">
        <v>1002</v>
      </c>
      <c r="C7" s="17">
        <f>C6*2</f>
        <v>40</v>
      </c>
      <c r="D7" s="17">
        <f t="shared" ref="D7:I7" si="0">D6*2</f>
        <v>80</v>
      </c>
      <c r="E7" s="17">
        <f t="shared" si="0"/>
        <v>40</v>
      </c>
      <c r="F7" s="17">
        <f t="shared" si="0"/>
        <v>40</v>
      </c>
      <c r="G7" s="17">
        <f t="shared" si="0"/>
        <v>80</v>
      </c>
      <c r="H7" s="17">
        <f t="shared" si="0"/>
        <v>20</v>
      </c>
      <c r="I7" s="17">
        <f t="shared" si="0"/>
        <v>20</v>
      </c>
      <c r="J7">
        <v>40</v>
      </c>
      <c r="K7">
        <v>80</v>
      </c>
      <c r="L7">
        <v>20</v>
      </c>
      <c r="M7" t="s">
        <v>1012</v>
      </c>
      <c r="P7" s="39">
        <v>1</v>
      </c>
      <c r="Q7" s="39">
        <v>0.8</v>
      </c>
    </row>
    <row r="8" spans="1:17" x14ac:dyDescent="0.4">
      <c r="A8" s="17">
        <v>7</v>
      </c>
      <c r="B8" s="17" t="s">
        <v>1002</v>
      </c>
      <c r="C8" s="17">
        <f>C7*2</f>
        <v>80</v>
      </c>
      <c r="D8" s="17">
        <f t="shared" ref="D8" si="1">D7*2</f>
        <v>160</v>
      </c>
      <c r="E8" s="17">
        <f t="shared" ref="E8" si="2">E7*2</f>
        <v>80</v>
      </c>
      <c r="F8" s="17">
        <f t="shared" ref="F8" si="3">F7*2</f>
        <v>80</v>
      </c>
      <c r="G8" s="17">
        <f t="shared" ref="G8" si="4">G7*2</f>
        <v>160</v>
      </c>
      <c r="H8" s="17">
        <f t="shared" ref="H8" si="5">H7*2</f>
        <v>40</v>
      </c>
      <c r="I8" s="17">
        <f t="shared" ref="I8" si="6">I7*2</f>
        <v>40</v>
      </c>
      <c r="J8">
        <v>80</v>
      </c>
      <c r="K8">
        <v>160</v>
      </c>
      <c r="L8">
        <v>40</v>
      </c>
      <c r="M8" t="s">
        <v>1012</v>
      </c>
      <c r="P8" s="39">
        <v>1</v>
      </c>
      <c r="Q8" s="39">
        <v>1</v>
      </c>
    </row>
    <row r="9" spans="1:17" x14ac:dyDescent="0.4">
      <c r="A9" s="17">
        <v>1</v>
      </c>
      <c r="B9" t="s">
        <v>1219</v>
      </c>
      <c r="J9">
        <v>5</v>
      </c>
      <c r="K9">
        <v>10</v>
      </c>
    </row>
    <row r="10" spans="1:17" x14ac:dyDescent="0.4">
      <c r="A10" s="17">
        <v>2</v>
      </c>
      <c r="B10" t="s">
        <v>1219</v>
      </c>
      <c r="J10">
        <v>10</v>
      </c>
      <c r="K10">
        <v>20</v>
      </c>
      <c r="L10">
        <v>5</v>
      </c>
    </row>
    <row r="11" spans="1:17" x14ac:dyDescent="0.4">
      <c r="A11" s="17">
        <v>3</v>
      </c>
      <c r="B11" t="s">
        <v>1219</v>
      </c>
      <c r="J11">
        <v>20</v>
      </c>
      <c r="K11">
        <v>40</v>
      </c>
      <c r="L11">
        <v>10</v>
      </c>
    </row>
    <row r="12" spans="1:17" x14ac:dyDescent="0.4">
      <c r="A12" s="17">
        <v>4</v>
      </c>
      <c r="B12" t="s">
        <v>1219</v>
      </c>
      <c r="J12">
        <v>40</v>
      </c>
      <c r="K12">
        <v>80</v>
      </c>
      <c r="L12">
        <v>20</v>
      </c>
    </row>
    <row r="13" spans="1:17" x14ac:dyDescent="0.4">
      <c r="A13" s="17">
        <v>5</v>
      </c>
      <c r="B13" t="s">
        <v>1219</v>
      </c>
      <c r="J13">
        <v>80</v>
      </c>
      <c r="K13">
        <v>160</v>
      </c>
      <c r="L13">
        <v>40</v>
      </c>
      <c r="M13" t="s">
        <v>1012</v>
      </c>
    </row>
    <row r="14" spans="1:17" x14ac:dyDescent="0.4">
      <c r="A14" s="17">
        <v>6</v>
      </c>
      <c r="B14" t="s">
        <v>1219</v>
      </c>
      <c r="J14">
        <v>160</v>
      </c>
      <c r="K14">
        <v>320</v>
      </c>
      <c r="L14">
        <v>80</v>
      </c>
      <c r="M14" t="s">
        <v>1012</v>
      </c>
    </row>
    <row r="15" spans="1:17" x14ac:dyDescent="0.4">
      <c r="A15" s="17">
        <v>7</v>
      </c>
      <c r="B15" t="s">
        <v>1219</v>
      </c>
      <c r="J15">
        <v>320</v>
      </c>
      <c r="K15">
        <v>640</v>
      </c>
      <c r="L15">
        <v>160</v>
      </c>
      <c r="M15" t="s">
        <v>1012</v>
      </c>
    </row>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S32"/>
  <sheetViews>
    <sheetView workbookViewId="0">
      <selection activeCell="I16" sqref="A2:I16"/>
    </sheetView>
  </sheetViews>
  <sheetFormatPr defaultRowHeight="18.75" x14ac:dyDescent="0.4"/>
  <cols>
    <col min="3" max="3" width="7.75" bestFit="1" customWidth="1"/>
    <col min="4" max="4" width="7.25" customWidth="1"/>
    <col min="5" max="5" width="4.625" customWidth="1"/>
    <col min="6" max="6" width="6.25" customWidth="1"/>
    <col min="7" max="8" width="5.25" bestFit="1" customWidth="1"/>
    <col min="9" max="9" width="7.125" bestFit="1" customWidth="1"/>
    <col min="10" max="10" width="5.25" bestFit="1" customWidth="1"/>
    <col min="11" max="12" width="5.25" customWidth="1"/>
    <col min="13" max="13" width="13.625" bestFit="1" customWidth="1"/>
  </cols>
  <sheetData>
    <row r="1" spans="1:19" x14ac:dyDescent="0.4">
      <c r="A1" t="s">
        <v>699</v>
      </c>
      <c r="B1" t="s">
        <v>961</v>
      </c>
      <c r="C1" t="s">
        <v>704</v>
      </c>
      <c r="D1" t="s">
        <v>703</v>
      </c>
      <c r="E1" t="s">
        <v>705</v>
      </c>
      <c r="F1" t="s">
        <v>176</v>
      </c>
      <c r="G1" t="s">
        <v>708</v>
      </c>
      <c r="H1" t="s">
        <v>155</v>
      </c>
      <c r="I1" t="s">
        <v>156</v>
      </c>
      <c r="J1" t="s">
        <v>162</v>
      </c>
      <c r="K1" t="s">
        <v>966</v>
      </c>
      <c r="L1" t="s">
        <v>975</v>
      </c>
      <c r="M1" t="s">
        <v>710</v>
      </c>
      <c r="N1" t="s">
        <v>711</v>
      </c>
      <c r="O1" t="s">
        <v>712</v>
      </c>
      <c r="P1" t="s">
        <v>713</v>
      </c>
      <c r="Q1" t="s">
        <v>983</v>
      </c>
      <c r="R1" s="53" t="s">
        <v>984</v>
      </c>
      <c r="S1" s="53" t="s">
        <v>483</v>
      </c>
    </row>
    <row r="2" spans="1:19" x14ac:dyDescent="0.4">
      <c r="A2" t="s">
        <v>1231</v>
      </c>
      <c r="B2" t="s">
        <v>962</v>
      </c>
      <c r="C2">
        <v>20</v>
      </c>
      <c r="D2">
        <v>40</v>
      </c>
      <c r="E2">
        <v>25</v>
      </c>
      <c r="F2">
        <v>20</v>
      </c>
      <c r="H2">
        <v>10</v>
      </c>
      <c r="I2">
        <v>135</v>
      </c>
      <c r="M2" t="s">
        <v>709</v>
      </c>
      <c r="N2" t="s">
        <v>714</v>
      </c>
      <c r="O2" t="s">
        <v>715</v>
      </c>
      <c r="Q2">
        <v>1</v>
      </c>
      <c r="R2" s="52">
        <v>0.5</v>
      </c>
      <c r="S2" s="52">
        <v>0</v>
      </c>
    </row>
    <row r="3" spans="1:19" x14ac:dyDescent="0.4">
      <c r="A3" t="s">
        <v>716</v>
      </c>
      <c r="B3" t="s">
        <v>962</v>
      </c>
      <c r="C3">
        <v>30</v>
      </c>
      <c r="D3">
        <v>50</v>
      </c>
      <c r="E3">
        <v>35</v>
      </c>
      <c r="F3">
        <v>25</v>
      </c>
      <c r="H3">
        <v>10</v>
      </c>
      <c r="I3">
        <v>135</v>
      </c>
      <c r="M3" t="s">
        <v>719</v>
      </c>
      <c r="N3" t="s">
        <v>715</v>
      </c>
      <c r="Q3">
        <v>1.25</v>
      </c>
      <c r="R3" s="52">
        <v>1</v>
      </c>
      <c r="S3" s="52">
        <v>0.1</v>
      </c>
    </row>
    <row r="4" spans="1:19" x14ac:dyDescent="0.4">
      <c r="A4" t="s">
        <v>717</v>
      </c>
      <c r="B4" t="s">
        <v>962</v>
      </c>
      <c r="C4">
        <v>40</v>
      </c>
      <c r="D4">
        <v>50</v>
      </c>
      <c r="E4">
        <v>40</v>
      </c>
      <c r="F4">
        <v>25</v>
      </c>
      <c r="H4">
        <v>10</v>
      </c>
      <c r="I4">
        <v>135</v>
      </c>
      <c r="M4" t="s">
        <v>719</v>
      </c>
      <c r="Q4">
        <v>1.5</v>
      </c>
      <c r="R4" s="52">
        <v>1.4</v>
      </c>
      <c r="S4" s="52">
        <v>0.1</v>
      </c>
    </row>
    <row r="5" spans="1:19" x14ac:dyDescent="0.4">
      <c r="A5" t="s">
        <v>1228</v>
      </c>
      <c r="B5" t="s">
        <v>962</v>
      </c>
      <c r="C5">
        <v>40</v>
      </c>
      <c r="D5">
        <v>50</v>
      </c>
      <c r="E5">
        <v>45</v>
      </c>
      <c r="F5">
        <v>25</v>
      </c>
      <c r="H5">
        <v>10</v>
      </c>
      <c r="I5">
        <v>135</v>
      </c>
      <c r="M5" t="s">
        <v>718</v>
      </c>
      <c r="N5" t="s">
        <v>1178</v>
      </c>
      <c r="Q5">
        <v>1.25</v>
      </c>
      <c r="R5" s="52">
        <v>0.6</v>
      </c>
      <c r="S5" s="52">
        <v>1.2</v>
      </c>
    </row>
    <row r="6" spans="1:19" x14ac:dyDescent="0.4">
      <c r="A6" t="s">
        <v>697</v>
      </c>
      <c r="B6" t="s">
        <v>962</v>
      </c>
      <c r="C6">
        <v>50</v>
      </c>
      <c r="D6">
        <v>50</v>
      </c>
      <c r="E6">
        <v>45</v>
      </c>
      <c r="F6">
        <v>30</v>
      </c>
      <c r="H6">
        <v>10</v>
      </c>
      <c r="I6">
        <v>125</v>
      </c>
      <c r="M6" t="s">
        <v>718</v>
      </c>
      <c r="Q6">
        <v>1.25</v>
      </c>
      <c r="R6" s="52">
        <v>1.2</v>
      </c>
      <c r="S6" s="52">
        <v>0.4</v>
      </c>
    </row>
    <row r="7" spans="1:19" x14ac:dyDescent="0.4">
      <c r="A7" t="s">
        <v>700</v>
      </c>
      <c r="B7" t="s">
        <v>962</v>
      </c>
      <c r="C7">
        <v>30</v>
      </c>
      <c r="D7">
        <v>40</v>
      </c>
      <c r="E7">
        <v>30</v>
      </c>
      <c r="F7">
        <v>20</v>
      </c>
      <c r="H7">
        <v>10</v>
      </c>
      <c r="I7">
        <v>125</v>
      </c>
      <c r="M7" t="s">
        <v>140</v>
      </c>
      <c r="Q7">
        <v>1</v>
      </c>
      <c r="R7" s="52">
        <v>0</v>
      </c>
      <c r="S7" s="52">
        <v>1</v>
      </c>
    </row>
    <row r="8" spans="1:19" x14ac:dyDescent="0.4">
      <c r="A8" t="s">
        <v>701</v>
      </c>
      <c r="B8" t="s">
        <v>962</v>
      </c>
      <c r="C8">
        <v>50</v>
      </c>
      <c r="D8">
        <v>40</v>
      </c>
      <c r="E8">
        <v>45</v>
      </c>
      <c r="F8">
        <v>25</v>
      </c>
      <c r="H8">
        <v>10</v>
      </c>
      <c r="I8">
        <v>125</v>
      </c>
      <c r="M8" t="s">
        <v>140</v>
      </c>
      <c r="Q8">
        <v>1.5</v>
      </c>
      <c r="R8" s="52">
        <v>1.6</v>
      </c>
      <c r="S8" s="52">
        <v>0.2</v>
      </c>
    </row>
    <row r="9" spans="1:19" x14ac:dyDescent="0.4">
      <c r="A9" t="s">
        <v>1232</v>
      </c>
      <c r="B9" t="s">
        <v>962</v>
      </c>
      <c r="C9">
        <v>65</v>
      </c>
      <c r="D9">
        <v>50</v>
      </c>
      <c r="E9">
        <v>25</v>
      </c>
      <c r="F9">
        <v>25</v>
      </c>
      <c r="G9">
        <v>40</v>
      </c>
      <c r="H9">
        <v>10</v>
      </c>
      <c r="I9">
        <v>135</v>
      </c>
      <c r="J9">
        <v>4</v>
      </c>
      <c r="Q9">
        <v>1.25</v>
      </c>
      <c r="R9" s="52">
        <v>0.2</v>
      </c>
      <c r="S9" s="52">
        <v>1.4</v>
      </c>
    </row>
    <row r="10" spans="1:19" x14ac:dyDescent="0.4">
      <c r="A10" t="s">
        <v>702</v>
      </c>
      <c r="B10" t="s">
        <v>962</v>
      </c>
      <c r="C10">
        <v>20</v>
      </c>
      <c r="D10">
        <v>40</v>
      </c>
      <c r="E10">
        <v>10</v>
      </c>
      <c r="F10">
        <v>25</v>
      </c>
      <c r="G10">
        <v>40</v>
      </c>
      <c r="H10">
        <v>10</v>
      </c>
      <c r="I10">
        <v>140</v>
      </c>
      <c r="J10">
        <v>4</v>
      </c>
      <c r="M10" t="s">
        <v>720</v>
      </c>
      <c r="Q10">
        <v>2</v>
      </c>
      <c r="R10" s="52">
        <v>2</v>
      </c>
      <c r="S10" s="52">
        <v>0.3</v>
      </c>
    </row>
    <row r="11" spans="1:19" x14ac:dyDescent="0.4">
      <c r="A11" t="s">
        <v>1216</v>
      </c>
      <c r="B11" t="s">
        <v>962</v>
      </c>
      <c r="C11">
        <v>0</v>
      </c>
      <c r="D11">
        <v>30</v>
      </c>
      <c r="E11">
        <v>30</v>
      </c>
      <c r="F11">
        <v>25</v>
      </c>
      <c r="H11">
        <v>10</v>
      </c>
      <c r="I11">
        <v>120</v>
      </c>
      <c r="M11" t="s">
        <v>976</v>
      </c>
      <c r="Q11">
        <v>2</v>
      </c>
      <c r="R11" s="52">
        <v>0.1</v>
      </c>
      <c r="S11" s="52">
        <v>1.3</v>
      </c>
    </row>
    <row r="13" spans="1:19" x14ac:dyDescent="0.4">
      <c r="A13" t="s">
        <v>1184</v>
      </c>
      <c r="B13" t="s">
        <v>962</v>
      </c>
      <c r="C13">
        <v>-5</v>
      </c>
      <c r="D13">
        <v>50</v>
      </c>
      <c r="E13">
        <v>15</v>
      </c>
      <c r="F13">
        <v>25</v>
      </c>
      <c r="H13">
        <v>10</v>
      </c>
      <c r="I13">
        <v>120</v>
      </c>
      <c r="Q13">
        <v>1</v>
      </c>
      <c r="R13" s="52">
        <v>0.2</v>
      </c>
      <c r="S13" s="52">
        <v>1</v>
      </c>
    </row>
    <row r="14" spans="1:19" x14ac:dyDescent="0.4">
      <c r="A14" t="s">
        <v>721</v>
      </c>
      <c r="B14" t="s">
        <v>962</v>
      </c>
      <c r="C14">
        <v>0</v>
      </c>
      <c r="D14">
        <v>60</v>
      </c>
      <c r="E14">
        <v>20</v>
      </c>
      <c r="F14">
        <v>35</v>
      </c>
      <c r="H14">
        <v>10</v>
      </c>
      <c r="I14">
        <v>120</v>
      </c>
      <c r="Q14">
        <v>1</v>
      </c>
      <c r="R14" s="52">
        <v>0.6</v>
      </c>
      <c r="S14" s="52">
        <v>0.8</v>
      </c>
    </row>
    <row r="15" spans="1:19" x14ac:dyDescent="0.4">
      <c r="A15" t="s">
        <v>722</v>
      </c>
      <c r="B15" t="s">
        <v>962</v>
      </c>
      <c r="C15">
        <v>10</v>
      </c>
      <c r="D15">
        <v>70</v>
      </c>
      <c r="E15">
        <v>25</v>
      </c>
      <c r="F15">
        <v>45</v>
      </c>
      <c r="H15">
        <v>10</v>
      </c>
      <c r="I15">
        <v>120</v>
      </c>
      <c r="Q15">
        <v>1.5</v>
      </c>
      <c r="R15" s="52">
        <v>1</v>
      </c>
      <c r="S15" s="52">
        <v>1.2</v>
      </c>
    </row>
    <row r="16" spans="1:19" x14ac:dyDescent="0.4">
      <c r="R16" s="52">
        <v>0.2</v>
      </c>
      <c r="S16" s="52">
        <v>0</v>
      </c>
    </row>
    <row r="17" spans="1:19" x14ac:dyDescent="0.4">
      <c r="A17" t="s">
        <v>964</v>
      </c>
      <c r="B17" t="s">
        <v>955</v>
      </c>
      <c r="L17">
        <v>3</v>
      </c>
      <c r="M17" t="s">
        <v>976</v>
      </c>
      <c r="Q17">
        <v>1</v>
      </c>
      <c r="R17" s="52">
        <v>0.2</v>
      </c>
      <c r="S17" s="52">
        <v>0.1</v>
      </c>
    </row>
    <row r="18" spans="1:19" x14ac:dyDescent="0.4">
      <c r="A18" t="s">
        <v>963</v>
      </c>
      <c r="B18" t="s">
        <v>955</v>
      </c>
      <c r="D18">
        <v>5</v>
      </c>
      <c r="K18">
        <v>5</v>
      </c>
      <c r="L18">
        <v>10</v>
      </c>
      <c r="Q18">
        <v>1.5</v>
      </c>
      <c r="R18" s="52">
        <v>0.7</v>
      </c>
      <c r="S18" s="52">
        <v>0.1</v>
      </c>
    </row>
    <row r="19" spans="1:19" x14ac:dyDescent="0.4">
      <c r="A19" t="s">
        <v>965</v>
      </c>
      <c r="B19" t="s">
        <v>955</v>
      </c>
      <c r="L19">
        <v>4</v>
      </c>
      <c r="Q19">
        <v>1</v>
      </c>
      <c r="R19" s="52">
        <v>0.1</v>
      </c>
      <c r="S19" s="52">
        <v>0.3</v>
      </c>
    </row>
    <row r="20" spans="1:19" x14ac:dyDescent="0.4">
      <c r="A20" t="s">
        <v>1213</v>
      </c>
      <c r="B20" t="s">
        <v>955</v>
      </c>
      <c r="L20">
        <v>0</v>
      </c>
      <c r="M20" t="s">
        <v>978</v>
      </c>
      <c r="N20" t="s">
        <v>979</v>
      </c>
      <c r="Q20">
        <v>1</v>
      </c>
      <c r="R20" s="52">
        <v>0.1</v>
      </c>
      <c r="S20" s="52">
        <v>0.3</v>
      </c>
    </row>
    <row r="22" spans="1:19" x14ac:dyDescent="0.4">
      <c r="A22" t="s">
        <v>967</v>
      </c>
      <c r="B22" t="s">
        <v>958</v>
      </c>
      <c r="D22">
        <v>10</v>
      </c>
      <c r="K22">
        <v>10</v>
      </c>
      <c r="L22">
        <v>20</v>
      </c>
      <c r="Q22">
        <v>2</v>
      </c>
      <c r="R22" s="52">
        <v>2.8</v>
      </c>
      <c r="S22" s="52">
        <v>0.25</v>
      </c>
    </row>
    <row r="23" spans="1:19" x14ac:dyDescent="0.4">
      <c r="A23" t="s">
        <v>968</v>
      </c>
      <c r="B23" t="s">
        <v>958</v>
      </c>
      <c r="L23">
        <v>10</v>
      </c>
      <c r="Q23">
        <v>1.5</v>
      </c>
      <c r="R23" s="52">
        <v>0.25</v>
      </c>
      <c r="S23" s="52">
        <v>1</v>
      </c>
    </row>
    <row r="24" spans="1:19" x14ac:dyDescent="0.4">
      <c r="A24" t="s">
        <v>969</v>
      </c>
      <c r="B24" t="s">
        <v>958</v>
      </c>
      <c r="L24">
        <v>5</v>
      </c>
      <c r="M24" t="s">
        <v>977</v>
      </c>
      <c r="Q24">
        <v>1.5</v>
      </c>
      <c r="R24" s="52">
        <v>0.25</v>
      </c>
      <c r="S24" s="52">
        <v>1</v>
      </c>
    </row>
    <row r="26" spans="1:19" x14ac:dyDescent="0.4">
      <c r="A26" t="s">
        <v>1180</v>
      </c>
      <c r="B26" t="s">
        <v>959</v>
      </c>
      <c r="D26">
        <v>5</v>
      </c>
      <c r="L26">
        <v>3</v>
      </c>
      <c r="M26" t="s">
        <v>978</v>
      </c>
    </row>
    <row r="27" spans="1:19" x14ac:dyDescent="0.4">
      <c r="A27" t="s">
        <v>1179</v>
      </c>
      <c r="B27" t="s">
        <v>959</v>
      </c>
      <c r="L27">
        <v>1</v>
      </c>
      <c r="M27" t="s">
        <v>1181</v>
      </c>
    </row>
    <row r="29" spans="1:19" x14ac:dyDescent="0.4">
      <c r="A29" t="s">
        <v>970</v>
      </c>
      <c r="B29" t="s">
        <v>974</v>
      </c>
      <c r="M29" t="s">
        <v>976</v>
      </c>
      <c r="Q29">
        <v>1</v>
      </c>
      <c r="R29" s="52">
        <v>0.15</v>
      </c>
      <c r="S29" s="52">
        <v>0.05</v>
      </c>
    </row>
    <row r="30" spans="1:19" x14ac:dyDescent="0.4">
      <c r="A30" t="s">
        <v>971</v>
      </c>
      <c r="B30" t="s">
        <v>974</v>
      </c>
      <c r="M30" t="s">
        <v>978</v>
      </c>
      <c r="N30" t="s">
        <v>979</v>
      </c>
      <c r="Q30">
        <v>1</v>
      </c>
      <c r="R30" s="52">
        <v>0.1</v>
      </c>
      <c r="S30" s="52">
        <v>0.05</v>
      </c>
    </row>
    <row r="31" spans="1:19" x14ac:dyDescent="0.4">
      <c r="A31" t="s">
        <v>972</v>
      </c>
      <c r="B31" t="s">
        <v>974</v>
      </c>
      <c r="M31" t="s">
        <v>980</v>
      </c>
      <c r="Q31">
        <v>1</v>
      </c>
      <c r="R31" s="52">
        <v>0.1</v>
      </c>
      <c r="S31" s="52">
        <v>0.05</v>
      </c>
    </row>
    <row r="32" spans="1:19" x14ac:dyDescent="0.4">
      <c r="A32" t="s">
        <v>973</v>
      </c>
      <c r="B32" t="s">
        <v>974</v>
      </c>
      <c r="M32" t="s">
        <v>981</v>
      </c>
      <c r="N32" t="s">
        <v>982</v>
      </c>
      <c r="Q32">
        <v>1</v>
      </c>
      <c r="R32" s="52">
        <v>0.2</v>
      </c>
      <c r="S32" s="52">
        <v>0.05</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21</vt:i4>
      </vt:variant>
    </vt:vector>
  </HeadingPairs>
  <TitlesOfParts>
    <vt:vector size="21" baseType="lpstr">
      <vt:lpstr>画面</vt:lpstr>
      <vt:lpstr>CS</vt:lpstr>
      <vt:lpstr>クラス</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研究</vt:lpstr>
      <vt:lpstr>付与</vt:lpstr>
      <vt:lpstr>消費量</vt:lpstr>
      <vt:lpstr>装備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2026-05-02T17:10:29Z</dcterms:modified>
</cp:coreProperties>
</file>