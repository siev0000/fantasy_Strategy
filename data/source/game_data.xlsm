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6AA0FF21-0513-46F4-B9C6-294CEEEF7F28}" xr6:coauthVersionLast="47" xr6:coauthVersionMax="47" xr10:uidLastSave="{00000000-0000-0000-0000-000000000000}"/>
  <bookViews>
    <workbookView xWindow="2730" yWindow="2730" windowWidth="21600" windowHeight="11295" tabRatio="799" firstSheet="6" activeTab="8"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研究" sheetId="17" r:id="rId18"/>
    <sheet name="付与" sheetId="20" r:id="rId19"/>
    <sheet name="消費量" sheetId="22" r:id="rId20"/>
    <sheet name="装備" sheetId="14" r:id="rId21"/>
  </sheets>
  <definedNames>
    <definedName name="_xlnm._FilterDatabase" localSheetId="0" hidden="1">CS!$A$4:$T$818</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31" i="3" l="1"/>
  <c r="J331" i="3"/>
  <c r="L330" i="3"/>
  <c r="J330" i="3"/>
  <c r="L329" i="3"/>
  <c r="J329" i="3"/>
  <c r="L328" i="3"/>
  <c r="J328" i="3"/>
  <c r="L327" i="3"/>
  <c r="J327" i="3"/>
  <c r="L326" i="3"/>
  <c r="J326" i="3"/>
  <c r="L325" i="3"/>
  <c r="J325" i="3"/>
  <c r="L324" i="3"/>
  <c r="J324" i="3"/>
  <c r="L323" i="3"/>
  <c r="J323" i="3"/>
  <c r="L322" i="3"/>
  <c r="J322" i="3"/>
  <c r="L321" i="3"/>
  <c r="J321" i="3"/>
  <c r="L320" i="3"/>
  <c r="J320" i="3"/>
  <c r="L318" i="3"/>
  <c r="J318" i="3"/>
  <c r="L317" i="3"/>
  <c r="J317" i="3"/>
  <c r="L316" i="3"/>
  <c r="J316" i="3"/>
  <c r="L315" i="3"/>
  <c r="J315" i="3"/>
  <c r="L314" i="3"/>
  <c r="J314" i="3"/>
  <c r="L313" i="3"/>
  <c r="J313" i="3"/>
  <c r="L312" i="3"/>
  <c r="J312" i="3"/>
  <c r="L311" i="3"/>
  <c r="J311" i="3"/>
  <c r="L310" i="3"/>
  <c r="J310" i="3"/>
  <c r="L309" i="3"/>
  <c r="J309" i="3"/>
  <c r="L308" i="3"/>
  <c r="J308" i="3"/>
  <c r="L307" i="3"/>
  <c r="J307" i="3"/>
  <c r="L305" i="3"/>
  <c r="J305" i="3"/>
  <c r="L304" i="3"/>
  <c r="J304" i="3"/>
  <c r="L303" i="3"/>
  <c r="J303" i="3"/>
  <c r="L302" i="3"/>
  <c r="J302" i="3"/>
  <c r="L301" i="3"/>
  <c r="J301" i="3"/>
  <c r="L300" i="3"/>
  <c r="J300" i="3"/>
  <c r="L299" i="3"/>
  <c r="J299" i="3"/>
  <c r="L298" i="3"/>
  <c r="J298" i="3"/>
  <c r="L297" i="3"/>
  <c r="J297" i="3"/>
  <c r="L296" i="3"/>
  <c r="J296" i="3"/>
  <c r="L295" i="3"/>
  <c r="J295" i="3"/>
  <c r="L294" i="3"/>
  <c r="J294" i="3"/>
  <c r="H53" i="3"/>
  <c r="H49" i="3"/>
  <c r="H50" i="3"/>
  <c r="H51" i="3"/>
  <c r="H52" i="3"/>
  <c r="H54" i="3"/>
  <c r="H55" i="3"/>
  <c r="H56" i="3"/>
  <c r="H57" i="3"/>
  <c r="H58" i="3"/>
  <c r="H59" i="3"/>
  <c r="H60" i="3"/>
  <c r="H61" i="3"/>
  <c r="H62" i="3"/>
  <c r="H63" i="3"/>
  <c r="H48" i="3"/>
  <c r="B57" i="3"/>
  <c r="B58" i="3"/>
  <c r="J58" i="3"/>
  <c r="B59" i="3"/>
  <c r="J59" i="3"/>
  <c r="B60" i="3"/>
  <c r="J60" i="3"/>
  <c r="B61" i="3"/>
  <c r="J61" i="3"/>
  <c r="B62" i="3"/>
  <c r="J62" i="3"/>
  <c r="B63" i="3"/>
  <c r="J63" i="3"/>
  <c r="BE54" i="1"/>
  <c r="D54" i="1"/>
  <c r="B49" i="3"/>
  <c r="AY54" i="1" s="1"/>
  <c r="B50" i="3"/>
  <c r="AZ54" i="1" s="1"/>
  <c r="B51" i="3"/>
  <c r="BA54" i="1" s="1"/>
  <c r="B52" i="3"/>
  <c r="BB54" i="1" s="1"/>
  <c r="B53" i="3"/>
  <c r="BC54" i="1" s="1"/>
  <c r="B54" i="3"/>
  <c r="BD54" i="1" s="1"/>
  <c r="B55" i="3"/>
  <c r="B56" i="3"/>
  <c r="BF54" i="1" s="1"/>
  <c r="B48" i="3"/>
  <c r="AX54" i="1" s="1"/>
  <c r="J71" i="3"/>
  <c r="J70" i="3"/>
  <c r="J69" i="3"/>
  <c r="J68" i="3"/>
  <c r="J67" i="3"/>
  <c r="J66" i="3"/>
  <c r="J65" i="3"/>
  <c r="J64" i="3"/>
  <c r="J57" i="3"/>
  <c r="J56" i="3"/>
  <c r="J55" i="3"/>
  <c r="J54" i="3"/>
  <c r="J53" i="3"/>
  <c r="J52" i="3"/>
  <c r="J51" i="3"/>
  <c r="J50" i="3"/>
  <c r="J49" i="3"/>
  <c r="J48" i="3"/>
  <c r="J47" i="3"/>
  <c r="C47" i="3"/>
  <c r="H715" i="3"/>
  <c r="H702" i="3"/>
  <c r="H689" i="3"/>
  <c r="H676" i="3"/>
  <c r="H663" i="3"/>
  <c r="H650" i="3"/>
  <c r="H558" i="3"/>
  <c r="H545" i="3"/>
  <c r="H519" i="3"/>
  <c r="H506"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BF60" i="1"/>
  <c r="AY64" i="1"/>
  <c r="BG68" i="1"/>
  <c r="AY42" i="1"/>
  <c r="BG60" i="1"/>
  <c r="BE64" i="1"/>
  <c r="BF69" i="1"/>
  <c r="AY33" i="1"/>
  <c r="AX56" i="1"/>
  <c r="BC61" i="1"/>
  <c r="BD65" i="1"/>
  <c r="BG69" i="1"/>
  <c r="AX34" i="1"/>
  <c r="BE56" i="1"/>
  <c r="BB62" i="1"/>
  <c r="BE65" i="1"/>
  <c r="BC70" i="1"/>
  <c r="BD35" i="1"/>
  <c r="BD57" i="1"/>
  <c r="BC62" i="1"/>
  <c r="BA58" i="1"/>
  <c r="BG54" i="1"/>
  <c r="BG29" i="1"/>
  <c r="BC31" i="1"/>
  <c r="BB19" i="1"/>
  <c r="BC22" i="1"/>
  <c r="AY24" i="1"/>
  <c r="BE25" i="1"/>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531" i="3"/>
  <c r="J534" i="3"/>
  <c r="J533" i="3"/>
  <c r="J532" i="3"/>
  <c r="J531" i="3"/>
  <c r="J530" i="3"/>
  <c r="J529" i="3"/>
  <c r="J528" i="3"/>
  <c r="H528" i="3"/>
  <c r="J527" i="3"/>
  <c r="J526" i="3"/>
  <c r="J525" i="3"/>
  <c r="J524" i="3"/>
  <c r="J523" i="3"/>
  <c r="J522"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708" i="3"/>
  <c r="H675"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306" i="3"/>
  <c r="J319"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4" i="3"/>
  <c r="H714" i="3"/>
  <c r="H711" i="3"/>
  <c r="H706" i="3"/>
  <c r="D702" i="3"/>
  <c r="B702" i="3"/>
  <c r="H701" i="3"/>
  <c r="B701" i="3"/>
  <c r="H698" i="3"/>
  <c r="D698" i="3"/>
  <c r="B698" i="3"/>
  <c r="H695" i="3"/>
  <c r="B695" i="3"/>
  <c r="H693" i="3"/>
  <c r="B693" i="3"/>
  <c r="D689" i="3"/>
  <c r="B689" i="3"/>
  <c r="H688" i="3"/>
  <c r="B688" i="3"/>
  <c r="H685" i="3"/>
  <c r="D685" i="3"/>
  <c r="B685" i="3"/>
  <c r="H682" i="3"/>
  <c r="B682" i="3"/>
  <c r="H680" i="3"/>
  <c r="B680" i="3"/>
  <c r="D663" i="3"/>
  <c r="B663" i="3"/>
  <c r="H662" i="3"/>
  <c r="B662" i="3"/>
  <c r="H659" i="3"/>
  <c r="D659" i="3"/>
  <c r="B659" i="3"/>
  <c r="H656" i="3"/>
  <c r="B656" i="3"/>
  <c r="H654" i="3"/>
  <c r="B654" i="3"/>
  <c r="H646" i="3"/>
  <c r="H641" i="3"/>
  <c r="B641" i="3"/>
  <c r="D650" i="3"/>
  <c r="D646" i="3"/>
  <c r="H649" i="3"/>
  <c r="B649" i="3"/>
  <c r="B646" i="3"/>
  <c r="H643" i="3"/>
  <c r="B643" i="3"/>
  <c r="B650" i="3"/>
  <c r="D90" i="1"/>
  <c r="D89" i="1"/>
  <c r="D88" i="1"/>
  <c r="D87" i="1"/>
  <c r="H10" i="4"/>
  <c r="H549" i="3"/>
  <c r="H510" i="3"/>
  <c r="H536" i="3"/>
  <c r="H497"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58" i="3"/>
  <c r="H557" i="3"/>
  <c r="H554" i="3"/>
  <c r="H541" i="3"/>
  <c r="D558" i="3"/>
  <c r="D545" i="3"/>
  <c r="D519" i="3"/>
  <c r="D506" i="3"/>
  <c r="D549" i="3"/>
  <c r="D536" i="3"/>
  <c r="D510" i="3"/>
  <c r="D497" i="3"/>
  <c r="B557" i="3"/>
  <c r="B554" i="3"/>
  <c r="B549" i="3"/>
  <c r="B545" i="3"/>
  <c r="H544" i="3"/>
  <c r="B544" i="3"/>
  <c r="B541" i="3"/>
  <c r="B536" i="3"/>
  <c r="B519" i="3"/>
  <c r="H518" i="3"/>
  <c r="B518" i="3"/>
  <c r="H515" i="3"/>
  <c r="B515" i="3"/>
  <c r="B510" i="3"/>
  <c r="H505" i="3"/>
  <c r="H502" i="3"/>
  <c r="B506" i="3"/>
  <c r="B505" i="3"/>
  <c r="BF42" i="1" s="1"/>
  <c r="B502" i="3"/>
  <c r="B497"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331" i="3" l="1"/>
  <c r="M320" i="3"/>
  <c r="M325" i="3"/>
  <c r="M330" i="3"/>
  <c r="M324" i="3"/>
  <c r="M329" i="3"/>
  <c r="M323" i="3"/>
  <c r="M328" i="3"/>
  <c r="M322" i="3"/>
  <c r="M327" i="3"/>
  <c r="M321" i="3"/>
  <c r="M326" i="3"/>
  <c r="M59" i="3"/>
  <c r="M318" i="3"/>
  <c r="M307" i="3"/>
  <c r="M312" i="3"/>
  <c r="M317" i="3"/>
  <c r="M311" i="3"/>
  <c r="M316" i="3"/>
  <c r="M310" i="3"/>
  <c r="M315" i="3"/>
  <c r="M309" i="3"/>
  <c r="M314" i="3"/>
  <c r="M308" i="3"/>
  <c r="M313" i="3"/>
  <c r="M305" i="3"/>
  <c r="M299" i="3"/>
  <c r="M304" i="3"/>
  <c r="M298" i="3"/>
  <c r="M303" i="3"/>
  <c r="M297" i="3"/>
  <c r="M302" i="3"/>
  <c r="M296" i="3"/>
  <c r="M301" i="3"/>
  <c r="M295" i="3"/>
  <c r="M294" i="3"/>
  <c r="M300" i="3"/>
  <c r="M63" i="3"/>
  <c r="M61" i="3"/>
  <c r="M62" i="3"/>
  <c r="M60" i="3"/>
  <c r="M58" i="3"/>
  <c r="M71" i="3"/>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52" i="3"/>
  <c r="M120" i="3"/>
  <c r="M81" i="3"/>
  <c r="M86" i="3"/>
  <c r="M114" i="3"/>
  <c r="M75" i="3"/>
  <c r="M119" i="3"/>
  <c r="M80" i="3"/>
  <c r="M85" i="3"/>
  <c r="M113" i="3"/>
  <c r="M118" i="3"/>
  <c r="M79" i="3"/>
  <c r="M84" i="3"/>
  <c r="M89" i="3"/>
  <c r="M73" i="3"/>
  <c r="M117" i="3"/>
  <c r="M78" i="3"/>
  <c r="M83" i="3"/>
  <c r="M88" i="3"/>
  <c r="M116" i="3"/>
  <c r="M77" i="3"/>
  <c r="M82" i="3"/>
  <c r="M74" i="3"/>
  <c r="M87" i="3"/>
  <c r="M115" i="3"/>
  <c r="M76" i="3"/>
  <c r="BC42" i="1"/>
  <c r="M545" i="3"/>
  <c r="M663" i="3"/>
  <c r="M643" i="3"/>
  <c r="M554" i="3"/>
  <c r="M662" i="3"/>
  <c r="M34" i="3"/>
  <c r="M23" i="3"/>
  <c r="M813" i="3"/>
  <c r="M802" i="3"/>
  <c r="M768" i="3"/>
  <c r="M698" i="3"/>
  <c r="M687" i="3"/>
  <c r="M505" i="3"/>
  <c r="M693" i="3"/>
  <c r="M557" i="3"/>
  <c r="M646" i="3"/>
  <c r="M39" i="3"/>
  <c r="M791" i="3"/>
  <c r="M744" i="3"/>
  <c r="M648" i="3"/>
  <c r="M608" i="3"/>
  <c r="M44" i="3"/>
  <c r="M28" i="3"/>
  <c r="M778" i="3"/>
  <c r="M767" i="3"/>
  <c r="M720" i="3"/>
  <c r="M33" i="3"/>
  <c r="M22" i="3"/>
  <c r="M800" i="3"/>
  <c r="M754" i="3"/>
  <c r="M743" i="3"/>
  <c r="M696" i="3"/>
  <c r="M672" i="3"/>
  <c r="M647" i="3"/>
  <c r="M592" i="3"/>
  <c r="M38" i="3"/>
  <c r="M810" i="3"/>
  <c r="M730" i="3"/>
  <c r="M719" i="3"/>
  <c r="M43" i="3"/>
  <c r="M27" i="3"/>
  <c r="M799" i="3"/>
  <c r="M776" i="3"/>
  <c r="M706" i="3"/>
  <c r="M695" i="3"/>
  <c r="M671" i="3"/>
  <c r="M632" i="3"/>
  <c r="M576" i="3"/>
  <c r="M549" i="3"/>
  <c r="M518" i="3"/>
  <c r="M32" i="3"/>
  <c r="M682" i="3"/>
  <c r="M650" i="3"/>
  <c r="M510" i="3"/>
  <c r="M173" i="3"/>
  <c r="M169" i="3"/>
  <c r="M165" i="3"/>
  <c r="M161" i="3"/>
  <c r="M123" i="3"/>
  <c r="M131" i="3"/>
  <c r="M139" i="3"/>
  <c r="M147" i="3"/>
  <c r="M155" i="3"/>
  <c r="M176" i="3"/>
  <c r="M184" i="3"/>
  <c r="M192" i="3"/>
  <c r="M200" i="3"/>
  <c r="M208" i="3"/>
  <c r="M216" i="3"/>
  <c r="M224" i="3"/>
  <c r="M232" i="3"/>
  <c r="M240" i="3"/>
  <c r="M248" i="3"/>
  <c r="M256" i="3"/>
  <c r="M264" i="3"/>
  <c r="M272" i="3"/>
  <c r="M280" i="3"/>
  <c r="M288" i="3"/>
  <c r="M332" i="3"/>
  <c r="M340" i="3"/>
  <c r="M348" i="3"/>
  <c r="M356" i="3"/>
  <c r="M364" i="3"/>
  <c r="M372" i="3"/>
  <c r="M380" i="3"/>
  <c r="M388" i="3"/>
  <c r="M396" i="3"/>
  <c r="M404" i="3"/>
  <c r="M412" i="3"/>
  <c r="M420" i="3"/>
  <c r="M428" i="3"/>
  <c r="M436" i="3"/>
  <c r="M444" i="3"/>
  <c r="M452" i="3"/>
  <c r="M460" i="3"/>
  <c r="M468" i="3"/>
  <c r="M476" i="3"/>
  <c r="M484" i="3"/>
  <c r="M492" i="3"/>
  <c r="M500" i="3"/>
  <c r="M508" i="3"/>
  <c r="M516" i="3"/>
  <c r="M524" i="3"/>
  <c r="M532" i="3"/>
  <c r="M540" i="3"/>
  <c r="M548" i="3"/>
  <c r="M556" i="3"/>
  <c r="M564" i="3"/>
  <c r="M572" i="3"/>
  <c r="M580" i="3"/>
  <c r="M588" i="3"/>
  <c r="M596" i="3"/>
  <c r="M604" i="3"/>
  <c r="M612" i="3"/>
  <c r="M620" i="3"/>
  <c r="M628" i="3"/>
  <c r="M636" i="3"/>
  <c r="M644" i="3"/>
  <c r="M652" i="3"/>
  <c r="M660" i="3"/>
  <c r="M668" i="3"/>
  <c r="M676" i="3"/>
  <c r="M684" i="3"/>
  <c r="M692" i="3"/>
  <c r="M700" i="3"/>
  <c r="M708" i="3"/>
  <c r="M716" i="3"/>
  <c r="M724" i="3"/>
  <c r="M732" i="3"/>
  <c r="M740" i="3"/>
  <c r="M748" i="3"/>
  <c r="M756" i="3"/>
  <c r="M764" i="3"/>
  <c r="M772" i="3"/>
  <c r="M780" i="3"/>
  <c r="M788" i="3"/>
  <c r="M796" i="3"/>
  <c r="M804" i="3"/>
  <c r="M812" i="3"/>
  <c r="M124" i="3"/>
  <c r="M132" i="3"/>
  <c r="M140" i="3"/>
  <c r="M148" i="3"/>
  <c r="M156" i="3"/>
  <c r="M177" i="3"/>
  <c r="M185" i="3"/>
  <c r="M193" i="3"/>
  <c r="M201" i="3"/>
  <c r="M209" i="3"/>
  <c r="M217" i="3"/>
  <c r="M225" i="3"/>
  <c r="M233" i="3"/>
  <c r="M241" i="3"/>
  <c r="M249" i="3"/>
  <c r="M257" i="3"/>
  <c r="M265" i="3"/>
  <c r="M273" i="3"/>
  <c r="M281" i="3"/>
  <c r="M289"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65" i="3"/>
  <c r="M573" i="3"/>
  <c r="M581" i="3"/>
  <c r="M589" i="3"/>
  <c r="M597" i="3"/>
  <c r="M605" i="3"/>
  <c r="M613" i="3"/>
  <c r="M621" i="3"/>
  <c r="M629" i="3"/>
  <c r="M637" i="3"/>
  <c r="M645" i="3"/>
  <c r="M653" i="3"/>
  <c r="M661" i="3"/>
  <c r="M669" i="3"/>
  <c r="M677" i="3"/>
  <c r="M709" i="3"/>
  <c r="M717" i="3"/>
  <c r="M725" i="3"/>
  <c r="M733" i="3"/>
  <c r="M741" i="3"/>
  <c r="M749" i="3"/>
  <c r="M757" i="3"/>
  <c r="M765" i="3"/>
  <c r="M773" i="3"/>
  <c r="M781" i="3"/>
  <c r="M789" i="3"/>
  <c r="M172" i="3"/>
  <c r="M168" i="3"/>
  <c r="M164" i="3"/>
  <c r="M125" i="3"/>
  <c r="M133" i="3"/>
  <c r="M141" i="3"/>
  <c r="M149" i="3"/>
  <c r="M157" i="3"/>
  <c r="M178" i="3"/>
  <c r="M186" i="3"/>
  <c r="M194" i="3"/>
  <c r="M202" i="3"/>
  <c r="M210" i="3"/>
  <c r="M218" i="3"/>
  <c r="M226" i="3"/>
  <c r="M234" i="3"/>
  <c r="M242" i="3"/>
  <c r="M250" i="3"/>
  <c r="M258" i="3"/>
  <c r="M266" i="3"/>
  <c r="M274" i="3"/>
  <c r="M282" i="3"/>
  <c r="M290" i="3"/>
  <c r="M334" i="3"/>
  <c r="M342" i="3"/>
  <c r="M350" i="3"/>
  <c r="M358" i="3"/>
  <c r="M366" i="3"/>
  <c r="M374" i="3"/>
  <c r="M382" i="3"/>
  <c r="M390" i="3"/>
  <c r="M398" i="3"/>
  <c r="M406" i="3"/>
  <c r="M414" i="3"/>
  <c r="M422" i="3"/>
  <c r="M430" i="3"/>
  <c r="M438" i="3"/>
  <c r="M446" i="3"/>
  <c r="M454" i="3"/>
  <c r="M462" i="3"/>
  <c r="M470" i="3"/>
  <c r="M478" i="3"/>
  <c r="M486" i="3"/>
  <c r="M494" i="3"/>
  <c r="M526" i="3"/>
  <c r="M534" i="3"/>
  <c r="M542" i="3"/>
  <c r="M550" i="3"/>
  <c r="M566" i="3"/>
  <c r="M574" i="3"/>
  <c r="M582" i="3"/>
  <c r="M590" i="3"/>
  <c r="M598" i="3"/>
  <c r="M606" i="3"/>
  <c r="M614" i="3"/>
  <c r="M622" i="3"/>
  <c r="M630" i="3"/>
  <c r="M638" i="3"/>
  <c r="M670" i="3"/>
  <c r="M678" i="3"/>
  <c r="M686" i="3"/>
  <c r="M694" i="3"/>
  <c r="M710" i="3"/>
  <c r="M718" i="3"/>
  <c r="M726" i="3"/>
  <c r="M734" i="3"/>
  <c r="M742" i="3"/>
  <c r="M750" i="3"/>
  <c r="M758" i="3"/>
  <c r="M766" i="3"/>
  <c r="M774" i="3"/>
  <c r="M782" i="3"/>
  <c r="M790" i="3"/>
  <c r="M798" i="3"/>
  <c r="M806" i="3"/>
  <c r="M814" i="3"/>
  <c r="M126" i="3"/>
  <c r="M134" i="3"/>
  <c r="M142" i="3"/>
  <c r="M150" i="3"/>
  <c r="M158" i="3"/>
  <c r="M179" i="3"/>
  <c r="M187" i="3"/>
  <c r="M195" i="3"/>
  <c r="M203" i="3"/>
  <c r="M211" i="3"/>
  <c r="M219" i="3"/>
  <c r="M227" i="3"/>
  <c r="M235" i="3"/>
  <c r="M243" i="3"/>
  <c r="M251" i="3"/>
  <c r="M259" i="3"/>
  <c r="M267" i="3"/>
  <c r="M275" i="3"/>
  <c r="M283" i="3"/>
  <c r="M291" i="3"/>
  <c r="M335" i="3"/>
  <c r="M343" i="3"/>
  <c r="M351" i="3"/>
  <c r="M359" i="3"/>
  <c r="M367" i="3"/>
  <c r="M375" i="3"/>
  <c r="M383" i="3"/>
  <c r="M391" i="3"/>
  <c r="M399" i="3"/>
  <c r="M407" i="3"/>
  <c r="M415" i="3"/>
  <c r="M423" i="3"/>
  <c r="M431" i="3"/>
  <c r="M439" i="3"/>
  <c r="M447" i="3"/>
  <c r="M455" i="3"/>
  <c r="M463" i="3"/>
  <c r="M471" i="3"/>
  <c r="M479" i="3"/>
  <c r="M487" i="3"/>
  <c r="M495" i="3"/>
  <c r="M503" i="3"/>
  <c r="M511" i="3"/>
  <c r="M527" i="3"/>
  <c r="M535" i="3"/>
  <c r="M543" i="3"/>
  <c r="M551" i="3"/>
  <c r="M559" i="3"/>
  <c r="M567" i="3"/>
  <c r="M575" i="3"/>
  <c r="M583" i="3"/>
  <c r="M591" i="3"/>
  <c r="M599" i="3"/>
  <c r="M607" i="3"/>
  <c r="M615" i="3"/>
  <c r="M623" i="3"/>
  <c r="M171" i="3"/>
  <c r="M167" i="3"/>
  <c r="M163" i="3"/>
  <c r="M127" i="3"/>
  <c r="M135" i="3"/>
  <c r="M143" i="3"/>
  <c r="M151" i="3"/>
  <c r="M159" i="3"/>
  <c r="M180" i="3"/>
  <c r="M188" i="3"/>
  <c r="M196" i="3"/>
  <c r="M204" i="3"/>
  <c r="M212" i="3"/>
  <c r="M220" i="3"/>
  <c r="M228" i="3"/>
  <c r="M236" i="3"/>
  <c r="M244" i="3"/>
  <c r="M252" i="3"/>
  <c r="M260" i="3"/>
  <c r="M268" i="3"/>
  <c r="M276" i="3"/>
  <c r="M284" i="3"/>
  <c r="M292"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52" i="3"/>
  <c r="M560" i="3"/>
  <c r="M568" i="3"/>
  <c r="M128" i="3"/>
  <c r="M136" i="3"/>
  <c r="M144" i="3"/>
  <c r="M152" i="3"/>
  <c r="M160" i="3"/>
  <c r="M181" i="3"/>
  <c r="M189" i="3"/>
  <c r="M197" i="3"/>
  <c r="M205" i="3"/>
  <c r="M213" i="3"/>
  <c r="M221" i="3"/>
  <c r="M229" i="3"/>
  <c r="M237" i="3"/>
  <c r="M245" i="3"/>
  <c r="M253" i="3"/>
  <c r="M261" i="3"/>
  <c r="M269" i="3"/>
  <c r="M277" i="3"/>
  <c r="M285" i="3"/>
  <c r="M293" i="3"/>
  <c r="M337" i="3"/>
  <c r="M345" i="3"/>
  <c r="M353" i="3"/>
  <c r="M361" i="3"/>
  <c r="M369" i="3"/>
  <c r="M377" i="3"/>
  <c r="M385" i="3"/>
  <c r="M393" i="3"/>
  <c r="M401" i="3"/>
  <c r="M409" i="3"/>
  <c r="M417" i="3"/>
  <c r="M425" i="3"/>
  <c r="M433" i="3"/>
  <c r="M441" i="3"/>
  <c r="M449" i="3"/>
  <c r="M457" i="3"/>
  <c r="M465" i="3"/>
  <c r="M473" i="3"/>
  <c r="M481" i="3"/>
  <c r="M489" i="3"/>
  <c r="M513" i="3"/>
  <c r="M521" i="3"/>
  <c r="M529" i="3"/>
  <c r="M537" i="3"/>
  <c r="M553" i="3"/>
  <c r="M561" i="3"/>
  <c r="M569" i="3"/>
  <c r="M577" i="3"/>
  <c r="M585" i="3"/>
  <c r="M593" i="3"/>
  <c r="M601" i="3"/>
  <c r="M609" i="3"/>
  <c r="M617" i="3"/>
  <c r="M625" i="3"/>
  <c r="M633" i="3"/>
  <c r="M657" i="3"/>
  <c r="M665" i="3"/>
  <c r="M673" i="3"/>
  <c r="M681" i="3"/>
  <c r="M697" i="3"/>
  <c r="M705" i="3"/>
  <c r="M713" i="3"/>
  <c r="M721" i="3"/>
  <c r="M729" i="3"/>
  <c r="M737" i="3"/>
  <c r="M745" i="3"/>
  <c r="M753" i="3"/>
  <c r="M761" i="3"/>
  <c r="M769" i="3"/>
  <c r="M777" i="3"/>
  <c r="M785" i="3"/>
  <c r="M793" i="3"/>
  <c r="M801" i="3"/>
  <c r="M809" i="3"/>
  <c r="M817" i="3"/>
  <c r="M25" i="3"/>
  <c r="M170" i="3"/>
  <c r="M166" i="3"/>
  <c r="M162" i="3"/>
  <c r="M129" i="3"/>
  <c r="M137" i="3"/>
  <c r="M145" i="3"/>
  <c r="M153" i="3"/>
  <c r="M174" i="3"/>
  <c r="M182" i="3"/>
  <c r="M190" i="3"/>
  <c r="M198" i="3"/>
  <c r="M206" i="3"/>
  <c r="M214" i="3"/>
  <c r="M222" i="3"/>
  <c r="M230" i="3"/>
  <c r="M238" i="3"/>
  <c r="M246" i="3"/>
  <c r="M254" i="3"/>
  <c r="M262" i="3"/>
  <c r="M270" i="3"/>
  <c r="M278" i="3"/>
  <c r="M286" i="3"/>
  <c r="M306" i="3"/>
  <c r="M338" i="3"/>
  <c r="M346" i="3"/>
  <c r="M354" i="3"/>
  <c r="M362" i="3"/>
  <c r="M370" i="3"/>
  <c r="M378" i="3"/>
  <c r="M386" i="3"/>
  <c r="M394" i="3"/>
  <c r="M402" i="3"/>
  <c r="M410" i="3"/>
  <c r="M418" i="3"/>
  <c r="M426" i="3"/>
  <c r="M434" i="3"/>
  <c r="M442" i="3"/>
  <c r="M450" i="3"/>
  <c r="M458" i="3"/>
  <c r="M466" i="3"/>
  <c r="M474" i="3"/>
  <c r="M482" i="3"/>
  <c r="M490" i="3"/>
  <c r="M498" i="3"/>
  <c r="M514" i="3"/>
  <c r="M522" i="3"/>
  <c r="M530" i="3"/>
  <c r="M538" i="3"/>
  <c r="M546" i="3"/>
  <c r="M562" i="3"/>
  <c r="M570" i="3"/>
  <c r="M578" i="3"/>
  <c r="M586" i="3"/>
  <c r="M594" i="3"/>
  <c r="M602" i="3"/>
  <c r="M610" i="3"/>
  <c r="M618" i="3"/>
  <c r="M626" i="3"/>
  <c r="M634" i="3"/>
  <c r="M642" i="3"/>
  <c r="M658" i="3"/>
  <c r="M666" i="3"/>
  <c r="M674" i="3"/>
  <c r="M122" i="3"/>
  <c r="M130" i="3"/>
  <c r="M138" i="3"/>
  <c r="M146" i="3"/>
  <c r="M154" i="3"/>
  <c r="M175" i="3"/>
  <c r="M183" i="3"/>
  <c r="M191" i="3"/>
  <c r="M199" i="3"/>
  <c r="M207" i="3"/>
  <c r="M215" i="3"/>
  <c r="M223" i="3"/>
  <c r="M231" i="3"/>
  <c r="M239" i="3"/>
  <c r="M247" i="3"/>
  <c r="M255" i="3"/>
  <c r="M263" i="3"/>
  <c r="M271" i="3"/>
  <c r="M279" i="3"/>
  <c r="M287" i="3"/>
  <c r="M319" i="3"/>
  <c r="M339" i="3"/>
  <c r="M347" i="3"/>
  <c r="M355" i="3"/>
  <c r="M363" i="3"/>
  <c r="M371" i="3"/>
  <c r="M379" i="3"/>
  <c r="M387" i="3"/>
  <c r="M395" i="3"/>
  <c r="M403" i="3"/>
  <c r="M411" i="3"/>
  <c r="M419" i="3"/>
  <c r="M427" i="3"/>
  <c r="M435" i="3"/>
  <c r="M443" i="3"/>
  <c r="M451" i="3"/>
  <c r="M459" i="3"/>
  <c r="M467" i="3"/>
  <c r="M475" i="3"/>
  <c r="M483" i="3"/>
  <c r="M491" i="3"/>
  <c r="M499" i="3"/>
  <c r="M507" i="3"/>
  <c r="M523" i="3"/>
  <c r="M531" i="3"/>
  <c r="M539" i="3"/>
  <c r="M547" i="3"/>
  <c r="M555" i="3"/>
  <c r="M563" i="3"/>
  <c r="M571" i="3"/>
  <c r="M579" i="3"/>
  <c r="M587" i="3"/>
  <c r="M595" i="3"/>
  <c r="M603" i="3"/>
  <c r="M611" i="3"/>
  <c r="M619" i="3"/>
  <c r="M627" i="3"/>
  <c r="M635" i="3"/>
  <c r="M651" i="3"/>
  <c r="M667" i="3"/>
  <c r="M675" i="3"/>
  <c r="M683" i="3"/>
  <c r="M691" i="3"/>
  <c r="M699" i="3"/>
  <c r="M707" i="3"/>
  <c r="M715" i="3"/>
  <c r="M723" i="3"/>
  <c r="M731" i="3"/>
  <c r="M739" i="3"/>
  <c r="M747" i="3"/>
  <c r="M755" i="3"/>
  <c r="M763" i="3"/>
  <c r="M771" i="3"/>
  <c r="M779" i="3"/>
  <c r="M787" i="3"/>
  <c r="M795" i="3"/>
  <c r="M803" i="3"/>
  <c r="M811" i="3"/>
  <c r="M641" i="3"/>
  <c r="M701" i="3"/>
  <c r="M37" i="3"/>
  <c r="M121" i="3"/>
  <c r="M808" i="3"/>
  <c r="M786" i="3"/>
  <c r="M775" i="3"/>
  <c r="M728" i="3"/>
  <c r="M656" i="3"/>
  <c r="M631" i="3"/>
  <c r="M649" i="3"/>
  <c r="M515" i="3"/>
  <c r="M519" i="3"/>
  <c r="M685" i="3"/>
  <c r="M702" i="3"/>
  <c r="M42" i="3"/>
  <c r="M26" i="3"/>
  <c r="M818" i="3"/>
  <c r="M797" i="3"/>
  <c r="M762" i="3"/>
  <c r="M751" i="3"/>
  <c r="M704" i="3"/>
  <c r="M616" i="3"/>
  <c r="M31" i="3"/>
  <c r="M807" i="3"/>
  <c r="M738" i="3"/>
  <c r="M727" i="3"/>
  <c r="M680" i="3"/>
  <c r="M655" i="3"/>
  <c r="M536" i="3"/>
  <c r="M36" i="3"/>
  <c r="M784" i="3"/>
  <c r="M714" i="3"/>
  <c r="M703" i="3"/>
  <c r="M600" i="3"/>
  <c r="M654" i="3"/>
  <c r="M541" i="3"/>
  <c r="M41" i="3"/>
  <c r="M816" i="3"/>
  <c r="M760" i="3"/>
  <c r="M690" i="3"/>
  <c r="M679" i="3"/>
  <c r="M640" i="3"/>
  <c r="M30" i="3"/>
  <c r="M805" i="3"/>
  <c r="M794" i="3"/>
  <c r="M783" i="3"/>
  <c r="M736" i="3"/>
  <c r="M584" i="3"/>
  <c r="M506" i="3"/>
  <c r="M497" i="3"/>
  <c r="M544" i="3"/>
  <c r="M502" i="3"/>
  <c r="M558" i="3"/>
  <c r="M659" i="3"/>
  <c r="M689" i="3"/>
  <c r="M35" i="3"/>
  <c r="M24" i="3"/>
  <c r="M815" i="3"/>
  <c r="M770" i="3"/>
  <c r="M759" i="3"/>
  <c r="M712" i="3"/>
  <c r="M664" i="3"/>
  <c r="M639" i="3"/>
  <c r="M40" i="3"/>
  <c r="M746" i="3"/>
  <c r="M735" i="3"/>
  <c r="M688" i="3"/>
  <c r="M45" i="3"/>
  <c r="M29" i="3"/>
  <c r="M792" i="3"/>
  <c r="M722" i="3"/>
  <c r="M711" i="3"/>
  <c r="M624"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701" i="3"/>
  <c r="L502" i="3"/>
  <c r="F60" i="4"/>
  <c r="L649" i="3"/>
  <c r="L689" i="3"/>
  <c r="L663" i="3"/>
  <c r="G60" i="4"/>
  <c r="L695" i="3"/>
  <c r="L515" i="3"/>
  <c r="L519" i="3"/>
  <c r="L650" i="3"/>
  <c r="E60" i="4"/>
  <c r="L682" i="3"/>
  <c r="L698" i="3"/>
  <c r="D60" i="4"/>
  <c r="L557" i="3"/>
  <c r="L518" i="3"/>
  <c r="L654" i="3"/>
  <c r="L541" i="3"/>
  <c r="L693" i="3"/>
  <c r="L536" i="3"/>
  <c r="L659" i="3"/>
  <c r="L643" i="3"/>
  <c r="L662" i="3"/>
  <c r="L497" i="3"/>
  <c r="L688" i="3"/>
  <c r="L641" i="3"/>
  <c r="L545" i="3"/>
  <c r="L656" i="3"/>
  <c r="L702" i="3"/>
  <c r="L506" i="3"/>
  <c r="L549" i="3"/>
  <c r="C60" i="4"/>
  <c r="L505" i="3"/>
  <c r="L544" i="3"/>
  <c r="L680" i="3"/>
  <c r="L510" i="3"/>
  <c r="L646" i="3"/>
  <c r="L558" i="3"/>
  <c r="H60" i="4"/>
  <c r="L554" i="3"/>
  <c r="L685" i="3"/>
  <c r="L637" i="3"/>
  <c r="L349" i="3"/>
  <c r="L281" i="3"/>
  <c r="L249" i="3"/>
  <c r="L201" i="3"/>
  <c r="L185" i="3"/>
  <c r="L156" i="3"/>
  <c r="L140" i="3"/>
  <c r="L124" i="3"/>
  <c r="L167" i="3"/>
  <c r="L661" i="3"/>
  <c r="L381" i="3"/>
  <c r="L636" i="3"/>
  <c r="L572" i="3"/>
  <c r="L553" i="3"/>
  <c r="L532" i="3"/>
  <c r="L513" i="3"/>
  <c r="L492" i="3"/>
  <c r="L476" i="3"/>
  <c r="L460" i="3"/>
  <c r="L444" i="3"/>
  <c r="L428" i="3"/>
  <c r="L412" i="3"/>
  <c r="L396" i="3"/>
  <c r="L380" i="3"/>
  <c r="L364" i="3"/>
  <c r="L348" i="3"/>
  <c r="L332" i="3"/>
  <c r="L280" i="3"/>
  <c r="L264" i="3"/>
  <c r="L248" i="3"/>
  <c r="L232" i="3"/>
  <c r="L216" i="3"/>
  <c r="L200" i="3"/>
  <c r="L184" i="3"/>
  <c r="L155" i="3"/>
  <c r="L139" i="3"/>
  <c r="L123" i="3"/>
  <c r="L785" i="3"/>
  <c r="L445" i="3"/>
  <c r="L736" i="3"/>
  <c r="L7" i="3"/>
  <c r="L35" i="3"/>
  <c r="L815" i="3"/>
  <c r="L783" i="3"/>
  <c r="L751" i="3"/>
  <c r="L735" i="3"/>
  <c r="L719" i="3"/>
  <c r="L703" i="3"/>
  <c r="L677" i="3"/>
  <c r="L658" i="3"/>
  <c r="L635" i="3"/>
  <c r="L619" i="3"/>
  <c r="L603" i="3"/>
  <c r="L587" i="3"/>
  <c r="L571" i="3"/>
  <c r="L552" i="3"/>
  <c r="L531" i="3"/>
  <c r="L512" i="3"/>
  <c r="L491" i="3"/>
  <c r="L475" i="3"/>
  <c r="L459" i="3"/>
  <c r="L443" i="3"/>
  <c r="L427" i="3"/>
  <c r="L411" i="3"/>
  <c r="L395" i="3"/>
  <c r="L379" i="3"/>
  <c r="L363" i="3"/>
  <c r="L347" i="3"/>
  <c r="L319" i="3"/>
  <c r="L279" i="3"/>
  <c r="L263" i="3"/>
  <c r="L247" i="3"/>
  <c r="L231" i="3"/>
  <c r="L215" i="3"/>
  <c r="L199" i="3"/>
  <c r="L183" i="3"/>
  <c r="L154" i="3"/>
  <c r="L138" i="3"/>
  <c r="L122" i="3"/>
  <c r="L168" i="3"/>
  <c r="L54" i="3"/>
  <c r="L753" i="3"/>
  <c r="L413" i="3"/>
  <c r="L660" i="3"/>
  <c r="L43" i="3"/>
  <c r="L27" i="3"/>
  <c r="L799" i="3"/>
  <c r="L767" i="3"/>
  <c r="L814" i="3"/>
  <c r="L798" i="3"/>
  <c r="L782" i="3"/>
  <c r="L766" i="3"/>
  <c r="L750" i="3"/>
  <c r="L734" i="3"/>
  <c r="L718" i="3"/>
  <c r="L700" i="3"/>
  <c r="L676" i="3"/>
  <c r="L657" i="3"/>
  <c r="L634" i="3"/>
  <c r="L618" i="3"/>
  <c r="L602" i="3"/>
  <c r="L586" i="3"/>
  <c r="L570" i="3"/>
  <c r="L551" i="3"/>
  <c r="L530" i="3"/>
  <c r="L511" i="3"/>
  <c r="L490" i="3"/>
  <c r="L474" i="3"/>
  <c r="L458" i="3"/>
  <c r="L442" i="3"/>
  <c r="L426" i="3"/>
  <c r="L410" i="3"/>
  <c r="L394" i="3"/>
  <c r="L378" i="3"/>
  <c r="L362" i="3"/>
  <c r="L346" i="3"/>
  <c r="L306" i="3"/>
  <c r="L278" i="3"/>
  <c r="L262" i="3"/>
  <c r="L246" i="3"/>
  <c r="L230" i="3"/>
  <c r="L214" i="3"/>
  <c r="L198" i="3"/>
  <c r="L182" i="3"/>
  <c r="L153" i="3"/>
  <c r="L137" i="3"/>
  <c r="L721" i="3"/>
  <c r="L679" i="3"/>
  <c r="L365" i="3"/>
  <c r="L620" i="3"/>
  <c r="L588" i="3"/>
  <c r="L42" i="3"/>
  <c r="L34" i="3"/>
  <c r="L26" i="3"/>
  <c r="L813" i="3"/>
  <c r="L797" i="3"/>
  <c r="L781" i="3"/>
  <c r="L765" i="3"/>
  <c r="L749" i="3"/>
  <c r="L733" i="3"/>
  <c r="L717" i="3"/>
  <c r="L699" i="3"/>
  <c r="L675" i="3"/>
  <c r="L655" i="3"/>
  <c r="L633" i="3"/>
  <c r="L617" i="3"/>
  <c r="L601" i="3"/>
  <c r="L585" i="3"/>
  <c r="L569" i="3"/>
  <c r="L550" i="3"/>
  <c r="L529" i="3"/>
  <c r="L509" i="3"/>
  <c r="L489" i="3"/>
  <c r="L473" i="3"/>
  <c r="L457" i="3"/>
  <c r="L441" i="3"/>
  <c r="L425" i="3"/>
  <c r="L409" i="3"/>
  <c r="L393" i="3"/>
  <c r="L377" i="3"/>
  <c r="L361" i="3"/>
  <c r="L345" i="3"/>
  <c r="L293" i="3"/>
  <c r="L277" i="3"/>
  <c r="L261" i="3"/>
  <c r="L245" i="3"/>
  <c r="L229" i="3"/>
  <c r="L213" i="3"/>
  <c r="L197" i="3"/>
  <c r="L181" i="3"/>
  <c r="L152" i="3"/>
  <c r="L136" i="3"/>
  <c r="L161" i="3"/>
  <c r="L169" i="3"/>
  <c r="L737" i="3"/>
  <c r="L705" i="3"/>
  <c r="L397" i="3"/>
  <c r="L333" i="3"/>
  <c r="L604" i="3"/>
  <c r="L10" i="3"/>
  <c r="L6" i="3"/>
  <c r="L11" i="3"/>
  <c r="L812" i="3"/>
  <c r="L796" i="3"/>
  <c r="L780" i="3"/>
  <c r="L764" i="3"/>
  <c r="L748" i="3"/>
  <c r="L732" i="3"/>
  <c r="L716" i="3"/>
  <c r="L697" i="3"/>
  <c r="L674" i="3"/>
  <c r="L653" i="3"/>
  <c r="L632" i="3"/>
  <c r="L616" i="3"/>
  <c r="L600" i="3"/>
  <c r="L584" i="3"/>
  <c r="L568" i="3"/>
  <c r="L548" i="3"/>
  <c r="L528" i="3"/>
  <c r="L508" i="3"/>
  <c r="L488" i="3"/>
  <c r="L472" i="3"/>
  <c r="L456" i="3"/>
  <c r="L440" i="3"/>
  <c r="L424" i="3"/>
  <c r="L408" i="3"/>
  <c r="L392" i="3"/>
  <c r="L376" i="3"/>
  <c r="L360" i="3"/>
  <c r="L344" i="3"/>
  <c r="L292" i="3"/>
  <c r="L276" i="3"/>
  <c r="L260" i="3"/>
  <c r="L244" i="3"/>
  <c r="L228" i="3"/>
  <c r="L212" i="3"/>
  <c r="L196" i="3"/>
  <c r="L180" i="3"/>
  <c r="L151" i="3"/>
  <c r="L135" i="3"/>
  <c r="L61" i="3"/>
  <c r="L817" i="3"/>
  <c r="L493" i="3"/>
  <c r="L784" i="3"/>
  <c r="L811" i="3"/>
  <c r="L795" i="3"/>
  <c r="L779" i="3"/>
  <c r="L763" i="3"/>
  <c r="L747" i="3"/>
  <c r="L731" i="3"/>
  <c r="L715" i="3"/>
  <c r="L696" i="3"/>
  <c r="L673" i="3"/>
  <c r="L652" i="3"/>
  <c r="L631" i="3"/>
  <c r="L615" i="3"/>
  <c r="L599" i="3"/>
  <c r="L583" i="3"/>
  <c r="L567" i="3"/>
  <c r="L547" i="3"/>
  <c r="L527" i="3"/>
  <c r="L507" i="3"/>
  <c r="L487" i="3"/>
  <c r="L471" i="3"/>
  <c r="L455" i="3"/>
  <c r="L439" i="3"/>
  <c r="L423" i="3"/>
  <c r="L407" i="3"/>
  <c r="L391" i="3"/>
  <c r="L375" i="3"/>
  <c r="L359" i="3"/>
  <c r="L343" i="3"/>
  <c r="L291" i="3"/>
  <c r="L275" i="3"/>
  <c r="L259" i="3"/>
  <c r="L243" i="3"/>
  <c r="L227" i="3"/>
  <c r="L211" i="3"/>
  <c r="L195" i="3"/>
  <c r="L179" i="3"/>
  <c r="L150" i="3"/>
  <c r="L134" i="3"/>
  <c r="L162" i="3"/>
  <c r="L170" i="3"/>
  <c r="L573" i="3"/>
  <c r="L217" i="3"/>
  <c r="L41" i="3"/>
  <c r="L33" i="3"/>
  <c r="L25" i="3"/>
  <c r="L13" i="3"/>
  <c r="L810" i="3"/>
  <c r="L794" i="3"/>
  <c r="L778" i="3"/>
  <c r="L762" i="3"/>
  <c r="L746" i="3"/>
  <c r="L730" i="3"/>
  <c r="L714" i="3"/>
  <c r="L694" i="3"/>
  <c r="L672" i="3"/>
  <c r="L651" i="3"/>
  <c r="L630" i="3"/>
  <c r="L614" i="3"/>
  <c r="L598" i="3"/>
  <c r="L582" i="3"/>
  <c r="L566" i="3"/>
  <c r="L546" i="3"/>
  <c r="L526" i="3"/>
  <c r="L504" i="3"/>
  <c r="L486" i="3"/>
  <c r="L470" i="3"/>
  <c r="L454" i="3"/>
  <c r="L438" i="3"/>
  <c r="L422" i="3"/>
  <c r="L406" i="3"/>
  <c r="L390" i="3"/>
  <c r="L374" i="3"/>
  <c r="L358" i="3"/>
  <c r="L342" i="3"/>
  <c r="L290" i="3"/>
  <c r="L274" i="3"/>
  <c r="L258" i="3"/>
  <c r="L242" i="3"/>
  <c r="L226" i="3"/>
  <c r="L210" i="3"/>
  <c r="L194" i="3"/>
  <c r="L178" i="3"/>
  <c r="L149" i="3"/>
  <c r="L133" i="3"/>
  <c r="L621" i="3"/>
  <c r="L589" i="3"/>
  <c r="L233" i="3"/>
  <c r="L809" i="3"/>
  <c r="L777" i="3"/>
  <c r="L761" i="3"/>
  <c r="L745" i="3"/>
  <c r="L729" i="3"/>
  <c r="L713" i="3"/>
  <c r="L692" i="3"/>
  <c r="L671" i="3"/>
  <c r="L648" i="3"/>
  <c r="L629" i="3"/>
  <c r="L613" i="3"/>
  <c r="L597" i="3"/>
  <c r="L581" i="3"/>
  <c r="L565" i="3"/>
  <c r="L543" i="3"/>
  <c r="L525" i="3"/>
  <c r="L503" i="3"/>
  <c r="L485" i="3"/>
  <c r="L469" i="3"/>
  <c r="L453" i="3"/>
  <c r="L437" i="3"/>
  <c r="L421" i="3"/>
  <c r="L405" i="3"/>
  <c r="L389" i="3"/>
  <c r="L373" i="3"/>
  <c r="L357" i="3"/>
  <c r="L341" i="3"/>
  <c r="L289" i="3"/>
  <c r="L273" i="3"/>
  <c r="L257" i="3"/>
  <c r="L241" i="3"/>
  <c r="L225" i="3"/>
  <c r="L209" i="3"/>
  <c r="L193" i="3"/>
  <c r="L177" i="3"/>
  <c r="L148" i="3"/>
  <c r="L132" i="3"/>
  <c r="L163" i="3"/>
  <c r="L171" i="3"/>
  <c r="L57" i="3"/>
  <c r="L769" i="3"/>
  <c r="L429" i="3"/>
  <c r="L704" i="3"/>
  <c r="L14" i="3"/>
  <c r="L808" i="3"/>
  <c r="L792" i="3"/>
  <c r="L776" i="3"/>
  <c r="L760" i="3"/>
  <c r="L744" i="3"/>
  <c r="L728" i="3"/>
  <c r="L712" i="3"/>
  <c r="L691" i="3"/>
  <c r="L670" i="3"/>
  <c r="L647" i="3"/>
  <c r="L628" i="3"/>
  <c r="L612" i="3"/>
  <c r="L596" i="3"/>
  <c r="L580" i="3"/>
  <c r="L564" i="3"/>
  <c r="L542" i="3"/>
  <c r="L524" i="3"/>
  <c r="L501" i="3"/>
  <c r="L484" i="3"/>
  <c r="L468" i="3"/>
  <c r="L452" i="3"/>
  <c r="L436" i="3"/>
  <c r="L420" i="3"/>
  <c r="L404" i="3"/>
  <c r="L388" i="3"/>
  <c r="L372" i="3"/>
  <c r="L356" i="3"/>
  <c r="L340" i="3"/>
  <c r="L288" i="3"/>
  <c r="L272" i="3"/>
  <c r="L256" i="3"/>
  <c r="L240" i="3"/>
  <c r="L224" i="3"/>
  <c r="L208" i="3"/>
  <c r="L192" i="3"/>
  <c r="L176" i="3"/>
  <c r="L147" i="3"/>
  <c r="L131" i="3"/>
  <c r="L514" i="3"/>
  <c r="L678" i="3"/>
  <c r="L16" i="3"/>
  <c r="L39" i="3"/>
  <c r="L31" i="3"/>
  <c r="L23" i="3"/>
  <c r="L807" i="3"/>
  <c r="L791" i="3"/>
  <c r="L775" i="3"/>
  <c r="L759" i="3"/>
  <c r="L743" i="3"/>
  <c r="L727" i="3"/>
  <c r="L711" i="3"/>
  <c r="L690" i="3"/>
  <c r="L669" i="3"/>
  <c r="L645" i="3"/>
  <c r="L627" i="3"/>
  <c r="L611" i="3"/>
  <c r="L595" i="3"/>
  <c r="L579" i="3"/>
  <c r="L563" i="3"/>
  <c r="L540" i="3"/>
  <c r="L523" i="3"/>
  <c r="L500" i="3"/>
  <c r="L483" i="3"/>
  <c r="L467" i="3"/>
  <c r="L451" i="3"/>
  <c r="L435" i="3"/>
  <c r="L419" i="3"/>
  <c r="L403" i="3"/>
  <c r="L387" i="3"/>
  <c r="L371" i="3"/>
  <c r="L355" i="3"/>
  <c r="L339" i="3"/>
  <c r="L287" i="3"/>
  <c r="L271" i="3"/>
  <c r="L255" i="3"/>
  <c r="L239" i="3"/>
  <c r="L223" i="3"/>
  <c r="L207" i="3"/>
  <c r="L191" i="3"/>
  <c r="L175" i="3"/>
  <c r="L146" i="3"/>
  <c r="L130" i="3"/>
  <c r="L164" i="3"/>
  <c r="L172" i="3"/>
  <c r="L605" i="3"/>
  <c r="L265" i="3"/>
  <c r="L40" i="3"/>
  <c r="L32" i="3"/>
  <c r="L24" i="3"/>
  <c r="L21" i="3"/>
  <c r="L806" i="3"/>
  <c r="L790" i="3"/>
  <c r="L774" i="3"/>
  <c r="L758" i="3"/>
  <c r="L742" i="3"/>
  <c r="L726" i="3"/>
  <c r="L710" i="3"/>
  <c r="L687" i="3"/>
  <c r="L668" i="3"/>
  <c r="L644" i="3"/>
  <c r="L626" i="3"/>
  <c r="L610" i="3"/>
  <c r="L594" i="3"/>
  <c r="L578" i="3"/>
  <c r="L562" i="3"/>
  <c r="L539" i="3"/>
  <c r="L522" i="3"/>
  <c r="L499" i="3"/>
  <c r="L482" i="3"/>
  <c r="L466" i="3"/>
  <c r="L450" i="3"/>
  <c r="L434" i="3"/>
  <c r="L418" i="3"/>
  <c r="L402" i="3"/>
  <c r="L386" i="3"/>
  <c r="L370" i="3"/>
  <c r="L354" i="3"/>
  <c r="L338" i="3"/>
  <c r="L286" i="3"/>
  <c r="L270" i="3"/>
  <c r="L254" i="3"/>
  <c r="L238" i="3"/>
  <c r="L222" i="3"/>
  <c r="L206" i="3"/>
  <c r="L190" i="3"/>
  <c r="L174" i="3"/>
  <c r="L145" i="3"/>
  <c r="L129" i="3"/>
  <c r="L555" i="3"/>
  <c r="L816" i="3"/>
  <c r="L38" i="3"/>
  <c r="L30" i="3"/>
  <c r="L22" i="3"/>
  <c r="L789" i="3"/>
  <c r="L773" i="3"/>
  <c r="L757" i="3"/>
  <c r="L741" i="3"/>
  <c r="L725" i="3"/>
  <c r="L709" i="3"/>
  <c r="L686" i="3"/>
  <c r="L667" i="3"/>
  <c r="L642" i="3"/>
  <c r="L625" i="3"/>
  <c r="L609" i="3"/>
  <c r="L593" i="3"/>
  <c r="L577" i="3"/>
  <c r="L561" i="3"/>
  <c r="L538" i="3"/>
  <c r="L521" i="3"/>
  <c r="L498" i="3"/>
  <c r="L481" i="3"/>
  <c r="L465" i="3"/>
  <c r="L449" i="3"/>
  <c r="L433" i="3"/>
  <c r="L417" i="3"/>
  <c r="L401" i="3"/>
  <c r="L385" i="3"/>
  <c r="L369" i="3"/>
  <c r="L353" i="3"/>
  <c r="L337" i="3"/>
  <c r="L285" i="3"/>
  <c r="L269" i="3"/>
  <c r="L253" i="3"/>
  <c r="L237" i="3"/>
  <c r="L221" i="3"/>
  <c r="L205" i="3"/>
  <c r="L189" i="3"/>
  <c r="L160" i="3"/>
  <c r="L144" i="3"/>
  <c r="L128" i="3"/>
  <c r="L165" i="3"/>
  <c r="L173" i="3"/>
  <c r="L44" i="3"/>
  <c r="L28" i="3"/>
  <c r="L461" i="3"/>
  <c r="L752" i="3"/>
  <c r="L20" i="3"/>
  <c r="L17" i="3"/>
  <c r="L805" i="3"/>
  <c r="L19" i="3"/>
  <c r="L804" i="3"/>
  <c r="L788" i="3"/>
  <c r="L772" i="3"/>
  <c r="L756" i="3"/>
  <c r="L740" i="3"/>
  <c r="L724" i="3"/>
  <c r="L708" i="3"/>
  <c r="L684" i="3"/>
  <c r="L666" i="3"/>
  <c r="L640" i="3"/>
  <c r="L624" i="3"/>
  <c r="L608" i="3"/>
  <c r="L592" i="3"/>
  <c r="L576" i="3"/>
  <c r="L560" i="3"/>
  <c r="L537" i="3"/>
  <c r="L520" i="3"/>
  <c r="L496" i="3"/>
  <c r="L480" i="3"/>
  <c r="L464" i="3"/>
  <c r="L448" i="3"/>
  <c r="L432" i="3"/>
  <c r="L416" i="3"/>
  <c r="L400" i="3"/>
  <c r="L384" i="3"/>
  <c r="L368" i="3"/>
  <c r="L352" i="3"/>
  <c r="L336" i="3"/>
  <c r="L284" i="3"/>
  <c r="L268" i="3"/>
  <c r="L252" i="3"/>
  <c r="L236" i="3"/>
  <c r="L220" i="3"/>
  <c r="L204" i="3"/>
  <c r="L188" i="3"/>
  <c r="L159" i="3"/>
  <c r="L143" i="3"/>
  <c r="L127" i="3"/>
  <c r="L801" i="3"/>
  <c r="L477" i="3"/>
  <c r="L768" i="3"/>
  <c r="L720" i="3"/>
  <c r="L12" i="3"/>
  <c r="L18" i="3"/>
  <c r="L45" i="3"/>
  <c r="L121" i="3"/>
  <c r="L787" i="3"/>
  <c r="L771" i="3"/>
  <c r="L755" i="3"/>
  <c r="L739" i="3"/>
  <c r="L723" i="3"/>
  <c r="L707" i="3"/>
  <c r="L683" i="3"/>
  <c r="L665" i="3"/>
  <c r="L639" i="3"/>
  <c r="L623" i="3"/>
  <c r="L607" i="3"/>
  <c r="L591" i="3"/>
  <c r="L575" i="3"/>
  <c r="L559" i="3"/>
  <c r="L535" i="3"/>
  <c r="L517" i="3"/>
  <c r="L495" i="3"/>
  <c r="L479" i="3"/>
  <c r="L463" i="3"/>
  <c r="L447" i="3"/>
  <c r="L431" i="3"/>
  <c r="L415" i="3"/>
  <c r="L399" i="3"/>
  <c r="L383" i="3"/>
  <c r="L367" i="3"/>
  <c r="L351" i="3"/>
  <c r="L335" i="3"/>
  <c r="L283" i="3"/>
  <c r="L267" i="3"/>
  <c r="L251" i="3"/>
  <c r="L235" i="3"/>
  <c r="L219" i="3"/>
  <c r="L203" i="3"/>
  <c r="L187" i="3"/>
  <c r="L158" i="3"/>
  <c r="L142" i="3"/>
  <c r="L126" i="3"/>
  <c r="L166" i="3"/>
  <c r="L53" i="3"/>
  <c r="L8" i="3"/>
  <c r="L36" i="3"/>
  <c r="L533" i="3"/>
  <c r="L800" i="3"/>
  <c r="L793" i="3"/>
  <c r="L15" i="3"/>
  <c r="L37" i="3"/>
  <c r="L29" i="3"/>
  <c r="L803" i="3"/>
  <c r="L9" i="3"/>
  <c r="L818" i="3"/>
  <c r="L802" i="3"/>
  <c r="L786" i="3"/>
  <c r="L770" i="3"/>
  <c r="L754" i="3"/>
  <c r="L738" i="3"/>
  <c r="L722" i="3"/>
  <c r="L706" i="3"/>
  <c r="L681" i="3"/>
  <c r="L664" i="3"/>
  <c r="L638" i="3"/>
  <c r="L622" i="3"/>
  <c r="L606" i="3"/>
  <c r="L590" i="3"/>
  <c r="L574" i="3"/>
  <c r="L556" i="3"/>
  <c r="L534" i="3"/>
  <c r="L516" i="3"/>
  <c r="L494" i="3"/>
  <c r="L478" i="3"/>
  <c r="L462" i="3"/>
  <c r="L446" i="3"/>
  <c r="L430" i="3"/>
  <c r="L414" i="3"/>
  <c r="L398" i="3"/>
  <c r="L382" i="3"/>
  <c r="L366" i="3"/>
  <c r="L350" i="3"/>
  <c r="L334"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<sst xmlns="http://schemas.openxmlformats.org/spreadsheetml/2006/main" count="4674" uniqueCount="1893">
  <si>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</si>
  <si>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</si>
  <si>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</si>
  <si>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</si>
  <si>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</si>
  <si>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</si>
  <si>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</si>
  <si>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</si>
  <si>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</si>
  <si>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</si>
  <si>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</si>
  <si>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</si>
  <si>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</si>
  <si>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</si>
  <si>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</si>
  <si>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</si>
  <si>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</si>
  <si>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</si>
  <si>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</si>
  <si>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</si>
  <si>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</si>
  <si>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</si>
  <si>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</si>
  <si>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</si>
  <si>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</si>
  <si>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</si>
  <si>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</si>
  <si>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</si>
  <si>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</si>
  <si>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</si>
  <si>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</si>
  <si>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</si>
  <si>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</si>
  <si>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</si>
  <si>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</si>
  <si>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</si>
  <si>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</si>
  <si>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</si>
  <si>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</si>
  <si>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</si>
  <si>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</si>
  <si>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</si>
  <si>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</si>
  <si>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</si>
  <si>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</si>
  <si>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</si>
  <si>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</si>
  <si>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</si>
  <si>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</si>
  <si>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</si>
  <si>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</si>
  <si>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</si>
  <si>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</si>
  <si>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</si>
  <si>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</si>
  <si>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</si>
  <si>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</si>
  <si>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</si>
  <si>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</si>
  <si>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</si>
  <si>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</si>
  <si>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</si>
  <si>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</si>
  <si>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</si>
  <si>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</si>
  <si>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</si>
  <si>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</si>
  <si>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</si>
  <si>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</si>
  <si>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</si>
  <si>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</si>
  <si>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</si>
  <si>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</si>
  <si>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</si>
  <si>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</si>
  <si>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</si>
  <si>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</si>
  <si>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</si>
  <si>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</si>
  <si>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</si>
  <si>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</si>
  <si>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</si>
  <si>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</si>
  <si>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</si>
  <si>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</si>
  <si>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</si>
  <si>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</si>
  <si>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</si>
  <si>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</si>
  <si>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</si>
  <si>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</si>
  <si>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</si>
  <si>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</si>
  <si>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</si>
  <si>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</si>
  <si>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</si>
  <si>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</si>
  <si>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</si>
  <si>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</si>
  <si>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</si>
  <si>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</si>
  <si>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</si>
  <si>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</si>
  <si>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</si>
  <si>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</si>
  <si>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</si>
  <si>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</si>
  <si>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</si>
  <si>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</si>
  <si>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</si>
  <si>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</si>
  <si>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</si>
  <si>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</si>
  <si>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</si>
  <si>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</si>
  <si>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</si>
  <si>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</si>
  <si>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</si>
  <si>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</si>
  <si>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</si>
  <si>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</si>
  <si>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</si>
  <si>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</si>
  <si>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</si>
  <si>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</si>
  <si>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</si>
  <si>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</si>
  <si>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</si>
  <si>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</si>
  <si>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</si>
  <si>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</si>
  <si>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</si>
  <si>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</si>
  <si>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</si>
  <si>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</si>
  <si>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</si>
  <si>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</si>
  <si>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</si>
  <si>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</si>
  <si>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</si>
  <si>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</si>
  <si>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</si>
  <si>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</si>
  <si>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</si>
  <si>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</si>
  <si>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</si>
  <si>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</si>
  <si>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</si>
  <si>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</si>
  <si>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</si>
  <si>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</si>
  <si>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</si>
  <si>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</si>
  <si>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</si>
  <si>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</si>
  <si>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</si>
  <si>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</si>
  <si>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</si>
  <si>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</si>
  <si>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</si>
  <si>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</si>
  <si>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</si>
  <si>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</si>
  <si>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</si>
  <si>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</si>
  <si>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</si>
  <si>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</si>
  <si>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</si>
  <si>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</si>
  <si>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</si>
  <si>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</si>
  <si>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</si>
  <si>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</si>
  <si>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</si>
  <si>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</si>
  <si>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</si>
  <si>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</si>
  <si>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</si>
  <si>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</si>
  <si>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</si>
  <si>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</si>
  <si>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</si>
  <si>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</si>
  <si>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</si>
  <si>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</si>
  <si>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</si>
  <si>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</si>
  <si>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</si>
  <si>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</si>
  <si>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</si>
  <si>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</si>
  <si>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</si>
  <si>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</si>
  <si>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</si>
  <si>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</si>
  <si>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</si>
  <si>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</si>
  <si>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</si>
  <si>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</si>
  <si>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</si>
  <si>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</si>
  <si>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</si>
  <si>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</si>
  <si>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</si>
  <si>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</si>
  <si>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</si>
  <si>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</si>
  <si>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</si>
  <si>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</si>
  <si>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</si>
  <si>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</si>
  <si>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</si>
  <si>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</si>
  <si>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</si>
  <si>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</si>
  <si>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</si>
  <si>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</si>
  <si>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</si>
  <si>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</si>
  <si>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</si>
  <si>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</si>
  <si>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</si>
  <si>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</si>
  <si>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</si>
  <si>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</si>
  <si>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</si>
  <si>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</si>
  <si>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</si>
  <si>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</si>
  <si>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</si>
  <si>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</si>
  <si>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</si>
  <si>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</si>
  <si>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</si>
  <si>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</si>
  <si>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</si>
  <si>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</si>
  <si>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</si>
  <si>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</si>
  <si>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</si>
  <si>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</si>
  <si>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</si>
  <si>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</si>
  <si>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</si>
  <si>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</si>
  <si>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</si>
  <si>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</si>
  <si>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</si>
  <si>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</si>
  <si>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</si>
  <si>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</si>
  <si>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</si>
  <si>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</si>
  <si>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</si>
  <si>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</si>
  <si>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</si>
  <si>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</si>
  <si>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</si>
  <si>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</si>
  <si>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</si>
  <si>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</si>
  <si>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</si>
  <si>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</si>
  <si>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</si>
  <si>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</si>
  <si>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</si>
  <si>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</si>
  <si>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</si>
  <si>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</si>
  <si>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</si>
  <si>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</si>
  <si>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</si>
  <si>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</si>
  <si>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</si>
  <si>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</si>
  <si>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</si>
  <si>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</si>
  <si>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</si>
  <si>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</si>
  <si>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</si>
  <si>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</si>
  <si>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</si>
  <si>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</si>
  <si>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</si>
  <si>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</si>
  <si>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</si>
  <si>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</si>
  <si>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</si>
  <si>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</si>
  <si>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</si>
  <si>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</si>
  <si>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</si>
  <si>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</si>
  <si>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</si>
  <si>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</si>
  <si>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</si>
  <si>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</si>
  <si>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</si>
  <si>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</si>
  <si>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</si>
  <si>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</si>
  <si>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</si>
  <si>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</si>
  <si>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</si>
  <si>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</si>
  <si>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</si>
  <si>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</si>
  <si>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</si>
  <si>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</si>
  <si>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</si>
  <si>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</si>
  <si>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</si>
  <si>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</si>
  <si>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</si>
  <si>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</si>
  <si>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</si>
  <si>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</si>
  <si>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</si>
  <si>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</si>
  <si>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</si>
  <si>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</si>
  <si>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</si>
  <si>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</si>
  <si>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</si>
  <si>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</si>
  <si>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</si>
  <si>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</si>
  <si>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</si>
  <si>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</si>
  <si>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</si>
  <si>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</si>
  <si>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</si>
  <si>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</si>
  <si>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</si>
  <si>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</si>
  <si>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</si>
  <si>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</si>
  <si>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</si>
  <si>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</si>
  <si>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</si>
  <si>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</si>
  <si>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</si>
  <si>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</si>
  <si>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</si>
  <si>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</si>
  <si>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</si>
  <si>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</si>
  <si>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</si>
  <si>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</si>
  <si>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</si>
  <si>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</si>
  <si>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</si>
  <si>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</si>
  <si>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</si>
  <si>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</si>
  <si>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</si>
  <si>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</si>
  <si>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</si>
  <si>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</si>
  <si>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</si>
  <si>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</si>
  <si>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</si>
  <si>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</si>
  <si>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</si>
  <si>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</si>
  <si>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</si>
  <si>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</si>
  <si>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</si>
  <si>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</si>
  <si>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</si>
  <si>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</si>
  <si>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</si>
  <si>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</si>
  <si>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</si>
  <si>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</si>
  <si>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</si>
  <si>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</si>
  <si>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</si>
  <si>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</si>
  <si>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</si>
  <si>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</si>
  <si>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</si>
  <si>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</si>
  <si>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</si>
  <si>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</si>
  <si>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</si>
  <si>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</si>
  <si>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</si>
  <si>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</si>
  <si>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</si>
  <si>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</si>
  <si>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</si>
  <si>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</si>
  <si>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</si>
  <si>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</si>
  <si>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</si>
  <si>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</si>
  <si>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</si>
  <si>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</si>
  <si>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</si>
  <si>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</si>
  <si>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</si>
  <si>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</si>
  <si>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</si>
  <si>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</si>
  <si>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</si>
  <si>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</si>
  <si>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</si>
  <si>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</si>
  <si>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</si>
  <si>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</si>
  <si>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</si>
  <si>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</si>
  <si>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</si>
  <si>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</si>
  <si>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</si>
  <si>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</si>
  <si>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</si>
  <si>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</si>
  <si>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</si>
  <si>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</si>
  <si>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</si>
  <si>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</si>
  <si>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</si>
  <si>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</si>
  <si>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</si>
  <si>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</si>
  <si>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</si>
  <si>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</si>
  <si>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</si>
  <si>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</si>
  <si>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</si>
  <si>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</si>
  <si>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</si>
  <si>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</si>
  <si>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</si>
  <si>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</si>
  <si>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</si>
  <si>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</si>
  <si>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</si>
  <si>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</si>
  <si>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</si>
  <si>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</si>
  <si>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</si>
  <si>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</si>
  <si>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</si>
  <si>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</si>
  <si>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</si>
  <si>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</si>
  <si>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</si>
  <si>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</si>
  <si>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</si>
  <si>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</si>
  <si>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</si>
  <si>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</si>
  <si>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</si>
  <si>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</si>
  <si>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</si>
  <si>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</si>
  <si>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</si>
  <si>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</si>
  <si>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</si>
  <si>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</si>
  <si>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</si>
  <si>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</si>
  <si>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</si>
  <si>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</si>
  <si>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</si>
  <si>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</si>
  <si>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</si>
  <si>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</si>
  <si>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</si>
  <si>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</si>
  <si>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</si>
  <si>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</si>
  <si>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</si>
  <si>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</si>
  <si>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</si>
  <si>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</si>
  <si>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</si>
  <si>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</si>
  <si>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</si>
  <si>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</si>
  <si>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</si>
  <si>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</si>
  <si>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</si>
  <si>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</si>
  <si>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</si>
  <si>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</si>
  <si>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</si>
  <si>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</si>
  <si>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</si>
  <si>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</si>
  <si>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</si>
  <si>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</si>
  <si>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</si>
  <si>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</si>
  <si>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</si>
  <si>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</si>
  <si>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</si>
  <si>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</si>
  <si>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</si>
  <si>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</si>
  <si>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</si>
  <si>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</si>
  <si>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</si>
  <si>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</si>
  <si>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</si>
  <si>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</si>
  <si>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</si>
  <si>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</si>
  <si>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</si>
  <si>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</si>
  <si>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</si>
  <si>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</si>
  <si>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</si>
  <si>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</si>
  <si>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</si>
  <si>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</si>
  <si>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</si>
  <si>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</si>
  <si>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</si>
  <si>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</si>
  <si>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</si>
  <si>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</si>
  <si>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</si>
  <si>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</si>
  <si>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</si>
  <si>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</si>
  <si>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</si>
  <si>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</si>
  <si>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</si>
  <si>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</si>
  <si>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</si>
  <si>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</si>
  <si>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</si>
  <si>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</si>
  <si>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</si>
  <si>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</si>
  <si>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</si>
  <si>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</si>
  <si>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</si>
  <si>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</si>
  <si>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</si>
  <si>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</si>
  <si>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</si>
  <si>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</si>
  <si>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</si>
  <si>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</si>
  <si>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</si>
  <si>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</si>
  <si>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</si>
  <si>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</si>
  <si>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</si>
  <si>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</si>
  <si>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</si>
  <si>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</si>
  <si>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</si>
  <si>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</si>
  <si>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</si>
  <si>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</si>
  <si>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</si>
  <si>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</si>
  <si>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</si>
  <si>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</si>
  <si>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</si>
  <si>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</si>
  <si>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</si>
  <si>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</si>
  <si>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</si>
  <si>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</si>
  <si>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</si>
  <si>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</si>
  <si>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</si>
  <si>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</si>
  <si>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</si>
  <si>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</si>
  <si>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</si>
  <si>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</si>
  <si>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</si>
  <si>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</si>
  <si>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</si>
  <si>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</si>
  <si>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</si>
  <si>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</si>
  <si>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</si>
  <si>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</si>
  <si>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</si>
  <si>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</si>
  <si>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</si>
  <si>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</si>
  <si>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</si>
  <si>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</si>
  <si>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</si>
  <si>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</si>
  <si>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</si>
  <si>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</si>
  <si>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</si>
  <si>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</si>
  <si>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</si>
  <si>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</si>
  <si>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</si>
  <si>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</si>
  <si>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</si>
  <si>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</si>
  <si>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</si>
  <si>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</si>
  <si>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</si>
  <si>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</si>
  <si>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</si>
  <si>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</si>
  <si>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</si>
  <si>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</si>
  <si>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</si>
  <si>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</si>
  <si>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</si>
  <si>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</si>
  <si>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</si>
  <si>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</si>
  <si>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</si>
  <si>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</si>
  <si>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</si>
  <si>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</si>
  <si>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</si>
  <si>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</si>
  <si>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</si>
  <si>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</si>
  <si>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</si>
  <si>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</si>
  <si>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</si>
  <si>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</si>
  <si>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</si>
  <si>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</si>
  <si>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</si>
  <si>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</si>
  <si>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</si>
  <si>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</si>
  <si>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</si>
  <si>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</si>
  <si>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</si>
  <si>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</si>
  <si>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</si>
  <si>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</si>
  <si>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</si>
  <si>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</si>
  <si>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</si>
  <si>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</si>
  <si>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</si>
  <si>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</si>
  <si>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</si>
  <si>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</si>
  <si>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</si>
  <si>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</si>
  <si>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</si>
  <si>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</si>
  <si>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</si>
  <si>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</si>
  <si>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</si>
  <si>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</si>
  <si>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</si>
  <si>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</si>
  <si>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</si>
  <si>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</si>
  <si>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</si>
  <si>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</si>
  <si>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</si>
  <si>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</si>
  <si>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</si>
  <si>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</si>
  <si>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</si>
  <si>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</si>
  <si>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</si>
  <si>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</si>
  <si>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</si>
  <si>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</si>
  <si>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</si>
  <si>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</si>
  <si>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</si>
  <si>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</si>
  <si>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</si>
  <si>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</si>
  <si>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</si>
  <si>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</si>
  <si>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</si>
  <si>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</si>
  <si>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</si>
  <si>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</si>
  <si>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</si>
  <si>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</si>
  <si>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</si>
  <si>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</si>
  <si>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</si>
  <si>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</si>
  <si>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</si>
  <si>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</si>
  <si>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</si>
  <si>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</si>
  <si>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</si>
  <si>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</si>
  <si>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</si>
  <si>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</si>
  <si>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</si>
  <si>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</si>
  <si>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</si>
  <si>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</si>
  <si>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</si>
  <si>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</si>
  <si>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</si>
  <si>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</si>
  <si>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</si>
  <si>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</si>
  <si>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</si>
  <si>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</si>
  <si>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</si>
  <si>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</si>
  <si>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</si>
  <si>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</si>
  <si>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</si>
  <si>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</si>
  <si>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</si>
  <si>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</si>
  <si>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</si>
  <si>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</si>
  <si>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</si>
  <si>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</si>
  <si>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</si>
  <si>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</si>
  <si>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</si>
  <si>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</si>
  <si>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</si>
  <si>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</si>
  <si>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</si>
  <si>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</si>
  <si>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</si>
  <si>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</si>
  <si>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</si>
  <si>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</si>
  <si>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</si>
  <si>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</si>
  <si>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</si>
  <si>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</si>
  <si>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</si>
  <si>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</si>
  <si>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</si>
  <si>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</si>
  <si>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</si>
  <si>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</si>
  <si>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</si>
  <si>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</si>
  <si>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</si>
  <si>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</si>
  <si>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</si>
  <si>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</si>
  <si>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</si>
  <si>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</si>
  <si>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</si>
  <si>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</si>
  <si>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</si>
  <si>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</si>
  <si>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</si>
  <si>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</si>
  <si>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</si>
  <si>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</si>
  <si>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</si>
  <si>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</si>
  <si>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</si>
  <si>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</si>
  <si>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</si>
  <si>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</si>
  <si>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</si>
  <si>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</si>
  <si>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</si>
  <si>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</si>
  <si>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</si>
  <si>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</si>
  <si>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</si>
  <si>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</si>
  <si>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</si>
  <si>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</si>
  <si>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</si>
  <si>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</si>
  <si>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</si>
  <si>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</si>
  <si>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</si>
  <si>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</si>
  <si>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</si>
  <si>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</si>
  <si>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</si>
  <si>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</si>
  <si>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</si>
  <si>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</si>
  <si>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</si>
  <si>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</si>
  <si>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</si>
  <si>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</si>
  <si>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</si>
  <si>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</si>
  <si>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</si>
  <si>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</si>
  <si>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</si>
  <si>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</si>
  <si>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</si>
  <si>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</si>
  <si>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</si>
  <si>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</si>
  <si>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</si>
  <si>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</si>
  <si>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</si>
  <si>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</si>
  <si>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</si>
  <si>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</si>
  <si>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</si>
  <si>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</si>
  <si>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</si>
  <si>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</si>
  <si>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</si>
  <si>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</si>
  <si>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</si>
  <si>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</si>
  <si>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</si>
  <si>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</si>
  <si>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</si>
  <si>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</si>
  <si>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</si>
  <si>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</si>
  <si>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</si>
  <si>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</si>
  <si>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</si>
  <si>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</si>
  <si>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</si>
  <si>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</si>
  <si>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</si>
  <si>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</si>
  <si>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</si>
  <si>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</si>
  <si>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</si>
  <si>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</si>
  <si>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</si>
  <si>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</si>
  <si>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</si>
  <si>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</si>
  <si>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</si>
  <si>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</si>
  <si>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</si>
  <si>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</si>
  <si>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</si>
  <si>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</si>
  <si>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</si>
  <si>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</si>
  <si>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</si>
  <si>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</si>
  <si>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</si>
  <si>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</si>
  <si>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</si>
  <si>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</si>
  <si>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</si>
  <si>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</si>
  <si>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</si>
  <si>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</si>
  <si>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</si>
  <si>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</si>
  <si>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</si>
  <si>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</si>
  <si>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</si>
  <si>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</si>
  <si>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</si>
  <si>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</si>
  <si>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</si>
  <si>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</si>
  <si>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</si>
  <si>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</si>
  <si>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</si>
  <si>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</si>
  <si>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</si>
  <si>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</si>
  <si>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</si>
  <si>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</si>
  <si>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</si>
  <si>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</si>
  <si>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</si>
  <si>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</si>
  <si>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</si>
  <si>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</si>
  <si>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</si>
  <si>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</si>
  <si>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</si>
  <si>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</si>
  <si>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</si>
  <si>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</si>
  <si>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</si>
  <si>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</si>
  <si>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</si>
  <si>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</si>
  <si>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</si>
  <si>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</si>
  <si>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</si>
  <si>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</si>
  <si>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</si>
  <si>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</si>
  <si>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</si>
  <si>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</si>
  <si>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</si>
  <si>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</si>
  <si>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</si>
  <si>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</si>
  <si>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</si>
  <si>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</si>
  <si>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</si>
  <si>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</si>
  <si>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</si>
  <si>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</si>
  <si>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</si>
  <si>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</si>
  <si>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</si>
  <si>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</si>
  <si>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</si>
  <si>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</si>
  <si>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</si>
  <si>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</si>
  <si>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</si>
  <si>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</si>
  <si>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</si>
  <si>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</si>
  <si>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</si>
  <si>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</si>
  <si>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</si>
  <si>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</si>
  <si>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</si>
  <si>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</si>
  <si>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</si>
  <si>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</si>
  <si>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</si>
  <si>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</si>
  <si>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</si>
  <si>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</si>
  <si>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</si>
  <si>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</si>
  <si>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</si>
  <si>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</si>
  <si>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</si>
  <si>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</si>
  <si>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</si>
  <si>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</si>
  <si>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</si>
  <si>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</si>
  <si>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</si>
  <si>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</si>
  <si>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</si>
  <si>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</si>
  <si>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</si>
  <si>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</si>
  <si>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</si>
  <si>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</si>
  <si>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</si>
  <si>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</si>
  <si>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</si>
  <si>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</si>
  <si>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</si>
  <si>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</si>
  <si>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</si>
  <si>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</si>
  <si>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</si>
  <si>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</si>
  <si>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</si>
  <si>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</si>
  <si>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</si>
  <si>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</si>
  <si>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</si>
  <si>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</si>
  <si>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</si>
  <si>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</si>
  <si>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</si>
  <si>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</si>
  <si>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</si>
  <si>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</si>
  <si>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</si>
  <si>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</si>
  <si>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</si>
  <si>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</si>
  <si>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</si>
  <si>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</si>
  <si>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</si>
  <si>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</si>
  <si>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</si>
  <si>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</si>
  <si>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</si>
  <si>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</si>
  <si>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</si>
  <si>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</si>
  <si>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</si>
  <si>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</si>
  <si>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</si>
  <si>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</si>
  <si>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</si>
  <si>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</si>
  <si>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</si>
  <si>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</si>
  <si>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</si>
  <si>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</si>
  <si>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</si>
  <si>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</si>
  <si>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</si>
  <si>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</si>
  <si>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</si>
  <si>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</si>
  <si>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</si>
  <si>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</si>
  <si>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</si>
  <si>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</si>
  <si>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</si>
  <si>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</si>
  <si>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</si>
  <si>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</si>
  <si>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</si>
  <si>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</si>
  <si>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</si>
  <si>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</si>
  <si>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</si>
  <si>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</si>
  <si>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</si>
  <si>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</si>
  <si>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</si>
  <si>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</si>
  <si>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</si>
  <si>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</si>
  <si>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</si>
  <si>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</si>
  <si>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</si>
  <si>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</si>
  <si>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</si>
  <si>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</si>
  <si>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</si>
  <si>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</si>
  <si>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</si>
  <si>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</si>
  <si>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</si>
  <si>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</si>
  <si>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</si>
  <si>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</si>
  <si>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</si>
  <si>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</si>
  <si>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</si>
  <si>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</si>
  <si>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</si>
  <si>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</si>
  <si>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</si>
  <si>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</si>
  <si>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</si>
  <si>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</si>
  <si>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</si>
  <si>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</si>
  <si>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</si>
  <si>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</si>
  <si>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</si>
  <si>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</si>
  <si>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</si>
  <si>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</si>
  <si>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</si>
  <si>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</si>
  <si>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</si>
  <si>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</si>
  <si>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</si>
  <si>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</si>
  <si>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</si>
  <si>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</si>
  <si>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</si>
  <si>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</si>
  <si>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</si>
  <si>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</si>
  <si>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</si>
  <si>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</si>
  <si>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</si>
  <si>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</si>
  <si>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</si>
  <si>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</si>
  <si>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</si>
  <si>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</si>
  <si>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</si>
  <si>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</si>
  <si>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</si>
  <si>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</si>
  <si>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</si>
  <si>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</si>
  <si>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</si>
  <si>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</si>
  <si>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</si>
  <si>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</si>
  <si>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</si>
  <si>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</si>
  <si>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</si>
  <si>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</si>
  <si>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</si>
  <si>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</si>
  <si>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</si>
  <si>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</si>
  <si>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</si>
  <si>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</si>
  <si>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</si>
  <si>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</si>
  <si>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</si>
  <si>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</si>
  <si>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</si>
  <si>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</si>
  <si>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</si>
  <si>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</si>
  <si>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</si>
  <si>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</si>
  <si>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</si>
  <si>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</si>
  <si>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</si>
  <si>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</si>
  <si>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</si>
  <si>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</si>
  <si>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</si>
  <si>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</si>
  <si>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</si>
  <si>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</si>
  <si>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</si>
  <si>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</si>
  <si>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</si>
  <si>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</si>
  <si>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</si>
  <si>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</si>
  <si>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</si>
  <si>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</si>
  <si>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</si>
  <si>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</si>
  <si>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</si>
  <si>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</si>
  <si>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</si>
  <si>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</si>
  <si>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</si>
  <si>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</si>
  <si>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</si>
  <si>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</si>
  <si>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</si>
  <si>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</si>
  <si>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</si>
  <si>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</si>
  <si>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</si>
  <si>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</si>
  <si>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</si>
  <si>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</si>
  <si>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</si>
  <si>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</si>
  <si>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</si>
  <si>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</si>
  <si>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</si>
  <si>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</si>
  <si>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</si>
  <si>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</si>
  <si>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</si>
  <si>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</si>
  <si>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</si>
  <si>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</si>
  <si>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</si>
  <si>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</si>
  <si>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</si>
  <si>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</si>
  <si>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</si>
  <si>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</si>
  <si>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</si>
  <si>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</si>
  <si>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</si>
  <si>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</si>
  <si>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</si>
  <si>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</si>
  <si>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</si>
  <si>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</si>
  <si>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</si>
  <si>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</si>
  <si>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</si>
  <si>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</si>
  <si>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</si>
  <si>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</si>
  <si>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</si>
  <si>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</si>
  <si>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</si>
  <si>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</si>
  <si>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</si>
  <si>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</si>
  <si>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</si>
  <si>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</si>
  <si>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</si>
  <si>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</si>
  <si>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</si>
  <si>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</si>
  <si>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</si>
  <si>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</si>
  <si>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</si>
  <si>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</si>
  <si>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</si>
  <si>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</si>
  <si>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</si>
  <si>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</si>
  <si>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</si>
  <si>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</si>
  <si>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</si>
  <si>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</si>
  <si>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</si>
  <si>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</si>
  <si>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</si>
  <si>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</si>
  <si>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</si>
  <si>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</si>
  <si>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</si>
  <si>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</si>
  <si>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</si>
  <si>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</si>
  <si>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</si>
  <si>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</si>
  <si>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</si>
  <si>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</si>
  <si>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</si>
  <si>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</si>
  <si>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</si>
  <si>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</si>
  <si>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</si>
  <si>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</si>
  <si>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</si>
  <si>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</si>
  <si>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</si>
  <si>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</si>
  <si>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</si>
  <si>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</si>
  <si>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</si>
  <si>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</si>
  <si>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</si>
  <si>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</si>
  <si>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</si>
  <si>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</si>
  <si>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</si>
  <si>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</si>
  <si>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</si>
  <si>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</si>
  <si>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</si>
  <si>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</si>
  <si>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</si>
  <si>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</si>
  <si>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</si>
  <si>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</si>
  <si>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</si>
  <si>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</si>
  <si>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</si>
  <si>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</si>
  <si>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</si>
  <si>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</si>
  <si>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</si>
  <si>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</si>
  <si>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</si>
  <si>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</si>
  <si>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</si>
  <si>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</si>
  <si>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</si>
  <si>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</si>
  <si>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</si>
  <si>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</si>
  <si>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</si>
  <si>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</si>
  <si>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</si>
  <si>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</si>
  <si>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</si>
  <si>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</si>
  <si>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</si>
  <si>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</si>
  <si>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</si>
  <si>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</si>
  <si>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</si>
  <si>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</si>
  <si>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</si>
  <si>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</si>
  <si>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</si>
  <si>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</si>
  <si>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</si>
  <si>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</si>
  <si>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</si>
  <si>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</si>
  <si>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</si>
  <si>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</si>
  <si>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</si>
  <si>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</si>
  <si>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</si>
  <si>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</si>
  <si>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</si>
  <si>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</si>
  <si>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</si>
  <si>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</si>
  <si>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</si>
  <si>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</si>
  <si>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</si>
  <si>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</si>
  <si>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</si>
  <si>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</si>
  <si>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</si>
  <si>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</si>
  <si>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</si>
  <si>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</si>
  <si>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</si>
  <si>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</si>
  <si>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</si>
  <si>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</si>
  <si>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</si>
  <si>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</si>
  <si>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</si>
  <si>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</si>
  <si>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</si>
  <si>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</si>
  <si>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</si>
  <si>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</si>
  <si>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</si>
  <si>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</si>
  <si>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</si>
  <si>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</si>
  <si>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</si>
  <si>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</si>
  <si>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</si>
  <si>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</si>
  <si>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</si>
  <si>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</si>
  <si>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</si>
  <si>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</si>
  <si>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</si>
  <si>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</si>
  <si>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</si>
  <si>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</si>
  <si>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</si>
  <si>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</si>
  <si>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</si>
  <si>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</si>
  <si>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</si>
  <si>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</si>
  <si>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</si>
  <si>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</si>
  <si>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</si>
  <si>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</si>
  <si>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</si>
  <si>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</si>
  <si>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</si>
  <si>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</si>
  <si>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</si>
  <si>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</si>
  <si>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</si>
  <si>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</si>
  <si>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</si>
  <si>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</si>
  <si>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</si>
  <si>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</si>
  <si>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</si>
  <si>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</si>
  <si>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</si>
  <si>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</si>
  <si>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</si>
  <si>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</si>
  <si>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</si>
  <si>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</si>
  <si>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</si>
  <si>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</si>
  <si>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</si>
  <si>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</si>
  <si>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</si>
  <si>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</si>
  <si>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</si>
  <si>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</si>
  <si>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</si>
  <si>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</si>
  <si>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</si>
  <si>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</si>
  <si>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</si>
  <si>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</si>
  <si>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</si>
  <si>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</si>
  <si>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</si>
  <si>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</si>
  <si>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</si>
  <si>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</si>
  <si>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</si>
  <si>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</si>
  <si>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</si>
  <si>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</si>
  <si>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</si>
  <si>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</si>
  <si>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</si>
  <si>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</si>
  <si>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</si>
  <si>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</si>
  <si>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</si>
  <si>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</si>
  <si>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</si>
  <si>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</si>
  <si>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</si>
  <si>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</si>
  <si>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</si>
  <si>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</si>
  <si>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</si>
  <si>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</si>
  <si>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</si>
  <si>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</si>
  <si>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</si>
  <si>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</si>
  <si>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</si>
  <si>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</si>
  <si>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</si>
  <si>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</si>
  <si>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</si>
  <si>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</si>
  <si>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</si>
  <si>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</si>
  <si>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</si>
  <si>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</si>
  <si>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</si>
  <si>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</si>
  <si>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</si>
  <si>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</si>
  <si>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</si>
  <si>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</si>
  <si>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</si>
  <si>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</si>
  <si>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</si>
  <si>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</si>
  <si>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</si>
  <si>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</si>
  <si>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</si>
  <si>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</si>
  <si>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</si>
  <si>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</si>
  <si>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</si>
  <si>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</si>
  <si>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</si>
  <si>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</si>
  <si>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</si>
  <si>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</si>
  <si>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</si>
  <si>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</si>
  <si>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</si>
  <si>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</si>
  <si>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</si>
  <si>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</si>
  <si>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</si>
  <si>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</si>
  <si>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</si>
  <si>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</si>
  <si>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</si>
  <si>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</si>
  <si>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</si>
  <si>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</si>
  <si>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</si>
  <si>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</si>
  <si>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</si>
  <si>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</si>
  <si>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</si>
  <si>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</si>
  <si>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</si>
  <si>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</si>
  <si>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</si>
  <si>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</si>
  <si>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</si>
  <si>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</si>
  <si>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</si>
  <si>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</si>
  <si>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</si>
  <si>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</si>
  <si>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</si>
  <si>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</si>
  <si>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</si>
  <si>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</si>
  <si>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</si>
  <si>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</si>
  <si>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</si>
  <si>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</si>
  <si>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</si>
  <si>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</si>
  <si>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</si>
  <si>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</si>
  <si>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</si>
  <si>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</si>
  <si>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</si>
  <si>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</si>
  <si>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</si>
  <si>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</si>
  <si>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</si>
  <si>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</si>
  <si>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</si>
  <si>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</si>
  <si>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</si>
  <si>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</si>
  <si>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</si>
  <si>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</si>
  <si>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</si>
  <si>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</si>
  <si>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</si>
  <si>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</si>
  <si>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</si>
  <si>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</si>
  <si>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</si>
  <si>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</si>
  <si>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</si>
  <si>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</si>
  <si>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</si>
  <si>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</si>
  <si>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</si>
  <si>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</si>
  <si>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</si>
  <si>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</si>
  <si>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</si>
  <si>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</si>
  <si>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</si>
  <si>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</si>
  <si>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</si>
  <si>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</si>
  <si>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</si>
  <si>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</si>
  <si>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</si>
  <si>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</si>
  <si>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</si>
  <si>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</si>
  <si>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</si>
  <si>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</si>
  <si>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</si>
  <si>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</si>
  <si>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</si>
  <si>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</si>
  <si>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</si>
  <si>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</si>
  <si>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</si>
  <si>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</si>
  <si>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</si>
  <si>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</si>
  <si>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</si>
  <si>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</si>
  <si>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</si>
  <si>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</si>
  <si>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</si>
  <si>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</si>
  <si>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</si>
  <si>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</si>
  <si>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</si>
  <si>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</si>
  <si>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</si>
  <si>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</si>
  <si>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</si>
  <si>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</si>
  <si>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</si>
  <si>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</si>
  <si>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</si>
  <si>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</si>
  <si>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</si>
  <si>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</si>
  <si>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</si>
  <si>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</si>
  <si>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</si>
  <si>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</si>
  <si>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</si>
  <si>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</si>
  <si>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</si>
  <si>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</si>
  <si>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</si>
  <si>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</si>
  <si>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</si>
  <si>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</si>
  <si>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</si>
  <si>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</si>
  <si>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</si>
  <si>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</si>
  <si>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</si>
  <si>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</si>
  <si>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</si>
  <si>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</si>
  <si>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</si>
  <si>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</si>
  <si>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</si>
  <si>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</si>
  <si>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</si>
  <si>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</si>
  <si>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</si>
  <si>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</si>
  <si>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</si>
  <si>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</si>
  <si>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</si>
  <si>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</si>
  <si>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</si>
  <si>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</si>
  <si>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</si>
  <si>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</si>
  <si>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</si>
  <si>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</si>
  <si>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</si>
  <si>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</si>
  <si>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</si>
  <si>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</si>
  <si>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</si>
  <si>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</si>
  <si>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</si>
  <si>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</si>
  <si>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</si>
  <si>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</si>
  <si>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</si>
  <si>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</si>
  <si>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</si>
  <si>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</si>
  <si>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</si>
  <si>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</si>
  <si>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</si>
  <si>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</si>
  <si>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</si>
  <si>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</si>
  <si>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</si>
  <si>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</si>
  <si>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</si>
  <si>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</si>
  <si>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</si>
  <si>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</si>
  <si>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</si>
  <si>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</si>
  <si>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</si>
  <si>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</si>
  <si>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</si>
  <si>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</si>
  <si>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</si>
  <si>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</si>
  <si>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</si>
  <si>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</si>
  <si>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</si>
  <si>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</si>
  <si>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</si>
  <si>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</si>
  <si>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</si>
  <si>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</si>
  <si>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</si>
  <si>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</si>
  <si>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</si>
  <si>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</si>
  <si>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</si>
  <si>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</si>
  <si>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</si>
  <si>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</si>
  <si>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</si>
  <si>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</si>
  <si>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</si>
  <si>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</si>
  <si>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</si>
  <si>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</si>
  <si>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</si>
  <si>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</si>
  <si>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</si>
  <si>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</si>
  <si>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</si>
  <si>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</si>
  <si>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</si>
  <si>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</si>
  <si>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</si>
  <si>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</si>
  <si>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</si>
  <si>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</si>
  <si>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</si>
  <si>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</si>
  <si>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</si>
  <si>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</si>
  <si>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</si>
  <si>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</si>
  <si>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</si>
  <si>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</si>
  <si>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</si>
  <si>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</si>
  <si>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</si>
  <si>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</si>
  <si>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</si>
  <si>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</si>
  <si>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</si>
  <si>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</si>
  <si>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</si>
  <si>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</si>
  <si>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</si>
  <si>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</si>
  <si>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</si>
  <si>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</si>
  <si>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</si>
  <si>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</si>
  <si>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</si>
  <si>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</si>
  <si>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</si>
  <si>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</si>
  <si>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</si>
  <si>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</si>
  <si>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</si>
  <si>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</si>
  <si>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</si>
  <si>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</si>
  <si>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</si>
  <si>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</si>
  <si>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</si>
  <si>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</si>
  <si>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</si>
  <si>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</si>
  <si>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</si>
  <si>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</si>
  <si>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</si>
  <si>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</si>
  <si>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</si>
  <si>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</si>
  <si>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</si>
  <si>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</si>
  <si>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</si>
  <si>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</si>
  <si>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</si>
  <si>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</si>
  <si>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</si>
  <si>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</si>
  <si>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</si>
  <si>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</si>
  <si>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</si>
  <si>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</si>
  <si>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</si>
  <si>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</si>
  <si>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</si>
  <si>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</si>
  <si>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</si>
  <si>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</si>
  <si>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</si>
  <si>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</si>
  <si>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</si>
  <si>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</si>
  <si>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</si>
  <si>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</si>
  <si>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</si>
  <si>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</si>
  <si>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</si>
  <si>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</si>
  <si>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</si>
  <si>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</si>
  <si>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</si>
  <si>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</si>
  <si>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</si>
  <si>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</si>
  <si>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</si>
  <si>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</si>
  <si>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</si>
  <si>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</si>
  <si>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</si>
  <si>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</si>
  <si>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</si>
  <si>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</si>
  <si>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</si>
  <si>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</si>
  <si>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</si>
  <si>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</si>
  <si>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</si>
  <si>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</si>
  <si>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</si>
  <si>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</si>
  <si>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</si>
  <si>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</si>
  <si>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</si>
  <si>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</si>
  <si>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</si>
  <si>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</si>
  <si>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</si>
  <si>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</si>
  <si>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</si>
  <si>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</si>
  <si>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</si>
  <si>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</si>
  <si>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</si>
  <si>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</si>
  <si>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</si>
  <si>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</si>
  <si>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</si>
  <si>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</si>
  <si>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</si>
  <si>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</si>
  <si>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</si>
  <si>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</si>
  <si>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</si>
  <si>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</si>
  <si>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</si>
  <si>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</si>
  <si>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</si>
  <si>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</si>
  <si>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</si>
  <si>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</si>
  <si>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</si>
  <si>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</si>
  <si>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</si>
  <si>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</si>
  <si>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</si>
  <si>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</si>
  <si>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</si>
  <si>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</si>
  <si>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</si>
  <si>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</si>
  <si>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</si>
  <si>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</si>
  <si>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</si>
  <si>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</si>
  <si>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</si>
  <si>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</si>
  <si>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</si>
  <si>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</si>
  <si>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</si>
  <si>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</si>
  <si>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</si>
  <si>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</si>
  <si>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</si>
  <si>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</si>
  <si>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</si>
  <si>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</si>
  <si>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</si>
  <si>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</si>
  <si>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</si>
  <si>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</si>
  <si>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</si>
  <si>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</si>
  <si>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</si>
  <si>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</si>
  <si>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</si>
  <si>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</si>
  <si>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</si>
  <si>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</si>
  <si>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</si>
  <si>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</si>
  <si>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</si>
  <si>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</si>
  <si>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</si>
  <si>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</si>
  <si>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</si>
  <si>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</si>
  <si>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</si>
  <si>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</si>
  <si>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</si>
  <si>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</si>
  <si>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</si>
  <si>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</si>
  <si>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</si>
  <si>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</si>
  <si>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</si>
  <si>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</si>
  <si>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</si>
  <si>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</si>
  <si>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</si>
  <si>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</si>
  <si>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</si>
  <si>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</si>
  <si>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</si>
  <si>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</si>
  <si>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</si>
  <si>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</si>
  <si>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</si>
  <si>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</si>
  <si>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</si>
  <si>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</si>
  <si>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</si>
  <si>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</si>
  <si>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</si>
  <si>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</si>
  <si>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</si>
  <si>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</si>
  <si>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</si>
  <si>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</si>
  <si>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</si>
  <si>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</si>
  <si>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</si>
  <si>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</si>
  <si>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</si>
  <si>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</si>
  <si>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</si>
  <si>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</si>
  <si>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</si>
  <si>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</si>
  <si>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</si>
  <si>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</si>
  <si>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</si>
  <si>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</si>
  <si>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</si>
  <si>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</si>
  <si>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</si>
  <si>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</si>
  <si>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</si>
  <si>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</si>
  <si>
    <t>脚数</t>
    <rPh sb="0" eb="1">
      <t>キャク</t>
    </rPh>
    <rPh sb="1" eb="2">
      <t>スウ</t>
    </rPh>
    <phoneticPr fontId="2"/>
  </si>
  <si>
    <t>環境</t>
    <rPh sb="0" eb="2">
      <t>カンキョウ</t>
    </rPh>
    <phoneticPr fontId="2"/>
  </si>
  <si>
    <t>吸血</t>
    <rPh sb="0" eb="2">
      <t>キュウケツ</t>
    </rPh>
    <phoneticPr fontId="2"/>
  </si>
  <si>
    <t>血</t>
    <rPh sb="0" eb="1">
      <t>チ</t>
    </rPh>
    <phoneticPr fontId="2"/>
  </si>
  <si>
    <t xml:space="preserve">攻撃手段:爪 切断+15 出血+15 効果:吸血 判定:攻撃 </t>
    <rPh sb="0" eb="4">
      <t>コウゲキシュダン</t>
    </rPh>
    <rPh sb="5" eb="6">
      <t>ツメ</t>
    </rPh>
    <rPh sb="7" eb="9">
      <t>セツダン</t>
    </rPh>
    <rPh sb="13" eb="15">
      <t>シュッケツ</t>
    </rPh>
    <rPh sb="19" eb="21">
      <t>コウカ</t>
    </rPh>
    <rPh sb="22" eb="24">
      <t>キュウケツ</t>
    </rPh>
    <rPh sb="25" eb="27">
      <t>ハンテイ</t>
    </rPh>
    <rPh sb="28" eb="30">
      <t>コウゲキ</t>
    </rPh>
    <phoneticPr fontId="2"/>
  </si>
  <si>
    <t>眷族化-ゾンビ</t>
    <rPh sb="0" eb="2">
      <t>ケンゾク</t>
    </rPh>
    <rPh sb="2" eb="3">
      <t>カ</t>
    </rPh>
    <phoneticPr fontId="2"/>
  </si>
  <si>
    <t>眷族化-グール</t>
    <rPh sb="0" eb="2">
      <t>ケンゾク</t>
    </rPh>
    <rPh sb="2" eb="3">
      <t>カ</t>
    </rPh>
    <phoneticPr fontId="2"/>
  </si>
  <si>
    <t>眷族化</t>
    <phoneticPr fontId="2"/>
  </si>
  <si>
    <t>効果:眷族_ゾンビ 射程:0</t>
    <rPh sb="0" eb="2">
      <t>コウカ</t>
    </rPh>
    <rPh sb="3" eb="5">
      <t>ケンゾク</t>
    </rPh>
    <rPh sb="10" eb="12">
      <t>シャテイ</t>
    </rPh>
    <phoneticPr fontId="2"/>
  </si>
  <si>
    <t>効果:眷族_グール 射程:0</t>
    <rPh sb="0" eb="2">
      <t>コウカ</t>
    </rPh>
    <rPh sb="3" eb="5">
      <t>ケンゾク</t>
    </rPh>
    <phoneticPr fontId="2"/>
  </si>
  <si>
    <t>悪魔の槍</t>
    <rPh sb="0" eb="2">
      <t>アクマ</t>
    </rPh>
    <rPh sb="3" eb="4">
      <t>ヤリ</t>
    </rPh>
    <phoneticPr fontId="2"/>
  </si>
  <si>
    <t xml:space="preserve">攻撃手段:魔法 貫通+20 闇+10 射程:20 効果:すり抜け/不意打ち </t>
    <rPh sb="0" eb="4">
      <t>コウゲキシュダン</t>
    </rPh>
    <rPh sb="5" eb="7">
      <t>マホウ</t>
    </rPh>
    <rPh sb="8" eb="10">
      <t>カンツウ</t>
    </rPh>
    <rPh sb="14" eb="15">
      <t>ヤミ</t>
    </rPh>
    <rPh sb="19" eb="21">
      <t>シャテイ</t>
    </rPh>
    <rPh sb="25" eb="27">
      <t>コウカ</t>
    </rPh>
    <rPh sb="30" eb="31">
      <t>ヌ</t>
    </rPh>
    <rPh sb="33" eb="36">
      <t>フイウ</t>
    </rPh>
    <phoneticPr fontId="2"/>
  </si>
  <si>
    <t>邪視</t>
    <rPh sb="0" eb="1">
      <t>ヨコシマ</t>
    </rPh>
    <rPh sb="1" eb="2">
      <t>シ</t>
    </rPh>
    <phoneticPr fontId="2"/>
  </si>
  <si>
    <t xml:space="preserve">攻撃手段:眼 Cr率+5 命中+25 </t>
    <rPh sb="0" eb="4">
      <t>コウゲキシュダン</t>
    </rPh>
    <rPh sb="5" eb="6">
      <t>メ</t>
    </rPh>
    <rPh sb="9" eb="10">
      <t>リツ</t>
    </rPh>
    <rPh sb="13" eb="15">
      <t>メイチュウ</t>
    </rPh>
    <phoneticPr fontId="2"/>
  </si>
  <si>
    <t>悪</t>
    <rPh sb="0" eb="1">
      <t>アク</t>
    </rPh>
    <phoneticPr fontId="2"/>
  </si>
  <si>
    <t>悪の魔力</t>
    <rPh sb="0" eb="1">
      <t>アク</t>
    </rPh>
    <rPh sb="2" eb="4">
      <t>マリョク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</si>
</sst>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8">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16" fillId="7" borderId="0" xfId="0" applyFont="1" applyFill="1" applyAlignment="1">
      <alignment vertical="top"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50"/>
  <sheetViews>
    <sheetView workbookViewId="0">
      <pane xSplit="4" ySplit="4" topLeftCell="E61" activePane="bottomRight" state="frozen"/>
      <selection pane="topRight" activeCell="E1" sqref="E1"/>
      <selection pane="bottomLeft" activeCell="A5" sqref="A5"/>
      <selection pane="bottomRight" activeCell="E405" sqref="E405"/>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1842</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1844</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1819</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1827</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1828</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1829</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1830</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1831</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1832</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1833</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1834</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1820</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1839</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1821</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1821</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1532</v>
      </c>
      <c r="C101" s="2" t="s">
        <v>1535</v>
      </c>
      <c r="E101" s="13" t="s">
        <v>1537</v>
      </c>
      <c r="G101" s="19">
        <v>100</v>
      </c>
      <c r="H101" s="10" t="s">
        <v>1822</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1531</v>
      </c>
      <c r="C102" s="2" t="s">
        <v>1534</v>
      </c>
      <c r="E102" s="13" t="s">
        <v>1537</v>
      </c>
      <c r="G102" s="19">
        <v>100</v>
      </c>
      <c r="H102" s="10" t="s">
        <v>1823</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1533</v>
      </c>
      <c r="C103" s="2" t="s">
        <v>1536</v>
      </c>
      <c r="E103" s="13" t="s">
        <v>1537</v>
      </c>
      <c r="G103" s="19">
        <v>100</v>
      </c>
      <c r="H103" s="10" t="s">
        <v>1835</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1824</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1825</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1826</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1836</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hidden="1" outlineLevel="1" x14ac:dyDescent="0.4">
      <c r="A294" s="2">
        <v>1</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hidden="1" outlineLevel="1" x14ac:dyDescent="0.4">
      <c r="A295" s="2">
        <v>2</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hidden="1" outlineLevel="1" x14ac:dyDescent="0.4">
      <c r="A296" s="2">
        <v>3</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hidden="1" outlineLevel="1" x14ac:dyDescent="0.4">
      <c r="A297" s="2">
        <v>4</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5</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6</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7</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8</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9</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10</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collapsed="1" x14ac:dyDescent="0.4">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x14ac:dyDescent="0.4">
      <c r="B306" s="2" t="s">
        <v>56</v>
      </c>
      <c r="J306" s="6" t="str">
        <f>IFERROR(_xlfn.LET(_xlpm.v,
VLOOKUP($I306,効果!$A:$B,COLUMN(効果!B$1),FALSE),
IF(_xlpm.v=0,"",_xlpm.v)
),"")</f>
        <v/>
      </c>
      <c r="L306" s="15" t="str">
        <f>IF(OR(COUNTIF(クラス!$A$1:$A$1035, $B306),$B306="",COUNTIF(スキル一覧!$A$1:$A$3500, $B306)), "", "存在しない")</f>
        <v/>
      </c>
      <c r="M306" s="2" t="str">
        <f>IF(COUNTIF($B$1:$C293, $B306), "", "存在しない")</f>
        <v>存在しない</v>
      </c>
      <c r="N306" s="2" t="s">
        <v>1196</v>
      </c>
    </row>
    <row r="307" spans="1:14" hidden="1" outlineLevel="1" x14ac:dyDescent="0.4">
      <c r="A307" s="2">
        <v>1</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A308" s="2">
        <v>2</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hidden="1" outlineLevel="1" x14ac:dyDescent="0.4">
      <c r="A309" s="2">
        <v>3</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hidden="1" outlineLevel="1" x14ac:dyDescent="0.4">
      <c r="A310" s="2">
        <v>4</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5</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6</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7</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8</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9</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10</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collapsed="1" x14ac:dyDescent="0.4">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x14ac:dyDescent="0.4">
      <c r="B319" s="2" t="s">
        <v>58</v>
      </c>
      <c r="J319" s="6" t="str">
        <f>IFERROR(_xlfn.LET(_xlpm.v,
VLOOKUP($I319,効果!$A:$B,COLUMN(効果!B$1),FALSE),
IF(_xlpm.v=0,"",_xlpm.v)
),"")</f>
        <v/>
      </c>
      <c r="L319" s="15" t="str">
        <f>IF(OR(COUNTIF(クラス!$A$1:$A$1035, $B319),$B319="",COUNTIF(スキル一覧!$A$1:$A$3500, $B319)), "", "存在しない")</f>
        <v/>
      </c>
      <c r="M319" s="2" t="str">
        <f>IF(COUNTIF($B$1:$C306, $B319), "", "存在しない")</f>
        <v>存在しない</v>
      </c>
      <c r="N319" s="2" t="s">
        <v>1196</v>
      </c>
    </row>
    <row r="320" spans="1:14" hidden="1" outlineLevel="1" x14ac:dyDescent="0.4">
      <c r="A320" s="2">
        <v>1</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A321" s="2">
        <v>2</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hidden="1" outlineLevel="1" x14ac:dyDescent="0.4">
      <c r="A322" s="2">
        <v>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hidden="1" outlineLevel="1" x14ac:dyDescent="0.4">
      <c r="A323" s="2">
        <v>4</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5</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6</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7</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8</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9</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10</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collapsed="1" x14ac:dyDescent="0.4">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x14ac:dyDescent="0.4">
      <c r="J332" s="6" t="str">
        <f>IFERROR(_xlfn.LET(_xlpm.v,
VLOOKUP($I332,効果!$A:$B,COLUMN(効果!B$1),FALSE),
IF(_xlpm.v=0,"",_xlpm.v)
),"")</f>
        <v/>
      </c>
      <c r="L332" s="15" t="str">
        <f>IF(OR(COUNTIF(クラス!$A$1:$A$1035, $B332),$B332="",COUNTIF(スキル一覧!$A$1:$A$3500, $B332)), "", "存在しない")</f>
        <v/>
      </c>
      <c r="M332" s="2" t="str">
        <f>IF(COUNTIF($B$1:$C319, $B332), "", "存在しない")</f>
        <v>存在しない</v>
      </c>
      <c r="N332" s="2" t="s">
        <v>1196</v>
      </c>
    </row>
    <row r="333" spans="1:14" x14ac:dyDescent="0.4">
      <c r="B333" s="2" t="s">
        <v>52</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A334" s="2">
        <v>1</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hidden="1" outlineLevel="1" x14ac:dyDescent="0.4">
      <c r="A335" s="2">
        <v>2</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hidden="1" outlineLevel="1" x14ac:dyDescent="0.4">
      <c r="A336" s="2">
        <v>3</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4</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5</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6</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7</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8</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9</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10</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collapsed="1" x14ac:dyDescent="0.4">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x14ac:dyDescent="0.4">
      <c r="B346" s="2" t="s">
        <v>63</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A347" s="2">
        <v>1</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hidden="1" outlineLevel="1" x14ac:dyDescent="0.4">
      <c r="A348" s="2">
        <v>2</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hidden="1" outlineLevel="1" x14ac:dyDescent="0.4">
      <c r="A349" s="2">
        <v>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4</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5</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6</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7</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8</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9</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10</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collapsed="1" x14ac:dyDescent="0.4">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x14ac:dyDescent="0.4">
      <c r="B359" s="2" t="s">
        <v>41</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A360" s="2">
        <v>1</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hidden="1" outlineLevel="1" x14ac:dyDescent="0.4">
      <c r="A361" s="2">
        <v>2</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hidden="1" outlineLevel="1" x14ac:dyDescent="0.4">
      <c r="A362" s="2">
        <v>3</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hidden="1" outlineLevel="1" x14ac:dyDescent="0.4">
      <c r="A363" s="2">
        <v>4</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5</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6</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7</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8</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9</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10</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collapsed="1" x14ac:dyDescent="0.4">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x14ac:dyDescent="0.4">
      <c r="B372" s="2" t="s">
        <v>65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A374" s="2">
        <v>2</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hidden="1" outlineLevel="1" x14ac:dyDescent="0.4">
      <c r="A375" s="2">
        <v>3</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hidden="1" outlineLevel="1" x14ac:dyDescent="0.4">
      <c r="A376" s="2">
        <v>4</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5</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6</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7</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8</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9</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10</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collapsed="1"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x14ac:dyDescent="0.4">
      <c r="B385" s="2" t="s">
        <v>43</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hidden="1" outlineLevel="1" x14ac:dyDescent="0.4">
      <c r="A388" s="2">
        <v>3</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6</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9</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10</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x14ac:dyDescent="0.4">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x14ac:dyDescent="0.4">
      <c r="B399" s="2" t="s">
        <v>45</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outlineLevel="1" x14ac:dyDescent="0.4">
      <c r="A400" s="2">
        <v>1</v>
      </c>
      <c r="B400" s="2" t="s">
        <v>283</v>
      </c>
      <c r="J400" s="6" t="str">
        <f>IFERROR(_xlfn.LET(_xlpm.v,
VLOOKUP($I400,効果!$A:$B,COLUMN(効果!B$1),FALSE),
IF(_xlpm.v=0,"",_xlpm.v)
),"")</f>
        <v/>
      </c>
      <c r="L400" s="15" t="str">
        <f>IF(OR(COUNTIF(クラス!$A$1:$A$1035, $B400),$B400="",COUNTIF(スキル一覧!$A$1:$A$3500, $B400)), "", "存在しない")</f>
        <v/>
      </c>
      <c r="M400" s="2" t="str">
        <f>IF(COUNTIF($B$1:$C399, $B400), "", "存在しない")</f>
        <v/>
      </c>
      <c r="N400" s="2" t="s">
        <v>1196</v>
      </c>
    </row>
    <row r="401" spans="1:14" outlineLevel="1" x14ac:dyDescent="0.4">
      <c r="A401" s="2">
        <v>2</v>
      </c>
      <c r="B401" s="2" t="s">
        <v>1889</v>
      </c>
      <c r="E401" s="13" t="s">
        <v>128</v>
      </c>
      <c r="G401" s="19">
        <v>30</v>
      </c>
      <c r="H401" s="10" t="s">
        <v>1890</v>
      </c>
      <c r="J401" s="6" t="str">
        <f>IFERROR(_xlfn.LET(_xlpm.v,
VLOOKUP($I401,効果!$A:$B,COLUMN(効果!B$1),FALSE),
IF(_xlpm.v=0,"",_xlpm.v)
),"")</f>
        <v/>
      </c>
      <c r="L401" s="15" t="str">
        <f>IF(OR(COUNTIF(クラス!$A$1:$A$1035, $B401),$B401="",COUNTIF(スキル一覧!$A$1:$A$3500, $B401)), "", "存在しない")</f>
        <v>存在しない</v>
      </c>
      <c r="M401" s="2" t="str">
        <f>IF(COUNTIF($B$1:$C400, $B401), "", "存在しない")</f>
        <v>存在しない</v>
      </c>
      <c r="N401" s="2" t="s">
        <v>1196</v>
      </c>
    </row>
    <row r="402" spans="1:14" outlineLevel="1" x14ac:dyDescent="0.4">
      <c r="A402" s="2">
        <v>3</v>
      </c>
      <c r="B402" s="2" t="s">
        <v>282</v>
      </c>
      <c r="J402" s="6" t="str">
        <f>IFERROR(_xlfn.LET(_xlpm.v,
VLOOKUP($I402,効果!$A:$B,COLUMN(効果!B$1),FALSE),
IF(_xlpm.v=0,"",_xlpm.v)
),"")</f>
        <v/>
      </c>
      <c r="L402" s="15" t="str">
        <f>IF(OR(COUNTIF(クラス!$A$1:$A$1035, $B402),$B402="",COUNTIF(スキル一覧!$A$1:$A$3500, $B402)), "", "存在しない")</f>
        <v/>
      </c>
      <c r="M402" s="2" t="str">
        <f>IF(COUNTIF($B$1:$C401, $B402), "", "存在しない")</f>
        <v/>
      </c>
      <c r="N402" s="2" t="s">
        <v>1196</v>
      </c>
    </row>
    <row r="403" spans="1:14" outlineLevel="1" x14ac:dyDescent="0.4">
      <c r="A403" s="2">
        <v>4</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t="36" outlineLevel="1" x14ac:dyDescent="0.4">
      <c r="A404" s="2">
        <v>5</v>
      </c>
      <c r="B404" s="2" t="s">
        <v>1887</v>
      </c>
      <c r="D404" s="2" t="s">
        <v>1891</v>
      </c>
      <c r="E404" s="13" t="s">
        <v>128</v>
      </c>
      <c r="G404" s="19">
        <v>60</v>
      </c>
      <c r="H404" s="10" t="s">
        <v>1888</v>
      </c>
      <c r="J404" s="6" t="str">
        <f>IFERROR(_xlfn.LET(_xlpm.v,
VLOOKUP($I404,効果!$A:$B,COLUMN(効果!B$1),FALSE),
IF(_xlpm.v=0,"",_xlpm.v)
),"")</f>
        <v/>
      </c>
      <c r="L404" s="15" t="str">
        <f>IF(OR(COUNTIF(クラス!$A$1:$A$1035, $B404),$B404="",COUNTIF(スキル一覧!$A$1:$A$3500, $B404)), "", "存在しない")</f>
        <v>存在しない</v>
      </c>
      <c r="M404" s="2" t="str">
        <f>IF(COUNTIF($B$1:$C403, $B404), "", "存在しない")</f>
        <v>存在しない</v>
      </c>
      <c r="N404" s="2" t="s">
        <v>1196</v>
      </c>
    </row>
    <row r="405" spans="1:14" outlineLevel="1" x14ac:dyDescent="0.4">
      <c r="A405" s="2">
        <v>6</v>
      </c>
      <c r="B405" s="2" t="s">
        <v>1892</v>
      </c>
      <c r="E405" s="13" t="s">
        <v>129</v>
      </c>
      <c r="J405" s="6" t="str">
        <f>IFERROR(_xlfn.LET(_xlpm.v,
VLOOKUP($I405,効果!$A:$B,COLUMN(効果!B$1),FALSE),
IF(_xlpm.v=0,"",_xlpm.v)
),"")</f>
        <v/>
      </c>
      <c r="L405" s="15" t="str">
        <f>IF(OR(COUNTIF(クラス!$A$1:$A$1035, $B405),$B405="",COUNTIF(スキル一覧!$A$1:$A$3500, $B405)), "", "存在しない")</f>
        <v>存在しない</v>
      </c>
      <c r="M405" s="2" t="str">
        <f>IF(COUNTIF($B$1:$C404, $B405), "", "存在しない")</f>
        <v>存在しない</v>
      </c>
      <c r="N405" s="2" t="s">
        <v>1196</v>
      </c>
    </row>
    <row r="406" spans="1:14" outlineLevel="1" x14ac:dyDescent="0.4">
      <c r="A406" s="2">
        <v>7</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outlineLevel="1" x14ac:dyDescent="0.4">
      <c r="A407" s="2">
        <v>8</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outlineLevel="1" x14ac:dyDescent="0.4">
      <c r="A408" s="2">
        <v>9</v>
      </c>
      <c r="E408" s="13" t="s">
        <v>129</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outlineLevel="1" x14ac:dyDescent="0.4">
      <c r="A409" s="2">
        <v>10</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outlineLevel="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x14ac:dyDescent="0.4">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x14ac:dyDescent="0.4">
      <c r="B412" s="2" t="s">
        <v>47</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outlineLevel="1" x14ac:dyDescent="0.4">
      <c r="A413" s="2">
        <v>1</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outlineLevel="1" x14ac:dyDescent="0.4">
      <c r="A414" s="2">
        <v>2</v>
      </c>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outlineLevel="1" x14ac:dyDescent="0.4">
      <c r="A415" s="2">
        <v>3</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outlineLevel="1" x14ac:dyDescent="0.4">
      <c r="A416" s="2">
        <v>4</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outlineLevel="1" x14ac:dyDescent="0.4">
      <c r="A417" s="2">
        <v>5</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outlineLevel="1" x14ac:dyDescent="0.4">
      <c r="A418" s="2">
        <v>6</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outlineLevel="1" x14ac:dyDescent="0.4">
      <c r="A419" s="2">
        <v>7</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outlineLevel="1" x14ac:dyDescent="0.4">
      <c r="A420" s="2">
        <v>8</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outlineLevel="1" x14ac:dyDescent="0.4">
      <c r="A421" s="2">
        <v>9</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outlineLevel="1" x14ac:dyDescent="0.4">
      <c r="A422" s="2">
        <v>10</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outlineLevel="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x14ac:dyDescent="0.4">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x14ac:dyDescent="0.4">
      <c r="B425" s="2" t="s">
        <v>49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t="36" outlineLevel="1" x14ac:dyDescent="0.4">
      <c r="A426" s="2">
        <v>1</v>
      </c>
      <c r="B426" s="2" t="s">
        <v>1879</v>
      </c>
      <c r="D426" s="2" t="s">
        <v>1880</v>
      </c>
      <c r="E426" s="13" t="s">
        <v>128</v>
      </c>
      <c r="G426" s="19">
        <v>30</v>
      </c>
      <c r="H426" s="10" t="s">
        <v>1881</v>
      </c>
      <c r="J426" s="6" t="str">
        <f>IFERROR(_xlfn.LET(_xlpm.v,
VLOOKUP($I426,効果!$A:$B,COLUMN(効果!B$1),FALSE),
IF(_xlpm.v=0,"",_xlpm.v)
),"")</f>
        <v/>
      </c>
      <c r="L426" s="15" t="str">
        <f>IF(OR(COUNTIF(クラス!$A$1:$A$1035, $B426),$B426="",COUNTIF(スキル一覧!$A$1:$A$3500, $B426)), "", "存在しない")</f>
        <v>存在しない</v>
      </c>
      <c r="M426" s="2" t="str">
        <f>IF(COUNTIF($B$1:$C425, $B426), "", "存在しない")</f>
        <v>存在しない</v>
      </c>
      <c r="N426" s="2" t="s">
        <v>1196</v>
      </c>
    </row>
    <row r="427" spans="1:14" outlineLevel="1" x14ac:dyDescent="0.4">
      <c r="A427" s="2">
        <v>2</v>
      </c>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outlineLevel="1" x14ac:dyDescent="0.4">
      <c r="A428" s="2">
        <v>3</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outlineLevel="1" x14ac:dyDescent="0.4">
      <c r="A429" s="2">
        <v>4</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outlineLevel="1" x14ac:dyDescent="0.4">
      <c r="A430" s="2">
        <v>5</v>
      </c>
      <c r="B430" s="2" t="s">
        <v>1882</v>
      </c>
      <c r="D430" s="2" t="s">
        <v>1884</v>
      </c>
      <c r="E430" s="13" t="s">
        <v>128</v>
      </c>
      <c r="G430" s="19">
        <v>100</v>
      </c>
      <c r="H430" s="10" t="s">
        <v>1885</v>
      </c>
      <c r="J430" s="6" t="str">
        <f>IFERROR(_xlfn.LET(_xlpm.v,
VLOOKUP($I430,効果!$A:$B,COLUMN(効果!B$1),FALSE),
IF(_xlpm.v=0,"",_xlpm.v)
),"")</f>
        <v/>
      </c>
      <c r="L430" s="15" t="str">
        <f>IF(OR(COUNTIF(クラス!$A$1:$A$1035, $B430),$B430="",COUNTIF(スキル一覧!$A$1:$A$3500, $B430)), "", "存在しない")</f>
        <v>存在しない</v>
      </c>
      <c r="M430" s="2" t="str">
        <f>IF(COUNTIF($B$1:$C429, $B430), "", "存在しない")</f>
        <v>存在しない</v>
      </c>
      <c r="N430" s="2" t="s">
        <v>1196</v>
      </c>
    </row>
    <row r="431" spans="1:14" outlineLevel="1" x14ac:dyDescent="0.4">
      <c r="A431" s="2">
        <v>6</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outlineLevel="1" x14ac:dyDescent="0.4">
      <c r="A432" s="2">
        <v>7</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outlineLevel="1" x14ac:dyDescent="0.4">
      <c r="A433" s="2">
        <v>8</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outlineLevel="1" x14ac:dyDescent="0.4">
      <c r="A434" s="2">
        <v>9</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outlineLevel="1" x14ac:dyDescent="0.4">
      <c r="A435" s="2">
        <v>10</v>
      </c>
      <c r="B435" s="2" t="s">
        <v>1883</v>
      </c>
      <c r="D435" s="2" t="s">
        <v>1884</v>
      </c>
      <c r="E435" s="13" t="s">
        <v>128</v>
      </c>
      <c r="G435" s="19">
        <v>100</v>
      </c>
      <c r="H435" s="10" t="s">
        <v>1886</v>
      </c>
      <c r="J435" s="6" t="str">
        <f>IFERROR(_xlfn.LET(_xlpm.v,
VLOOKUP($I435,効果!$A:$B,COLUMN(効果!B$1),FALSE),
IF(_xlpm.v=0,"",_xlpm.v)
),"")</f>
        <v/>
      </c>
      <c r="L435" s="15" t="str">
        <f>IF(OR(COUNTIF(クラス!$A$1:$A$1035, $B435),$B435="",COUNTIF(スキル一覧!$A$1:$A$3500, $B435)), "", "存在しない")</f>
        <v>存在しない</v>
      </c>
      <c r="M435" s="2" t="str">
        <f>IF(COUNTIF($B$1:$C434, $B435), "", "存在しない")</f>
        <v>存在しない</v>
      </c>
      <c r="N435" s="2" t="s">
        <v>1196</v>
      </c>
    </row>
    <row r="436" spans="1:14" outlineLevel="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x14ac:dyDescent="0.4">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x14ac:dyDescent="0.4">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x14ac:dyDescent="0.4">
      <c r="B439" s="2" t="s">
        <v>121</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A440" s="2">
        <v>1</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hidden="1" outlineLevel="1" x14ac:dyDescent="0.4">
      <c r="A441" s="2">
        <v>2</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hidden="1" outlineLevel="1" x14ac:dyDescent="0.4">
      <c r="A442" s="2">
        <v>3</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1196</v>
      </c>
    </row>
    <row r="443" spans="1:14" hidden="1" outlineLevel="1" x14ac:dyDescent="0.4">
      <c r="A443" s="2">
        <v>4</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5</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6</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7</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8</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9</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10</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collapsed="1" x14ac:dyDescent="0.4">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x14ac:dyDescent="0.4">
      <c r="B452" s="2" t="s">
        <v>122</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A453" s="2">
        <v>1</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hidden="1" outlineLevel="1" x14ac:dyDescent="0.4">
      <c r="A454" s="2">
        <v>2</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hidden="1" outlineLevel="1" x14ac:dyDescent="0.4">
      <c r="A455" s="2">
        <v>3</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hidden="1" outlineLevel="1" x14ac:dyDescent="0.4">
      <c r="A456" s="2">
        <v>4</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hidden="1" outlineLevel="1" x14ac:dyDescent="0.4">
      <c r="A457" s="2">
        <v>5</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hidden="1" outlineLevel="1" x14ac:dyDescent="0.4">
      <c r="A458" s="2">
        <v>6</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hidden="1" outlineLevel="1" x14ac:dyDescent="0.4">
      <c r="A459" s="2">
        <v>7</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hidden="1" outlineLevel="1" x14ac:dyDescent="0.4">
      <c r="A460" s="2">
        <v>8</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idden="1" outlineLevel="1" x14ac:dyDescent="0.4">
      <c r="A461" s="2">
        <v>9</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10</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collapsed="1" x14ac:dyDescent="0.4">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x14ac:dyDescent="0.4">
      <c r="B465" s="2" t="s">
        <v>206</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1</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2</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3</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4</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idden="1" outlineLevel="1" x14ac:dyDescent="0.4">
      <c r="A470" s="2">
        <v>5</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A471" s="2">
        <v>6</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hidden="1" outlineLevel="1" x14ac:dyDescent="0.4">
      <c r="A472" s="2">
        <v>7</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hidden="1" outlineLevel="1" x14ac:dyDescent="0.4">
      <c r="A473" s="2">
        <v>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idden="1" outlineLevel="1" x14ac:dyDescent="0.4">
      <c r="A474" s="2">
        <v>9</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10</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1196</v>
      </c>
    </row>
    <row r="477" spans="1:14" collapsed="1" x14ac:dyDescent="0.4">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x14ac:dyDescent="0.4">
      <c r="B478" s="2" t="s">
        <v>208</v>
      </c>
      <c r="J478" s="6" t="str">
        <f>IFERROR(_xlfn.LET(_xlpm.v,
VLOOKUP($I478,効果!$A:$B,COLUMN(効果!B$1),FALSE),
IF(_xlpm.v=0,"",_xlpm.v)
),"")</f>
        <v/>
      </c>
      <c r="L478" s="15" t="str">
        <f>IF(OR(COUNTIF(クラス!$A$1:$A$1035, $B478),$B478="",COUNTIF(スキル一覧!$A$1:$A$3500, $B478)), "", "存在しない")</f>
        <v>存在しない</v>
      </c>
      <c r="M478" s="2" t="str">
        <f>IF(COUNTIF($B$1:$C477, $B478), "", "存在しない")</f>
        <v>存在しない</v>
      </c>
      <c r="N478" s="2" t="s">
        <v>1196</v>
      </c>
    </row>
    <row r="479" spans="1:14" hidden="1" outlineLevel="1" x14ac:dyDescent="0.4">
      <c r="A479" s="2">
        <v>1</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2</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3</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4</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idden="1" outlineLevel="1" x14ac:dyDescent="0.4">
      <c r="A483" s="2">
        <v>5</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A484" s="2">
        <v>6</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hidden="1" outlineLevel="1" x14ac:dyDescent="0.4">
      <c r="A485" s="2">
        <v>7</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hidden="1" outlineLevel="1" x14ac:dyDescent="0.4">
      <c r="A486" s="2">
        <v>8</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idden="1" outlineLevel="1" x14ac:dyDescent="0.4">
      <c r="A487" s="2">
        <v>9</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1196</v>
      </c>
    </row>
    <row r="488" spans="1:14" hidden="1" outlineLevel="1" x14ac:dyDescent="0.4">
      <c r="A488" s="2">
        <v>10</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1196</v>
      </c>
    </row>
    <row r="490" spans="1:14" collapsed="1" x14ac:dyDescent="0.4">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x14ac:dyDescent="0.4">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x14ac:dyDescent="0.4">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1196</v>
      </c>
    </row>
    <row r="493" spans="1:14" x14ac:dyDescent="0.4">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x14ac:dyDescent="0.4">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x14ac:dyDescent="0.4">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1196</v>
      </c>
    </row>
    <row r="496" spans="1:14" x14ac:dyDescent="0.4">
      <c r="B496" s="2" t="s">
        <v>68</v>
      </c>
      <c r="D496" s="2" t="s">
        <v>147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1196</v>
      </c>
    </row>
    <row r="497" spans="1:14" ht="36" hidden="1" outlineLevel="1" x14ac:dyDescent="0.4">
      <c r="A497" s="2">
        <v>1</v>
      </c>
      <c r="B497" s="2" t="str">
        <f>D496&amp;"の拳"</f>
        <v>炎の拳</v>
      </c>
      <c r="D497" s="2" t="str">
        <f>D496</f>
        <v>炎</v>
      </c>
      <c r="E497" s="13" t="s">
        <v>128</v>
      </c>
      <c r="G497" s="19">
        <v>60</v>
      </c>
      <c r="H497" s="10" t="str">
        <f>"攻撃手段:素手 物理+15 "&amp;D496&amp;"+25 判定:攻撃"</f>
        <v>攻撃手段:素手 物理+15 炎+25 判定:攻撃</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hidden="1" outlineLevel="1" x14ac:dyDescent="0.4">
      <c r="A498" s="2">
        <v>2</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hidden="1" outlineLevel="1" x14ac:dyDescent="0.4">
      <c r="A499" s="2">
        <v>3</v>
      </c>
      <c r="B499" s="2" t="s">
        <v>278</v>
      </c>
      <c r="E499" s="13" t="s">
        <v>129</v>
      </c>
      <c r="H499" s="10" t="s">
        <v>279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idden="1" outlineLevel="1" x14ac:dyDescent="0.4">
      <c r="A500" s="2">
        <v>4</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5</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6</v>
      </c>
      <c r="B502" s="2" t="str">
        <f>D496&amp;"の魔力"</f>
        <v>炎の魔力</v>
      </c>
      <c r="E502" s="13" t="s">
        <v>129</v>
      </c>
      <c r="H502" s="10" t="str">
        <f>"条件系統:"&amp;D496&amp;" 魔力+30"</f>
        <v>条件系統:炎 魔力+30</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1196</v>
      </c>
    </row>
    <row r="503" spans="1:14" hidden="1" outlineLevel="1" x14ac:dyDescent="0.4">
      <c r="A503" s="2">
        <v>7</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8</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9</v>
      </c>
      <c r="B505" s="2" t="str">
        <f>D496&amp;"の力"</f>
        <v>炎の力</v>
      </c>
      <c r="E505" s="13" t="s">
        <v>129</v>
      </c>
      <c r="H505" s="10" t="str">
        <f>"条件系統:"&amp;D496&amp;" 攻撃+30"</f>
        <v>条件系統:炎 攻撃+30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t="36" hidden="1" outlineLevel="1" x14ac:dyDescent="0.4">
      <c r="A506" s="2">
        <v>10</v>
      </c>
      <c r="B506" s="2" t="str">
        <f>D496&amp;"の吐息"</f>
        <v>炎の吐息</v>
      </c>
      <c r="D506" s="2" t="str">
        <f>D496</f>
        <v>炎</v>
      </c>
      <c r="E506" s="13" t="s">
        <v>128</v>
      </c>
      <c r="G506" s="19">
        <v>80</v>
      </c>
      <c r="H506" s="10" t="str">
        <f>"攻撃手段:吐息 "&amp;D496&amp;"+45 射程:20 範囲:放射"</f>
        <v>攻撃手段:吐息 炎+45 射程:20 範囲:放射</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collapsed="1" x14ac:dyDescent="0.4">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x14ac:dyDescent="0.4">
      <c r="B509" s="2" t="s">
        <v>70</v>
      </c>
      <c r="D509" s="2" t="s">
        <v>148</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t="36" hidden="1" outlineLevel="1" x14ac:dyDescent="0.4">
      <c r="A510" s="2">
        <v>1</v>
      </c>
      <c r="B510" s="2" t="str">
        <f>D509&amp;"の拳"</f>
        <v>氷の拳</v>
      </c>
      <c r="D510" s="2" t="str">
        <f>D509</f>
        <v>氷</v>
      </c>
      <c r="E510" s="13" t="s">
        <v>128</v>
      </c>
      <c r="G510" s="19">
        <v>60</v>
      </c>
      <c r="H510" s="10" t="str">
        <f>"攻撃手段:素手 物理+15 "&amp;D509&amp;"+25 判定:攻撃"</f>
        <v>攻撃手段:素手 物理+15 氷+25 判定:攻撃</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hidden="1" outlineLevel="1" x14ac:dyDescent="0.4">
      <c r="A511" s="2">
        <v>2</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hidden="1" outlineLevel="1" x14ac:dyDescent="0.4">
      <c r="A512" s="2">
        <v>3</v>
      </c>
      <c r="B512" s="2" t="s">
        <v>278</v>
      </c>
      <c r="E512" s="13" t="s">
        <v>129</v>
      </c>
      <c r="H512" s="10" t="s">
        <v>279</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1196</v>
      </c>
    </row>
    <row r="513" spans="1:14" hidden="1" outlineLevel="1" x14ac:dyDescent="0.4">
      <c r="A513" s="2">
        <v>4</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5</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6</v>
      </c>
      <c r="B515" s="2" t="str">
        <f>D509&amp;"の魔力"</f>
        <v>氷の魔力</v>
      </c>
      <c r="E515" s="13" t="s">
        <v>129</v>
      </c>
      <c r="H515" s="10" t="str">
        <f>"条件系統:"&amp;D509&amp;" 魔力+30"</f>
        <v>条件系統:氷 魔力+30</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1196</v>
      </c>
    </row>
    <row r="516" spans="1:14" hidden="1" outlineLevel="1" x14ac:dyDescent="0.4">
      <c r="A516" s="2">
        <v>7</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8</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9</v>
      </c>
      <c r="B518" s="2" t="str">
        <f>D509&amp;"の力"</f>
        <v>氷の力</v>
      </c>
      <c r="E518" s="13" t="s">
        <v>129</v>
      </c>
      <c r="H518" s="10" t="str">
        <f>"条件系統:"&amp;D509&amp;" 攻撃+30"</f>
        <v>条件系統:氷 攻撃+30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t="36" hidden="1" outlineLevel="1" x14ac:dyDescent="0.4">
      <c r="A519" s="2">
        <v>10</v>
      </c>
      <c r="B519" s="2" t="str">
        <f>D509&amp;"の吐息"</f>
        <v>氷の吐息</v>
      </c>
      <c r="D519" s="2" t="str">
        <f>D509</f>
        <v>氷</v>
      </c>
      <c r="E519" s="13" t="s">
        <v>128</v>
      </c>
      <c r="G519" s="19">
        <v>80</v>
      </c>
      <c r="H519" s="10" t="str">
        <f>"攻撃手段:吐息 "&amp;D509&amp;"+45 射程:20 範囲:放射"</f>
        <v>攻撃手段:吐息 氷+45 射程:20 範囲:放射</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collapsed="1" x14ac:dyDescent="0.4">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x14ac:dyDescent="0.4">
      <c r="B522" s="2" t="s">
        <v>856</v>
      </c>
      <c r="D522" s="2" t="s">
        <v>857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t="36" hidden="1" outlineLevel="1" x14ac:dyDescent="0.4">
      <c r="A523" s="2">
        <v>1</v>
      </c>
      <c r="B523" s="2" t="s">
        <v>858</v>
      </c>
      <c r="D523" s="2" t="s">
        <v>845</v>
      </c>
      <c r="E523" s="13" t="s">
        <v>128</v>
      </c>
      <c r="G523" s="19">
        <v>60</v>
      </c>
      <c r="H523" s="10" t="s">
        <v>864</v>
      </c>
      <c r="J523" s="6" t="str">
        <f>IFERROR(_xlfn.LET(_xlpm.v,
VLOOKUP($I523,効果!$A:$B,COLUMN(効果!B$1),FALSE),
IF(_xlpm.v=0,"",_xlpm.v)
),"")</f>
        <v/>
      </c>
      <c r="L523" s="15" t="str">
        <f>IF(OR(COUNTIF(クラス!$A$1:$A$1035, $B523),$B523="",COUNTIF(スキル一覧!$A$1:$A$3500, $B523)), "", "存在しない")</f>
        <v>存在しない</v>
      </c>
      <c r="M523" s="2" t="str">
        <f>IF(COUNTIF($B$1:$C522, $B523), "", "存在しない")</f>
        <v>存在しない</v>
      </c>
      <c r="N523" s="2" t="e">
        <v>#VALUE!</v>
      </c>
    </row>
    <row r="524" spans="1:14" hidden="1" outlineLevel="1" x14ac:dyDescent="0.4">
      <c r="A524" s="2">
        <v>2</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hidden="1" outlineLevel="1" x14ac:dyDescent="0.4">
      <c r="A525" s="2">
        <v>3</v>
      </c>
      <c r="B525" s="2" t="s">
        <v>863</v>
      </c>
      <c r="E525" s="13" t="s">
        <v>129</v>
      </c>
      <c r="H525" s="10" t="s">
        <v>862</v>
      </c>
      <c r="J525" s="6" t="str">
        <f>IFERROR(_xlfn.LET(_xlpm.v,
VLOOKUP($I525,効果!$A:$B,COLUMN(効果!B$1),FALSE),
IF(_xlpm.v=0,"",_xlpm.v)
),"")</f>
        <v/>
      </c>
      <c r="L525" s="15" t="str">
        <f>IF(OR(COUNTIF(クラス!$A$1:$A$1035, $B525),$B525="",COUNTIF(スキル一覧!$A$1:$A$3500, $B525)), "", "存在しない")</f>
        <v>存在しない</v>
      </c>
      <c r="M525" s="2" t="str">
        <f>IF(COUNTIF($B$1:$C524, $B525), "", "存在しない")</f>
        <v>存在しない</v>
      </c>
      <c r="N525" s="2" t="e">
        <v>#VALUE!</v>
      </c>
    </row>
    <row r="526" spans="1:14" hidden="1" outlineLevel="1" x14ac:dyDescent="0.4">
      <c r="A526" s="2">
        <v>4</v>
      </c>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1196</v>
      </c>
    </row>
    <row r="527" spans="1:14" hidden="1" outlineLevel="1" x14ac:dyDescent="0.4">
      <c r="A527" s="2">
        <v>5</v>
      </c>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1196</v>
      </c>
    </row>
    <row r="528" spans="1:14" hidden="1" outlineLevel="1" x14ac:dyDescent="0.4">
      <c r="A528" s="2">
        <v>6</v>
      </c>
      <c r="B528" s="2" t="s">
        <v>859</v>
      </c>
      <c r="E528" s="13" t="s">
        <v>129</v>
      </c>
      <c r="H528" s="10" t="str">
        <f>"条件系統:"&amp;D522&amp;" 魔力+30"</f>
        <v>条件系統:水 魔力+30</v>
      </c>
      <c r="J528" s="6" t="str">
        <f>IFERROR(_xlfn.LET(_xlpm.v,
VLOOKUP($I528,効果!$A:$B,COLUMN(効果!B$1),FALSE),
IF(_xlpm.v=0,"",_xlpm.v)
),"")</f>
        <v/>
      </c>
      <c r="L528" s="15" t="str">
        <f>IF(OR(COUNTIF(クラス!$A$1:$A$1035, $B528),$B528="",COUNTIF(スキル一覧!$A$1:$A$3500, $B528)), "", "存在しない")</f>
        <v>存在しない</v>
      </c>
      <c r="M528" s="2" t="str">
        <f>IF(COUNTIF($B$1:$C527, $B528), "", "存在しない")</f>
        <v>存在しない</v>
      </c>
      <c r="N528" s="2" t="e">
        <v>#VALUE!</v>
      </c>
    </row>
    <row r="529" spans="1:14" hidden="1" outlineLevel="1" x14ac:dyDescent="0.4">
      <c r="A529" s="2">
        <v>7</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8</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9</v>
      </c>
      <c r="B531" s="2" t="s">
        <v>860</v>
      </c>
      <c r="E531" s="13" t="s">
        <v>129</v>
      </c>
      <c r="H531" s="10" t="str">
        <f>"条件系統:"&amp;D522&amp;" 攻撃+30"</f>
        <v>条件系統:水 攻撃+30</v>
      </c>
      <c r="J531" s="6" t="str">
        <f>IFERROR(_xlfn.LET(_xlpm.v,
VLOOKUP($I531,効果!$A:$B,COLUMN(効果!B$1),FALSE),
IF(_xlpm.v=0,"",_xlpm.v)
),"")</f>
        <v/>
      </c>
      <c r="L531" s="15" t="str">
        <f>IF(OR(COUNTIF(クラス!$A$1:$A$1035, $B531),$B531="",COUNTIF(スキル一覧!$A$1:$A$3500, $B531)), "", "存在しない")</f>
        <v>存在しない</v>
      </c>
      <c r="M531" s="2" t="str">
        <f>IF(COUNTIF($B$1:$C530, $B531), "", "存在しない")</f>
        <v>存在しない</v>
      </c>
      <c r="N531" s="2" t="e">
        <v>#VALUE!</v>
      </c>
    </row>
    <row r="532" spans="1:14" ht="36" hidden="1" outlineLevel="1" x14ac:dyDescent="0.4">
      <c r="A532" s="2">
        <v>10</v>
      </c>
      <c r="B532" s="2" t="s">
        <v>861</v>
      </c>
      <c r="D532" s="2" t="s">
        <v>845</v>
      </c>
      <c r="E532" s="13" t="s">
        <v>128</v>
      </c>
      <c r="G532" s="19">
        <v>80</v>
      </c>
      <c r="H532" s="10" t="s">
        <v>1837</v>
      </c>
      <c r="I532" s="6" t="s">
        <v>419</v>
      </c>
      <c r="J532" s="6" t="str">
        <f>IFERROR(_xlfn.LET(_xlpm.v,
VLOOKUP($I532,効果!$A:$B,COLUMN(効果!B$1),FALSE),
IF(_xlpm.v=0,"",_xlpm.v)
),"")</f>
        <v>対象を後方へ移動させる</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collapsed="1" x14ac:dyDescent="0.4">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x14ac:dyDescent="0.4">
      <c r="B535" s="2" t="s">
        <v>72</v>
      </c>
      <c r="D535" s="2" t="s">
        <v>280</v>
      </c>
      <c r="E535" s="13" t="s">
        <v>139</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t="36" hidden="1" outlineLevel="1" x14ac:dyDescent="0.4">
      <c r="A536" s="2">
        <v>1</v>
      </c>
      <c r="B536" s="2" t="str">
        <f>D535&amp;"の拳"</f>
        <v>風の拳</v>
      </c>
      <c r="D536" s="2" t="str">
        <f>D535</f>
        <v>風</v>
      </c>
      <c r="E536" s="13" t="s">
        <v>128</v>
      </c>
      <c r="G536" s="19">
        <v>60</v>
      </c>
      <c r="H536" s="10" t="str">
        <f>"攻撃手段:素手 物理+15 "&amp;E535&amp;"+25 判定:攻撃"</f>
        <v>攻撃手段:素手 物理+15 怯み+25 判定:攻撃</v>
      </c>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hidden="1" outlineLevel="1" x14ac:dyDescent="0.4">
      <c r="A537" s="2">
        <v>2</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hidden="1" outlineLevel="1" x14ac:dyDescent="0.4">
      <c r="A538" s="2">
        <v>3</v>
      </c>
      <c r="B538" s="2" t="s">
        <v>278</v>
      </c>
      <c r="E538" s="13" t="s">
        <v>129</v>
      </c>
      <c r="H538" s="10" t="s">
        <v>279</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1196</v>
      </c>
    </row>
    <row r="539" spans="1:14" hidden="1" outlineLevel="1" x14ac:dyDescent="0.4">
      <c r="A539" s="2">
        <v>4</v>
      </c>
      <c r="J539" s="6" t="str">
        <f>IFERROR(_xlfn.LET(_xlpm.v,
VLOOKUP($I539,効果!$A:$B,COLUMN(効果!B$1),FALSE),
IF(_xlpm.v=0,"",_xlpm.v)
),"")</f>
        <v/>
      </c>
      <c r="L539" s="15" t="str">
        <f>IF(OR(COUNTIF(クラス!$A$1:$A$1035, $B539),$B539="",COUNTIF(スキル一覧!$A$1:$A$3500, $B539)), "", "存在しない")</f>
        <v/>
      </c>
      <c r="M539" s="2" t="str">
        <f>IF(COUNTIF($B$1:$C538, $B539), "", "存在しない")</f>
        <v>存在しない</v>
      </c>
      <c r="N539" s="2" t="s">
        <v>1196</v>
      </c>
    </row>
    <row r="540" spans="1:14" hidden="1" outlineLevel="1" x14ac:dyDescent="0.4">
      <c r="A540" s="2">
        <v>5</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1196</v>
      </c>
    </row>
    <row r="541" spans="1:14" hidden="1" outlineLevel="1" x14ac:dyDescent="0.4">
      <c r="A541" s="2">
        <v>6</v>
      </c>
      <c r="B541" s="2" t="str">
        <f>D535&amp;"の魔力"</f>
        <v>風の魔力</v>
      </c>
      <c r="E541" s="13" t="s">
        <v>129</v>
      </c>
      <c r="H541" s="10" t="str">
        <f>"条件系統:"&amp;D535&amp;" 魔力+30"</f>
        <v>条件系統:風 魔力+30</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7</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8</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9</v>
      </c>
      <c r="B544" s="2" t="str">
        <f>D535&amp;"の力"</f>
        <v>風の力</v>
      </c>
      <c r="E544" s="13" t="s">
        <v>129</v>
      </c>
      <c r="H544" s="10" t="str">
        <f>"条件系統:"&amp;D535&amp;" 攻撃+30"</f>
        <v>条件系統:風 攻撃+30</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t="36" hidden="1" outlineLevel="1" x14ac:dyDescent="0.4">
      <c r="A545" s="2">
        <v>10</v>
      </c>
      <c r="B545" s="2" t="str">
        <f>D535&amp;"の吐息"</f>
        <v>風の吐息</v>
      </c>
      <c r="D545" s="2" t="str">
        <f>D535</f>
        <v>風</v>
      </c>
      <c r="E545" s="13" t="s">
        <v>128</v>
      </c>
      <c r="G545" s="19">
        <v>80</v>
      </c>
      <c r="H545" s="10" t="str">
        <f>"攻撃手段:吐息 "&amp;E535&amp;"+45 射程:20 範囲:放射"</f>
        <v>攻撃手段:吐息 怯み+45 射程:20 範囲:放射</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collapsed="1" x14ac:dyDescent="0.4">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x14ac:dyDescent="0.4">
      <c r="B548" s="2" t="s">
        <v>74</v>
      </c>
      <c r="D548" s="2" t="s">
        <v>281</v>
      </c>
      <c r="E548" s="13" t="s">
        <v>175</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t="36" hidden="1" outlineLevel="1" x14ac:dyDescent="0.4">
      <c r="A549" s="2">
        <v>1</v>
      </c>
      <c r="B549" s="2" t="str">
        <f>D548&amp;"の拳"</f>
        <v>地の拳</v>
      </c>
      <c r="D549" s="2" t="str">
        <f>D548</f>
        <v>地</v>
      </c>
      <c r="E549" s="13" t="s">
        <v>128</v>
      </c>
      <c r="G549" s="19">
        <v>60</v>
      </c>
      <c r="H549" s="10" t="str">
        <f>"攻撃手段:素手 物理+15 "&amp;E548&amp;"+25 判定:攻撃"</f>
        <v>攻撃手段:素手 物理+15 ガード+25 判定:攻撃</v>
      </c>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hidden="1" outlineLevel="1" x14ac:dyDescent="0.4">
      <c r="A550" s="2">
        <v>2</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hidden="1" outlineLevel="1" x14ac:dyDescent="0.4">
      <c r="A551" s="2">
        <v>3</v>
      </c>
      <c r="B551" s="2" t="s">
        <v>278</v>
      </c>
      <c r="E551" s="13" t="s">
        <v>129</v>
      </c>
      <c r="H551" s="10" t="s">
        <v>279</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1196</v>
      </c>
    </row>
    <row r="552" spans="1:14" hidden="1" outlineLevel="1" x14ac:dyDescent="0.4">
      <c r="A552" s="2">
        <v>4</v>
      </c>
      <c r="J552" s="6" t="str">
        <f>IFERROR(_xlfn.LET(_xlpm.v,
VLOOKUP($I552,効果!$A:$B,COLUMN(効果!B$1),FALSE),
IF(_xlpm.v=0,"",_xlpm.v)
),"")</f>
        <v/>
      </c>
      <c r="L552" s="15" t="str">
        <f>IF(OR(COUNTIF(クラス!$A$1:$A$1035, $B552),$B552="",COUNTIF(スキル一覧!$A$1:$A$3500, $B552)), "", "存在しない")</f>
        <v/>
      </c>
      <c r="M552" s="2" t="str">
        <f>IF(COUNTIF($B$1:$C551, $B552), "", "存在しない")</f>
        <v>存在しない</v>
      </c>
      <c r="N552" s="2" t="s">
        <v>1196</v>
      </c>
    </row>
    <row r="553" spans="1:14" hidden="1" outlineLevel="1" x14ac:dyDescent="0.4">
      <c r="A553" s="2">
        <v>5</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1196</v>
      </c>
    </row>
    <row r="554" spans="1:14" hidden="1" outlineLevel="1" x14ac:dyDescent="0.4">
      <c r="A554" s="2">
        <v>6</v>
      </c>
      <c r="B554" s="2" t="str">
        <f>D548&amp;"の魔力"</f>
        <v>地の魔力</v>
      </c>
      <c r="E554" s="13" t="s">
        <v>129</v>
      </c>
      <c r="H554" s="10" t="str">
        <f>"条件系統:"&amp;D548&amp;" 魔力+30"</f>
        <v>条件系統:地 魔力+30</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1196</v>
      </c>
    </row>
    <row r="555" spans="1:14" hidden="1" outlineLevel="1" x14ac:dyDescent="0.4">
      <c r="A555" s="2">
        <v>7</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8</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9</v>
      </c>
      <c r="B557" s="2" t="str">
        <f>D548&amp;"の力"</f>
        <v>地の力</v>
      </c>
      <c r="E557" s="13" t="s">
        <v>129</v>
      </c>
      <c r="H557" s="10" t="str">
        <f>"条件系統:"&amp;D548&amp;" 攻撃+30"</f>
        <v>条件系統:地 攻撃+30</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t="36" hidden="1" outlineLevel="1" x14ac:dyDescent="0.4">
      <c r="A558" s="2">
        <v>10</v>
      </c>
      <c r="B558" s="2" t="str">
        <f>"石礫の吐息"</f>
        <v>石礫の吐息</v>
      </c>
      <c r="D558" s="2" t="str">
        <f>D548</f>
        <v>地</v>
      </c>
      <c r="E558" s="13" t="s">
        <v>128</v>
      </c>
      <c r="G558" s="19">
        <v>80</v>
      </c>
      <c r="H558" s="10" t="str">
        <f>"攻撃手段:吐息 物理+35 怯み+20 射程:20 範囲:放射"</f>
        <v>攻撃手段:吐息 物理+35 怯み+20 射程:20 範囲:放射</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collapsed="1" x14ac:dyDescent="0.4">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x14ac:dyDescent="0.4">
      <c r="B561" s="2" t="s">
        <v>196</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A562" s="2">
        <v>1</v>
      </c>
      <c r="B562" s="2" t="s">
        <v>282</v>
      </c>
      <c r="E562" s="13" t="s">
        <v>128</v>
      </c>
      <c r="G562" s="19">
        <v>40</v>
      </c>
      <c r="H562" s="10" t="s">
        <v>325</v>
      </c>
      <c r="J562" s="6" t="str">
        <f>IFERROR(_xlfn.LET(_xlpm.v,
VLOOKUP($I562,効果!$A:$B,COLUMN(効果!B$1),FALSE),
IF(_xlpm.v=0,"",_xlpm.v)
),"")</f>
        <v/>
      </c>
      <c r="L562" s="15" t="str">
        <f>IF(OR(COUNTIF(クラス!$A$1:$A$1035, $B562),$B562="",COUNTIF(スキル一覧!$A$1:$A$3500, $B562)), "", "存在しない")</f>
        <v/>
      </c>
      <c r="M562" s="2" t="str">
        <f>IF(COUNTIF($B$1:$C561, $B562), "", "存在しない")</f>
        <v/>
      </c>
      <c r="N562" s="2" t="s">
        <v>1196</v>
      </c>
    </row>
    <row r="563" spans="1:14" hidden="1" outlineLevel="1" x14ac:dyDescent="0.4">
      <c r="A563" s="2">
        <v>2</v>
      </c>
      <c r="B563" s="2" t="s">
        <v>283</v>
      </c>
      <c r="E563" s="13" t="s">
        <v>128</v>
      </c>
      <c r="G563" s="19">
        <v>40</v>
      </c>
      <c r="J563" s="6" t="str">
        <f>IFERROR(_xlfn.LET(_xlpm.v,
VLOOKUP($I563,効果!$A:$B,COLUMN(効果!B$1),FALSE),
IF(_xlpm.v=0,"",_xlpm.v)
),"")</f>
        <v/>
      </c>
      <c r="L563" s="15" t="str">
        <f>IF(OR(COUNTIF(クラス!$A$1:$A$1035, $B563),$B563="",COUNTIF(スキル一覧!$A$1:$A$3500, $B563)), "", "存在しない")</f>
        <v/>
      </c>
      <c r="M563" s="2" t="str">
        <f>IF(COUNTIF($B$1:$C562, $B563), "", "存在しない")</f>
        <v/>
      </c>
      <c r="N563" s="2" t="s">
        <v>1196</v>
      </c>
    </row>
    <row r="564" spans="1:14" hidden="1" outlineLevel="1" x14ac:dyDescent="0.4">
      <c r="A564" s="2">
        <v>3</v>
      </c>
      <c r="E564" s="13" t="s">
        <v>129</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4</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1196</v>
      </c>
    </row>
    <row r="566" spans="1:14" hidden="1" outlineLevel="1" x14ac:dyDescent="0.4">
      <c r="A566" s="2">
        <v>5</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1196</v>
      </c>
    </row>
    <row r="567" spans="1:14" hidden="1" outlineLevel="1" x14ac:dyDescent="0.4">
      <c r="A567" s="2">
        <v>6</v>
      </c>
      <c r="E567" s="13" t="s">
        <v>129</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7</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8</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9</v>
      </c>
      <c r="E570" s="13" t="s">
        <v>129</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10</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collapsed="1" x14ac:dyDescent="0.4">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x14ac:dyDescent="0.4">
      <c r="B574" s="2" t="s">
        <v>124</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A575" s="2">
        <v>1</v>
      </c>
      <c r="B575" s="2" t="s">
        <v>282</v>
      </c>
      <c r="E575" s="13" t="s">
        <v>128</v>
      </c>
      <c r="G575" s="19">
        <v>40</v>
      </c>
      <c r="H575" s="10" t="s">
        <v>325</v>
      </c>
      <c r="J575" s="6" t="str">
        <f>IFERROR(_xlfn.LET(_xlpm.v,
VLOOKUP($I575,効果!$A:$B,COLUMN(効果!B$1),FALSE),
IF(_xlpm.v=0,"",_xlpm.v)
),"")</f>
        <v/>
      </c>
      <c r="L575" s="15" t="str">
        <f>IF(OR(COUNTIF(クラス!$A$1:$A$1035, $B575),$B575="",COUNTIF(スキル一覧!$A$1:$A$3500, $B575)), "", "存在しない")</f>
        <v/>
      </c>
      <c r="M575" s="2" t="str">
        <f>IF(COUNTIF($B$1:$C574, $B575), "", "存在しない")</f>
        <v/>
      </c>
      <c r="N575" s="2" t="s">
        <v>1196</v>
      </c>
    </row>
    <row r="576" spans="1:14" hidden="1" outlineLevel="1" x14ac:dyDescent="0.4">
      <c r="A576" s="2">
        <v>2</v>
      </c>
      <c r="B576" s="2" t="s">
        <v>283</v>
      </c>
      <c r="E576" s="13" t="s">
        <v>128</v>
      </c>
      <c r="G576" s="19">
        <v>40</v>
      </c>
      <c r="J576" s="6" t="str">
        <f>IFERROR(_xlfn.LET(_xlpm.v,
VLOOKUP($I576,効果!$A:$B,COLUMN(効果!B$1),FALSE),
IF(_xlpm.v=0,"",_xlpm.v)
),"")</f>
        <v/>
      </c>
      <c r="L576" s="15" t="str">
        <f>IF(OR(COUNTIF(クラス!$A$1:$A$1035, $B576),$B576="",COUNTIF(スキル一覧!$A$1:$A$3500, $B576)), "", "存在しない")</f>
        <v/>
      </c>
      <c r="M576" s="2" t="str">
        <f>IF(COUNTIF($B$1:$C575, $B576), "", "存在しない")</f>
        <v/>
      </c>
      <c r="N576" s="2" t="s">
        <v>1196</v>
      </c>
    </row>
    <row r="577" spans="1:14" hidden="1" outlineLevel="1" x14ac:dyDescent="0.4">
      <c r="A577" s="2">
        <v>3</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4</v>
      </c>
      <c r="J578" s="6" t="str">
        <f>IFERROR(_xlfn.LET(_xlpm.v,
VLOOKUP($I578,効果!$A:$B,COLUMN(効果!B$1),FALSE),
IF(_xlpm.v=0,"",_xlpm.v)
),"")</f>
        <v/>
      </c>
      <c r="L578" s="15" t="str">
        <f>IF(OR(COUNTIF(クラス!$A$1:$A$1035, $B578),$B578="",COUNTIF(スキル一覧!$A$1:$A$3500, $B578)), "", "存在しない")</f>
        <v/>
      </c>
      <c r="M578" s="2" t="str">
        <f>IF(COUNTIF($B$1:$C577, $B578), "", "存在しない")</f>
        <v>存在しない</v>
      </c>
      <c r="N578" s="2" t="s">
        <v>1196</v>
      </c>
    </row>
    <row r="579" spans="1:14" hidden="1" outlineLevel="1" x14ac:dyDescent="0.4">
      <c r="A579" s="2">
        <v>5</v>
      </c>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1196</v>
      </c>
    </row>
    <row r="580" spans="1:14" hidden="1" outlineLevel="1" x14ac:dyDescent="0.4">
      <c r="A580" s="2">
        <v>6</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8</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9</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10</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collapsed="1" x14ac:dyDescent="0.4">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x14ac:dyDescent="0.4">
      <c r="B587" s="2" t="s">
        <v>125</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A588" s="2">
        <v>1</v>
      </c>
      <c r="B588" s="2" t="s">
        <v>283</v>
      </c>
      <c r="E588" s="13" t="s">
        <v>128</v>
      </c>
      <c r="G588" s="19">
        <v>40</v>
      </c>
      <c r="H588" s="10" t="s">
        <v>325</v>
      </c>
      <c r="J588" s="6" t="str">
        <f>IFERROR(_xlfn.LET(_xlpm.v,
VLOOKUP($I588,効果!$A:$B,COLUMN(効果!B$1),FALSE),
IF(_xlpm.v=0,"",_xlpm.v)
),"")</f>
        <v/>
      </c>
      <c r="L588" s="15" t="str">
        <f>IF(OR(COUNTIF(クラス!$A$1:$A$1035, $B588),$B588="",COUNTIF(スキル一覧!$A$1:$A$3500, $B588)), "", "存在しない")</f>
        <v/>
      </c>
      <c r="M588" s="2" t="str">
        <f>IF(COUNTIF($B$1:$C587, $B588), "", "存在しない")</f>
        <v/>
      </c>
      <c r="N588" s="2" t="s">
        <v>1196</v>
      </c>
    </row>
    <row r="589" spans="1:14" hidden="1" outlineLevel="1" x14ac:dyDescent="0.4">
      <c r="A589" s="2">
        <v>2</v>
      </c>
      <c r="B589" s="2" t="s">
        <v>286</v>
      </c>
      <c r="E589" s="13" t="s">
        <v>128</v>
      </c>
      <c r="G589" s="19">
        <v>40</v>
      </c>
      <c r="J589" s="6" t="str">
        <f>IFERROR(_xlfn.LET(_xlpm.v,
VLOOKUP($I589,効果!$A:$B,COLUMN(効果!B$1),FALSE),
IF(_xlpm.v=0,"",_xlpm.v)
),"")</f>
        <v/>
      </c>
      <c r="L589" s="15" t="str">
        <f>IF(OR(COUNTIF(クラス!$A$1:$A$1035, $B589),$B589="",COUNTIF(スキル一覧!$A$1:$A$3500, $B589)), "", "存在しない")</f>
        <v/>
      </c>
      <c r="M589" s="2" t="str">
        <f>IF(COUNTIF($B$1:$C588, $B589), "", "存在しない")</f>
        <v/>
      </c>
      <c r="N589" s="2" t="s">
        <v>1196</v>
      </c>
    </row>
    <row r="590" spans="1:14" hidden="1" outlineLevel="1" x14ac:dyDescent="0.4">
      <c r="A590" s="2">
        <v>3</v>
      </c>
      <c r="B590" s="2" t="s">
        <v>289</v>
      </c>
      <c r="J590" s="6" t="str">
        <f>IFERROR(_xlfn.LET(_xlpm.v,
VLOOKUP($I590,効果!$A:$B,COLUMN(効果!B$1),FALSE),
IF(_xlpm.v=0,"",_xlpm.v)
),"")</f>
        <v/>
      </c>
      <c r="L590" s="15" t="str">
        <f>IF(OR(COUNTIF(クラス!$A$1:$A$1035, $B590),$B590="",COUNTIF(スキル一覧!$A$1:$A$3500, $B590)), "", "存在しない")</f>
        <v/>
      </c>
      <c r="M590" s="2" t="str">
        <f>IF(COUNTIF($B$1:$C589, $B590), "", "存在しない")</f>
        <v/>
      </c>
      <c r="N590" s="2" t="s">
        <v>1196</v>
      </c>
    </row>
    <row r="591" spans="1:14" hidden="1" outlineLevel="1" x14ac:dyDescent="0.4">
      <c r="A591" s="2">
        <v>4</v>
      </c>
      <c r="J591" s="6" t="str">
        <f>IFERROR(_xlfn.LET(_xlpm.v,
VLOOKUP($I591,効果!$A:$B,COLUMN(効果!B$1),FALSE),
IF(_xlpm.v=0,"",_xlpm.v)
),"")</f>
        <v/>
      </c>
      <c r="L591" s="15" t="str">
        <f>IF(OR(COUNTIF(クラス!$A$1:$A$1035, $B591),$B591="",COUNTIF(スキル一覧!$A$1:$A$3500, $B591)), "", "存在しない")</f>
        <v/>
      </c>
      <c r="M591" s="2" t="str">
        <f>IF(COUNTIF($B$1:$C590, $B591), "", "存在しない")</f>
        <v>存在しない</v>
      </c>
      <c r="N591" s="2" t="s">
        <v>1196</v>
      </c>
    </row>
    <row r="592" spans="1:14" hidden="1" outlineLevel="1" x14ac:dyDescent="0.4">
      <c r="A592" s="2">
        <v>5</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6</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7</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8</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9</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10</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collapsed="1" x14ac:dyDescent="0.4">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x14ac:dyDescent="0.4">
      <c r="B600" s="2" t="s">
        <v>198</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A601" s="2">
        <v>1</v>
      </c>
      <c r="B601" s="2" t="s">
        <v>282</v>
      </c>
      <c r="J601" s="6" t="str">
        <f>IFERROR(_xlfn.LET(_xlpm.v,
VLOOKUP($I601,効果!$A:$B,COLUMN(効果!B$1),FALSE),
IF(_xlpm.v=0,"",_xlpm.v)
),"")</f>
        <v/>
      </c>
      <c r="L601" s="15" t="str">
        <f>IF(OR(COUNTIF(クラス!$A$1:$A$1035, $B601),$B601="",COUNTIF(スキル一覧!$A$1:$A$3500, $B601)), "", "存在しない")</f>
        <v/>
      </c>
      <c r="M601" s="2" t="str">
        <f>IF(COUNTIF($B$1:$C600, $B601), "", "存在しない")</f>
        <v/>
      </c>
      <c r="N601" s="2" t="s">
        <v>1196</v>
      </c>
    </row>
    <row r="602" spans="1:14" hidden="1" outlineLevel="1" x14ac:dyDescent="0.4">
      <c r="A602" s="2">
        <v>2</v>
      </c>
      <c r="B602" s="2" t="s">
        <v>283</v>
      </c>
      <c r="J602" s="6" t="str">
        <f>IFERROR(_xlfn.LET(_xlpm.v,
VLOOKUP($I602,効果!$A:$B,COLUMN(効果!B$1),FALSE),
IF(_xlpm.v=0,"",_xlpm.v)
),"")</f>
        <v/>
      </c>
      <c r="L602" s="15" t="str">
        <f>IF(OR(COUNTIF(クラス!$A$1:$A$1035, $B602),$B602="",COUNTIF(スキル一覧!$A$1:$A$3500, $B602)), "", "存在しない")</f>
        <v/>
      </c>
      <c r="M602" s="2" t="str">
        <f>IF(COUNTIF($B$1:$C601, $B602), "", "存在しない")</f>
        <v/>
      </c>
      <c r="N602" s="2" t="s">
        <v>1196</v>
      </c>
    </row>
    <row r="603" spans="1:14" hidden="1" outlineLevel="1" x14ac:dyDescent="0.4">
      <c r="A603" s="2">
        <v>3</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idden="1" outlineLevel="1" x14ac:dyDescent="0.4">
      <c r="A604" s="2">
        <v>4</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5</v>
      </c>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1196</v>
      </c>
    </row>
    <row r="606" spans="1:14" hidden="1" outlineLevel="1" x14ac:dyDescent="0.4">
      <c r="A606" s="2">
        <v>6</v>
      </c>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idden="1" outlineLevel="1" x14ac:dyDescent="0.4">
      <c r="A607" s="2">
        <v>7</v>
      </c>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1196</v>
      </c>
    </row>
    <row r="608" spans="1:14" hidden="1" outlineLevel="1" x14ac:dyDescent="0.4">
      <c r="A608" s="2">
        <v>8</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idden="1" outlineLevel="1" x14ac:dyDescent="0.4">
      <c r="A610" s="2">
        <v>10</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1196</v>
      </c>
    </row>
    <row r="611" spans="1:14" hidden="1" outlineLevel="1" x14ac:dyDescent="0.4">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collapsed="1" x14ac:dyDescent="0.4">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x14ac:dyDescent="0.4">
      <c r="B613" s="2" t="s">
        <v>200</v>
      </c>
      <c r="J613" s="6" t="str">
        <f>IFERROR(_xlfn.LET(_xlpm.v,
VLOOKUP($I613,効果!$A:$B,COLUMN(効果!B$1),FALSE),
IF(_xlpm.v=0,"",_xlpm.v)
),"")</f>
        <v/>
      </c>
      <c r="L613" s="15" t="str">
        <f>IF(OR(COUNTIF(クラス!$A$1:$A$1035, $B613),$B613="",COUNTIF(スキル一覧!$A$1:$A$3500, $B613)), "", "存在しない")</f>
        <v/>
      </c>
      <c r="M613" s="2" t="str">
        <f>IF(COUNTIF($B$1:$C612, $B613), "", "存在しない")</f>
        <v>存在しない</v>
      </c>
      <c r="N613" s="2" t="s">
        <v>1196</v>
      </c>
    </row>
    <row r="614" spans="1:14" hidden="1" outlineLevel="1" x14ac:dyDescent="0.4">
      <c r="A614" s="2">
        <v>1</v>
      </c>
      <c r="B614" s="2" t="s">
        <v>282</v>
      </c>
      <c r="J614" s="6" t="str">
        <f>IFERROR(_xlfn.LET(_xlpm.v,
VLOOKUP($I614,効果!$A:$B,COLUMN(効果!B$1),FALSE),
IF(_xlpm.v=0,"",_xlpm.v)
),"")</f>
        <v/>
      </c>
      <c r="L614" s="15" t="str">
        <f>IF(OR(COUNTIF(クラス!$A$1:$A$1035, $B614),$B614="",COUNTIF(スキル一覧!$A$1:$A$3500, $B614)), "", "存在しない")</f>
        <v/>
      </c>
      <c r="M614" s="2" t="str">
        <f>IF(COUNTIF($B$1:$C613, $B614), "", "存在しない")</f>
        <v/>
      </c>
      <c r="N614" s="2" t="s">
        <v>1196</v>
      </c>
    </row>
    <row r="615" spans="1:14" hidden="1" outlineLevel="1" x14ac:dyDescent="0.4">
      <c r="A615" s="2">
        <v>2</v>
      </c>
      <c r="B615" s="2" t="s">
        <v>283</v>
      </c>
      <c r="J615" s="6" t="str">
        <f>IFERROR(_xlfn.LET(_xlpm.v,
VLOOKUP($I615,効果!$A:$B,COLUMN(効果!B$1),FALSE),
IF(_xlpm.v=0,"",_xlpm.v)
),"")</f>
        <v/>
      </c>
      <c r="L615" s="15" t="str">
        <f>IF(OR(COUNTIF(クラス!$A$1:$A$1035, $B615),$B615="",COUNTIF(スキル一覧!$A$1:$A$3500, $B615)), "", "存在しない")</f>
        <v/>
      </c>
      <c r="M615" s="2" t="str">
        <f>IF(COUNTIF($B$1:$C614, $B615), "", "存在しない")</f>
        <v/>
      </c>
      <c r="N615" s="2" t="s">
        <v>1196</v>
      </c>
    </row>
    <row r="616" spans="1:14" hidden="1" outlineLevel="1" x14ac:dyDescent="0.4">
      <c r="A616" s="2">
        <v>3</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idden="1" outlineLevel="1" x14ac:dyDescent="0.4">
      <c r="A617" s="2">
        <v>4</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5</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1196</v>
      </c>
    </row>
    <row r="619" spans="1:14" hidden="1" outlineLevel="1" x14ac:dyDescent="0.4">
      <c r="A619" s="2">
        <v>6</v>
      </c>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idden="1" outlineLevel="1" x14ac:dyDescent="0.4">
      <c r="A620" s="2">
        <v>7</v>
      </c>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1196</v>
      </c>
    </row>
    <row r="621" spans="1:14" hidden="1" outlineLevel="1" x14ac:dyDescent="0.4">
      <c r="A621" s="2">
        <v>8</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idden="1" outlineLevel="1" x14ac:dyDescent="0.4">
      <c r="A623" s="2">
        <v>10</v>
      </c>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1196</v>
      </c>
    </row>
    <row r="624" spans="1:14" hidden="1" outlineLevel="1"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collapsed="1"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x14ac:dyDescent="0.4">
      <c r="B626" s="2" t="s">
        <v>202</v>
      </c>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1196</v>
      </c>
    </row>
    <row r="627" spans="1:14" hidden="1" outlineLevel="1" x14ac:dyDescent="0.4">
      <c r="A627" s="2">
        <v>1</v>
      </c>
      <c r="B627" s="2" t="s">
        <v>283</v>
      </c>
      <c r="J627" s="6" t="str">
        <f>IFERROR(_xlfn.LET(_xlpm.v,
VLOOKUP($I627,効果!$A:$B,COLUMN(効果!B$1),FALSE),
IF(_xlpm.v=0,"",_xlpm.v)
),"")</f>
        <v/>
      </c>
      <c r="L627" s="15" t="str">
        <f>IF(OR(COUNTIF(クラス!$A$1:$A$1035, $B627),$B627="",COUNTIF(スキル一覧!$A$1:$A$3500, $B627)), "", "存在しない")</f>
        <v/>
      </c>
      <c r="M627" s="2" t="str">
        <f>IF(COUNTIF($B$1:$C626, $B627), "", "存在しない")</f>
        <v/>
      </c>
      <c r="N627" s="2" t="s">
        <v>1196</v>
      </c>
    </row>
    <row r="628" spans="1:14" hidden="1" outlineLevel="1" x14ac:dyDescent="0.4">
      <c r="A628" s="2">
        <v>2</v>
      </c>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hidden="1" outlineLevel="1" x14ac:dyDescent="0.4">
      <c r="A629" s="2">
        <v>3</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idden="1" outlineLevel="1" x14ac:dyDescent="0.4">
      <c r="A630" s="2">
        <v>4</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5</v>
      </c>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1196</v>
      </c>
    </row>
    <row r="632" spans="1:14" hidden="1" outlineLevel="1" x14ac:dyDescent="0.4">
      <c r="A632" s="2">
        <v>6</v>
      </c>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7</v>
      </c>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1196</v>
      </c>
    </row>
    <row r="634" spans="1:14" hidden="1" outlineLevel="1" x14ac:dyDescent="0.4">
      <c r="A634" s="2">
        <v>8</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idden="1" outlineLevel="1" x14ac:dyDescent="0.4">
      <c r="A636" s="2">
        <v>10</v>
      </c>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1196</v>
      </c>
    </row>
    <row r="637" spans="1:14" hidden="1" outlineLevel="1"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collapsed="1"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1196</v>
      </c>
    </row>
    <row r="640" spans="1:14" ht="18.75" x14ac:dyDescent="0.4">
      <c r="B640" t="s">
        <v>811</v>
      </c>
      <c r="D640" s="7" t="s">
        <v>817</v>
      </c>
      <c r="E640" s="13" t="s">
        <v>818</v>
      </c>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1196</v>
      </c>
    </row>
    <row r="641" spans="1:14" hidden="1" outlineLevel="1" x14ac:dyDescent="0.4">
      <c r="A641" s="2">
        <v>1</v>
      </c>
      <c r="B641" s="2" t="str">
        <f>D640&amp;"の適用"</f>
        <v>炎の適用</v>
      </c>
      <c r="D641" s="7"/>
      <c r="E641" s="13" t="s">
        <v>469</v>
      </c>
      <c r="H641" s="10" t="str">
        <f>D640&amp;"耐性+30"</f>
        <v>炎耐性+30</v>
      </c>
      <c r="J641" s="6" t="str">
        <f>IFERROR(_xlfn.LET(_xlpm.v,
VLOOKUP($I641,効果!$A:$B,COLUMN(効果!B$1),FALSE),
IF(_xlpm.v=0,"",_xlpm.v)
),"")</f>
        <v/>
      </c>
      <c r="L641" s="15" t="str">
        <f>IF(OR(COUNTIF(クラス!$A$1:$A$1035, $B641),$B641="",COUNTIF(スキル一覧!$A$1:$A$3500, $B641)), "", "存在しない")</f>
        <v>存在しない</v>
      </c>
      <c r="M641" s="2" t="str">
        <f>IF(COUNTIF($B$1:$C640, $B641), "", "存在しない")</f>
        <v>存在しない</v>
      </c>
      <c r="N641" s="2" t="e">
        <v>#VALUE!</v>
      </c>
    </row>
    <row r="642" spans="1:14" hidden="1" outlineLevel="1" x14ac:dyDescent="0.4">
      <c r="A642" s="2">
        <v>2</v>
      </c>
      <c r="D642" s="7"/>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36" hidden="1" outlineLevel="1" x14ac:dyDescent="0.4">
      <c r="A643" s="2">
        <v>3</v>
      </c>
      <c r="B643" s="2" t="str">
        <f>D640&amp;"の体"</f>
        <v>炎の体</v>
      </c>
      <c r="D643" s="7"/>
      <c r="E643" s="13" t="s">
        <v>732</v>
      </c>
      <c r="F643" s="14">
        <v>5</v>
      </c>
      <c r="G643" s="19">
        <v>20</v>
      </c>
      <c r="H643" s="10" t="str">
        <f>"効果時間6t 攻撃手段:肉体 "&amp;D640&amp;"+15 判定:攻撃"</f>
        <v>効果時間6t 攻撃手段:肉体 炎+15 判定:攻撃</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4</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1196</v>
      </c>
    </row>
    <row r="645" spans="1:14" hidden="1" outlineLevel="1" x14ac:dyDescent="0.4">
      <c r="A645" s="2">
        <v>5</v>
      </c>
      <c r="D645" s="7"/>
      <c r="E645" s="13" t="s">
        <v>469</v>
      </c>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6</v>
      </c>
      <c r="B646" s="2" t="str">
        <f>E640&amp;"突撃"</f>
        <v>火炎突撃</v>
      </c>
      <c r="D646" s="7" t="str">
        <f>D640</f>
        <v>炎</v>
      </c>
      <c r="E646" s="13" t="s">
        <v>732</v>
      </c>
      <c r="F646" s="14">
        <v>5</v>
      </c>
      <c r="G646" s="19">
        <v>60</v>
      </c>
      <c r="H646" s="10" t="str">
        <f>"攻撃手段:肉体 打撃+15 "&amp;D640&amp;"+20 追加威力:速度 判定:攻撃 溜め:1t CT:5t"</f>
        <v>攻撃手段:肉体 打撃+15 炎+20 追加威力:速度 判定:攻撃 溜め:1t CT:5t</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7</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8</v>
      </c>
      <c r="D648" s="7"/>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idden="1" outlineLevel="1" x14ac:dyDescent="0.4">
      <c r="A649" s="2">
        <v>9</v>
      </c>
      <c r="B649" s="2" t="str">
        <f>D640&amp;"強化"</f>
        <v>炎強化</v>
      </c>
      <c r="D649" s="7"/>
      <c r="E649" s="13" t="s">
        <v>469</v>
      </c>
      <c r="H649" s="10" t="str">
        <f>"条件系統:"&amp;D640&amp;" 全威力+10"</f>
        <v>条件系統:炎 全威力+10</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10</v>
      </c>
      <c r="B650" s="2" t="str">
        <f>D640&amp;"の唾"</f>
        <v>炎の唾</v>
      </c>
      <c r="D650" s="7" t="str">
        <f>D640</f>
        <v>炎</v>
      </c>
      <c r="E650" s="13" t="s">
        <v>732</v>
      </c>
      <c r="G650" s="19">
        <v>25</v>
      </c>
      <c r="H650" s="10" t="str">
        <f>"攻撃手段:吐息 "&amp;D640&amp;"+30 射程:20 判定:Lv"</f>
        <v>攻撃手段:吐息 炎+30 射程:20 判定:Lv</v>
      </c>
      <c r="J650" s="6" t="str">
        <f>IFERROR(_xlfn.LET(_xlpm.v,
VLOOKUP($I650,効果!$A:$B,COLUMN(効果!B$1),FALSE),
IF(_xlpm.v=0,"",_xlpm.v)
),"")</f>
        <v/>
      </c>
      <c r="L650" s="15" t="str">
        <f>IF(OR(COUNTIF(クラス!$A$1:$A$1035, $B650),$B650="",COUNTIF(スキル一覧!$A$1:$A$3500, $B650)), "", "存在しない")</f>
        <v>存在しない</v>
      </c>
      <c r="M650" s="2" t="str">
        <f>IF(COUNTIF($B$1:$C649, $B650), "", "存在しない")</f>
        <v>存在しない</v>
      </c>
      <c r="N650" s="2" t="e">
        <v>#VALUE!</v>
      </c>
    </row>
    <row r="651" spans="1:14" hidden="1" outlineLevel="1"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collapsed="1"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1196</v>
      </c>
    </row>
    <row r="653" spans="1:14" ht="18.75" x14ac:dyDescent="0.4">
      <c r="B653" t="s">
        <v>812</v>
      </c>
      <c r="D653" s="2" t="s">
        <v>820</v>
      </c>
      <c r="E653" s="13" t="s">
        <v>821</v>
      </c>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1196</v>
      </c>
    </row>
    <row r="654" spans="1:14" hidden="1" outlineLevel="1" x14ac:dyDescent="0.4">
      <c r="A654" s="2">
        <v>1</v>
      </c>
      <c r="B654" s="2" t="str">
        <f>D653&amp;"の適用"</f>
        <v>氷の適用</v>
      </c>
      <c r="D654" s="7"/>
      <c r="E654" s="13" t="s">
        <v>469</v>
      </c>
      <c r="H654" s="10" t="str">
        <f>D653&amp;"耐性+30"</f>
        <v>氷耐性+30</v>
      </c>
      <c r="J654" s="6" t="str">
        <f>IFERROR(_xlfn.LET(_xlpm.v,
VLOOKUP($I654,効果!$A:$B,COLUMN(効果!B$1),FALSE),
IF(_xlpm.v=0,"",_xlpm.v)
),"")</f>
        <v/>
      </c>
      <c r="L654" s="15" t="str">
        <f>IF(OR(COUNTIF(クラス!$A$1:$A$1035, $B654),$B654="",COUNTIF(スキル一覧!$A$1:$A$3500, $B654)), "", "存在しない")</f>
        <v>存在しない</v>
      </c>
      <c r="M654" s="2" t="str">
        <f>IF(COUNTIF($B$1:$C653, $B654), "", "存在しない")</f>
        <v>存在しない</v>
      </c>
      <c r="N654" s="2" t="e">
        <v>#VALUE!</v>
      </c>
    </row>
    <row r="655" spans="1:14" hidden="1" outlineLevel="1" x14ac:dyDescent="0.4">
      <c r="A655" s="2">
        <v>2</v>
      </c>
      <c r="D655" s="7"/>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36" hidden="1" outlineLevel="1" x14ac:dyDescent="0.4">
      <c r="A656" s="2">
        <v>3</v>
      </c>
      <c r="B656" s="2" t="str">
        <f>D653&amp;"の体"</f>
        <v>氷の体</v>
      </c>
      <c r="D656" s="7"/>
      <c r="E656" s="13" t="s">
        <v>732</v>
      </c>
      <c r="F656" s="14">
        <v>5</v>
      </c>
      <c r="G656" s="19">
        <v>20</v>
      </c>
      <c r="H656" s="10" t="str">
        <f>"効果時間6t 攻撃手段:肉体 "&amp;D653&amp;"+15 判定:攻撃"</f>
        <v>効果時間6t 攻撃手段:肉体 氷+15 判定:攻撃</v>
      </c>
      <c r="J656" s="6" t="str">
        <f>IFERROR(_xlfn.LET(_xlpm.v,
VLOOKUP($I656,効果!$A:$B,COLUMN(効果!B$1),FALSE),
IF(_xlpm.v=0,"",_xlpm.v)
),"")</f>
        <v/>
      </c>
      <c r="L656" s="15" t="str">
        <f>IF(OR(COUNTIF(クラス!$A$1:$A$1035, $B656),$B656="",COUNTIF(スキル一覧!$A$1:$A$3500, $B656)), "", "存在しない")</f>
        <v>存在しない</v>
      </c>
      <c r="M656" s="2" t="str">
        <f>IF(COUNTIF($B$1:$C655, $B656), "", "存在しない")</f>
        <v>存在しない</v>
      </c>
      <c r="N656" s="2" t="e">
        <v>#VALUE!</v>
      </c>
    </row>
    <row r="657" spans="1:14" hidden="1" outlineLevel="1" x14ac:dyDescent="0.4">
      <c r="A657" s="2">
        <v>4</v>
      </c>
      <c r="D657" s="7"/>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1196</v>
      </c>
    </row>
    <row r="658" spans="1:14" hidden="1" outlineLevel="1" x14ac:dyDescent="0.4">
      <c r="A658" s="2">
        <v>5</v>
      </c>
      <c r="D658" s="7"/>
      <c r="E658" s="13" t="s">
        <v>469</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6</v>
      </c>
      <c r="B659" s="2" t="str">
        <f>E653&amp;"突撃"</f>
        <v>氷結突撃</v>
      </c>
      <c r="D659" s="7" t="str">
        <f>D653</f>
        <v>氷</v>
      </c>
      <c r="E659" s="13" t="s">
        <v>732</v>
      </c>
      <c r="F659" s="14">
        <v>5</v>
      </c>
      <c r="G659" s="19">
        <v>60</v>
      </c>
      <c r="H659" s="10" t="str">
        <f>"攻撃手段:肉体 打撃+15 "&amp;D653&amp;"+20 追加威力:速度 判定:攻撃 溜め:1t CT:5t"</f>
        <v>攻撃手段:肉体 打撃+15 氷+20 追加威力:速度 判定:攻撃 溜め:1t CT:5t</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7</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8</v>
      </c>
      <c r="D661" s="7"/>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idden="1" outlineLevel="1" x14ac:dyDescent="0.4">
      <c r="A662" s="2">
        <v>9</v>
      </c>
      <c r="B662" s="2" t="str">
        <f>D653&amp;"強化"</f>
        <v>氷強化</v>
      </c>
      <c r="D662" s="7"/>
      <c r="E662" s="13" t="s">
        <v>469</v>
      </c>
      <c r="H662" s="10" t="str">
        <f>"条件系統:"&amp;D653&amp;" 全威力+10"</f>
        <v>条件系統:氷 全威力+10</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10</v>
      </c>
      <c r="B663" s="2" t="str">
        <f>D653&amp;"の唾"</f>
        <v>氷の唾</v>
      </c>
      <c r="D663" s="7" t="str">
        <f>D653</f>
        <v>氷</v>
      </c>
      <c r="E663" s="13" t="s">
        <v>732</v>
      </c>
      <c r="G663" s="19">
        <v>25</v>
      </c>
      <c r="H663" s="10" t="str">
        <f>"攻撃手段:吐息 "&amp;D653&amp;"+30 射程:20 判定:Lv"</f>
        <v>攻撃手段:吐息 氷+30 射程:20 判定:Lv</v>
      </c>
      <c r="J663" s="6" t="str">
        <f>IFERROR(_xlfn.LET(_xlpm.v,
VLOOKUP($I663,効果!$A:$B,COLUMN(効果!B$1),FALSE),
IF(_xlpm.v=0,"",_xlpm.v)
),"")</f>
        <v/>
      </c>
      <c r="L663" s="15" t="str">
        <f>IF(OR(COUNTIF(クラス!$A$1:$A$1035, $B663),$B663="",COUNTIF(スキル一覧!$A$1:$A$3500, $B663)), "", "存在しない")</f>
        <v>存在しない</v>
      </c>
      <c r="M663" s="2" t="str">
        <f>IF(COUNTIF($B$1:$C662, $B663), "", "存在しない")</f>
        <v>存在しない</v>
      </c>
      <c r="N663" s="2" t="e">
        <v>#VALUE!</v>
      </c>
    </row>
    <row r="664" spans="1:14" hidden="1" outlineLevel="1"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collapsed="1"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1196</v>
      </c>
    </row>
    <row r="666" spans="1:14" ht="18.75" x14ac:dyDescent="0.4">
      <c r="B666" t="s">
        <v>813</v>
      </c>
      <c r="D666" s="2" t="s">
        <v>840</v>
      </c>
      <c r="E666" s="13" t="s">
        <v>851</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1196</v>
      </c>
    </row>
    <row r="667" spans="1:14" hidden="1" outlineLevel="1" x14ac:dyDescent="0.4">
      <c r="A667" s="2">
        <v>1</v>
      </c>
      <c r="B667" s="2" t="s">
        <v>835</v>
      </c>
      <c r="D667" s="7"/>
      <c r="E667" s="13" t="s">
        <v>469</v>
      </c>
      <c r="H667" s="10" t="s">
        <v>839</v>
      </c>
      <c r="J667" s="6" t="str">
        <f>IFERROR(_xlfn.LET(_xlpm.v,
VLOOKUP($I667,効果!$A:$B,COLUMN(効果!B$1),FALSE),
IF(_xlpm.v=0,"",_xlpm.v)
),"")</f>
        <v/>
      </c>
      <c r="L667" s="15" t="str">
        <f>IF(OR(COUNTIF(クラス!$A$1:$A$1035, $B667),$B667="",COUNTIF(スキル一覧!$A$1:$A$3500, $B667)), "", "存在しない")</f>
        <v>存在しない</v>
      </c>
      <c r="M667" s="2" t="str">
        <f>IF(COUNTIF($B$1:$C666, $B667), "", "存在しない")</f>
        <v>存在しない</v>
      </c>
      <c r="N667" s="2" t="e">
        <v>#VALUE!</v>
      </c>
    </row>
    <row r="668" spans="1:14" hidden="1" outlineLevel="1" x14ac:dyDescent="0.4">
      <c r="A668" s="2">
        <v>2</v>
      </c>
      <c r="D668" s="7"/>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idden="1" outlineLevel="1" x14ac:dyDescent="0.4">
      <c r="A669" s="2">
        <v>3</v>
      </c>
      <c r="B669" s="2" t="s">
        <v>836</v>
      </c>
      <c r="D669" s="7"/>
      <c r="E669" s="13" t="s">
        <v>732</v>
      </c>
      <c r="F669" s="14">
        <v>5</v>
      </c>
      <c r="G669" s="19">
        <v>20</v>
      </c>
      <c r="H669" s="10" t="s">
        <v>843</v>
      </c>
      <c r="I669" s="6" t="s">
        <v>277</v>
      </c>
      <c r="J669" s="6" t="str">
        <f>IFERROR(_xlfn.LET(_xlpm.v,
VLOOKUP($I669,効果!$A:$B,COLUMN(効果!B$1),FALSE),
IF(_xlpm.v=0,"",_xlpm.v)
),"")</f>
        <v>地形効果を無視する</v>
      </c>
      <c r="L669" s="15" t="str">
        <f>IF(OR(COUNTIF(クラス!$A$1:$A$1035, $B669),$B669="",COUNTIF(スキル一覧!$A$1:$A$3500, $B669)), "", "存在しない")</f>
        <v>存在しない</v>
      </c>
      <c r="M669" s="2" t="str">
        <f>IF(COUNTIF($B$1:$C668, $B669), "", "存在しない")</f>
        <v>存在しない</v>
      </c>
      <c r="N669" s="2" t="e">
        <v>#VALUE!</v>
      </c>
    </row>
    <row r="670" spans="1:14" hidden="1" outlineLevel="1" x14ac:dyDescent="0.4">
      <c r="A670" s="2">
        <v>4</v>
      </c>
      <c r="D670" s="7"/>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1196</v>
      </c>
    </row>
    <row r="671" spans="1:14" hidden="1" outlineLevel="1" x14ac:dyDescent="0.4">
      <c r="A671" s="2">
        <v>5</v>
      </c>
      <c r="D671" s="7"/>
      <c r="E671" s="13" t="s">
        <v>469</v>
      </c>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6</v>
      </c>
      <c r="B672" s="2" t="s">
        <v>852</v>
      </c>
      <c r="D672" s="7" t="s">
        <v>834</v>
      </c>
      <c r="E672" s="13" t="s">
        <v>732</v>
      </c>
      <c r="F672" s="14">
        <v>5</v>
      </c>
      <c r="G672" s="19">
        <v>60</v>
      </c>
      <c r="H672" s="10" t="s">
        <v>841</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7</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8</v>
      </c>
      <c r="D674" s="7"/>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idden="1" outlineLevel="1" x14ac:dyDescent="0.4">
      <c r="A675" s="2">
        <v>9</v>
      </c>
      <c r="B675" s="2" t="s">
        <v>837</v>
      </c>
      <c r="D675" s="7"/>
      <c r="E675" s="13" t="s">
        <v>469</v>
      </c>
      <c r="H675" s="10" t="str">
        <f>"条件系統:"&amp;"風"&amp;" 全威力+10"</f>
        <v>条件系統:風 全威力+10</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存在しない</v>
      </c>
      <c r="N675" s="2" t="e">
        <v>#VALUE!</v>
      </c>
    </row>
    <row r="676" spans="1:14" ht="36" hidden="1" outlineLevel="1" x14ac:dyDescent="0.4">
      <c r="A676" s="2">
        <v>10</v>
      </c>
      <c r="B676" s="2" t="s">
        <v>838</v>
      </c>
      <c r="D676" s="7" t="s">
        <v>834</v>
      </c>
      <c r="E676" s="13" t="s">
        <v>732</v>
      </c>
      <c r="G676" s="19">
        <v>25</v>
      </c>
      <c r="H676" s="10" t="str">
        <f>"攻撃手段:吐息 "&amp;D666&amp;"+30 射程:20 判定:Lv"</f>
        <v>攻撃手段:吐息 怯み+30 射程:20 判定:Lv</v>
      </c>
      <c r="I676" s="6" t="s">
        <v>419</v>
      </c>
      <c r="J676" s="6" t="str">
        <f>IFERROR(_xlfn.LET(_xlpm.v,
VLOOKUP($I676,効果!$A:$B,COLUMN(効果!B$1),FALSE),
IF(_xlpm.v=0,"",_xlpm.v)
),"")</f>
        <v>対象を後方へ移動させる</v>
      </c>
      <c r="L676" s="15" t="str">
        <f>IF(OR(COUNTIF(クラス!$A$1:$A$1035, $B676),$B676="",COUNTIF(スキル一覧!$A$1:$A$3500, $B676)), "", "存在しない")</f>
        <v>存在しない</v>
      </c>
      <c r="M676" s="2" t="str">
        <f>IF(COUNTIF($B$1:$C675, $B676), "", "存在しない")</f>
        <v>存在しない</v>
      </c>
      <c r="N676" s="2" t="e">
        <v>#VALUE!</v>
      </c>
    </row>
    <row r="677" spans="1:14" hidden="1" outlineLevel="1"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collapsed="1"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1196</v>
      </c>
    </row>
    <row r="679" spans="1:14" ht="18.75" x14ac:dyDescent="0.4">
      <c r="B679" t="s">
        <v>814</v>
      </c>
      <c r="D679" s="2" t="s">
        <v>822</v>
      </c>
      <c r="E679" s="13" t="s">
        <v>823</v>
      </c>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1196</v>
      </c>
    </row>
    <row r="680" spans="1:14" hidden="1" outlineLevel="1" x14ac:dyDescent="0.4">
      <c r="A680" s="2">
        <v>1</v>
      </c>
      <c r="B680" s="2" t="str">
        <f>D679&amp;"の適用"</f>
        <v>雷の適用</v>
      </c>
      <c r="D680" s="7"/>
      <c r="E680" s="13" t="s">
        <v>469</v>
      </c>
      <c r="H680" s="10" t="str">
        <f>D679&amp;"耐性+30"</f>
        <v>雷耐性+30</v>
      </c>
      <c r="J680" s="6" t="str">
        <f>IFERROR(_xlfn.LET(_xlpm.v,
VLOOKUP($I680,効果!$A:$B,COLUMN(効果!B$1),FALSE),
IF(_xlpm.v=0,"",_xlpm.v)
),"")</f>
        <v/>
      </c>
      <c r="L680" s="15" t="str">
        <f>IF(OR(COUNTIF(クラス!$A$1:$A$1035, $B680),$B680="",COUNTIF(スキル一覧!$A$1:$A$3500, $B680)), "", "存在しない")</f>
        <v>存在しない</v>
      </c>
      <c r="M680" s="2" t="str">
        <f>IF(COUNTIF($B$1:$C679, $B680), "", "存在しない")</f>
        <v>存在しない</v>
      </c>
      <c r="N680" s="2" t="e">
        <v>#VALUE!</v>
      </c>
    </row>
    <row r="681" spans="1:14" hidden="1" outlineLevel="1" x14ac:dyDescent="0.4">
      <c r="A681" s="2">
        <v>2</v>
      </c>
      <c r="D681" s="7"/>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ht="36" hidden="1" outlineLevel="1" x14ac:dyDescent="0.4">
      <c r="A682" s="2">
        <v>3</v>
      </c>
      <c r="B682" s="2" t="str">
        <f>D679&amp;"の体"</f>
        <v>雷の体</v>
      </c>
      <c r="D682" s="7"/>
      <c r="E682" s="13" t="s">
        <v>732</v>
      </c>
      <c r="F682" s="14">
        <v>5</v>
      </c>
      <c r="G682" s="19">
        <v>20</v>
      </c>
      <c r="H682" s="10" t="str">
        <f>"効果時間6t 攻撃手段:肉体 "&amp;D679&amp;"+15 判定:攻撃"</f>
        <v>効果時間6t 攻撃手段:肉体 雷+15 判定:攻撃</v>
      </c>
      <c r="J682" s="6" t="str">
        <f>IFERROR(_xlfn.LET(_xlpm.v,
VLOOKUP($I682,効果!$A:$B,COLUMN(効果!B$1),FALSE),
IF(_xlpm.v=0,"",_xlpm.v)
),"")</f>
        <v/>
      </c>
      <c r="L682" s="15" t="str">
        <f>IF(OR(COUNTIF(クラス!$A$1:$A$1035, $B682),$B682="",COUNTIF(スキル一覧!$A$1:$A$3500, $B682)), "", "存在しない")</f>
        <v>存在しない</v>
      </c>
      <c r="M682" s="2" t="str">
        <f>IF(COUNTIF($B$1:$C681, $B682), "", "存在しない")</f>
        <v>存在しない</v>
      </c>
      <c r="N682" s="2" t="e">
        <v>#VALUE!</v>
      </c>
    </row>
    <row r="683" spans="1:14" hidden="1" outlineLevel="1" x14ac:dyDescent="0.4">
      <c r="A683" s="2">
        <v>4</v>
      </c>
      <c r="D683" s="7"/>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5</v>
      </c>
      <c r="D684" s="7"/>
      <c r="E684" s="13" t="s">
        <v>469</v>
      </c>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1196</v>
      </c>
    </row>
    <row r="685" spans="1:14" ht="36" hidden="1" outlineLevel="1" x14ac:dyDescent="0.4">
      <c r="A685" s="2">
        <v>6</v>
      </c>
      <c r="B685" s="2" t="str">
        <f>E679&amp;"突撃"</f>
        <v>電撃突撃</v>
      </c>
      <c r="D685" s="7" t="str">
        <f>D679</f>
        <v>雷</v>
      </c>
      <c r="E685" s="13" t="s">
        <v>732</v>
      </c>
      <c r="F685" s="14">
        <v>5</v>
      </c>
      <c r="G685" s="19">
        <v>60</v>
      </c>
      <c r="H685" s="10" t="str">
        <f>"攻撃手段:肉体 打撃+15 "&amp;D679&amp;"+20 追加威力:速度 判定:攻撃 溜め:1t CT:5t"</f>
        <v>攻撃手段:肉体 打撃+15 雷+20 追加威力:速度 判定:攻撃 溜め:1t CT:5t</v>
      </c>
      <c r="J685" s="6" t="str">
        <f>IFERROR(_xlfn.LET(_xlpm.v,
VLOOKUP($I685,効果!$A:$B,COLUMN(効果!B$1),FALSE),
IF(_xlpm.v=0,"",_xlpm.v)
),"")</f>
        <v/>
      </c>
      <c r="L685" s="15" t="str">
        <f>IF(OR(COUNTIF(クラス!$A$1:$A$1035, $B685),$B685="",COUNTIF(スキル一覧!$A$1:$A$3500, $B685)), "", "存在しない")</f>
        <v>存在しない</v>
      </c>
      <c r="M685" s="2" t="str">
        <f>IF(COUNTIF($B$1:$C684, $B685), "", "存在しない")</f>
        <v>存在しない</v>
      </c>
      <c r="N685" s="2" t="e">
        <v>#VALUE!</v>
      </c>
    </row>
    <row r="686" spans="1:14" hidden="1" outlineLevel="1" x14ac:dyDescent="0.4">
      <c r="A686" s="2">
        <v>7</v>
      </c>
      <c r="D686" s="7"/>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1196</v>
      </c>
    </row>
    <row r="687" spans="1:14" hidden="1" outlineLevel="1" x14ac:dyDescent="0.4">
      <c r="A687" s="2">
        <v>8</v>
      </c>
      <c r="D687" s="7"/>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9</v>
      </c>
      <c r="B688" s="2" t="str">
        <f>D679&amp;"強化"</f>
        <v>雷強化</v>
      </c>
      <c r="D688" s="7"/>
      <c r="E688" s="13" t="s">
        <v>469</v>
      </c>
      <c r="H688" s="10" t="str">
        <f>"条件系統:"&amp;D679&amp;" 全威力+10"</f>
        <v>条件系統:雷 全威力+10</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10</v>
      </c>
      <c r="B689" s="2" t="str">
        <f>D679&amp;"の唾"</f>
        <v>雷の唾</v>
      </c>
      <c r="D689" s="7" t="str">
        <f>D679</f>
        <v>雷</v>
      </c>
      <c r="E689" s="13" t="s">
        <v>732</v>
      </c>
      <c r="G689" s="19">
        <v>25</v>
      </c>
      <c r="H689" s="10" t="str">
        <f>"攻撃手段:吐息 "&amp;D679&amp;"+30 射程:20 判定:Lv"</f>
        <v>攻撃手段:吐息 雷+30 射程:20 判定:Lv</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存在しない</v>
      </c>
      <c r="N689" s="2" t="e">
        <v>#VALUE!</v>
      </c>
    </row>
    <row r="690" spans="1:14" hidden="1" outlineLevel="1"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collapsed="1"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1196</v>
      </c>
    </row>
    <row r="692" spans="1:14" ht="18.75" x14ac:dyDescent="0.4">
      <c r="B692" t="s">
        <v>815</v>
      </c>
      <c r="D692" s="2" t="s">
        <v>824</v>
      </c>
      <c r="E692" s="13" t="s">
        <v>825</v>
      </c>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1196</v>
      </c>
    </row>
    <row r="693" spans="1:14" hidden="1" outlineLevel="1" x14ac:dyDescent="0.4">
      <c r="A693" s="2">
        <v>1</v>
      </c>
      <c r="B693" s="2" t="str">
        <f>D692&amp;"の適用"</f>
        <v>毒の適用</v>
      </c>
      <c r="D693" s="7"/>
      <c r="E693" s="13" t="s">
        <v>469</v>
      </c>
      <c r="H693" s="10" t="str">
        <f>D692&amp;"耐性+30"</f>
        <v>毒耐性+30</v>
      </c>
      <c r="J693" s="6" t="str">
        <f>IFERROR(_xlfn.LET(_xlpm.v,
VLOOKUP($I693,効果!$A:$B,COLUMN(効果!B$1),FALSE),
IF(_xlpm.v=0,"",_xlpm.v)
),"")</f>
        <v/>
      </c>
      <c r="L693" s="15" t="str">
        <f>IF(OR(COUNTIF(クラス!$A$1:$A$1035, $B693),$B693="",COUNTIF(スキル一覧!$A$1:$A$3500, $B693)), "", "存在しない")</f>
        <v>存在しない</v>
      </c>
      <c r="M693" s="2" t="str">
        <f>IF(COUNTIF($B$1:$C692, $B693), "", "存在しない")</f>
        <v>存在しない</v>
      </c>
      <c r="N693" s="2" t="e">
        <v>#VALUE!</v>
      </c>
    </row>
    <row r="694" spans="1:14" hidden="1" outlineLevel="1" x14ac:dyDescent="0.4">
      <c r="A694" s="2">
        <v>2</v>
      </c>
      <c r="D694" s="7"/>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ht="36" hidden="1" outlineLevel="1" x14ac:dyDescent="0.4">
      <c r="A695" s="2">
        <v>3</v>
      </c>
      <c r="B695" s="2" t="str">
        <f>D692&amp;"の体"</f>
        <v>毒の体</v>
      </c>
      <c r="D695" s="7"/>
      <c r="E695" s="13" t="s">
        <v>732</v>
      </c>
      <c r="F695" s="14">
        <v>5</v>
      </c>
      <c r="G695" s="19">
        <v>20</v>
      </c>
      <c r="H695" s="10" t="str">
        <f>"効果時間6t 攻撃手段:肉体 "&amp;D692&amp;"+15 判定:攻撃"</f>
        <v>効果時間6t 攻撃手段:肉体 毒+15 判定:攻撃</v>
      </c>
      <c r="J695" s="6" t="str">
        <f>IFERROR(_xlfn.LET(_xlpm.v,
VLOOKUP($I695,効果!$A:$B,COLUMN(効果!B$1),FALSE),
IF(_xlpm.v=0,"",_xlpm.v)
),"")</f>
        <v/>
      </c>
      <c r="L695" s="15" t="str">
        <f>IF(OR(COUNTIF(クラス!$A$1:$A$1035, $B695),$B695="",COUNTIF(スキル一覧!$A$1:$A$3500, $B695)), "", "存在しない")</f>
        <v>存在しない</v>
      </c>
      <c r="M695" s="2" t="str">
        <f>IF(COUNTIF($B$1:$C694, $B695), "", "存在しない")</f>
        <v>存在しない</v>
      </c>
      <c r="N695" s="2" t="e">
        <v>#VALUE!</v>
      </c>
    </row>
    <row r="696" spans="1:14" hidden="1" outlineLevel="1" x14ac:dyDescent="0.4">
      <c r="A696" s="2">
        <v>4</v>
      </c>
      <c r="D696" s="7"/>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hidden="1" outlineLevel="1" x14ac:dyDescent="0.4">
      <c r="A697" s="2">
        <v>5</v>
      </c>
      <c r="D697" s="7"/>
      <c r="E697" s="13" t="s">
        <v>469</v>
      </c>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ht="36" hidden="1" outlineLevel="1" x14ac:dyDescent="0.4">
      <c r="A698" s="2">
        <v>6</v>
      </c>
      <c r="B698" s="2" t="str">
        <f>E692&amp;"突撃"</f>
        <v>腐蝕突撃</v>
      </c>
      <c r="D698" s="7" t="str">
        <f>D692</f>
        <v>毒</v>
      </c>
      <c r="E698" s="13" t="s">
        <v>732</v>
      </c>
      <c r="F698" s="14">
        <v>5</v>
      </c>
      <c r="G698" s="19">
        <v>60</v>
      </c>
      <c r="H698" s="10" t="str">
        <f>"攻撃手段:肉体 打撃+15 "&amp;D692&amp;"+20 追加威力:速度 判定:攻撃 溜め:1t CT:5t"</f>
        <v>攻撃手段:肉体 打撃+15 毒+20 追加威力:速度 判定:攻撃 溜め:1t CT:5t</v>
      </c>
      <c r="J698" s="6" t="str">
        <f>IFERROR(_xlfn.LET(_xlpm.v,
VLOOKUP($I698,効果!$A:$B,COLUMN(効果!B$1),FALSE),
IF(_xlpm.v=0,"",_xlpm.v)
),"")</f>
        <v/>
      </c>
      <c r="L698" s="15" t="str">
        <f>IF(OR(COUNTIF(クラス!$A$1:$A$1035, $B698),$B698="",COUNTIF(スキル一覧!$A$1:$A$3500, $B698)), "", "存在しない")</f>
        <v>存在しない</v>
      </c>
      <c r="M698" s="2" t="str">
        <f>IF(COUNTIF($B$1:$C697, $B698), "", "存在しない")</f>
        <v>存在しない</v>
      </c>
      <c r="N698" s="2" t="e">
        <v>#VALUE!</v>
      </c>
    </row>
    <row r="699" spans="1:14" hidden="1" outlineLevel="1" x14ac:dyDescent="0.4">
      <c r="A699" s="2">
        <v>7</v>
      </c>
      <c r="D699" s="7"/>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hidden="1" outlineLevel="1" x14ac:dyDescent="0.4">
      <c r="A700" s="2">
        <v>8</v>
      </c>
      <c r="D700" s="7"/>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hidden="1" outlineLevel="1" x14ac:dyDescent="0.4">
      <c r="A701" s="2">
        <v>9</v>
      </c>
      <c r="B701" s="2" t="str">
        <f>D692&amp;"強化"</f>
        <v>毒強化</v>
      </c>
      <c r="D701" s="7"/>
      <c r="E701" s="13" t="s">
        <v>469</v>
      </c>
      <c r="H701" s="10" t="str">
        <f>"条件系統:"&amp;D692&amp;" 全威力+10"</f>
        <v>条件系統:毒 全威力+10</v>
      </c>
      <c r="J701" s="6" t="str">
        <f>IFERROR(_xlfn.LET(_xlpm.v,
VLOOKUP($I701,効果!$A:$B,COLUMN(効果!B$1),FALSE),
IF(_xlpm.v=0,"",_xlpm.v)
),"")</f>
        <v/>
      </c>
      <c r="L701" s="15" t="str">
        <f>IF(OR(COUNTIF(クラス!$A$1:$A$1035, $B701),$B701="",COUNTIF(スキル一覧!$A$1:$A$3500, $B701)), "", "存在しない")</f>
        <v>存在しない</v>
      </c>
      <c r="M701" s="2" t="str">
        <f>IF(COUNTIF($B$1:$C700, $B701), "", "存在しない")</f>
        <v>存在しない</v>
      </c>
      <c r="N701" s="2" t="e">
        <v>#VALUE!</v>
      </c>
    </row>
    <row r="702" spans="1:14" hidden="1" outlineLevel="1" x14ac:dyDescent="0.4">
      <c r="A702" s="2">
        <v>10</v>
      </c>
      <c r="B702" s="2" t="str">
        <f>D692&amp;"の唾"</f>
        <v>毒の唾</v>
      </c>
      <c r="D702" s="7" t="str">
        <f>D692</f>
        <v>毒</v>
      </c>
      <c r="E702" s="13" t="s">
        <v>732</v>
      </c>
      <c r="G702" s="19">
        <v>25</v>
      </c>
      <c r="H702" s="10" t="str">
        <f>"攻撃手段:吐息 "&amp;D692&amp;"+30 射程:20 判定:Lv"</f>
        <v>攻撃手段:吐息 毒+30 射程:20 判定:Lv</v>
      </c>
      <c r="J702" s="6" t="str">
        <f>IFERROR(_xlfn.LET(_xlpm.v,
VLOOKUP($I702,効果!$A:$B,COLUMN(効果!B$1),FALSE),
IF(_xlpm.v=0,"",_xlpm.v)
),"")</f>
        <v/>
      </c>
      <c r="L702" s="15" t="str">
        <f>IF(OR(COUNTIF(クラス!$A$1:$A$1035, $B702),$B702="",COUNTIF(スキル一覧!$A$1:$A$3500, $B702)), "", "存在しない")</f>
        <v>存在しない</v>
      </c>
      <c r="M702" s="2" t="str">
        <f>IF(COUNTIF($B$1:$C701, $B702), "", "存在しない")</f>
        <v>存在しない</v>
      </c>
      <c r="N702" s="2" t="e">
        <v>#VALUE!</v>
      </c>
    </row>
    <row r="703" spans="1:14" hidden="1" outlineLevel="1"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collapsed="1"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14" ht="18.75" x14ac:dyDescent="0.4">
      <c r="B705" t="s">
        <v>816</v>
      </c>
      <c r="D705" s="2" t="s">
        <v>850</v>
      </c>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14" hidden="1" outlineLevel="1" x14ac:dyDescent="0.4">
      <c r="A706" s="2">
        <v>1</v>
      </c>
      <c r="B706" s="2" t="s">
        <v>846</v>
      </c>
      <c r="D706" s="7"/>
      <c r="E706" s="13" t="s">
        <v>469</v>
      </c>
      <c r="H706" s="10" t="str">
        <f>D705&amp;"耐性+30"</f>
        <v>打撃耐性+30</v>
      </c>
      <c r="J706" s="6" t="str">
        <f>IFERROR(_xlfn.LET(_xlpm.v,
VLOOKUP($I706,効果!$A:$B,COLUMN(効果!B$1),FALSE),
IF(_xlpm.v=0,"",_xlpm.v)
),"")</f>
        <v/>
      </c>
      <c r="L706" s="15" t="str">
        <f>IF(OR(COUNTIF(クラス!$A$1:$A$1035, $B706),$B706="",COUNTIF(スキル一覧!$A$1:$A$3500, $B706)), "", "存在しない")</f>
        <v>存在しない</v>
      </c>
      <c r="M706" s="2" t="str">
        <f>IF(COUNTIF($B$1:$C705, $B706), "", "存在しない")</f>
        <v>存在しない</v>
      </c>
      <c r="N706" s="2" t="e">
        <v>#VALUE!</v>
      </c>
    </row>
    <row r="707" spans="1:14" hidden="1" outlineLevel="1" x14ac:dyDescent="0.4">
      <c r="A707" s="2">
        <v>2</v>
      </c>
      <c r="D707" s="7"/>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14" ht="36" hidden="1" outlineLevel="1" x14ac:dyDescent="0.4">
      <c r="A708" s="2">
        <v>3</v>
      </c>
      <c r="B708" s="2" t="s">
        <v>847</v>
      </c>
      <c r="D708" s="7"/>
      <c r="E708" s="13" t="s">
        <v>732</v>
      </c>
      <c r="F708" s="14">
        <v>5</v>
      </c>
      <c r="G708" s="19">
        <v>20</v>
      </c>
      <c r="H708" s="10" t="str">
        <f>"効果時間6t 攻撃手段:肉体 "&amp;D705&amp;"+15 判定:攻撃"</f>
        <v>効果時間6t 攻撃手段:肉体 打撃+15 判定:攻撃</v>
      </c>
      <c r="J708" s="6" t="str">
        <f>IFERROR(_xlfn.LET(_xlpm.v,
VLOOKUP($I708,効果!$A:$B,COLUMN(効果!B$1),FALSE),
IF(_xlpm.v=0,"",_xlpm.v)
),"")</f>
        <v/>
      </c>
      <c r="L708" s="15" t="str">
        <f>IF(OR(COUNTIF(クラス!$A$1:$A$1035, $B708),$B708="",COUNTIF(スキル一覧!$A$1:$A$3500, $B708)), "", "存在しない")</f>
        <v>存在しない</v>
      </c>
      <c r="M708" s="2" t="str">
        <f>IF(COUNTIF($B$1:$C707, $B708), "", "存在しない")</f>
        <v>存在しない</v>
      </c>
      <c r="N708" s="2" t="e">
        <v>#VALUE!</v>
      </c>
    </row>
    <row r="709" spans="1:14" hidden="1" outlineLevel="1" x14ac:dyDescent="0.4">
      <c r="A709" s="2">
        <v>4</v>
      </c>
      <c r="D709" s="7"/>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14" hidden="1" outlineLevel="1" x14ac:dyDescent="0.4">
      <c r="A710" s="2">
        <v>5</v>
      </c>
      <c r="D710" s="7"/>
      <c r="E710" s="13" t="s">
        <v>469</v>
      </c>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14" ht="36" hidden="1" outlineLevel="1" x14ac:dyDescent="0.4">
      <c r="A711" s="2">
        <v>6</v>
      </c>
      <c r="B711" s="2" t="s">
        <v>730</v>
      </c>
      <c r="D711" s="7" t="s">
        <v>845</v>
      </c>
      <c r="E711" s="13" t="s">
        <v>732</v>
      </c>
      <c r="F711" s="14">
        <v>5</v>
      </c>
      <c r="G711" s="19">
        <v>60</v>
      </c>
      <c r="H711" s="10" t="str">
        <f>"攻撃手段:肉体 打撃+15 "&amp;D705&amp;"+20 追加威力:速度 判定:攻撃 溜め:1t CT:5t"</f>
        <v>攻撃手段:肉体 打撃+15 打撃+20 追加威力:速度 判定:攻撃 溜め:1t CT:5t</v>
      </c>
      <c r="J711" s="6" t="str">
        <f>IFERROR(_xlfn.LET(_xlpm.v,
VLOOKUP($I711,効果!$A:$B,COLUMN(効果!B$1),FALSE),
IF(_xlpm.v=0,"",_xlpm.v)
),"")</f>
        <v/>
      </c>
      <c r="L711" s="15" t="str">
        <f>IF(OR(COUNTIF(クラス!$A$1:$A$1035, $B711),$B711="",COUNTIF(スキル一覧!$A$1:$A$3500, $B711)), "", "存在しない")</f>
        <v>存在しない</v>
      </c>
      <c r="M711" s="2" t="str">
        <f>IF(COUNTIF($B$1:$C710, $B711), "", "存在しない")</f>
        <v/>
      </c>
      <c r="N711" s="2" t="s">
        <v>1196</v>
      </c>
    </row>
    <row r="712" spans="1:14" hidden="1" outlineLevel="1" x14ac:dyDescent="0.4">
      <c r="A712" s="2">
        <v>7</v>
      </c>
      <c r="D712" s="7"/>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14" hidden="1" outlineLevel="1" x14ac:dyDescent="0.4">
      <c r="A713" s="2">
        <v>8</v>
      </c>
      <c r="D713" s="7"/>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14" hidden="1" outlineLevel="1" x14ac:dyDescent="0.4">
      <c r="A714" s="2">
        <v>9</v>
      </c>
      <c r="B714" s="2" t="s">
        <v>848</v>
      </c>
      <c r="D714" s="7"/>
      <c r="E714" s="13" t="s">
        <v>469</v>
      </c>
      <c r="H714" s="10" t="str">
        <f>"条件系統:"&amp;D705&amp;" 全威力+10"</f>
        <v>条件系統:打撃 全威力+10</v>
      </c>
      <c r="J714" s="6" t="str">
        <f>IFERROR(_xlfn.LET(_xlpm.v,
VLOOKUP($I714,効果!$A:$B,COLUMN(効果!B$1),FALSE),
IF(_xlpm.v=0,"",_xlpm.v)
),"")</f>
        <v/>
      </c>
      <c r="L714" s="15" t="str">
        <f>IF(OR(COUNTIF(クラス!$A$1:$A$1035, $B714),$B714="",COUNTIF(スキル一覧!$A$1:$A$3500, $B714)), "", "存在しない")</f>
        <v>存在しない</v>
      </c>
      <c r="M714" s="2" t="str">
        <f>IF(COUNTIF($B$1:$C713, $B714), "", "存在しない")</f>
        <v>存在しない</v>
      </c>
      <c r="N714" s="2" t="e">
        <v>#VALUE!</v>
      </c>
    </row>
    <row r="715" spans="1:14" ht="36" hidden="1" outlineLevel="1" x14ac:dyDescent="0.4">
      <c r="A715" s="2">
        <v>10</v>
      </c>
      <c r="B715" s="2" t="s">
        <v>849</v>
      </c>
      <c r="D715" s="7" t="s">
        <v>845</v>
      </c>
      <c r="E715" s="13" t="s">
        <v>732</v>
      </c>
      <c r="G715" s="19">
        <v>25</v>
      </c>
      <c r="H715" s="10" t="str">
        <f>"攻撃手段:吐息 "&amp;D705&amp;"+30 射程:20 判定:Lv"</f>
        <v>攻撃手段:吐息 打撃+30 射程:20 判定:Lv</v>
      </c>
      <c r="I715" s="6" t="s">
        <v>419</v>
      </c>
      <c r="J715" s="6" t="str">
        <f>IFERROR(_xlfn.LET(_xlpm.v,
VLOOKUP($I715,効果!$A:$B,COLUMN(効果!B$1),FALSE),
IF(_xlpm.v=0,"",_xlpm.v)
),"")</f>
        <v>対象を後方へ移動させる</v>
      </c>
      <c r="L715" s="15" t="str">
        <f>IF(OR(COUNTIF(クラス!$A$1:$A$1035, $B715),$B715="",COUNTIF(スキル一覧!$A$1:$A$3500, $B715)), "", "存在しない")</f>
        <v>存在しない</v>
      </c>
      <c r="M715" s="2" t="str">
        <f>IF(COUNTIF($B$1:$C714, $B715), "", "存在しない")</f>
        <v>存在しない</v>
      </c>
      <c r="N715" s="2" t="e">
        <v>#VALUE!</v>
      </c>
    </row>
    <row r="716" spans="1:14" hidden="1" outlineLevel="1"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14" collapsed="1"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14" x14ac:dyDescent="0.4">
      <c r="B719" s="2" t="s">
        <v>773</v>
      </c>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14" hidden="1" outlineLevel="1" x14ac:dyDescent="0.4">
      <c r="A720" s="2">
        <v>1</v>
      </c>
      <c r="B720" s="2" t="s">
        <v>109</v>
      </c>
      <c r="E720" s="13" t="s">
        <v>732</v>
      </c>
      <c r="J720" s="6" t="str">
        <f>IFERROR(_xlfn.LET(_xlpm.v,
VLOOKUP($I720,効果!$A:$B,COLUMN(効果!B$1),FALSE),
IF(_xlpm.v=0,"",_xlpm.v)
),"")</f>
        <v/>
      </c>
      <c r="L720" s="15" t="str">
        <f>IF(OR(COUNTIF(クラス!$A$1:$A$1035, $B720),$B720="",COUNTIF(スキル一覧!$A$1:$A$3500, $B720)), "", "存在しない")</f>
        <v/>
      </c>
      <c r="M720" s="2" t="str">
        <f>IF(COUNTIF($B$1:$C719, $B720), "", "存在しない")</f>
        <v/>
      </c>
      <c r="N720" s="2" t="s">
        <v>1196</v>
      </c>
    </row>
    <row r="721" spans="1:14" hidden="1" outlineLevel="1" x14ac:dyDescent="0.4">
      <c r="A721" s="2">
        <v>2</v>
      </c>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14" hidden="1" outlineLevel="1" x14ac:dyDescent="0.4">
      <c r="A722" s="2">
        <v>3</v>
      </c>
      <c r="B722" s="2" t="s">
        <v>826</v>
      </c>
      <c r="E722" s="13" t="s">
        <v>732</v>
      </c>
      <c r="J722" s="6" t="str">
        <f>IFERROR(_xlfn.LET(_xlpm.v,
VLOOKUP($I722,効果!$A:$B,COLUMN(効果!B$1),FALSE),
IF(_xlpm.v=0,"",_xlpm.v)
),"")</f>
        <v/>
      </c>
      <c r="L722" s="15" t="str">
        <f>IF(OR(COUNTIF(クラス!$A$1:$A$1035, $B722),$B722="",COUNTIF(スキル一覧!$A$1:$A$3500, $B722)), "", "存在しない")</f>
        <v/>
      </c>
      <c r="M722" s="2" t="str">
        <f>IF(COUNTIF($B$1:$C721, $B722), "", "存在しない")</f>
        <v/>
      </c>
      <c r="N722" s="2" t="s">
        <v>1196</v>
      </c>
    </row>
    <row r="723" spans="1:14" hidden="1" outlineLevel="1" x14ac:dyDescent="0.4">
      <c r="A723" s="2">
        <v>4</v>
      </c>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14" hidden="1" outlineLevel="1" x14ac:dyDescent="0.4">
      <c r="A724" s="2">
        <v>5</v>
      </c>
      <c r="B724" s="2" t="s">
        <v>830</v>
      </c>
      <c r="E724" s="13" t="s">
        <v>468</v>
      </c>
      <c r="H724" s="10" t="s">
        <v>831</v>
      </c>
      <c r="J724" s="6" t="str">
        <f>IFERROR(_xlfn.LET(_xlpm.v,
VLOOKUP($I724,効果!$A:$B,COLUMN(効果!B$1),FALSE),
IF(_xlpm.v=0,"",_xlpm.v)
),"")</f>
        <v/>
      </c>
      <c r="L724" s="15" t="str">
        <f>IF(OR(COUNTIF(クラス!$A$1:$A$1035, $B724),$B724="",COUNTIF(スキル一覧!$A$1:$A$3500, $B724)), "", "存在しない")</f>
        <v>存在しない</v>
      </c>
      <c r="M724" s="2" t="str">
        <f>IF(COUNTIF($B$1:$C723, $B724), "", "存在しない")</f>
        <v>存在しない</v>
      </c>
      <c r="N724" s="2" t="e">
        <v>#VALUE!</v>
      </c>
    </row>
    <row r="725" spans="1:14" hidden="1" outlineLevel="1" x14ac:dyDescent="0.4">
      <c r="A725" s="2">
        <v>6</v>
      </c>
      <c r="B725" s="2" t="s">
        <v>828</v>
      </c>
      <c r="E725" s="13" t="s">
        <v>732</v>
      </c>
      <c r="G725" s="19">
        <v>20</v>
      </c>
      <c r="H725" s="10" t="s">
        <v>1838</v>
      </c>
      <c r="J725" s="6" t="str">
        <f>IFERROR(_xlfn.LET(_xlpm.v,
VLOOKUP($I725,効果!$A:$B,COLUMN(効果!B$1),FALSE),
IF(_xlpm.v=0,"",_xlpm.v)
),"")</f>
        <v/>
      </c>
      <c r="L725" s="15" t="str">
        <f>IF(OR(COUNTIF(クラス!$A$1:$A$1035, $B725),$B725="",COUNTIF(スキル一覧!$A$1:$A$3500, $B725)), "", "存在しない")</f>
        <v>存在しない</v>
      </c>
      <c r="M725" s="2" t="str">
        <f>IF(COUNTIF($B$1:$C724, $B725), "", "存在しない")</f>
        <v/>
      </c>
      <c r="N725" s="2" t="s">
        <v>1196</v>
      </c>
    </row>
    <row r="726" spans="1:14" hidden="1" outlineLevel="1" x14ac:dyDescent="0.4">
      <c r="A726" s="2">
        <v>7</v>
      </c>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14" ht="36" hidden="1" outlineLevel="1" x14ac:dyDescent="0.4">
      <c r="A727" s="2">
        <v>8</v>
      </c>
      <c r="B727" s="2" t="s">
        <v>827</v>
      </c>
      <c r="E727" s="13" t="s">
        <v>732</v>
      </c>
      <c r="H727" s="10" t="s">
        <v>829</v>
      </c>
      <c r="J727" s="6" t="str">
        <f>IFERROR(_xlfn.LET(_xlpm.v,
VLOOKUP($I727,効果!$A:$B,COLUMN(効果!B$1),FALSE),
IF(_xlpm.v=0,"",_xlpm.v)
),"")</f>
        <v/>
      </c>
      <c r="L727" s="15" t="str">
        <f>IF(OR(COUNTIF(クラス!$A$1:$A$1035, $B727),$B727="",COUNTIF(スキル一覧!$A$1:$A$3500, $B727)), "", "存在しない")</f>
        <v>存在しない</v>
      </c>
      <c r="M727" s="2" t="str">
        <f>IF(COUNTIF($B$1:$C726, $B727), "", "存在しない")</f>
        <v>存在しない</v>
      </c>
      <c r="N727" s="2" t="e">
        <v>#VALUE!</v>
      </c>
    </row>
    <row r="728" spans="1:14" hidden="1" outlineLevel="1" x14ac:dyDescent="0.4">
      <c r="A728" s="2">
        <v>9</v>
      </c>
      <c r="B728" s="2" t="s">
        <v>833</v>
      </c>
      <c r="E728" s="13" t="s">
        <v>468</v>
      </c>
      <c r="H728" s="10" t="s">
        <v>832</v>
      </c>
      <c r="J728" s="6" t="str">
        <f>IFERROR(_xlfn.LET(_xlpm.v,
VLOOKUP($I728,効果!$A:$B,COLUMN(効果!B$1),FALSE),
IF(_xlpm.v=0,"",_xlpm.v)
),"")</f>
        <v/>
      </c>
      <c r="L728" s="15" t="str">
        <f>IF(OR(COUNTIF(クラス!$A$1:$A$1035, $B728),$B728="",COUNTIF(スキル一覧!$A$1:$A$3500, $B728)), "", "存在しない")</f>
        <v>存在しない</v>
      </c>
      <c r="M728" s="2" t="str">
        <f>IF(COUNTIF($B$1:$C727, $B728), "", "存在しない")</f>
        <v>存在しない</v>
      </c>
      <c r="N728" s="2" t="e">
        <v>#VALUE!</v>
      </c>
    </row>
    <row r="729" spans="1:14" hidden="1" outlineLevel="1" x14ac:dyDescent="0.4">
      <c r="A729" s="2">
        <v>10</v>
      </c>
      <c r="E729" s="13" t="s">
        <v>732</v>
      </c>
      <c r="G729" s="19">
        <v>20</v>
      </c>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14" hidden="1" outlineLevel="1"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14" collapsed="1"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c r="L783" s="15" t="str">
        <f>IF(OR(COUNTIF(クラス!$A$1:$A$1035, $B783),$B783="",COUNTIF(スキル一覧!$A$1:$A$3500, $B783)), "", "存在しない")</f>
        <v/>
      </c>
      <c r="M783" s="2" t="str">
        <f>IF(COUNTIF($B$1:$C782, $B783), "", "存在しない")</f>
        <v>存在しない</v>
      </c>
      <c r="N783" s="2" t="s">
        <v>1196</v>
      </c>
    </row>
    <row r="784" spans="10:14" x14ac:dyDescent="0.4">
      <c r="J784" s="6" t="str">
        <f>IFERROR(_xlfn.LET(_xlpm.v,
VLOOKUP($I784,効果!$A:$B,COLUMN(効果!B$1),FALSE),
IF(_xlpm.v=0,"",_xlpm.v)
),"")</f>
        <v/>
      </c>
      <c r="L784" s="15" t="str">
        <f>IF(OR(COUNTIF(クラス!$A$1:$A$1035, $B784),$B784="",COUNTIF(スキル一覧!$A$1:$A$3500, $B784)), "", "存在しない")</f>
        <v/>
      </c>
      <c r="M784" s="2" t="str">
        <f>IF(COUNTIF($B$1:$C783, $B784), "", "存在しない")</f>
        <v>存在しない</v>
      </c>
      <c r="N784" s="2" t="s">
        <v>1196</v>
      </c>
    </row>
    <row r="785" spans="10:14" x14ac:dyDescent="0.4">
      <c r="J785" s="6" t="str">
        <f>IFERROR(_xlfn.LET(_xlpm.v,
VLOOKUP($I785,効果!$A:$B,COLUMN(効果!B$1),FALSE),
IF(_xlpm.v=0,"",_xlpm.v)
),"")</f>
        <v/>
      </c>
      <c r="L785" s="15" t="str">
        <f>IF(OR(COUNTIF(クラス!$A$1:$A$1035, $B785),$B785="",COUNTIF(スキル一覧!$A$1:$A$3500, $B785)), "", "存在しない")</f>
        <v/>
      </c>
      <c r="M785" s="2" t="str">
        <f>IF(COUNTIF($B$1:$C784, $B785), "", "存在しない")</f>
        <v>存在しない</v>
      </c>
      <c r="N785" s="2" t="s">
        <v>1196</v>
      </c>
    </row>
    <row r="786" spans="10:14" x14ac:dyDescent="0.4">
      <c r="J786" s="6" t="str">
        <f>IFERROR(_xlfn.LET(_xlpm.v,
VLOOKUP($I786,効果!$A:$B,COLUMN(効果!B$1),FALSE),
IF(_xlpm.v=0,"",_xlpm.v)
),"")</f>
        <v/>
      </c>
      <c r="L786" s="15" t="str">
        <f>IF(OR(COUNTIF(クラス!$A$1:$A$1035, $B786),$B786="",COUNTIF(スキル一覧!$A$1:$A$3500, $B786)), "", "存在しない")</f>
        <v/>
      </c>
      <c r="M786" s="2" t="str">
        <f>IF(COUNTIF($B$1:$C785, $B786), "", "存在しない")</f>
        <v>存在しない</v>
      </c>
      <c r="N786" s="2" t="s">
        <v>1196</v>
      </c>
    </row>
    <row r="787" spans="10:14" x14ac:dyDescent="0.4">
      <c r="J787" s="6" t="str">
        <f>IFERROR(_xlfn.LET(_xlpm.v,
VLOOKUP($I787,効果!$A:$B,COLUMN(効果!B$1),FALSE),
IF(_xlpm.v=0,"",_xlpm.v)
),"")</f>
        <v/>
      </c>
      <c r="L787" s="15" t="str">
        <f>IF(OR(COUNTIF(クラス!$A$1:$A$1035, $B787),$B787="",COUNTIF(スキル一覧!$A$1:$A$3500, $B787)), "", "存在しない")</f>
        <v/>
      </c>
      <c r="M787" s="2" t="str">
        <f>IF(COUNTIF($B$1:$C786, $B787), "", "存在しない")</f>
        <v>存在しない</v>
      </c>
      <c r="N787" s="2" t="s">
        <v>1196</v>
      </c>
    </row>
    <row r="788" spans="10:14" x14ac:dyDescent="0.4">
      <c r="J788" s="6" t="str">
        <f>IFERROR(_xlfn.LET(_xlpm.v,
VLOOKUP($I788,効果!$A:$B,COLUMN(効果!B$1),FALSE),
IF(_xlpm.v=0,"",_xlpm.v)
),"")</f>
        <v/>
      </c>
      <c r="L788" s="15" t="str">
        <f>IF(OR(COUNTIF(クラス!$A$1:$A$1035, $B788),$B788="",COUNTIF(スキル一覧!$A$1:$A$3500, $B788)), "", "存在しない")</f>
        <v/>
      </c>
      <c r="M788" s="2" t="str">
        <f>IF(COUNTIF($B$1:$C787, $B788), "", "存在しない")</f>
        <v>存在しない</v>
      </c>
      <c r="N788" s="2" t="s">
        <v>1196</v>
      </c>
    </row>
    <row r="789" spans="10:14" x14ac:dyDescent="0.4">
      <c r="J789" s="6" t="str">
        <f>IFERROR(_xlfn.LET(_xlpm.v,
VLOOKUP($I789,効果!$A:$B,COLUMN(効果!B$1),FALSE),
IF(_xlpm.v=0,"",_xlpm.v)
),"")</f>
        <v/>
      </c>
      <c r="L789" s="15" t="str">
        <f>IF(OR(COUNTIF(クラス!$A$1:$A$1035, $B789),$B789="",COUNTIF(スキル一覧!$A$1:$A$3500, $B789)), "", "存在しない")</f>
        <v/>
      </c>
      <c r="M789" s="2" t="str">
        <f>IF(COUNTIF($B$1:$C788, $B789), "", "存在しない")</f>
        <v>存在しない</v>
      </c>
      <c r="N789" s="2" t="s">
        <v>1196</v>
      </c>
    </row>
    <row r="790" spans="10:14" x14ac:dyDescent="0.4">
      <c r="J790" s="6" t="str">
        <f>IFERROR(_xlfn.LET(_xlpm.v,
VLOOKUP($I790,効果!$A:$B,COLUMN(効果!B$1),FALSE),
IF(_xlpm.v=0,"",_xlpm.v)
),"")</f>
        <v/>
      </c>
      <c r="L790" s="15" t="str">
        <f>IF(OR(COUNTIF(クラス!$A$1:$A$1035, $B790),$B790="",COUNTIF(スキル一覧!$A$1:$A$3500, $B790)), "", "存在しない")</f>
        <v/>
      </c>
      <c r="M790" s="2" t="str">
        <f>IF(COUNTIF($B$1:$C789, $B790), "", "存在しない")</f>
        <v>存在しない</v>
      </c>
      <c r="N790" s="2" t="s">
        <v>1196</v>
      </c>
    </row>
    <row r="791" spans="10:14" x14ac:dyDescent="0.4">
      <c r="J791" s="6" t="str">
        <f>IFERROR(_xlfn.LET(_xlpm.v,
VLOOKUP($I791,効果!$A:$B,COLUMN(効果!B$1),FALSE),
IF(_xlpm.v=0,"",_xlpm.v)
),"")</f>
        <v/>
      </c>
      <c r="L791" s="15" t="str">
        <f>IF(OR(COUNTIF(クラス!$A$1:$A$1035, $B791),$B791="",COUNTIF(スキル一覧!$A$1:$A$3500, $B791)), "", "存在しない")</f>
        <v/>
      </c>
      <c r="M791" s="2" t="str">
        <f>IF(COUNTIF($B$1:$C790, $B791), "", "存在しない")</f>
        <v>存在しない</v>
      </c>
      <c r="N791" s="2" t="s">
        <v>1196</v>
      </c>
    </row>
    <row r="792" spans="10:14" x14ac:dyDescent="0.4">
      <c r="J792" s="6" t="str">
        <f>IFERROR(_xlfn.LET(_xlpm.v,
VLOOKUP($I792,効果!$A:$B,COLUMN(効果!B$1),FALSE),
IF(_xlpm.v=0,"",_xlpm.v)
),"")</f>
        <v/>
      </c>
      <c r="L792" s="15" t="str">
        <f>IF(OR(COUNTIF(クラス!$A$1:$A$1035, $B792),$B792="",COUNTIF(スキル一覧!$A$1:$A$3500, $B792)), "", "存在しない")</f>
        <v/>
      </c>
      <c r="M792" s="2" t="str">
        <f>IF(COUNTIF($B$1:$C791, $B792), "", "存在しない")</f>
        <v>存在しない</v>
      </c>
      <c r="N792" s="2" t="s">
        <v>1196</v>
      </c>
    </row>
    <row r="793" spans="10:14" x14ac:dyDescent="0.4">
      <c r="J793" s="6" t="str">
        <f>IFERROR(_xlfn.LET(_xlpm.v,
VLOOKUP($I793,効果!$A:$B,COLUMN(効果!B$1),FALSE),
IF(_xlpm.v=0,"",_xlpm.v)
),"")</f>
        <v/>
      </c>
      <c r="L793" s="15" t="str">
        <f>IF(OR(COUNTIF(クラス!$A$1:$A$1035, $B793),$B793="",COUNTIF(スキル一覧!$A$1:$A$3500, $B793)), "", "存在しない")</f>
        <v/>
      </c>
      <c r="M793" s="2" t="str">
        <f>IF(COUNTIF($B$1:$C792, $B793), "", "存在しない")</f>
        <v>存在しない</v>
      </c>
      <c r="N793" s="2" t="s">
        <v>1196</v>
      </c>
    </row>
    <row r="794" spans="10:14" x14ac:dyDescent="0.4">
      <c r="J794" s="6" t="str">
        <f>IFERROR(_xlfn.LET(_xlpm.v,
VLOOKUP($I794,効果!$A:$B,COLUMN(効果!B$1),FALSE),
IF(_xlpm.v=0,"",_xlpm.v)
),"")</f>
        <v/>
      </c>
      <c r="L794" s="15" t="str">
        <f>IF(OR(COUNTIF(クラス!$A$1:$A$1035, $B794),$B794="",COUNTIF(スキル一覧!$A$1:$A$3500, $B794)), "", "存在しない")</f>
        <v/>
      </c>
      <c r="M794" s="2" t="str">
        <f>IF(COUNTIF($B$1:$C793, $B794), "", "存在しない")</f>
        <v>存在しない</v>
      </c>
      <c r="N794" s="2" t="s">
        <v>1196</v>
      </c>
    </row>
    <row r="795" spans="10:14" x14ac:dyDescent="0.4">
      <c r="J795" s="6" t="str">
        <f>IFERROR(_xlfn.LET(_xlpm.v,
VLOOKUP($I795,効果!$A:$B,COLUMN(効果!B$1),FALSE),
IF(_xlpm.v=0,"",_xlpm.v)
),"")</f>
        <v/>
      </c>
      <c r="L795" s="15" t="str">
        <f>IF(OR(COUNTIF(クラス!$A$1:$A$1035, $B795),$B795="",COUNTIF(スキル一覧!$A$1:$A$3500, $B795)), "", "存在しない")</f>
        <v/>
      </c>
      <c r="M795" s="2" t="str">
        <f>IF(COUNTIF($B$1:$C794, $B795), "", "存在しない")</f>
        <v>存在しない</v>
      </c>
      <c r="N795" s="2" t="s">
        <v>1196</v>
      </c>
    </row>
    <row r="796" spans="10:14" x14ac:dyDescent="0.4">
      <c r="J796" s="6" t="str">
        <f>IFERROR(_xlfn.LET(_xlpm.v,
VLOOKUP($I796,効果!$A:$B,COLUMN(効果!B$1),FALSE),
IF(_xlpm.v=0,"",_xlpm.v)
),"")</f>
        <v/>
      </c>
      <c r="L796" s="15" t="str">
        <f>IF(OR(COUNTIF(クラス!$A$1:$A$1035, $B796),$B796="",COUNTIF(スキル一覧!$A$1:$A$3500, $B796)), "", "存在しない")</f>
        <v/>
      </c>
      <c r="M796" s="2" t="str">
        <f>IF(COUNTIF($B$1:$C795, $B796), "", "存在しない")</f>
        <v>存在しない</v>
      </c>
      <c r="N796" s="2" t="s">
        <v>1196</v>
      </c>
    </row>
    <row r="797" spans="10:14" x14ac:dyDescent="0.4">
      <c r="J797" s="6" t="str">
        <f>IFERROR(_xlfn.LET(_xlpm.v,
VLOOKUP($I797,効果!$A:$B,COLUMN(効果!B$1),FALSE),
IF(_xlpm.v=0,"",_xlpm.v)
),"")</f>
        <v/>
      </c>
      <c r="L797" s="15" t="str">
        <f>IF(OR(COUNTIF(クラス!$A$1:$A$1035, $B797),$B797="",COUNTIF(スキル一覧!$A$1:$A$3500, $B797)), "", "存在しない")</f>
        <v/>
      </c>
      <c r="M797" s="2" t="str">
        <f>IF(COUNTIF($B$1:$C796, $B797), "", "存在しない")</f>
        <v>存在しない</v>
      </c>
      <c r="N797" s="2" t="s">
        <v>1196</v>
      </c>
    </row>
    <row r="798" spans="10:14" x14ac:dyDescent="0.4">
      <c r="J798" s="6" t="str">
        <f>IFERROR(_xlfn.LET(_xlpm.v,
VLOOKUP($I798,効果!$A:$B,COLUMN(効果!B$1),FALSE),
IF(_xlpm.v=0,"",_xlpm.v)
),"")</f>
        <v/>
      </c>
      <c r="L798" s="15" t="str">
        <f>IF(OR(COUNTIF(クラス!$A$1:$A$1035, $B798),$B798="",COUNTIF(スキル一覧!$A$1:$A$3500, $B798)), "", "存在しない")</f>
        <v/>
      </c>
      <c r="M798" s="2" t="str">
        <f>IF(COUNTIF($B$1:$C797, $B798), "", "存在しない")</f>
        <v>存在しない</v>
      </c>
      <c r="N798" s="2" t="s">
        <v>1196</v>
      </c>
    </row>
    <row r="799" spans="10:14" x14ac:dyDescent="0.4">
      <c r="J799" s="6" t="str">
        <f>IFERROR(_xlfn.LET(_xlpm.v,
VLOOKUP($I799,効果!$A:$B,COLUMN(効果!B$1),FALSE),
IF(_xlpm.v=0,"",_xlpm.v)
),"")</f>
        <v/>
      </c>
      <c r="L799" s="15" t="str">
        <f>IF(OR(COUNTIF(クラス!$A$1:$A$1035, $B799),$B799="",COUNTIF(スキル一覧!$A$1:$A$3500, $B799)), "", "存在しない")</f>
        <v/>
      </c>
      <c r="M799" s="2" t="str">
        <f>IF(COUNTIF($B$1:$C798, $B799), "", "存在しない")</f>
        <v>存在しない</v>
      </c>
      <c r="N799" s="2" t="s">
        <v>1196</v>
      </c>
    </row>
    <row r="800" spans="10:14" x14ac:dyDescent="0.4">
      <c r="J800" s="6" t="str">
        <f>IFERROR(_xlfn.LET(_xlpm.v,
VLOOKUP($I800,効果!$A:$B,COLUMN(効果!B$1),FALSE),
IF(_xlpm.v=0,"",_xlpm.v)
),"")</f>
        <v/>
      </c>
      <c r="L800" s="15" t="str">
        <f>IF(OR(COUNTIF(クラス!$A$1:$A$1035, $B800),$B800="",COUNTIF(スキル一覧!$A$1:$A$3500, $B800)), "", "存在しない")</f>
        <v/>
      </c>
      <c r="M800" s="2" t="str">
        <f>IF(COUNTIF($B$1:$C799, $B800), "", "存在しない")</f>
        <v>存在しない</v>
      </c>
      <c r="N800" s="2" t="s">
        <v>1196</v>
      </c>
    </row>
    <row r="801" spans="10:14" x14ac:dyDescent="0.4">
      <c r="J801" s="6" t="str">
        <f>IFERROR(_xlfn.LET(_xlpm.v,
VLOOKUP($I801,効果!$A:$B,COLUMN(効果!B$1),FALSE),
IF(_xlpm.v=0,"",_xlpm.v)
),"")</f>
        <v/>
      </c>
      <c r="L801" s="15" t="str">
        <f>IF(OR(COUNTIF(クラス!$A$1:$A$1035, $B801),$B801="",COUNTIF(スキル一覧!$A$1:$A$3500, $B801)), "", "存在しない")</f>
        <v/>
      </c>
      <c r="M801" s="2" t="str">
        <f>IF(COUNTIF($B$1:$C800, $B801), "", "存在しない")</f>
        <v>存在しない</v>
      </c>
      <c r="N801" s="2" t="s">
        <v>1196</v>
      </c>
    </row>
    <row r="802" spans="10:14" x14ac:dyDescent="0.4">
      <c r="J802" s="6" t="str">
        <f>IFERROR(_xlfn.LET(_xlpm.v,
VLOOKUP($I802,効果!$A:$B,COLUMN(効果!B$1),FALSE),
IF(_xlpm.v=0,"",_xlpm.v)
),"")</f>
        <v/>
      </c>
      <c r="L802" s="15" t="str">
        <f>IF(OR(COUNTIF(クラス!$A$1:$A$1035, $B802),$B802="",COUNTIF(スキル一覧!$A$1:$A$3500, $B802)), "", "存在しない")</f>
        <v/>
      </c>
      <c r="M802" s="2" t="str">
        <f>IF(COUNTIF($B$1:$C801, $B802), "", "存在しない")</f>
        <v>存在しない</v>
      </c>
      <c r="N802" s="2" t="s">
        <v>1196</v>
      </c>
    </row>
    <row r="803" spans="10:14" x14ac:dyDescent="0.4">
      <c r="J803" s="6" t="str">
        <f>IFERROR(_xlfn.LET(_xlpm.v,
VLOOKUP($I803,効果!$A:$B,COLUMN(効果!B$1),FALSE),
IF(_xlpm.v=0,"",_xlpm.v)
),"")</f>
        <v/>
      </c>
      <c r="L803" s="15" t="str">
        <f>IF(OR(COUNTIF(クラス!$A$1:$A$1035, $B803),$B803="",COUNTIF(スキル一覧!$A$1:$A$3500, $B803)), "", "存在しない")</f>
        <v/>
      </c>
      <c r="M803" s="2" t="str">
        <f>IF(COUNTIF($B$1:$C802, $B803), "", "存在しない")</f>
        <v>存在しない</v>
      </c>
      <c r="N803" s="2" t="s">
        <v>1196</v>
      </c>
    </row>
    <row r="804" spans="10:14" x14ac:dyDescent="0.4">
      <c r="J804" s="6" t="str">
        <f>IFERROR(_xlfn.LET(_xlpm.v,
VLOOKUP($I804,効果!$A:$B,COLUMN(効果!B$1),FALSE),
IF(_xlpm.v=0,"",_xlpm.v)
),"")</f>
        <v/>
      </c>
      <c r="L804" s="15" t="str">
        <f>IF(OR(COUNTIF(クラス!$A$1:$A$1035, $B804),$B804="",COUNTIF(スキル一覧!$A$1:$A$3500, $B804)), "", "存在しない")</f>
        <v/>
      </c>
      <c r="M804" s="2" t="str">
        <f>IF(COUNTIF($B$1:$C803, $B804), "", "存在しない")</f>
        <v>存在しない</v>
      </c>
      <c r="N804" s="2" t="s">
        <v>1196</v>
      </c>
    </row>
    <row r="805" spans="10:14" x14ac:dyDescent="0.4">
      <c r="J805" s="6" t="str">
        <f>IFERROR(_xlfn.LET(_xlpm.v,
VLOOKUP($I805,効果!$A:$B,COLUMN(効果!B$1),FALSE),
IF(_xlpm.v=0,"",_xlpm.v)
),"")</f>
        <v/>
      </c>
      <c r="L805" s="15" t="str">
        <f>IF(OR(COUNTIF(クラス!$A$1:$A$1035, $B805),$B805="",COUNTIF(スキル一覧!$A$1:$A$3500, $B805)), "", "存在しない")</f>
        <v/>
      </c>
      <c r="M805" s="2" t="str">
        <f>IF(COUNTIF($B$1:$C804, $B805), "", "存在しない")</f>
        <v>存在しない</v>
      </c>
      <c r="N805" s="2" t="s">
        <v>1196</v>
      </c>
    </row>
    <row r="806" spans="10:14" x14ac:dyDescent="0.4">
      <c r="J806" s="6" t="str">
        <f>IFERROR(_xlfn.LET(_xlpm.v,
VLOOKUP($I806,効果!$A:$B,COLUMN(効果!B$1),FALSE),
IF(_xlpm.v=0,"",_xlpm.v)
),"")</f>
        <v/>
      </c>
      <c r="L806" s="15" t="str">
        <f>IF(OR(COUNTIF(クラス!$A$1:$A$1035, $B806),$B806="",COUNTIF(スキル一覧!$A$1:$A$3500, $B806)), "", "存在しない")</f>
        <v/>
      </c>
      <c r="M806" s="2" t="str">
        <f>IF(COUNTIF($B$1:$C805, $B806), "", "存在しない")</f>
        <v>存在しない</v>
      </c>
      <c r="N806" s="2" t="s">
        <v>1196</v>
      </c>
    </row>
    <row r="807" spans="10:14" x14ac:dyDescent="0.4">
      <c r="J807" s="6" t="str">
        <f>IFERROR(_xlfn.LET(_xlpm.v,
VLOOKUP($I807,効果!$A:$B,COLUMN(効果!B$1),FALSE),
IF(_xlpm.v=0,"",_xlpm.v)
),"")</f>
        <v/>
      </c>
      <c r="L807" s="15" t="str">
        <f>IF(OR(COUNTIF(クラス!$A$1:$A$1035, $B807),$B807="",COUNTIF(スキル一覧!$A$1:$A$3500, $B807)), "", "存在しない")</f>
        <v/>
      </c>
      <c r="M807" s="2" t="str">
        <f>IF(COUNTIF($B$1:$C806, $B807), "", "存在しない")</f>
        <v>存在しない</v>
      </c>
      <c r="N807" s="2" t="s">
        <v>1196</v>
      </c>
    </row>
    <row r="808" spans="10:14" x14ac:dyDescent="0.4">
      <c r="J808" s="6" t="str">
        <f>IFERROR(_xlfn.LET(_xlpm.v,
VLOOKUP($I808,効果!$A:$B,COLUMN(効果!B$1),FALSE),
IF(_xlpm.v=0,"",_xlpm.v)
),"")</f>
        <v/>
      </c>
      <c r="L808" s="15" t="str">
        <f>IF(OR(COUNTIF(クラス!$A$1:$A$1035, $B808),$B808="",COUNTIF(スキル一覧!$A$1:$A$3500, $B808)), "", "存在しない")</f>
        <v/>
      </c>
      <c r="M808" s="2" t="str">
        <f>IF(COUNTIF($B$1:$C807, $B808), "", "存在しない")</f>
        <v>存在しない</v>
      </c>
      <c r="N808" s="2" t="s">
        <v>1196</v>
      </c>
    </row>
    <row r="809" spans="10:14" x14ac:dyDescent="0.4">
      <c r="J809" s="6" t="str">
        <f>IFERROR(_xlfn.LET(_xlpm.v,
VLOOKUP($I809,効果!$A:$B,COLUMN(効果!B$1),FALSE),
IF(_xlpm.v=0,"",_xlpm.v)
),"")</f>
        <v/>
      </c>
      <c r="L809" s="15" t="str">
        <f>IF(OR(COUNTIF(クラス!$A$1:$A$1035, $B809),$B809="",COUNTIF(スキル一覧!$A$1:$A$3500, $B809)), "", "存在しない")</f>
        <v/>
      </c>
      <c r="M809" s="2" t="str">
        <f>IF(COUNTIF($B$1:$C808, $B809), "", "存在しない")</f>
        <v>存在しない</v>
      </c>
      <c r="N809" s="2" t="s">
        <v>1196</v>
      </c>
    </row>
    <row r="810" spans="10:14" x14ac:dyDescent="0.4">
      <c r="J810" s="6" t="str">
        <f>IFERROR(_xlfn.LET(_xlpm.v,
VLOOKUP($I810,効果!$A:$B,COLUMN(効果!B$1),FALSE),
IF(_xlpm.v=0,"",_xlpm.v)
),"")</f>
        <v/>
      </c>
      <c r="L810" s="15" t="str">
        <f>IF(OR(COUNTIF(クラス!$A$1:$A$1035, $B810),$B810="",COUNTIF(スキル一覧!$A$1:$A$3500, $B810)), "", "存在しない")</f>
        <v/>
      </c>
      <c r="M810" s="2" t="str">
        <f>IF(COUNTIF($B$1:$C809, $B810), "", "存在しない")</f>
        <v>存在しない</v>
      </c>
      <c r="N810" s="2" t="s">
        <v>1196</v>
      </c>
    </row>
    <row r="811" spans="10:14" x14ac:dyDescent="0.4">
      <c r="J811" s="6" t="str">
        <f>IFERROR(_xlfn.LET(_xlpm.v,
VLOOKUP($I811,効果!$A:$B,COLUMN(効果!B$1),FALSE),
IF(_xlpm.v=0,"",_xlpm.v)
),"")</f>
        <v/>
      </c>
      <c r="L811" s="15" t="str">
        <f>IF(OR(COUNTIF(クラス!$A$1:$A$1035, $B811),$B811="",COUNTIF(スキル一覧!$A$1:$A$3500, $B811)), "", "存在しない")</f>
        <v/>
      </c>
      <c r="M811" s="2" t="str">
        <f>IF(COUNTIF($B$1:$C810, $B811), "", "存在しない")</f>
        <v>存在しない</v>
      </c>
      <c r="N811" s="2" t="s">
        <v>1196</v>
      </c>
    </row>
    <row r="812" spans="10:14" x14ac:dyDescent="0.4">
      <c r="J812" s="6" t="str">
        <f>IFERROR(_xlfn.LET(_xlpm.v,
VLOOKUP($I812,効果!$A:$B,COLUMN(効果!B$1),FALSE),
IF(_xlpm.v=0,"",_xlpm.v)
),"")</f>
        <v/>
      </c>
      <c r="L812" s="15" t="str">
        <f>IF(OR(COUNTIF(クラス!$A$1:$A$1035, $B812),$B812="",COUNTIF(スキル一覧!$A$1:$A$3500, $B812)), "", "存在しない")</f>
        <v/>
      </c>
      <c r="M812" s="2" t="str">
        <f>IF(COUNTIF($B$1:$C811, $B812), "", "存在しない")</f>
        <v>存在しない</v>
      </c>
      <c r="N812" s="2" t="s">
        <v>1196</v>
      </c>
    </row>
    <row r="813" spans="10:14" x14ac:dyDescent="0.4">
      <c r="J813" s="6" t="str">
        <f>IFERROR(_xlfn.LET(_xlpm.v,
VLOOKUP($I813,効果!$A:$B,COLUMN(効果!B$1),FALSE),
IF(_xlpm.v=0,"",_xlpm.v)
),"")</f>
        <v/>
      </c>
      <c r="L813" s="15" t="str">
        <f>IF(OR(COUNTIF(クラス!$A$1:$A$1035, $B813),$B813="",COUNTIF(スキル一覧!$A$1:$A$3500, $B813)), "", "存在しない")</f>
        <v/>
      </c>
      <c r="M813" s="2" t="str">
        <f>IF(COUNTIF($B$1:$C812, $B813), "", "存在しない")</f>
        <v>存在しない</v>
      </c>
      <c r="N813" s="2" t="s">
        <v>1196</v>
      </c>
    </row>
    <row r="814" spans="10:14" x14ac:dyDescent="0.4">
      <c r="J814" s="6" t="str">
        <f>IFERROR(_xlfn.LET(_xlpm.v,
VLOOKUP($I814,効果!$A:$B,COLUMN(効果!B$1),FALSE),
IF(_xlpm.v=0,"",_xlpm.v)
),"")</f>
        <v/>
      </c>
      <c r="L814" s="15" t="str">
        <f>IF(OR(COUNTIF(クラス!$A$1:$A$1035, $B814),$B814="",COUNTIF(スキル一覧!$A$1:$A$3500, $B814)), "", "存在しない")</f>
        <v/>
      </c>
      <c r="M814" s="2" t="str">
        <f>IF(COUNTIF($B$1:$C813, $B814), "", "存在しない")</f>
        <v>存在しない</v>
      </c>
      <c r="N814" s="2" t="s">
        <v>1196</v>
      </c>
    </row>
    <row r="815" spans="10:14" x14ac:dyDescent="0.4">
      <c r="J815" s="6" t="str">
        <f>IFERROR(_xlfn.LET(_xlpm.v,
VLOOKUP($I815,効果!$A:$B,COLUMN(効果!B$1),FALSE),
IF(_xlpm.v=0,"",_xlpm.v)
),"")</f>
        <v/>
      </c>
      <c r="L815" s="15" t="str">
        <f>IF(OR(COUNTIF(クラス!$A$1:$A$1035, $B815),$B815="",COUNTIF(スキル一覧!$A$1:$A$3500, $B815)), "", "存在しない")</f>
        <v/>
      </c>
      <c r="M815" s="2" t="str">
        <f>IF(COUNTIF($B$1:$C814, $B815), "", "存在しない")</f>
        <v>存在しない</v>
      </c>
      <c r="N815" s="2" t="s">
        <v>1196</v>
      </c>
    </row>
    <row r="816" spans="10:14" x14ac:dyDescent="0.4">
      <c r="J816" s="6" t="str">
        <f>IFERROR(_xlfn.LET(_xlpm.v,
VLOOKUP($I816,効果!$A:$B,COLUMN(効果!B$1),FALSE),
IF(_xlpm.v=0,"",_xlpm.v)
),"")</f>
        <v/>
      </c>
      <c r="L816" s="15" t="str">
        <f>IF(OR(COUNTIF(クラス!$A$1:$A$1035, $B816),$B816="",COUNTIF(スキル一覧!$A$1:$A$3500, $B816)), "", "存在しない")</f>
        <v/>
      </c>
      <c r="M816" s="2" t="str">
        <f>IF(COUNTIF($B$1:$C815, $B816), "", "存在しない")</f>
        <v>存在しない</v>
      </c>
      <c r="N816" s="2" t="s">
        <v>1196</v>
      </c>
    </row>
    <row r="817" spans="10:14" x14ac:dyDescent="0.4">
      <c r="J817" s="6" t="str">
        <f>IFERROR(_xlfn.LET(_xlpm.v,
VLOOKUP($I817,効果!$A:$B,COLUMN(効果!B$1),FALSE),
IF(_xlpm.v=0,"",_xlpm.v)
),"")</f>
        <v/>
      </c>
      <c r="L817" s="15" t="str">
        <f>IF(OR(COUNTIF(クラス!$A$1:$A$1035, $B817),$B817="",COUNTIF(スキル一覧!$A$1:$A$3500, $B817)), "", "存在しない")</f>
        <v/>
      </c>
      <c r="M817" s="2" t="str">
        <f>IF(COUNTIF($B$1:$C816, $B817), "", "存在しない")</f>
        <v>存在しない</v>
      </c>
      <c r="N817" s="2" t="s">
        <v>1196</v>
      </c>
    </row>
    <row r="818" spans="10:14" x14ac:dyDescent="0.4">
      <c r="J818" s="6" t="str">
        <f>IFERROR(_xlfn.LET(_xlpm.v,
VLOOKUP($I818,効果!$A:$B,COLUMN(効果!B$1),FALSE),
IF(_xlpm.v=0,"",_xlpm.v)
),"")</f>
        <v/>
      </c>
      <c r="L818" s="15" t="str">
        <f>IF(OR(COUNTIF(クラス!$A$1:$A$1035, $B818),$B818="",COUNTIF(スキル一覧!$A$1:$A$3500, $B818)), "", "存在しない")</f>
        <v/>
      </c>
      <c r="M818" s="2" t="str">
        <f>IF(COUNTIF($B$1:$C817, $B818), "", "存在しない")</f>
        <v>存在しない</v>
      </c>
      <c r="N818" s="2" t="s">
        <v>1196</v>
      </c>
    </row>
    <row r="819" spans="10:14" x14ac:dyDescent="0.4">
      <c r="J819" s="6" t="str">
        <f>IFERROR(_xlfn.LET(_xlpm.v,
VLOOKUP($I819,効果!$A:$B,COLUMN(効果!B$1),FALSE),
IF(_xlpm.v=0,"",_xlpm.v)
),"")</f>
        <v/>
      </c>
    </row>
    <row r="820" spans="10:14" x14ac:dyDescent="0.4">
      <c r="J820" s="6" t="str">
        <f>IFERROR(_xlfn.LET(_xlpm.v,
VLOOKUP($I820,効果!$A:$B,COLUMN(効果!B$1),FALSE),
IF(_xlpm.v=0,"",_xlpm.v)
),"")</f>
        <v/>
      </c>
    </row>
    <row r="821" spans="10:14" x14ac:dyDescent="0.4">
      <c r="J821" s="6" t="str">
        <f>IFERROR(_xlfn.LET(_xlpm.v,
VLOOKUP($I821,効果!$A:$B,COLUMN(効果!B$1),FALSE),
IF(_xlpm.v=0,"",_xlpm.v)
),"")</f>
        <v/>
      </c>
    </row>
    <row r="822" spans="10:14" x14ac:dyDescent="0.4">
      <c r="J822" s="6" t="str">
        <f>IFERROR(_xlfn.LET(_xlpm.v,
VLOOKUP($I822,効果!$A:$B,COLUMN(効果!B$1),FALSE),
IF(_xlpm.v=0,"",_xlpm.v)
),"")</f>
        <v/>
      </c>
    </row>
    <row r="823" spans="10:14" x14ac:dyDescent="0.4">
      <c r="J823" s="6" t="str">
        <f>IFERROR(_xlfn.LET(_xlpm.v,
VLOOKUP($I823,効果!$A:$B,COLUMN(効果!B$1),FALSE),
IF(_xlpm.v=0,"",_xlpm.v)
),"")</f>
        <v/>
      </c>
    </row>
    <row r="824" spans="10:14" x14ac:dyDescent="0.4">
      <c r="J824" s="6" t="str">
        <f>IFERROR(_xlfn.LET(_xlpm.v,
VLOOKUP($I824,効果!$A:$B,COLUMN(効果!B$1),FALSE),
IF(_xlpm.v=0,"",_xlpm.v)
),"")</f>
        <v/>
      </c>
    </row>
    <row r="825" spans="10:14" x14ac:dyDescent="0.4">
      <c r="J825" s="6" t="str">
        <f>IFERROR(_xlfn.LET(_xlpm.v,
VLOOKUP($I825,効果!$A:$B,COLUMN(効果!B$1),FALSE),
IF(_xlpm.v=0,"",_xlpm.v)
),"")</f>
        <v/>
      </c>
    </row>
    <row r="826" spans="10:14" x14ac:dyDescent="0.4">
      <c r="J826" s="6" t="str">
        <f>IFERROR(_xlfn.LET(_xlpm.v,
VLOOKUP($I826,効果!$A:$B,COLUMN(効果!B$1),FALSE),
IF(_xlpm.v=0,"",_xlpm.v)
),"")</f>
        <v/>
      </c>
    </row>
    <row r="827" spans="10:14" x14ac:dyDescent="0.4">
      <c r="J827" s="6" t="str">
        <f>IFERROR(_xlfn.LET(_xlpm.v,
VLOOKUP($I827,効果!$A:$B,COLUMN(効果!B$1),FALSE),
IF(_xlpm.v=0,"",_xlpm.v)
),"")</f>
        <v/>
      </c>
    </row>
    <row r="828" spans="10:14" x14ac:dyDescent="0.4">
      <c r="J828" s="6" t="str">
        <f>IFERROR(_xlfn.LET(_xlpm.v,
VLOOKUP($I828,効果!$A:$B,COLUMN(効果!B$1),FALSE),
IF(_xlpm.v=0,"",_xlpm.v)
),"")</f>
        <v/>
      </c>
    </row>
    <row r="829" spans="10:14" x14ac:dyDescent="0.4">
      <c r="J829" s="6" t="str">
        <f>IFERROR(_xlfn.LET(_xlpm.v,
VLOOKUP($I829,効果!$A:$B,COLUMN(効果!B$1),FALSE),
IF(_xlpm.v=0,"",_xlpm.v)
),"")</f>
        <v/>
      </c>
    </row>
    <row r="830" spans="10:14" x14ac:dyDescent="0.4">
      <c r="J830" s="6" t="str">
        <f>IFERROR(_xlfn.LET(_xlpm.v,
VLOOKUP($I830,効果!$A:$B,COLUMN(効果!B$1),FALSE),
IF(_xlpm.v=0,"",_xlpm.v)
),"")</f>
        <v/>
      </c>
    </row>
    <row r="831" spans="10:14" x14ac:dyDescent="0.4">
      <c r="J831" s="6" t="str">
        <f>IFERROR(_xlfn.LET(_xlpm.v,
VLOOKUP($I831,効果!$A:$B,COLUMN(効果!B$1),FALSE),
IF(_xlpm.v=0,"",_xlpm.v)
),"")</f>
        <v/>
      </c>
    </row>
    <row r="832" spans="10:14" x14ac:dyDescent="0.4">
      <c r="J832" s="6" t="str">
        <f>IFERROR(_xlfn.LET(_xlpm.v,
VLOOKUP($I832,効果!$A:$B,COLUMN(効果!B$1),FALSE),
IF(_xlpm.v=0,"",_xlpm.v)
),"")</f>
        <v/>
      </c>
    </row>
    <row r="833" spans="10:10" x14ac:dyDescent="0.4">
      <c r="J833" s="6" t="str">
        <f>IFERROR(_xlfn.LET(_xlpm.v,
VLOOKUP($I833,効果!$A:$B,COLUMN(効果!B$1),FALSE),
IF(_xlpm.v=0,"",_xlpm.v)
),"")</f>
        <v/>
      </c>
    </row>
    <row r="834" spans="10:10" x14ac:dyDescent="0.4">
      <c r="J834" s="6" t="str">
        <f>IFERROR(_xlfn.LET(_xlpm.v,
VLOOKUP($I834,効果!$A:$B,COLUMN(効果!B$1),FALSE),
IF(_xlpm.v=0,"",_xlpm.v)
),"")</f>
        <v/>
      </c>
    </row>
    <row r="835" spans="10:10" x14ac:dyDescent="0.4">
      <c r="J835" s="6" t="str">
        <f>IFERROR(_xlfn.LET(_xlpm.v,
VLOOKUP($I835,効果!$A:$B,COLUMN(効果!B$1),FALSE),
IF(_xlpm.v=0,"",_xlpm.v)
),"")</f>
        <v/>
      </c>
    </row>
    <row r="836" spans="10:10" x14ac:dyDescent="0.4">
      <c r="J836" s="6" t="str">
        <f>IFERROR(_xlfn.LET(_xlpm.v,
VLOOKUP($I836,効果!$A:$B,COLUMN(効果!B$1),FALSE),
IF(_xlpm.v=0,"",_xlpm.v)
),"")</f>
        <v/>
      </c>
    </row>
    <row r="837" spans="10:10" x14ac:dyDescent="0.4">
      <c r="J837" s="6" t="str">
        <f>IFERROR(_xlfn.LET(_xlpm.v,
VLOOKUP($I837,効果!$A:$B,COLUMN(効果!B$1),FALSE),
IF(_xlpm.v=0,"",_xlpm.v)
),"")</f>
        <v/>
      </c>
    </row>
    <row r="838" spans="10:10" x14ac:dyDescent="0.4">
      <c r="J838" s="6" t="str">
        <f>IFERROR(_xlfn.LET(_xlpm.v,
VLOOKUP($I838,効果!$A:$B,COLUMN(効果!B$1),FALSE),
IF(_xlpm.v=0,"",_xlpm.v)
),"")</f>
        <v/>
      </c>
    </row>
    <row r="839" spans="10:10" x14ac:dyDescent="0.4">
      <c r="J839" s="6" t="str">
        <f>IFERROR(_xlfn.LET(_xlpm.v,
VLOOKUP($I839,効果!$A:$B,COLUMN(効果!B$1),FALSE),
IF(_xlpm.v=0,"",_xlpm.v)
),"")</f>
        <v/>
      </c>
    </row>
    <row r="840" spans="10:10" x14ac:dyDescent="0.4">
      <c r="J840" s="6" t="str">
        <f>IFERROR(_xlfn.LET(_xlpm.v,
VLOOKUP($I840,効果!$A:$B,COLUMN(効果!B$1),FALSE),
IF(_xlpm.v=0,"",_xlpm.v)
),"")</f>
        <v/>
      </c>
    </row>
    <row r="841" spans="10:10" x14ac:dyDescent="0.4">
      <c r="J841" s="6" t="str">
        <f>IFERROR(_xlfn.LET(_xlpm.v,
VLOOKUP($I841,効果!$A:$B,COLUMN(効果!B$1),FALSE),
IF(_xlpm.v=0,"",_xlpm.v)
),"")</f>
        <v/>
      </c>
    </row>
    <row r="842" spans="10:10" x14ac:dyDescent="0.4">
      <c r="J842" s="6" t="str">
        <f>IFERROR(_xlfn.LET(_xlpm.v,
VLOOKUP($I842,効果!$A:$B,COLUMN(効果!B$1),FALSE),
IF(_xlpm.v=0,"",_xlpm.v)
),"")</f>
        <v/>
      </c>
    </row>
    <row r="843" spans="10:10" x14ac:dyDescent="0.4">
      <c r="J843" s="6" t="str">
        <f>IFERROR(_xlfn.LET(_xlpm.v,
VLOOKUP($I843,効果!$A:$B,COLUMN(効果!B$1),FALSE),
IF(_xlpm.v=0,"",_xlpm.v)
),"")</f>
        <v/>
      </c>
    </row>
    <row r="844" spans="10:10" x14ac:dyDescent="0.4">
      <c r="J844" s="6" t="str">
        <f>IFERROR(_xlfn.LET(_xlpm.v,
VLOOKUP($I844,効果!$A:$B,COLUMN(効果!B$1),FALSE),
IF(_xlpm.v=0,"",_xlpm.v)
),"")</f>
        <v/>
      </c>
    </row>
    <row r="845" spans="10:10" x14ac:dyDescent="0.4">
      <c r="J845" s="6" t="str">
        <f>IFERROR(_xlfn.LET(_xlpm.v,
VLOOKUP($I845,効果!$A:$B,COLUMN(効果!B$1),FALSE),
IF(_xlpm.v=0,"",_xlpm.v)
),"")</f>
        <v/>
      </c>
    </row>
    <row r="846" spans="10:10" x14ac:dyDescent="0.4">
      <c r="J846" s="6" t="str">
        <f>IFERROR(_xlfn.LET(_xlpm.v,
VLOOKUP($I846,効果!$A:$B,COLUMN(効果!B$1),FALSE),
IF(_xlpm.v=0,"",_xlpm.v)
),"")</f>
        <v/>
      </c>
    </row>
    <row r="847" spans="10:10" x14ac:dyDescent="0.4">
      <c r="J847" s="6" t="str">
        <f>IFERROR(_xlfn.LET(_xlpm.v,
VLOOKUP($I847,効果!$A:$B,COLUMN(効果!B$1),FALSE),
IF(_xlpm.v=0,"",_xlpm.v)
),"")</f>
        <v/>
      </c>
    </row>
    <row r="848" spans="10:10" x14ac:dyDescent="0.4">
      <c r="J848" s="6" t="str">
        <f>IFERROR(_xlfn.LET(_xlpm.v,
VLOOKUP($I848,効果!$A:$B,COLUMN(効果!B$1),FALSE),
IF(_xlpm.v=0,"",_xlpm.v)
),"")</f>
        <v/>
      </c>
    </row>
    <row r="849" spans="10:10" x14ac:dyDescent="0.4">
      <c r="J849" s="6" t="str">
        <f>IFERROR(_xlfn.LET(_xlpm.v,
VLOOKUP($I849,効果!$A:$B,COLUMN(効果!B$1),FALSE),
IF(_xlpm.v=0,"",_xlpm.v)
),"")</f>
        <v/>
      </c>
    </row>
    <row r="850" spans="10:10" x14ac:dyDescent="0.4">
      <c r="J850" s="6" t="str">
        <f>IFERROR(_xlfn.LET(_xlpm.v,
VLOOKUP($I850,効果!$A:$B,COLUMN(効果!B$1),FALSE),
IF(_xlpm.v=0,"",_xlpm.v)
),"")</f>
        <v/>
      </c>
    </row>
  </sheetData>
  <autoFilter ref="A4:T818"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I5:I819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J219"/>
  <sheetViews>
    <sheetView workbookViewId="0">
      <pane xSplit="5" ySplit="17" topLeftCell="BE51" activePane="bottomRight" state="frozen"/>
      <selection pane="topRight" activeCell="F1" sqref="F1"/>
      <selection pane="bottomLeft" activeCell="A18" sqref="A18"/>
      <selection pane="bottomRight" activeCell="A66" sqref="A66"/>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hidden="1" customWidth="1" outlineLevel="1"/>
    <col min="27" max="32" width="4.875" hidden="1" customWidth="1" outlineLevel="1"/>
    <col min="33" max="33" width="5" hidden="1" customWidth="1" outlineLevel="1"/>
    <col min="34" max="34" width="6.625" hidden="1" customWidth="1" outlineLevel="1"/>
    <col min="35" max="35" width="5.25" bestFit="1" customWidth="1" collapsed="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hidden="1" customWidth="1" outlineLevel="1"/>
    <col min="64" max="64" width="6" style="36" hidden="1" customWidth="1" outlineLevel="1"/>
    <col min="65" max="65" width="7.625" hidden="1" customWidth="1" outlineLevel="1"/>
    <col min="66" max="66" width="6" style="36" hidden="1" customWidth="1" outlineLevel="1"/>
    <col min="67" max="67" width="7.625" hidden="1" customWidth="1" outlineLevel="1"/>
    <col min="68" max="68" width="6" style="36" hidden="1" customWidth="1" outlineLevel="1"/>
    <col min="69" max="69" width="36.5" customWidth="1" collapsed="1"/>
    <col min="71" max="71" width="9" hidden="1" customWidth="1" outlineLevel="1"/>
    <col min="72" max="73" width="5.5" hidden="1" customWidth="1" outlineLevel="1"/>
    <col min="74" max="74" width="4.5" hidden="1" customWidth="1" outlineLevel="1"/>
    <col min="75" max="77" width="3.625" hidden="1" customWidth="1" outlineLevel="1"/>
    <col min="78" max="79" width="8.25" hidden="1" customWidth="1" outlineLevel="1"/>
    <col min="80" max="80" width="9" collapsed="1"/>
  </cols>
  <sheetData>
    <row r="1" spans="1:88"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1812</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BZ1" s="10" t="s">
        <v>1877</v>
      </c>
      <c r="CA1" s="10" t="s">
        <v>1878</v>
      </c>
      <c r="CB1" s="10" t="s">
        <v>908</v>
      </c>
      <c r="CC1" s="10" t="s">
        <v>910</v>
      </c>
      <c r="CD1" s="10" t="s">
        <v>911</v>
      </c>
      <c r="CE1" s="10" t="s">
        <v>909</v>
      </c>
      <c r="CF1" s="10" t="s">
        <v>912</v>
      </c>
      <c r="CG1" s="10" t="s">
        <v>913</v>
      </c>
      <c r="CH1" s="10" t="s">
        <v>745</v>
      </c>
      <c r="CI1" s="10" t="s">
        <v>746</v>
      </c>
      <c r="CJ1" s="10" t="s">
        <v>983</v>
      </c>
    </row>
    <row r="2" spans="1:88"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65" t="s">
        <v>232</v>
      </c>
      <c r="AK2" s="65"/>
      <c r="AL2" s="65"/>
      <c r="AM2" s="65"/>
      <c r="AN2" s="65"/>
      <c r="AO2" s="65"/>
      <c r="AP2" s="65"/>
      <c r="AQ2" s="65"/>
      <c r="AR2" s="65"/>
      <c r="AS2" s="65"/>
      <c r="AT2" s="65"/>
      <c r="AU2" s="65"/>
      <c r="AV2" s="65"/>
      <c r="AW2" s="65"/>
      <c r="AX2" s="65"/>
      <c r="AY2" s="65"/>
      <c r="BJ2" s="35"/>
      <c r="BL2" s="35"/>
      <c r="BN2" s="35"/>
      <c r="BP2" s="35"/>
    </row>
    <row r="3" spans="1:88"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65" t="s">
        <v>233</v>
      </c>
      <c r="AK3" s="65"/>
      <c r="AL3" s="65"/>
      <c r="AM3" s="65"/>
      <c r="AN3" s="65"/>
      <c r="AO3" s="65"/>
      <c r="AP3" s="65"/>
      <c r="AQ3" s="65"/>
      <c r="AR3" s="65"/>
      <c r="AS3" s="65"/>
      <c r="AT3" s="65"/>
      <c r="AU3" s="65"/>
      <c r="AV3" s="65"/>
      <c r="AW3" s="65"/>
      <c r="AX3" s="65"/>
      <c r="AY3" s="65"/>
      <c r="BJ3" s="35"/>
      <c r="BL3" s="35"/>
      <c r="BN3" s="35"/>
      <c r="BP3" s="35"/>
    </row>
    <row r="4" spans="1:88"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65" t="s">
        <v>234</v>
      </c>
      <c r="AK4" s="65"/>
      <c r="AL4" s="65"/>
      <c r="AM4" s="65"/>
      <c r="AN4" s="65"/>
      <c r="AO4" s="65"/>
      <c r="AP4" s="65"/>
      <c r="AQ4" s="65"/>
      <c r="AR4" s="65"/>
      <c r="AS4" s="65"/>
      <c r="AT4" s="65"/>
      <c r="AU4" s="65"/>
      <c r="AV4" s="65"/>
      <c r="AW4" s="65"/>
      <c r="AX4" s="65"/>
      <c r="AY4" s="65"/>
      <c r="BJ4" s="35"/>
      <c r="BL4" s="35"/>
      <c r="BN4" s="35"/>
      <c r="BP4" s="35"/>
    </row>
    <row r="5" spans="1:88"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65" t="s">
        <v>235</v>
      </c>
      <c r="AK5" s="65"/>
      <c r="AL5" s="65"/>
      <c r="AM5" s="65"/>
      <c r="AN5" s="65"/>
      <c r="AO5" s="65"/>
      <c r="AP5" s="65"/>
      <c r="AQ5" s="65"/>
      <c r="AR5" s="65"/>
      <c r="AS5" s="65"/>
      <c r="AT5" s="65"/>
      <c r="AU5" s="65"/>
      <c r="AV5" s="65"/>
      <c r="AW5" s="65"/>
      <c r="AX5" s="65"/>
      <c r="AY5" s="65"/>
      <c r="BJ5" s="35"/>
      <c r="BL5" s="35"/>
      <c r="BN5" s="35"/>
      <c r="BP5" s="35"/>
    </row>
    <row r="6" spans="1:88"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65" t="s">
        <v>236</v>
      </c>
      <c r="AK6" s="65"/>
      <c r="AL6" s="65"/>
      <c r="AM6" s="65"/>
      <c r="AN6" s="65"/>
      <c r="AO6" s="65"/>
      <c r="AP6" s="65"/>
      <c r="AQ6" s="65"/>
      <c r="AR6" s="65"/>
      <c r="AS6" s="65"/>
      <c r="AT6" s="65"/>
      <c r="AU6" s="65"/>
      <c r="AV6" s="65"/>
      <c r="AW6" s="65"/>
      <c r="AX6" s="65"/>
      <c r="AY6" s="65"/>
      <c r="BJ6" s="35"/>
      <c r="BL6" s="35"/>
      <c r="BN6" s="35"/>
      <c r="BP6" s="35"/>
    </row>
    <row r="7" spans="1:88"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64" t="s">
        <v>237</v>
      </c>
      <c r="AK7" s="64"/>
      <c r="AL7" s="64"/>
      <c r="AM7" s="64"/>
      <c r="AN7" s="64"/>
      <c r="AO7" s="64"/>
      <c r="AP7" s="64"/>
      <c r="AQ7" s="64"/>
      <c r="AR7" s="64"/>
      <c r="AS7" s="64"/>
      <c r="AT7" s="64"/>
      <c r="AU7" s="64"/>
      <c r="AV7" s="64"/>
      <c r="AW7" s="64"/>
      <c r="AX7" s="64"/>
      <c r="AY7" s="64"/>
      <c r="BJ7" s="35"/>
      <c r="BL7" s="35"/>
      <c r="BN7" s="35"/>
      <c r="BP7" s="35"/>
    </row>
    <row r="8" spans="1:88"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64" t="s">
        <v>238</v>
      </c>
      <c r="AK8" s="64"/>
      <c r="AL8" s="64"/>
      <c r="AM8" s="64"/>
      <c r="AN8" s="64"/>
      <c r="AO8" s="64"/>
      <c r="AP8" s="64"/>
      <c r="AQ8" s="64"/>
      <c r="AR8" s="64"/>
      <c r="AS8" s="64"/>
      <c r="AT8" s="64"/>
      <c r="AU8" s="64"/>
      <c r="AV8" s="64"/>
      <c r="AW8" s="64"/>
      <c r="AX8" s="64"/>
      <c r="AY8" s="64"/>
      <c r="BJ8" s="35"/>
      <c r="BL8" s="35"/>
      <c r="BN8" s="35"/>
      <c r="BP8" s="35"/>
    </row>
    <row r="9" spans="1:88"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67" t="s">
        <v>239</v>
      </c>
      <c r="AK9" s="67"/>
      <c r="AL9" s="67"/>
      <c r="AM9" s="67"/>
      <c r="AN9" s="67"/>
      <c r="AO9" s="67"/>
      <c r="AP9" s="67"/>
      <c r="AQ9" s="67"/>
      <c r="AR9" s="67"/>
      <c r="AS9" s="67"/>
      <c r="AT9" s="67"/>
      <c r="AU9" s="67"/>
      <c r="AV9" s="67"/>
      <c r="AW9" s="67"/>
      <c r="AX9" s="67"/>
      <c r="AY9" s="67"/>
      <c r="BJ9" s="35"/>
      <c r="BL9" s="35"/>
      <c r="BN9" s="35"/>
      <c r="BP9" s="35"/>
    </row>
    <row r="10" spans="1:88"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67" t="s">
        <v>240</v>
      </c>
      <c r="AK10" s="67"/>
      <c r="AL10" s="67"/>
      <c r="AM10" s="67"/>
      <c r="AN10" s="67"/>
      <c r="AO10" s="67"/>
      <c r="AP10" s="67"/>
      <c r="AQ10" s="67"/>
      <c r="AR10" s="67"/>
      <c r="AS10" s="67"/>
      <c r="AT10" s="67"/>
      <c r="AU10" s="67"/>
      <c r="AV10" s="67"/>
      <c r="AW10" s="67"/>
      <c r="AX10" s="67"/>
      <c r="AY10" s="67"/>
      <c r="BJ10" s="35"/>
      <c r="BL10" s="35"/>
      <c r="BN10" s="35"/>
      <c r="BP10" s="35"/>
    </row>
    <row r="11" spans="1:88"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67" t="s">
        <v>241</v>
      </c>
      <c r="AK11" s="67"/>
      <c r="AL11" s="67"/>
      <c r="AM11" s="67"/>
      <c r="AN11" s="67"/>
      <c r="AO11" s="67"/>
      <c r="AP11" s="67"/>
      <c r="AQ11" s="67"/>
      <c r="AR11" s="67"/>
      <c r="AS11" s="67"/>
      <c r="AT11" s="67"/>
      <c r="AU11" s="67"/>
      <c r="AV11" s="67"/>
      <c r="AW11" s="67"/>
      <c r="AX11" s="67"/>
      <c r="AY11" s="67"/>
      <c r="BJ11" s="35"/>
      <c r="BL11" s="35"/>
      <c r="BN11" s="35"/>
      <c r="BP11" s="35"/>
    </row>
    <row r="12" spans="1:88"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67" t="s">
        <v>242</v>
      </c>
      <c r="AK12" s="67"/>
      <c r="AL12" s="67"/>
      <c r="AM12" s="67"/>
      <c r="AN12" s="67"/>
      <c r="AO12" s="67"/>
      <c r="AP12" s="67"/>
      <c r="AQ12" s="67"/>
      <c r="AR12" s="67"/>
      <c r="AS12" s="67"/>
      <c r="AT12" s="67"/>
      <c r="AU12" s="67"/>
      <c r="AV12" s="67"/>
      <c r="AW12" s="67"/>
      <c r="AX12" s="67"/>
      <c r="AY12" s="67"/>
      <c r="BJ12" s="35"/>
      <c r="BL12" s="35"/>
      <c r="BN12" s="35"/>
      <c r="BP12" s="35"/>
    </row>
    <row r="13" spans="1:88"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66" t="s">
        <v>243</v>
      </c>
      <c r="AK13" s="66"/>
      <c r="AL13" s="66"/>
      <c r="AM13" s="66"/>
      <c r="AN13" s="66"/>
      <c r="AO13" s="66"/>
      <c r="AP13" s="66"/>
      <c r="AQ13" s="66"/>
      <c r="AR13" s="66"/>
      <c r="AS13" s="66"/>
      <c r="AT13" s="66"/>
      <c r="AU13" s="66"/>
      <c r="AV13" s="66"/>
      <c r="AW13" s="66"/>
      <c r="AX13" s="66"/>
      <c r="AY13" s="66"/>
      <c r="BJ13" s="35"/>
      <c r="BL13" s="35"/>
      <c r="BN13" s="35"/>
      <c r="BP13" s="35"/>
    </row>
    <row r="14" spans="1:88"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66" t="s">
        <v>244</v>
      </c>
      <c r="AK14" s="66"/>
      <c r="AL14" s="66"/>
      <c r="AM14" s="66"/>
      <c r="AN14" s="66"/>
      <c r="AO14" s="66"/>
      <c r="AP14" s="66"/>
      <c r="AQ14" s="66"/>
      <c r="AR14" s="66"/>
      <c r="AS14" s="66"/>
      <c r="AT14" s="66"/>
      <c r="AU14" s="66"/>
      <c r="AV14" s="66"/>
      <c r="AW14" s="66"/>
      <c r="AX14" s="66"/>
      <c r="AY14" s="66"/>
      <c r="BJ14" s="35"/>
      <c r="BL14" s="35"/>
      <c r="BN14" s="35"/>
      <c r="BP14" s="35"/>
    </row>
    <row r="15" spans="1:88"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66" t="s">
        <v>245</v>
      </c>
      <c r="AK15" s="66"/>
      <c r="AL15" s="66"/>
      <c r="AM15" s="66"/>
      <c r="AN15" s="66"/>
      <c r="AO15" s="66"/>
      <c r="AP15" s="66"/>
      <c r="AQ15" s="66"/>
      <c r="AR15" s="66"/>
      <c r="AS15" s="66"/>
      <c r="AT15" s="66"/>
      <c r="AU15" s="66"/>
      <c r="AV15" s="66"/>
      <c r="AW15" s="66"/>
      <c r="AX15" s="66"/>
      <c r="AY15" s="66"/>
      <c r="BJ15" s="35"/>
      <c r="BL15" s="35"/>
      <c r="BN15" s="35"/>
      <c r="BP15" s="35"/>
    </row>
    <row r="16" spans="1:88"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66" t="s">
        <v>246</v>
      </c>
      <c r="AK16" s="66"/>
      <c r="AL16" s="66"/>
      <c r="AM16" s="66"/>
      <c r="AN16" s="66"/>
      <c r="AO16" s="66"/>
      <c r="AP16" s="66"/>
      <c r="AQ16" s="66"/>
      <c r="AR16" s="66"/>
      <c r="AS16" s="66"/>
      <c r="AT16" s="66"/>
      <c r="AU16" s="66"/>
      <c r="AV16" s="66"/>
      <c r="AW16" s="66"/>
      <c r="AX16" s="66"/>
      <c r="AY16" s="66"/>
      <c r="BJ16" s="35"/>
      <c r="BL16" s="35"/>
      <c r="BN16" s="35"/>
      <c r="BP16" s="35"/>
    </row>
    <row r="17" spans="1:88" collapsed="1" x14ac:dyDescent="0.4">
      <c r="BS17" s="3" t="s">
        <v>901</v>
      </c>
      <c r="BT17" s="53" t="s">
        <v>474</v>
      </c>
      <c r="BU17" s="53" t="s">
        <v>475</v>
      </c>
      <c r="BV17" s="53" t="s">
        <v>476</v>
      </c>
      <c r="BW17" s="53" t="s">
        <v>477</v>
      </c>
    </row>
    <row r="18" spans="1:88"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f>IF($A18="","", INDEX(CS!$B$1:$B$12939,MATCH($A18,CS!$B:$B,0)+COLUMN(A$1),1))</f>
        <v>0</v>
      </c>
      <c r="AY18">
        <f>IF($A18="","", INDEX(CS!$B$1:$B$12939,MATCH($A18,CS!$B:$B,0)+COLUMN(B$1),1))</f>
        <v>0</v>
      </c>
      <c r="AZ18">
        <f>IF($A18="","", INDEX(CS!$B$1:$B$12939,MATCH($A18,CS!$B:$B,0)+COLUMN(C$1),1))</f>
        <v>0</v>
      </c>
      <c r="BA18">
        <f>IF($A18="","", INDEX(CS!$B$1:$B$12939,MATCH($A18,CS!$B:$B,0)+COLUMN(D$1),1))</f>
        <v>0</v>
      </c>
      <c r="BB18">
        <f>IF($A18="","", INDEX(CS!$B$1:$B$12939,MATCH($A18,CS!$B:$B,0)+COLUMN(E$1),1))</f>
        <v>0</v>
      </c>
      <c r="BC18">
        <f>IF($A18="","", INDEX(CS!$B$1:$B$12939,MATCH($A18,CS!$B:$B,0)+COLUMN(F$1),1))</f>
        <v>0</v>
      </c>
      <c r="BD18">
        <f>IF($A18="","", INDEX(CS!$B$1:$B$12939,MATCH($A18,CS!$B:$B,0)+COLUMN(G$1),1))</f>
        <v>0</v>
      </c>
      <c r="BE18">
        <f>IF($A18="","", INDEX(CS!$B$1:$B$12939,MATCH($A18,CS!$B:$B,0)+COLUMN(H$1),1))</f>
        <v>0</v>
      </c>
      <c r="BF18">
        <f>IF($A18="","", INDEX(CS!$B$1:$B$12939,MATCH($A18,CS!$B:$B,0)+COLUMN(I$1),1))</f>
        <v>0</v>
      </c>
      <c r="BG18">
        <f>IF($A18="","", INDEX(CS!$B$1:$B$12939,MATCH($A18,CS!$B:$B,0)+COLUMN(J$1),1))</f>
        <v>0</v>
      </c>
      <c r="BR18" t="s">
        <v>904</v>
      </c>
      <c r="BS18" s="53">
        <v>100</v>
      </c>
      <c r="BT18" s="52">
        <v>40</v>
      </c>
      <c r="BU18" s="52">
        <v>30</v>
      </c>
      <c r="BV18" s="52">
        <v>20</v>
      </c>
      <c r="BW18" s="52">
        <v>10</v>
      </c>
      <c r="BZ18" s="52">
        <v>2</v>
      </c>
      <c r="CA18" s="52"/>
      <c r="CJ18" t="s">
        <v>984</v>
      </c>
    </row>
    <row r="19" spans="1:88"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f>IF($A19="","", INDEX(CS!$B$1:$B$12939,MATCH($A19,CS!$B:$B,0)+COLUMN(A$1),1))</f>
        <v>0</v>
      </c>
      <c r="AY19">
        <f>IF($A19="","", INDEX(CS!$B$1:$B$12939,MATCH($A19,CS!$B:$B,0)+COLUMN(B$1),1))</f>
        <v>0</v>
      </c>
      <c r="AZ19">
        <f>IF($A19="","", INDEX(CS!$B$1:$B$12939,MATCH($A19,CS!$B:$B,0)+COLUMN(C$1),1))</f>
        <v>0</v>
      </c>
      <c r="BA19">
        <f>IF($A19="","", INDEX(CS!$B$1:$B$12939,MATCH($A19,CS!$B:$B,0)+COLUMN(D$1),1))</f>
        <v>0</v>
      </c>
      <c r="BB19">
        <f>IF($A19="","", INDEX(CS!$B$1:$B$12939,MATCH($A19,CS!$B:$B,0)+COLUMN(E$1),1))</f>
        <v>0</v>
      </c>
      <c r="BC19">
        <f>IF($A19="","", INDEX(CS!$B$1:$B$12939,MATCH($A19,CS!$B:$B,0)+COLUMN(F$1),1))</f>
        <v>0</v>
      </c>
      <c r="BD19">
        <f>IF($A19="","", INDEX(CS!$B$1:$B$12939,MATCH($A19,CS!$B:$B,0)+COLUMN(G$1),1))</f>
        <v>0</v>
      </c>
      <c r="BE19">
        <f>IF($A19="","", INDEX(CS!$B$1:$B$12939,MATCH($A19,CS!$B:$B,0)+COLUMN(H$1),1))</f>
        <v>0</v>
      </c>
      <c r="BF19">
        <f>IF($A19="","", INDEX(CS!$B$1:$B$12939,MATCH($A19,CS!$B:$B,0)+COLUMN(I$1),1))</f>
        <v>0</v>
      </c>
      <c r="BG19">
        <f>IF($A19="","", INDEX(CS!$B$1:$B$12939,MATCH($A19,CS!$B:$B,0)+COLUMN(J$1),1))</f>
        <v>0</v>
      </c>
      <c r="BR19" t="s">
        <v>904</v>
      </c>
      <c r="BS19" s="53">
        <v>100</v>
      </c>
      <c r="BT19" s="52">
        <v>20</v>
      </c>
      <c r="BU19" s="52">
        <v>50</v>
      </c>
      <c r="BV19" s="52">
        <v>10</v>
      </c>
      <c r="BW19" s="52">
        <v>20</v>
      </c>
      <c r="BZ19" s="52">
        <v>2</v>
      </c>
      <c r="CA19" s="52"/>
      <c r="CJ19" t="s">
        <v>876</v>
      </c>
    </row>
    <row r="20" spans="1:88"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INDEX(CS!$B$1:$B$12939,MATCH($A20,CS!$B:$B,0)+COLUMN(A$1),1))</f>
        <v>0</v>
      </c>
      <c r="AY20">
        <f>IF($A20="","", INDEX(CS!$B$1:$B$12939,MATCH($A20,CS!$B:$B,0)+COLUMN(B$1),1))</f>
        <v>0</v>
      </c>
      <c r="AZ20">
        <f>IF($A20="","", INDEX(CS!$B$1:$B$12939,MATCH($A20,CS!$B:$B,0)+COLUMN(C$1),1))</f>
        <v>0</v>
      </c>
      <c r="BA20">
        <f>IF($A20="","", INDEX(CS!$B$1:$B$12939,MATCH($A20,CS!$B:$B,0)+COLUMN(D$1),1))</f>
        <v>0</v>
      </c>
      <c r="BB20">
        <f>IF($A20="","", INDEX(CS!$B$1:$B$12939,MATCH($A20,CS!$B:$B,0)+COLUMN(E$1),1))</f>
        <v>0</v>
      </c>
      <c r="BC20">
        <f>IF($A20="","", INDEX(CS!$B$1:$B$12939,MATCH($A20,CS!$B:$B,0)+COLUMN(F$1),1))</f>
        <v>0</v>
      </c>
      <c r="BD20">
        <f>IF($A20="","", INDEX(CS!$B$1:$B$12939,MATCH($A20,CS!$B:$B,0)+COLUMN(G$1),1))</f>
        <v>0</v>
      </c>
      <c r="BE20">
        <f>IF($A20="","", INDEX(CS!$B$1:$B$12939,MATCH($A20,CS!$B:$B,0)+COLUMN(H$1),1))</f>
        <v>0</v>
      </c>
      <c r="BF20">
        <f>IF($A20="","", INDEX(CS!$B$1:$B$12939,MATCH($A20,CS!$B:$B,0)+COLUMN(I$1),1))</f>
        <v>0</v>
      </c>
      <c r="BG20">
        <f>IF($A20="","", INDEX(CS!$B$1:$B$12939,MATCH($A20,CS!$B:$B,0)+COLUMN(J$1),1))</f>
        <v>0</v>
      </c>
      <c r="BR20" t="s">
        <v>904</v>
      </c>
      <c r="BS20" s="53">
        <v>100</v>
      </c>
      <c r="BT20" s="52">
        <v>30</v>
      </c>
      <c r="BU20" s="52">
        <v>20</v>
      </c>
      <c r="BV20" s="52">
        <v>40</v>
      </c>
      <c r="BW20" s="52">
        <v>10</v>
      </c>
      <c r="BZ20" s="52">
        <v>2</v>
      </c>
      <c r="CA20" s="52"/>
      <c r="CJ20" t="s">
        <v>985</v>
      </c>
    </row>
    <row r="21" spans="1:88" outlineLevel="1" x14ac:dyDescent="0.4">
      <c r="D21" t="str">
        <f t="shared" si="0"/>
        <v>0/0/0</v>
      </c>
      <c r="AX21" t="str">
        <f>IF($A21="","", INDEX(CS!$B$1:$B$12939,MATCH($A21,CS!$B:$B,0)+COLUMN(A$1),1))</f>
        <v/>
      </c>
      <c r="AY21" t="str">
        <f>IF($A21="","", INDEX(CS!$B$1:$B$12939,MATCH($A21,CS!$B:$B,0)+COLUMN(B$1),1))</f>
        <v/>
      </c>
      <c r="AZ21" t="str">
        <f>IF($A21="","", INDEX(CS!$B$1:$B$12939,MATCH($A21,CS!$B:$B,0)+COLUMN(C$1),1))</f>
        <v/>
      </c>
      <c r="BA21" t="str">
        <f>IF($A21="","", INDEX(CS!$B$1:$B$12939,MATCH($A21,CS!$B:$B,0)+COLUMN(D$1),1))</f>
        <v/>
      </c>
      <c r="BB21" t="str">
        <f>IF($A21="","", INDEX(CS!$B$1:$B$12939,MATCH($A21,CS!$B:$B,0)+COLUMN(E$1),1))</f>
        <v/>
      </c>
      <c r="BC21" t="str">
        <f>IF($A21="","", INDEX(CS!$B$1:$B$12939,MATCH($A21,CS!$B:$B,0)+COLUMN(F$1),1))</f>
        <v/>
      </c>
      <c r="BD21" t="str">
        <f>IF($A21="","", INDEX(CS!$B$1:$B$12939,MATCH($A21,CS!$B:$B,0)+COLUMN(G$1),1))</f>
        <v/>
      </c>
      <c r="BE21" t="str">
        <f>IF($A21="","", INDEX(CS!$B$1:$B$12939,MATCH($A21,CS!$B:$B,0)+COLUMN(H$1),1))</f>
        <v/>
      </c>
      <c r="BF21" t="str">
        <f>IF($A21="","", INDEX(CS!$B$1:$B$12939,MATCH($A21,CS!$B:$B,0)+COLUMN(I$1),1))</f>
        <v/>
      </c>
      <c r="BG21" t="str">
        <f>IF($A21="","", INDEX(CS!$B$1:$B$12939,MATCH($A21,CS!$B:$B,0)+COLUMN(J$1),1))</f>
        <v/>
      </c>
      <c r="BS21" s="53"/>
      <c r="BT21" s="52"/>
      <c r="BU21" s="52"/>
      <c r="BV21" s="52"/>
      <c r="BW21" s="52"/>
    </row>
    <row r="22" spans="1:88"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INDEX(CS!$B$1:$B$12939,MATCH($A22,CS!$B:$B,0)+COLUMN(A$1),1))</f>
        <v>0</v>
      </c>
      <c r="AY22">
        <f>IF($A22="","", INDEX(CS!$B$1:$B$12939,MATCH($A22,CS!$B:$B,0)+COLUMN(B$1),1))</f>
        <v>0</v>
      </c>
      <c r="AZ22">
        <f>IF($A22="","", INDEX(CS!$B$1:$B$12939,MATCH($A22,CS!$B:$B,0)+COLUMN(C$1),1))</f>
        <v>0</v>
      </c>
      <c r="BA22">
        <f>IF($A22="","", INDEX(CS!$B$1:$B$12939,MATCH($A22,CS!$B:$B,0)+COLUMN(D$1),1))</f>
        <v>0</v>
      </c>
      <c r="BB22">
        <f>IF($A22="","", INDEX(CS!$B$1:$B$12939,MATCH($A22,CS!$B:$B,0)+COLUMN(E$1),1))</f>
        <v>0</v>
      </c>
      <c r="BC22">
        <f>IF($A22="","", INDEX(CS!$B$1:$B$12939,MATCH($A22,CS!$B:$B,0)+COLUMN(F$1),1))</f>
        <v>0</v>
      </c>
      <c r="BD22">
        <f>IF($A22="","", INDEX(CS!$B$1:$B$12939,MATCH($A22,CS!$B:$B,0)+COLUMN(G$1),1))</f>
        <v>0</v>
      </c>
      <c r="BE22">
        <f>IF($A22="","", INDEX(CS!$B$1:$B$12939,MATCH($A22,CS!$B:$B,0)+COLUMN(H$1),1))</f>
        <v>0</v>
      </c>
      <c r="BF22">
        <f>IF($A22="","", INDEX(CS!$B$1:$B$12939,MATCH($A22,CS!$B:$B,0)+COLUMN(I$1),1))</f>
        <v>0</v>
      </c>
      <c r="BG22">
        <f>IF($A22="","", INDEX(CS!$B$1:$B$12939,MATCH($A22,CS!$B:$B,0)+COLUMN(J$1),1))</f>
        <v>0</v>
      </c>
      <c r="BR22" t="s">
        <v>904</v>
      </c>
      <c r="BS22" s="53">
        <v>110</v>
      </c>
      <c r="BT22" s="52">
        <v>20</v>
      </c>
      <c r="BU22" s="52">
        <v>20</v>
      </c>
      <c r="BV22" s="52">
        <v>50</v>
      </c>
      <c r="BW22" s="52">
        <v>20</v>
      </c>
      <c r="BZ22" s="52">
        <v>2</v>
      </c>
      <c r="CA22" s="52"/>
      <c r="CJ22" t="s">
        <v>878</v>
      </c>
    </row>
    <row r="23" spans="1:88"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INDEX(CS!$B$1:$B$12939,MATCH($A23,CS!$B:$B,0)+COLUMN(A$1),1))</f>
        <v>0</v>
      </c>
      <c r="AY23">
        <f>IF($A23="","", INDEX(CS!$B$1:$B$12939,MATCH($A23,CS!$B:$B,0)+COLUMN(B$1),1))</f>
        <v>0</v>
      </c>
      <c r="AZ23">
        <f>IF($A23="","", INDEX(CS!$B$1:$B$12939,MATCH($A23,CS!$B:$B,0)+COLUMN(C$1),1))</f>
        <v>0</v>
      </c>
      <c r="BA23">
        <f>IF($A23="","", INDEX(CS!$B$1:$B$12939,MATCH($A23,CS!$B:$B,0)+COLUMN(D$1),1))</f>
        <v>0</v>
      </c>
      <c r="BB23">
        <f>IF($A23="","", INDEX(CS!$B$1:$B$12939,MATCH($A23,CS!$B:$B,0)+COLUMN(E$1),1))</f>
        <v>0</v>
      </c>
      <c r="BC23">
        <f>IF($A23="","", INDEX(CS!$B$1:$B$12939,MATCH($A23,CS!$B:$B,0)+COLUMN(F$1),1))</f>
        <v>0</v>
      </c>
      <c r="BD23">
        <f>IF($A23="","", INDEX(CS!$B$1:$B$12939,MATCH($A23,CS!$B:$B,0)+COLUMN(G$1),1))</f>
        <v>0</v>
      </c>
      <c r="BE23">
        <f>IF($A23="","", INDEX(CS!$B$1:$B$12939,MATCH($A23,CS!$B:$B,0)+COLUMN(H$1),1))</f>
        <v>0</v>
      </c>
      <c r="BF23">
        <f>IF($A23="","", INDEX(CS!$B$1:$B$12939,MATCH($A23,CS!$B:$B,0)+COLUMN(I$1),1))</f>
        <v>0</v>
      </c>
      <c r="BG23">
        <f>IF($A23="","", INDEX(CS!$B$1:$B$12939,MATCH($A23,CS!$B:$B,0)+COLUMN(J$1),1))</f>
        <v>0</v>
      </c>
      <c r="BR23" t="s">
        <v>904</v>
      </c>
      <c r="BS23" s="53">
        <v>110</v>
      </c>
      <c r="BT23" s="52">
        <v>15</v>
      </c>
      <c r="BU23" s="52">
        <v>10</v>
      </c>
      <c r="BV23" s="52">
        <v>70</v>
      </c>
      <c r="BW23" s="52">
        <v>15</v>
      </c>
      <c r="BZ23" s="52">
        <v>2</v>
      </c>
      <c r="CA23" s="52"/>
      <c r="CJ23" t="s">
        <v>879</v>
      </c>
    </row>
    <row r="24" spans="1:88"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INDEX(CS!$B$1:$B$12939,MATCH($A24,CS!$B:$B,0)+COLUMN(A$1),1))</f>
        <v>0</v>
      </c>
      <c r="AY24">
        <f>IF($A24="","", INDEX(CS!$B$1:$B$12939,MATCH($A24,CS!$B:$B,0)+COLUMN(B$1),1))</f>
        <v>0</v>
      </c>
      <c r="AZ24">
        <f>IF($A24="","", INDEX(CS!$B$1:$B$12939,MATCH($A24,CS!$B:$B,0)+COLUMN(C$1),1))</f>
        <v>0</v>
      </c>
      <c r="BA24">
        <f>IF($A24="","", INDEX(CS!$B$1:$B$12939,MATCH($A24,CS!$B:$B,0)+COLUMN(D$1),1))</f>
        <v>0</v>
      </c>
      <c r="BB24">
        <f>IF($A24="","", INDEX(CS!$B$1:$B$12939,MATCH($A24,CS!$B:$B,0)+COLUMN(E$1),1))</f>
        <v>0</v>
      </c>
      <c r="BC24">
        <f>IF($A24="","", INDEX(CS!$B$1:$B$12939,MATCH($A24,CS!$B:$B,0)+COLUMN(F$1),1))</f>
        <v>0</v>
      </c>
      <c r="BD24">
        <f>IF($A24="","", INDEX(CS!$B$1:$B$12939,MATCH($A24,CS!$B:$B,0)+COLUMN(G$1),1))</f>
        <v>0</v>
      </c>
      <c r="BE24">
        <f>IF($A24="","", INDEX(CS!$B$1:$B$12939,MATCH($A24,CS!$B:$B,0)+COLUMN(H$1),1))</f>
        <v>0</v>
      </c>
      <c r="BF24">
        <f>IF($A24="","", INDEX(CS!$B$1:$B$12939,MATCH($A24,CS!$B:$B,0)+COLUMN(I$1),1))</f>
        <v>0</v>
      </c>
      <c r="BG24">
        <f>IF($A24="","", INDEX(CS!$B$1:$B$12939,MATCH($A24,CS!$B:$B,0)+COLUMN(J$1),1))</f>
        <v>0</v>
      </c>
      <c r="BR24" t="s">
        <v>904</v>
      </c>
      <c r="BS24" s="53">
        <v>200</v>
      </c>
      <c r="BT24" s="52">
        <v>40</v>
      </c>
      <c r="BU24" s="52">
        <v>10</v>
      </c>
      <c r="BV24" s="52">
        <v>100</v>
      </c>
      <c r="BW24" s="52">
        <v>10</v>
      </c>
      <c r="BZ24" s="52">
        <v>2</v>
      </c>
      <c r="CA24" s="52"/>
      <c r="CJ24" t="s">
        <v>880</v>
      </c>
    </row>
    <row r="25" spans="1:88"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INDEX(CS!$B$1:$B$12939,MATCH($A25,CS!$B:$B,0)+COLUMN(A$1),1))</f>
        <v>0</v>
      </c>
      <c r="AY25">
        <f>IF($A25="","", INDEX(CS!$B$1:$B$12939,MATCH($A25,CS!$B:$B,0)+COLUMN(B$1),1))</f>
        <v>0</v>
      </c>
      <c r="AZ25">
        <f>IF($A25="","", INDEX(CS!$B$1:$B$12939,MATCH($A25,CS!$B:$B,0)+COLUMN(C$1),1))</f>
        <v>0</v>
      </c>
      <c r="BA25">
        <f>IF($A25="","", INDEX(CS!$B$1:$B$12939,MATCH($A25,CS!$B:$B,0)+COLUMN(D$1),1))</f>
        <v>0</v>
      </c>
      <c r="BB25">
        <f>IF($A25="","", INDEX(CS!$B$1:$B$12939,MATCH($A25,CS!$B:$B,0)+COLUMN(E$1),1))</f>
        <v>0</v>
      </c>
      <c r="BC25">
        <f>IF($A25="","", INDEX(CS!$B$1:$B$12939,MATCH($A25,CS!$B:$B,0)+COLUMN(F$1),1))</f>
        <v>0</v>
      </c>
      <c r="BD25">
        <f>IF($A25="","", INDEX(CS!$B$1:$B$12939,MATCH($A25,CS!$B:$B,0)+COLUMN(G$1),1))</f>
        <v>0</v>
      </c>
      <c r="BE25">
        <f>IF($A25="","", INDEX(CS!$B$1:$B$12939,MATCH($A25,CS!$B:$B,0)+COLUMN(H$1),1))</f>
        <v>0</v>
      </c>
      <c r="BF25">
        <f>IF($A25="","", INDEX(CS!$B$1:$B$12939,MATCH($A25,CS!$B:$B,0)+COLUMN(I$1),1))</f>
        <v>0</v>
      </c>
      <c r="BG25">
        <f>IF($A25="","", INDEX(CS!$B$1:$B$12939,MATCH($A25,CS!$B:$B,0)+COLUMN(J$1),1))</f>
        <v>0</v>
      </c>
      <c r="BR25" t="s">
        <v>904</v>
      </c>
      <c r="BS25" s="53">
        <v>250</v>
      </c>
      <c r="BT25" s="52">
        <v>60</v>
      </c>
      <c r="BU25" s="52">
        <v>30</v>
      </c>
      <c r="BV25" s="52">
        <v>200</v>
      </c>
      <c r="BW25" s="52">
        <v>30</v>
      </c>
      <c r="BZ25" s="52">
        <v>2</v>
      </c>
      <c r="CA25" s="52"/>
      <c r="CJ25" t="s">
        <v>881</v>
      </c>
    </row>
    <row r="26" spans="1:88"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INDEX(CS!$B$1:$B$12939,MATCH($A26,CS!$B:$B,0)+COLUMN(A$1),1))</f>
        <v>0</v>
      </c>
      <c r="AY26">
        <f>IF($A26="","", INDEX(CS!$B$1:$B$12939,MATCH($A26,CS!$B:$B,0)+COLUMN(B$1),1))</f>
        <v>0</v>
      </c>
      <c r="AZ26">
        <f>IF($A26="","", INDEX(CS!$B$1:$B$12939,MATCH($A26,CS!$B:$B,0)+COLUMN(C$1),1))</f>
        <v>0</v>
      </c>
      <c r="BA26">
        <f>IF($A26="","", INDEX(CS!$B$1:$B$12939,MATCH($A26,CS!$B:$B,0)+COLUMN(D$1),1))</f>
        <v>0</v>
      </c>
      <c r="BB26">
        <f>IF($A26="","", INDEX(CS!$B$1:$B$12939,MATCH($A26,CS!$B:$B,0)+COLUMN(E$1),1))</f>
        <v>0</v>
      </c>
      <c r="BC26">
        <f>IF($A26="","", INDEX(CS!$B$1:$B$12939,MATCH($A26,CS!$B:$B,0)+COLUMN(F$1),1))</f>
        <v>0</v>
      </c>
      <c r="BD26">
        <f>IF($A26="","", INDEX(CS!$B$1:$B$12939,MATCH($A26,CS!$B:$B,0)+COLUMN(G$1),1))</f>
        <v>0</v>
      </c>
      <c r="BE26">
        <f>IF($A26="","", INDEX(CS!$B$1:$B$12939,MATCH($A26,CS!$B:$B,0)+COLUMN(H$1),1))</f>
        <v>0</v>
      </c>
      <c r="BF26">
        <f>IF($A26="","", INDEX(CS!$B$1:$B$12939,MATCH($A26,CS!$B:$B,0)+COLUMN(I$1),1))</f>
        <v>0</v>
      </c>
      <c r="BG26">
        <f>IF($A26="","", INDEX(CS!$B$1:$B$12939,MATCH($A26,CS!$B:$B,0)+COLUMN(J$1),1))</f>
        <v>0</v>
      </c>
      <c r="BR26" t="s">
        <v>904</v>
      </c>
      <c r="BS26" s="53">
        <v>70</v>
      </c>
      <c r="BT26" s="52">
        <v>30</v>
      </c>
      <c r="BU26" s="52">
        <v>20</v>
      </c>
      <c r="BV26" s="52">
        <v>10</v>
      </c>
      <c r="BW26" s="52">
        <v>10</v>
      </c>
      <c r="BZ26" s="52">
        <v>2</v>
      </c>
      <c r="CA26" s="52"/>
      <c r="CJ26" t="s">
        <v>882</v>
      </c>
    </row>
    <row r="27" spans="1:88"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INDEX(CS!$B$1:$B$12939,MATCH($A27,CS!$B:$B,0)+COLUMN(A$1),1))</f>
        <v>#N/A</v>
      </c>
      <c r="AY27" t="e">
        <f>IF($A27="","", INDEX(CS!$B$1:$B$12939,MATCH($A27,CS!$B:$B,0)+COLUMN(B$1),1))</f>
        <v>#N/A</v>
      </c>
      <c r="AZ27" t="e">
        <f>IF($A27="","", INDEX(CS!$B$1:$B$12939,MATCH($A27,CS!$B:$B,0)+COLUMN(C$1),1))</f>
        <v>#N/A</v>
      </c>
      <c r="BA27" t="e">
        <f>IF($A27="","", INDEX(CS!$B$1:$B$12939,MATCH($A27,CS!$B:$B,0)+COLUMN(D$1),1))</f>
        <v>#N/A</v>
      </c>
      <c r="BB27" t="e">
        <f>IF($A27="","", INDEX(CS!$B$1:$B$12939,MATCH($A27,CS!$B:$B,0)+COLUMN(E$1),1))</f>
        <v>#N/A</v>
      </c>
      <c r="BC27" t="e">
        <f>IF($A27="","", INDEX(CS!$B$1:$B$12939,MATCH($A27,CS!$B:$B,0)+COLUMN(F$1),1))</f>
        <v>#N/A</v>
      </c>
      <c r="BD27" t="e">
        <f>IF($A27="","", INDEX(CS!$B$1:$B$12939,MATCH($A27,CS!$B:$B,0)+COLUMN(G$1),1))</f>
        <v>#N/A</v>
      </c>
      <c r="BE27" t="e">
        <f>IF($A27="","", INDEX(CS!$B$1:$B$12939,MATCH($A27,CS!$B:$B,0)+COLUMN(H$1),1))</f>
        <v>#N/A</v>
      </c>
      <c r="BF27" t="e">
        <f>IF($A27="","", INDEX(CS!$B$1:$B$12939,MATCH($A27,CS!$B:$B,0)+COLUMN(I$1),1))</f>
        <v>#N/A</v>
      </c>
      <c r="BG27" t="e">
        <f>IF($A27="","", INDEX(CS!$B$1:$B$12939,MATCH($A27,CS!$B:$B,0)+COLUMN(J$1),1))</f>
        <v>#N/A</v>
      </c>
      <c r="BR27" t="s">
        <v>904</v>
      </c>
      <c r="BS27" s="53">
        <v>70</v>
      </c>
      <c r="BT27" s="52">
        <v>30</v>
      </c>
      <c r="BU27" s="52">
        <v>20</v>
      </c>
      <c r="BV27" s="52">
        <v>10</v>
      </c>
      <c r="BW27" s="52">
        <v>10</v>
      </c>
      <c r="BZ27" s="52">
        <v>2</v>
      </c>
      <c r="CA27" s="52"/>
      <c r="CJ27" t="s">
        <v>882</v>
      </c>
    </row>
    <row r="28" spans="1:88" outlineLevel="1" x14ac:dyDescent="0.4">
      <c r="D28" t="str">
        <f t="shared" si="0"/>
        <v>0/0/0</v>
      </c>
      <c r="E28">
        <v>1</v>
      </c>
      <c r="AX28" t="str">
        <f>IF($A28="","", INDEX(CS!$B$1:$B$12939,MATCH($A28,CS!$B:$B,0)+COLUMN(A$1),1))</f>
        <v/>
      </c>
      <c r="AY28" t="str">
        <f>IF($A28="","", INDEX(CS!$B$1:$B$12939,MATCH($A28,CS!$B:$B,0)+COLUMN(B$1),1))</f>
        <v/>
      </c>
      <c r="AZ28" t="str">
        <f>IF($A28="","", INDEX(CS!$B$1:$B$12939,MATCH($A28,CS!$B:$B,0)+COLUMN(C$1),1))</f>
        <v/>
      </c>
      <c r="BA28" t="str">
        <f>IF($A28="","", INDEX(CS!$B$1:$B$12939,MATCH($A28,CS!$B:$B,0)+COLUMN(D$1),1))</f>
        <v/>
      </c>
      <c r="BB28" t="str">
        <f>IF($A28="","", INDEX(CS!$B$1:$B$12939,MATCH($A28,CS!$B:$B,0)+COLUMN(E$1),1))</f>
        <v/>
      </c>
      <c r="BC28" t="str">
        <f>IF($A28="","", INDEX(CS!$B$1:$B$12939,MATCH($A28,CS!$B:$B,0)+COLUMN(F$1),1))</f>
        <v/>
      </c>
      <c r="BD28" t="str">
        <f>IF($A28="","", INDEX(CS!$B$1:$B$12939,MATCH($A28,CS!$B:$B,0)+COLUMN(G$1),1))</f>
        <v/>
      </c>
      <c r="BE28" t="str">
        <f>IF($A28="","", INDEX(CS!$B$1:$B$12939,MATCH($A28,CS!$B:$B,0)+COLUMN(H$1),1))</f>
        <v/>
      </c>
      <c r="BF28" t="str">
        <f>IF($A28="","", INDEX(CS!$B$1:$B$12939,MATCH($A28,CS!$B:$B,0)+COLUMN(I$1),1))</f>
        <v/>
      </c>
      <c r="BG28" t="str">
        <f>IF($A28="","", INDEX(CS!$B$1:$B$12939,MATCH($A28,CS!$B:$B,0)+COLUMN(J$1),1))</f>
        <v/>
      </c>
      <c r="BS28" s="53"/>
      <c r="BT28" s="52"/>
      <c r="BU28" s="52"/>
      <c r="BV28" s="52"/>
      <c r="BW28" s="52"/>
    </row>
    <row r="29" spans="1:88"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t="str">
        <f>IF($A29="","", INDEX(CS!$B$1:$B$12939,MATCH($A29,CS!$B:$B,0)+COLUMN(A$1),1))</f>
        <v>牙</v>
      </c>
      <c r="AY29" t="str">
        <f>IF($A29="","", INDEX(CS!$B$1:$B$12939,MATCH($A29,CS!$B:$B,0)+COLUMN(B$1),1))</f>
        <v>邪視</v>
      </c>
      <c r="AZ29" t="str">
        <f>IF($A29="","", INDEX(CS!$B$1:$B$12939,MATCH($A29,CS!$B:$B,0)+COLUMN(C$1),1))</f>
        <v>爪</v>
      </c>
      <c r="BA29">
        <f>IF($A29="","", INDEX(CS!$B$1:$B$12939,MATCH($A29,CS!$B:$B,0)+COLUMN(D$1),1))</f>
        <v>0</v>
      </c>
      <c r="BB29" t="str">
        <f>IF($A29="","", INDEX(CS!$B$1:$B$12939,MATCH($A29,CS!$B:$B,0)+COLUMN(E$1),1))</f>
        <v>悪魔の槍</v>
      </c>
      <c r="BC29" t="str">
        <f>IF($A29="","", INDEX(CS!$B$1:$B$12939,MATCH($A29,CS!$B:$B,0)+COLUMN(F$1),1))</f>
        <v>悪の魔力</v>
      </c>
      <c r="BD29">
        <f>IF($A29="","", INDEX(CS!$B$1:$B$12939,MATCH($A29,CS!$B:$B,0)+COLUMN(G$1),1))</f>
        <v>0</v>
      </c>
      <c r="BE29">
        <f>IF($A29="","", INDEX(CS!$B$1:$B$12939,MATCH($A29,CS!$B:$B,0)+COLUMN(H$1),1))</f>
        <v>0</v>
      </c>
      <c r="BF29">
        <f>IF($A29="","", INDEX(CS!$B$1:$B$12939,MATCH($A29,CS!$B:$B,0)+COLUMN(I$1),1))</f>
        <v>0</v>
      </c>
      <c r="BG29">
        <f>IF($A29="","", INDEX(CS!$B$1:$B$12939,MATCH($A29,CS!$B:$B,0)+COLUMN(J$1),1))</f>
        <v>0</v>
      </c>
      <c r="BR29" t="s">
        <v>902</v>
      </c>
      <c r="BS29" s="53">
        <v>30</v>
      </c>
      <c r="BT29" s="52">
        <v>0</v>
      </c>
      <c r="BU29" s="52">
        <v>0</v>
      </c>
      <c r="BV29" s="52">
        <v>50</v>
      </c>
      <c r="BW29" s="52">
        <v>25</v>
      </c>
      <c r="BX29" s="52">
        <v>10</v>
      </c>
      <c r="BZ29" s="52">
        <v>2</v>
      </c>
      <c r="CA29" s="52"/>
      <c r="CJ29" t="s">
        <v>883</v>
      </c>
    </row>
    <row r="30" spans="1:88"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INDEX(CS!$B$1:$B$12939,MATCH($A30,CS!$B:$B,0)+COLUMN(A$1),1))</f>
        <v>0</v>
      </c>
      <c r="AY30">
        <f>IF($A30="","", INDEX(CS!$B$1:$B$12939,MATCH($A30,CS!$B:$B,0)+COLUMN(B$1),1))</f>
        <v>0</v>
      </c>
      <c r="AZ30">
        <f>IF($A30="","", INDEX(CS!$B$1:$B$12939,MATCH($A30,CS!$B:$B,0)+COLUMN(C$1),1))</f>
        <v>0</v>
      </c>
      <c r="BA30">
        <f>IF($A30="","", INDEX(CS!$B$1:$B$12939,MATCH($A30,CS!$B:$B,0)+COLUMN(D$1),1))</f>
        <v>0</v>
      </c>
      <c r="BB30">
        <f>IF($A30="","", INDEX(CS!$B$1:$B$12939,MATCH($A30,CS!$B:$B,0)+COLUMN(E$1),1))</f>
        <v>0</v>
      </c>
      <c r="BC30">
        <f>IF($A30="","", INDEX(CS!$B$1:$B$12939,MATCH($A30,CS!$B:$B,0)+COLUMN(F$1),1))</f>
        <v>0</v>
      </c>
      <c r="BD30">
        <f>IF($A30="","", INDEX(CS!$B$1:$B$12939,MATCH($A30,CS!$B:$B,0)+COLUMN(G$1),1))</f>
        <v>0</v>
      </c>
      <c r="BE30">
        <f>IF($A30="","", INDEX(CS!$B$1:$B$12939,MATCH($A30,CS!$B:$B,0)+COLUMN(H$1),1))</f>
        <v>0</v>
      </c>
      <c r="BF30">
        <f>IF($A30="","", INDEX(CS!$B$1:$B$12939,MATCH($A30,CS!$B:$B,0)+COLUMN(I$1),1))</f>
        <v>0</v>
      </c>
      <c r="BG30">
        <f>IF($A30="","", INDEX(CS!$B$1:$B$12939,MATCH($A30,CS!$B:$B,0)+COLUMN(J$1),1))</f>
        <v>0</v>
      </c>
      <c r="BR30" t="s">
        <v>902</v>
      </c>
      <c r="BS30" s="53">
        <v>30</v>
      </c>
      <c r="BT30" s="52">
        <v>10</v>
      </c>
      <c r="BU30" s="52">
        <v>30</v>
      </c>
      <c r="BV30" s="52">
        <v>10</v>
      </c>
      <c r="BW30" s="52">
        <v>10</v>
      </c>
      <c r="BX30" s="52">
        <v>10</v>
      </c>
      <c r="BZ30" s="52">
        <v>2</v>
      </c>
      <c r="CA30" s="52"/>
      <c r="CJ30" t="s">
        <v>884</v>
      </c>
    </row>
    <row r="31" spans="1:88"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t="str">
        <f>IF($A31="","", INDEX(CS!$B$1:$B$12939,MATCH($A31,CS!$B:$B,0)+COLUMN(A$1),1))</f>
        <v>吸血</v>
      </c>
      <c r="AY31">
        <f>IF($A31="","", INDEX(CS!$B$1:$B$12939,MATCH($A31,CS!$B:$B,0)+COLUMN(B$1),1))</f>
        <v>0</v>
      </c>
      <c r="AZ31">
        <f>IF($A31="","", INDEX(CS!$B$1:$B$12939,MATCH($A31,CS!$B:$B,0)+COLUMN(C$1),1))</f>
        <v>0</v>
      </c>
      <c r="BA31">
        <f>IF($A31="","", INDEX(CS!$B$1:$B$12939,MATCH($A31,CS!$B:$B,0)+COLUMN(D$1),1))</f>
        <v>0</v>
      </c>
      <c r="BB31" t="str">
        <f>IF($A31="","", INDEX(CS!$B$1:$B$12939,MATCH($A31,CS!$B:$B,0)+COLUMN(E$1),1))</f>
        <v>眷族化-ゾンビ</v>
      </c>
      <c r="BC31">
        <f>IF($A31="","", INDEX(CS!$B$1:$B$12939,MATCH($A31,CS!$B:$B,0)+COLUMN(F$1),1))</f>
        <v>0</v>
      </c>
      <c r="BD31">
        <f>IF($A31="","", INDEX(CS!$B$1:$B$12939,MATCH($A31,CS!$B:$B,0)+COLUMN(G$1),1))</f>
        <v>0</v>
      </c>
      <c r="BE31">
        <f>IF($A31="","", INDEX(CS!$B$1:$B$12939,MATCH($A31,CS!$B:$B,0)+COLUMN(H$1),1))</f>
        <v>0</v>
      </c>
      <c r="BF31">
        <f>IF($A31="","", INDEX(CS!$B$1:$B$12939,MATCH($A31,CS!$B:$B,0)+COLUMN(I$1),1))</f>
        <v>0</v>
      </c>
      <c r="BG31" t="str">
        <f>IF($A31="","", INDEX(CS!$B$1:$B$12939,MATCH($A31,CS!$B:$B,0)+COLUMN(J$1),1))</f>
        <v>眷族化-グール</v>
      </c>
      <c r="BR31" t="s">
        <v>905</v>
      </c>
      <c r="BS31" s="53">
        <v>50</v>
      </c>
      <c r="BT31" s="52">
        <v>0</v>
      </c>
      <c r="BU31" s="52">
        <v>0</v>
      </c>
      <c r="BV31" s="52">
        <v>50</v>
      </c>
      <c r="BW31" s="52">
        <v>25</v>
      </c>
      <c r="BX31" s="52">
        <v>0</v>
      </c>
      <c r="BY31" s="52">
        <v>50</v>
      </c>
      <c r="BZ31" s="52">
        <v>2</v>
      </c>
      <c r="CA31" s="52"/>
      <c r="CJ31" t="s">
        <v>885</v>
      </c>
    </row>
    <row r="32" spans="1:88" outlineLevel="1" x14ac:dyDescent="0.4">
      <c r="C32" t="s">
        <v>62</v>
      </c>
      <c r="D32" t="str">
        <f t="shared" si="0"/>
        <v>0/0/0</v>
      </c>
      <c r="E32">
        <v>1</v>
      </c>
      <c r="AX32" t="str">
        <f>IF($A32="","", INDEX(CS!$B$1:$B$12939,MATCH($A32,CS!$B:$B,0)+COLUMN(A$1),1))</f>
        <v/>
      </c>
      <c r="AY32" t="str">
        <f>IF($A32="","", INDEX(CS!$B$1:$B$12939,MATCH($A32,CS!$B:$B,0)+COLUMN(B$1),1))</f>
        <v/>
      </c>
      <c r="AZ32" t="str">
        <f>IF($A32="","", INDEX(CS!$B$1:$B$12939,MATCH($A32,CS!$B:$B,0)+COLUMN(C$1),1))</f>
        <v/>
      </c>
      <c r="BA32" t="str">
        <f>IF($A32="","", INDEX(CS!$B$1:$B$12939,MATCH($A32,CS!$B:$B,0)+COLUMN(D$1),1))</f>
        <v/>
      </c>
      <c r="BB32" t="str">
        <f>IF($A32="","", INDEX(CS!$B$1:$B$12939,MATCH($A32,CS!$B:$B,0)+COLUMN(E$1),1))</f>
        <v/>
      </c>
      <c r="BC32" t="str">
        <f>IF($A32="","", INDEX(CS!$B$1:$B$12939,MATCH($A32,CS!$B:$B,0)+COLUMN(F$1),1))</f>
        <v/>
      </c>
      <c r="BD32" t="str">
        <f>IF($A32="","", INDEX(CS!$B$1:$B$12939,MATCH($A32,CS!$B:$B,0)+COLUMN(G$1),1))</f>
        <v/>
      </c>
      <c r="BE32" t="str">
        <f>IF($A32="","", INDEX(CS!$B$1:$B$12939,MATCH($A32,CS!$B:$B,0)+COLUMN(H$1),1))</f>
        <v/>
      </c>
      <c r="BF32" t="str">
        <f>IF($A32="","", INDEX(CS!$B$1:$B$12939,MATCH($A32,CS!$B:$B,0)+COLUMN(I$1),1))</f>
        <v/>
      </c>
      <c r="BG32" t="str">
        <f>IF($A32="","", INDEX(CS!$B$1:$B$12939,MATCH($A32,CS!$B:$B,0)+COLUMN(J$1),1))</f>
        <v/>
      </c>
      <c r="BS32" s="17"/>
      <c r="BT32" s="52"/>
      <c r="BU32" s="52"/>
      <c r="BV32" s="52"/>
      <c r="BW32" s="52"/>
    </row>
    <row r="33" spans="1:88"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INDEX(CS!$B$1:$B$12939,MATCH($A33,CS!$B:$B,0)+COLUMN(A$1),1))</f>
        <v>0</v>
      </c>
      <c r="AY33">
        <f>IF($A33="","", INDEX(CS!$B$1:$B$12939,MATCH($A33,CS!$B:$B,0)+COLUMN(B$1),1))</f>
        <v>0</v>
      </c>
      <c r="AZ33">
        <f>IF($A33="","", INDEX(CS!$B$1:$B$12939,MATCH($A33,CS!$B:$B,0)+COLUMN(C$1),1))</f>
        <v>0</v>
      </c>
      <c r="BA33">
        <f>IF($A33="","", INDEX(CS!$B$1:$B$12939,MATCH($A33,CS!$B:$B,0)+COLUMN(D$1),1))</f>
        <v>0</v>
      </c>
      <c r="BB33">
        <f>IF($A33="","", INDEX(CS!$B$1:$B$12939,MATCH($A33,CS!$B:$B,0)+COLUMN(E$1),1))</f>
        <v>0</v>
      </c>
      <c r="BC33">
        <f>IF($A33="","", INDEX(CS!$B$1:$B$12939,MATCH($A33,CS!$B:$B,0)+COLUMN(F$1),1))</f>
        <v>0</v>
      </c>
      <c r="BD33">
        <f>IF($A33="","", INDEX(CS!$B$1:$B$12939,MATCH($A33,CS!$B:$B,0)+COLUMN(G$1),1))</f>
        <v>0</v>
      </c>
      <c r="BE33">
        <f>IF($A33="","", INDEX(CS!$B$1:$B$12939,MATCH($A33,CS!$B:$B,0)+COLUMN(H$1),1))</f>
        <v>0</v>
      </c>
      <c r="BF33">
        <f>IF($A33="","", INDEX(CS!$B$1:$B$12939,MATCH($A33,CS!$B:$B,0)+COLUMN(I$1),1))</f>
        <v>0</v>
      </c>
      <c r="BG33">
        <f>IF($A33="","", INDEX(CS!$B$1:$B$12939,MATCH($A33,CS!$B:$B,0)+COLUMN(J$1),1))</f>
        <v>0</v>
      </c>
      <c r="BR33" t="s">
        <v>905</v>
      </c>
      <c r="BS33" s="53">
        <v>50</v>
      </c>
      <c r="BV33" s="52">
        <v>75</v>
      </c>
      <c r="BZ33" s="52">
        <v>2</v>
      </c>
      <c r="CA33" s="52"/>
      <c r="CJ33" t="s">
        <v>986</v>
      </c>
    </row>
    <row r="34" spans="1:88"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INDEX(CS!$B$1:$B$12939,MATCH($A34,CS!$B:$B,0)+COLUMN(A$1),1))</f>
        <v>0</v>
      </c>
      <c r="AY34">
        <f>IF($A34="","", INDEX(CS!$B$1:$B$12939,MATCH($A34,CS!$B:$B,0)+COLUMN(B$1),1))</f>
        <v>0</v>
      </c>
      <c r="AZ34">
        <f>IF($A34="","", INDEX(CS!$B$1:$B$12939,MATCH($A34,CS!$B:$B,0)+COLUMN(C$1),1))</f>
        <v>0</v>
      </c>
      <c r="BA34">
        <f>IF($A34="","", INDEX(CS!$B$1:$B$12939,MATCH($A34,CS!$B:$B,0)+COLUMN(D$1),1))</f>
        <v>0</v>
      </c>
      <c r="BB34">
        <f>IF($A34="","", INDEX(CS!$B$1:$B$12939,MATCH($A34,CS!$B:$B,0)+COLUMN(E$1),1))</f>
        <v>0</v>
      </c>
      <c r="BC34">
        <f>IF($A34="","", INDEX(CS!$B$1:$B$12939,MATCH($A34,CS!$B:$B,0)+COLUMN(F$1),1))</f>
        <v>0</v>
      </c>
      <c r="BD34">
        <f>IF($A34="","", INDEX(CS!$B$1:$B$12939,MATCH($A34,CS!$B:$B,0)+COLUMN(G$1),1))</f>
        <v>0</v>
      </c>
      <c r="BE34">
        <f>IF($A34="","", INDEX(CS!$B$1:$B$12939,MATCH($A34,CS!$B:$B,0)+COLUMN(H$1),1))</f>
        <v>0</v>
      </c>
      <c r="BF34">
        <f>IF($A34="","", INDEX(CS!$B$1:$B$12939,MATCH($A34,CS!$B:$B,0)+COLUMN(I$1),1))</f>
        <v>0</v>
      </c>
      <c r="BG34">
        <f>IF($A34="","", INDEX(CS!$B$1:$B$12939,MATCH($A34,CS!$B:$B,0)+COLUMN(J$1),1))</f>
        <v>0</v>
      </c>
      <c r="BR34" t="s">
        <v>905</v>
      </c>
      <c r="BS34" s="53">
        <v>50</v>
      </c>
      <c r="BZ34" s="52">
        <v>2</v>
      </c>
      <c r="CA34" s="52"/>
      <c r="CJ34" t="s">
        <v>987</v>
      </c>
    </row>
    <row r="35" spans="1:88"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INDEX(CS!$B$1:$B$12939,MATCH($A35,CS!$B:$B,0)+COLUMN(A$1),1))</f>
        <v>0</v>
      </c>
      <c r="AY35">
        <f>IF($A35="","", INDEX(CS!$B$1:$B$12939,MATCH($A35,CS!$B:$B,0)+COLUMN(B$1),1))</f>
        <v>0</v>
      </c>
      <c r="AZ35">
        <f>IF($A35="","", INDEX(CS!$B$1:$B$12939,MATCH($A35,CS!$B:$B,0)+COLUMN(C$1),1))</f>
        <v>0</v>
      </c>
      <c r="BA35">
        <f>IF($A35="","", INDEX(CS!$B$1:$B$12939,MATCH($A35,CS!$B:$B,0)+COLUMN(D$1),1))</f>
        <v>0</v>
      </c>
      <c r="BB35">
        <f>IF($A35="","", INDEX(CS!$B$1:$B$12939,MATCH($A35,CS!$B:$B,0)+COLUMN(E$1),1))</f>
        <v>0</v>
      </c>
      <c r="BC35">
        <f>IF($A35="","", INDEX(CS!$B$1:$B$12939,MATCH($A35,CS!$B:$B,0)+COLUMN(F$1),1))</f>
        <v>0</v>
      </c>
      <c r="BD35">
        <f>IF($A35="","", INDEX(CS!$B$1:$B$12939,MATCH($A35,CS!$B:$B,0)+COLUMN(G$1),1))</f>
        <v>0</v>
      </c>
      <c r="BE35">
        <f>IF($A35="","", INDEX(CS!$B$1:$B$12939,MATCH($A35,CS!$B:$B,0)+COLUMN(H$1),1))</f>
        <v>0</v>
      </c>
      <c r="BF35">
        <f>IF($A35="","", INDEX(CS!$B$1:$B$12939,MATCH($A35,CS!$B:$B,0)+COLUMN(I$1),1))</f>
        <v>0</v>
      </c>
      <c r="BG35">
        <f>IF($A35="","", INDEX(CS!$B$1:$B$12939,MATCH($A35,CS!$B:$B,0)+COLUMN(J$1),1))</f>
        <v>0</v>
      </c>
      <c r="BR35" t="s">
        <v>902</v>
      </c>
      <c r="BS35" s="53">
        <v>25</v>
      </c>
      <c r="BX35">
        <v>25</v>
      </c>
      <c r="BZ35" s="52">
        <v>2</v>
      </c>
      <c r="CA35" s="52"/>
      <c r="CE35" t="s">
        <v>914</v>
      </c>
      <c r="CF35" t="s">
        <v>914</v>
      </c>
      <c r="CG35" t="s">
        <v>914</v>
      </c>
      <c r="CJ35" t="s">
        <v>988</v>
      </c>
    </row>
    <row r="36" spans="1:88" outlineLevel="1" x14ac:dyDescent="0.4">
      <c r="C36" t="s">
        <v>62</v>
      </c>
      <c r="D36" t="str">
        <f t="shared" si="2"/>
        <v>0/0/0</v>
      </c>
      <c r="E36">
        <v>1</v>
      </c>
      <c r="AX36" t="str">
        <f>IF($A36="","", INDEX(CS!$B$1:$B$12939,MATCH($A36,CS!$B:$B,0)+COLUMN(A$1),1))</f>
        <v/>
      </c>
      <c r="AY36" t="str">
        <f>IF($A36="","", INDEX(CS!$B$1:$B$12939,MATCH($A36,CS!$B:$B,0)+COLUMN(B$1),1))</f>
        <v/>
      </c>
      <c r="AZ36" t="str">
        <f>IF($A36="","", INDEX(CS!$B$1:$B$12939,MATCH($A36,CS!$B:$B,0)+COLUMN(C$1),1))</f>
        <v/>
      </c>
      <c r="BA36" t="str">
        <f>IF($A36="","", INDEX(CS!$B$1:$B$12939,MATCH($A36,CS!$B:$B,0)+COLUMN(D$1),1))</f>
        <v/>
      </c>
      <c r="BB36" t="str">
        <f>IF($A36="","", INDEX(CS!$B$1:$B$12939,MATCH($A36,CS!$B:$B,0)+COLUMN(E$1),1))</f>
        <v/>
      </c>
      <c r="BC36" t="str">
        <f>IF($A36="","", INDEX(CS!$B$1:$B$12939,MATCH($A36,CS!$B:$B,0)+COLUMN(F$1),1))</f>
        <v/>
      </c>
      <c r="BD36" t="str">
        <f>IF($A36="","", INDEX(CS!$B$1:$B$12939,MATCH($A36,CS!$B:$B,0)+COLUMN(G$1),1))</f>
        <v/>
      </c>
      <c r="BE36" t="str">
        <f>IF($A36="","", INDEX(CS!$B$1:$B$12939,MATCH($A36,CS!$B:$B,0)+COLUMN(H$1),1))</f>
        <v/>
      </c>
      <c r="BF36" t="str">
        <f>IF($A36="","", INDEX(CS!$B$1:$B$12939,MATCH($A36,CS!$B:$B,0)+COLUMN(I$1),1))</f>
        <v/>
      </c>
      <c r="BG36" t="str">
        <f>IF($A36="","", INDEX(CS!$B$1:$B$12939,MATCH($A36,CS!$B:$B,0)+COLUMN(J$1),1))</f>
        <v/>
      </c>
    </row>
    <row r="37" spans="1:88" outlineLevel="1" x14ac:dyDescent="0.4">
      <c r="C37" t="s">
        <v>62</v>
      </c>
      <c r="D37" t="str">
        <f t="shared" si="2"/>
        <v>0/0/0</v>
      </c>
      <c r="E37">
        <v>1</v>
      </c>
      <c r="AX37" t="str">
        <f>IF($A37="","", INDEX(CS!$B$1:$B$12939,MATCH($A37,CS!$B:$B,0)+COLUMN(A$1),1))</f>
        <v/>
      </c>
      <c r="AY37" t="str">
        <f>IF($A37="","", INDEX(CS!$B$1:$B$12939,MATCH($A37,CS!$B:$B,0)+COLUMN(B$1),1))</f>
        <v/>
      </c>
      <c r="AZ37" t="str">
        <f>IF($A37="","", INDEX(CS!$B$1:$B$12939,MATCH($A37,CS!$B:$B,0)+COLUMN(C$1),1))</f>
        <v/>
      </c>
      <c r="BA37" t="str">
        <f>IF($A37="","", INDEX(CS!$B$1:$B$12939,MATCH($A37,CS!$B:$B,0)+COLUMN(D$1),1))</f>
        <v/>
      </c>
      <c r="BB37" t="str">
        <f>IF($A37="","", INDEX(CS!$B$1:$B$12939,MATCH($A37,CS!$B:$B,0)+COLUMN(E$1),1))</f>
        <v/>
      </c>
      <c r="BC37" t="str">
        <f>IF($A37="","", INDEX(CS!$B$1:$B$12939,MATCH($A37,CS!$B:$B,0)+COLUMN(F$1),1))</f>
        <v/>
      </c>
      <c r="BD37" t="str">
        <f>IF($A37="","", INDEX(CS!$B$1:$B$12939,MATCH($A37,CS!$B:$B,0)+COLUMN(G$1),1))</f>
        <v/>
      </c>
      <c r="BE37" t="str">
        <f>IF($A37="","", INDEX(CS!$B$1:$B$12939,MATCH($A37,CS!$B:$B,0)+COLUMN(H$1),1))</f>
        <v/>
      </c>
      <c r="BF37" t="str">
        <f>IF($A37="","", INDEX(CS!$B$1:$B$12939,MATCH($A37,CS!$B:$B,0)+COLUMN(I$1),1))</f>
        <v/>
      </c>
      <c r="BG37" t="str">
        <f>IF($A37="","", INDEX(CS!$B$1:$B$12939,MATCH($A37,CS!$B:$B,0)+COLUMN(J$1),1))</f>
        <v/>
      </c>
    </row>
    <row r="38" spans="1:88" outlineLevel="1" x14ac:dyDescent="0.4">
      <c r="C38" t="s">
        <v>62</v>
      </c>
      <c r="D38" t="str">
        <f t="shared" si="2"/>
        <v>0/0/0</v>
      </c>
      <c r="E38">
        <v>1</v>
      </c>
      <c r="AX38" t="str">
        <f>IF($A38="","", INDEX(CS!$B$1:$B$12939,MATCH($A38,CS!$B:$B,0)+COLUMN(A$1),1))</f>
        <v/>
      </c>
      <c r="AY38" t="str">
        <f>IF($A38="","", INDEX(CS!$B$1:$B$12939,MATCH($A38,CS!$B:$B,0)+COLUMN(B$1),1))</f>
        <v/>
      </c>
      <c r="AZ38" t="str">
        <f>IF($A38="","", INDEX(CS!$B$1:$B$12939,MATCH($A38,CS!$B:$B,0)+COLUMN(C$1),1))</f>
        <v/>
      </c>
      <c r="BA38" t="str">
        <f>IF($A38="","", INDEX(CS!$B$1:$B$12939,MATCH($A38,CS!$B:$B,0)+COLUMN(D$1),1))</f>
        <v/>
      </c>
      <c r="BB38" t="str">
        <f>IF($A38="","", INDEX(CS!$B$1:$B$12939,MATCH($A38,CS!$B:$B,0)+COLUMN(E$1),1))</f>
        <v/>
      </c>
      <c r="BC38" t="str">
        <f>IF($A38="","", INDEX(CS!$B$1:$B$12939,MATCH($A38,CS!$B:$B,0)+COLUMN(F$1),1))</f>
        <v/>
      </c>
      <c r="BD38" t="str">
        <f>IF($A38="","", INDEX(CS!$B$1:$B$12939,MATCH($A38,CS!$B:$B,0)+COLUMN(G$1),1))</f>
        <v/>
      </c>
      <c r="BE38" t="str">
        <f>IF($A38="","", INDEX(CS!$B$1:$B$12939,MATCH($A38,CS!$B:$B,0)+COLUMN(H$1),1))</f>
        <v/>
      </c>
      <c r="BF38" t="str">
        <f>IF($A38="","", INDEX(CS!$B$1:$B$12939,MATCH($A38,CS!$B:$B,0)+COLUMN(I$1),1))</f>
        <v/>
      </c>
      <c r="BG38" t="str">
        <f>IF($A38="","", INDEX(CS!$B$1:$B$12939,MATCH($A38,CS!$B:$B,0)+COLUMN(J$1),1))</f>
        <v/>
      </c>
    </row>
    <row r="39" spans="1:88" outlineLevel="1" x14ac:dyDescent="0.4">
      <c r="C39" t="s">
        <v>62</v>
      </c>
      <c r="D39" t="str">
        <f t="shared" si="2"/>
        <v>0/0/0</v>
      </c>
      <c r="E39">
        <v>1</v>
      </c>
      <c r="AX39" t="str">
        <f>IF($A39="","", INDEX(CS!$B$1:$B$12939,MATCH($A39,CS!$B:$B,0)+COLUMN(A$1),1))</f>
        <v/>
      </c>
      <c r="AY39" t="str">
        <f>IF($A39="","", INDEX(CS!$B$1:$B$12939,MATCH($A39,CS!$B:$B,0)+COLUMN(B$1),1))</f>
        <v/>
      </c>
      <c r="AZ39" t="str">
        <f>IF($A39="","", INDEX(CS!$B$1:$B$12939,MATCH($A39,CS!$B:$B,0)+COLUMN(C$1),1))</f>
        <v/>
      </c>
      <c r="BA39" t="str">
        <f>IF($A39="","", INDEX(CS!$B$1:$B$12939,MATCH($A39,CS!$B:$B,0)+COLUMN(D$1),1))</f>
        <v/>
      </c>
      <c r="BB39" t="str">
        <f>IF($A39="","", INDEX(CS!$B$1:$B$12939,MATCH($A39,CS!$B:$B,0)+COLUMN(E$1),1))</f>
        <v/>
      </c>
      <c r="BC39" t="str">
        <f>IF($A39="","", INDEX(CS!$B$1:$B$12939,MATCH($A39,CS!$B:$B,0)+COLUMN(F$1),1))</f>
        <v/>
      </c>
      <c r="BD39" t="str">
        <f>IF($A39="","", INDEX(CS!$B$1:$B$12939,MATCH($A39,CS!$B:$B,0)+COLUMN(G$1),1))</f>
        <v/>
      </c>
      <c r="BE39" t="str">
        <f>IF($A39="","", INDEX(CS!$B$1:$B$12939,MATCH($A39,CS!$B:$B,0)+COLUMN(H$1),1))</f>
        <v/>
      </c>
      <c r="BF39" t="str">
        <f>IF($A39="","", INDEX(CS!$B$1:$B$12939,MATCH($A39,CS!$B:$B,0)+COLUMN(I$1),1))</f>
        <v/>
      </c>
      <c r="BG39" t="str">
        <f>IF($A39="","", INDEX(CS!$B$1:$B$12939,MATCH($A39,CS!$B:$B,0)+COLUMN(J$1),1))</f>
        <v/>
      </c>
    </row>
    <row r="40" spans="1:88" outlineLevel="1" x14ac:dyDescent="0.4">
      <c r="C40" t="s">
        <v>62</v>
      </c>
      <c r="D40" t="str">
        <f t="shared" si="2"/>
        <v>0/0/0</v>
      </c>
      <c r="E40">
        <v>1</v>
      </c>
      <c r="AX40" t="str">
        <f>IF($A40="","", INDEX(CS!$B$1:$B$12939,MATCH($A40,CS!$B:$B,0)+COLUMN(A$1),1))</f>
        <v/>
      </c>
      <c r="AY40" t="str">
        <f>IF($A40="","", INDEX(CS!$B$1:$B$12939,MATCH($A40,CS!$B:$B,0)+COLUMN(B$1),1))</f>
        <v/>
      </c>
      <c r="AZ40" t="str">
        <f>IF($A40="","", INDEX(CS!$B$1:$B$12939,MATCH($A40,CS!$B:$B,0)+COLUMN(C$1),1))</f>
        <v/>
      </c>
      <c r="BA40" t="str">
        <f>IF($A40="","", INDEX(CS!$B$1:$B$12939,MATCH($A40,CS!$B:$B,0)+COLUMN(D$1),1))</f>
        <v/>
      </c>
      <c r="BB40" t="str">
        <f>IF($A40="","", INDEX(CS!$B$1:$B$12939,MATCH($A40,CS!$B:$B,0)+COLUMN(E$1),1))</f>
        <v/>
      </c>
      <c r="BC40" t="str">
        <f>IF($A40="","", INDEX(CS!$B$1:$B$12939,MATCH($A40,CS!$B:$B,0)+COLUMN(F$1),1))</f>
        <v/>
      </c>
      <c r="BD40" t="str">
        <f>IF($A40="","", INDEX(CS!$B$1:$B$12939,MATCH($A40,CS!$B:$B,0)+COLUMN(G$1),1))</f>
        <v/>
      </c>
      <c r="BE40" t="str">
        <f>IF($A40="","", INDEX(CS!$B$1:$B$12939,MATCH($A40,CS!$B:$B,0)+COLUMN(H$1),1))</f>
        <v/>
      </c>
      <c r="BF40" t="str">
        <f>IF($A40="","", INDEX(CS!$B$1:$B$12939,MATCH($A40,CS!$B:$B,0)+COLUMN(I$1),1))</f>
        <v/>
      </c>
      <c r="BG40" t="str">
        <f>IF($A40="","", INDEX(CS!$B$1:$B$12939,MATCH($A40,CS!$B:$B,0)+COLUMN(J$1),1))</f>
        <v/>
      </c>
    </row>
    <row r="41" spans="1:88" x14ac:dyDescent="0.4">
      <c r="C41" t="s">
        <v>62</v>
      </c>
      <c r="D41" t="str">
        <f t="shared" si="2"/>
        <v>0/0/0</v>
      </c>
      <c r="E41">
        <v>1</v>
      </c>
      <c r="AX41" t="str">
        <f>IF($A41="","", INDEX(CS!$B$1:$B$12939,MATCH($A41,CS!$B:$B,0)+COLUMN(A$1),1))</f>
        <v/>
      </c>
      <c r="AY41" t="str">
        <f>IF($A41="","", INDEX(CS!$B$1:$B$12939,MATCH($A41,CS!$B:$B,0)+COLUMN(B$1),1))</f>
        <v/>
      </c>
      <c r="AZ41" t="str">
        <f>IF($A41="","", INDEX(CS!$B$1:$B$12939,MATCH($A41,CS!$B:$B,0)+COLUMN(C$1),1))</f>
        <v/>
      </c>
      <c r="BA41" t="str">
        <f>IF($A41="","", INDEX(CS!$B$1:$B$12939,MATCH($A41,CS!$B:$B,0)+COLUMN(D$1),1))</f>
        <v/>
      </c>
      <c r="BB41" t="str">
        <f>IF($A41="","", INDEX(CS!$B$1:$B$12939,MATCH($A41,CS!$B:$B,0)+COLUMN(E$1),1))</f>
        <v/>
      </c>
      <c r="BC41" t="str">
        <f>IF($A41="","", INDEX(CS!$B$1:$B$12939,MATCH($A41,CS!$B:$B,0)+COLUMN(F$1),1))</f>
        <v/>
      </c>
      <c r="BD41" t="str">
        <f>IF($A41="","", INDEX(CS!$B$1:$B$12939,MATCH($A41,CS!$B:$B,0)+COLUMN(G$1),1))</f>
        <v/>
      </c>
      <c r="BE41" t="str">
        <f>IF($A41="","", INDEX(CS!$B$1:$B$12939,MATCH($A41,CS!$B:$B,0)+COLUMN(H$1),1))</f>
        <v/>
      </c>
      <c r="BF41" t="str">
        <f>IF($A41="","", INDEX(CS!$B$1:$B$12939,MATCH($A41,CS!$B:$B,0)+COLUMN(I$1),1))</f>
        <v/>
      </c>
      <c r="BG41" t="str">
        <f>IF($A41="","", INDEX(CS!$B$1:$B$12939,MATCH($A41,CS!$B:$B,0)+COLUMN(J$1),1))</f>
        <v/>
      </c>
    </row>
    <row r="42" spans="1:88"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INDEX(CS!$B$1:$B$12939,MATCH($A42,CS!$B:$B,0)+COLUMN(A$1),1))</f>
        <v>炎の拳</v>
      </c>
      <c r="AY42">
        <f>IF($A42="","", INDEX(CS!$B$1:$B$12939,MATCH($A42,CS!$B:$B,0)+COLUMN(B$1),1))</f>
        <v>0</v>
      </c>
      <c r="AZ42" t="str">
        <f>IF($A42="","", INDEX(CS!$B$1:$B$12939,MATCH($A42,CS!$B:$B,0)+COLUMN(C$1),1))</f>
        <v>浮遊</v>
      </c>
      <c r="BA42">
        <f>IF($A42="","", INDEX(CS!$B$1:$B$12939,MATCH($A42,CS!$B:$B,0)+COLUMN(D$1),1))</f>
        <v>0</v>
      </c>
      <c r="BB42">
        <f>IF($A42="","", INDEX(CS!$B$1:$B$12939,MATCH($A42,CS!$B:$B,0)+COLUMN(E$1),1))</f>
        <v>0</v>
      </c>
      <c r="BC42" t="str">
        <f>IF($A42="","", INDEX(CS!$B$1:$B$12939,MATCH($A42,CS!$B:$B,0)+COLUMN(F$1),1))</f>
        <v>炎の魔力</v>
      </c>
      <c r="BD42">
        <f>IF($A42="","", INDEX(CS!$B$1:$B$12939,MATCH($A42,CS!$B:$B,0)+COLUMN(G$1),1))</f>
        <v>0</v>
      </c>
      <c r="BE42">
        <f>IF($A42="","", INDEX(CS!$B$1:$B$12939,MATCH($A42,CS!$B:$B,0)+COLUMN(H$1),1))</f>
        <v>0</v>
      </c>
      <c r="BF42" t="str">
        <f>IF($A42="","", INDEX(CS!$B$1:$B$12939,MATCH($A42,CS!$B:$B,0)+COLUMN(I$1),1))</f>
        <v>炎の力</v>
      </c>
      <c r="BG42" t="str">
        <f>IF($A42="","", INDEX(CS!$B$1:$B$12939,MATCH($A42,CS!$B:$B,0)+COLUMN(J$1),1))</f>
        <v>炎の吐息</v>
      </c>
      <c r="BZ42">
        <v>1</v>
      </c>
      <c r="CE42" t="s">
        <v>914</v>
      </c>
      <c r="CF42" t="s">
        <v>914</v>
      </c>
      <c r="CG42" t="s">
        <v>914</v>
      </c>
      <c r="CJ42" t="s">
        <v>67</v>
      </c>
    </row>
    <row r="43" spans="1:88"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INDEX(CS!$B$1:$B$12939,MATCH($A43,CS!$B:$B,0)+COLUMN(A$1),1))</f>
        <v>氷の拳</v>
      </c>
      <c r="AY43">
        <f>IF($A43="","", INDEX(CS!$B$1:$B$12939,MATCH($A43,CS!$B:$B,0)+COLUMN(B$1),1))</f>
        <v>0</v>
      </c>
      <c r="AZ43" t="str">
        <f>IF($A43="","", INDEX(CS!$B$1:$B$12939,MATCH($A43,CS!$B:$B,0)+COLUMN(C$1),1))</f>
        <v>浮遊</v>
      </c>
      <c r="BA43">
        <f>IF($A43="","", INDEX(CS!$B$1:$B$12939,MATCH($A43,CS!$B:$B,0)+COLUMN(D$1),1))</f>
        <v>0</v>
      </c>
      <c r="BB43">
        <f>IF($A43="","", INDEX(CS!$B$1:$B$12939,MATCH($A43,CS!$B:$B,0)+COLUMN(E$1),1))</f>
        <v>0</v>
      </c>
      <c r="BC43" t="str">
        <f>IF($A43="","", INDEX(CS!$B$1:$B$12939,MATCH($A43,CS!$B:$B,0)+COLUMN(F$1),1))</f>
        <v>氷の魔力</v>
      </c>
      <c r="BD43">
        <f>IF($A43="","", INDEX(CS!$B$1:$B$12939,MATCH($A43,CS!$B:$B,0)+COLUMN(G$1),1))</f>
        <v>0</v>
      </c>
      <c r="BE43">
        <f>IF($A43="","", INDEX(CS!$B$1:$B$12939,MATCH($A43,CS!$B:$B,0)+COLUMN(H$1),1))</f>
        <v>0</v>
      </c>
      <c r="BF43" t="str">
        <f>IF($A43="","", INDEX(CS!$B$1:$B$12939,MATCH($A43,CS!$B:$B,0)+COLUMN(I$1),1))</f>
        <v>氷の力</v>
      </c>
      <c r="BG43" t="str">
        <f>IF($A43="","", INDEX(CS!$B$1:$B$12939,MATCH($A43,CS!$B:$B,0)+COLUMN(J$1),1))</f>
        <v>氷の吐息</v>
      </c>
      <c r="BZ43">
        <v>1</v>
      </c>
      <c r="CJ43" t="s">
        <v>67</v>
      </c>
    </row>
    <row r="44" spans="1:88"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INDEX(CS!$B$1:$B$12939,MATCH($A44,CS!$B:$B,0)+COLUMN(A$1),1))</f>
        <v>水の拳</v>
      </c>
      <c r="AY44">
        <f>IF($A44="","", INDEX(CS!$B$1:$B$12939,MATCH($A44,CS!$B:$B,0)+COLUMN(B$1),1))</f>
        <v>0</v>
      </c>
      <c r="AZ44" t="str">
        <f>IF($A44="","", INDEX(CS!$B$1:$B$12939,MATCH($A44,CS!$B:$B,0)+COLUMN(C$1),1))</f>
        <v>水の精霊</v>
      </c>
      <c r="BA44">
        <f>IF($A44="","", INDEX(CS!$B$1:$B$12939,MATCH($A44,CS!$B:$B,0)+COLUMN(D$1),1))</f>
        <v>0</v>
      </c>
      <c r="BB44">
        <f>IF($A44="","", INDEX(CS!$B$1:$B$12939,MATCH($A44,CS!$B:$B,0)+COLUMN(E$1),1))</f>
        <v>0</v>
      </c>
      <c r="BC44" t="str">
        <f>IF($A44="","", INDEX(CS!$B$1:$B$12939,MATCH($A44,CS!$B:$B,0)+COLUMN(F$1),1))</f>
        <v>水の魔力</v>
      </c>
      <c r="BD44">
        <f>IF($A44="","", INDEX(CS!$B$1:$B$12939,MATCH($A44,CS!$B:$B,0)+COLUMN(G$1),1))</f>
        <v>0</v>
      </c>
      <c r="BE44">
        <f>IF($A44="","", INDEX(CS!$B$1:$B$12939,MATCH($A44,CS!$B:$B,0)+COLUMN(H$1),1))</f>
        <v>0</v>
      </c>
      <c r="BF44" t="str">
        <f>IF($A44="","", INDEX(CS!$B$1:$B$12939,MATCH($A44,CS!$B:$B,0)+COLUMN(I$1),1))</f>
        <v>水の力</v>
      </c>
      <c r="BG44" t="str">
        <f>IF($A44="","", INDEX(CS!$B$1:$B$12939,MATCH($A44,CS!$B:$B,0)+COLUMN(J$1),1))</f>
        <v>水の吐息</v>
      </c>
      <c r="BZ44">
        <v>1</v>
      </c>
      <c r="CJ44" t="s">
        <v>67</v>
      </c>
    </row>
    <row r="45" spans="1:88"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INDEX(CS!$B$1:$B$12939,MATCH($A45,CS!$B:$B,0)+COLUMN(A$1),1))</f>
        <v>風の拳</v>
      </c>
      <c r="AY45">
        <f>IF($A45="","", INDEX(CS!$B$1:$B$12939,MATCH($A45,CS!$B:$B,0)+COLUMN(B$1),1))</f>
        <v>0</v>
      </c>
      <c r="AZ45" t="str">
        <f>IF($A45="","", INDEX(CS!$B$1:$B$12939,MATCH($A45,CS!$B:$B,0)+COLUMN(C$1),1))</f>
        <v>浮遊</v>
      </c>
      <c r="BA45">
        <f>IF($A45="","", INDEX(CS!$B$1:$B$12939,MATCH($A45,CS!$B:$B,0)+COLUMN(D$1),1))</f>
        <v>0</v>
      </c>
      <c r="BB45">
        <f>IF($A45="","", INDEX(CS!$B$1:$B$12939,MATCH($A45,CS!$B:$B,0)+COLUMN(E$1),1))</f>
        <v>0</v>
      </c>
      <c r="BC45" t="str">
        <f>IF($A45="","", INDEX(CS!$B$1:$B$12939,MATCH($A45,CS!$B:$B,0)+COLUMN(F$1),1))</f>
        <v>風の魔力</v>
      </c>
      <c r="BD45">
        <f>IF($A45="","", INDEX(CS!$B$1:$B$12939,MATCH($A45,CS!$B:$B,0)+COLUMN(G$1),1))</f>
        <v>0</v>
      </c>
      <c r="BE45">
        <f>IF($A45="","", INDEX(CS!$B$1:$B$12939,MATCH($A45,CS!$B:$B,0)+COLUMN(H$1),1))</f>
        <v>0</v>
      </c>
      <c r="BF45" t="str">
        <f>IF($A45="","", INDEX(CS!$B$1:$B$12939,MATCH($A45,CS!$B:$B,0)+COLUMN(I$1),1))</f>
        <v>風の力</v>
      </c>
      <c r="BG45" t="str">
        <f>IF($A45="","", INDEX(CS!$B$1:$B$12939,MATCH($A45,CS!$B:$B,0)+COLUMN(J$1),1))</f>
        <v>風の吐息</v>
      </c>
      <c r="BZ45">
        <v>1</v>
      </c>
      <c r="CJ45" t="s">
        <v>67</v>
      </c>
    </row>
    <row r="46" spans="1:88"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INDEX(CS!$B$1:$B$12939,MATCH($A46,CS!$B:$B,0)+COLUMN(A$1),1))</f>
        <v>地の拳</v>
      </c>
      <c r="AY46">
        <f>IF($A46="","", INDEX(CS!$B$1:$B$12939,MATCH($A46,CS!$B:$B,0)+COLUMN(B$1),1))</f>
        <v>0</v>
      </c>
      <c r="AZ46" t="str">
        <f>IF($A46="","", INDEX(CS!$B$1:$B$12939,MATCH($A46,CS!$B:$B,0)+COLUMN(C$1),1))</f>
        <v>浮遊</v>
      </c>
      <c r="BA46">
        <f>IF($A46="","", INDEX(CS!$B$1:$B$12939,MATCH($A46,CS!$B:$B,0)+COLUMN(D$1),1))</f>
        <v>0</v>
      </c>
      <c r="BB46">
        <f>IF($A46="","", INDEX(CS!$B$1:$B$12939,MATCH($A46,CS!$B:$B,0)+COLUMN(E$1),1))</f>
        <v>0</v>
      </c>
      <c r="BC46" t="str">
        <f>IF($A46="","", INDEX(CS!$B$1:$B$12939,MATCH($A46,CS!$B:$B,0)+COLUMN(F$1),1))</f>
        <v>地の魔力</v>
      </c>
      <c r="BD46">
        <f>IF($A46="","", INDEX(CS!$B$1:$B$12939,MATCH($A46,CS!$B:$B,0)+COLUMN(G$1),1))</f>
        <v>0</v>
      </c>
      <c r="BE46">
        <f>IF($A46="","", INDEX(CS!$B$1:$B$12939,MATCH($A46,CS!$B:$B,0)+COLUMN(H$1),1))</f>
        <v>0</v>
      </c>
      <c r="BF46" t="str">
        <f>IF($A46="","", INDEX(CS!$B$1:$B$12939,MATCH($A46,CS!$B:$B,0)+COLUMN(I$1),1))</f>
        <v>地の力</v>
      </c>
      <c r="BG46" t="str">
        <f>IF($A46="","", INDEX(CS!$B$1:$B$12939,MATCH($A46,CS!$B:$B,0)+COLUMN(J$1),1))</f>
        <v>石礫の吐息</v>
      </c>
      <c r="BZ46">
        <v>1</v>
      </c>
      <c r="CJ46" t="s">
        <v>67</v>
      </c>
    </row>
    <row r="47" spans="1:88" x14ac:dyDescent="0.4">
      <c r="C47" t="s">
        <v>62</v>
      </c>
      <c r="D47" t="str">
        <f t="shared" si="2"/>
        <v>0/0/0</v>
      </c>
      <c r="E47">
        <v>1</v>
      </c>
      <c r="AX47" t="str">
        <f>IF($A47="","", INDEX(CS!$B$1:$B$12939,MATCH($A47,CS!$B:$B,0)+COLUMN(A$1),1))</f>
        <v/>
      </c>
      <c r="AY47" t="str">
        <f>IF($A47="","", INDEX(CS!$B$1:$B$12939,MATCH($A47,CS!$B:$B,0)+COLUMN(B$1),1))</f>
        <v/>
      </c>
      <c r="AZ47" t="str">
        <f>IF($A47="","", INDEX(CS!$B$1:$B$12939,MATCH($A47,CS!$B:$B,0)+COLUMN(C$1),1))</f>
        <v/>
      </c>
      <c r="BA47" t="str">
        <f>IF($A47="","", INDEX(CS!$B$1:$B$12939,MATCH($A47,CS!$B:$B,0)+COLUMN(D$1),1))</f>
        <v/>
      </c>
      <c r="BB47" t="str">
        <f>IF($A47="","", INDEX(CS!$B$1:$B$12939,MATCH($A47,CS!$B:$B,0)+COLUMN(E$1),1))</f>
        <v/>
      </c>
      <c r="BC47" t="str">
        <f>IF($A47="","", INDEX(CS!$B$1:$B$12939,MATCH($A47,CS!$B:$B,0)+COLUMN(F$1),1))</f>
        <v/>
      </c>
      <c r="BD47" t="str">
        <f>IF($A47="","", INDEX(CS!$B$1:$B$12939,MATCH($A47,CS!$B:$B,0)+COLUMN(G$1),1))</f>
        <v/>
      </c>
      <c r="BE47" t="str">
        <f>IF($A47="","", INDEX(CS!$B$1:$B$12939,MATCH($A47,CS!$B:$B,0)+COLUMN(H$1),1))</f>
        <v/>
      </c>
      <c r="BF47" t="str">
        <f>IF($A47="","", INDEX(CS!$B$1:$B$12939,MATCH($A47,CS!$B:$B,0)+COLUMN(I$1),1))</f>
        <v/>
      </c>
      <c r="BG47" t="str">
        <f>IF($A47="","", INDEX(CS!$B$1:$B$12939,MATCH($A47,CS!$B:$B,0)+COLUMN(J$1),1))</f>
        <v/>
      </c>
    </row>
    <row r="48" spans="1:88" x14ac:dyDescent="0.4">
      <c r="C48" t="s">
        <v>62</v>
      </c>
      <c r="D48" t="str">
        <f t="shared" si="2"/>
        <v>0/0/0</v>
      </c>
      <c r="E48">
        <v>1</v>
      </c>
      <c r="AX48" t="str">
        <f>IF($A48="","", INDEX(CS!$B$1:$B$12939,MATCH($A48,CS!$B:$B,0)+COLUMN(A$1),1))</f>
        <v/>
      </c>
      <c r="AY48" t="str">
        <f>IF($A48="","", INDEX(CS!$B$1:$B$12939,MATCH($A48,CS!$B:$B,0)+COLUMN(B$1),1))</f>
        <v/>
      </c>
      <c r="AZ48" t="str">
        <f>IF($A48="","", INDEX(CS!$B$1:$B$12939,MATCH($A48,CS!$B:$B,0)+COLUMN(C$1),1))</f>
        <v/>
      </c>
      <c r="BA48" t="str">
        <f>IF($A48="","", INDEX(CS!$B$1:$B$12939,MATCH($A48,CS!$B:$B,0)+COLUMN(D$1),1))</f>
        <v/>
      </c>
      <c r="BB48" t="str">
        <f>IF($A48="","", INDEX(CS!$B$1:$B$12939,MATCH($A48,CS!$B:$B,0)+COLUMN(E$1),1))</f>
        <v/>
      </c>
      <c r="BC48" t="str">
        <f>IF($A48="","", INDEX(CS!$B$1:$B$12939,MATCH($A48,CS!$B:$B,0)+COLUMN(F$1),1))</f>
        <v/>
      </c>
      <c r="BD48" t="str">
        <f>IF($A48="","", INDEX(CS!$B$1:$B$12939,MATCH($A48,CS!$B:$B,0)+COLUMN(G$1),1))</f>
        <v/>
      </c>
      <c r="BE48" t="str">
        <f>IF($A48="","", INDEX(CS!$B$1:$B$12939,MATCH($A48,CS!$B:$B,0)+COLUMN(H$1),1))</f>
        <v/>
      </c>
      <c r="BF48" t="str">
        <f>IF($A48="","", INDEX(CS!$B$1:$B$12939,MATCH($A48,CS!$B:$B,0)+COLUMN(I$1),1))</f>
        <v/>
      </c>
      <c r="BG48" t="str">
        <f>IF($A48="","", INDEX(CS!$B$1:$B$12939,MATCH($A48,CS!$B:$B,0)+COLUMN(J$1),1))</f>
        <v/>
      </c>
    </row>
    <row r="49" spans="1:88" x14ac:dyDescent="0.4">
      <c r="C49" t="s">
        <v>62</v>
      </c>
      <c r="D49" t="str">
        <f t="shared" si="2"/>
        <v>0/0/0</v>
      </c>
      <c r="E49">
        <v>1</v>
      </c>
      <c r="AX49" t="str">
        <f>IF($A49="","", INDEX(CS!$B$1:$B$12939,MATCH($A49,CS!$B:$B,0)+COLUMN(A$1),1))</f>
        <v/>
      </c>
      <c r="AY49" t="str">
        <f>IF($A49="","", INDEX(CS!$B$1:$B$12939,MATCH($A49,CS!$B:$B,0)+COLUMN(B$1),1))</f>
        <v/>
      </c>
      <c r="AZ49" t="str">
        <f>IF($A49="","", INDEX(CS!$B$1:$B$12939,MATCH($A49,CS!$B:$B,0)+COLUMN(C$1),1))</f>
        <v/>
      </c>
      <c r="BA49" t="str">
        <f>IF($A49="","", INDEX(CS!$B$1:$B$12939,MATCH($A49,CS!$B:$B,0)+COLUMN(D$1),1))</f>
        <v/>
      </c>
      <c r="BB49" t="str">
        <f>IF($A49="","", INDEX(CS!$B$1:$B$12939,MATCH($A49,CS!$B:$B,0)+COLUMN(E$1),1))</f>
        <v/>
      </c>
      <c r="BC49" t="str">
        <f>IF($A49="","", INDEX(CS!$B$1:$B$12939,MATCH($A49,CS!$B:$B,0)+COLUMN(F$1),1))</f>
        <v/>
      </c>
      <c r="BD49" t="str">
        <f>IF($A49="","", INDEX(CS!$B$1:$B$12939,MATCH($A49,CS!$B:$B,0)+COLUMN(G$1),1))</f>
        <v/>
      </c>
      <c r="BE49" t="str">
        <f>IF($A49="","", INDEX(CS!$B$1:$B$12939,MATCH($A49,CS!$B:$B,0)+COLUMN(H$1),1))</f>
        <v/>
      </c>
      <c r="BF49" t="str">
        <f>IF($A49="","", INDEX(CS!$B$1:$B$12939,MATCH($A49,CS!$B:$B,0)+COLUMN(I$1),1))</f>
        <v/>
      </c>
      <c r="BG49" t="str">
        <f>IF($A49="","", INDEX(CS!$B$1:$B$12939,MATCH($A49,CS!$B:$B,0)+COLUMN(J$1),1))</f>
        <v/>
      </c>
    </row>
    <row r="50" spans="1:88" x14ac:dyDescent="0.4">
      <c r="C50" t="s">
        <v>62</v>
      </c>
      <c r="D50" t="str">
        <f t="shared" si="2"/>
        <v>0/0/0</v>
      </c>
      <c r="E50">
        <v>1</v>
      </c>
      <c r="AX50" t="str">
        <f>IF($A50="","", INDEX(CS!$B$1:$B$12939,MATCH($A50,CS!$B:$B,0)+COLUMN(A$1),1))</f>
        <v/>
      </c>
      <c r="AY50" t="str">
        <f>IF($A50="","", INDEX(CS!$B$1:$B$12939,MATCH($A50,CS!$B:$B,0)+COLUMN(B$1),1))</f>
        <v/>
      </c>
      <c r="AZ50" t="str">
        <f>IF($A50="","", INDEX(CS!$B$1:$B$12939,MATCH($A50,CS!$B:$B,0)+COLUMN(C$1),1))</f>
        <v/>
      </c>
      <c r="BA50" t="str">
        <f>IF($A50="","", INDEX(CS!$B$1:$B$12939,MATCH($A50,CS!$B:$B,0)+COLUMN(D$1),1))</f>
        <v/>
      </c>
      <c r="BB50" t="str">
        <f>IF($A50="","", INDEX(CS!$B$1:$B$12939,MATCH($A50,CS!$B:$B,0)+COLUMN(E$1),1))</f>
        <v/>
      </c>
      <c r="BC50" t="str">
        <f>IF($A50="","", INDEX(CS!$B$1:$B$12939,MATCH($A50,CS!$B:$B,0)+COLUMN(F$1),1))</f>
        <v/>
      </c>
      <c r="BD50" t="str">
        <f>IF($A50="","", INDEX(CS!$B$1:$B$12939,MATCH($A50,CS!$B:$B,0)+COLUMN(G$1),1))</f>
        <v/>
      </c>
      <c r="BE50" t="str">
        <f>IF($A50="","", INDEX(CS!$B$1:$B$12939,MATCH($A50,CS!$B:$B,0)+COLUMN(H$1),1))</f>
        <v/>
      </c>
      <c r="BF50" t="str">
        <f>IF($A50="","", INDEX(CS!$B$1:$B$12939,MATCH($A50,CS!$B:$B,0)+COLUMN(I$1),1))</f>
        <v/>
      </c>
      <c r="BG50" t="str">
        <f>IF($A50="","", INDEX(CS!$B$1:$B$12939,MATCH($A50,CS!$B:$B,0)+COLUMN(J$1),1))</f>
        <v/>
      </c>
    </row>
    <row r="51" spans="1:88" x14ac:dyDescent="0.4">
      <c r="C51" t="s">
        <v>62</v>
      </c>
      <c r="D51" t="str">
        <f t="shared" si="2"/>
        <v>0/0/0</v>
      </c>
      <c r="E51">
        <v>1</v>
      </c>
      <c r="AX51" t="str">
        <f>IF($A51="","", INDEX(CS!$B$1:$B$12939,MATCH($A51,CS!$B:$B,0)+COLUMN(A$1),1))</f>
        <v/>
      </c>
      <c r="AY51" t="str">
        <f>IF($A51="","", INDEX(CS!$B$1:$B$12939,MATCH($A51,CS!$B:$B,0)+COLUMN(B$1),1))</f>
        <v/>
      </c>
      <c r="AZ51" t="str">
        <f>IF($A51="","", INDEX(CS!$B$1:$B$12939,MATCH($A51,CS!$B:$B,0)+COLUMN(C$1),1))</f>
        <v/>
      </c>
      <c r="BA51" t="str">
        <f>IF($A51="","", INDEX(CS!$B$1:$B$12939,MATCH($A51,CS!$B:$B,0)+COLUMN(D$1),1))</f>
        <v/>
      </c>
      <c r="BB51" t="str">
        <f>IF($A51="","", INDEX(CS!$B$1:$B$12939,MATCH($A51,CS!$B:$B,0)+COLUMN(E$1),1))</f>
        <v/>
      </c>
      <c r="BC51" t="str">
        <f>IF($A51="","", INDEX(CS!$B$1:$B$12939,MATCH($A51,CS!$B:$B,0)+COLUMN(F$1),1))</f>
        <v/>
      </c>
      <c r="BD51" t="str">
        <f>IF($A51="","", INDEX(CS!$B$1:$B$12939,MATCH($A51,CS!$B:$B,0)+COLUMN(G$1),1))</f>
        <v/>
      </c>
      <c r="BE51" t="str">
        <f>IF($A51="","", INDEX(CS!$B$1:$B$12939,MATCH($A51,CS!$B:$B,0)+COLUMN(H$1),1))</f>
        <v/>
      </c>
      <c r="BF51" t="str">
        <f>IF($A51="","", INDEX(CS!$B$1:$B$12939,MATCH($A51,CS!$B:$B,0)+COLUMN(I$1),1))</f>
        <v/>
      </c>
      <c r="BG51" t="str">
        <f>IF($A51="","", INDEX(CS!$B$1:$B$12939,MATCH($A51,CS!$B:$B,0)+COLUMN(J$1),1))</f>
        <v/>
      </c>
    </row>
    <row r="52" spans="1:88" x14ac:dyDescent="0.4">
      <c r="B52" t="s">
        <v>896</v>
      </c>
      <c r="D52" t="str">
        <f t="shared" si="2"/>
        <v>0/0/0</v>
      </c>
      <c r="E52">
        <v>1</v>
      </c>
      <c r="AX52" t="str">
        <f>IF($A52="","", INDEX(CS!$B$1:$B$12939,MATCH($A52,CS!$B:$B,0)+COLUMN(A$1),1))</f>
        <v/>
      </c>
      <c r="AY52" t="str">
        <f>IF($A52="","", INDEX(CS!$B$1:$B$12939,MATCH($A52,CS!$B:$B,0)+COLUMN(B$1),1))</f>
        <v/>
      </c>
      <c r="AZ52" t="str">
        <f>IF($A52="","", INDEX(CS!$B$1:$B$12939,MATCH($A52,CS!$B:$B,0)+COLUMN(C$1),1))</f>
        <v/>
      </c>
      <c r="BA52" t="str">
        <f>IF($A52="","", INDEX(CS!$B$1:$B$12939,MATCH($A52,CS!$B:$B,0)+COLUMN(D$1),1))</f>
        <v/>
      </c>
      <c r="BB52" t="str">
        <f>IF($A52="","", INDEX(CS!$B$1:$B$12939,MATCH($A52,CS!$B:$B,0)+COLUMN(E$1),1))</f>
        <v/>
      </c>
      <c r="BC52" t="str">
        <f>IF($A52="","", INDEX(CS!$B$1:$B$12939,MATCH($A52,CS!$B:$B,0)+COLUMN(F$1),1))</f>
        <v/>
      </c>
      <c r="BD52" t="str">
        <f>IF($A52="","", INDEX(CS!$B$1:$B$12939,MATCH($A52,CS!$B:$B,0)+COLUMN(G$1),1))</f>
        <v/>
      </c>
      <c r="BE52" t="str">
        <f>IF($A52="","", INDEX(CS!$B$1:$B$12939,MATCH($A52,CS!$B:$B,0)+COLUMN(H$1),1))</f>
        <v/>
      </c>
      <c r="BF52" t="str">
        <f>IF($A52="","", INDEX(CS!$B$1:$B$12939,MATCH($A52,CS!$B:$B,0)+COLUMN(I$1),1))</f>
        <v/>
      </c>
      <c r="BG52" t="str">
        <f>IF($A52="","", INDEX(CS!$B$1:$B$12939,MATCH($A52,CS!$B:$B,0)+COLUMN(J$1),1))</f>
        <v/>
      </c>
    </row>
    <row r="53" spans="1:88" x14ac:dyDescent="0.4">
      <c r="AX53" t="str">
        <f>IF($A53="","", INDEX(CS!$B$1:$B$12939,MATCH($A53,CS!$B:$B,0)+COLUMN(A$1),1))</f>
        <v/>
      </c>
      <c r="AY53" t="str">
        <f>IF($A53="","", INDEX(CS!$B$1:$B$12939,MATCH($A53,CS!$B:$B,0)+COLUMN(B$1),1))</f>
        <v/>
      </c>
      <c r="AZ53" t="str">
        <f>IF($A53="","", INDEX(CS!$B$1:$B$12939,MATCH($A53,CS!$B:$B,0)+COLUMN(C$1),1))</f>
        <v/>
      </c>
      <c r="BA53" t="str">
        <f>IF($A53="","", INDEX(CS!$B$1:$B$12939,MATCH($A53,CS!$B:$B,0)+COLUMN(D$1),1))</f>
        <v/>
      </c>
      <c r="BB53" t="str">
        <f>IF($A53="","", INDEX(CS!$B$1:$B$12939,MATCH($A53,CS!$B:$B,0)+COLUMN(E$1),1))</f>
        <v/>
      </c>
      <c r="BC53" t="str">
        <f>IF($A53="","", INDEX(CS!$B$1:$B$12939,MATCH($A53,CS!$B:$B,0)+COLUMN(F$1),1))</f>
        <v/>
      </c>
      <c r="BD53" t="str">
        <f>IF($A53="","", INDEX(CS!$B$1:$B$12939,MATCH($A53,CS!$B:$B,0)+COLUMN(G$1),1))</f>
        <v/>
      </c>
      <c r="BE53" t="str">
        <f>IF($A53="","", INDEX(CS!$B$1:$B$12939,MATCH($A53,CS!$B:$B,0)+COLUMN(H$1),1))</f>
        <v/>
      </c>
      <c r="BF53" t="str">
        <f>IF($A53="","", INDEX(CS!$B$1:$B$12939,MATCH($A53,CS!$B:$B,0)+COLUMN(I$1),1))</f>
        <v/>
      </c>
      <c r="BG53" t="str">
        <f>IF($A53="","", INDEX(CS!$B$1:$B$12939,MATCH($A53,CS!$B:$B,0)+COLUMN(J$1),1))</f>
        <v/>
      </c>
      <c r="CE53" t="s">
        <v>918</v>
      </c>
      <c r="CF53" t="s">
        <v>922</v>
      </c>
      <c r="CG53" t="s">
        <v>1126</v>
      </c>
    </row>
    <row r="54" spans="1:88" x14ac:dyDescent="0.4">
      <c r="A54" s="1" t="s">
        <v>1842</v>
      </c>
      <c r="B54" t="s">
        <v>1843</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INDEX(CS!$B$1:$B$12939,MATCH($A54,CS!$B:$B,0)+COLUMN(A$1),1))</f>
        <v>平地化</v>
      </c>
      <c r="AY54" t="str">
        <f>IF($A54="","", INDEX(CS!$B$1:$B$12939,MATCH($A54,CS!$B:$B,0)+COLUMN(B$1),1))</f>
        <v>森化</v>
      </c>
      <c r="AZ54" t="str">
        <f>IF($A54="","", INDEX(CS!$B$1:$B$12939,MATCH($A54,CS!$B:$B,0)+COLUMN(C$1),1))</f>
        <v>山岳化</v>
      </c>
      <c r="BA54" t="str">
        <f>IF($A54="","", INDEX(CS!$B$1:$B$12939,MATCH($A54,CS!$B:$B,0)+COLUMN(D$1),1))</f>
        <v>丘陵化</v>
      </c>
      <c r="BB54" t="str">
        <f>IF($A54="","", INDEX(CS!$B$1:$B$12939,MATCH($A54,CS!$B:$B,0)+COLUMN(E$1),1))</f>
        <v>河川化</v>
      </c>
      <c r="BC54" t="str">
        <f>IF($A54="","", INDEX(CS!$B$1:$B$12939,MATCH($A54,CS!$B:$B,0)+COLUMN(F$1),1))</f>
        <v>湖化</v>
      </c>
      <c r="BD54" t="str">
        <f>IF($A54="","", INDEX(CS!$B$1:$B$12939,MATCH($A54,CS!$B:$B,0)+COLUMN(G$1),1))</f>
        <v>海化</v>
      </c>
      <c r="BE54" t="str">
        <f>IF($A54="","", INDEX(CS!$B$1:$B$12939,MATCH($A54,CS!$B:$B,0)+COLUMN(H$1),1))</f>
        <v>砂漠化</v>
      </c>
      <c r="BF54" t="str">
        <f>IF($A54="","", INDEX(CS!$B$1:$B$12939,MATCH($A54,CS!$B:$B,0)+COLUMN(I$1),1))</f>
        <v>沼地化</v>
      </c>
      <c r="BG54" t="str">
        <f>IF($A54="","", INDEX(CS!$B$1:$B$12939,MATCH($A54,CS!$B:$B,0)+COLUMN(J$1),1))</f>
        <v>薬草繁茂化</v>
      </c>
      <c r="CJ54" t="s">
        <v>67</v>
      </c>
    </row>
    <row r="55" spans="1:88" x14ac:dyDescent="0.4">
      <c r="AX55" t="str">
        <f>IF($A55="","", INDEX(CS!$B$1:$B$12939,MATCH($A55,CS!$B:$B,0)+COLUMN(A$1),1))</f>
        <v/>
      </c>
      <c r="AY55" t="str">
        <f>IF($A55="","", INDEX(CS!$B$1:$B$12939,MATCH($A55,CS!$B:$B,0)+COLUMN(B$1),1))</f>
        <v/>
      </c>
      <c r="AZ55" t="str">
        <f>IF($A55="","", INDEX(CS!$B$1:$B$12939,MATCH($A55,CS!$B:$B,0)+COLUMN(C$1),1))</f>
        <v/>
      </c>
      <c r="BA55" t="str">
        <f>IF($A55="","", INDEX(CS!$B$1:$B$12939,MATCH($A55,CS!$B:$B,0)+COLUMN(D$1),1))</f>
        <v/>
      </c>
      <c r="BB55" t="str">
        <f>IF($A55="","", INDEX(CS!$B$1:$B$12939,MATCH($A55,CS!$B:$B,0)+COLUMN(E$1),1))</f>
        <v/>
      </c>
      <c r="BC55" t="str">
        <f>IF($A55="","", INDEX(CS!$B$1:$B$12939,MATCH($A55,CS!$B:$B,0)+COLUMN(F$1),1))</f>
        <v/>
      </c>
      <c r="BD55" t="str">
        <f>IF($A55="","", INDEX(CS!$B$1:$B$12939,MATCH($A55,CS!$B:$B,0)+COLUMN(G$1),1))</f>
        <v/>
      </c>
      <c r="BE55" t="str">
        <f>IF($A55="","", INDEX(CS!$B$1:$B$12939,MATCH($A55,CS!$B:$B,0)+COLUMN(H$1),1))</f>
        <v/>
      </c>
      <c r="BF55" t="str">
        <f>IF($A55="","", INDEX(CS!$B$1:$B$12939,MATCH($A55,CS!$B:$B,0)+COLUMN(I$1),1))</f>
        <v/>
      </c>
      <c r="BG55" t="str">
        <f>IF($A55="","", INDEX(CS!$B$1:$B$12939,MATCH($A55,CS!$B:$B,0)+COLUMN(J$1),1))</f>
        <v/>
      </c>
      <c r="CE55" t="s">
        <v>918</v>
      </c>
      <c r="CF55" t="s">
        <v>922</v>
      </c>
      <c r="CG55" t="s">
        <v>1126</v>
      </c>
    </row>
    <row r="56" spans="1:88"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INDEX(CS!$B$1:$B$12939,MATCH($A56,CS!$B:$B,0)+COLUMN(A$1),1))</f>
        <v>0</v>
      </c>
      <c r="AY56" t="str">
        <f>IF($A56="","", INDEX(CS!$B$1:$B$12939,MATCH($A56,CS!$B:$B,0)+COLUMN(B$1),1))</f>
        <v>闘気撃</v>
      </c>
      <c r="AZ56" t="str">
        <f>IF($A56="","", INDEX(CS!$B$1:$B$12939,MATCH($A56,CS!$B:$B,0)+COLUMN(C$1),1))</f>
        <v>武器の扱い</v>
      </c>
      <c r="BA56">
        <f>IF($A56="","", INDEX(CS!$B$1:$B$12939,MATCH($A56,CS!$B:$B,0)+COLUMN(D$1),1))</f>
        <v>0</v>
      </c>
      <c r="BB56" t="str">
        <f>IF($A56="","", INDEX(CS!$B$1:$B$12939,MATCH($A56,CS!$B:$B,0)+COLUMN(E$1),1))</f>
        <v>闘気守</v>
      </c>
      <c r="BC56">
        <f>IF($A56="","", INDEX(CS!$B$1:$B$12939,MATCH($A56,CS!$B:$B,0)+COLUMN(F$1),1))</f>
        <v>0</v>
      </c>
      <c r="BD56">
        <f>IF($A56="","", INDEX(CS!$B$1:$B$12939,MATCH($A56,CS!$B:$B,0)+COLUMN(G$1),1))</f>
        <v>0</v>
      </c>
      <c r="BE56" t="str">
        <f>IF($A56="","", INDEX(CS!$B$1:$B$12939,MATCH($A56,CS!$B:$B,0)+COLUMN(H$1),1))</f>
        <v>雄叫び</v>
      </c>
      <c r="BF56" t="str">
        <f>IF($A56="","", INDEX(CS!$B$1:$B$12939,MATCH($A56,CS!$B:$B,0)+COLUMN(I$1),1))</f>
        <v>武器の攻め</v>
      </c>
      <c r="BG56" t="str">
        <f>IF($A56="","", INDEX(CS!$B$1:$B$12939,MATCH($A56,CS!$B:$B,0)+COLUMN(J$1),1))</f>
        <v>一閃撃</v>
      </c>
      <c r="BH56" t="s">
        <v>888</v>
      </c>
      <c r="CC56" t="s">
        <v>1176</v>
      </c>
      <c r="CF56" t="s">
        <v>921</v>
      </c>
      <c r="CG56" t="s">
        <v>1126</v>
      </c>
      <c r="CJ56" t="s">
        <v>27</v>
      </c>
    </row>
    <row r="57" spans="1:88"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INDEX(CS!$B$1:$B$12939,MATCH($A57,CS!$B:$B,0)+COLUMN(A$1),1))</f>
        <v>0</v>
      </c>
      <c r="AY57" t="str">
        <f>IF($A57="","", INDEX(CS!$B$1:$B$12939,MATCH($A57,CS!$B:$B,0)+COLUMN(B$1),1))</f>
        <v>闘気守</v>
      </c>
      <c r="AZ57" t="str">
        <f>IF($A57="","", INDEX(CS!$B$1:$B$12939,MATCH($A57,CS!$B:$B,0)+COLUMN(C$1),1))</f>
        <v>武器の扱い</v>
      </c>
      <c r="BA57">
        <f>IF($A57="","", INDEX(CS!$B$1:$B$12939,MATCH($A57,CS!$B:$B,0)+COLUMN(D$1),1))</f>
        <v>0</v>
      </c>
      <c r="BB57" t="str">
        <f>IF($A57="","", INDEX(CS!$B$1:$B$12939,MATCH($A57,CS!$B:$B,0)+COLUMN(E$1),1))</f>
        <v>闘気撃</v>
      </c>
      <c r="BC57" t="str">
        <f>IF($A57="","", INDEX(CS!$B$1:$B$12939,MATCH($A57,CS!$B:$B,0)+COLUMN(F$1),1))</f>
        <v>反撃</v>
      </c>
      <c r="BD57">
        <f>IF($A57="","", INDEX(CS!$B$1:$B$12939,MATCH($A57,CS!$B:$B,0)+COLUMN(G$1),1))</f>
        <v>0</v>
      </c>
      <c r="BE57" t="str">
        <f>IF($A57="","", INDEX(CS!$B$1:$B$12939,MATCH($A57,CS!$B:$B,0)+COLUMN(H$1),1))</f>
        <v>雄叫び</v>
      </c>
      <c r="BF57" t="str">
        <f>IF($A57="","", INDEX(CS!$B$1:$B$12939,MATCH($A57,CS!$B:$B,0)+COLUMN(I$1),1))</f>
        <v>武器の守り</v>
      </c>
      <c r="BG57" t="str">
        <f>IF($A57="","", INDEX(CS!$B$1:$B$12939,MATCH($A57,CS!$B:$B,0)+COLUMN(J$1),1))</f>
        <v>一閃撃</v>
      </c>
      <c r="BH57" t="s">
        <v>888</v>
      </c>
      <c r="CC57" t="s">
        <v>676</v>
      </c>
      <c r="CD57" t="s">
        <v>1177</v>
      </c>
      <c r="CF57" t="s">
        <v>921</v>
      </c>
      <c r="CG57" t="s">
        <v>1126</v>
      </c>
      <c r="CJ57" t="s">
        <v>27</v>
      </c>
    </row>
    <row r="58" spans="1:88"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INDEX(CS!$B$1:$B$12939,MATCH($A58,CS!$B:$B,0)+COLUMN(A$1),1))</f>
        <v>0</v>
      </c>
      <c r="AY58" t="str">
        <f>IF($A58="","", INDEX(CS!$B$1:$B$12939,MATCH($A58,CS!$B:$B,0)+COLUMN(B$1),1))</f>
        <v>闘気撃</v>
      </c>
      <c r="AZ58" t="str">
        <f>IF($A58="","", INDEX(CS!$B$1:$B$12939,MATCH($A58,CS!$B:$B,0)+COLUMN(C$1),1))</f>
        <v>武器の扱い</v>
      </c>
      <c r="BA58">
        <f>IF($A58="","", INDEX(CS!$B$1:$B$12939,MATCH($A58,CS!$B:$B,0)+COLUMN(D$1),1))</f>
        <v>0</v>
      </c>
      <c r="BB58" t="str">
        <f>IF($A58="","", INDEX(CS!$B$1:$B$12939,MATCH($A58,CS!$B:$B,0)+COLUMN(E$1),1))</f>
        <v>闘気速</v>
      </c>
      <c r="BC58">
        <f>IF($A58="","", INDEX(CS!$B$1:$B$12939,MATCH($A58,CS!$B:$B,0)+COLUMN(F$1),1))</f>
        <v>0</v>
      </c>
      <c r="BD58">
        <f>IF($A58="","", INDEX(CS!$B$1:$B$12939,MATCH($A58,CS!$B:$B,0)+COLUMN(G$1),1))</f>
        <v>0</v>
      </c>
      <c r="BE58" t="str">
        <f>IF($A58="","", INDEX(CS!$B$1:$B$12939,MATCH($A58,CS!$B:$B,0)+COLUMN(H$1),1))</f>
        <v>雄叫び</v>
      </c>
      <c r="BF58" t="str">
        <f>IF($A58="","", INDEX(CS!$B$1:$B$12939,MATCH($A58,CS!$B:$B,0)+COLUMN(I$1),1))</f>
        <v>武器の攻め</v>
      </c>
      <c r="BG58" t="str">
        <f>IF($A58="","", INDEX(CS!$B$1:$B$12939,MATCH($A58,CS!$B:$B,0)+COLUMN(J$1),1))</f>
        <v>一閃撃</v>
      </c>
      <c r="BH58" t="s">
        <v>888</v>
      </c>
      <c r="CC58" t="s">
        <v>1175</v>
      </c>
      <c r="CE58" t="s">
        <v>919</v>
      </c>
      <c r="CF58" t="s">
        <v>922</v>
      </c>
      <c r="CG58" t="s">
        <v>1126</v>
      </c>
      <c r="CJ58" t="s">
        <v>27</v>
      </c>
    </row>
    <row r="59" spans="1:88" outlineLevel="1" x14ac:dyDescent="0.4">
      <c r="C59" t="s">
        <v>51</v>
      </c>
      <c r="D59" t="str">
        <f t="shared" si="5"/>
        <v>0/0/0</v>
      </c>
      <c r="E59">
        <v>1</v>
      </c>
      <c r="AX59" t="str">
        <f>IF($A59="","", INDEX(CS!$B$1:$B$12939,MATCH($A59,CS!$B:$B,0)+COLUMN(A$1),1))</f>
        <v/>
      </c>
      <c r="AY59" t="str">
        <f>IF($A59="","", INDEX(CS!$B$1:$B$12939,MATCH($A59,CS!$B:$B,0)+COLUMN(B$1),1))</f>
        <v/>
      </c>
      <c r="AZ59" t="str">
        <f>IF($A59="","", INDEX(CS!$B$1:$B$12939,MATCH($A59,CS!$B:$B,0)+COLUMN(C$1),1))</f>
        <v/>
      </c>
      <c r="BA59" t="str">
        <f>IF($A59="","", INDEX(CS!$B$1:$B$12939,MATCH($A59,CS!$B:$B,0)+COLUMN(D$1),1))</f>
        <v/>
      </c>
      <c r="BB59" t="str">
        <f>IF($A59="","", INDEX(CS!$B$1:$B$12939,MATCH($A59,CS!$B:$B,0)+COLUMN(E$1),1))</f>
        <v/>
      </c>
      <c r="BC59" t="str">
        <f>IF($A59="","", INDEX(CS!$B$1:$B$12939,MATCH($A59,CS!$B:$B,0)+COLUMN(F$1),1))</f>
        <v/>
      </c>
      <c r="BD59" t="str">
        <f>IF($A59="","", INDEX(CS!$B$1:$B$12939,MATCH($A59,CS!$B:$B,0)+COLUMN(G$1),1))</f>
        <v/>
      </c>
      <c r="BE59" t="str">
        <f>IF($A59="","", INDEX(CS!$B$1:$B$12939,MATCH($A59,CS!$B:$B,0)+COLUMN(H$1),1))</f>
        <v/>
      </c>
      <c r="BF59" t="str">
        <f>IF($A59="","", INDEX(CS!$B$1:$B$12939,MATCH($A59,CS!$B:$B,0)+COLUMN(I$1),1))</f>
        <v/>
      </c>
      <c r="BG59" t="str">
        <f>IF($A59="","", INDEX(CS!$B$1:$B$12939,MATCH($A59,CS!$B:$B,0)+COLUMN(J$1),1))</f>
        <v/>
      </c>
    </row>
    <row r="60" spans="1:88"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INDEX(CS!$B$1:$B$12939,MATCH($A60,CS!$B:$B,0)+COLUMN(A$1),1))</f>
        <v>0</v>
      </c>
      <c r="AY60" t="str">
        <f>IF($A60="","", INDEX(CS!$B$1:$B$12939,MATCH($A60,CS!$B:$B,0)+COLUMN(B$1),1))</f>
        <v>急所撃</v>
      </c>
      <c r="AZ60" t="str">
        <f>IF($A60="","", INDEX(CS!$B$1:$B$12939,MATCH($A60,CS!$B:$B,0)+COLUMN(C$1),1))</f>
        <v>隠密</v>
      </c>
      <c r="BA60">
        <f>IF($A60="","", INDEX(CS!$B$1:$B$12939,MATCH($A60,CS!$B:$B,0)+COLUMN(D$1),1))</f>
        <v>0</v>
      </c>
      <c r="BB60" t="str">
        <f>IF($A60="","", INDEX(CS!$B$1:$B$12939,MATCH($A60,CS!$B:$B,0)+COLUMN(E$1),1))</f>
        <v>痛撃</v>
      </c>
      <c r="BC60" t="str">
        <f>IF($A60="","", INDEX(CS!$B$1:$B$12939,MATCH($A60,CS!$B:$B,0)+COLUMN(F$1),1))</f>
        <v>罠技術</v>
      </c>
      <c r="BD60">
        <f>IF($A60="","", INDEX(CS!$B$1:$B$12939,MATCH($A60,CS!$B:$B,0)+COLUMN(G$1),1))</f>
        <v>0</v>
      </c>
      <c r="BE60" t="str">
        <f>IF($A60="","", INDEX(CS!$B$1:$B$12939,MATCH($A60,CS!$B:$B,0)+COLUMN(H$1),1))</f>
        <v>狙い</v>
      </c>
      <c r="BF60">
        <f>IF($A60="","", INDEX(CS!$B$1:$B$12939,MATCH($A60,CS!$B:$B,0)+COLUMN(I$1),1))</f>
        <v>0</v>
      </c>
      <c r="BG60">
        <f>IF($A60="","", INDEX(CS!$B$1:$B$12939,MATCH($A60,CS!$B:$B,0)+COLUMN(J$1),1))</f>
        <v>0</v>
      </c>
      <c r="BH60" t="s">
        <v>888</v>
      </c>
      <c r="CC60" t="s">
        <v>1178</v>
      </c>
      <c r="CF60" t="s">
        <v>922</v>
      </c>
      <c r="CG60" t="s">
        <v>1126</v>
      </c>
      <c r="CJ60" t="s">
        <v>992</v>
      </c>
    </row>
    <row r="61" spans="1:88"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INDEX(CS!$B$1:$B$12939,MATCH($A61,CS!$B:$B,0)+COLUMN(A$1),1))</f>
        <v>0</v>
      </c>
      <c r="AY61">
        <f>IF($A61="","", INDEX(CS!$B$1:$B$12939,MATCH($A61,CS!$B:$B,0)+COLUMN(B$1),1))</f>
        <v>0</v>
      </c>
      <c r="AZ61">
        <f>IF($A61="","", INDEX(CS!$B$1:$B$12939,MATCH($A61,CS!$B:$B,0)+COLUMN(C$1),1))</f>
        <v>0</v>
      </c>
      <c r="BA61">
        <f>IF($A61="","", INDEX(CS!$B$1:$B$12939,MATCH($A61,CS!$B:$B,0)+COLUMN(D$1),1))</f>
        <v>0</v>
      </c>
      <c r="BB61">
        <f>IF($A61="","", INDEX(CS!$B$1:$B$12939,MATCH($A61,CS!$B:$B,0)+COLUMN(E$1),1))</f>
        <v>0</v>
      </c>
      <c r="BC61">
        <f>IF($A61="","", INDEX(CS!$B$1:$B$12939,MATCH($A61,CS!$B:$B,0)+COLUMN(F$1),1))</f>
        <v>0</v>
      </c>
      <c r="BD61">
        <f>IF($A61="","", INDEX(CS!$B$1:$B$12939,MATCH($A61,CS!$B:$B,0)+COLUMN(G$1),1))</f>
        <v>0</v>
      </c>
      <c r="BE61">
        <f>IF($A61="","", INDEX(CS!$B$1:$B$12939,MATCH($A61,CS!$B:$B,0)+COLUMN(H$1),1))</f>
        <v>0</v>
      </c>
      <c r="BF61">
        <f>IF($A61="","", INDEX(CS!$B$1:$B$12939,MATCH($A61,CS!$B:$B,0)+COLUMN(I$1),1))</f>
        <v>0</v>
      </c>
      <c r="BG61">
        <f>IF($A61="","", INDEX(CS!$B$1:$B$12939,MATCH($A61,CS!$B:$B,0)+COLUMN(J$1),1))</f>
        <v>0</v>
      </c>
      <c r="BH61" t="s">
        <v>888</v>
      </c>
      <c r="CC61" t="s">
        <v>1179</v>
      </c>
      <c r="CF61" t="s">
        <v>922</v>
      </c>
      <c r="CG61" t="s">
        <v>1126</v>
      </c>
      <c r="CJ61" t="s">
        <v>992</v>
      </c>
    </row>
    <row r="62" spans="1:88"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INDEX(CS!$B$1:$B$12939,MATCH($A62,CS!$B:$B,0)+COLUMN(A$1),1))</f>
        <v>0</v>
      </c>
      <c r="AY62">
        <f>IF($A62="","", INDEX(CS!$B$1:$B$12939,MATCH($A62,CS!$B:$B,0)+COLUMN(B$1),1))</f>
        <v>0</v>
      </c>
      <c r="AZ62">
        <f>IF($A62="","", INDEX(CS!$B$1:$B$12939,MATCH($A62,CS!$B:$B,0)+COLUMN(C$1),1))</f>
        <v>0</v>
      </c>
      <c r="BA62">
        <f>IF($A62="","", INDEX(CS!$B$1:$B$12939,MATCH($A62,CS!$B:$B,0)+COLUMN(D$1),1))</f>
        <v>0</v>
      </c>
      <c r="BB62">
        <f>IF($A62="","", INDEX(CS!$B$1:$B$12939,MATCH($A62,CS!$B:$B,0)+COLUMN(E$1),1))</f>
        <v>0</v>
      </c>
      <c r="BC62">
        <f>IF($A62="","", INDEX(CS!$B$1:$B$12939,MATCH($A62,CS!$B:$B,0)+COLUMN(F$1),1))</f>
        <v>0</v>
      </c>
      <c r="BD62">
        <f>IF($A62="","", INDEX(CS!$B$1:$B$12939,MATCH($A62,CS!$B:$B,0)+COLUMN(G$1),1))</f>
        <v>0</v>
      </c>
      <c r="BE62">
        <f>IF($A62="","", INDEX(CS!$B$1:$B$12939,MATCH($A62,CS!$B:$B,0)+COLUMN(H$1),1))</f>
        <v>0</v>
      </c>
      <c r="BF62">
        <f>IF($A62="","", INDEX(CS!$B$1:$B$12939,MATCH($A62,CS!$B:$B,0)+COLUMN(I$1),1))</f>
        <v>0</v>
      </c>
      <c r="BG62">
        <f>IF($A62="","", INDEX(CS!$B$1:$B$12939,MATCH($A62,CS!$B:$B,0)+COLUMN(J$1),1))</f>
        <v>0</v>
      </c>
      <c r="BH62" t="s">
        <v>888</v>
      </c>
      <c r="CC62" t="s">
        <v>1178</v>
      </c>
      <c r="CF62" t="s">
        <v>922</v>
      </c>
      <c r="CG62" t="s">
        <v>1126</v>
      </c>
      <c r="CJ62" t="s">
        <v>992</v>
      </c>
    </row>
    <row r="63" spans="1:88" outlineLevel="1" x14ac:dyDescent="0.4">
      <c r="C63" t="s">
        <v>51</v>
      </c>
      <c r="D63" t="str">
        <f t="shared" si="5"/>
        <v>0/0/0</v>
      </c>
      <c r="E63">
        <v>1</v>
      </c>
      <c r="AX63" t="str">
        <f>IF($A63="","", INDEX(CS!$B$1:$B$12939,MATCH($A63,CS!$B:$B,0)+COLUMN(A$1),1))</f>
        <v/>
      </c>
      <c r="AY63" t="str">
        <f>IF($A63="","", INDEX(CS!$B$1:$B$12939,MATCH($A63,CS!$B:$B,0)+COLUMN(B$1),1))</f>
        <v/>
      </c>
      <c r="AZ63" t="str">
        <f>IF($A63="","", INDEX(CS!$B$1:$B$12939,MATCH($A63,CS!$B:$B,0)+COLUMN(C$1),1))</f>
        <v/>
      </c>
      <c r="BA63" t="str">
        <f>IF($A63="","", INDEX(CS!$B$1:$B$12939,MATCH($A63,CS!$B:$B,0)+COLUMN(D$1),1))</f>
        <v/>
      </c>
      <c r="BB63" t="str">
        <f>IF($A63="","", INDEX(CS!$B$1:$B$12939,MATCH($A63,CS!$B:$B,0)+COLUMN(E$1),1))</f>
        <v/>
      </c>
      <c r="BC63" t="str">
        <f>IF($A63="","", INDEX(CS!$B$1:$B$12939,MATCH($A63,CS!$B:$B,0)+COLUMN(F$1),1))</f>
        <v/>
      </c>
      <c r="BD63" t="str">
        <f>IF($A63="","", INDEX(CS!$B$1:$B$12939,MATCH($A63,CS!$B:$B,0)+COLUMN(G$1),1))</f>
        <v/>
      </c>
      <c r="BE63" t="str">
        <f>IF($A63="","", INDEX(CS!$B$1:$B$12939,MATCH($A63,CS!$B:$B,0)+COLUMN(H$1),1))</f>
        <v/>
      </c>
      <c r="BF63" t="str">
        <f>IF($A63="","", INDEX(CS!$B$1:$B$12939,MATCH($A63,CS!$B:$B,0)+COLUMN(I$1),1))</f>
        <v/>
      </c>
      <c r="BG63" t="str">
        <f>IF($A63="","", INDEX(CS!$B$1:$B$12939,MATCH($A63,CS!$B:$B,0)+COLUMN(J$1),1))</f>
        <v/>
      </c>
    </row>
    <row r="64" spans="1:88"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INDEX(CS!$B$1:$B$12939,MATCH($A64,CS!$B:$B,0)+COLUMN(A$1),1))</f>
        <v>0</v>
      </c>
      <c r="AY64">
        <f>IF($A64="","", INDEX(CS!$B$1:$B$12939,MATCH($A64,CS!$B:$B,0)+COLUMN(B$1),1))</f>
        <v>0</v>
      </c>
      <c r="AZ64">
        <f>IF($A64="","", INDEX(CS!$B$1:$B$12939,MATCH($A64,CS!$B:$B,0)+COLUMN(C$1),1))</f>
        <v>0</v>
      </c>
      <c r="BA64">
        <f>IF($A64="","", INDEX(CS!$B$1:$B$12939,MATCH($A64,CS!$B:$B,0)+COLUMN(D$1),1))</f>
        <v>0</v>
      </c>
      <c r="BB64">
        <f>IF($A64="","", INDEX(CS!$B$1:$B$12939,MATCH($A64,CS!$B:$B,0)+COLUMN(E$1),1))</f>
        <v>0</v>
      </c>
      <c r="BC64">
        <f>IF($A64="","", INDEX(CS!$B$1:$B$12939,MATCH($A64,CS!$B:$B,0)+COLUMN(F$1),1))</f>
        <v>0</v>
      </c>
      <c r="BD64">
        <f>IF($A64="","", INDEX(CS!$B$1:$B$12939,MATCH($A64,CS!$B:$B,0)+COLUMN(G$1),1))</f>
        <v>0</v>
      </c>
      <c r="BE64">
        <f>IF($A64="","", INDEX(CS!$B$1:$B$12939,MATCH($A64,CS!$B:$B,0)+COLUMN(H$1),1))</f>
        <v>0</v>
      </c>
      <c r="BF64">
        <f>IF($A64="","", INDEX(CS!$B$1:$B$12939,MATCH($A64,CS!$B:$B,0)+COLUMN(I$1),1))</f>
        <v>0</v>
      </c>
      <c r="BG64">
        <f>IF($A64="","", INDEX(CS!$B$1:$B$12939,MATCH($A64,CS!$B:$B,0)+COLUMN(J$1),1))</f>
        <v>0</v>
      </c>
      <c r="BH64" t="s">
        <v>888</v>
      </c>
      <c r="CC64" t="s">
        <v>658</v>
      </c>
      <c r="CE64" t="s">
        <v>919</v>
      </c>
      <c r="CF64" t="s">
        <v>923</v>
      </c>
      <c r="CG64" t="s">
        <v>1126</v>
      </c>
      <c r="CJ64" t="s">
        <v>251</v>
      </c>
    </row>
    <row r="65" spans="1:88"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INDEX(CS!$B$1:$B$12939,MATCH($A65,CS!$B:$B,0)+COLUMN(A$1),1))</f>
        <v>0</v>
      </c>
      <c r="AY65">
        <f>IF($A65="","", INDEX(CS!$B$1:$B$12939,MATCH($A65,CS!$B:$B,0)+COLUMN(B$1),1))</f>
        <v>0</v>
      </c>
      <c r="AZ65">
        <f>IF($A65="","", INDEX(CS!$B$1:$B$12939,MATCH($A65,CS!$B:$B,0)+COLUMN(C$1),1))</f>
        <v>0</v>
      </c>
      <c r="BA65">
        <f>IF($A65="","", INDEX(CS!$B$1:$B$12939,MATCH($A65,CS!$B:$B,0)+COLUMN(D$1),1))</f>
        <v>0</v>
      </c>
      <c r="BB65">
        <f>IF($A65="","", INDEX(CS!$B$1:$B$12939,MATCH($A65,CS!$B:$B,0)+COLUMN(E$1),1))</f>
        <v>0</v>
      </c>
      <c r="BC65">
        <f>IF($A65="","", INDEX(CS!$B$1:$B$12939,MATCH($A65,CS!$B:$B,0)+COLUMN(F$1),1))</f>
        <v>0</v>
      </c>
      <c r="BD65">
        <f>IF($A65="","", INDEX(CS!$B$1:$B$12939,MATCH($A65,CS!$B:$B,0)+COLUMN(G$1),1))</f>
        <v>0</v>
      </c>
      <c r="BE65">
        <f>IF($A65="","", INDEX(CS!$B$1:$B$12939,MATCH($A65,CS!$B:$B,0)+COLUMN(H$1),1))</f>
        <v>0</v>
      </c>
      <c r="BF65">
        <f>IF($A65="","", INDEX(CS!$B$1:$B$12939,MATCH($A65,CS!$B:$B,0)+COLUMN(I$1),1))</f>
        <v>0</v>
      </c>
      <c r="BG65">
        <f>IF($A65="","", INDEX(CS!$B$1:$B$12939,MATCH($A65,CS!$B:$B,0)+COLUMN(J$1),1))</f>
        <v>0</v>
      </c>
      <c r="BH65" t="s">
        <v>888</v>
      </c>
      <c r="CC65" t="s">
        <v>658</v>
      </c>
      <c r="CE65" t="s">
        <v>919</v>
      </c>
      <c r="CF65" t="s">
        <v>923</v>
      </c>
      <c r="CG65" t="s">
        <v>1126</v>
      </c>
      <c r="CJ65" t="s">
        <v>251</v>
      </c>
    </row>
    <row r="66" spans="1:88"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INDEX(CS!$B$1:$B$12939,MATCH($A66,CS!$B:$B,0)+COLUMN(A$1),1))</f>
        <v>爆薬</v>
      </c>
      <c r="AY66" t="str">
        <f>IF($A66="","", INDEX(CS!$B$1:$B$12939,MATCH($A66,CS!$B:$B,0)+COLUMN(B$1),1))</f>
        <v>闘気撃</v>
      </c>
      <c r="AZ66" t="str">
        <f>IF($A66="","", INDEX(CS!$B$1:$B$12939,MATCH($A66,CS!$B:$B,0)+COLUMN(C$1),1))</f>
        <v>闘気速</v>
      </c>
      <c r="BA66" t="str">
        <f>IF($A66="","", INDEX(CS!$B$1:$B$12939,MATCH($A66,CS!$B:$B,0)+COLUMN(D$1),1))</f>
        <v>雄叫び</v>
      </c>
      <c r="BB66" t="str">
        <f>IF($A66="","", INDEX(CS!$B$1:$B$12939,MATCH($A66,CS!$B:$B,0)+COLUMN(E$1),1))</f>
        <v>一閃撃</v>
      </c>
      <c r="BC66" t="str">
        <f>IF($A66="","", INDEX(CS!$B$1:$B$12939,MATCH($A66,CS!$B:$B,0)+COLUMN(F$1),1))</f>
        <v>急所撃</v>
      </c>
      <c r="BD66" t="str">
        <f>IF($A66="","", INDEX(CS!$B$1:$B$12939,MATCH($A66,CS!$B:$B,0)+COLUMN(G$1),1))</f>
        <v>炎の雨</v>
      </c>
      <c r="BE66" t="str">
        <f>IF($A66="","", INDEX(CS!$B$1:$B$12939,MATCH($A66,CS!$B:$B,0)+COLUMN(H$1),1))</f>
        <v>火球</v>
      </c>
      <c r="BF66" t="str">
        <f>IF($A66="","", INDEX(CS!$B$1:$B$12939,MATCH($A66,CS!$B:$B,0)+COLUMN(I$1),1))</f>
        <v>落下火球</v>
      </c>
      <c r="BG66" t="str">
        <f>IF($A66="","", INDEX(CS!$B$1:$B$12939,MATCH($A66,CS!$B:$B,0)+COLUMN(J$1),1))</f>
        <v>爆裂</v>
      </c>
      <c r="BH66" t="s">
        <v>888</v>
      </c>
      <c r="CC66" t="s">
        <v>658</v>
      </c>
      <c r="CE66" t="s">
        <v>919</v>
      </c>
      <c r="CF66" t="s">
        <v>923</v>
      </c>
      <c r="CG66" t="s">
        <v>1126</v>
      </c>
      <c r="CJ66" t="s">
        <v>251</v>
      </c>
    </row>
    <row r="67" spans="1:88" outlineLevel="1" x14ac:dyDescent="0.4">
      <c r="C67" t="s">
        <v>51</v>
      </c>
      <c r="D67" t="str">
        <f t="shared" si="5"/>
        <v>0/0/0</v>
      </c>
      <c r="E67">
        <v>1</v>
      </c>
      <c r="AX67" t="str">
        <f>IF($A67="","", INDEX(CS!$B$1:$B$12939,MATCH($A67,CS!$B:$B,0)+COLUMN(A$1),1))</f>
        <v/>
      </c>
      <c r="AY67" t="str">
        <f>IF($A67="","", INDEX(CS!$B$1:$B$12939,MATCH($A67,CS!$B:$B,0)+COLUMN(B$1),1))</f>
        <v/>
      </c>
      <c r="AZ67" t="str">
        <f>IF($A67="","", INDEX(CS!$B$1:$B$12939,MATCH($A67,CS!$B:$B,0)+COLUMN(C$1),1))</f>
        <v/>
      </c>
      <c r="BA67" t="str">
        <f>IF($A67="","", INDEX(CS!$B$1:$B$12939,MATCH($A67,CS!$B:$B,0)+COLUMN(D$1),1))</f>
        <v/>
      </c>
      <c r="BB67" t="str">
        <f>IF($A67="","", INDEX(CS!$B$1:$B$12939,MATCH($A67,CS!$B:$B,0)+COLUMN(E$1),1))</f>
        <v/>
      </c>
      <c r="BC67" t="str">
        <f>IF($A67="","", INDEX(CS!$B$1:$B$12939,MATCH($A67,CS!$B:$B,0)+COLUMN(F$1),1))</f>
        <v/>
      </c>
      <c r="BD67" t="str">
        <f>IF($A67="","", INDEX(CS!$B$1:$B$12939,MATCH($A67,CS!$B:$B,0)+COLUMN(G$1),1))</f>
        <v/>
      </c>
      <c r="BE67" t="str">
        <f>IF($A67="","", INDEX(CS!$B$1:$B$12939,MATCH($A67,CS!$B:$B,0)+COLUMN(H$1),1))</f>
        <v/>
      </c>
      <c r="BF67" t="str">
        <f>IF($A67="","", INDEX(CS!$B$1:$B$12939,MATCH($A67,CS!$B:$B,0)+COLUMN(I$1),1))</f>
        <v/>
      </c>
      <c r="BG67" t="str">
        <f>IF($A67="","", INDEX(CS!$B$1:$B$12939,MATCH($A67,CS!$B:$B,0)+COLUMN(J$1),1))</f>
        <v/>
      </c>
    </row>
    <row r="68" spans="1:88"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INDEX(CS!$B$1:$B$12939,MATCH($A68,CS!$B:$B,0)+COLUMN(A$1),1))</f>
        <v>光粒</v>
      </c>
      <c r="AY68" t="str">
        <f>IF($A68="","", INDEX(CS!$B$1:$B$12939,MATCH($A68,CS!$B:$B,0)+COLUMN(B$1),1))</f>
        <v>軽回復</v>
      </c>
      <c r="AZ68">
        <f>IF($A68="","", INDEX(CS!$B$1:$B$12939,MATCH($A68,CS!$B:$B,0)+COLUMN(C$1),1))</f>
        <v>0</v>
      </c>
      <c r="BA68">
        <f>IF($A68="","", INDEX(CS!$B$1:$B$12939,MATCH($A68,CS!$B:$B,0)+COLUMN(D$1),1))</f>
        <v>0</v>
      </c>
      <c r="BB68">
        <f>IF($A68="","", INDEX(CS!$B$1:$B$12939,MATCH($A68,CS!$B:$B,0)+COLUMN(E$1),1))</f>
        <v>0</v>
      </c>
      <c r="BC68">
        <f>IF($A68="","", INDEX(CS!$B$1:$B$12939,MATCH($A68,CS!$B:$B,0)+COLUMN(F$1),1))</f>
        <v>0</v>
      </c>
      <c r="BD68">
        <f>IF($A68="","", INDEX(CS!$B$1:$B$12939,MATCH($A68,CS!$B:$B,0)+COLUMN(G$1),1))</f>
        <v>0</v>
      </c>
      <c r="BE68">
        <f>IF($A68="","", INDEX(CS!$B$1:$B$12939,MATCH($A68,CS!$B:$B,0)+COLUMN(H$1),1))</f>
        <v>0</v>
      </c>
      <c r="BF68">
        <f>IF($A68="","", INDEX(CS!$B$1:$B$12939,MATCH($A68,CS!$B:$B,0)+COLUMN(I$1),1))</f>
        <v>0</v>
      </c>
      <c r="BG68">
        <f>IF($A68="","", INDEX(CS!$B$1:$B$12939,MATCH($A68,CS!$B:$B,0)+COLUMN(J$1),1))</f>
        <v>0</v>
      </c>
      <c r="BH68" t="s">
        <v>888</v>
      </c>
      <c r="CC68" t="s">
        <v>1180</v>
      </c>
      <c r="CE68" t="s">
        <v>919</v>
      </c>
      <c r="CF68" t="s">
        <v>923</v>
      </c>
      <c r="CG68" t="s">
        <v>1126</v>
      </c>
      <c r="CJ68" t="s">
        <v>192</v>
      </c>
    </row>
    <row r="69" spans="1:88"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INDEX(CS!$B$1:$B$12939,MATCH($A69,CS!$B:$B,0)+COLUMN(A$1),1))</f>
        <v>0</v>
      </c>
      <c r="AY69">
        <f>IF($A69="","", INDEX(CS!$B$1:$B$12939,MATCH($A69,CS!$B:$B,0)+COLUMN(B$1),1))</f>
        <v>0</v>
      </c>
      <c r="AZ69">
        <f>IF($A69="","", INDEX(CS!$B$1:$B$12939,MATCH($A69,CS!$B:$B,0)+COLUMN(C$1),1))</f>
        <v>0</v>
      </c>
      <c r="BA69">
        <f>IF($A69="","", INDEX(CS!$B$1:$B$12939,MATCH($A69,CS!$B:$B,0)+COLUMN(D$1),1))</f>
        <v>0</v>
      </c>
      <c r="BB69">
        <f>IF($A69="","", INDEX(CS!$B$1:$B$12939,MATCH($A69,CS!$B:$B,0)+COLUMN(E$1),1))</f>
        <v>0</v>
      </c>
      <c r="BC69">
        <f>IF($A69="","", INDEX(CS!$B$1:$B$12939,MATCH($A69,CS!$B:$B,0)+COLUMN(F$1),1))</f>
        <v>0</v>
      </c>
      <c r="BD69">
        <f>IF($A69="","", INDEX(CS!$B$1:$B$12939,MATCH($A69,CS!$B:$B,0)+COLUMN(G$1),1))</f>
        <v>0</v>
      </c>
      <c r="BE69">
        <f>IF($A69="","", INDEX(CS!$B$1:$B$12939,MATCH($A69,CS!$B:$B,0)+COLUMN(H$1),1))</f>
        <v>0</v>
      </c>
      <c r="BF69">
        <f>IF($A69="","", INDEX(CS!$B$1:$B$12939,MATCH($A69,CS!$B:$B,0)+COLUMN(I$1),1))</f>
        <v>0</v>
      </c>
      <c r="BG69">
        <f>IF($A69="","", INDEX(CS!$B$1:$B$12939,MATCH($A69,CS!$B:$B,0)+COLUMN(J$1),1))</f>
        <v>0</v>
      </c>
      <c r="BH69" t="s">
        <v>888</v>
      </c>
      <c r="CC69" t="s">
        <v>676</v>
      </c>
      <c r="CD69" t="s">
        <v>1177</v>
      </c>
      <c r="CE69" t="s">
        <v>919</v>
      </c>
      <c r="CF69" t="s">
        <v>923</v>
      </c>
      <c r="CG69" t="s">
        <v>1126</v>
      </c>
      <c r="CJ69" t="s">
        <v>192</v>
      </c>
    </row>
    <row r="70" spans="1:88"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INDEX(CS!$B$1:$B$12939,MATCH($A70,CS!$B:$B,0)+COLUMN(A$1),1))</f>
        <v>植物の絡み</v>
      </c>
      <c r="AY70">
        <f>IF($A70="","", INDEX(CS!$B$1:$B$12939,MATCH($A70,CS!$B:$B,0)+COLUMN(B$1),1))</f>
        <v>0</v>
      </c>
      <c r="AZ70" t="str">
        <f>IF($A70="","", INDEX(CS!$B$1:$B$12939,MATCH($A70,CS!$B:$B,0)+COLUMN(C$1),1))</f>
        <v>森の歩み</v>
      </c>
      <c r="BA70">
        <f>IF($A70="","", INDEX(CS!$B$1:$B$12939,MATCH($A70,CS!$B:$B,0)+COLUMN(D$1),1))</f>
        <v>0</v>
      </c>
      <c r="BB70">
        <f>IF($A70="","", INDEX(CS!$B$1:$B$12939,MATCH($A70,CS!$B:$B,0)+COLUMN(E$1),1))</f>
        <v>0</v>
      </c>
      <c r="BC70">
        <f>IF($A70="","", INDEX(CS!$B$1:$B$12939,MATCH($A70,CS!$B:$B,0)+COLUMN(F$1),1))</f>
        <v>0</v>
      </c>
      <c r="BD70">
        <f>IF($A70="","", INDEX(CS!$B$1:$B$12939,MATCH($A70,CS!$B:$B,0)+COLUMN(G$1),1))</f>
        <v>0</v>
      </c>
      <c r="BE70">
        <f>IF($A70="","", INDEX(CS!$B$1:$B$12939,MATCH($A70,CS!$B:$B,0)+COLUMN(H$1),1))</f>
        <v>0</v>
      </c>
      <c r="BF70">
        <f>IF($A70="","", INDEX(CS!$B$1:$B$12939,MATCH($A70,CS!$B:$B,0)+COLUMN(I$1),1))</f>
        <v>0</v>
      </c>
      <c r="BG70">
        <f>IF($A70="","", INDEX(CS!$B$1:$B$12939,MATCH($A70,CS!$B:$B,0)+COLUMN(J$1),1))</f>
        <v>0</v>
      </c>
      <c r="BH70" t="s">
        <v>888</v>
      </c>
      <c r="CC70" t="s">
        <v>1180</v>
      </c>
      <c r="CE70" t="s">
        <v>919</v>
      </c>
      <c r="CF70" t="s">
        <v>923</v>
      </c>
      <c r="CG70" t="s">
        <v>1126</v>
      </c>
      <c r="CJ70" t="s">
        <v>192</v>
      </c>
    </row>
    <row r="71" spans="1:88" outlineLevel="1" x14ac:dyDescent="0.4">
      <c r="C71" t="s">
        <v>51</v>
      </c>
      <c r="D71" t="str">
        <f t="shared" si="5"/>
        <v>0/0/0</v>
      </c>
      <c r="E71">
        <v>1</v>
      </c>
      <c r="AX71" t="str">
        <f>IF($A71="","", INDEX(CS!$B$1:$B$12939,MATCH($A71,CS!$B:$B,0)+COLUMN(A$1),1))</f>
        <v/>
      </c>
      <c r="AY71" t="str">
        <f>IF($A71="","", INDEX(CS!$B$1:$B$12939,MATCH($A71,CS!$B:$B,0)+COLUMN(B$1),1))</f>
        <v/>
      </c>
      <c r="AZ71" t="str">
        <f>IF($A71="","", INDEX(CS!$B$1:$B$12939,MATCH($A71,CS!$B:$B,0)+COLUMN(C$1),1))</f>
        <v/>
      </c>
      <c r="BA71" t="str">
        <f>IF($A71="","", INDEX(CS!$B$1:$B$12939,MATCH($A71,CS!$B:$B,0)+COLUMN(D$1),1))</f>
        <v/>
      </c>
      <c r="BB71" t="str">
        <f>IF($A71="","", INDEX(CS!$B$1:$B$12939,MATCH($A71,CS!$B:$B,0)+COLUMN(E$1),1))</f>
        <v/>
      </c>
      <c r="BC71" t="str">
        <f>IF($A71="","", INDEX(CS!$B$1:$B$12939,MATCH($A71,CS!$B:$B,0)+COLUMN(F$1),1))</f>
        <v/>
      </c>
      <c r="BD71" t="str">
        <f>IF($A71="","", INDEX(CS!$B$1:$B$12939,MATCH($A71,CS!$B:$B,0)+COLUMN(G$1),1))</f>
        <v/>
      </c>
      <c r="BE71" t="str">
        <f>IF($A71="","", INDEX(CS!$B$1:$B$12939,MATCH($A71,CS!$B:$B,0)+COLUMN(H$1),1))</f>
        <v/>
      </c>
      <c r="BF71" t="str">
        <f>IF($A71="","", INDEX(CS!$B$1:$B$12939,MATCH($A71,CS!$B:$B,0)+COLUMN(I$1),1))</f>
        <v/>
      </c>
      <c r="BG71" t="str">
        <f>IF($A71="","", INDEX(CS!$B$1:$B$12939,MATCH($A71,CS!$B:$B,0)+COLUMN(J$1),1))</f>
        <v/>
      </c>
    </row>
    <row r="72" spans="1:88" x14ac:dyDescent="0.4">
      <c r="D72" t="str">
        <f t="shared" ref="D72" si="6">SUM(AI72:AW72,F72:N72)&amp;"/"&amp;SUM(F72:N72)&amp;"/"&amp;SUM(AI72:AW72)</f>
        <v>0/0/0</v>
      </c>
      <c r="AX72" t="str">
        <f>IF($A72="","", INDEX(CS!$B$1:$B$12939,MATCH($A72,CS!$B:$B,0)+COLUMN(A$1),1))</f>
        <v/>
      </c>
      <c r="AY72" t="str">
        <f>IF($A72="","", INDEX(CS!$B$1:$B$12939,MATCH($A72,CS!$B:$B,0)+COLUMN(B$1),1))</f>
        <v/>
      </c>
      <c r="AZ72" t="str">
        <f>IF($A72="","", INDEX(CS!$B$1:$B$12939,MATCH($A72,CS!$B:$B,0)+COLUMN(C$1),1))</f>
        <v/>
      </c>
      <c r="BA72" t="str">
        <f>IF($A72="","", INDEX(CS!$B$1:$B$12939,MATCH($A72,CS!$B:$B,0)+COLUMN(D$1),1))</f>
        <v/>
      </c>
      <c r="BB72" t="str">
        <f>IF($A72="","", INDEX(CS!$B$1:$B$12939,MATCH($A72,CS!$B:$B,0)+COLUMN(E$1),1))</f>
        <v/>
      </c>
      <c r="BC72" t="str">
        <f>IF($A72="","", INDEX(CS!$B$1:$B$12939,MATCH($A72,CS!$B:$B,0)+COLUMN(F$1),1))</f>
        <v/>
      </c>
      <c r="BD72" t="str">
        <f>IF($A72="","", INDEX(CS!$B$1:$B$12939,MATCH($A72,CS!$B:$B,0)+COLUMN(G$1),1))</f>
        <v/>
      </c>
      <c r="BE72" t="str">
        <f>IF($A72="","", INDEX(CS!$B$1:$B$12939,MATCH($A72,CS!$B:$B,0)+COLUMN(H$1),1))</f>
        <v/>
      </c>
      <c r="BF72" t="str">
        <f>IF($A72="","", INDEX(CS!$B$1:$B$12939,MATCH($A72,CS!$B:$B,0)+COLUMN(I$1),1))</f>
        <v/>
      </c>
      <c r="BG72" t="str">
        <f>IF($A72="","", INDEX(CS!$B$1:$B$12939,MATCH($A72,CS!$B:$B,0)+COLUMN(J$1),1))</f>
        <v/>
      </c>
    </row>
    <row r="73" spans="1:88" x14ac:dyDescent="0.4">
      <c r="B73" t="s">
        <v>897</v>
      </c>
      <c r="D73" t="str">
        <f t="shared" ref="D73" si="7">SUM(AI73:AW73,F73:N73)&amp;"/"&amp;SUM(F73:N73)&amp;"/"&amp;SUM(AI73:AW73)</f>
        <v>0/0/0</v>
      </c>
      <c r="E73">
        <v>1</v>
      </c>
      <c r="AX73" t="str">
        <f>IF($A73="","", INDEX(CS!$B$1:$B$12939,MATCH($A73,CS!$B:$B,0)+COLUMN(A$1),1))</f>
        <v/>
      </c>
      <c r="AY73" t="str">
        <f>IF($A73="","", INDEX(CS!$B$1:$B$12939,MATCH($A73,CS!$B:$B,0)+COLUMN(B$1),1))</f>
        <v/>
      </c>
      <c r="AZ73" t="str">
        <f>IF($A73="","", INDEX(CS!$B$1:$B$12939,MATCH($A73,CS!$B:$B,0)+COLUMN(C$1),1))</f>
        <v/>
      </c>
      <c r="BA73" t="str">
        <f>IF($A73="","", INDEX(CS!$B$1:$B$12939,MATCH($A73,CS!$B:$B,0)+COLUMN(D$1),1))</f>
        <v/>
      </c>
      <c r="BB73" t="str">
        <f>IF($A73="","", INDEX(CS!$B$1:$B$12939,MATCH($A73,CS!$B:$B,0)+COLUMN(E$1),1))</f>
        <v/>
      </c>
      <c r="BC73" t="str">
        <f>IF($A73="","", INDEX(CS!$B$1:$B$12939,MATCH($A73,CS!$B:$B,0)+COLUMN(F$1),1))</f>
        <v/>
      </c>
      <c r="BD73" t="str">
        <f>IF($A73="","", INDEX(CS!$B$1:$B$12939,MATCH($A73,CS!$B:$B,0)+COLUMN(G$1),1))</f>
        <v/>
      </c>
      <c r="BE73" t="str">
        <f>IF($A73="","", INDEX(CS!$B$1:$B$12939,MATCH($A73,CS!$B:$B,0)+COLUMN(H$1),1))</f>
        <v/>
      </c>
      <c r="BF73" t="str">
        <f>IF($A73="","", INDEX(CS!$B$1:$B$12939,MATCH($A73,CS!$B:$B,0)+COLUMN(I$1),1))</f>
        <v/>
      </c>
      <c r="BG73" t="str">
        <f>IF($A73="","", INDEX(CS!$B$1:$B$12939,MATCH($A73,CS!$B:$B,0)+COLUMN(J$1),1))</f>
        <v/>
      </c>
    </row>
    <row r="74" spans="1:88"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INDEX(CS!$B$1:$B$12939,MATCH($A74,CS!$B:$B,0)+COLUMN(A$1),1))</f>
        <v>#N/A</v>
      </c>
      <c r="AY74" t="e">
        <f>IF($A74="","", INDEX(CS!$B$1:$B$12939,MATCH($A74,CS!$B:$B,0)+COLUMN(B$1),1))</f>
        <v>#N/A</v>
      </c>
      <c r="AZ74" t="e">
        <f>IF($A74="","", INDEX(CS!$B$1:$B$12939,MATCH($A74,CS!$B:$B,0)+COLUMN(C$1),1))</f>
        <v>#N/A</v>
      </c>
      <c r="BA74" t="e">
        <f>IF($A74="","", INDEX(CS!$B$1:$B$12939,MATCH($A74,CS!$B:$B,0)+COLUMN(D$1),1))</f>
        <v>#N/A</v>
      </c>
      <c r="BB74" t="e">
        <f>IF($A74="","", INDEX(CS!$B$1:$B$12939,MATCH($A74,CS!$B:$B,0)+COLUMN(E$1),1))</f>
        <v>#N/A</v>
      </c>
      <c r="BC74" t="e">
        <f>IF($A74="","", INDEX(CS!$B$1:$B$12939,MATCH($A74,CS!$B:$B,0)+COLUMN(F$1),1))</f>
        <v>#N/A</v>
      </c>
      <c r="BD74" t="e">
        <f>IF($A74="","", INDEX(CS!$B$1:$B$12939,MATCH($A74,CS!$B:$B,0)+COLUMN(G$1),1))</f>
        <v>#N/A</v>
      </c>
      <c r="BE74" t="e">
        <f>IF($A74="","", INDEX(CS!$B$1:$B$12939,MATCH($A74,CS!$B:$B,0)+COLUMN(H$1),1))</f>
        <v>#N/A</v>
      </c>
      <c r="BF74" t="e">
        <f>IF($A74="","", INDEX(CS!$B$1:$B$12939,MATCH($A74,CS!$B:$B,0)+COLUMN(I$1),1))</f>
        <v>#N/A</v>
      </c>
      <c r="BG74" t="e">
        <f>IF($A74="","", INDEX(CS!$B$1:$B$12939,MATCH($A74,CS!$B:$B,0)+COLUMN(J$1),1))</f>
        <v>#N/A</v>
      </c>
      <c r="BI74" t="s">
        <v>899</v>
      </c>
      <c r="CC74" t="s">
        <v>1178</v>
      </c>
      <c r="CF74" t="s">
        <v>922</v>
      </c>
      <c r="CG74" t="s">
        <v>1126</v>
      </c>
      <c r="CJ74" t="s">
        <v>992</v>
      </c>
    </row>
    <row r="75" spans="1:88"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INDEX(CS!$B$1:$B$12939,MATCH($A75,CS!$B:$B,0)+COLUMN(A$1),1))</f>
        <v/>
      </c>
      <c r="AY75" t="str">
        <f>IF($A75="","", INDEX(CS!$B$1:$B$12939,MATCH($A75,CS!$B:$B,0)+COLUMN(B$1),1))</f>
        <v/>
      </c>
      <c r="AZ75" t="str">
        <f>IF($A75="","", INDEX(CS!$B$1:$B$12939,MATCH($A75,CS!$B:$B,0)+COLUMN(C$1),1))</f>
        <v/>
      </c>
      <c r="BA75" t="str">
        <f>IF($A75="","", INDEX(CS!$B$1:$B$12939,MATCH($A75,CS!$B:$B,0)+COLUMN(D$1),1))</f>
        <v/>
      </c>
      <c r="BB75" t="str">
        <f>IF($A75="","", INDEX(CS!$B$1:$B$12939,MATCH($A75,CS!$B:$B,0)+COLUMN(E$1),1))</f>
        <v/>
      </c>
      <c r="BC75" t="str">
        <f>IF($A75="","", INDEX(CS!$B$1:$B$12939,MATCH($A75,CS!$B:$B,0)+COLUMN(F$1),1))</f>
        <v/>
      </c>
      <c r="BD75" t="str">
        <f>IF($A75="","", INDEX(CS!$B$1:$B$12939,MATCH($A75,CS!$B:$B,0)+COLUMN(G$1),1))</f>
        <v/>
      </c>
      <c r="BE75" t="str">
        <f>IF($A75="","", INDEX(CS!$B$1:$B$12939,MATCH($A75,CS!$B:$B,0)+COLUMN(H$1),1))</f>
        <v/>
      </c>
      <c r="BF75" t="str">
        <f>IF($A75="","", INDEX(CS!$B$1:$B$12939,MATCH($A75,CS!$B:$B,0)+COLUMN(I$1),1))</f>
        <v/>
      </c>
      <c r="BG75" t="str">
        <f>IF($A75="","", INDEX(CS!$B$1:$B$12939,MATCH($A75,CS!$B:$B,0)+COLUMN(J$1),1))</f>
        <v/>
      </c>
    </row>
    <row r="76" spans="1:88"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INDEX(CS!$B$1:$B$12939,MATCH($A76,CS!$B:$B,0)+COLUMN(A$1),1))</f>
        <v/>
      </c>
      <c r="AY76" t="str">
        <f>IF($A76="","", INDEX(CS!$B$1:$B$12939,MATCH($A76,CS!$B:$B,0)+COLUMN(B$1),1))</f>
        <v/>
      </c>
      <c r="AZ76" t="str">
        <f>IF($A76="","", INDEX(CS!$B$1:$B$12939,MATCH($A76,CS!$B:$B,0)+COLUMN(C$1),1))</f>
        <v/>
      </c>
      <c r="BA76" t="str">
        <f>IF($A76="","", INDEX(CS!$B$1:$B$12939,MATCH($A76,CS!$B:$B,0)+COLUMN(D$1),1))</f>
        <v/>
      </c>
      <c r="BB76" t="str">
        <f>IF($A76="","", INDEX(CS!$B$1:$B$12939,MATCH($A76,CS!$B:$B,0)+COLUMN(E$1),1))</f>
        <v/>
      </c>
      <c r="BC76" t="str">
        <f>IF($A76="","", INDEX(CS!$B$1:$B$12939,MATCH($A76,CS!$B:$B,0)+COLUMN(F$1),1))</f>
        <v/>
      </c>
      <c r="BD76" t="str">
        <f>IF($A76="","", INDEX(CS!$B$1:$B$12939,MATCH($A76,CS!$B:$B,0)+COLUMN(G$1),1))</f>
        <v/>
      </c>
      <c r="BE76" t="str">
        <f>IF($A76="","", INDEX(CS!$B$1:$B$12939,MATCH($A76,CS!$B:$B,0)+COLUMN(H$1),1))</f>
        <v/>
      </c>
      <c r="BF76" t="str">
        <f>IF($A76="","", INDEX(CS!$B$1:$B$12939,MATCH($A76,CS!$B:$B,0)+COLUMN(I$1),1))</f>
        <v/>
      </c>
      <c r="BG76" t="str">
        <f>IF($A76="","", INDEX(CS!$B$1:$B$12939,MATCH($A76,CS!$B:$B,0)+COLUMN(J$1),1))</f>
        <v/>
      </c>
    </row>
    <row r="77" spans="1:88" outlineLevel="1" x14ac:dyDescent="0.4">
      <c r="C77" t="s">
        <v>51</v>
      </c>
      <c r="D77" t="str">
        <f>SUM(AI77:AW77,F77:N77)&amp;"/"&amp;SUM(F77:N77)&amp;"/"&amp;SUM(AI77:AW77)</f>
        <v>0/0/0</v>
      </c>
      <c r="E77">
        <v>1</v>
      </c>
      <c r="AX77" t="str">
        <f>IF($A77="","", INDEX(CS!$B$1:$B$12939,MATCH($A77,CS!$B:$B,0)+COLUMN(A$1),1))</f>
        <v/>
      </c>
      <c r="AY77" t="str">
        <f>IF($A77="","", INDEX(CS!$B$1:$B$12939,MATCH($A77,CS!$B:$B,0)+COLUMN(B$1),1))</f>
        <v/>
      </c>
      <c r="AZ77" t="str">
        <f>IF($A77="","", INDEX(CS!$B$1:$B$12939,MATCH($A77,CS!$B:$B,0)+COLUMN(C$1),1))</f>
        <v/>
      </c>
      <c r="BA77" t="str">
        <f>IF($A77="","", INDEX(CS!$B$1:$B$12939,MATCH($A77,CS!$B:$B,0)+COLUMN(D$1),1))</f>
        <v/>
      </c>
      <c r="BB77" t="str">
        <f>IF($A77="","", INDEX(CS!$B$1:$B$12939,MATCH($A77,CS!$B:$B,0)+COLUMN(E$1),1))</f>
        <v/>
      </c>
      <c r="BC77" t="str">
        <f>IF($A77="","", INDEX(CS!$B$1:$B$12939,MATCH($A77,CS!$B:$B,0)+COLUMN(F$1),1))</f>
        <v/>
      </c>
      <c r="BD77" t="str">
        <f>IF($A77="","", INDEX(CS!$B$1:$B$12939,MATCH($A77,CS!$B:$B,0)+COLUMN(G$1),1))</f>
        <v/>
      </c>
      <c r="BE77" t="str">
        <f>IF($A77="","", INDEX(CS!$B$1:$B$12939,MATCH($A77,CS!$B:$B,0)+COLUMN(H$1),1))</f>
        <v/>
      </c>
      <c r="BF77" t="str">
        <f>IF($A77="","", INDEX(CS!$B$1:$B$12939,MATCH($A77,CS!$B:$B,0)+COLUMN(I$1),1))</f>
        <v/>
      </c>
      <c r="BG77" t="str">
        <f>IF($A77="","", INDEX(CS!$B$1:$B$12939,MATCH($A77,CS!$B:$B,0)+COLUMN(J$1),1))</f>
        <v/>
      </c>
    </row>
    <row r="78" spans="1:88" x14ac:dyDescent="0.4">
      <c r="D78" t="str">
        <f t="shared" si="2"/>
        <v>0/0/0</v>
      </c>
      <c r="E78">
        <v>1</v>
      </c>
      <c r="AX78" t="str">
        <f>IF($A78="","", INDEX(CS!$B$1:$B$12939,MATCH($A78,CS!$B:$B,0)+COLUMN(A$1),1))</f>
        <v/>
      </c>
      <c r="AY78" t="str">
        <f>IF($A78="","", INDEX(CS!$B$1:$B$12939,MATCH($A78,CS!$B:$B,0)+COLUMN(B$1),1))</f>
        <v/>
      </c>
      <c r="AZ78" t="str">
        <f>IF($A78="","", INDEX(CS!$B$1:$B$12939,MATCH($A78,CS!$B:$B,0)+COLUMN(C$1),1))</f>
        <v/>
      </c>
      <c r="BA78" t="str">
        <f>IF($A78="","", INDEX(CS!$B$1:$B$12939,MATCH($A78,CS!$B:$B,0)+COLUMN(D$1),1))</f>
        <v/>
      </c>
      <c r="BB78" t="str">
        <f>IF($A78="","", INDEX(CS!$B$1:$B$12939,MATCH($A78,CS!$B:$B,0)+COLUMN(E$1),1))</f>
        <v/>
      </c>
      <c r="BC78" t="str">
        <f>IF($A78="","", INDEX(CS!$B$1:$B$12939,MATCH($A78,CS!$B:$B,0)+COLUMN(F$1),1))</f>
        <v/>
      </c>
      <c r="BD78" t="str">
        <f>IF($A78="","", INDEX(CS!$B$1:$B$12939,MATCH($A78,CS!$B:$B,0)+COLUMN(G$1),1))</f>
        <v/>
      </c>
      <c r="BE78" t="str">
        <f>IF($A78="","", INDEX(CS!$B$1:$B$12939,MATCH($A78,CS!$B:$B,0)+COLUMN(H$1),1))</f>
        <v/>
      </c>
      <c r="BF78" t="str">
        <f>IF($A78="","", INDEX(CS!$B$1:$B$12939,MATCH($A78,CS!$B:$B,0)+COLUMN(I$1),1))</f>
        <v/>
      </c>
      <c r="BG78" t="str">
        <f>IF($A78="","", INDEX(CS!$B$1:$B$12939,MATCH($A78,CS!$B:$B,0)+COLUMN(J$1),1))</f>
        <v/>
      </c>
    </row>
    <row r="79" spans="1:88" ht="20.25" customHeight="1" x14ac:dyDescent="0.4">
      <c r="D79" t="str">
        <f t="shared" si="2"/>
        <v>0/0/0</v>
      </c>
      <c r="E79">
        <v>1</v>
      </c>
      <c r="AX79" t="str">
        <f>IF($A79="","", INDEX(CS!$B$1:$B$12939,MATCH($A79,CS!$B:$B,0)+COLUMN(A$1),1))</f>
        <v/>
      </c>
      <c r="AY79" t="str">
        <f>IF($A79="","", INDEX(CS!$B$1:$B$12939,MATCH($A79,CS!$B:$B,0)+COLUMN(B$1),1))</f>
        <v/>
      </c>
      <c r="AZ79" t="str">
        <f>IF($A79="","", INDEX(CS!$B$1:$B$12939,MATCH($A79,CS!$B:$B,0)+COLUMN(C$1),1))</f>
        <v/>
      </c>
      <c r="BA79" t="str">
        <f>IF($A79="","", INDEX(CS!$B$1:$B$12939,MATCH($A79,CS!$B:$B,0)+COLUMN(D$1),1))</f>
        <v/>
      </c>
      <c r="BB79" t="str">
        <f>IF($A79="","", INDEX(CS!$B$1:$B$12939,MATCH($A79,CS!$B:$B,0)+COLUMN(E$1),1))</f>
        <v/>
      </c>
      <c r="BC79" t="str">
        <f>IF($A79="","", INDEX(CS!$B$1:$B$12939,MATCH($A79,CS!$B:$B,0)+COLUMN(F$1),1))</f>
        <v/>
      </c>
      <c r="BD79" t="str">
        <f>IF($A79="","", INDEX(CS!$B$1:$B$12939,MATCH($A79,CS!$B:$B,0)+COLUMN(G$1),1))</f>
        <v/>
      </c>
      <c r="BE79" t="str">
        <f>IF($A79="","", INDEX(CS!$B$1:$B$12939,MATCH($A79,CS!$B:$B,0)+COLUMN(H$1),1))</f>
        <v/>
      </c>
      <c r="BF79" t="str">
        <f>IF($A79="","", INDEX(CS!$B$1:$B$12939,MATCH($A79,CS!$B:$B,0)+COLUMN(I$1),1))</f>
        <v/>
      </c>
      <c r="BG79" t="str">
        <f>IF($A79="","", INDEX(CS!$B$1:$B$12939,MATCH($A79,CS!$B:$B,0)+COLUMN(J$1),1))</f>
        <v/>
      </c>
      <c r="BS79" s="53"/>
      <c r="BT79" s="53"/>
      <c r="BU79" s="53"/>
      <c r="BV79" s="53"/>
      <c r="BW79" s="53"/>
    </row>
    <row r="80" spans="1:88"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INDEX(CS!$B$1:$B$12939,MATCH($A80,CS!$B:$B,0)+COLUMN(A$1),1))</f>
        <v>爪</v>
      </c>
      <c r="AY80" t="str">
        <f>IF($A80="","", INDEX(CS!$B$1:$B$12939,MATCH($A80,CS!$B:$B,0)+COLUMN(B$1),1))</f>
        <v>牙</v>
      </c>
      <c r="AZ80">
        <f>IF($A80="","", INDEX(CS!$B$1:$B$12939,MATCH($A80,CS!$B:$B,0)+COLUMN(C$1),1))</f>
        <v>0</v>
      </c>
      <c r="BA80">
        <f>IF($A80="","", INDEX(CS!$B$1:$B$12939,MATCH($A80,CS!$B:$B,0)+COLUMN(D$1),1))</f>
        <v>0</v>
      </c>
      <c r="BB80">
        <f>IF($A80="","", INDEX(CS!$B$1:$B$12939,MATCH($A80,CS!$B:$B,0)+COLUMN(E$1),1))</f>
        <v>0</v>
      </c>
      <c r="BC80">
        <f>IF($A80="","", INDEX(CS!$B$1:$B$12939,MATCH($A80,CS!$B:$B,0)+COLUMN(F$1),1))</f>
        <v>0</v>
      </c>
      <c r="BD80">
        <f>IF($A80="","", INDEX(CS!$B$1:$B$12939,MATCH($A80,CS!$B:$B,0)+COLUMN(G$1),1))</f>
        <v>0</v>
      </c>
      <c r="BE80">
        <f>IF($A80="","", INDEX(CS!$B$1:$B$12939,MATCH($A80,CS!$B:$B,0)+COLUMN(H$1),1))</f>
        <v>0</v>
      </c>
      <c r="BF80">
        <f>IF($A80="","", INDEX(CS!$B$1:$B$12939,MATCH($A80,CS!$B:$B,0)+COLUMN(I$1),1))</f>
        <v>0</v>
      </c>
      <c r="BG80">
        <f>IF($A80="","", INDEX(CS!$B$1:$B$12939,MATCH($A80,CS!$B:$B,0)+COLUMN(J$1),1))</f>
        <v>0</v>
      </c>
      <c r="BR80" t="s">
        <v>904</v>
      </c>
      <c r="BS80" s="53">
        <v>120</v>
      </c>
      <c r="BT80" s="52">
        <v>10</v>
      </c>
      <c r="BU80" s="52">
        <v>10</v>
      </c>
      <c r="BV80" s="52">
        <v>90</v>
      </c>
      <c r="BW80" s="52">
        <v>10</v>
      </c>
      <c r="BZ80" s="52">
        <v>4</v>
      </c>
      <c r="CA80" s="52"/>
      <c r="CC80" t="s">
        <v>914</v>
      </c>
      <c r="CD80" t="s">
        <v>914</v>
      </c>
      <c r="CG80" t="s">
        <v>914</v>
      </c>
      <c r="CJ80" t="s">
        <v>193</v>
      </c>
    </row>
    <row r="81" spans="1:88"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INDEX(CS!$B$1:$B$12939,MATCH($A81,CS!$B:$B,0)+COLUMN(A$1),1))</f>
        <v>爪</v>
      </c>
      <c r="AY81" t="str">
        <f>IF($A81="","", INDEX(CS!$B$1:$B$12939,MATCH($A81,CS!$B:$B,0)+COLUMN(B$1),1))</f>
        <v>牙</v>
      </c>
      <c r="AZ81">
        <f>IF($A81="","", INDEX(CS!$B$1:$B$12939,MATCH($A81,CS!$B:$B,0)+COLUMN(C$1),1))</f>
        <v>0</v>
      </c>
      <c r="BA81">
        <f>IF($A81="","", INDEX(CS!$B$1:$B$12939,MATCH($A81,CS!$B:$B,0)+COLUMN(D$1),1))</f>
        <v>0</v>
      </c>
      <c r="BB81">
        <f>IF($A81="","", INDEX(CS!$B$1:$B$12939,MATCH($A81,CS!$B:$B,0)+COLUMN(E$1),1))</f>
        <v>0</v>
      </c>
      <c r="BC81">
        <f>IF($A81="","", INDEX(CS!$B$1:$B$12939,MATCH($A81,CS!$B:$B,0)+COLUMN(F$1),1))</f>
        <v>0</v>
      </c>
      <c r="BD81">
        <f>IF($A81="","", INDEX(CS!$B$1:$B$12939,MATCH($A81,CS!$B:$B,0)+COLUMN(G$1),1))</f>
        <v>0</v>
      </c>
      <c r="BE81">
        <f>IF($A81="","", INDEX(CS!$B$1:$B$12939,MATCH($A81,CS!$B:$B,0)+COLUMN(H$1),1))</f>
        <v>0</v>
      </c>
      <c r="BF81">
        <f>IF($A81="","", INDEX(CS!$B$1:$B$12939,MATCH($A81,CS!$B:$B,0)+COLUMN(I$1),1))</f>
        <v>0</v>
      </c>
      <c r="BG81">
        <f>IF($A81="","", INDEX(CS!$B$1:$B$12939,MATCH($A81,CS!$B:$B,0)+COLUMN(J$1),1))</f>
        <v>0</v>
      </c>
      <c r="BR81" t="s">
        <v>904</v>
      </c>
      <c r="BS81" s="53">
        <v>110</v>
      </c>
      <c r="BT81" s="52">
        <v>10</v>
      </c>
      <c r="BU81" s="52">
        <v>10</v>
      </c>
      <c r="BV81" s="52">
        <v>80</v>
      </c>
      <c r="BW81" s="52">
        <v>10</v>
      </c>
      <c r="BZ81" s="52">
        <v>4</v>
      </c>
      <c r="CA81" s="52"/>
      <c r="CC81" t="s">
        <v>914</v>
      </c>
      <c r="CD81" t="s">
        <v>914</v>
      </c>
      <c r="CG81" t="s">
        <v>914</v>
      </c>
      <c r="CJ81" t="s">
        <v>193</v>
      </c>
    </row>
    <row r="82" spans="1:88"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INDEX(CS!$B$1:$B$12939,MATCH($A82,CS!$B:$B,0)+COLUMN(A$1),1))</f>
        <v>牙</v>
      </c>
      <c r="AY82" t="str">
        <f>IF($A82="","", INDEX(CS!$B$1:$B$12939,MATCH($A82,CS!$B:$B,0)+COLUMN(B$1),1))</f>
        <v>尾</v>
      </c>
      <c r="AZ82" t="str">
        <f>IF($A82="","", INDEX(CS!$B$1:$B$12939,MATCH($A82,CS!$B:$B,0)+COLUMN(C$1),1))</f>
        <v>尾の巻き付き</v>
      </c>
      <c r="BA82">
        <f>IF($A82="","", INDEX(CS!$B$1:$B$12939,MATCH($A82,CS!$B:$B,0)+COLUMN(D$1),1))</f>
        <v>0</v>
      </c>
      <c r="BB82">
        <f>IF($A82="","", INDEX(CS!$B$1:$B$12939,MATCH($A82,CS!$B:$B,0)+COLUMN(E$1),1))</f>
        <v>0</v>
      </c>
      <c r="BC82">
        <f>IF($A82="","", INDEX(CS!$B$1:$B$12939,MATCH($A82,CS!$B:$B,0)+COLUMN(F$1),1))</f>
        <v>0</v>
      </c>
      <c r="BD82">
        <f>IF($A82="","", INDEX(CS!$B$1:$B$12939,MATCH($A82,CS!$B:$B,0)+COLUMN(G$1),1))</f>
        <v>0</v>
      </c>
      <c r="BE82">
        <f>IF($A82="","", INDEX(CS!$B$1:$B$12939,MATCH($A82,CS!$B:$B,0)+COLUMN(H$1),1))</f>
        <v>0</v>
      </c>
      <c r="BF82">
        <f>IF($A82="","", INDEX(CS!$B$1:$B$12939,MATCH($A82,CS!$B:$B,0)+COLUMN(I$1),1))</f>
        <v>0</v>
      </c>
      <c r="BG82">
        <f>IF($A82="","", INDEX(CS!$B$1:$B$12939,MATCH($A82,CS!$B:$B,0)+COLUMN(J$1),1))</f>
        <v>0</v>
      </c>
      <c r="BR82" t="s">
        <v>904</v>
      </c>
      <c r="BS82" s="53">
        <v>85</v>
      </c>
      <c r="BT82" s="52">
        <v>5</v>
      </c>
      <c r="BU82" s="52">
        <v>0</v>
      </c>
      <c r="BV82" s="52">
        <v>70</v>
      </c>
      <c r="BW82" s="52">
        <v>10</v>
      </c>
      <c r="BZ82" s="52">
        <v>1</v>
      </c>
      <c r="CA82" s="52"/>
      <c r="CC82" t="s">
        <v>914</v>
      </c>
      <c r="CD82" t="s">
        <v>914</v>
      </c>
      <c r="CE82" t="s">
        <v>914</v>
      </c>
      <c r="CG82" t="s">
        <v>914</v>
      </c>
      <c r="CJ82" t="s">
        <v>193</v>
      </c>
    </row>
    <row r="83" spans="1:88"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INDEX(CS!$B$1:$B$12939,MATCH($A83,CS!$B:$B,0)+COLUMN(A$1),1))</f>
        <v>爪</v>
      </c>
      <c r="AY83" t="str">
        <f>IF($A83="","", INDEX(CS!$B$1:$B$12939,MATCH($A83,CS!$B:$B,0)+COLUMN(B$1),1))</f>
        <v>牙</v>
      </c>
      <c r="AZ83">
        <f>IF($A83="","", INDEX(CS!$B$1:$B$12939,MATCH($A83,CS!$B:$B,0)+COLUMN(C$1),1))</f>
        <v>0</v>
      </c>
      <c r="BA83">
        <f>IF($A83="","", INDEX(CS!$B$1:$B$12939,MATCH($A83,CS!$B:$B,0)+COLUMN(D$1),1))</f>
        <v>0</v>
      </c>
      <c r="BB83">
        <f>IF($A83="","", INDEX(CS!$B$1:$B$12939,MATCH($A83,CS!$B:$B,0)+COLUMN(E$1),1))</f>
        <v>0</v>
      </c>
      <c r="BC83">
        <f>IF($A83="","", INDEX(CS!$B$1:$B$12939,MATCH($A83,CS!$B:$B,0)+COLUMN(F$1),1))</f>
        <v>0</v>
      </c>
      <c r="BD83">
        <f>IF($A83="","", INDEX(CS!$B$1:$B$12939,MATCH($A83,CS!$B:$B,0)+COLUMN(G$1),1))</f>
        <v>0</v>
      </c>
      <c r="BE83">
        <f>IF($A83="","", INDEX(CS!$B$1:$B$12939,MATCH($A83,CS!$B:$B,0)+COLUMN(H$1),1))</f>
        <v>0</v>
      </c>
      <c r="BF83">
        <f>IF($A83="","", INDEX(CS!$B$1:$B$12939,MATCH($A83,CS!$B:$B,0)+COLUMN(I$1),1))</f>
        <v>0</v>
      </c>
      <c r="BG83">
        <f>IF($A83="","", INDEX(CS!$B$1:$B$12939,MATCH($A83,CS!$B:$B,0)+COLUMN(J$1),1))</f>
        <v>0</v>
      </c>
      <c r="BR83" t="s">
        <v>904</v>
      </c>
      <c r="BS83" s="53">
        <v>80</v>
      </c>
      <c r="BT83" s="52">
        <v>10</v>
      </c>
      <c r="BU83" s="52">
        <v>10</v>
      </c>
      <c r="BV83" s="52">
        <v>50</v>
      </c>
      <c r="BW83" s="52">
        <v>10</v>
      </c>
      <c r="BZ83" s="52">
        <v>2</v>
      </c>
      <c r="CA83" s="52"/>
      <c r="CC83" t="s">
        <v>914</v>
      </c>
      <c r="CD83" t="s">
        <v>914</v>
      </c>
      <c r="CG83" t="s">
        <v>914</v>
      </c>
      <c r="CJ83" t="s">
        <v>193</v>
      </c>
    </row>
    <row r="84" spans="1:88"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INDEX(CS!$B$1:$B$12939,MATCH($A84,CS!$B:$B,0)+COLUMN(A$1),1))</f>
        <v>爪</v>
      </c>
      <c r="AY84" t="str">
        <f>IF($A84="","", INDEX(CS!$B$1:$B$12939,MATCH($A84,CS!$B:$B,0)+COLUMN(B$1),1))</f>
        <v>牙</v>
      </c>
      <c r="AZ84">
        <f>IF($A84="","", INDEX(CS!$B$1:$B$12939,MATCH($A84,CS!$B:$B,0)+COLUMN(C$1),1))</f>
        <v>0</v>
      </c>
      <c r="BA84">
        <f>IF($A84="","", INDEX(CS!$B$1:$B$12939,MATCH($A84,CS!$B:$B,0)+COLUMN(D$1),1))</f>
        <v>0</v>
      </c>
      <c r="BB84">
        <f>IF($A84="","", INDEX(CS!$B$1:$B$12939,MATCH($A84,CS!$B:$B,0)+COLUMN(E$1),1))</f>
        <v>0</v>
      </c>
      <c r="BC84">
        <f>IF($A84="","", INDEX(CS!$B$1:$B$12939,MATCH($A84,CS!$B:$B,0)+COLUMN(F$1),1))</f>
        <v>0</v>
      </c>
      <c r="BD84">
        <f>IF($A84="","", INDEX(CS!$B$1:$B$12939,MATCH($A84,CS!$B:$B,0)+COLUMN(G$1),1))</f>
        <v>0</v>
      </c>
      <c r="BE84">
        <f>IF($A84="","", INDEX(CS!$B$1:$B$12939,MATCH($A84,CS!$B:$B,0)+COLUMN(H$1),1))</f>
        <v>0</v>
      </c>
      <c r="BF84">
        <f>IF($A84="","", INDEX(CS!$B$1:$B$12939,MATCH($A84,CS!$B:$B,0)+COLUMN(I$1),1))</f>
        <v>0</v>
      </c>
      <c r="BG84">
        <f>IF($A84="","", INDEX(CS!$B$1:$B$12939,MATCH($A84,CS!$B:$B,0)+COLUMN(J$1),1))</f>
        <v>0</v>
      </c>
      <c r="BR84" t="s">
        <v>904</v>
      </c>
      <c r="BS84" s="53">
        <v>130</v>
      </c>
      <c r="BT84" s="52">
        <v>20</v>
      </c>
      <c r="BU84" s="52">
        <v>20</v>
      </c>
      <c r="BV84" s="52">
        <v>80</v>
      </c>
      <c r="BW84" s="52">
        <v>10</v>
      </c>
      <c r="BZ84" s="52">
        <v>4</v>
      </c>
      <c r="CA84" s="52"/>
      <c r="CC84" t="s">
        <v>914</v>
      </c>
      <c r="CD84" t="s">
        <v>914</v>
      </c>
      <c r="CG84" t="s">
        <v>914</v>
      </c>
      <c r="CJ84" t="s">
        <v>193</v>
      </c>
    </row>
    <row r="85" spans="1:88"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INDEX(CS!$B$1:$B$12939,MATCH($A85,CS!$B:$B,0)+COLUMN(A$1),1))</f>
        <v>牙</v>
      </c>
      <c r="AY85">
        <f>IF($A85="","", INDEX(CS!$B$1:$B$12939,MATCH($A85,CS!$B:$B,0)+COLUMN(B$1),1))</f>
        <v>0</v>
      </c>
      <c r="AZ85">
        <f>IF($A85="","", INDEX(CS!$B$1:$B$12939,MATCH($A85,CS!$B:$B,0)+COLUMN(C$1),1))</f>
        <v>0</v>
      </c>
      <c r="BA85">
        <f>IF($A85="","", INDEX(CS!$B$1:$B$12939,MATCH($A85,CS!$B:$B,0)+COLUMN(D$1),1))</f>
        <v>0</v>
      </c>
      <c r="BB85">
        <f>IF($A85="","", INDEX(CS!$B$1:$B$12939,MATCH($A85,CS!$B:$B,0)+COLUMN(E$1),1))</f>
        <v>0</v>
      </c>
      <c r="BC85">
        <f>IF($A85="","", INDEX(CS!$B$1:$B$12939,MATCH($A85,CS!$B:$B,0)+COLUMN(F$1),1))</f>
        <v>0</v>
      </c>
      <c r="BD85">
        <f>IF($A85="","", INDEX(CS!$B$1:$B$12939,MATCH($A85,CS!$B:$B,0)+COLUMN(G$1),1))</f>
        <v>0</v>
      </c>
      <c r="BE85">
        <f>IF($A85="","", INDEX(CS!$B$1:$B$12939,MATCH($A85,CS!$B:$B,0)+COLUMN(H$1),1))</f>
        <v>0</v>
      </c>
      <c r="BF85">
        <f>IF($A85="","", INDEX(CS!$B$1:$B$12939,MATCH($A85,CS!$B:$B,0)+COLUMN(I$1),1))</f>
        <v>0</v>
      </c>
      <c r="BG85">
        <f>IF($A85="","", INDEX(CS!$B$1:$B$12939,MATCH($A85,CS!$B:$B,0)+COLUMN(J$1),1))</f>
        <v>0</v>
      </c>
      <c r="BR85" t="s">
        <v>904</v>
      </c>
      <c r="BS85" s="53">
        <v>130</v>
      </c>
      <c r="BT85" s="52">
        <v>10</v>
      </c>
      <c r="BU85" s="52">
        <v>0</v>
      </c>
      <c r="BV85" s="52">
        <v>90</v>
      </c>
      <c r="BW85" s="52">
        <v>30</v>
      </c>
      <c r="BZ85" s="52">
        <v>4</v>
      </c>
      <c r="CA85" s="52"/>
      <c r="CC85" t="s">
        <v>914</v>
      </c>
      <c r="CD85" t="s">
        <v>914</v>
      </c>
      <c r="CE85" t="s">
        <v>914</v>
      </c>
      <c r="CG85" t="s">
        <v>914</v>
      </c>
      <c r="CJ85" t="s">
        <v>193</v>
      </c>
    </row>
    <row r="86" spans="1:88" x14ac:dyDescent="0.4">
      <c r="C86" t="s">
        <v>193</v>
      </c>
      <c r="D86" t="str">
        <f t="shared" si="2"/>
        <v>0/0/0</v>
      </c>
      <c r="E86">
        <v>1</v>
      </c>
      <c r="AX86" t="str">
        <f>IF($A86="","", INDEX(CS!$B$1:$B$12939,MATCH($A86,CS!$B:$B,0)+COLUMN(A$1),1))</f>
        <v/>
      </c>
      <c r="AY86" t="str">
        <f>IF($A86="","", INDEX(CS!$B$1:$B$12939,MATCH($A86,CS!$B:$B,0)+COLUMN(B$1),1))</f>
        <v/>
      </c>
      <c r="AZ86" t="str">
        <f>IF($A86="","", INDEX(CS!$B$1:$B$12939,MATCH($A86,CS!$B:$B,0)+COLUMN(C$1),1))</f>
        <v/>
      </c>
      <c r="BA86" t="str">
        <f>IF($A86="","", INDEX(CS!$B$1:$B$12939,MATCH($A86,CS!$B:$B,0)+COLUMN(D$1),1))</f>
        <v/>
      </c>
      <c r="BB86" t="str">
        <f>IF($A86="","", INDEX(CS!$B$1:$B$12939,MATCH($A86,CS!$B:$B,0)+COLUMN(E$1),1))</f>
        <v/>
      </c>
      <c r="BC86" t="str">
        <f>IF($A86="","", INDEX(CS!$B$1:$B$12939,MATCH($A86,CS!$B:$B,0)+COLUMN(F$1),1))</f>
        <v/>
      </c>
      <c r="BD86" t="str">
        <f>IF($A86="","", INDEX(CS!$B$1:$B$12939,MATCH($A86,CS!$B:$B,0)+COLUMN(G$1),1))</f>
        <v/>
      </c>
      <c r="BE86" t="str">
        <f>IF($A86="","", INDEX(CS!$B$1:$B$12939,MATCH($A86,CS!$B:$B,0)+COLUMN(H$1),1))</f>
        <v/>
      </c>
      <c r="BF86" t="str">
        <f>IF($A86="","", INDEX(CS!$B$1:$B$12939,MATCH($A86,CS!$B:$B,0)+COLUMN(I$1),1))</f>
        <v/>
      </c>
      <c r="BG86" t="str">
        <f>IF($A86="","", INDEX(CS!$B$1:$B$12939,MATCH($A86,CS!$B:$B,0)+COLUMN(J$1),1))</f>
        <v/>
      </c>
    </row>
    <row r="87" spans="1:88" x14ac:dyDescent="0.4">
      <c r="C87" t="s">
        <v>193</v>
      </c>
      <c r="D87" t="str">
        <f t="shared" ref="D87:D90" si="8">SUM(AI87:AW87,F87:N87)&amp;"/"&amp;SUM(F87:N87)&amp;"/"&amp;SUM(AI87:AW87)</f>
        <v>0/0/0</v>
      </c>
      <c r="E87">
        <v>1</v>
      </c>
      <c r="AX87" t="str">
        <f>IF($A87="","", INDEX(CS!$B$1:$B$12939,MATCH($A87,CS!$B:$B,0)+COLUMN(A$1),1))</f>
        <v/>
      </c>
      <c r="AY87" t="str">
        <f>IF($A87="","", INDEX(CS!$B$1:$B$12939,MATCH($A87,CS!$B:$B,0)+COLUMN(B$1),1))</f>
        <v/>
      </c>
      <c r="AZ87" t="str">
        <f>IF($A87="","", INDEX(CS!$B$1:$B$12939,MATCH($A87,CS!$B:$B,0)+COLUMN(C$1),1))</f>
        <v/>
      </c>
      <c r="BA87" t="str">
        <f>IF($A87="","", INDEX(CS!$B$1:$B$12939,MATCH($A87,CS!$B:$B,0)+COLUMN(D$1),1))</f>
        <v/>
      </c>
      <c r="BB87" t="str">
        <f>IF($A87="","", INDEX(CS!$B$1:$B$12939,MATCH($A87,CS!$B:$B,0)+COLUMN(E$1),1))</f>
        <v/>
      </c>
      <c r="BC87" t="str">
        <f>IF($A87="","", INDEX(CS!$B$1:$B$12939,MATCH($A87,CS!$B:$B,0)+COLUMN(F$1),1))</f>
        <v/>
      </c>
      <c r="BD87" t="str">
        <f>IF($A87="","", INDEX(CS!$B$1:$B$12939,MATCH($A87,CS!$B:$B,0)+COLUMN(G$1),1))</f>
        <v/>
      </c>
      <c r="BE87" t="str">
        <f>IF($A87="","", INDEX(CS!$B$1:$B$12939,MATCH($A87,CS!$B:$B,0)+COLUMN(H$1),1))</f>
        <v/>
      </c>
      <c r="BF87" t="str">
        <f>IF($A87="","", INDEX(CS!$B$1:$B$12939,MATCH($A87,CS!$B:$B,0)+COLUMN(I$1),1))</f>
        <v/>
      </c>
      <c r="BG87" t="str">
        <f>IF($A87="","", INDEX(CS!$B$1:$B$12939,MATCH($A87,CS!$B:$B,0)+COLUMN(J$1),1))</f>
        <v/>
      </c>
    </row>
    <row r="88" spans="1:88" x14ac:dyDescent="0.4">
      <c r="A88" t="s">
        <v>811</v>
      </c>
      <c r="C88" t="s">
        <v>193</v>
      </c>
      <c r="D88" t="str">
        <f t="shared" si="8"/>
        <v>0/0/0</v>
      </c>
      <c r="E88">
        <v>1</v>
      </c>
      <c r="V88" s="17">
        <v>50</v>
      </c>
      <c r="W88" s="17">
        <v>-30</v>
      </c>
      <c r="AX88" t="str">
        <f>IF($A88="","", INDEX(CS!$B$1:$B$12939,MATCH($A88,CS!$B:$B,0)+COLUMN(A$1),1))</f>
        <v>炎の適用</v>
      </c>
      <c r="AY88">
        <f>IF($A88="","", INDEX(CS!$B$1:$B$12939,MATCH($A88,CS!$B:$B,0)+COLUMN(B$1),1))</f>
        <v>0</v>
      </c>
      <c r="AZ88" t="str">
        <f>IF($A88="","", INDEX(CS!$B$1:$B$12939,MATCH($A88,CS!$B:$B,0)+COLUMN(C$1),1))</f>
        <v>炎の体</v>
      </c>
      <c r="BA88">
        <f>IF($A88="","", INDEX(CS!$B$1:$B$12939,MATCH($A88,CS!$B:$B,0)+COLUMN(D$1),1))</f>
        <v>0</v>
      </c>
      <c r="BB88">
        <f>IF($A88="","", INDEX(CS!$B$1:$B$12939,MATCH($A88,CS!$B:$B,0)+COLUMN(E$1),1))</f>
        <v>0</v>
      </c>
      <c r="BC88" t="str">
        <f>IF($A88="","", INDEX(CS!$B$1:$B$12939,MATCH($A88,CS!$B:$B,0)+COLUMN(F$1),1))</f>
        <v>火炎突撃</v>
      </c>
      <c r="BD88">
        <f>IF($A88="","", INDEX(CS!$B$1:$B$12939,MATCH($A88,CS!$B:$B,0)+COLUMN(G$1),1))</f>
        <v>0</v>
      </c>
      <c r="BE88">
        <f>IF($A88="","", INDEX(CS!$B$1:$B$12939,MATCH($A88,CS!$B:$B,0)+COLUMN(H$1),1))</f>
        <v>0</v>
      </c>
      <c r="BF88" t="str">
        <f>IF($A88="","", INDEX(CS!$B$1:$B$12939,MATCH($A88,CS!$B:$B,0)+COLUMN(I$1),1))</f>
        <v>炎強化</v>
      </c>
      <c r="BG88" t="str">
        <f>IF($A88="","", INDEX(CS!$B$1:$B$12939,MATCH($A88,CS!$B:$B,0)+COLUMN(J$1),1))</f>
        <v>炎の唾</v>
      </c>
      <c r="BH88" t="s">
        <v>889</v>
      </c>
      <c r="BI88" t="s">
        <v>193</v>
      </c>
      <c r="BJ88" s="36" t="s">
        <v>889</v>
      </c>
    </row>
    <row r="89" spans="1:88" x14ac:dyDescent="0.4">
      <c r="A89" t="s">
        <v>812</v>
      </c>
      <c r="C89" t="s">
        <v>193</v>
      </c>
      <c r="D89" t="str">
        <f t="shared" si="8"/>
        <v>0/0/0</v>
      </c>
      <c r="E89">
        <v>1</v>
      </c>
      <c r="V89" s="17">
        <v>-30</v>
      </c>
      <c r="W89" s="17">
        <v>50</v>
      </c>
      <c r="AX89" t="str">
        <f>IF($A89="","", INDEX(CS!$B$1:$B$12939,MATCH($A89,CS!$B:$B,0)+COLUMN(A$1),1))</f>
        <v>氷の適用</v>
      </c>
      <c r="AY89">
        <f>IF($A89="","", INDEX(CS!$B$1:$B$12939,MATCH($A89,CS!$B:$B,0)+COLUMN(B$1),1))</f>
        <v>0</v>
      </c>
      <c r="AZ89" t="str">
        <f>IF($A89="","", INDEX(CS!$B$1:$B$12939,MATCH($A89,CS!$B:$B,0)+COLUMN(C$1),1))</f>
        <v>氷の体</v>
      </c>
      <c r="BA89">
        <f>IF($A89="","", INDEX(CS!$B$1:$B$12939,MATCH($A89,CS!$B:$B,0)+COLUMN(D$1),1))</f>
        <v>0</v>
      </c>
      <c r="BB89">
        <f>IF($A89="","", INDEX(CS!$B$1:$B$12939,MATCH($A89,CS!$B:$B,0)+COLUMN(E$1),1))</f>
        <v>0</v>
      </c>
      <c r="BC89" t="str">
        <f>IF($A89="","", INDEX(CS!$B$1:$B$12939,MATCH($A89,CS!$B:$B,0)+COLUMN(F$1),1))</f>
        <v>氷結突撃</v>
      </c>
      <c r="BD89">
        <f>IF($A89="","", INDEX(CS!$B$1:$B$12939,MATCH($A89,CS!$B:$B,0)+COLUMN(G$1),1))</f>
        <v>0</v>
      </c>
      <c r="BE89">
        <f>IF($A89="","", INDEX(CS!$B$1:$B$12939,MATCH($A89,CS!$B:$B,0)+COLUMN(H$1),1))</f>
        <v>0</v>
      </c>
      <c r="BF89" t="str">
        <f>IF($A89="","", INDEX(CS!$B$1:$B$12939,MATCH($A89,CS!$B:$B,0)+COLUMN(I$1),1))</f>
        <v>氷強化</v>
      </c>
      <c r="BG89" t="str">
        <f>IF($A89="","", INDEX(CS!$B$1:$B$12939,MATCH($A89,CS!$B:$B,0)+COLUMN(J$1),1))</f>
        <v>氷の唾</v>
      </c>
      <c r="BH89" t="s">
        <v>889</v>
      </c>
      <c r="BI89" t="s">
        <v>193</v>
      </c>
      <c r="BJ89" s="36" t="s">
        <v>890</v>
      </c>
    </row>
    <row r="90" spans="1:88" x14ac:dyDescent="0.4">
      <c r="A90" t="s">
        <v>813</v>
      </c>
      <c r="C90" t="s">
        <v>193</v>
      </c>
      <c r="D90" t="str">
        <f t="shared" si="8"/>
        <v>0/0/0</v>
      </c>
      <c r="E90">
        <v>1</v>
      </c>
      <c r="AX90" t="str">
        <f>IF($A90="","", INDEX(CS!$B$1:$B$12939,MATCH($A90,CS!$B:$B,0)+COLUMN(A$1),1))</f>
        <v>風の適用</v>
      </c>
      <c r="AY90">
        <f>IF($A90="","", INDEX(CS!$B$1:$B$12939,MATCH($A90,CS!$B:$B,0)+COLUMN(B$1),1))</f>
        <v>0</v>
      </c>
      <c r="AZ90" t="str">
        <f>IF($A90="","", INDEX(CS!$B$1:$B$12939,MATCH($A90,CS!$B:$B,0)+COLUMN(C$1),1))</f>
        <v>風の体</v>
      </c>
      <c r="BA90">
        <f>IF($A90="","", INDEX(CS!$B$1:$B$12939,MATCH($A90,CS!$B:$B,0)+COLUMN(D$1),1))</f>
        <v>0</v>
      </c>
      <c r="BB90">
        <f>IF($A90="","", INDEX(CS!$B$1:$B$12939,MATCH($A90,CS!$B:$B,0)+COLUMN(E$1),1))</f>
        <v>0</v>
      </c>
      <c r="BC90" t="str">
        <f>IF($A90="","", INDEX(CS!$B$1:$B$12939,MATCH($A90,CS!$B:$B,0)+COLUMN(F$1),1))</f>
        <v>暴風突撃</v>
      </c>
      <c r="BD90">
        <f>IF($A90="","", INDEX(CS!$B$1:$B$12939,MATCH($A90,CS!$B:$B,0)+COLUMN(G$1),1))</f>
        <v>0</v>
      </c>
      <c r="BE90">
        <f>IF($A90="","", INDEX(CS!$B$1:$B$12939,MATCH($A90,CS!$B:$B,0)+COLUMN(H$1),1))</f>
        <v>0</v>
      </c>
      <c r="BF90" t="str">
        <f>IF($A90="","", INDEX(CS!$B$1:$B$12939,MATCH($A90,CS!$B:$B,0)+COLUMN(I$1),1))</f>
        <v>風強化</v>
      </c>
      <c r="BG90" t="str">
        <f>IF($A90="","", INDEX(CS!$B$1:$B$12939,MATCH($A90,CS!$B:$B,0)+COLUMN(J$1),1))</f>
        <v>風の唾</v>
      </c>
      <c r="BH90" t="s">
        <v>889</v>
      </c>
      <c r="BI90" t="s">
        <v>193</v>
      </c>
      <c r="BJ90" s="36" t="s">
        <v>891</v>
      </c>
    </row>
    <row r="91" spans="1:88" x14ac:dyDescent="0.4">
      <c r="A91" t="s">
        <v>814</v>
      </c>
      <c r="C91" t="s">
        <v>193</v>
      </c>
      <c r="D91" t="str">
        <f t="shared" si="2"/>
        <v>0/0/0</v>
      </c>
      <c r="E91">
        <v>1</v>
      </c>
      <c r="U91" s="17">
        <v>50</v>
      </c>
      <c r="X91" s="17">
        <v>50</v>
      </c>
      <c r="AX91" t="str">
        <f>IF($A91="","", INDEX(CS!$B$1:$B$12939,MATCH($A91,CS!$B:$B,0)+COLUMN(A$1),1))</f>
        <v>雷の適用</v>
      </c>
      <c r="AY91">
        <f>IF($A91="","", INDEX(CS!$B$1:$B$12939,MATCH($A91,CS!$B:$B,0)+COLUMN(B$1),1))</f>
        <v>0</v>
      </c>
      <c r="AZ91" t="str">
        <f>IF($A91="","", INDEX(CS!$B$1:$B$12939,MATCH($A91,CS!$B:$B,0)+COLUMN(C$1),1))</f>
        <v>雷の体</v>
      </c>
      <c r="BA91">
        <f>IF($A91="","", INDEX(CS!$B$1:$B$12939,MATCH($A91,CS!$B:$B,0)+COLUMN(D$1),1))</f>
        <v>0</v>
      </c>
      <c r="BB91">
        <f>IF($A91="","", INDEX(CS!$B$1:$B$12939,MATCH($A91,CS!$B:$B,0)+COLUMN(E$1),1))</f>
        <v>0</v>
      </c>
      <c r="BC91" t="str">
        <f>IF($A91="","", INDEX(CS!$B$1:$B$12939,MATCH($A91,CS!$B:$B,0)+COLUMN(F$1),1))</f>
        <v>電撃突撃</v>
      </c>
      <c r="BD91">
        <f>IF($A91="","", INDEX(CS!$B$1:$B$12939,MATCH($A91,CS!$B:$B,0)+COLUMN(G$1),1))</f>
        <v>0</v>
      </c>
      <c r="BE91">
        <f>IF($A91="","", INDEX(CS!$B$1:$B$12939,MATCH($A91,CS!$B:$B,0)+COLUMN(H$1),1))</f>
        <v>0</v>
      </c>
      <c r="BF91" t="str">
        <f>IF($A91="","", INDEX(CS!$B$1:$B$12939,MATCH($A91,CS!$B:$B,0)+COLUMN(I$1),1))</f>
        <v>雷強化</v>
      </c>
      <c r="BG91" t="str">
        <f>IF($A91="","", INDEX(CS!$B$1:$B$12939,MATCH($A91,CS!$B:$B,0)+COLUMN(J$1),1))</f>
        <v>雷の唾</v>
      </c>
      <c r="BH91" t="s">
        <v>889</v>
      </c>
      <c r="BI91" t="s">
        <v>193</v>
      </c>
      <c r="BJ91" s="36" t="s">
        <v>892</v>
      </c>
    </row>
    <row r="92" spans="1:88" x14ac:dyDescent="0.4">
      <c r="A92" t="s">
        <v>815</v>
      </c>
      <c r="C92" t="s">
        <v>193</v>
      </c>
      <c r="D92" t="str">
        <f t="shared" si="2"/>
        <v>0/0/0</v>
      </c>
      <c r="E92">
        <v>1</v>
      </c>
      <c r="Y92" s="17">
        <v>50</v>
      </c>
      <c r="Z92" s="17">
        <v>-30</v>
      </c>
      <c r="AX92" t="str">
        <f>IF($A92="","", INDEX(CS!$B$1:$B$12939,MATCH($A92,CS!$B:$B,0)+COLUMN(A$1),1))</f>
        <v>毒の適用</v>
      </c>
      <c r="AY92">
        <f>IF($A92="","", INDEX(CS!$B$1:$B$12939,MATCH($A92,CS!$B:$B,0)+COLUMN(B$1),1))</f>
        <v>0</v>
      </c>
      <c r="AZ92" t="str">
        <f>IF($A92="","", INDEX(CS!$B$1:$B$12939,MATCH($A92,CS!$B:$B,0)+COLUMN(C$1),1))</f>
        <v>毒の体</v>
      </c>
      <c r="BA92">
        <f>IF($A92="","", INDEX(CS!$B$1:$B$12939,MATCH($A92,CS!$B:$B,0)+COLUMN(D$1),1))</f>
        <v>0</v>
      </c>
      <c r="BB92">
        <f>IF($A92="","", INDEX(CS!$B$1:$B$12939,MATCH($A92,CS!$B:$B,0)+COLUMN(E$1),1))</f>
        <v>0</v>
      </c>
      <c r="BC92" t="str">
        <f>IF($A92="","", INDEX(CS!$B$1:$B$12939,MATCH($A92,CS!$B:$B,0)+COLUMN(F$1),1))</f>
        <v>腐蝕突撃</v>
      </c>
      <c r="BD92">
        <f>IF($A92="","", INDEX(CS!$B$1:$B$12939,MATCH($A92,CS!$B:$B,0)+COLUMN(G$1),1))</f>
        <v>0</v>
      </c>
      <c r="BE92">
        <f>IF($A92="","", INDEX(CS!$B$1:$B$12939,MATCH($A92,CS!$B:$B,0)+COLUMN(H$1),1))</f>
        <v>0</v>
      </c>
      <c r="BF92" t="str">
        <f>IF($A92="","", INDEX(CS!$B$1:$B$12939,MATCH($A92,CS!$B:$B,0)+COLUMN(I$1),1))</f>
        <v>毒強化</v>
      </c>
      <c r="BG92" t="str">
        <f>IF($A92="","", INDEX(CS!$B$1:$B$12939,MATCH($A92,CS!$B:$B,0)+COLUMN(J$1),1))</f>
        <v>毒の唾</v>
      </c>
      <c r="BH92" t="s">
        <v>889</v>
      </c>
      <c r="BI92" t="s">
        <v>193</v>
      </c>
      <c r="BJ92" s="36" t="s">
        <v>893</v>
      </c>
    </row>
    <row r="93" spans="1:88" x14ac:dyDescent="0.4">
      <c r="A93" t="s">
        <v>816</v>
      </c>
      <c r="C93" t="s">
        <v>193</v>
      </c>
      <c r="D93" t="str">
        <f t="shared" si="2"/>
        <v>0/0/0</v>
      </c>
      <c r="E93">
        <v>1</v>
      </c>
      <c r="W93" s="17">
        <v>30</v>
      </c>
      <c r="AE93">
        <v>30</v>
      </c>
      <c r="AX93" t="str">
        <f>IF($A93="","", INDEX(CS!$B$1:$B$12939,MATCH($A93,CS!$B:$B,0)+COLUMN(A$1),1))</f>
        <v>水の適用</v>
      </c>
      <c r="AY93">
        <f>IF($A93="","", INDEX(CS!$B$1:$B$12939,MATCH($A93,CS!$B:$B,0)+COLUMN(B$1),1))</f>
        <v>0</v>
      </c>
      <c r="AZ93" t="str">
        <f>IF($A93="","", INDEX(CS!$B$1:$B$12939,MATCH($A93,CS!$B:$B,0)+COLUMN(C$1),1))</f>
        <v>水の体</v>
      </c>
      <c r="BA93">
        <f>IF($A93="","", INDEX(CS!$B$1:$B$12939,MATCH($A93,CS!$B:$B,0)+COLUMN(D$1),1))</f>
        <v>0</v>
      </c>
      <c r="BB93">
        <f>IF($A93="","", INDEX(CS!$B$1:$B$12939,MATCH($A93,CS!$B:$B,0)+COLUMN(E$1),1))</f>
        <v>0</v>
      </c>
      <c r="BC93" t="str">
        <f>IF($A93="","", INDEX(CS!$B$1:$B$12939,MATCH($A93,CS!$B:$B,0)+COLUMN(F$1),1))</f>
        <v>突撃</v>
      </c>
      <c r="BD93">
        <f>IF($A93="","", INDEX(CS!$B$1:$B$12939,MATCH($A93,CS!$B:$B,0)+COLUMN(G$1),1))</f>
        <v>0</v>
      </c>
      <c r="BE93">
        <f>IF($A93="","", INDEX(CS!$B$1:$B$12939,MATCH($A93,CS!$B:$B,0)+COLUMN(H$1),1))</f>
        <v>0</v>
      </c>
      <c r="BF93" t="str">
        <f>IF($A93="","", INDEX(CS!$B$1:$B$12939,MATCH($A93,CS!$B:$B,0)+COLUMN(I$1),1))</f>
        <v>水強化</v>
      </c>
      <c r="BG93" t="str">
        <f>IF($A93="","", INDEX(CS!$B$1:$B$12939,MATCH($A93,CS!$B:$B,0)+COLUMN(J$1),1))</f>
        <v>水の唾</v>
      </c>
      <c r="BH93" t="s">
        <v>889</v>
      </c>
      <c r="BI93" t="s">
        <v>193</v>
      </c>
      <c r="BJ93" s="36" t="s">
        <v>894</v>
      </c>
    </row>
    <row r="94" spans="1:88" x14ac:dyDescent="0.4">
      <c r="C94" t="s">
        <v>193</v>
      </c>
      <c r="D94" t="str">
        <f t="shared" si="2"/>
        <v>0/0/0</v>
      </c>
      <c r="E94">
        <v>1</v>
      </c>
      <c r="AX94" t="str">
        <f>IF($A94="","", INDEX(CS!$B$1:$B$12939,MATCH($A94,CS!$B:$B,0)+COLUMN(A$1),1))</f>
        <v/>
      </c>
      <c r="AY94" t="str">
        <f>IF($A94="","", INDEX(CS!$B$1:$B$12939,MATCH($A94,CS!$B:$B,0)+COLUMN(B$1),1))</f>
        <v/>
      </c>
      <c r="AZ94" t="str">
        <f>IF($A94="","", INDEX(CS!$B$1:$B$12939,MATCH($A94,CS!$B:$B,0)+COLUMN(C$1),1))</f>
        <v/>
      </c>
      <c r="BA94" t="str">
        <f>IF($A94="","", INDEX(CS!$B$1:$B$12939,MATCH($A94,CS!$B:$B,0)+COLUMN(D$1),1))</f>
        <v/>
      </c>
      <c r="BB94" t="str">
        <f>IF($A94="","", INDEX(CS!$B$1:$B$12939,MATCH($A94,CS!$B:$B,0)+COLUMN(E$1),1))</f>
        <v/>
      </c>
      <c r="BC94" t="str">
        <f>IF($A94="","", INDEX(CS!$B$1:$B$12939,MATCH($A94,CS!$B:$B,0)+COLUMN(F$1),1))</f>
        <v/>
      </c>
      <c r="BD94" t="str">
        <f>IF($A94="","", INDEX(CS!$B$1:$B$12939,MATCH($A94,CS!$B:$B,0)+COLUMN(G$1),1))</f>
        <v/>
      </c>
      <c r="BE94" t="str">
        <f>IF($A94="","", INDEX(CS!$B$1:$B$12939,MATCH($A94,CS!$B:$B,0)+COLUMN(H$1),1))</f>
        <v/>
      </c>
      <c r="BF94" t="str">
        <f>IF($A94="","", INDEX(CS!$B$1:$B$12939,MATCH($A94,CS!$B:$B,0)+COLUMN(I$1),1))</f>
        <v/>
      </c>
      <c r="BG94" t="str">
        <f>IF($A94="","", INDEX(CS!$B$1:$B$12939,MATCH($A94,CS!$B:$B,0)+COLUMN(J$1),1))</f>
        <v/>
      </c>
    </row>
    <row r="95" spans="1:88" x14ac:dyDescent="0.4">
      <c r="C95" t="s">
        <v>193</v>
      </c>
      <c r="D95" t="str">
        <f t="shared" si="2"/>
        <v>0/0/0</v>
      </c>
      <c r="E95">
        <v>1</v>
      </c>
      <c r="AX95" t="str">
        <f>IF($A95="","", INDEX(CS!$B$1:$B$12939,MATCH($A95,CS!$B:$B,0)+COLUMN(A$1),1))</f>
        <v/>
      </c>
      <c r="AY95" t="str">
        <f>IF($A95="","", INDEX(CS!$B$1:$B$12939,MATCH($A95,CS!$B:$B,0)+COLUMN(B$1),1))</f>
        <v/>
      </c>
      <c r="AZ95" t="str">
        <f>IF($A95="","", INDEX(CS!$B$1:$B$12939,MATCH($A95,CS!$B:$B,0)+COLUMN(C$1),1))</f>
        <v/>
      </c>
      <c r="BA95" t="str">
        <f>IF($A95="","", INDEX(CS!$B$1:$B$12939,MATCH($A95,CS!$B:$B,0)+COLUMN(D$1),1))</f>
        <v/>
      </c>
      <c r="BB95" t="str">
        <f>IF($A95="","", INDEX(CS!$B$1:$B$12939,MATCH($A95,CS!$B:$B,0)+COLUMN(E$1),1))</f>
        <v/>
      </c>
      <c r="BC95" t="str">
        <f>IF($A95="","", INDEX(CS!$B$1:$B$12939,MATCH($A95,CS!$B:$B,0)+COLUMN(F$1),1))</f>
        <v/>
      </c>
      <c r="BD95" t="str">
        <f>IF($A95="","", INDEX(CS!$B$1:$B$12939,MATCH($A95,CS!$B:$B,0)+COLUMN(G$1),1))</f>
        <v/>
      </c>
      <c r="BE95" t="str">
        <f>IF($A95="","", INDEX(CS!$B$1:$B$12939,MATCH($A95,CS!$B:$B,0)+COLUMN(H$1),1))</f>
        <v/>
      </c>
      <c r="BF95" t="str">
        <f>IF($A95="","", INDEX(CS!$B$1:$B$12939,MATCH($A95,CS!$B:$B,0)+COLUMN(I$1),1))</f>
        <v/>
      </c>
      <c r="BG95" t="str">
        <f>IF($A95="","", INDEX(CS!$B$1:$B$12939,MATCH($A95,CS!$B:$B,0)+COLUMN(J$1),1))</f>
        <v/>
      </c>
      <c r="BS95" s="53"/>
      <c r="BT95" s="53"/>
      <c r="BU95" s="53"/>
      <c r="BV95" s="53"/>
      <c r="BW95" s="53"/>
    </row>
    <row r="96" spans="1:88"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INDEX(CS!$B$1:$B$12939,MATCH($A96,CS!$B:$B,0)+COLUMN(A$1),1))</f>
        <v>爪</v>
      </c>
      <c r="AY96">
        <f>IF($A96="","", INDEX(CS!$B$1:$B$12939,MATCH($A96,CS!$B:$B,0)+COLUMN(B$1),1))</f>
        <v>0</v>
      </c>
      <c r="AZ96" t="str">
        <f>IF($A96="","", INDEX(CS!$B$1:$B$12939,MATCH($A96,CS!$B:$B,0)+COLUMN(C$1),1))</f>
        <v>翼</v>
      </c>
      <c r="BA96">
        <f>IF($A96="","", INDEX(CS!$B$1:$B$12939,MATCH($A96,CS!$B:$B,0)+COLUMN(D$1),1))</f>
        <v>0</v>
      </c>
      <c r="BB96" t="str">
        <f>IF($A96="","", INDEX(CS!$B$1:$B$12939,MATCH($A96,CS!$B:$B,0)+COLUMN(E$1),1))</f>
        <v>威圧</v>
      </c>
      <c r="BC96" t="str">
        <f>IF($A96="","", INDEX(CS!$B$1:$B$12939,MATCH($A96,CS!$B:$B,0)+COLUMN(F$1),1))</f>
        <v>毒の唾</v>
      </c>
      <c r="BD96">
        <f>IF($A96="","", INDEX(CS!$B$1:$B$12939,MATCH($A96,CS!$B:$B,0)+COLUMN(G$1),1))</f>
        <v>0</v>
      </c>
      <c r="BE96" t="str">
        <f>IF($A96="","", INDEX(CS!$B$1:$B$12939,MATCH($A96,CS!$B:$B,0)+COLUMN(H$1),1))</f>
        <v>毒の尾</v>
      </c>
      <c r="BF96" t="str">
        <f>IF($A96="","", INDEX(CS!$B$1:$B$12939,MATCH($A96,CS!$B:$B,0)+COLUMN(I$1),1))</f>
        <v>外皮</v>
      </c>
      <c r="BG96">
        <f>IF($A96="","", INDEX(CS!$B$1:$B$12939,MATCH($A96,CS!$B:$B,0)+COLUMN(J$1),1))</f>
        <v>0</v>
      </c>
      <c r="BS96" s="53">
        <v>200</v>
      </c>
      <c r="BT96" s="52">
        <v>0</v>
      </c>
      <c r="BU96" s="52">
        <v>0</v>
      </c>
      <c r="BV96" s="52">
        <v>180</v>
      </c>
      <c r="BW96" s="52">
        <v>20</v>
      </c>
      <c r="BZ96" s="52">
        <v>2</v>
      </c>
      <c r="CA96" s="52"/>
      <c r="CC96" t="s">
        <v>914</v>
      </c>
      <c r="CD96" t="s">
        <v>914</v>
      </c>
      <c r="CE96" t="s">
        <v>914</v>
      </c>
      <c r="CF96" t="s">
        <v>914</v>
      </c>
      <c r="CG96" t="s">
        <v>914</v>
      </c>
      <c r="CJ96" t="s">
        <v>989</v>
      </c>
    </row>
    <row r="97" spans="3:59" x14ac:dyDescent="0.4">
      <c r="C97" t="s">
        <v>193</v>
      </c>
      <c r="D97" t="str">
        <f t="shared" si="9"/>
        <v>0/0/0</v>
      </c>
      <c r="E97">
        <v>1</v>
      </c>
      <c r="AX97" t="str">
        <f>IF($A97="","", INDEX(CS!$B$1:$B$12939,MATCH($A97,CS!$B:$B,0)+COLUMN(A$1),1))</f>
        <v/>
      </c>
      <c r="AY97" t="str">
        <f>IF($A97="","", INDEX(CS!$B$1:$B$12939,MATCH($A97,CS!$B:$B,0)+COLUMN(B$1),1))</f>
        <v/>
      </c>
      <c r="AZ97" t="str">
        <f>IF($A97="","", INDEX(CS!$B$1:$B$12939,MATCH($A97,CS!$B:$B,0)+COLUMN(C$1),1))</f>
        <v/>
      </c>
      <c r="BA97" t="str">
        <f>IF($A97="","", INDEX(CS!$B$1:$B$12939,MATCH($A97,CS!$B:$B,0)+COLUMN(D$1),1))</f>
        <v/>
      </c>
      <c r="BB97" t="str">
        <f>IF($A97="","", INDEX(CS!$B$1:$B$12939,MATCH($A97,CS!$B:$B,0)+COLUMN(E$1),1))</f>
        <v/>
      </c>
      <c r="BC97" t="str">
        <f>IF($A97="","", INDEX(CS!$B$1:$B$12939,MATCH($A97,CS!$B:$B,0)+COLUMN(F$1),1))</f>
        <v/>
      </c>
      <c r="BD97" t="str">
        <f>IF($A97="","", INDEX(CS!$B$1:$B$12939,MATCH($A97,CS!$B:$B,0)+COLUMN(G$1),1))</f>
        <v/>
      </c>
      <c r="BE97" t="str">
        <f>IF($A97="","", INDEX(CS!$B$1:$B$12939,MATCH($A97,CS!$B:$B,0)+COLUMN(H$1),1))</f>
        <v/>
      </c>
      <c r="BF97" t="str">
        <f>IF($A97="","", INDEX(CS!$B$1:$B$12939,MATCH($A97,CS!$B:$B,0)+COLUMN(I$1),1))</f>
        <v/>
      </c>
      <c r="BG97" t="str">
        <f>IF($A97="","", INDEX(CS!$B$1:$B$12939,MATCH($A97,CS!$B:$B,0)+COLUMN(J$1),1))</f>
        <v/>
      </c>
    </row>
    <row r="98" spans="3:59" x14ac:dyDescent="0.4">
      <c r="C98" t="s">
        <v>193</v>
      </c>
      <c r="D98" t="str">
        <f t="shared" si="9"/>
        <v>0/0/0</v>
      </c>
      <c r="E98">
        <v>1</v>
      </c>
      <c r="AX98" t="str">
        <f>IF($A98="","", INDEX(CS!$B$1:$B$12939,MATCH($A98,CS!$B:$B,0)+COLUMN(A$1),1))</f>
        <v/>
      </c>
      <c r="AY98" t="str">
        <f>IF($A98="","", INDEX(CS!$B$1:$B$12939,MATCH($A98,CS!$B:$B,0)+COLUMN(B$1),1))</f>
        <v/>
      </c>
      <c r="AZ98" t="str">
        <f>IF($A98="","", INDEX(CS!$B$1:$B$12939,MATCH($A98,CS!$B:$B,0)+COLUMN(C$1),1))</f>
        <v/>
      </c>
      <c r="BA98" t="str">
        <f>IF($A98="","", INDEX(CS!$B$1:$B$12939,MATCH($A98,CS!$B:$B,0)+COLUMN(D$1),1))</f>
        <v/>
      </c>
      <c r="BB98" t="str">
        <f>IF($A98="","", INDEX(CS!$B$1:$B$12939,MATCH($A98,CS!$B:$B,0)+COLUMN(E$1),1))</f>
        <v/>
      </c>
      <c r="BC98" t="str">
        <f>IF($A98="","", INDEX(CS!$B$1:$B$12939,MATCH($A98,CS!$B:$B,0)+COLUMN(F$1),1))</f>
        <v/>
      </c>
      <c r="BD98" t="str">
        <f>IF($A98="","", INDEX(CS!$B$1:$B$12939,MATCH($A98,CS!$B:$B,0)+COLUMN(G$1),1))</f>
        <v/>
      </c>
      <c r="BE98" t="str">
        <f>IF($A98="","", INDEX(CS!$B$1:$B$12939,MATCH($A98,CS!$B:$B,0)+COLUMN(H$1),1))</f>
        <v/>
      </c>
      <c r="BF98" t="str">
        <f>IF($A98="","", INDEX(CS!$B$1:$B$12939,MATCH($A98,CS!$B:$B,0)+COLUMN(I$1),1))</f>
        <v/>
      </c>
      <c r="BG98" t="str">
        <f>IF($A98="","", INDEX(CS!$B$1:$B$12939,MATCH($A98,CS!$B:$B,0)+COLUMN(J$1),1))</f>
        <v/>
      </c>
    </row>
    <row r="99" spans="3:59" x14ac:dyDescent="0.4">
      <c r="C99" t="s">
        <v>193</v>
      </c>
      <c r="D99" t="str">
        <f t="shared" si="9"/>
        <v>0/0/0</v>
      </c>
      <c r="E99">
        <v>1</v>
      </c>
      <c r="AX99" t="str">
        <f>IF($A99="","", INDEX(CS!$B$1:$B$12939,MATCH($A99,CS!$B:$B,0)+COLUMN(A$1),1))</f>
        <v/>
      </c>
      <c r="AY99" t="str">
        <f>IF($A99="","", INDEX(CS!$B$1:$B$12939,MATCH($A99,CS!$B:$B,0)+COLUMN(B$1),1))</f>
        <v/>
      </c>
      <c r="AZ99" t="str">
        <f>IF($A99="","", INDEX(CS!$B$1:$B$12939,MATCH($A99,CS!$B:$B,0)+COLUMN(C$1),1))</f>
        <v/>
      </c>
      <c r="BA99" t="str">
        <f>IF($A99="","", INDEX(CS!$B$1:$B$12939,MATCH($A99,CS!$B:$B,0)+COLUMN(D$1),1))</f>
        <v/>
      </c>
      <c r="BB99" t="str">
        <f>IF($A99="","", INDEX(CS!$B$1:$B$12939,MATCH($A99,CS!$B:$B,0)+COLUMN(E$1),1))</f>
        <v/>
      </c>
      <c r="BC99" t="str">
        <f>IF($A99="","", INDEX(CS!$B$1:$B$12939,MATCH($A99,CS!$B:$B,0)+COLUMN(F$1),1))</f>
        <v/>
      </c>
      <c r="BD99" t="str">
        <f>IF($A99="","", INDEX(CS!$B$1:$B$12939,MATCH($A99,CS!$B:$B,0)+COLUMN(G$1),1))</f>
        <v/>
      </c>
      <c r="BE99" t="str">
        <f>IF($A99="","", INDEX(CS!$B$1:$B$12939,MATCH($A99,CS!$B:$B,0)+COLUMN(H$1),1))</f>
        <v/>
      </c>
      <c r="BF99" t="str">
        <f>IF($A99="","", INDEX(CS!$B$1:$B$12939,MATCH($A99,CS!$B:$B,0)+COLUMN(I$1),1))</f>
        <v/>
      </c>
      <c r="BG99" t="str">
        <f>IF($A99="","", INDEX(CS!$B$1:$B$12939,MATCH($A99,CS!$B:$B,0)+COLUMN(J$1),1))</f>
        <v/>
      </c>
    </row>
    <row r="100" spans="3:59" x14ac:dyDescent="0.4">
      <c r="C100" t="s">
        <v>193</v>
      </c>
      <c r="D100" t="str">
        <f t="shared" si="9"/>
        <v>0/0/0</v>
      </c>
      <c r="E100">
        <v>1</v>
      </c>
      <c r="AX100" t="str">
        <f>IF($A100="","", INDEX(CS!$B$1:$B$12939,MATCH($A100,CS!$B:$B,0)+COLUMN(A$1),1))</f>
        <v/>
      </c>
      <c r="AY100" t="str">
        <f>IF($A100="","", INDEX(CS!$B$1:$B$12939,MATCH($A100,CS!$B:$B,0)+COLUMN(B$1),1))</f>
        <v/>
      </c>
      <c r="AZ100" t="str">
        <f>IF($A100="","", INDEX(CS!$B$1:$B$12939,MATCH($A100,CS!$B:$B,0)+COLUMN(C$1),1))</f>
        <v/>
      </c>
      <c r="BA100" t="str">
        <f>IF($A100="","", INDEX(CS!$B$1:$B$12939,MATCH($A100,CS!$B:$B,0)+COLUMN(D$1),1))</f>
        <v/>
      </c>
      <c r="BB100" t="str">
        <f>IF($A100="","", INDEX(CS!$B$1:$B$12939,MATCH($A100,CS!$B:$B,0)+COLUMN(E$1),1))</f>
        <v/>
      </c>
      <c r="BC100" t="str">
        <f>IF($A100="","", INDEX(CS!$B$1:$B$12939,MATCH($A100,CS!$B:$B,0)+COLUMN(F$1),1))</f>
        <v/>
      </c>
      <c r="BD100" t="str">
        <f>IF($A100="","", INDEX(CS!$B$1:$B$12939,MATCH($A100,CS!$B:$B,0)+COLUMN(G$1),1))</f>
        <v/>
      </c>
      <c r="BE100" t="str">
        <f>IF($A100="","", INDEX(CS!$B$1:$B$12939,MATCH($A100,CS!$B:$B,0)+COLUMN(H$1),1))</f>
        <v/>
      </c>
      <c r="BF100" t="str">
        <f>IF($A100="","", INDEX(CS!$B$1:$B$12939,MATCH($A100,CS!$B:$B,0)+COLUMN(I$1),1))</f>
        <v/>
      </c>
      <c r="BG100" t="str">
        <f>IF($A100="","", INDEX(CS!$B$1:$B$12939,MATCH($A100,CS!$B:$B,0)+COLUMN(J$1),1))</f>
        <v/>
      </c>
    </row>
    <row r="101" spans="3:59" x14ac:dyDescent="0.4">
      <c r="C101" t="s">
        <v>193</v>
      </c>
      <c r="D101" t="str">
        <f t="shared" si="9"/>
        <v>0/0/0</v>
      </c>
      <c r="E101">
        <v>1</v>
      </c>
      <c r="AX101" t="str">
        <f>IF($A101="","", INDEX(CS!$B$1:$B$12939,MATCH($A101,CS!$B:$B,0)+COLUMN(A$1),1))</f>
        <v/>
      </c>
      <c r="AY101" t="str">
        <f>IF($A101="","", INDEX(CS!$B$1:$B$12939,MATCH($A101,CS!$B:$B,0)+COLUMN(B$1),1))</f>
        <v/>
      </c>
      <c r="AZ101" t="str">
        <f>IF($A101="","", INDEX(CS!$B$1:$B$12939,MATCH($A101,CS!$B:$B,0)+COLUMN(C$1),1))</f>
        <v/>
      </c>
      <c r="BA101" t="str">
        <f>IF($A101="","", INDEX(CS!$B$1:$B$12939,MATCH($A101,CS!$B:$B,0)+COLUMN(D$1),1))</f>
        <v/>
      </c>
      <c r="BB101" t="str">
        <f>IF($A101="","", INDEX(CS!$B$1:$B$12939,MATCH($A101,CS!$B:$B,0)+COLUMN(E$1),1))</f>
        <v/>
      </c>
      <c r="BC101" t="str">
        <f>IF($A101="","", INDEX(CS!$B$1:$B$12939,MATCH($A101,CS!$B:$B,0)+COLUMN(F$1),1))</f>
        <v/>
      </c>
      <c r="BD101" t="str">
        <f>IF($A101="","", INDEX(CS!$B$1:$B$12939,MATCH($A101,CS!$B:$B,0)+COLUMN(G$1),1))</f>
        <v/>
      </c>
      <c r="BE101" t="str">
        <f>IF($A101="","", INDEX(CS!$B$1:$B$12939,MATCH($A101,CS!$B:$B,0)+COLUMN(H$1),1))</f>
        <v/>
      </c>
      <c r="BF101" t="str">
        <f>IF($A101="","", INDEX(CS!$B$1:$B$12939,MATCH($A101,CS!$B:$B,0)+COLUMN(I$1),1))</f>
        <v/>
      </c>
      <c r="BG101" t="str">
        <f>IF($A101="","", INDEX(CS!$B$1:$B$12939,MATCH($A101,CS!$B:$B,0)+COLUMN(J$1),1))</f>
        <v/>
      </c>
    </row>
    <row r="102" spans="3:59" x14ac:dyDescent="0.4">
      <c r="C102" t="s">
        <v>193</v>
      </c>
      <c r="D102" t="str">
        <f t="shared" si="9"/>
        <v>0/0/0</v>
      </c>
      <c r="E102">
        <v>1</v>
      </c>
      <c r="AX102" t="str">
        <f>IF($A102="","", INDEX(CS!$B$1:$B$12939,MATCH($A102,CS!$B:$B,0)+COLUMN(A$1),1))</f>
        <v/>
      </c>
      <c r="AY102" t="str">
        <f>IF($A102="","", INDEX(CS!$B$1:$B$12939,MATCH($A102,CS!$B:$B,0)+COLUMN(B$1),1))</f>
        <v/>
      </c>
      <c r="AZ102" t="str">
        <f>IF($A102="","", INDEX(CS!$B$1:$B$12939,MATCH($A102,CS!$B:$B,0)+COLUMN(C$1),1))</f>
        <v/>
      </c>
      <c r="BA102" t="str">
        <f>IF($A102="","", INDEX(CS!$B$1:$B$12939,MATCH($A102,CS!$B:$B,0)+COLUMN(D$1),1))</f>
        <v/>
      </c>
      <c r="BB102" t="str">
        <f>IF($A102="","", INDEX(CS!$B$1:$B$12939,MATCH($A102,CS!$B:$B,0)+COLUMN(E$1),1))</f>
        <v/>
      </c>
      <c r="BC102" t="str">
        <f>IF($A102="","", INDEX(CS!$B$1:$B$12939,MATCH($A102,CS!$B:$B,0)+COLUMN(F$1),1))</f>
        <v/>
      </c>
      <c r="BD102" t="str">
        <f>IF($A102="","", INDEX(CS!$B$1:$B$12939,MATCH($A102,CS!$B:$B,0)+COLUMN(G$1),1))</f>
        <v/>
      </c>
      <c r="BE102" t="str">
        <f>IF($A102="","", INDEX(CS!$B$1:$B$12939,MATCH($A102,CS!$B:$B,0)+COLUMN(H$1),1))</f>
        <v/>
      </c>
      <c r="BF102" t="str">
        <f>IF($A102="","", INDEX(CS!$B$1:$B$12939,MATCH($A102,CS!$B:$B,0)+COLUMN(I$1),1))</f>
        <v/>
      </c>
      <c r="BG102" t="str">
        <f>IF($A102="","", INDEX(CS!$B$1:$B$12939,MATCH($A102,CS!$B:$B,0)+COLUMN(J$1),1))</f>
        <v/>
      </c>
    </row>
    <row r="103" spans="3:59" x14ac:dyDescent="0.4">
      <c r="C103" t="s">
        <v>193</v>
      </c>
      <c r="D103" t="str">
        <f t="shared" si="9"/>
        <v>0/0/0</v>
      </c>
      <c r="E103">
        <v>1</v>
      </c>
      <c r="AX103" t="str">
        <f>IF($A103="","", INDEX(CS!$B$1:$B$12939,MATCH($A103,CS!$B:$B,0)+COLUMN(A$1),1))</f>
        <v/>
      </c>
      <c r="AY103" t="str">
        <f>IF($A103="","", INDEX(CS!$B$1:$B$12939,MATCH($A103,CS!$B:$B,0)+COLUMN(B$1),1))</f>
        <v/>
      </c>
      <c r="AZ103" t="str">
        <f>IF($A103="","", INDEX(CS!$B$1:$B$12939,MATCH($A103,CS!$B:$B,0)+COLUMN(C$1),1))</f>
        <v/>
      </c>
      <c r="BA103" t="str">
        <f>IF($A103="","", INDEX(CS!$B$1:$B$12939,MATCH($A103,CS!$B:$B,0)+COLUMN(D$1),1))</f>
        <v/>
      </c>
      <c r="BB103" t="str">
        <f>IF($A103="","", INDEX(CS!$B$1:$B$12939,MATCH($A103,CS!$B:$B,0)+COLUMN(E$1),1))</f>
        <v/>
      </c>
      <c r="BC103" t="str">
        <f>IF($A103="","", INDEX(CS!$B$1:$B$12939,MATCH($A103,CS!$B:$B,0)+COLUMN(F$1),1))</f>
        <v/>
      </c>
      <c r="BD103" t="str">
        <f>IF($A103="","", INDEX(CS!$B$1:$B$12939,MATCH($A103,CS!$B:$B,0)+COLUMN(G$1),1))</f>
        <v/>
      </c>
      <c r="BE103" t="str">
        <f>IF($A103="","", INDEX(CS!$B$1:$B$12939,MATCH($A103,CS!$B:$B,0)+COLUMN(H$1),1))</f>
        <v/>
      </c>
      <c r="BF103" t="str">
        <f>IF($A103="","", INDEX(CS!$B$1:$B$12939,MATCH($A103,CS!$B:$B,0)+COLUMN(I$1),1))</f>
        <v/>
      </c>
      <c r="BG103" t="str">
        <f>IF($A103="","", INDEX(CS!$B$1:$B$12939,MATCH($A103,CS!$B:$B,0)+COLUMN(J$1),1))</f>
        <v/>
      </c>
    </row>
    <row r="104" spans="3:59" x14ac:dyDescent="0.4">
      <c r="C104" t="s">
        <v>193</v>
      </c>
      <c r="D104" t="str">
        <f t="shared" si="9"/>
        <v>0/0/0</v>
      </c>
      <c r="E104">
        <v>1</v>
      </c>
      <c r="AX104" t="str">
        <f>IF($A104="","", INDEX(CS!$B$1:$B$12939,MATCH($A104,CS!$B:$B,0)+COLUMN(A$1),1))</f>
        <v/>
      </c>
      <c r="AY104" t="str">
        <f>IF($A104="","", INDEX(CS!$B$1:$B$12939,MATCH($A104,CS!$B:$B,0)+COLUMN(B$1),1))</f>
        <v/>
      </c>
      <c r="AZ104" t="str">
        <f>IF($A104="","", INDEX(CS!$B$1:$B$12939,MATCH($A104,CS!$B:$B,0)+COLUMN(C$1),1))</f>
        <v/>
      </c>
      <c r="BA104" t="str">
        <f>IF($A104="","", INDEX(CS!$B$1:$B$12939,MATCH($A104,CS!$B:$B,0)+COLUMN(D$1),1))</f>
        <v/>
      </c>
      <c r="BB104" t="str">
        <f>IF($A104="","", INDEX(CS!$B$1:$B$12939,MATCH($A104,CS!$B:$B,0)+COLUMN(E$1),1))</f>
        <v/>
      </c>
      <c r="BC104" t="str">
        <f>IF($A104="","", INDEX(CS!$B$1:$B$12939,MATCH($A104,CS!$B:$B,0)+COLUMN(F$1),1))</f>
        <v/>
      </c>
      <c r="BD104" t="str">
        <f>IF($A104="","", INDEX(CS!$B$1:$B$12939,MATCH($A104,CS!$B:$B,0)+COLUMN(G$1),1))</f>
        <v/>
      </c>
      <c r="BE104" t="str">
        <f>IF($A104="","", INDEX(CS!$B$1:$B$12939,MATCH($A104,CS!$B:$B,0)+COLUMN(H$1),1))</f>
        <v/>
      </c>
      <c r="BF104" t="str">
        <f>IF($A104="","", INDEX(CS!$B$1:$B$12939,MATCH($A104,CS!$B:$B,0)+COLUMN(I$1),1))</f>
        <v/>
      </c>
      <c r="BG104" t="str">
        <f>IF($A104="","", INDEX(CS!$B$1:$B$12939,MATCH($A104,CS!$B:$B,0)+COLUMN(J$1),1))</f>
        <v/>
      </c>
    </row>
    <row r="105" spans="3:59" x14ac:dyDescent="0.4">
      <c r="C105" t="s">
        <v>193</v>
      </c>
      <c r="D105" t="str">
        <f t="shared" si="9"/>
        <v>0/0/0</v>
      </c>
      <c r="E105">
        <v>1</v>
      </c>
      <c r="AX105" t="str">
        <f>IF($A105="","", INDEX(CS!$B$1:$B$12939,MATCH($A105,CS!$B:$B,0)+COLUMN(A$1),1))</f>
        <v/>
      </c>
      <c r="AY105" t="str">
        <f>IF($A105="","", INDEX(CS!$B$1:$B$12939,MATCH($A105,CS!$B:$B,0)+COLUMN(B$1),1))</f>
        <v/>
      </c>
      <c r="AZ105" t="str">
        <f>IF($A105="","", INDEX(CS!$B$1:$B$12939,MATCH($A105,CS!$B:$B,0)+COLUMN(C$1),1))</f>
        <v/>
      </c>
      <c r="BA105" t="str">
        <f>IF($A105="","", INDEX(CS!$B$1:$B$12939,MATCH($A105,CS!$B:$B,0)+COLUMN(D$1),1))</f>
        <v/>
      </c>
      <c r="BB105" t="str">
        <f>IF($A105="","", INDEX(CS!$B$1:$B$12939,MATCH($A105,CS!$B:$B,0)+COLUMN(E$1),1))</f>
        <v/>
      </c>
      <c r="BC105" t="str">
        <f>IF($A105="","", INDEX(CS!$B$1:$B$12939,MATCH($A105,CS!$B:$B,0)+COLUMN(F$1),1))</f>
        <v/>
      </c>
      <c r="BD105" t="str">
        <f>IF($A105="","", INDEX(CS!$B$1:$B$12939,MATCH($A105,CS!$B:$B,0)+COLUMN(G$1),1))</f>
        <v/>
      </c>
      <c r="BE105" t="str">
        <f>IF($A105="","", INDEX(CS!$B$1:$B$12939,MATCH($A105,CS!$B:$B,0)+COLUMN(H$1),1))</f>
        <v/>
      </c>
      <c r="BF105" t="str">
        <f>IF($A105="","", INDEX(CS!$B$1:$B$12939,MATCH($A105,CS!$B:$B,0)+COLUMN(I$1),1))</f>
        <v/>
      </c>
      <c r="BG105" t="str">
        <f>IF($A105="","", INDEX(CS!$B$1:$B$12939,MATCH($A105,CS!$B:$B,0)+COLUMN(J$1),1))</f>
        <v/>
      </c>
    </row>
    <row r="106" spans="3:59" x14ac:dyDescent="0.4">
      <c r="C106" t="s">
        <v>193</v>
      </c>
      <c r="D106" t="str">
        <f t="shared" si="9"/>
        <v>0/0/0</v>
      </c>
      <c r="E106">
        <v>1</v>
      </c>
      <c r="AX106" t="str">
        <f>IF($A106="","", INDEX(CS!$B$1:$B$12939,MATCH($A106,CS!$B:$B,0)+COLUMN(A$1),1))</f>
        <v/>
      </c>
      <c r="AY106" t="str">
        <f>IF($A106="","", INDEX(CS!$B$1:$B$12939,MATCH($A106,CS!$B:$B,0)+COLUMN(B$1),1))</f>
        <v/>
      </c>
      <c r="AZ106" t="str">
        <f>IF($A106="","", INDEX(CS!$B$1:$B$12939,MATCH($A106,CS!$B:$B,0)+COLUMN(C$1),1))</f>
        <v/>
      </c>
      <c r="BA106" t="str">
        <f>IF($A106="","", INDEX(CS!$B$1:$B$12939,MATCH($A106,CS!$B:$B,0)+COLUMN(D$1),1))</f>
        <v/>
      </c>
      <c r="BB106" t="str">
        <f>IF($A106="","", INDEX(CS!$B$1:$B$12939,MATCH($A106,CS!$B:$B,0)+COLUMN(E$1),1))</f>
        <v/>
      </c>
      <c r="BC106" t="str">
        <f>IF($A106="","", INDEX(CS!$B$1:$B$12939,MATCH($A106,CS!$B:$B,0)+COLUMN(F$1),1))</f>
        <v/>
      </c>
      <c r="BD106" t="str">
        <f>IF($A106="","", INDEX(CS!$B$1:$B$12939,MATCH($A106,CS!$B:$B,0)+COLUMN(G$1),1))</f>
        <v/>
      </c>
      <c r="BE106" t="str">
        <f>IF($A106="","", INDEX(CS!$B$1:$B$12939,MATCH($A106,CS!$B:$B,0)+COLUMN(H$1),1))</f>
        <v/>
      </c>
      <c r="BF106" t="str">
        <f>IF($A106="","", INDEX(CS!$B$1:$B$12939,MATCH($A106,CS!$B:$B,0)+COLUMN(I$1),1))</f>
        <v/>
      </c>
      <c r="BG106" t="str">
        <f>IF($A106="","", INDEX(CS!$B$1:$B$12939,MATCH($A106,CS!$B:$B,0)+COLUMN(J$1),1))</f>
        <v/>
      </c>
    </row>
    <row r="107" spans="3:59" x14ac:dyDescent="0.4">
      <c r="C107" t="s">
        <v>193</v>
      </c>
      <c r="D107" t="str">
        <f t="shared" si="9"/>
        <v>0/0/0</v>
      </c>
      <c r="E107">
        <v>1</v>
      </c>
      <c r="AX107" t="str">
        <f>IF($A107="","", INDEX(CS!$B$1:$B$12939,MATCH($A107,CS!$B:$B,0)+COLUMN(A$1),1))</f>
        <v/>
      </c>
      <c r="AY107" t="str">
        <f>IF($A107="","", INDEX(CS!$B$1:$B$12939,MATCH($A107,CS!$B:$B,0)+COLUMN(B$1),1))</f>
        <v/>
      </c>
      <c r="AZ107" t="str">
        <f>IF($A107="","", INDEX(CS!$B$1:$B$12939,MATCH($A107,CS!$B:$B,0)+COLUMN(C$1),1))</f>
        <v/>
      </c>
      <c r="BA107" t="str">
        <f>IF($A107="","", INDEX(CS!$B$1:$B$12939,MATCH($A107,CS!$B:$B,0)+COLUMN(D$1),1))</f>
        <v/>
      </c>
      <c r="BB107" t="str">
        <f>IF($A107="","", INDEX(CS!$B$1:$B$12939,MATCH($A107,CS!$B:$B,0)+COLUMN(E$1),1))</f>
        <v/>
      </c>
      <c r="BC107" t="str">
        <f>IF($A107="","", INDEX(CS!$B$1:$B$12939,MATCH($A107,CS!$B:$B,0)+COLUMN(F$1),1))</f>
        <v/>
      </c>
      <c r="BD107" t="str">
        <f>IF($A107="","", INDEX(CS!$B$1:$B$12939,MATCH($A107,CS!$B:$B,0)+COLUMN(G$1),1))</f>
        <v/>
      </c>
      <c r="BE107" t="str">
        <f>IF($A107="","", INDEX(CS!$B$1:$B$12939,MATCH($A107,CS!$B:$B,0)+COLUMN(H$1),1))</f>
        <v/>
      </c>
      <c r="BF107" t="str">
        <f>IF($A107="","", INDEX(CS!$B$1:$B$12939,MATCH($A107,CS!$B:$B,0)+COLUMN(I$1),1))</f>
        <v/>
      </c>
      <c r="BG107" t="str">
        <f>IF($A107="","", INDEX(CS!$B$1:$B$12939,MATCH($A107,CS!$B:$B,0)+COLUMN(J$1),1))</f>
        <v/>
      </c>
    </row>
    <row r="108" spans="3:59" x14ac:dyDescent="0.4">
      <c r="C108" t="s">
        <v>193</v>
      </c>
      <c r="D108" t="str">
        <f t="shared" si="9"/>
        <v>0/0/0</v>
      </c>
      <c r="E108">
        <v>1</v>
      </c>
      <c r="AX108" t="str">
        <f>IF($A108="","", INDEX(CS!$B$1:$B$12939,MATCH($A108,CS!$B:$B,0)+COLUMN(A$1),1))</f>
        <v/>
      </c>
      <c r="AY108" t="str">
        <f>IF($A108="","", INDEX(CS!$B$1:$B$12939,MATCH($A108,CS!$B:$B,0)+COLUMN(B$1),1))</f>
        <v/>
      </c>
      <c r="AZ108" t="str">
        <f>IF($A108="","", INDEX(CS!$B$1:$B$12939,MATCH($A108,CS!$B:$B,0)+COLUMN(C$1),1))</f>
        <v/>
      </c>
      <c r="BA108" t="str">
        <f>IF($A108="","", INDEX(CS!$B$1:$B$12939,MATCH($A108,CS!$B:$B,0)+COLUMN(D$1),1))</f>
        <v/>
      </c>
      <c r="BB108" t="str">
        <f>IF($A108="","", INDEX(CS!$B$1:$B$12939,MATCH($A108,CS!$B:$B,0)+COLUMN(E$1),1))</f>
        <v/>
      </c>
      <c r="BC108" t="str">
        <f>IF($A108="","", INDEX(CS!$B$1:$B$12939,MATCH($A108,CS!$B:$B,0)+COLUMN(F$1),1))</f>
        <v/>
      </c>
      <c r="BD108" t="str">
        <f>IF($A108="","", INDEX(CS!$B$1:$B$12939,MATCH($A108,CS!$B:$B,0)+COLUMN(G$1),1))</f>
        <v/>
      </c>
      <c r="BE108" t="str">
        <f>IF($A108="","", INDEX(CS!$B$1:$B$12939,MATCH($A108,CS!$B:$B,0)+COLUMN(H$1),1))</f>
        <v/>
      </c>
      <c r="BF108" t="str">
        <f>IF($A108="","", INDEX(CS!$B$1:$B$12939,MATCH($A108,CS!$B:$B,0)+COLUMN(I$1),1))</f>
        <v/>
      </c>
      <c r="BG108" t="str">
        <f>IF($A108="","", INDEX(CS!$B$1:$B$12939,MATCH($A108,CS!$B:$B,0)+COLUMN(J$1),1))</f>
        <v/>
      </c>
    </row>
    <row r="109" spans="3:59" x14ac:dyDescent="0.4">
      <c r="C109" t="s">
        <v>193</v>
      </c>
      <c r="D109" t="str">
        <f t="shared" si="9"/>
        <v>0/0/0</v>
      </c>
      <c r="E109">
        <v>1</v>
      </c>
      <c r="AX109" t="str">
        <f>IF($A109="","", INDEX(CS!$B$1:$B$12939,MATCH($A109,CS!$B:$B,0)+COLUMN(A$1),1))</f>
        <v/>
      </c>
      <c r="AY109" t="str">
        <f>IF($A109="","", INDEX(CS!$B$1:$B$12939,MATCH($A109,CS!$B:$B,0)+COLUMN(B$1),1))</f>
        <v/>
      </c>
      <c r="AZ109" t="str">
        <f>IF($A109="","", INDEX(CS!$B$1:$B$12939,MATCH($A109,CS!$B:$B,0)+COLUMN(C$1),1))</f>
        <v/>
      </c>
      <c r="BA109" t="str">
        <f>IF($A109="","", INDEX(CS!$B$1:$B$12939,MATCH($A109,CS!$B:$B,0)+COLUMN(D$1),1))</f>
        <v/>
      </c>
      <c r="BB109" t="str">
        <f>IF($A109="","", INDEX(CS!$B$1:$B$12939,MATCH($A109,CS!$B:$B,0)+COLUMN(E$1),1))</f>
        <v/>
      </c>
      <c r="BC109" t="str">
        <f>IF($A109="","", INDEX(CS!$B$1:$B$12939,MATCH($A109,CS!$B:$B,0)+COLUMN(F$1),1))</f>
        <v/>
      </c>
      <c r="BD109" t="str">
        <f>IF($A109="","", INDEX(CS!$B$1:$B$12939,MATCH($A109,CS!$B:$B,0)+COLUMN(G$1),1))</f>
        <v/>
      </c>
      <c r="BE109" t="str">
        <f>IF($A109="","", INDEX(CS!$B$1:$B$12939,MATCH($A109,CS!$B:$B,0)+COLUMN(H$1),1))</f>
        <v/>
      </c>
      <c r="BF109" t="str">
        <f>IF($A109="","", INDEX(CS!$B$1:$B$12939,MATCH($A109,CS!$B:$B,0)+COLUMN(I$1),1))</f>
        <v/>
      </c>
      <c r="BG109" t="str">
        <f>IF($A109="","", INDEX(CS!$B$1:$B$12939,MATCH($A109,CS!$B:$B,0)+COLUMN(J$1),1))</f>
        <v/>
      </c>
    </row>
    <row r="110" spans="3:59" x14ac:dyDescent="0.4">
      <c r="C110" t="s">
        <v>193</v>
      </c>
      <c r="D110" t="str">
        <f t="shared" si="9"/>
        <v>0/0/0</v>
      </c>
      <c r="E110">
        <v>1</v>
      </c>
      <c r="AX110" t="str">
        <f>IF($A110="","", INDEX(CS!$B$1:$B$12939,MATCH($A110,CS!$B:$B,0)+COLUMN(A$1),1))</f>
        <v/>
      </c>
      <c r="AY110" t="str">
        <f>IF($A110="","", INDEX(CS!$B$1:$B$12939,MATCH($A110,CS!$B:$B,0)+COLUMN(B$1),1))</f>
        <v/>
      </c>
      <c r="AZ110" t="str">
        <f>IF($A110="","", INDEX(CS!$B$1:$B$12939,MATCH($A110,CS!$B:$B,0)+COLUMN(C$1),1))</f>
        <v/>
      </c>
      <c r="BA110" t="str">
        <f>IF($A110="","", INDEX(CS!$B$1:$B$12939,MATCH($A110,CS!$B:$B,0)+COLUMN(D$1),1))</f>
        <v/>
      </c>
      <c r="BB110" t="str">
        <f>IF($A110="","", INDEX(CS!$B$1:$B$12939,MATCH($A110,CS!$B:$B,0)+COLUMN(E$1),1))</f>
        <v/>
      </c>
      <c r="BC110" t="str">
        <f>IF($A110="","", INDEX(CS!$B$1:$B$12939,MATCH($A110,CS!$B:$B,0)+COLUMN(F$1),1))</f>
        <v/>
      </c>
      <c r="BD110" t="str">
        <f>IF($A110="","", INDEX(CS!$B$1:$B$12939,MATCH($A110,CS!$B:$B,0)+COLUMN(G$1),1))</f>
        <v/>
      </c>
      <c r="BE110" t="str">
        <f>IF($A110="","", INDEX(CS!$B$1:$B$12939,MATCH($A110,CS!$B:$B,0)+COLUMN(H$1),1))</f>
        <v/>
      </c>
      <c r="BF110" t="str">
        <f>IF($A110="","", INDEX(CS!$B$1:$B$12939,MATCH($A110,CS!$B:$B,0)+COLUMN(I$1),1))</f>
        <v/>
      </c>
      <c r="BG110" t="str">
        <f>IF($A110="","", INDEX(CS!$B$1:$B$12939,MATCH($A110,CS!$B:$B,0)+COLUMN(J$1),1))</f>
        <v/>
      </c>
    </row>
    <row r="111" spans="3:59" x14ac:dyDescent="0.4">
      <c r="C111" t="s">
        <v>193</v>
      </c>
      <c r="D111" t="str">
        <f t="shared" si="9"/>
        <v>0/0/0</v>
      </c>
      <c r="E111">
        <v>1</v>
      </c>
      <c r="AX111" t="str">
        <f>IF($A111="","", INDEX(CS!$B$1:$B$12939,MATCH($A111,CS!$B:$B,0)+COLUMN(A$1),1))</f>
        <v/>
      </c>
      <c r="AY111" t="str">
        <f>IF($A111="","", INDEX(CS!$B$1:$B$12939,MATCH($A111,CS!$B:$B,0)+COLUMN(B$1),1))</f>
        <v/>
      </c>
      <c r="AZ111" t="str">
        <f>IF($A111="","", INDEX(CS!$B$1:$B$12939,MATCH($A111,CS!$B:$B,0)+COLUMN(C$1),1))</f>
        <v/>
      </c>
      <c r="BA111" t="str">
        <f>IF($A111="","", INDEX(CS!$B$1:$B$12939,MATCH($A111,CS!$B:$B,0)+COLUMN(D$1),1))</f>
        <v/>
      </c>
      <c r="BB111" t="str">
        <f>IF($A111="","", INDEX(CS!$B$1:$B$12939,MATCH($A111,CS!$B:$B,0)+COLUMN(E$1),1))</f>
        <v/>
      </c>
      <c r="BC111" t="str">
        <f>IF($A111="","", INDEX(CS!$B$1:$B$12939,MATCH($A111,CS!$B:$B,0)+COLUMN(F$1),1))</f>
        <v/>
      </c>
      <c r="BD111" t="str">
        <f>IF($A111="","", INDEX(CS!$B$1:$B$12939,MATCH($A111,CS!$B:$B,0)+COLUMN(G$1),1))</f>
        <v/>
      </c>
      <c r="BE111" t="str">
        <f>IF($A111="","", INDEX(CS!$B$1:$B$12939,MATCH($A111,CS!$B:$B,0)+COLUMN(H$1),1))</f>
        <v/>
      </c>
      <c r="BF111" t="str">
        <f>IF($A111="","", INDEX(CS!$B$1:$B$12939,MATCH($A111,CS!$B:$B,0)+COLUMN(I$1),1))</f>
        <v/>
      </c>
      <c r="BG111" t="str">
        <f>IF($A111="","", INDEX(CS!$B$1:$B$12939,MATCH($A111,CS!$B:$B,0)+COLUMN(J$1),1))</f>
        <v/>
      </c>
    </row>
    <row r="112" spans="3:59" x14ac:dyDescent="0.4">
      <c r="C112" t="s">
        <v>193</v>
      </c>
      <c r="D112" t="str">
        <f t="shared" si="9"/>
        <v>0/0/0</v>
      </c>
      <c r="E112">
        <v>1</v>
      </c>
      <c r="AX112" t="str">
        <f>IF($A112="","", INDEX(CS!$B$1:$B$12939,MATCH($A112,CS!$B:$B,0)+COLUMN(A$1),1))</f>
        <v/>
      </c>
      <c r="AY112" t="str">
        <f>IF($A112="","", INDEX(CS!$B$1:$B$12939,MATCH($A112,CS!$B:$B,0)+COLUMN(B$1),1))</f>
        <v/>
      </c>
      <c r="AZ112" t="str">
        <f>IF($A112="","", INDEX(CS!$B$1:$B$12939,MATCH($A112,CS!$B:$B,0)+COLUMN(C$1),1))</f>
        <v/>
      </c>
      <c r="BA112" t="str">
        <f>IF($A112="","", INDEX(CS!$B$1:$B$12939,MATCH($A112,CS!$B:$B,0)+COLUMN(D$1),1))</f>
        <v/>
      </c>
      <c r="BB112" t="str">
        <f>IF($A112="","", INDEX(CS!$B$1:$B$12939,MATCH($A112,CS!$B:$B,0)+COLUMN(E$1),1))</f>
        <v/>
      </c>
      <c r="BC112" t="str">
        <f>IF($A112="","", INDEX(CS!$B$1:$B$12939,MATCH($A112,CS!$B:$B,0)+COLUMN(F$1),1))</f>
        <v/>
      </c>
      <c r="BD112" t="str">
        <f>IF($A112="","", INDEX(CS!$B$1:$B$12939,MATCH($A112,CS!$B:$B,0)+COLUMN(G$1),1))</f>
        <v/>
      </c>
      <c r="BE112" t="str">
        <f>IF($A112="","", INDEX(CS!$B$1:$B$12939,MATCH($A112,CS!$B:$B,0)+COLUMN(H$1),1))</f>
        <v/>
      </c>
      <c r="BF112" t="str">
        <f>IF($A112="","", INDEX(CS!$B$1:$B$12939,MATCH($A112,CS!$B:$B,0)+COLUMN(I$1),1))</f>
        <v/>
      </c>
      <c r="BG112" t="str">
        <f>IF($A112="","", INDEX(CS!$B$1:$B$12939,MATCH($A112,CS!$B:$B,0)+COLUMN(J$1),1))</f>
        <v/>
      </c>
    </row>
    <row r="113" spans="3:59" x14ac:dyDescent="0.4">
      <c r="C113" t="s">
        <v>193</v>
      </c>
      <c r="D113" t="str">
        <f t="shared" si="9"/>
        <v>0/0/0</v>
      </c>
      <c r="E113">
        <v>1</v>
      </c>
      <c r="AX113" t="str">
        <f>IF($A113="","", INDEX(CS!$B$1:$B$12939,MATCH($A113,CS!$B:$B,0)+COLUMN(A$1),1))</f>
        <v/>
      </c>
      <c r="AY113" t="str">
        <f>IF($A113="","", INDEX(CS!$B$1:$B$12939,MATCH($A113,CS!$B:$B,0)+COLUMN(B$1),1))</f>
        <v/>
      </c>
      <c r="AZ113" t="str">
        <f>IF($A113="","", INDEX(CS!$B$1:$B$12939,MATCH($A113,CS!$B:$B,0)+COLUMN(C$1),1))</f>
        <v/>
      </c>
      <c r="BA113" t="str">
        <f>IF($A113="","", INDEX(CS!$B$1:$B$12939,MATCH($A113,CS!$B:$B,0)+COLUMN(D$1),1))</f>
        <v/>
      </c>
      <c r="BB113" t="str">
        <f>IF($A113="","", INDEX(CS!$B$1:$B$12939,MATCH($A113,CS!$B:$B,0)+COLUMN(E$1),1))</f>
        <v/>
      </c>
      <c r="BC113" t="str">
        <f>IF($A113="","", INDEX(CS!$B$1:$B$12939,MATCH($A113,CS!$B:$B,0)+COLUMN(F$1),1))</f>
        <v/>
      </c>
      <c r="BD113" t="str">
        <f>IF($A113="","", INDEX(CS!$B$1:$B$12939,MATCH($A113,CS!$B:$B,0)+COLUMN(G$1),1))</f>
        <v/>
      </c>
      <c r="BE113" t="str">
        <f>IF($A113="","", INDEX(CS!$B$1:$B$12939,MATCH($A113,CS!$B:$B,0)+COLUMN(H$1),1))</f>
        <v/>
      </c>
      <c r="BF113" t="str">
        <f>IF($A113="","", INDEX(CS!$B$1:$B$12939,MATCH($A113,CS!$B:$B,0)+COLUMN(I$1),1))</f>
        <v/>
      </c>
      <c r="BG113" t="str">
        <f>IF($A113="","", INDEX(CS!$B$1:$B$12939,MATCH($A113,CS!$B:$B,0)+COLUMN(J$1),1))</f>
        <v/>
      </c>
    </row>
    <row r="114" spans="3:59" x14ac:dyDescent="0.4">
      <c r="C114" t="s">
        <v>193</v>
      </c>
      <c r="D114" t="str">
        <f t="shared" si="9"/>
        <v>0/0/0</v>
      </c>
      <c r="E114">
        <v>1</v>
      </c>
      <c r="AX114" t="str">
        <f>IF($A114="","", INDEX(CS!$B$1:$B$12939,MATCH($A114,CS!$B:$B,0)+COLUMN(A$1),1))</f>
        <v/>
      </c>
      <c r="AY114" t="str">
        <f>IF($A114="","", INDEX(CS!$B$1:$B$12939,MATCH($A114,CS!$B:$B,0)+COLUMN(B$1),1))</f>
        <v/>
      </c>
      <c r="AZ114" t="str">
        <f>IF($A114="","", INDEX(CS!$B$1:$B$12939,MATCH($A114,CS!$B:$B,0)+COLUMN(C$1),1))</f>
        <v/>
      </c>
      <c r="BA114" t="str">
        <f>IF($A114="","", INDEX(CS!$B$1:$B$12939,MATCH($A114,CS!$B:$B,0)+COLUMN(D$1),1))</f>
        <v/>
      </c>
      <c r="BB114" t="str">
        <f>IF($A114="","", INDEX(CS!$B$1:$B$12939,MATCH($A114,CS!$B:$B,0)+COLUMN(E$1),1))</f>
        <v/>
      </c>
      <c r="BC114" t="str">
        <f>IF($A114="","", INDEX(CS!$B$1:$B$12939,MATCH($A114,CS!$B:$B,0)+COLUMN(F$1),1))</f>
        <v/>
      </c>
      <c r="BD114" t="str">
        <f>IF($A114="","", INDEX(CS!$B$1:$B$12939,MATCH($A114,CS!$B:$B,0)+COLUMN(G$1),1))</f>
        <v/>
      </c>
      <c r="BE114" t="str">
        <f>IF($A114="","", INDEX(CS!$B$1:$B$12939,MATCH($A114,CS!$B:$B,0)+COLUMN(H$1),1))</f>
        <v/>
      </c>
      <c r="BF114" t="str">
        <f>IF($A114="","", INDEX(CS!$B$1:$B$12939,MATCH($A114,CS!$B:$B,0)+COLUMN(I$1),1))</f>
        <v/>
      </c>
      <c r="BG114" t="str">
        <f>IF($A114="","", INDEX(CS!$B$1:$B$12939,MATCH($A114,CS!$B:$B,0)+COLUMN(J$1),1))</f>
        <v/>
      </c>
    </row>
    <row r="115" spans="3:59" x14ac:dyDescent="0.4">
      <c r="C115" t="s">
        <v>193</v>
      </c>
      <c r="D115" t="str">
        <f t="shared" si="9"/>
        <v>0/0/0</v>
      </c>
      <c r="E115">
        <v>1</v>
      </c>
      <c r="AX115" t="str">
        <f>IF($A115="","", INDEX(CS!$B$1:$B$12939,MATCH($A115,CS!$B:$B,0)+COLUMN(A$1),1))</f>
        <v/>
      </c>
      <c r="AY115" t="str">
        <f>IF($A115="","", INDEX(CS!$B$1:$B$12939,MATCH($A115,CS!$B:$B,0)+COLUMN(B$1),1))</f>
        <v/>
      </c>
      <c r="AZ115" t="str">
        <f>IF($A115="","", INDEX(CS!$B$1:$B$12939,MATCH($A115,CS!$B:$B,0)+COLUMN(C$1),1))</f>
        <v/>
      </c>
      <c r="BA115" t="str">
        <f>IF($A115="","", INDEX(CS!$B$1:$B$12939,MATCH($A115,CS!$B:$B,0)+COLUMN(D$1),1))</f>
        <v/>
      </c>
      <c r="BB115" t="str">
        <f>IF($A115="","", INDEX(CS!$B$1:$B$12939,MATCH($A115,CS!$B:$B,0)+COLUMN(E$1),1))</f>
        <v/>
      </c>
      <c r="BC115" t="str">
        <f>IF($A115="","", INDEX(CS!$B$1:$B$12939,MATCH($A115,CS!$B:$B,0)+COLUMN(F$1),1))</f>
        <v/>
      </c>
      <c r="BD115" t="str">
        <f>IF($A115="","", INDEX(CS!$B$1:$B$12939,MATCH($A115,CS!$B:$B,0)+COLUMN(G$1),1))</f>
        <v/>
      </c>
      <c r="BE115" t="str">
        <f>IF($A115="","", INDEX(CS!$B$1:$B$12939,MATCH($A115,CS!$B:$B,0)+COLUMN(H$1),1))</f>
        <v/>
      </c>
      <c r="BF115" t="str">
        <f>IF($A115="","", INDEX(CS!$B$1:$B$12939,MATCH($A115,CS!$B:$B,0)+COLUMN(I$1),1))</f>
        <v/>
      </c>
      <c r="BG115" t="str">
        <f>IF($A115="","", INDEX(CS!$B$1:$B$12939,MATCH($A115,CS!$B:$B,0)+COLUMN(J$1),1))</f>
        <v/>
      </c>
    </row>
    <row r="116" spans="3:59" x14ac:dyDescent="0.4">
      <c r="C116" t="s">
        <v>193</v>
      </c>
      <c r="D116" t="str">
        <f t="shared" si="9"/>
        <v>0/0/0</v>
      </c>
      <c r="E116">
        <v>1</v>
      </c>
      <c r="AX116" t="str">
        <f>IF($A116="","", INDEX(CS!$B$1:$B$12939,MATCH($A116,CS!$B:$B,0)+COLUMN(A$1),1))</f>
        <v/>
      </c>
      <c r="AY116" t="str">
        <f>IF($A116="","", INDEX(CS!$B$1:$B$12939,MATCH($A116,CS!$B:$B,0)+COLUMN(B$1),1))</f>
        <v/>
      </c>
      <c r="AZ116" t="str">
        <f>IF($A116="","", INDEX(CS!$B$1:$B$12939,MATCH($A116,CS!$B:$B,0)+COLUMN(C$1),1))</f>
        <v/>
      </c>
      <c r="BA116" t="str">
        <f>IF($A116="","", INDEX(CS!$B$1:$B$12939,MATCH($A116,CS!$B:$B,0)+COLUMN(D$1),1))</f>
        <v/>
      </c>
      <c r="BB116" t="str">
        <f>IF($A116="","", INDEX(CS!$B$1:$B$12939,MATCH($A116,CS!$B:$B,0)+COLUMN(E$1),1))</f>
        <v/>
      </c>
      <c r="BC116" t="str">
        <f>IF($A116="","", INDEX(CS!$B$1:$B$12939,MATCH($A116,CS!$B:$B,0)+COLUMN(F$1),1))</f>
        <v/>
      </c>
      <c r="BD116" t="str">
        <f>IF($A116="","", INDEX(CS!$B$1:$B$12939,MATCH($A116,CS!$B:$B,0)+COLUMN(G$1),1))</f>
        <v/>
      </c>
      <c r="BE116" t="str">
        <f>IF($A116="","", INDEX(CS!$B$1:$B$12939,MATCH($A116,CS!$B:$B,0)+COLUMN(H$1),1))</f>
        <v/>
      </c>
      <c r="BF116" t="str">
        <f>IF($A116="","", INDEX(CS!$B$1:$B$12939,MATCH($A116,CS!$B:$B,0)+COLUMN(I$1),1))</f>
        <v/>
      </c>
      <c r="BG116" t="str">
        <f>IF($A116="","", INDEX(CS!$B$1:$B$12939,MATCH($A116,CS!$B:$B,0)+COLUMN(J$1),1))</f>
        <v/>
      </c>
    </row>
    <row r="117" spans="3:59" x14ac:dyDescent="0.4">
      <c r="C117" t="s">
        <v>193</v>
      </c>
      <c r="D117" t="str">
        <f t="shared" si="9"/>
        <v>0/0/0</v>
      </c>
      <c r="E117">
        <v>1</v>
      </c>
      <c r="AX117" t="str">
        <f>IF($A117="","", INDEX(CS!$B$1:$B$12939,MATCH($A117,CS!$B:$B,0)+COLUMN(A$1),1))</f>
        <v/>
      </c>
      <c r="AY117" t="str">
        <f>IF($A117="","", INDEX(CS!$B$1:$B$12939,MATCH($A117,CS!$B:$B,0)+COLUMN(B$1),1))</f>
        <v/>
      </c>
      <c r="AZ117" t="str">
        <f>IF($A117="","", INDEX(CS!$B$1:$B$12939,MATCH($A117,CS!$B:$B,0)+COLUMN(C$1),1))</f>
        <v/>
      </c>
      <c r="BA117" t="str">
        <f>IF($A117="","", INDEX(CS!$B$1:$B$12939,MATCH($A117,CS!$B:$B,0)+COLUMN(D$1),1))</f>
        <v/>
      </c>
      <c r="BB117" t="str">
        <f>IF($A117="","", INDEX(CS!$B$1:$B$12939,MATCH($A117,CS!$B:$B,0)+COLUMN(E$1),1))</f>
        <v/>
      </c>
      <c r="BC117" t="str">
        <f>IF($A117="","", INDEX(CS!$B$1:$B$12939,MATCH($A117,CS!$B:$B,0)+COLUMN(F$1),1))</f>
        <v/>
      </c>
      <c r="BD117" t="str">
        <f>IF($A117="","", INDEX(CS!$B$1:$B$12939,MATCH($A117,CS!$B:$B,0)+COLUMN(G$1),1))</f>
        <v/>
      </c>
      <c r="BE117" t="str">
        <f>IF($A117="","", INDEX(CS!$B$1:$B$12939,MATCH($A117,CS!$B:$B,0)+COLUMN(H$1),1))</f>
        <v/>
      </c>
      <c r="BF117" t="str">
        <f>IF($A117="","", INDEX(CS!$B$1:$B$12939,MATCH($A117,CS!$B:$B,0)+COLUMN(I$1),1))</f>
        <v/>
      </c>
      <c r="BG117" t="str">
        <f>IF($A117="","", INDEX(CS!$B$1:$B$12939,MATCH($A117,CS!$B:$B,0)+COLUMN(J$1),1))</f>
        <v/>
      </c>
    </row>
    <row r="118" spans="3:59" x14ac:dyDescent="0.4">
      <c r="C118" t="s">
        <v>193</v>
      </c>
      <c r="D118" t="str">
        <f t="shared" si="9"/>
        <v>0/0/0</v>
      </c>
      <c r="E118">
        <v>1</v>
      </c>
      <c r="AX118" t="str">
        <f>IF($A118="","", INDEX(CS!$B$1:$B$12939,MATCH($A118,CS!$B:$B,0)+COLUMN(A$1),1))</f>
        <v/>
      </c>
      <c r="AY118" t="str">
        <f>IF($A118="","", INDEX(CS!$B$1:$B$12939,MATCH($A118,CS!$B:$B,0)+COLUMN(B$1),1))</f>
        <v/>
      </c>
      <c r="AZ118" t="str">
        <f>IF($A118="","", INDEX(CS!$B$1:$B$12939,MATCH($A118,CS!$B:$B,0)+COLUMN(C$1),1))</f>
        <v/>
      </c>
      <c r="BA118" t="str">
        <f>IF($A118="","", INDEX(CS!$B$1:$B$12939,MATCH($A118,CS!$B:$B,0)+COLUMN(D$1),1))</f>
        <v/>
      </c>
      <c r="BB118" t="str">
        <f>IF($A118="","", INDEX(CS!$B$1:$B$12939,MATCH($A118,CS!$B:$B,0)+COLUMN(E$1),1))</f>
        <v/>
      </c>
      <c r="BC118" t="str">
        <f>IF($A118="","", INDEX(CS!$B$1:$B$12939,MATCH($A118,CS!$B:$B,0)+COLUMN(F$1),1))</f>
        <v/>
      </c>
      <c r="BD118" t="str">
        <f>IF($A118="","", INDEX(CS!$B$1:$B$12939,MATCH($A118,CS!$B:$B,0)+COLUMN(G$1),1))</f>
        <v/>
      </c>
      <c r="BE118" t="str">
        <f>IF($A118="","", INDEX(CS!$B$1:$B$12939,MATCH($A118,CS!$B:$B,0)+COLUMN(H$1),1))</f>
        <v/>
      </c>
      <c r="BF118" t="str">
        <f>IF($A118="","", INDEX(CS!$B$1:$B$12939,MATCH($A118,CS!$B:$B,0)+COLUMN(I$1),1))</f>
        <v/>
      </c>
      <c r="BG118" t="str">
        <f>IF($A118="","", INDEX(CS!$B$1:$B$12939,MATCH($A118,CS!$B:$B,0)+COLUMN(J$1),1))</f>
        <v/>
      </c>
    </row>
    <row r="119" spans="3:59" x14ac:dyDescent="0.4">
      <c r="C119" t="s">
        <v>193</v>
      </c>
      <c r="D119" t="str">
        <f t="shared" si="9"/>
        <v>0/0/0</v>
      </c>
      <c r="E119">
        <v>1</v>
      </c>
      <c r="AX119" t="str">
        <f>IF($A119="","", INDEX(CS!$B$1:$B$12939,MATCH($A119,CS!$B:$B,0)+COLUMN(A$1),1))</f>
        <v/>
      </c>
      <c r="AY119" t="str">
        <f>IF($A119="","", INDEX(CS!$B$1:$B$12939,MATCH($A119,CS!$B:$B,0)+COLUMN(B$1),1))</f>
        <v/>
      </c>
      <c r="AZ119" t="str">
        <f>IF($A119="","", INDEX(CS!$B$1:$B$12939,MATCH($A119,CS!$B:$B,0)+COLUMN(C$1),1))</f>
        <v/>
      </c>
      <c r="BA119" t="str">
        <f>IF($A119="","", INDEX(CS!$B$1:$B$12939,MATCH($A119,CS!$B:$B,0)+COLUMN(D$1),1))</f>
        <v/>
      </c>
      <c r="BB119" t="str">
        <f>IF($A119="","", INDEX(CS!$B$1:$B$12939,MATCH($A119,CS!$B:$B,0)+COLUMN(E$1),1))</f>
        <v/>
      </c>
      <c r="BC119" t="str">
        <f>IF($A119="","", INDEX(CS!$B$1:$B$12939,MATCH($A119,CS!$B:$B,0)+COLUMN(F$1),1))</f>
        <v/>
      </c>
      <c r="BD119" t="str">
        <f>IF($A119="","", INDEX(CS!$B$1:$B$12939,MATCH($A119,CS!$B:$B,0)+COLUMN(G$1),1))</f>
        <v/>
      </c>
      <c r="BE119" t="str">
        <f>IF($A119="","", INDEX(CS!$B$1:$B$12939,MATCH($A119,CS!$B:$B,0)+COLUMN(H$1),1))</f>
        <v/>
      </c>
      <c r="BF119" t="str">
        <f>IF($A119="","", INDEX(CS!$B$1:$B$12939,MATCH($A119,CS!$B:$B,0)+COLUMN(I$1),1))</f>
        <v/>
      </c>
      <c r="BG119" t="str">
        <f>IF($A119="","", INDEX(CS!$B$1:$B$12939,MATCH($A119,CS!$B:$B,0)+COLUMN(J$1),1))</f>
        <v/>
      </c>
    </row>
    <row r="120" spans="3:59" x14ac:dyDescent="0.4">
      <c r="C120" t="s">
        <v>193</v>
      </c>
      <c r="D120" t="str">
        <f t="shared" si="9"/>
        <v>0/0/0</v>
      </c>
      <c r="E120">
        <v>1</v>
      </c>
      <c r="AX120" t="str">
        <f>IF($A120="","", INDEX(CS!$B$1:$B$12939,MATCH($A120,CS!$B:$B,0)+COLUMN(A$1),1))</f>
        <v/>
      </c>
      <c r="AY120" t="str">
        <f>IF($A120="","", INDEX(CS!$B$1:$B$12939,MATCH($A120,CS!$B:$B,0)+COLUMN(B$1),1))</f>
        <v/>
      </c>
      <c r="AZ120" t="str">
        <f>IF($A120="","", INDEX(CS!$B$1:$B$12939,MATCH($A120,CS!$B:$B,0)+COLUMN(C$1),1))</f>
        <v/>
      </c>
      <c r="BA120" t="str">
        <f>IF($A120="","", INDEX(CS!$B$1:$B$12939,MATCH($A120,CS!$B:$B,0)+COLUMN(D$1),1))</f>
        <v/>
      </c>
      <c r="BB120" t="str">
        <f>IF($A120="","", INDEX(CS!$B$1:$B$12939,MATCH($A120,CS!$B:$B,0)+COLUMN(E$1),1))</f>
        <v/>
      </c>
      <c r="BC120" t="str">
        <f>IF($A120="","", INDEX(CS!$B$1:$B$12939,MATCH($A120,CS!$B:$B,0)+COLUMN(F$1),1))</f>
        <v/>
      </c>
      <c r="BD120" t="str">
        <f>IF($A120="","", INDEX(CS!$B$1:$B$12939,MATCH($A120,CS!$B:$B,0)+COLUMN(G$1),1))</f>
        <v/>
      </c>
      <c r="BE120" t="str">
        <f>IF($A120="","", INDEX(CS!$B$1:$B$12939,MATCH($A120,CS!$B:$B,0)+COLUMN(H$1),1))</f>
        <v/>
      </c>
      <c r="BF120" t="str">
        <f>IF($A120="","", INDEX(CS!$B$1:$B$12939,MATCH($A120,CS!$B:$B,0)+COLUMN(I$1),1))</f>
        <v/>
      </c>
      <c r="BG120" t="str">
        <f>IF($A120="","", INDEX(CS!$B$1:$B$12939,MATCH($A120,CS!$B:$B,0)+COLUMN(J$1),1))</f>
        <v/>
      </c>
    </row>
    <row r="121" spans="3:59" x14ac:dyDescent="0.4">
      <c r="C121" t="s">
        <v>193</v>
      </c>
      <c r="D121" t="str">
        <f t="shared" si="9"/>
        <v>0/0/0</v>
      </c>
      <c r="E121">
        <v>1</v>
      </c>
      <c r="AX121" t="str">
        <f>IF($A121="","", INDEX(CS!$B$1:$B$12939,MATCH($A121,CS!$B:$B,0)+COLUMN(A$1),1))</f>
        <v/>
      </c>
      <c r="AY121" t="str">
        <f>IF($A121="","", INDEX(CS!$B$1:$B$12939,MATCH($A121,CS!$B:$B,0)+COLUMN(B$1),1))</f>
        <v/>
      </c>
      <c r="AZ121" t="str">
        <f>IF($A121="","", INDEX(CS!$B$1:$B$12939,MATCH($A121,CS!$B:$B,0)+COLUMN(C$1),1))</f>
        <v/>
      </c>
      <c r="BA121" t="str">
        <f>IF($A121="","", INDEX(CS!$B$1:$B$12939,MATCH($A121,CS!$B:$B,0)+COLUMN(D$1),1))</f>
        <v/>
      </c>
      <c r="BB121" t="str">
        <f>IF($A121="","", INDEX(CS!$B$1:$B$12939,MATCH($A121,CS!$B:$B,0)+COLUMN(E$1),1))</f>
        <v/>
      </c>
      <c r="BC121" t="str">
        <f>IF($A121="","", INDEX(CS!$B$1:$B$12939,MATCH($A121,CS!$B:$B,0)+COLUMN(F$1),1))</f>
        <v/>
      </c>
      <c r="BD121" t="str">
        <f>IF($A121="","", INDEX(CS!$B$1:$B$12939,MATCH($A121,CS!$B:$B,0)+COLUMN(G$1),1))</f>
        <v/>
      </c>
      <c r="BE121" t="str">
        <f>IF($A121="","", INDEX(CS!$B$1:$B$12939,MATCH($A121,CS!$B:$B,0)+COLUMN(H$1),1))</f>
        <v/>
      </c>
      <c r="BF121" t="str">
        <f>IF($A121="","", INDEX(CS!$B$1:$B$12939,MATCH($A121,CS!$B:$B,0)+COLUMN(I$1),1))</f>
        <v/>
      </c>
      <c r="BG121" t="str">
        <f>IF($A121="","", INDEX(CS!$B$1:$B$12939,MATCH($A121,CS!$B:$B,0)+COLUMN(J$1),1))</f>
        <v/>
      </c>
    </row>
    <row r="122" spans="3:59" x14ac:dyDescent="0.4">
      <c r="C122" t="s">
        <v>193</v>
      </c>
      <c r="D122" t="str">
        <f t="shared" si="9"/>
        <v>0/0/0</v>
      </c>
      <c r="E122">
        <v>1</v>
      </c>
      <c r="AX122" t="str">
        <f>IF($A122="","", INDEX(CS!$B$1:$B$12939,MATCH($A122,CS!$B:$B,0)+COLUMN(A$1),1))</f>
        <v/>
      </c>
      <c r="AY122" t="str">
        <f>IF($A122="","", INDEX(CS!$B$1:$B$12939,MATCH($A122,CS!$B:$B,0)+COLUMN(B$1),1))</f>
        <v/>
      </c>
      <c r="AZ122" t="str">
        <f>IF($A122="","", INDEX(CS!$B$1:$B$12939,MATCH($A122,CS!$B:$B,0)+COLUMN(C$1),1))</f>
        <v/>
      </c>
      <c r="BA122" t="str">
        <f>IF($A122="","", INDEX(CS!$B$1:$B$12939,MATCH($A122,CS!$B:$B,0)+COLUMN(D$1),1))</f>
        <v/>
      </c>
      <c r="BB122" t="str">
        <f>IF($A122="","", INDEX(CS!$B$1:$B$12939,MATCH($A122,CS!$B:$B,0)+COLUMN(E$1),1))</f>
        <v/>
      </c>
      <c r="BC122" t="str">
        <f>IF($A122="","", INDEX(CS!$B$1:$B$12939,MATCH($A122,CS!$B:$B,0)+COLUMN(F$1),1))</f>
        <v/>
      </c>
      <c r="BD122" t="str">
        <f>IF($A122="","", INDEX(CS!$B$1:$B$12939,MATCH($A122,CS!$B:$B,0)+COLUMN(G$1),1))</f>
        <v/>
      </c>
      <c r="BE122" t="str">
        <f>IF($A122="","", INDEX(CS!$B$1:$B$12939,MATCH($A122,CS!$B:$B,0)+COLUMN(H$1),1))</f>
        <v/>
      </c>
      <c r="BF122" t="str">
        <f>IF($A122="","", INDEX(CS!$B$1:$B$12939,MATCH($A122,CS!$B:$B,0)+COLUMN(I$1),1))</f>
        <v/>
      </c>
      <c r="BG122" t="str">
        <f>IF($A122="","", INDEX(CS!$B$1:$B$12939,MATCH($A122,CS!$B:$B,0)+COLUMN(J$1),1))</f>
        <v/>
      </c>
    </row>
    <row r="123" spans="3:59" x14ac:dyDescent="0.4">
      <c r="C123" t="s">
        <v>193</v>
      </c>
      <c r="D123" t="str">
        <f t="shared" si="9"/>
        <v>0/0/0</v>
      </c>
      <c r="E123">
        <v>1</v>
      </c>
      <c r="AX123" t="str">
        <f>IF($A123="","", INDEX(CS!$B$1:$B$12939,MATCH($A123,CS!$B:$B,0)+COLUMN(A$1),1))</f>
        <v/>
      </c>
      <c r="AY123" t="str">
        <f>IF($A123="","", INDEX(CS!$B$1:$B$12939,MATCH($A123,CS!$B:$B,0)+COLUMN(B$1),1))</f>
        <v/>
      </c>
      <c r="AZ123" t="str">
        <f>IF($A123="","", INDEX(CS!$B$1:$B$12939,MATCH($A123,CS!$B:$B,0)+COLUMN(C$1),1))</f>
        <v/>
      </c>
      <c r="BA123" t="str">
        <f>IF($A123="","", INDEX(CS!$B$1:$B$12939,MATCH($A123,CS!$B:$B,0)+COLUMN(D$1),1))</f>
        <v/>
      </c>
      <c r="BB123" t="str">
        <f>IF($A123="","", INDEX(CS!$B$1:$B$12939,MATCH($A123,CS!$B:$B,0)+COLUMN(E$1),1))</f>
        <v/>
      </c>
      <c r="BC123" t="str">
        <f>IF($A123="","", INDEX(CS!$B$1:$B$12939,MATCH($A123,CS!$B:$B,0)+COLUMN(F$1),1))</f>
        <v/>
      </c>
      <c r="BD123" t="str">
        <f>IF($A123="","", INDEX(CS!$B$1:$B$12939,MATCH($A123,CS!$B:$B,0)+COLUMN(G$1),1))</f>
        <v/>
      </c>
      <c r="BE123" t="str">
        <f>IF($A123="","", INDEX(CS!$B$1:$B$12939,MATCH($A123,CS!$B:$B,0)+COLUMN(H$1),1))</f>
        <v/>
      </c>
      <c r="BF123" t="str">
        <f>IF($A123="","", INDEX(CS!$B$1:$B$12939,MATCH($A123,CS!$B:$B,0)+COLUMN(I$1),1))</f>
        <v/>
      </c>
      <c r="BG123" t="str">
        <f>IF($A123="","", INDEX(CS!$B$1:$B$12939,MATCH($A123,CS!$B:$B,0)+COLUMN(J$1),1))</f>
        <v/>
      </c>
    </row>
    <row r="124" spans="3:59" x14ac:dyDescent="0.4">
      <c r="C124" t="s">
        <v>193</v>
      </c>
      <c r="D124" t="str">
        <f t="shared" si="9"/>
        <v>0/0/0</v>
      </c>
      <c r="E124">
        <v>1</v>
      </c>
      <c r="AX124" t="str">
        <f>IF($A124="","", INDEX(CS!$B$1:$B$12939,MATCH($A124,CS!$B:$B,0)+COLUMN(A$1),1))</f>
        <v/>
      </c>
      <c r="AY124" t="str">
        <f>IF($A124="","", INDEX(CS!$B$1:$B$12939,MATCH($A124,CS!$B:$B,0)+COLUMN(B$1),1))</f>
        <v/>
      </c>
      <c r="AZ124" t="str">
        <f>IF($A124="","", INDEX(CS!$B$1:$B$12939,MATCH($A124,CS!$B:$B,0)+COLUMN(C$1),1))</f>
        <v/>
      </c>
      <c r="BA124" t="str">
        <f>IF($A124="","", INDEX(CS!$B$1:$B$12939,MATCH($A124,CS!$B:$B,0)+COLUMN(D$1),1))</f>
        <v/>
      </c>
      <c r="BB124" t="str">
        <f>IF($A124="","", INDEX(CS!$B$1:$B$12939,MATCH($A124,CS!$B:$B,0)+COLUMN(E$1),1))</f>
        <v/>
      </c>
      <c r="BC124" t="str">
        <f>IF($A124="","", INDEX(CS!$B$1:$B$12939,MATCH($A124,CS!$B:$B,0)+COLUMN(F$1),1))</f>
        <v/>
      </c>
      <c r="BD124" t="str">
        <f>IF($A124="","", INDEX(CS!$B$1:$B$12939,MATCH($A124,CS!$B:$B,0)+COLUMN(G$1),1))</f>
        <v/>
      </c>
      <c r="BE124" t="str">
        <f>IF($A124="","", INDEX(CS!$B$1:$B$12939,MATCH($A124,CS!$B:$B,0)+COLUMN(H$1),1))</f>
        <v/>
      </c>
      <c r="BF124" t="str">
        <f>IF($A124="","", INDEX(CS!$B$1:$B$12939,MATCH($A124,CS!$B:$B,0)+COLUMN(I$1),1))</f>
        <v/>
      </c>
      <c r="BG124" t="str">
        <f>IF($A124="","", INDEX(CS!$B$1:$B$12939,MATCH($A124,CS!$B:$B,0)+COLUMN(J$1),1))</f>
        <v/>
      </c>
    </row>
    <row r="125" spans="3:59" x14ac:dyDescent="0.4">
      <c r="C125" t="s">
        <v>193</v>
      </c>
      <c r="D125" t="str">
        <f t="shared" si="9"/>
        <v>0/0/0</v>
      </c>
      <c r="E125">
        <v>1</v>
      </c>
      <c r="AX125" t="str">
        <f>IF($A125="","", INDEX(CS!$B$1:$B$12939,MATCH($A125,CS!$B:$B,0)+COLUMN(A$1),1))</f>
        <v/>
      </c>
      <c r="AY125" t="str">
        <f>IF($A125="","", INDEX(CS!$B$1:$B$12939,MATCH($A125,CS!$B:$B,0)+COLUMN(B$1),1))</f>
        <v/>
      </c>
      <c r="AZ125" t="str">
        <f>IF($A125="","", INDEX(CS!$B$1:$B$12939,MATCH($A125,CS!$B:$B,0)+COLUMN(C$1),1))</f>
        <v/>
      </c>
      <c r="BA125" t="str">
        <f>IF($A125="","", INDEX(CS!$B$1:$B$12939,MATCH($A125,CS!$B:$B,0)+COLUMN(D$1),1))</f>
        <v/>
      </c>
      <c r="BB125" t="str">
        <f>IF($A125="","", INDEX(CS!$B$1:$B$12939,MATCH($A125,CS!$B:$B,0)+COLUMN(E$1),1))</f>
        <v/>
      </c>
      <c r="BC125" t="str">
        <f>IF($A125="","", INDEX(CS!$B$1:$B$12939,MATCH($A125,CS!$B:$B,0)+COLUMN(F$1),1))</f>
        <v/>
      </c>
      <c r="BD125" t="str">
        <f>IF($A125="","", INDEX(CS!$B$1:$B$12939,MATCH($A125,CS!$B:$B,0)+COLUMN(G$1),1))</f>
        <v/>
      </c>
      <c r="BE125" t="str">
        <f>IF($A125="","", INDEX(CS!$B$1:$B$12939,MATCH($A125,CS!$B:$B,0)+COLUMN(H$1),1))</f>
        <v/>
      </c>
      <c r="BF125" t="str">
        <f>IF($A125="","", INDEX(CS!$B$1:$B$12939,MATCH($A125,CS!$B:$B,0)+COLUMN(I$1),1))</f>
        <v/>
      </c>
      <c r="BG125" t="str">
        <f>IF($A125="","", INDEX(CS!$B$1:$B$12939,MATCH($A125,CS!$B:$B,0)+COLUMN(J$1),1))</f>
        <v/>
      </c>
    </row>
    <row r="126" spans="3:59" x14ac:dyDescent="0.4">
      <c r="C126" t="s">
        <v>193</v>
      </c>
      <c r="D126" t="str">
        <f t="shared" si="9"/>
        <v>0/0/0</v>
      </c>
      <c r="E126">
        <v>1</v>
      </c>
      <c r="AX126" t="str">
        <f>IF($A126="","", INDEX(CS!$B$1:$B$12939,MATCH($A126,CS!$B:$B,0)+COLUMN(A$1),1))</f>
        <v/>
      </c>
      <c r="AY126" t="str">
        <f>IF($A126="","", INDEX(CS!$B$1:$B$12939,MATCH($A126,CS!$B:$B,0)+COLUMN(B$1),1))</f>
        <v/>
      </c>
      <c r="AZ126" t="str">
        <f>IF($A126="","", INDEX(CS!$B$1:$B$12939,MATCH($A126,CS!$B:$B,0)+COLUMN(C$1),1))</f>
        <v/>
      </c>
      <c r="BA126" t="str">
        <f>IF($A126="","", INDEX(CS!$B$1:$B$12939,MATCH($A126,CS!$B:$B,0)+COLUMN(D$1),1))</f>
        <v/>
      </c>
      <c r="BB126" t="str">
        <f>IF($A126="","", INDEX(CS!$B$1:$B$12939,MATCH($A126,CS!$B:$B,0)+COLUMN(E$1),1))</f>
        <v/>
      </c>
      <c r="BC126" t="str">
        <f>IF($A126="","", INDEX(CS!$B$1:$B$12939,MATCH($A126,CS!$B:$B,0)+COLUMN(F$1),1))</f>
        <v/>
      </c>
      <c r="BD126" t="str">
        <f>IF($A126="","", INDEX(CS!$B$1:$B$12939,MATCH($A126,CS!$B:$B,0)+COLUMN(G$1),1))</f>
        <v/>
      </c>
      <c r="BE126" t="str">
        <f>IF($A126="","", INDEX(CS!$B$1:$B$12939,MATCH($A126,CS!$B:$B,0)+COLUMN(H$1),1))</f>
        <v/>
      </c>
      <c r="BF126" t="str">
        <f>IF($A126="","", INDEX(CS!$B$1:$B$12939,MATCH($A126,CS!$B:$B,0)+COLUMN(I$1),1))</f>
        <v/>
      </c>
      <c r="BG126" t="str">
        <f>IF($A126="","", INDEX(CS!$B$1:$B$12939,MATCH($A126,CS!$B:$B,0)+COLUMN(J$1),1))</f>
        <v/>
      </c>
    </row>
    <row r="127" spans="3:59" x14ac:dyDescent="0.4">
      <c r="C127" t="s">
        <v>193</v>
      </c>
      <c r="D127" t="str">
        <f t="shared" si="9"/>
        <v>0/0/0</v>
      </c>
      <c r="E127">
        <v>1</v>
      </c>
      <c r="AX127" t="str">
        <f>IF($A127="","", INDEX(CS!$B$1:$B$12939,MATCH($A127,CS!$B:$B,0)+COLUMN(A$1),1))</f>
        <v/>
      </c>
      <c r="AY127" t="str">
        <f>IF($A127="","", INDEX(CS!$B$1:$B$12939,MATCH($A127,CS!$B:$B,0)+COLUMN(B$1),1))</f>
        <v/>
      </c>
      <c r="AZ127" t="str">
        <f>IF($A127="","", INDEX(CS!$B$1:$B$12939,MATCH($A127,CS!$B:$B,0)+COLUMN(C$1),1))</f>
        <v/>
      </c>
      <c r="BA127" t="str">
        <f>IF($A127="","", INDEX(CS!$B$1:$B$12939,MATCH($A127,CS!$B:$B,0)+COLUMN(D$1),1))</f>
        <v/>
      </c>
      <c r="BB127" t="str">
        <f>IF($A127="","", INDEX(CS!$B$1:$B$12939,MATCH($A127,CS!$B:$B,0)+COLUMN(E$1),1))</f>
        <v/>
      </c>
      <c r="BC127" t="str">
        <f>IF($A127="","", INDEX(CS!$B$1:$B$12939,MATCH($A127,CS!$B:$B,0)+COLUMN(F$1),1))</f>
        <v/>
      </c>
      <c r="BD127" t="str">
        <f>IF($A127="","", INDEX(CS!$B$1:$B$12939,MATCH($A127,CS!$B:$B,0)+COLUMN(G$1),1))</f>
        <v/>
      </c>
      <c r="BE127" t="str">
        <f>IF($A127="","", INDEX(CS!$B$1:$B$12939,MATCH($A127,CS!$B:$B,0)+COLUMN(H$1),1))</f>
        <v/>
      </c>
      <c r="BF127" t="str">
        <f>IF($A127="","", INDEX(CS!$B$1:$B$12939,MATCH($A127,CS!$B:$B,0)+COLUMN(I$1),1))</f>
        <v/>
      </c>
      <c r="BG127" t="str">
        <f>IF($A127="","", INDEX(CS!$B$1:$B$12939,MATCH($A127,CS!$B:$B,0)+COLUMN(J$1),1))</f>
        <v/>
      </c>
    </row>
    <row r="128" spans="3:59" x14ac:dyDescent="0.4">
      <c r="C128" t="s">
        <v>193</v>
      </c>
      <c r="D128" t="str">
        <f t="shared" si="9"/>
        <v>0/0/0</v>
      </c>
      <c r="E128">
        <v>1</v>
      </c>
      <c r="AX128" t="str">
        <f>IF($A128="","", INDEX(CS!$B$1:$B$12939,MATCH($A128,CS!$B:$B,0)+COLUMN(A$1),1))</f>
        <v/>
      </c>
      <c r="AY128" t="str">
        <f>IF($A128="","", INDEX(CS!$B$1:$B$12939,MATCH($A128,CS!$B:$B,0)+COLUMN(B$1),1))</f>
        <v/>
      </c>
      <c r="AZ128" t="str">
        <f>IF($A128="","", INDEX(CS!$B$1:$B$12939,MATCH($A128,CS!$B:$B,0)+COLUMN(C$1),1))</f>
        <v/>
      </c>
      <c r="BA128" t="str">
        <f>IF($A128="","", INDEX(CS!$B$1:$B$12939,MATCH($A128,CS!$B:$B,0)+COLUMN(D$1),1))</f>
        <v/>
      </c>
      <c r="BB128" t="str">
        <f>IF($A128="","", INDEX(CS!$B$1:$B$12939,MATCH($A128,CS!$B:$B,0)+COLUMN(E$1),1))</f>
        <v/>
      </c>
      <c r="BC128" t="str">
        <f>IF($A128="","", INDEX(CS!$B$1:$B$12939,MATCH($A128,CS!$B:$B,0)+COLUMN(F$1),1))</f>
        <v/>
      </c>
      <c r="BD128" t="str">
        <f>IF($A128="","", INDEX(CS!$B$1:$B$12939,MATCH($A128,CS!$B:$B,0)+COLUMN(G$1),1))</f>
        <v/>
      </c>
      <c r="BE128" t="str">
        <f>IF($A128="","", INDEX(CS!$B$1:$B$12939,MATCH($A128,CS!$B:$B,0)+COLUMN(H$1),1))</f>
        <v/>
      </c>
      <c r="BF128" t="str">
        <f>IF($A128="","", INDEX(CS!$B$1:$B$12939,MATCH($A128,CS!$B:$B,0)+COLUMN(I$1),1))</f>
        <v/>
      </c>
      <c r="BG128" t="str">
        <f>IF($A128="","", INDEX(CS!$B$1:$B$12939,MATCH($A128,CS!$B:$B,0)+COLUMN(J$1),1))</f>
        <v/>
      </c>
    </row>
    <row r="129" spans="3:59" x14ac:dyDescent="0.4">
      <c r="C129" t="s">
        <v>193</v>
      </c>
      <c r="D129" t="str">
        <f t="shared" si="9"/>
        <v>0/0/0</v>
      </c>
      <c r="E129">
        <v>1</v>
      </c>
      <c r="AX129" t="str">
        <f>IF($A129="","", INDEX(CS!$B$1:$B$12939,MATCH($A129,CS!$B:$B,0)+COLUMN(A$1),1))</f>
        <v/>
      </c>
      <c r="AY129" t="str">
        <f>IF($A129="","", INDEX(CS!$B$1:$B$12939,MATCH($A129,CS!$B:$B,0)+COLUMN(B$1),1))</f>
        <v/>
      </c>
      <c r="AZ129" t="str">
        <f>IF($A129="","", INDEX(CS!$B$1:$B$12939,MATCH($A129,CS!$B:$B,0)+COLUMN(C$1),1))</f>
        <v/>
      </c>
      <c r="BA129" t="str">
        <f>IF($A129="","", INDEX(CS!$B$1:$B$12939,MATCH($A129,CS!$B:$B,0)+COLUMN(D$1),1))</f>
        <v/>
      </c>
      <c r="BB129" t="str">
        <f>IF($A129="","", INDEX(CS!$B$1:$B$12939,MATCH($A129,CS!$B:$B,0)+COLUMN(E$1),1))</f>
        <v/>
      </c>
      <c r="BC129" t="str">
        <f>IF($A129="","", INDEX(CS!$B$1:$B$12939,MATCH($A129,CS!$B:$B,0)+COLUMN(F$1),1))</f>
        <v/>
      </c>
      <c r="BD129" t="str">
        <f>IF($A129="","", INDEX(CS!$B$1:$B$12939,MATCH($A129,CS!$B:$B,0)+COLUMN(G$1),1))</f>
        <v/>
      </c>
      <c r="BE129" t="str">
        <f>IF($A129="","", INDEX(CS!$B$1:$B$12939,MATCH($A129,CS!$B:$B,0)+COLUMN(H$1),1))</f>
        <v/>
      </c>
      <c r="BF129" t="str">
        <f>IF($A129="","", INDEX(CS!$B$1:$B$12939,MATCH($A129,CS!$B:$B,0)+COLUMN(I$1),1))</f>
        <v/>
      </c>
      <c r="BG129" t="str">
        <f>IF($A129="","", INDEX(CS!$B$1:$B$12939,MATCH($A129,CS!$B:$B,0)+COLUMN(J$1),1))</f>
        <v/>
      </c>
    </row>
    <row r="130" spans="3:59" x14ac:dyDescent="0.4">
      <c r="C130" t="s">
        <v>193</v>
      </c>
      <c r="D130" t="str">
        <f t="shared" si="9"/>
        <v>0/0/0</v>
      </c>
      <c r="E130">
        <v>1</v>
      </c>
      <c r="AX130" t="str">
        <f>IF($A130="","", INDEX(CS!$B$1:$B$12939,MATCH($A130,CS!$B:$B,0)+COLUMN(A$1),1))</f>
        <v/>
      </c>
      <c r="AY130" t="str">
        <f>IF($A130="","", INDEX(CS!$B$1:$B$12939,MATCH($A130,CS!$B:$B,0)+COLUMN(B$1),1))</f>
        <v/>
      </c>
      <c r="AZ130" t="str">
        <f>IF($A130="","", INDEX(CS!$B$1:$B$12939,MATCH($A130,CS!$B:$B,0)+COLUMN(C$1),1))</f>
        <v/>
      </c>
      <c r="BA130" t="str">
        <f>IF($A130="","", INDEX(CS!$B$1:$B$12939,MATCH($A130,CS!$B:$B,0)+COLUMN(D$1),1))</f>
        <v/>
      </c>
      <c r="BB130" t="str">
        <f>IF($A130="","", INDEX(CS!$B$1:$B$12939,MATCH($A130,CS!$B:$B,0)+COLUMN(E$1),1))</f>
        <v/>
      </c>
      <c r="BC130" t="str">
        <f>IF($A130="","", INDEX(CS!$B$1:$B$12939,MATCH($A130,CS!$B:$B,0)+COLUMN(F$1),1))</f>
        <v/>
      </c>
      <c r="BD130" t="str">
        <f>IF($A130="","", INDEX(CS!$B$1:$B$12939,MATCH($A130,CS!$B:$B,0)+COLUMN(G$1),1))</f>
        <v/>
      </c>
      <c r="BE130" t="str">
        <f>IF($A130="","", INDEX(CS!$B$1:$B$12939,MATCH($A130,CS!$B:$B,0)+COLUMN(H$1),1))</f>
        <v/>
      </c>
      <c r="BF130" t="str">
        <f>IF($A130="","", INDEX(CS!$B$1:$B$12939,MATCH($A130,CS!$B:$B,0)+COLUMN(I$1),1))</f>
        <v/>
      </c>
      <c r="BG130" t="str">
        <f>IF($A130="","", INDEX(CS!$B$1:$B$12939,MATCH($A130,CS!$B:$B,0)+COLUMN(J$1),1))</f>
        <v/>
      </c>
    </row>
    <row r="131" spans="3:59" x14ac:dyDescent="0.4">
      <c r="C131" t="s">
        <v>193</v>
      </c>
      <c r="D131" t="str">
        <f t="shared" si="9"/>
        <v>0/0/0</v>
      </c>
      <c r="E131">
        <v>1</v>
      </c>
      <c r="AX131" t="str">
        <f>IF($A131="","", INDEX(CS!$B$1:$B$12939,MATCH($A131,CS!$B:$B,0)+COLUMN(A$1),1))</f>
        <v/>
      </c>
      <c r="AY131" t="str">
        <f>IF($A131="","", INDEX(CS!$B$1:$B$12939,MATCH($A131,CS!$B:$B,0)+COLUMN(B$1),1))</f>
        <v/>
      </c>
      <c r="AZ131" t="str">
        <f>IF($A131="","", INDEX(CS!$B$1:$B$12939,MATCH($A131,CS!$B:$B,0)+COLUMN(C$1),1))</f>
        <v/>
      </c>
      <c r="BA131" t="str">
        <f>IF($A131="","", INDEX(CS!$B$1:$B$12939,MATCH($A131,CS!$B:$B,0)+COLUMN(D$1),1))</f>
        <v/>
      </c>
      <c r="BB131" t="str">
        <f>IF($A131="","", INDEX(CS!$B$1:$B$12939,MATCH($A131,CS!$B:$B,0)+COLUMN(E$1),1))</f>
        <v/>
      </c>
      <c r="BC131" t="str">
        <f>IF($A131="","", INDEX(CS!$B$1:$B$12939,MATCH($A131,CS!$B:$B,0)+COLUMN(F$1),1))</f>
        <v/>
      </c>
      <c r="BD131" t="str">
        <f>IF($A131="","", INDEX(CS!$B$1:$B$12939,MATCH($A131,CS!$B:$B,0)+COLUMN(G$1),1))</f>
        <v/>
      </c>
      <c r="BE131" t="str">
        <f>IF($A131="","", INDEX(CS!$B$1:$B$12939,MATCH($A131,CS!$B:$B,0)+COLUMN(H$1),1))</f>
        <v/>
      </c>
      <c r="BF131" t="str">
        <f>IF($A131="","", INDEX(CS!$B$1:$B$12939,MATCH($A131,CS!$B:$B,0)+COLUMN(I$1),1))</f>
        <v/>
      </c>
      <c r="BG131" t="str">
        <f>IF($A131="","", INDEX(CS!$B$1:$B$12939,MATCH($A131,CS!$B:$B,0)+COLUMN(J$1),1))</f>
        <v/>
      </c>
    </row>
    <row r="132" spans="3:59" x14ac:dyDescent="0.4">
      <c r="C132" t="s">
        <v>193</v>
      </c>
      <c r="D132" t="str">
        <f t="shared" si="9"/>
        <v>0/0/0</v>
      </c>
      <c r="E132">
        <v>1</v>
      </c>
      <c r="AX132" t="str">
        <f>IF($A132="","", INDEX(CS!$B$1:$B$12939,MATCH($A132,CS!$B:$B,0)+COLUMN(A$1),1))</f>
        <v/>
      </c>
      <c r="AY132" t="str">
        <f>IF($A132="","", INDEX(CS!$B$1:$B$12939,MATCH($A132,CS!$B:$B,0)+COLUMN(B$1),1))</f>
        <v/>
      </c>
      <c r="AZ132" t="str">
        <f>IF($A132="","", INDEX(CS!$B$1:$B$12939,MATCH($A132,CS!$B:$B,0)+COLUMN(C$1),1))</f>
        <v/>
      </c>
      <c r="BA132" t="str">
        <f>IF($A132="","", INDEX(CS!$B$1:$B$12939,MATCH($A132,CS!$B:$B,0)+COLUMN(D$1),1))</f>
        <v/>
      </c>
      <c r="BB132" t="str">
        <f>IF($A132="","", INDEX(CS!$B$1:$B$12939,MATCH($A132,CS!$B:$B,0)+COLUMN(E$1),1))</f>
        <v/>
      </c>
      <c r="BC132" t="str">
        <f>IF($A132="","", INDEX(CS!$B$1:$B$12939,MATCH($A132,CS!$B:$B,0)+COLUMN(F$1),1))</f>
        <v/>
      </c>
      <c r="BD132" t="str">
        <f>IF($A132="","", INDEX(CS!$B$1:$B$12939,MATCH($A132,CS!$B:$B,0)+COLUMN(G$1),1))</f>
        <v/>
      </c>
      <c r="BE132" t="str">
        <f>IF($A132="","", INDEX(CS!$B$1:$B$12939,MATCH($A132,CS!$B:$B,0)+COLUMN(H$1),1))</f>
        <v/>
      </c>
      <c r="BF132" t="str">
        <f>IF($A132="","", INDEX(CS!$B$1:$B$12939,MATCH($A132,CS!$B:$B,0)+COLUMN(I$1),1))</f>
        <v/>
      </c>
      <c r="BG132" t="str">
        <f>IF($A132="","", INDEX(CS!$B$1:$B$12939,MATCH($A132,CS!$B:$B,0)+COLUMN(J$1),1))</f>
        <v/>
      </c>
    </row>
    <row r="133" spans="3:59" x14ac:dyDescent="0.4">
      <c r="C133" t="s">
        <v>193</v>
      </c>
      <c r="D133" t="str">
        <f t="shared" si="9"/>
        <v>0/0/0</v>
      </c>
      <c r="E133">
        <v>1</v>
      </c>
      <c r="AX133" t="str">
        <f>IF($A133="","", INDEX(CS!$B$1:$B$12939,MATCH($A133,CS!$B:$B,0)+COLUMN(A$1),1))</f>
        <v/>
      </c>
      <c r="AY133" t="str">
        <f>IF($A133="","", INDEX(CS!$B$1:$B$12939,MATCH($A133,CS!$B:$B,0)+COLUMN(B$1),1))</f>
        <v/>
      </c>
      <c r="AZ133" t="str">
        <f>IF($A133="","", INDEX(CS!$B$1:$B$12939,MATCH($A133,CS!$B:$B,0)+COLUMN(C$1),1))</f>
        <v/>
      </c>
      <c r="BA133" t="str">
        <f>IF($A133="","", INDEX(CS!$B$1:$B$12939,MATCH($A133,CS!$B:$B,0)+COLUMN(D$1),1))</f>
        <v/>
      </c>
      <c r="BB133" t="str">
        <f>IF($A133="","", INDEX(CS!$B$1:$B$12939,MATCH($A133,CS!$B:$B,0)+COLUMN(E$1),1))</f>
        <v/>
      </c>
      <c r="BC133" t="str">
        <f>IF($A133="","", INDEX(CS!$B$1:$B$12939,MATCH($A133,CS!$B:$B,0)+COLUMN(F$1),1))</f>
        <v/>
      </c>
      <c r="BD133" t="str">
        <f>IF($A133="","", INDEX(CS!$B$1:$B$12939,MATCH($A133,CS!$B:$B,0)+COLUMN(G$1),1))</f>
        <v/>
      </c>
      <c r="BE133" t="str">
        <f>IF($A133="","", INDEX(CS!$B$1:$B$12939,MATCH($A133,CS!$B:$B,0)+COLUMN(H$1),1))</f>
        <v/>
      </c>
      <c r="BF133" t="str">
        <f>IF($A133="","", INDEX(CS!$B$1:$B$12939,MATCH($A133,CS!$B:$B,0)+COLUMN(I$1),1))</f>
        <v/>
      </c>
      <c r="BG133" t="str">
        <f>IF($A133="","", INDEX(CS!$B$1:$B$12939,MATCH($A133,CS!$B:$B,0)+COLUMN(J$1),1))</f>
        <v/>
      </c>
    </row>
    <row r="134" spans="3:59" x14ac:dyDescent="0.4">
      <c r="C134" t="s">
        <v>193</v>
      </c>
      <c r="D134" t="str">
        <f t="shared" si="9"/>
        <v>0/0/0</v>
      </c>
      <c r="E134">
        <v>1</v>
      </c>
      <c r="AX134" t="str">
        <f>IF($A134="","", INDEX(CS!$B$1:$B$12939,MATCH($A134,CS!$B:$B,0)+COLUMN(A$1),1))</f>
        <v/>
      </c>
      <c r="AY134" t="str">
        <f>IF($A134="","", INDEX(CS!$B$1:$B$12939,MATCH($A134,CS!$B:$B,0)+COLUMN(B$1),1))</f>
        <v/>
      </c>
      <c r="AZ134" t="str">
        <f>IF($A134="","", INDEX(CS!$B$1:$B$12939,MATCH($A134,CS!$B:$B,0)+COLUMN(C$1),1))</f>
        <v/>
      </c>
      <c r="BA134" t="str">
        <f>IF($A134="","", INDEX(CS!$B$1:$B$12939,MATCH($A134,CS!$B:$B,0)+COLUMN(D$1),1))</f>
        <v/>
      </c>
      <c r="BB134" t="str">
        <f>IF($A134="","", INDEX(CS!$B$1:$B$12939,MATCH($A134,CS!$B:$B,0)+COLUMN(E$1),1))</f>
        <v/>
      </c>
      <c r="BC134" t="str">
        <f>IF($A134="","", INDEX(CS!$B$1:$B$12939,MATCH($A134,CS!$B:$B,0)+COLUMN(F$1),1))</f>
        <v/>
      </c>
      <c r="BD134" t="str">
        <f>IF($A134="","", INDEX(CS!$B$1:$B$12939,MATCH($A134,CS!$B:$B,0)+COLUMN(G$1),1))</f>
        <v/>
      </c>
      <c r="BE134" t="str">
        <f>IF($A134="","", INDEX(CS!$B$1:$B$12939,MATCH($A134,CS!$B:$B,0)+COLUMN(H$1),1))</f>
        <v/>
      </c>
      <c r="BF134" t="str">
        <f>IF($A134="","", INDEX(CS!$B$1:$B$12939,MATCH($A134,CS!$B:$B,0)+COLUMN(I$1),1))</f>
        <v/>
      </c>
      <c r="BG134" t="str">
        <f>IF($A134="","", INDEX(CS!$B$1:$B$12939,MATCH($A134,CS!$B:$B,0)+COLUMN(J$1),1))</f>
        <v/>
      </c>
    </row>
    <row r="135" spans="3:59" x14ac:dyDescent="0.4">
      <c r="C135" t="s">
        <v>193</v>
      </c>
      <c r="D135" t="str">
        <f t="shared" si="9"/>
        <v>0/0/0</v>
      </c>
      <c r="E135">
        <v>1</v>
      </c>
      <c r="AX135" t="str">
        <f>IF($A135="","", INDEX(CS!$B$1:$B$12939,MATCH($A135,CS!$B:$B,0)+COLUMN(A$1),1))</f>
        <v/>
      </c>
      <c r="AY135" t="str">
        <f>IF($A135="","", INDEX(CS!$B$1:$B$12939,MATCH($A135,CS!$B:$B,0)+COLUMN(B$1),1))</f>
        <v/>
      </c>
      <c r="AZ135" t="str">
        <f>IF($A135="","", INDEX(CS!$B$1:$B$12939,MATCH($A135,CS!$B:$B,0)+COLUMN(C$1),1))</f>
        <v/>
      </c>
      <c r="BA135" t="str">
        <f>IF($A135="","", INDEX(CS!$B$1:$B$12939,MATCH($A135,CS!$B:$B,0)+COLUMN(D$1),1))</f>
        <v/>
      </c>
      <c r="BB135" t="str">
        <f>IF($A135="","", INDEX(CS!$B$1:$B$12939,MATCH($A135,CS!$B:$B,0)+COLUMN(E$1),1))</f>
        <v/>
      </c>
      <c r="BC135" t="str">
        <f>IF($A135="","", INDEX(CS!$B$1:$B$12939,MATCH($A135,CS!$B:$B,0)+COLUMN(F$1),1))</f>
        <v/>
      </c>
      <c r="BD135" t="str">
        <f>IF($A135="","", INDEX(CS!$B$1:$B$12939,MATCH($A135,CS!$B:$B,0)+COLUMN(G$1),1))</f>
        <v/>
      </c>
      <c r="BE135" t="str">
        <f>IF($A135="","", INDEX(CS!$B$1:$B$12939,MATCH($A135,CS!$B:$B,0)+COLUMN(H$1),1))</f>
        <v/>
      </c>
      <c r="BF135" t="str">
        <f>IF($A135="","", INDEX(CS!$B$1:$B$12939,MATCH($A135,CS!$B:$B,0)+COLUMN(I$1),1))</f>
        <v/>
      </c>
      <c r="BG135" t="str">
        <f>IF($A135="","", INDEX(CS!$B$1:$B$12939,MATCH($A135,CS!$B:$B,0)+COLUMN(J$1),1))</f>
        <v/>
      </c>
    </row>
    <row r="136" spans="3:59" x14ac:dyDescent="0.4">
      <c r="C136" t="s">
        <v>193</v>
      </c>
      <c r="D136" t="str">
        <f t="shared" si="9"/>
        <v>0/0/0</v>
      </c>
      <c r="E136">
        <v>1</v>
      </c>
      <c r="AX136" t="str">
        <f>IF($A136="","", INDEX(CS!$B$1:$B$12939,MATCH($A136,CS!$B:$B,0)+COLUMN(A$1),1))</f>
        <v/>
      </c>
      <c r="AY136" t="str">
        <f>IF($A136="","", INDEX(CS!$B$1:$B$12939,MATCH($A136,CS!$B:$B,0)+COLUMN(B$1),1))</f>
        <v/>
      </c>
      <c r="AZ136" t="str">
        <f>IF($A136="","", INDEX(CS!$B$1:$B$12939,MATCH($A136,CS!$B:$B,0)+COLUMN(C$1),1))</f>
        <v/>
      </c>
      <c r="BA136" t="str">
        <f>IF($A136="","", INDEX(CS!$B$1:$B$12939,MATCH($A136,CS!$B:$B,0)+COLUMN(D$1),1))</f>
        <v/>
      </c>
      <c r="BB136" t="str">
        <f>IF($A136="","", INDEX(CS!$B$1:$B$12939,MATCH($A136,CS!$B:$B,0)+COLUMN(E$1),1))</f>
        <v/>
      </c>
      <c r="BC136" t="str">
        <f>IF($A136="","", INDEX(CS!$B$1:$B$12939,MATCH($A136,CS!$B:$B,0)+COLUMN(F$1),1))</f>
        <v/>
      </c>
      <c r="BD136" t="str">
        <f>IF($A136="","", INDEX(CS!$B$1:$B$12939,MATCH($A136,CS!$B:$B,0)+COLUMN(G$1),1))</f>
        <v/>
      </c>
      <c r="BE136" t="str">
        <f>IF($A136="","", INDEX(CS!$B$1:$B$12939,MATCH($A136,CS!$B:$B,0)+COLUMN(H$1),1))</f>
        <v/>
      </c>
      <c r="BF136" t="str">
        <f>IF($A136="","", INDEX(CS!$B$1:$B$12939,MATCH($A136,CS!$B:$B,0)+COLUMN(I$1),1))</f>
        <v/>
      </c>
      <c r="BG136" t="str">
        <f>IF($A136="","", INDEX(CS!$B$1:$B$12939,MATCH($A136,CS!$B:$B,0)+COLUMN(J$1),1))</f>
        <v/>
      </c>
    </row>
    <row r="137" spans="3:59" x14ac:dyDescent="0.4">
      <c r="C137" t="s">
        <v>193</v>
      </c>
      <c r="D137" t="str">
        <f t="shared" si="9"/>
        <v>0/0/0</v>
      </c>
      <c r="E137">
        <v>1</v>
      </c>
      <c r="AX137" t="str">
        <f>IF($A137="","", INDEX(CS!$B$1:$B$12939,MATCH($A137,CS!$B:$B,0)+COLUMN(A$1),1))</f>
        <v/>
      </c>
      <c r="AY137" t="str">
        <f>IF($A137="","", INDEX(CS!$B$1:$B$12939,MATCH($A137,CS!$B:$B,0)+COLUMN(B$1),1))</f>
        <v/>
      </c>
      <c r="AZ137" t="str">
        <f>IF($A137="","", INDEX(CS!$B$1:$B$12939,MATCH($A137,CS!$B:$B,0)+COLUMN(C$1),1))</f>
        <v/>
      </c>
      <c r="BA137" t="str">
        <f>IF($A137="","", INDEX(CS!$B$1:$B$12939,MATCH($A137,CS!$B:$B,0)+COLUMN(D$1),1))</f>
        <v/>
      </c>
      <c r="BB137" t="str">
        <f>IF($A137="","", INDEX(CS!$B$1:$B$12939,MATCH($A137,CS!$B:$B,0)+COLUMN(E$1),1))</f>
        <v/>
      </c>
      <c r="BC137" t="str">
        <f>IF($A137="","", INDEX(CS!$B$1:$B$12939,MATCH($A137,CS!$B:$B,0)+COLUMN(F$1),1))</f>
        <v/>
      </c>
      <c r="BD137" t="str">
        <f>IF($A137="","", INDEX(CS!$B$1:$B$12939,MATCH($A137,CS!$B:$B,0)+COLUMN(G$1),1))</f>
        <v/>
      </c>
      <c r="BE137" t="str">
        <f>IF($A137="","", INDEX(CS!$B$1:$B$12939,MATCH($A137,CS!$B:$B,0)+COLUMN(H$1),1))</f>
        <v/>
      </c>
      <c r="BF137" t="str">
        <f>IF($A137="","", INDEX(CS!$B$1:$B$12939,MATCH($A137,CS!$B:$B,0)+COLUMN(I$1),1))</f>
        <v/>
      </c>
      <c r="BG137" t="str">
        <f>IF($A137="","", INDEX(CS!$B$1:$B$12939,MATCH($A137,CS!$B:$B,0)+COLUMN(J$1),1))</f>
        <v/>
      </c>
    </row>
    <row r="138" spans="3:59" x14ac:dyDescent="0.4">
      <c r="C138" t="s">
        <v>193</v>
      </c>
      <c r="D138" t="str">
        <f t="shared" si="9"/>
        <v>0/0/0</v>
      </c>
      <c r="E138">
        <v>1</v>
      </c>
      <c r="AX138" t="str">
        <f>IF($A138="","", INDEX(CS!$B$1:$B$12939,MATCH($A138,CS!$B:$B,0)+COLUMN(A$1),1))</f>
        <v/>
      </c>
      <c r="AY138" t="str">
        <f>IF($A138="","", INDEX(CS!$B$1:$B$12939,MATCH($A138,CS!$B:$B,0)+COLUMN(B$1),1))</f>
        <v/>
      </c>
      <c r="AZ138" t="str">
        <f>IF($A138="","", INDEX(CS!$B$1:$B$12939,MATCH($A138,CS!$B:$B,0)+COLUMN(C$1),1))</f>
        <v/>
      </c>
      <c r="BA138" t="str">
        <f>IF($A138="","", INDEX(CS!$B$1:$B$12939,MATCH($A138,CS!$B:$B,0)+COLUMN(D$1),1))</f>
        <v/>
      </c>
      <c r="BB138" t="str">
        <f>IF($A138="","", INDEX(CS!$B$1:$B$12939,MATCH($A138,CS!$B:$B,0)+COLUMN(E$1),1))</f>
        <v/>
      </c>
      <c r="BC138" t="str">
        <f>IF($A138="","", INDEX(CS!$B$1:$B$12939,MATCH($A138,CS!$B:$B,0)+COLUMN(F$1),1))</f>
        <v/>
      </c>
      <c r="BD138" t="str">
        <f>IF($A138="","", INDEX(CS!$B$1:$B$12939,MATCH($A138,CS!$B:$B,0)+COLUMN(G$1),1))</f>
        <v/>
      </c>
      <c r="BE138" t="str">
        <f>IF($A138="","", INDEX(CS!$B$1:$B$12939,MATCH($A138,CS!$B:$B,0)+COLUMN(H$1),1))</f>
        <v/>
      </c>
      <c r="BF138" t="str">
        <f>IF($A138="","", INDEX(CS!$B$1:$B$12939,MATCH($A138,CS!$B:$B,0)+COLUMN(I$1),1))</f>
        <v/>
      </c>
      <c r="BG138" t="str">
        <f>IF($A138="","", INDEX(CS!$B$1:$B$12939,MATCH($A138,CS!$B:$B,0)+COLUMN(J$1),1))</f>
        <v/>
      </c>
    </row>
    <row r="139" spans="3:59" x14ac:dyDescent="0.4">
      <c r="C139" t="s">
        <v>193</v>
      </c>
      <c r="D139" t="str">
        <f t="shared" si="9"/>
        <v>0/0/0</v>
      </c>
      <c r="E139">
        <v>1</v>
      </c>
      <c r="AX139" t="str">
        <f>IF($A139="","", INDEX(CS!$B$1:$B$12939,MATCH($A139,CS!$B:$B,0)+COLUMN(A$1),1))</f>
        <v/>
      </c>
      <c r="AY139" t="str">
        <f>IF($A139="","", INDEX(CS!$B$1:$B$12939,MATCH($A139,CS!$B:$B,0)+COLUMN(B$1),1))</f>
        <v/>
      </c>
      <c r="AZ139" t="str">
        <f>IF($A139="","", INDEX(CS!$B$1:$B$12939,MATCH($A139,CS!$B:$B,0)+COLUMN(C$1),1))</f>
        <v/>
      </c>
      <c r="BA139" t="str">
        <f>IF($A139="","", INDEX(CS!$B$1:$B$12939,MATCH($A139,CS!$B:$B,0)+COLUMN(D$1),1))</f>
        <v/>
      </c>
      <c r="BB139" t="str">
        <f>IF($A139="","", INDEX(CS!$B$1:$B$12939,MATCH($A139,CS!$B:$B,0)+COLUMN(E$1),1))</f>
        <v/>
      </c>
      <c r="BC139" t="str">
        <f>IF($A139="","", INDEX(CS!$B$1:$B$12939,MATCH($A139,CS!$B:$B,0)+COLUMN(F$1),1))</f>
        <v/>
      </c>
      <c r="BD139" t="str">
        <f>IF($A139="","", INDEX(CS!$B$1:$B$12939,MATCH($A139,CS!$B:$B,0)+COLUMN(G$1),1))</f>
        <v/>
      </c>
      <c r="BE139" t="str">
        <f>IF($A139="","", INDEX(CS!$B$1:$B$12939,MATCH($A139,CS!$B:$B,0)+COLUMN(H$1),1))</f>
        <v/>
      </c>
      <c r="BF139" t="str">
        <f>IF($A139="","", INDEX(CS!$B$1:$B$12939,MATCH($A139,CS!$B:$B,0)+COLUMN(I$1),1))</f>
        <v/>
      </c>
      <c r="BG139" t="str">
        <f>IF($A139="","", INDEX(CS!$B$1:$B$12939,MATCH($A139,CS!$B:$B,0)+COLUMN(J$1),1))</f>
        <v/>
      </c>
    </row>
    <row r="140" spans="3:59" x14ac:dyDescent="0.4">
      <c r="C140" t="s">
        <v>193</v>
      </c>
      <c r="D140" t="str">
        <f t="shared" si="9"/>
        <v>0/0/0</v>
      </c>
      <c r="E140">
        <v>1</v>
      </c>
      <c r="AX140" t="str">
        <f>IF($A140="","", INDEX(CS!$B$1:$B$12939,MATCH($A140,CS!$B:$B,0)+COLUMN(A$1),1))</f>
        <v/>
      </c>
      <c r="AY140" t="str">
        <f>IF($A140="","", INDEX(CS!$B$1:$B$12939,MATCH($A140,CS!$B:$B,0)+COLUMN(B$1),1))</f>
        <v/>
      </c>
      <c r="AZ140" t="str">
        <f>IF($A140="","", INDEX(CS!$B$1:$B$12939,MATCH($A140,CS!$B:$B,0)+COLUMN(C$1),1))</f>
        <v/>
      </c>
      <c r="BA140" t="str">
        <f>IF($A140="","", INDEX(CS!$B$1:$B$12939,MATCH($A140,CS!$B:$B,0)+COLUMN(D$1),1))</f>
        <v/>
      </c>
      <c r="BB140" t="str">
        <f>IF($A140="","", INDEX(CS!$B$1:$B$12939,MATCH($A140,CS!$B:$B,0)+COLUMN(E$1),1))</f>
        <v/>
      </c>
      <c r="BC140" t="str">
        <f>IF($A140="","", INDEX(CS!$B$1:$B$12939,MATCH($A140,CS!$B:$B,0)+COLUMN(F$1),1))</f>
        <v/>
      </c>
      <c r="BD140" t="str">
        <f>IF($A140="","", INDEX(CS!$B$1:$B$12939,MATCH($A140,CS!$B:$B,0)+COLUMN(G$1),1))</f>
        <v/>
      </c>
      <c r="BE140" t="str">
        <f>IF($A140="","", INDEX(CS!$B$1:$B$12939,MATCH($A140,CS!$B:$B,0)+COLUMN(H$1),1))</f>
        <v/>
      </c>
      <c r="BF140" t="str">
        <f>IF($A140="","", INDEX(CS!$B$1:$B$12939,MATCH($A140,CS!$B:$B,0)+COLUMN(I$1),1))</f>
        <v/>
      </c>
      <c r="BG140" t="str">
        <f>IF($A140="","", INDEX(CS!$B$1:$B$12939,MATCH($A140,CS!$B:$B,0)+COLUMN(J$1),1))</f>
        <v/>
      </c>
    </row>
    <row r="141" spans="3:59" x14ac:dyDescent="0.4">
      <c r="C141" t="s">
        <v>193</v>
      </c>
      <c r="D141" t="str">
        <f t="shared" si="9"/>
        <v>0/0/0</v>
      </c>
      <c r="E141">
        <v>1</v>
      </c>
      <c r="AX141" t="str">
        <f>IF($A141="","", INDEX(CS!$B$1:$B$12939,MATCH($A141,CS!$B:$B,0)+COLUMN(A$1),1))</f>
        <v/>
      </c>
      <c r="AY141" t="str">
        <f>IF($A141="","", INDEX(CS!$B$1:$B$12939,MATCH($A141,CS!$B:$B,0)+COLUMN(B$1),1))</f>
        <v/>
      </c>
      <c r="AZ141" t="str">
        <f>IF($A141="","", INDEX(CS!$B$1:$B$12939,MATCH($A141,CS!$B:$B,0)+COLUMN(C$1),1))</f>
        <v/>
      </c>
      <c r="BA141" t="str">
        <f>IF($A141="","", INDEX(CS!$B$1:$B$12939,MATCH($A141,CS!$B:$B,0)+COLUMN(D$1),1))</f>
        <v/>
      </c>
      <c r="BB141" t="str">
        <f>IF($A141="","", INDEX(CS!$B$1:$B$12939,MATCH($A141,CS!$B:$B,0)+COLUMN(E$1),1))</f>
        <v/>
      </c>
      <c r="BC141" t="str">
        <f>IF($A141="","", INDEX(CS!$B$1:$B$12939,MATCH($A141,CS!$B:$B,0)+COLUMN(F$1),1))</f>
        <v/>
      </c>
      <c r="BD141" t="str">
        <f>IF($A141="","", INDEX(CS!$B$1:$B$12939,MATCH($A141,CS!$B:$B,0)+COLUMN(G$1),1))</f>
        <v/>
      </c>
      <c r="BE141" t="str">
        <f>IF($A141="","", INDEX(CS!$B$1:$B$12939,MATCH($A141,CS!$B:$B,0)+COLUMN(H$1),1))</f>
        <v/>
      </c>
      <c r="BF141" t="str">
        <f>IF($A141="","", INDEX(CS!$B$1:$B$12939,MATCH($A141,CS!$B:$B,0)+COLUMN(I$1),1))</f>
        <v/>
      </c>
      <c r="BG141" t="str">
        <f>IF($A141="","", INDEX(CS!$B$1:$B$12939,MATCH($A141,CS!$B:$B,0)+COLUMN(J$1),1))</f>
        <v/>
      </c>
    </row>
    <row r="142" spans="3:59" x14ac:dyDescent="0.4">
      <c r="C142" t="s">
        <v>193</v>
      </c>
      <c r="D142" t="str">
        <f t="shared" si="9"/>
        <v>0/0/0</v>
      </c>
      <c r="E142">
        <v>1</v>
      </c>
      <c r="AX142" t="str">
        <f>IF($A142="","", INDEX(CS!$B$1:$B$12939,MATCH($A142,CS!$B:$B,0)+COLUMN(A$1),1))</f>
        <v/>
      </c>
      <c r="AY142" t="str">
        <f>IF($A142="","", INDEX(CS!$B$1:$B$12939,MATCH($A142,CS!$B:$B,0)+COLUMN(B$1),1))</f>
        <v/>
      </c>
      <c r="AZ142" t="str">
        <f>IF($A142="","", INDEX(CS!$B$1:$B$12939,MATCH($A142,CS!$B:$B,0)+COLUMN(C$1),1))</f>
        <v/>
      </c>
      <c r="BA142" t="str">
        <f>IF($A142="","", INDEX(CS!$B$1:$B$12939,MATCH($A142,CS!$B:$B,0)+COLUMN(D$1),1))</f>
        <v/>
      </c>
      <c r="BB142" t="str">
        <f>IF($A142="","", INDEX(CS!$B$1:$B$12939,MATCH($A142,CS!$B:$B,0)+COLUMN(E$1),1))</f>
        <v/>
      </c>
      <c r="BC142" t="str">
        <f>IF($A142="","", INDEX(CS!$B$1:$B$12939,MATCH($A142,CS!$B:$B,0)+COLUMN(F$1),1))</f>
        <v/>
      </c>
      <c r="BD142" t="str">
        <f>IF($A142="","", INDEX(CS!$B$1:$B$12939,MATCH($A142,CS!$B:$B,0)+COLUMN(G$1),1))</f>
        <v/>
      </c>
      <c r="BE142" t="str">
        <f>IF($A142="","", INDEX(CS!$B$1:$B$12939,MATCH($A142,CS!$B:$B,0)+COLUMN(H$1),1))</f>
        <v/>
      </c>
      <c r="BF142" t="str">
        <f>IF($A142="","", INDEX(CS!$B$1:$B$12939,MATCH($A142,CS!$B:$B,0)+COLUMN(I$1),1))</f>
        <v/>
      </c>
      <c r="BG142" t="str">
        <f>IF($A142="","", INDEX(CS!$B$1:$B$12939,MATCH($A142,CS!$B:$B,0)+COLUMN(J$1),1))</f>
        <v/>
      </c>
    </row>
    <row r="143" spans="3:59" x14ac:dyDescent="0.4">
      <c r="C143" t="s">
        <v>193</v>
      </c>
      <c r="D143" t="str">
        <f t="shared" si="9"/>
        <v>0/0/0</v>
      </c>
      <c r="E143">
        <v>1</v>
      </c>
      <c r="AX143" t="str">
        <f>IF($A143="","", INDEX(CS!$B$1:$B$12939,MATCH($A143,CS!$B:$B,0)+COLUMN(A$1),1))</f>
        <v/>
      </c>
      <c r="AY143" t="str">
        <f>IF($A143="","", INDEX(CS!$B$1:$B$12939,MATCH($A143,CS!$B:$B,0)+COLUMN(B$1),1))</f>
        <v/>
      </c>
      <c r="AZ143" t="str">
        <f>IF($A143="","", INDEX(CS!$B$1:$B$12939,MATCH($A143,CS!$B:$B,0)+COLUMN(C$1),1))</f>
        <v/>
      </c>
      <c r="BA143" t="str">
        <f>IF($A143="","", INDEX(CS!$B$1:$B$12939,MATCH($A143,CS!$B:$B,0)+COLUMN(D$1),1))</f>
        <v/>
      </c>
      <c r="BB143" t="str">
        <f>IF($A143="","", INDEX(CS!$B$1:$B$12939,MATCH($A143,CS!$B:$B,0)+COLUMN(E$1),1))</f>
        <v/>
      </c>
      <c r="BC143" t="str">
        <f>IF($A143="","", INDEX(CS!$B$1:$B$12939,MATCH($A143,CS!$B:$B,0)+COLUMN(F$1),1))</f>
        <v/>
      </c>
      <c r="BD143" t="str">
        <f>IF($A143="","", INDEX(CS!$B$1:$B$12939,MATCH($A143,CS!$B:$B,0)+COLUMN(G$1),1))</f>
        <v/>
      </c>
      <c r="BE143" t="str">
        <f>IF($A143="","", INDEX(CS!$B$1:$B$12939,MATCH($A143,CS!$B:$B,0)+COLUMN(H$1),1))</f>
        <v/>
      </c>
      <c r="BF143" t="str">
        <f>IF($A143="","", INDEX(CS!$B$1:$B$12939,MATCH($A143,CS!$B:$B,0)+COLUMN(I$1),1))</f>
        <v/>
      </c>
      <c r="BG143" t="str">
        <f>IF($A143="","", INDEX(CS!$B$1:$B$12939,MATCH($A143,CS!$B:$B,0)+COLUMN(J$1),1))</f>
        <v/>
      </c>
    </row>
    <row r="144" spans="3:59" x14ac:dyDescent="0.4">
      <c r="C144" t="s">
        <v>193</v>
      </c>
      <c r="D144" t="str">
        <f t="shared" si="9"/>
        <v>0/0/0</v>
      </c>
      <c r="E144">
        <v>1</v>
      </c>
      <c r="AX144" t="str">
        <f>IF($A144="","", INDEX(CS!$B$1:$B$12939,MATCH($A144,CS!$B:$B,0)+COLUMN(A$1),1))</f>
        <v/>
      </c>
      <c r="AY144" t="str">
        <f>IF($A144="","", INDEX(CS!$B$1:$B$12939,MATCH($A144,CS!$B:$B,0)+COLUMN(B$1),1))</f>
        <v/>
      </c>
      <c r="AZ144" t="str">
        <f>IF($A144="","", INDEX(CS!$B$1:$B$12939,MATCH($A144,CS!$B:$B,0)+COLUMN(C$1),1))</f>
        <v/>
      </c>
      <c r="BA144" t="str">
        <f>IF($A144="","", INDEX(CS!$B$1:$B$12939,MATCH($A144,CS!$B:$B,0)+COLUMN(D$1),1))</f>
        <v/>
      </c>
      <c r="BB144" t="str">
        <f>IF($A144="","", INDEX(CS!$B$1:$B$12939,MATCH($A144,CS!$B:$B,0)+COLUMN(E$1),1))</f>
        <v/>
      </c>
      <c r="BC144" t="str">
        <f>IF($A144="","", INDEX(CS!$B$1:$B$12939,MATCH($A144,CS!$B:$B,0)+COLUMN(F$1),1))</f>
        <v/>
      </c>
      <c r="BD144" t="str">
        <f>IF($A144="","", INDEX(CS!$B$1:$B$12939,MATCH($A144,CS!$B:$B,0)+COLUMN(G$1),1))</f>
        <v/>
      </c>
      <c r="BE144" t="str">
        <f>IF($A144="","", INDEX(CS!$B$1:$B$12939,MATCH($A144,CS!$B:$B,0)+COLUMN(H$1),1))</f>
        <v/>
      </c>
      <c r="BF144" t="str">
        <f>IF($A144="","", INDEX(CS!$B$1:$B$12939,MATCH($A144,CS!$B:$B,0)+COLUMN(I$1),1))</f>
        <v/>
      </c>
      <c r="BG144" t="str">
        <f>IF($A144="","", INDEX(CS!$B$1:$B$12939,MATCH($A144,CS!$B:$B,0)+COLUMN(J$1),1))</f>
        <v/>
      </c>
    </row>
    <row r="145" spans="3:59" x14ac:dyDescent="0.4">
      <c r="C145" t="s">
        <v>193</v>
      </c>
      <c r="D145" t="str">
        <f t="shared" si="9"/>
        <v>0/0/0</v>
      </c>
      <c r="E145">
        <v>1</v>
      </c>
      <c r="AX145" t="str">
        <f>IF($A145="","", INDEX(CS!$B$1:$B$12939,MATCH($A145,CS!$B:$B,0)+COLUMN(A$1),1))</f>
        <v/>
      </c>
      <c r="AY145" t="str">
        <f>IF($A145="","", INDEX(CS!$B$1:$B$12939,MATCH($A145,CS!$B:$B,0)+COLUMN(B$1),1))</f>
        <v/>
      </c>
      <c r="AZ145" t="str">
        <f>IF($A145="","", INDEX(CS!$B$1:$B$12939,MATCH($A145,CS!$B:$B,0)+COLUMN(C$1),1))</f>
        <v/>
      </c>
      <c r="BA145" t="str">
        <f>IF($A145="","", INDEX(CS!$B$1:$B$12939,MATCH($A145,CS!$B:$B,0)+COLUMN(D$1),1))</f>
        <v/>
      </c>
      <c r="BB145" t="str">
        <f>IF($A145="","", INDEX(CS!$B$1:$B$12939,MATCH($A145,CS!$B:$B,0)+COLUMN(E$1),1))</f>
        <v/>
      </c>
      <c r="BC145" t="str">
        <f>IF($A145="","", INDEX(CS!$B$1:$B$12939,MATCH($A145,CS!$B:$B,0)+COLUMN(F$1),1))</f>
        <v/>
      </c>
      <c r="BD145" t="str">
        <f>IF($A145="","", INDEX(CS!$B$1:$B$12939,MATCH($A145,CS!$B:$B,0)+COLUMN(G$1),1))</f>
        <v/>
      </c>
      <c r="BE145" t="str">
        <f>IF($A145="","", INDEX(CS!$B$1:$B$12939,MATCH($A145,CS!$B:$B,0)+COLUMN(H$1),1))</f>
        <v/>
      </c>
      <c r="BF145" t="str">
        <f>IF($A145="","", INDEX(CS!$B$1:$B$12939,MATCH($A145,CS!$B:$B,0)+COLUMN(I$1),1))</f>
        <v/>
      </c>
      <c r="BG145" t="str">
        <f>IF($A145="","", INDEX(CS!$B$1:$B$12939,MATCH($A145,CS!$B:$B,0)+COLUMN(J$1),1))</f>
        <v/>
      </c>
    </row>
    <row r="146" spans="3:59" x14ac:dyDescent="0.4">
      <c r="C146" t="s">
        <v>193</v>
      </c>
      <c r="D146" t="str">
        <f t="shared" si="9"/>
        <v>0/0/0</v>
      </c>
      <c r="E146">
        <v>1</v>
      </c>
      <c r="AX146" t="str">
        <f>IF($A146="","", INDEX(CS!$B$1:$B$12939,MATCH($A146,CS!$B:$B,0)+COLUMN(A$1),1))</f>
        <v/>
      </c>
      <c r="AY146" t="str">
        <f>IF($A146="","", INDEX(CS!$B$1:$B$12939,MATCH($A146,CS!$B:$B,0)+COLUMN(B$1),1))</f>
        <v/>
      </c>
      <c r="AZ146" t="str">
        <f>IF($A146="","", INDEX(CS!$B$1:$B$12939,MATCH($A146,CS!$B:$B,0)+COLUMN(C$1),1))</f>
        <v/>
      </c>
      <c r="BA146" t="str">
        <f>IF($A146="","", INDEX(CS!$B$1:$B$12939,MATCH($A146,CS!$B:$B,0)+COLUMN(D$1),1))</f>
        <v/>
      </c>
      <c r="BB146" t="str">
        <f>IF($A146="","", INDEX(CS!$B$1:$B$12939,MATCH($A146,CS!$B:$B,0)+COLUMN(E$1),1))</f>
        <v/>
      </c>
      <c r="BC146" t="str">
        <f>IF($A146="","", INDEX(CS!$B$1:$B$12939,MATCH($A146,CS!$B:$B,0)+COLUMN(F$1),1))</f>
        <v/>
      </c>
      <c r="BD146" t="str">
        <f>IF($A146="","", INDEX(CS!$B$1:$B$12939,MATCH($A146,CS!$B:$B,0)+COLUMN(G$1),1))</f>
        <v/>
      </c>
      <c r="BE146" t="str">
        <f>IF($A146="","", INDEX(CS!$B$1:$B$12939,MATCH($A146,CS!$B:$B,0)+COLUMN(H$1),1))</f>
        <v/>
      </c>
      <c r="BF146" t="str">
        <f>IF($A146="","", INDEX(CS!$B$1:$B$12939,MATCH($A146,CS!$B:$B,0)+COLUMN(I$1),1))</f>
        <v/>
      </c>
      <c r="BG146" t="str">
        <f>IF($A146="","", INDEX(CS!$B$1:$B$12939,MATCH($A146,CS!$B:$B,0)+COLUMN(J$1),1))</f>
        <v/>
      </c>
    </row>
    <row r="147" spans="3:59" x14ac:dyDescent="0.4">
      <c r="C147" t="s">
        <v>193</v>
      </c>
      <c r="D147" t="str">
        <f t="shared" si="9"/>
        <v>0/0/0</v>
      </c>
      <c r="E147">
        <v>1</v>
      </c>
      <c r="AX147" t="str">
        <f>IF($A147="","", INDEX(CS!$B$1:$B$12939,MATCH($A147,CS!$B:$B,0)+COLUMN(A$1),1))</f>
        <v/>
      </c>
      <c r="AY147" t="str">
        <f>IF($A147="","", INDEX(CS!$B$1:$B$12939,MATCH($A147,CS!$B:$B,0)+COLUMN(B$1),1))</f>
        <v/>
      </c>
      <c r="AZ147" t="str">
        <f>IF($A147="","", INDEX(CS!$B$1:$B$12939,MATCH($A147,CS!$B:$B,0)+COLUMN(C$1),1))</f>
        <v/>
      </c>
      <c r="BA147" t="str">
        <f>IF($A147="","", INDEX(CS!$B$1:$B$12939,MATCH($A147,CS!$B:$B,0)+COLUMN(D$1),1))</f>
        <v/>
      </c>
      <c r="BB147" t="str">
        <f>IF($A147="","", INDEX(CS!$B$1:$B$12939,MATCH($A147,CS!$B:$B,0)+COLUMN(E$1),1))</f>
        <v/>
      </c>
      <c r="BC147" t="str">
        <f>IF($A147="","", INDEX(CS!$B$1:$B$12939,MATCH($A147,CS!$B:$B,0)+COLUMN(F$1),1))</f>
        <v/>
      </c>
      <c r="BD147" t="str">
        <f>IF($A147="","", INDEX(CS!$B$1:$B$12939,MATCH($A147,CS!$B:$B,0)+COLUMN(G$1),1))</f>
        <v/>
      </c>
      <c r="BE147" t="str">
        <f>IF($A147="","", INDEX(CS!$B$1:$B$12939,MATCH($A147,CS!$B:$B,0)+COLUMN(H$1),1))</f>
        <v/>
      </c>
      <c r="BF147" t="str">
        <f>IF($A147="","", INDEX(CS!$B$1:$B$12939,MATCH($A147,CS!$B:$B,0)+COLUMN(I$1),1))</f>
        <v/>
      </c>
      <c r="BG147" t="str">
        <f>IF($A147="","", INDEX(CS!$B$1:$B$12939,MATCH($A147,CS!$B:$B,0)+COLUMN(J$1),1))</f>
        <v/>
      </c>
    </row>
    <row r="148" spans="3:59" x14ac:dyDescent="0.4">
      <c r="C148" t="s">
        <v>193</v>
      </c>
      <c r="D148" t="str">
        <f t="shared" si="9"/>
        <v>0/0/0</v>
      </c>
      <c r="E148">
        <v>1</v>
      </c>
      <c r="AX148" t="str">
        <f>IF($A148="","", INDEX(CS!$B$1:$B$12939,MATCH($A148,CS!$B:$B,0)+COLUMN(A$1),1))</f>
        <v/>
      </c>
      <c r="AY148" t="str">
        <f>IF($A148="","", INDEX(CS!$B$1:$B$12939,MATCH($A148,CS!$B:$B,0)+COLUMN(B$1),1))</f>
        <v/>
      </c>
      <c r="AZ148" t="str">
        <f>IF($A148="","", INDEX(CS!$B$1:$B$12939,MATCH($A148,CS!$B:$B,0)+COLUMN(C$1),1))</f>
        <v/>
      </c>
      <c r="BA148" t="str">
        <f>IF($A148="","", INDEX(CS!$B$1:$B$12939,MATCH($A148,CS!$B:$B,0)+COLUMN(D$1),1))</f>
        <v/>
      </c>
      <c r="BB148" t="str">
        <f>IF($A148="","", INDEX(CS!$B$1:$B$12939,MATCH($A148,CS!$B:$B,0)+COLUMN(E$1),1))</f>
        <v/>
      </c>
      <c r="BC148" t="str">
        <f>IF($A148="","", INDEX(CS!$B$1:$B$12939,MATCH($A148,CS!$B:$B,0)+COLUMN(F$1),1))</f>
        <v/>
      </c>
      <c r="BD148" t="str">
        <f>IF($A148="","", INDEX(CS!$B$1:$B$12939,MATCH($A148,CS!$B:$B,0)+COLUMN(G$1),1))</f>
        <v/>
      </c>
      <c r="BE148" t="str">
        <f>IF($A148="","", INDEX(CS!$B$1:$B$12939,MATCH($A148,CS!$B:$B,0)+COLUMN(H$1),1))</f>
        <v/>
      </c>
      <c r="BF148" t="str">
        <f>IF($A148="","", INDEX(CS!$B$1:$B$12939,MATCH($A148,CS!$B:$B,0)+COLUMN(I$1),1))</f>
        <v/>
      </c>
      <c r="BG148" t="str">
        <f>IF($A148="","", INDEX(CS!$B$1:$B$12939,MATCH($A148,CS!$B:$B,0)+COLUMN(J$1),1))</f>
        <v/>
      </c>
    </row>
    <row r="149" spans="3:59" x14ac:dyDescent="0.4">
      <c r="C149" t="s">
        <v>193</v>
      </c>
      <c r="D149" t="str">
        <f t="shared" si="9"/>
        <v>0/0/0</v>
      </c>
      <c r="E149">
        <v>1</v>
      </c>
      <c r="AX149" t="str">
        <f>IF($A149="","", INDEX(CS!$B$1:$B$12939,MATCH($A149,CS!$B:$B,0)+COLUMN(A$1),1))</f>
        <v/>
      </c>
      <c r="AY149" t="str">
        <f>IF($A149="","", INDEX(CS!$B$1:$B$12939,MATCH($A149,CS!$B:$B,0)+COLUMN(B$1),1))</f>
        <v/>
      </c>
      <c r="AZ149" t="str">
        <f>IF($A149="","", INDEX(CS!$B$1:$B$12939,MATCH($A149,CS!$B:$B,0)+COLUMN(C$1),1))</f>
        <v/>
      </c>
      <c r="BA149" t="str">
        <f>IF($A149="","", INDEX(CS!$B$1:$B$12939,MATCH($A149,CS!$B:$B,0)+COLUMN(D$1),1))</f>
        <v/>
      </c>
      <c r="BB149" t="str">
        <f>IF($A149="","", INDEX(CS!$B$1:$B$12939,MATCH($A149,CS!$B:$B,0)+COLUMN(E$1),1))</f>
        <v/>
      </c>
      <c r="BC149" t="str">
        <f>IF($A149="","", INDEX(CS!$B$1:$B$12939,MATCH($A149,CS!$B:$B,0)+COLUMN(F$1),1))</f>
        <v/>
      </c>
      <c r="BD149" t="str">
        <f>IF($A149="","", INDEX(CS!$B$1:$B$12939,MATCH($A149,CS!$B:$B,0)+COLUMN(G$1),1))</f>
        <v/>
      </c>
      <c r="BE149" t="str">
        <f>IF($A149="","", INDEX(CS!$B$1:$B$12939,MATCH($A149,CS!$B:$B,0)+COLUMN(H$1),1))</f>
        <v/>
      </c>
      <c r="BF149" t="str">
        <f>IF($A149="","", INDEX(CS!$B$1:$B$12939,MATCH($A149,CS!$B:$B,0)+COLUMN(I$1),1))</f>
        <v/>
      </c>
      <c r="BG149" t="str">
        <f>IF($A149="","", INDEX(CS!$B$1:$B$12939,MATCH($A149,CS!$B:$B,0)+COLUMN(J$1),1))</f>
        <v/>
      </c>
    </row>
    <row r="150" spans="3:59" x14ac:dyDescent="0.4">
      <c r="C150" t="s">
        <v>193</v>
      </c>
      <c r="D150" t="str">
        <f t="shared" si="9"/>
        <v>0/0/0</v>
      </c>
      <c r="E150">
        <v>1</v>
      </c>
      <c r="AX150" t="str">
        <f>IF($A150="","", INDEX(CS!$B$1:$B$12939,MATCH($A150,CS!$B:$B,0)+COLUMN(A$1),1))</f>
        <v/>
      </c>
      <c r="AY150" t="str">
        <f>IF($A150="","", INDEX(CS!$B$1:$B$12939,MATCH($A150,CS!$B:$B,0)+COLUMN(B$1),1))</f>
        <v/>
      </c>
      <c r="AZ150" t="str">
        <f>IF($A150="","", INDEX(CS!$B$1:$B$12939,MATCH($A150,CS!$B:$B,0)+COLUMN(C$1),1))</f>
        <v/>
      </c>
      <c r="BA150" t="str">
        <f>IF($A150="","", INDEX(CS!$B$1:$B$12939,MATCH($A150,CS!$B:$B,0)+COLUMN(D$1),1))</f>
        <v/>
      </c>
      <c r="BB150" t="str">
        <f>IF($A150="","", INDEX(CS!$B$1:$B$12939,MATCH($A150,CS!$B:$B,0)+COLUMN(E$1),1))</f>
        <v/>
      </c>
      <c r="BC150" t="str">
        <f>IF($A150="","", INDEX(CS!$B$1:$B$12939,MATCH($A150,CS!$B:$B,0)+COLUMN(F$1),1))</f>
        <v/>
      </c>
      <c r="BD150" t="str">
        <f>IF($A150="","", INDEX(CS!$B$1:$B$12939,MATCH($A150,CS!$B:$B,0)+COLUMN(G$1),1))</f>
        <v/>
      </c>
      <c r="BE150" t="str">
        <f>IF($A150="","", INDEX(CS!$B$1:$B$12939,MATCH($A150,CS!$B:$B,0)+COLUMN(H$1),1))</f>
        <v/>
      </c>
      <c r="BF150" t="str">
        <f>IF($A150="","", INDEX(CS!$B$1:$B$12939,MATCH($A150,CS!$B:$B,0)+COLUMN(I$1),1))</f>
        <v/>
      </c>
      <c r="BG150" t="str">
        <f>IF($A150="","", INDEX(CS!$B$1:$B$12939,MATCH($A150,CS!$B:$B,0)+COLUMN(J$1),1))</f>
        <v/>
      </c>
    </row>
    <row r="151" spans="3:59" x14ac:dyDescent="0.4">
      <c r="C151" t="s">
        <v>193</v>
      </c>
      <c r="D151" t="str">
        <f t="shared" si="9"/>
        <v>0/0/0</v>
      </c>
      <c r="E151">
        <v>1</v>
      </c>
      <c r="AX151" t="str">
        <f>IF($A151="","", INDEX(CS!$B$1:$B$12939,MATCH($A151,CS!$B:$B,0)+COLUMN(A$1),1))</f>
        <v/>
      </c>
      <c r="AY151" t="str">
        <f>IF($A151="","", INDEX(CS!$B$1:$B$12939,MATCH($A151,CS!$B:$B,0)+COLUMN(B$1),1))</f>
        <v/>
      </c>
      <c r="AZ151" t="str">
        <f>IF($A151="","", INDEX(CS!$B$1:$B$12939,MATCH($A151,CS!$B:$B,0)+COLUMN(C$1),1))</f>
        <v/>
      </c>
      <c r="BA151" t="str">
        <f>IF($A151="","", INDEX(CS!$B$1:$B$12939,MATCH($A151,CS!$B:$B,0)+COLUMN(D$1),1))</f>
        <v/>
      </c>
      <c r="BB151" t="str">
        <f>IF($A151="","", INDEX(CS!$B$1:$B$12939,MATCH($A151,CS!$B:$B,0)+COLUMN(E$1),1))</f>
        <v/>
      </c>
      <c r="BC151" t="str">
        <f>IF($A151="","", INDEX(CS!$B$1:$B$12939,MATCH($A151,CS!$B:$B,0)+COLUMN(F$1),1))</f>
        <v/>
      </c>
      <c r="BD151" t="str">
        <f>IF($A151="","", INDEX(CS!$B$1:$B$12939,MATCH($A151,CS!$B:$B,0)+COLUMN(G$1),1))</f>
        <v/>
      </c>
      <c r="BE151" t="str">
        <f>IF($A151="","", INDEX(CS!$B$1:$B$12939,MATCH($A151,CS!$B:$B,0)+COLUMN(H$1),1))</f>
        <v/>
      </c>
      <c r="BF151" t="str">
        <f>IF($A151="","", INDEX(CS!$B$1:$B$12939,MATCH($A151,CS!$B:$B,0)+COLUMN(I$1),1))</f>
        <v/>
      </c>
      <c r="BG151" t="str">
        <f>IF($A151="","", INDEX(CS!$B$1:$B$12939,MATCH($A151,CS!$B:$B,0)+COLUMN(J$1),1))</f>
        <v/>
      </c>
    </row>
    <row r="152" spans="3:59" x14ac:dyDescent="0.4">
      <c r="C152" t="s">
        <v>193</v>
      </c>
      <c r="D152" t="str">
        <f t="shared" si="9"/>
        <v>0/0/0</v>
      </c>
      <c r="E152">
        <v>1</v>
      </c>
      <c r="AX152" t="str">
        <f>IF($A152="","", INDEX(CS!$B$1:$B$12939,MATCH($A152,CS!$B:$B,0)+COLUMN(A$1),1))</f>
        <v/>
      </c>
      <c r="AY152" t="str">
        <f>IF($A152="","", INDEX(CS!$B$1:$B$12939,MATCH($A152,CS!$B:$B,0)+COLUMN(B$1),1))</f>
        <v/>
      </c>
      <c r="AZ152" t="str">
        <f>IF($A152="","", INDEX(CS!$B$1:$B$12939,MATCH($A152,CS!$B:$B,0)+COLUMN(C$1),1))</f>
        <v/>
      </c>
      <c r="BA152" t="str">
        <f>IF($A152="","", INDEX(CS!$B$1:$B$12939,MATCH($A152,CS!$B:$B,0)+COLUMN(D$1),1))</f>
        <v/>
      </c>
      <c r="BB152" t="str">
        <f>IF($A152="","", INDEX(CS!$B$1:$B$12939,MATCH($A152,CS!$B:$B,0)+COLUMN(E$1),1))</f>
        <v/>
      </c>
      <c r="BC152" t="str">
        <f>IF($A152="","", INDEX(CS!$B$1:$B$12939,MATCH($A152,CS!$B:$B,0)+COLUMN(F$1),1))</f>
        <v/>
      </c>
      <c r="BD152" t="str">
        <f>IF($A152="","", INDEX(CS!$B$1:$B$12939,MATCH($A152,CS!$B:$B,0)+COLUMN(G$1),1))</f>
        <v/>
      </c>
      <c r="BE152" t="str">
        <f>IF($A152="","", INDEX(CS!$B$1:$B$12939,MATCH($A152,CS!$B:$B,0)+COLUMN(H$1),1))</f>
        <v/>
      </c>
      <c r="BF152" t="str">
        <f>IF($A152="","", INDEX(CS!$B$1:$B$12939,MATCH($A152,CS!$B:$B,0)+COLUMN(I$1),1))</f>
        <v/>
      </c>
      <c r="BG152" t="str">
        <f>IF($A152="","", INDEX(CS!$B$1:$B$12939,MATCH($A152,CS!$B:$B,0)+COLUMN(J$1),1))</f>
        <v/>
      </c>
    </row>
    <row r="153" spans="3:59" x14ac:dyDescent="0.4">
      <c r="C153" t="s">
        <v>193</v>
      </c>
      <c r="D153" t="str">
        <f t="shared" si="9"/>
        <v>0/0/0</v>
      </c>
      <c r="E153">
        <v>1</v>
      </c>
      <c r="AX153" t="str">
        <f>IF($A153="","", INDEX(CS!$B$1:$B$12939,MATCH($A153,CS!$B:$B,0)+COLUMN(A$1),1))</f>
        <v/>
      </c>
      <c r="AY153" t="str">
        <f>IF($A153="","", INDEX(CS!$B$1:$B$12939,MATCH($A153,CS!$B:$B,0)+COLUMN(B$1),1))</f>
        <v/>
      </c>
      <c r="AZ153" t="str">
        <f>IF($A153="","", INDEX(CS!$B$1:$B$12939,MATCH($A153,CS!$B:$B,0)+COLUMN(C$1),1))</f>
        <v/>
      </c>
      <c r="BA153" t="str">
        <f>IF($A153="","", INDEX(CS!$B$1:$B$12939,MATCH($A153,CS!$B:$B,0)+COLUMN(D$1),1))</f>
        <v/>
      </c>
      <c r="BB153" t="str">
        <f>IF($A153="","", INDEX(CS!$B$1:$B$12939,MATCH($A153,CS!$B:$B,0)+COLUMN(E$1),1))</f>
        <v/>
      </c>
      <c r="BC153" t="str">
        <f>IF($A153="","", INDEX(CS!$B$1:$B$12939,MATCH($A153,CS!$B:$B,0)+COLUMN(F$1),1))</f>
        <v/>
      </c>
      <c r="BD153" t="str">
        <f>IF($A153="","", INDEX(CS!$B$1:$B$12939,MATCH($A153,CS!$B:$B,0)+COLUMN(G$1),1))</f>
        <v/>
      </c>
      <c r="BE153" t="str">
        <f>IF($A153="","", INDEX(CS!$B$1:$B$12939,MATCH($A153,CS!$B:$B,0)+COLUMN(H$1),1))</f>
        <v/>
      </c>
      <c r="BF153" t="str">
        <f>IF($A153="","", INDEX(CS!$B$1:$B$12939,MATCH($A153,CS!$B:$B,0)+COLUMN(I$1),1))</f>
        <v/>
      </c>
      <c r="BG153" t="str">
        <f>IF($A153="","", INDEX(CS!$B$1:$B$12939,MATCH($A153,CS!$B:$B,0)+COLUMN(J$1),1))</f>
        <v/>
      </c>
    </row>
    <row r="154" spans="3:59" x14ac:dyDescent="0.4">
      <c r="C154" t="s">
        <v>193</v>
      </c>
      <c r="D154" t="str">
        <f t="shared" si="9"/>
        <v>0/0/0</v>
      </c>
      <c r="E154">
        <v>1</v>
      </c>
      <c r="AX154" t="str">
        <f>IF($A154="","", INDEX(CS!$B$1:$B$12939,MATCH($A154,CS!$B:$B,0)+COLUMN(A$1),1))</f>
        <v/>
      </c>
      <c r="AY154" t="str">
        <f>IF($A154="","", INDEX(CS!$B$1:$B$12939,MATCH($A154,CS!$B:$B,0)+COLUMN(B$1),1))</f>
        <v/>
      </c>
      <c r="AZ154" t="str">
        <f>IF($A154="","", INDEX(CS!$B$1:$B$12939,MATCH($A154,CS!$B:$B,0)+COLUMN(C$1),1))</f>
        <v/>
      </c>
      <c r="BA154" t="str">
        <f>IF($A154="","", INDEX(CS!$B$1:$B$12939,MATCH($A154,CS!$B:$B,0)+COLUMN(D$1),1))</f>
        <v/>
      </c>
      <c r="BB154" t="str">
        <f>IF($A154="","", INDEX(CS!$B$1:$B$12939,MATCH($A154,CS!$B:$B,0)+COLUMN(E$1),1))</f>
        <v/>
      </c>
      <c r="BC154" t="str">
        <f>IF($A154="","", INDEX(CS!$B$1:$B$12939,MATCH($A154,CS!$B:$B,0)+COLUMN(F$1),1))</f>
        <v/>
      </c>
      <c r="BD154" t="str">
        <f>IF($A154="","", INDEX(CS!$B$1:$B$12939,MATCH($A154,CS!$B:$B,0)+COLUMN(G$1),1))</f>
        <v/>
      </c>
      <c r="BE154" t="str">
        <f>IF($A154="","", INDEX(CS!$B$1:$B$12939,MATCH($A154,CS!$B:$B,0)+COLUMN(H$1),1))</f>
        <v/>
      </c>
      <c r="BF154" t="str">
        <f>IF($A154="","", INDEX(CS!$B$1:$B$12939,MATCH($A154,CS!$B:$B,0)+COLUMN(I$1),1))</f>
        <v/>
      </c>
      <c r="BG154" t="str">
        <f>IF($A154="","", INDEX(CS!$B$1:$B$12939,MATCH($A154,CS!$B:$B,0)+COLUMN(J$1),1))</f>
        <v/>
      </c>
    </row>
    <row r="155" spans="3:59" x14ac:dyDescent="0.4">
      <c r="C155" t="s">
        <v>193</v>
      </c>
      <c r="D155" t="str">
        <f t="shared" si="9"/>
        <v>0/0/0</v>
      </c>
      <c r="E155">
        <v>1</v>
      </c>
      <c r="AX155" t="str">
        <f>IF($A155="","", INDEX(CS!$B$1:$B$12939,MATCH($A155,CS!$B:$B,0)+COLUMN(A$1),1))</f>
        <v/>
      </c>
      <c r="AY155" t="str">
        <f>IF($A155="","", INDEX(CS!$B$1:$B$12939,MATCH($A155,CS!$B:$B,0)+COLUMN(B$1),1))</f>
        <v/>
      </c>
      <c r="AZ155" t="str">
        <f>IF($A155="","", INDEX(CS!$B$1:$B$12939,MATCH($A155,CS!$B:$B,0)+COLUMN(C$1),1))</f>
        <v/>
      </c>
      <c r="BA155" t="str">
        <f>IF($A155="","", INDEX(CS!$B$1:$B$12939,MATCH($A155,CS!$B:$B,0)+COLUMN(D$1),1))</f>
        <v/>
      </c>
      <c r="BB155" t="str">
        <f>IF($A155="","", INDEX(CS!$B$1:$B$12939,MATCH($A155,CS!$B:$B,0)+COLUMN(E$1),1))</f>
        <v/>
      </c>
      <c r="BC155" t="str">
        <f>IF($A155="","", INDEX(CS!$B$1:$B$12939,MATCH($A155,CS!$B:$B,0)+COLUMN(F$1),1))</f>
        <v/>
      </c>
      <c r="BD155" t="str">
        <f>IF($A155="","", INDEX(CS!$B$1:$B$12939,MATCH($A155,CS!$B:$B,0)+COLUMN(G$1),1))</f>
        <v/>
      </c>
      <c r="BE155" t="str">
        <f>IF($A155="","", INDEX(CS!$B$1:$B$12939,MATCH($A155,CS!$B:$B,0)+COLUMN(H$1),1))</f>
        <v/>
      </c>
      <c r="BF155" t="str">
        <f>IF($A155="","", INDEX(CS!$B$1:$B$12939,MATCH($A155,CS!$B:$B,0)+COLUMN(I$1),1))</f>
        <v/>
      </c>
      <c r="BG155" t="str">
        <f>IF($A155="","", INDEX(CS!$B$1:$B$12939,MATCH($A155,CS!$B:$B,0)+COLUMN(J$1),1))</f>
        <v/>
      </c>
    </row>
    <row r="156" spans="3:59" x14ac:dyDescent="0.4">
      <c r="C156" t="s">
        <v>193</v>
      </c>
      <c r="D156" t="str">
        <f t="shared" si="9"/>
        <v>0/0/0</v>
      </c>
      <c r="E156">
        <v>1</v>
      </c>
      <c r="AX156" t="str">
        <f>IF($A156="","", INDEX(CS!$B$1:$B$12939,MATCH($A156,CS!$B:$B,0)+COLUMN(A$1),1))</f>
        <v/>
      </c>
      <c r="AY156" t="str">
        <f>IF($A156="","", INDEX(CS!$B$1:$B$12939,MATCH($A156,CS!$B:$B,0)+COLUMN(B$1),1))</f>
        <v/>
      </c>
      <c r="AZ156" t="str">
        <f>IF($A156="","", INDEX(CS!$B$1:$B$12939,MATCH($A156,CS!$B:$B,0)+COLUMN(C$1),1))</f>
        <v/>
      </c>
      <c r="BA156" t="str">
        <f>IF($A156="","", INDEX(CS!$B$1:$B$12939,MATCH($A156,CS!$B:$B,0)+COLUMN(D$1),1))</f>
        <v/>
      </c>
      <c r="BB156" t="str">
        <f>IF($A156="","", INDEX(CS!$B$1:$B$12939,MATCH($A156,CS!$B:$B,0)+COLUMN(E$1),1))</f>
        <v/>
      </c>
      <c r="BC156" t="str">
        <f>IF($A156="","", INDEX(CS!$B$1:$B$12939,MATCH($A156,CS!$B:$B,0)+COLUMN(F$1),1))</f>
        <v/>
      </c>
      <c r="BD156" t="str">
        <f>IF($A156="","", INDEX(CS!$B$1:$B$12939,MATCH($A156,CS!$B:$B,0)+COLUMN(G$1),1))</f>
        <v/>
      </c>
      <c r="BE156" t="str">
        <f>IF($A156="","", INDEX(CS!$B$1:$B$12939,MATCH($A156,CS!$B:$B,0)+COLUMN(H$1),1))</f>
        <v/>
      </c>
      <c r="BF156" t="str">
        <f>IF($A156="","", INDEX(CS!$B$1:$B$12939,MATCH($A156,CS!$B:$B,0)+COLUMN(I$1),1))</f>
        <v/>
      </c>
      <c r="BG156" t="str">
        <f>IF($A156="","", INDEX(CS!$B$1:$B$12939,MATCH($A156,CS!$B:$B,0)+COLUMN(J$1),1))</f>
        <v/>
      </c>
    </row>
    <row r="157" spans="3:59" x14ac:dyDescent="0.4">
      <c r="C157" t="s">
        <v>193</v>
      </c>
      <c r="D157" t="str">
        <f t="shared" si="9"/>
        <v>0/0/0</v>
      </c>
      <c r="E157">
        <v>1</v>
      </c>
      <c r="AX157" t="str">
        <f>IF($A157="","", INDEX(CS!$B$1:$B$12939,MATCH($A157,CS!$B:$B,0)+COLUMN(A$1),1))</f>
        <v/>
      </c>
      <c r="AY157" t="str">
        <f>IF($A157="","", INDEX(CS!$B$1:$B$12939,MATCH($A157,CS!$B:$B,0)+COLUMN(B$1),1))</f>
        <v/>
      </c>
      <c r="AZ157" t="str">
        <f>IF($A157="","", INDEX(CS!$B$1:$B$12939,MATCH($A157,CS!$B:$B,0)+COLUMN(C$1),1))</f>
        <v/>
      </c>
      <c r="BA157" t="str">
        <f>IF($A157="","", INDEX(CS!$B$1:$B$12939,MATCH($A157,CS!$B:$B,0)+COLUMN(D$1),1))</f>
        <v/>
      </c>
      <c r="BB157" t="str">
        <f>IF($A157="","", INDEX(CS!$B$1:$B$12939,MATCH($A157,CS!$B:$B,0)+COLUMN(E$1),1))</f>
        <v/>
      </c>
      <c r="BC157" t="str">
        <f>IF($A157="","", INDEX(CS!$B$1:$B$12939,MATCH($A157,CS!$B:$B,0)+COLUMN(F$1),1))</f>
        <v/>
      </c>
      <c r="BD157" t="str">
        <f>IF($A157="","", INDEX(CS!$B$1:$B$12939,MATCH($A157,CS!$B:$B,0)+COLUMN(G$1),1))</f>
        <v/>
      </c>
      <c r="BE157" t="str">
        <f>IF($A157="","", INDEX(CS!$B$1:$B$12939,MATCH($A157,CS!$B:$B,0)+COLUMN(H$1),1))</f>
        <v/>
      </c>
      <c r="BF157" t="str">
        <f>IF($A157="","", INDEX(CS!$B$1:$B$12939,MATCH($A157,CS!$B:$B,0)+COLUMN(I$1),1))</f>
        <v/>
      </c>
      <c r="BG157" t="str">
        <f>IF($A157="","", INDEX(CS!$B$1:$B$12939,MATCH($A157,CS!$B:$B,0)+COLUMN(J$1),1))</f>
        <v/>
      </c>
    </row>
    <row r="158" spans="3:59" x14ac:dyDescent="0.4">
      <c r="C158" t="s">
        <v>193</v>
      </c>
      <c r="D158" t="str">
        <f t="shared" si="9"/>
        <v>0/0/0</v>
      </c>
      <c r="E158">
        <v>1</v>
      </c>
      <c r="AX158" t="str">
        <f>IF($A158="","", INDEX(CS!$B$1:$B$12939,MATCH($A158,CS!$B:$B,0)+COLUMN(A$1),1))</f>
        <v/>
      </c>
      <c r="AY158" t="str">
        <f>IF($A158="","", INDEX(CS!$B$1:$B$12939,MATCH($A158,CS!$B:$B,0)+COLUMN(B$1),1))</f>
        <v/>
      </c>
      <c r="AZ158" t="str">
        <f>IF($A158="","", INDEX(CS!$B$1:$B$12939,MATCH($A158,CS!$B:$B,0)+COLUMN(C$1),1))</f>
        <v/>
      </c>
      <c r="BA158" t="str">
        <f>IF($A158="","", INDEX(CS!$B$1:$B$12939,MATCH($A158,CS!$B:$B,0)+COLUMN(D$1),1))</f>
        <v/>
      </c>
      <c r="BB158" t="str">
        <f>IF($A158="","", INDEX(CS!$B$1:$B$12939,MATCH($A158,CS!$B:$B,0)+COLUMN(E$1),1))</f>
        <v/>
      </c>
      <c r="BC158" t="str">
        <f>IF($A158="","", INDEX(CS!$B$1:$B$12939,MATCH($A158,CS!$B:$B,0)+COLUMN(F$1),1))</f>
        <v/>
      </c>
      <c r="BD158" t="str">
        <f>IF($A158="","", INDEX(CS!$B$1:$B$12939,MATCH($A158,CS!$B:$B,0)+COLUMN(G$1),1))</f>
        <v/>
      </c>
      <c r="BE158" t="str">
        <f>IF($A158="","", INDEX(CS!$B$1:$B$12939,MATCH($A158,CS!$B:$B,0)+COLUMN(H$1),1))</f>
        <v/>
      </c>
      <c r="BF158" t="str">
        <f>IF($A158="","", INDEX(CS!$B$1:$B$12939,MATCH($A158,CS!$B:$B,0)+COLUMN(I$1),1))</f>
        <v/>
      </c>
      <c r="BG158" t="str">
        <f>IF($A158="","", INDEX(CS!$B$1:$B$12939,MATCH($A158,CS!$B:$B,0)+COLUMN(J$1),1))</f>
        <v/>
      </c>
    </row>
    <row r="159" spans="3:59" x14ac:dyDescent="0.4">
      <c r="C159" t="s">
        <v>193</v>
      </c>
      <c r="D159" t="str">
        <f t="shared" si="9"/>
        <v>0/0/0</v>
      </c>
      <c r="E159">
        <v>1</v>
      </c>
      <c r="AX159" t="str">
        <f>IF($A159="","", INDEX(CS!$B$1:$B$12939,MATCH($A159,CS!$B:$B,0)+COLUMN(A$1),1))</f>
        <v/>
      </c>
      <c r="AY159" t="str">
        <f>IF($A159="","", INDEX(CS!$B$1:$B$12939,MATCH($A159,CS!$B:$B,0)+COLUMN(B$1),1))</f>
        <v/>
      </c>
      <c r="AZ159" t="str">
        <f>IF($A159="","", INDEX(CS!$B$1:$B$12939,MATCH($A159,CS!$B:$B,0)+COLUMN(C$1),1))</f>
        <v/>
      </c>
      <c r="BA159" t="str">
        <f>IF($A159="","", INDEX(CS!$B$1:$B$12939,MATCH($A159,CS!$B:$B,0)+COLUMN(D$1),1))</f>
        <v/>
      </c>
      <c r="BB159" t="str">
        <f>IF($A159="","", INDEX(CS!$B$1:$B$12939,MATCH($A159,CS!$B:$B,0)+COLUMN(E$1),1))</f>
        <v/>
      </c>
      <c r="BC159" t="str">
        <f>IF($A159="","", INDEX(CS!$B$1:$B$12939,MATCH($A159,CS!$B:$B,0)+COLUMN(F$1),1))</f>
        <v/>
      </c>
      <c r="BD159" t="str">
        <f>IF($A159="","", INDEX(CS!$B$1:$B$12939,MATCH($A159,CS!$B:$B,0)+COLUMN(G$1),1))</f>
        <v/>
      </c>
      <c r="BE159" t="str">
        <f>IF($A159="","", INDEX(CS!$B$1:$B$12939,MATCH($A159,CS!$B:$B,0)+COLUMN(H$1),1))</f>
        <v/>
      </c>
      <c r="BF159" t="str">
        <f>IF($A159="","", INDEX(CS!$B$1:$B$12939,MATCH($A159,CS!$B:$B,0)+COLUMN(I$1),1))</f>
        <v/>
      </c>
      <c r="BG159" t="str">
        <f>IF($A159="","", INDEX(CS!$B$1:$B$12939,MATCH($A159,CS!$B:$B,0)+COLUMN(J$1),1))</f>
        <v/>
      </c>
    </row>
    <row r="160" spans="3:59" x14ac:dyDescent="0.4">
      <c r="C160" t="s">
        <v>193</v>
      </c>
      <c r="D160" t="str">
        <f t="shared" ref="D160:D219" si="10">SUM(AI160:AW160,F160:N160)&amp;"/"&amp;SUM(F160:N160)&amp;"/"&amp;SUM(AI160:AW160)</f>
        <v>0/0/0</v>
      </c>
      <c r="E160">
        <v>1</v>
      </c>
      <c r="AX160" t="str">
        <f>IF($A160="","", INDEX(CS!$B$1:$B$12939,MATCH($A160,CS!$B:$B,0)+COLUMN(A$1),1))</f>
        <v/>
      </c>
      <c r="AY160" t="str">
        <f>IF($A160="","", INDEX(CS!$B$1:$B$12939,MATCH($A160,CS!$B:$B,0)+COLUMN(B$1),1))</f>
        <v/>
      </c>
      <c r="AZ160" t="str">
        <f>IF($A160="","", INDEX(CS!$B$1:$B$12939,MATCH($A160,CS!$B:$B,0)+COLUMN(C$1),1))</f>
        <v/>
      </c>
      <c r="BA160" t="str">
        <f>IF($A160="","", INDEX(CS!$B$1:$B$12939,MATCH($A160,CS!$B:$B,0)+COLUMN(D$1),1))</f>
        <v/>
      </c>
      <c r="BB160" t="str">
        <f>IF($A160="","", INDEX(CS!$B$1:$B$12939,MATCH($A160,CS!$B:$B,0)+COLUMN(E$1),1))</f>
        <v/>
      </c>
      <c r="BC160" t="str">
        <f>IF($A160="","", INDEX(CS!$B$1:$B$12939,MATCH($A160,CS!$B:$B,0)+COLUMN(F$1),1))</f>
        <v/>
      </c>
      <c r="BD160" t="str">
        <f>IF($A160="","", INDEX(CS!$B$1:$B$12939,MATCH($A160,CS!$B:$B,0)+COLUMN(G$1),1))</f>
        <v/>
      </c>
      <c r="BE160" t="str">
        <f>IF($A160="","", INDEX(CS!$B$1:$B$12939,MATCH($A160,CS!$B:$B,0)+COLUMN(H$1),1))</f>
        <v/>
      </c>
      <c r="BF160" t="str">
        <f>IF($A160="","", INDEX(CS!$B$1:$B$12939,MATCH($A160,CS!$B:$B,0)+COLUMN(I$1),1))</f>
        <v/>
      </c>
      <c r="BG160" t="str">
        <f>IF($A160="","", INDEX(CS!$B$1:$B$12939,MATCH($A160,CS!$B:$B,0)+COLUMN(J$1),1))</f>
        <v/>
      </c>
    </row>
    <row r="161" spans="3:59" x14ac:dyDescent="0.4">
      <c r="C161" t="s">
        <v>193</v>
      </c>
      <c r="D161" t="str">
        <f t="shared" si="10"/>
        <v>0/0/0</v>
      </c>
      <c r="E161">
        <v>1</v>
      </c>
      <c r="AX161" t="str">
        <f>IF($A161="","", INDEX(CS!$B$1:$B$12939,MATCH($A161,CS!$B:$B,0)+COLUMN(A$1),1))</f>
        <v/>
      </c>
      <c r="AY161" t="str">
        <f>IF($A161="","", INDEX(CS!$B$1:$B$12939,MATCH($A161,CS!$B:$B,0)+COLUMN(B$1),1))</f>
        <v/>
      </c>
      <c r="AZ161" t="str">
        <f>IF($A161="","", INDEX(CS!$B$1:$B$12939,MATCH($A161,CS!$B:$B,0)+COLUMN(C$1),1))</f>
        <v/>
      </c>
      <c r="BA161" t="str">
        <f>IF($A161="","", INDEX(CS!$B$1:$B$12939,MATCH($A161,CS!$B:$B,0)+COLUMN(D$1),1))</f>
        <v/>
      </c>
      <c r="BB161" t="str">
        <f>IF($A161="","", INDEX(CS!$B$1:$B$12939,MATCH($A161,CS!$B:$B,0)+COLUMN(E$1),1))</f>
        <v/>
      </c>
      <c r="BC161" t="str">
        <f>IF($A161="","", INDEX(CS!$B$1:$B$12939,MATCH($A161,CS!$B:$B,0)+COLUMN(F$1),1))</f>
        <v/>
      </c>
      <c r="BD161" t="str">
        <f>IF($A161="","", INDEX(CS!$B$1:$B$12939,MATCH($A161,CS!$B:$B,0)+COLUMN(G$1),1))</f>
        <v/>
      </c>
      <c r="BE161" t="str">
        <f>IF($A161="","", INDEX(CS!$B$1:$B$12939,MATCH($A161,CS!$B:$B,0)+COLUMN(H$1),1))</f>
        <v/>
      </c>
      <c r="BF161" t="str">
        <f>IF($A161="","", INDEX(CS!$B$1:$B$12939,MATCH($A161,CS!$B:$B,0)+COLUMN(I$1),1))</f>
        <v/>
      </c>
      <c r="BG161" t="str">
        <f>IF($A161="","", INDEX(CS!$B$1:$B$12939,MATCH($A161,CS!$B:$B,0)+COLUMN(J$1),1))</f>
        <v/>
      </c>
    </row>
    <row r="162" spans="3:59" x14ac:dyDescent="0.4">
      <c r="C162" t="s">
        <v>193</v>
      </c>
      <c r="D162" t="str">
        <f t="shared" si="10"/>
        <v>0/0/0</v>
      </c>
      <c r="E162">
        <v>1</v>
      </c>
      <c r="AX162" t="str">
        <f>IF($A162="","", INDEX(CS!$B$1:$B$12939,MATCH($A162,CS!$B:$B,0)+COLUMN(A$1),1))</f>
        <v/>
      </c>
      <c r="AY162" t="str">
        <f>IF($A162="","", INDEX(CS!$B$1:$B$12939,MATCH($A162,CS!$B:$B,0)+COLUMN(B$1),1))</f>
        <v/>
      </c>
      <c r="AZ162" t="str">
        <f>IF($A162="","", INDEX(CS!$B$1:$B$12939,MATCH($A162,CS!$B:$B,0)+COLUMN(C$1),1))</f>
        <v/>
      </c>
      <c r="BA162" t="str">
        <f>IF($A162="","", INDEX(CS!$B$1:$B$12939,MATCH($A162,CS!$B:$B,0)+COLUMN(D$1),1))</f>
        <v/>
      </c>
      <c r="BB162" t="str">
        <f>IF($A162="","", INDEX(CS!$B$1:$B$12939,MATCH($A162,CS!$B:$B,0)+COLUMN(E$1),1))</f>
        <v/>
      </c>
      <c r="BC162" t="str">
        <f>IF($A162="","", INDEX(CS!$B$1:$B$12939,MATCH($A162,CS!$B:$B,0)+COLUMN(F$1),1))</f>
        <v/>
      </c>
      <c r="BD162" t="str">
        <f>IF($A162="","", INDEX(CS!$B$1:$B$12939,MATCH($A162,CS!$B:$B,0)+COLUMN(G$1),1))</f>
        <v/>
      </c>
      <c r="BE162" t="str">
        <f>IF($A162="","", INDEX(CS!$B$1:$B$12939,MATCH($A162,CS!$B:$B,0)+COLUMN(H$1),1))</f>
        <v/>
      </c>
      <c r="BF162" t="str">
        <f>IF($A162="","", INDEX(CS!$B$1:$B$12939,MATCH($A162,CS!$B:$B,0)+COLUMN(I$1),1))</f>
        <v/>
      </c>
      <c r="BG162" t="str">
        <f>IF($A162="","", INDEX(CS!$B$1:$B$12939,MATCH($A162,CS!$B:$B,0)+COLUMN(J$1),1))</f>
        <v/>
      </c>
    </row>
    <row r="163" spans="3:59" x14ac:dyDescent="0.4">
      <c r="C163" t="s">
        <v>193</v>
      </c>
      <c r="D163" t="str">
        <f t="shared" si="10"/>
        <v>0/0/0</v>
      </c>
      <c r="E163">
        <v>1</v>
      </c>
      <c r="AX163" t="str">
        <f>IF($A163="","", INDEX(CS!$B$1:$B$12939,MATCH($A163,CS!$B:$B,0)+COLUMN(A$1),1))</f>
        <v/>
      </c>
      <c r="AY163" t="str">
        <f>IF($A163="","", INDEX(CS!$B$1:$B$12939,MATCH($A163,CS!$B:$B,0)+COLUMN(B$1),1))</f>
        <v/>
      </c>
      <c r="AZ163" t="str">
        <f>IF($A163="","", INDEX(CS!$B$1:$B$12939,MATCH($A163,CS!$B:$B,0)+COLUMN(C$1),1))</f>
        <v/>
      </c>
      <c r="BA163" t="str">
        <f>IF($A163="","", INDEX(CS!$B$1:$B$12939,MATCH($A163,CS!$B:$B,0)+COLUMN(D$1),1))</f>
        <v/>
      </c>
      <c r="BB163" t="str">
        <f>IF($A163="","", INDEX(CS!$B$1:$B$12939,MATCH($A163,CS!$B:$B,0)+COLUMN(E$1),1))</f>
        <v/>
      </c>
      <c r="BC163" t="str">
        <f>IF($A163="","", INDEX(CS!$B$1:$B$12939,MATCH($A163,CS!$B:$B,0)+COLUMN(F$1),1))</f>
        <v/>
      </c>
      <c r="BD163" t="str">
        <f>IF($A163="","", INDEX(CS!$B$1:$B$12939,MATCH($A163,CS!$B:$B,0)+COLUMN(G$1),1))</f>
        <v/>
      </c>
      <c r="BE163" t="str">
        <f>IF($A163="","", INDEX(CS!$B$1:$B$12939,MATCH($A163,CS!$B:$B,0)+COLUMN(H$1),1))</f>
        <v/>
      </c>
      <c r="BF163" t="str">
        <f>IF($A163="","", INDEX(CS!$B$1:$B$12939,MATCH($A163,CS!$B:$B,0)+COLUMN(I$1),1))</f>
        <v/>
      </c>
      <c r="BG163" t="str">
        <f>IF($A163="","", INDEX(CS!$B$1:$B$12939,MATCH($A163,CS!$B:$B,0)+COLUMN(J$1),1))</f>
        <v/>
      </c>
    </row>
    <row r="164" spans="3:59" x14ac:dyDescent="0.4">
      <c r="C164" t="s">
        <v>193</v>
      </c>
      <c r="D164" t="str">
        <f t="shared" si="10"/>
        <v>0/0/0</v>
      </c>
      <c r="E164">
        <v>1</v>
      </c>
      <c r="AX164" t="str">
        <f>IF($A164="","", INDEX(CS!$B$1:$B$12939,MATCH($A164,CS!$B:$B,0)+COLUMN(A$1),1))</f>
        <v/>
      </c>
      <c r="AY164" t="str">
        <f>IF($A164="","", INDEX(CS!$B$1:$B$12939,MATCH($A164,CS!$B:$B,0)+COLUMN(B$1),1))</f>
        <v/>
      </c>
      <c r="AZ164" t="str">
        <f>IF($A164="","", INDEX(CS!$B$1:$B$12939,MATCH($A164,CS!$B:$B,0)+COLUMN(C$1),1))</f>
        <v/>
      </c>
      <c r="BA164" t="str">
        <f>IF($A164="","", INDEX(CS!$B$1:$B$12939,MATCH($A164,CS!$B:$B,0)+COLUMN(D$1),1))</f>
        <v/>
      </c>
      <c r="BB164" t="str">
        <f>IF($A164="","", INDEX(CS!$B$1:$B$12939,MATCH($A164,CS!$B:$B,0)+COLUMN(E$1),1))</f>
        <v/>
      </c>
      <c r="BC164" t="str">
        <f>IF($A164="","", INDEX(CS!$B$1:$B$12939,MATCH($A164,CS!$B:$B,0)+COLUMN(F$1),1))</f>
        <v/>
      </c>
      <c r="BD164" t="str">
        <f>IF($A164="","", INDEX(CS!$B$1:$B$12939,MATCH($A164,CS!$B:$B,0)+COLUMN(G$1),1))</f>
        <v/>
      </c>
      <c r="BE164" t="str">
        <f>IF($A164="","", INDEX(CS!$B$1:$B$12939,MATCH($A164,CS!$B:$B,0)+COLUMN(H$1),1))</f>
        <v/>
      </c>
      <c r="BF164" t="str">
        <f>IF($A164="","", INDEX(CS!$B$1:$B$12939,MATCH($A164,CS!$B:$B,0)+COLUMN(I$1),1))</f>
        <v/>
      </c>
      <c r="BG164" t="str">
        <f>IF($A164="","", INDEX(CS!$B$1:$B$12939,MATCH($A164,CS!$B:$B,0)+COLUMN(J$1),1))</f>
        <v/>
      </c>
    </row>
    <row r="165" spans="3:59" x14ac:dyDescent="0.4">
      <c r="C165" t="s">
        <v>193</v>
      </c>
      <c r="D165" t="str">
        <f t="shared" si="10"/>
        <v>0/0/0</v>
      </c>
      <c r="E165">
        <v>1</v>
      </c>
      <c r="AX165" t="str">
        <f>IF($A165="","", INDEX(CS!$B$1:$B$12939,MATCH($A165,CS!$B:$B,0)+COLUMN(A$1),1))</f>
        <v/>
      </c>
      <c r="AY165" t="str">
        <f>IF($A165="","", INDEX(CS!$B$1:$B$12939,MATCH($A165,CS!$B:$B,0)+COLUMN(B$1),1))</f>
        <v/>
      </c>
      <c r="AZ165" t="str">
        <f>IF($A165="","", INDEX(CS!$B$1:$B$12939,MATCH($A165,CS!$B:$B,0)+COLUMN(C$1),1))</f>
        <v/>
      </c>
      <c r="BA165" t="str">
        <f>IF($A165="","", INDEX(CS!$B$1:$B$12939,MATCH($A165,CS!$B:$B,0)+COLUMN(D$1),1))</f>
        <v/>
      </c>
      <c r="BB165" t="str">
        <f>IF($A165="","", INDEX(CS!$B$1:$B$12939,MATCH($A165,CS!$B:$B,0)+COLUMN(E$1),1))</f>
        <v/>
      </c>
      <c r="BC165" t="str">
        <f>IF($A165="","", INDEX(CS!$B$1:$B$12939,MATCH($A165,CS!$B:$B,0)+COLUMN(F$1),1))</f>
        <v/>
      </c>
      <c r="BD165" t="str">
        <f>IF($A165="","", INDEX(CS!$B$1:$B$12939,MATCH($A165,CS!$B:$B,0)+COLUMN(G$1),1))</f>
        <v/>
      </c>
      <c r="BE165" t="str">
        <f>IF($A165="","", INDEX(CS!$B$1:$B$12939,MATCH($A165,CS!$B:$B,0)+COLUMN(H$1),1))</f>
        <v/>
      </c>
      <c r="BF165" t="str">
        <f>IF($A165="","", INDEX(CS!$B$1:$B$12939,MATCH($A165,CS!$B:$B,0)+COLUMN(I$1),1))</f>
        <v/>
      </c>
      <c r="BG165" t="str">
        <f>IF($A165="","", INDEX(CS!$B$1:$B$12939,MATCH($A165,CS!$B:$B,0)+COLUMN(J$1),1))</f>
        <v/>
      </c>
    </row>
    <row r="166" spans="3:59" x14ac:dyDescent="0.4">
      <c r="C166" t="s">
        <v>193</v>
      </c>
      <c r="D166" t="str">
        <f t="shared" si="10"/>
        <v>0/0/0</v>
      </c>
      <c r="E166">
        <v>1</v>
      </c>
      <c r="AX166" t="str">
        <f>IF($A166="","", INDEX(CS!$B$1:$B$12939,MATCH($A166,CS!$B:$B,0)+COLUMN(A$1),1))</f>
        <v/>
      </c>
      <c r="AY166" t="str">
        <f>IF($A166="","", INDEX(CS!$B$1:$B$12939,MATCH($A166,CS!$B:$B,0)+COLUMN(B$1),1))</f>
        <v/>
      </c>
      <c r="AZ166" t="str">
        <f>IF($A166="","", INDEX(CS!$B$1:$B$12939,MATCH($A166,CS!$B:$B,0)+COLUMN(C$1),1))</f>
        <v/>
      </c>
      <c r="BA166" t="str">
        <f>IF($A166="","", INDEX(CS!$B$1:$B$12939,MATCH($A166,CS!$B:$B,0)+COLUMN(D$1),1))</f>
        <v/>
      </c>
      <c r="BB166" t="str">
        <f>IF($A166="","", INDEX(CS!$B$1:$B$12939,MATCH($A166,CS!$B:$B,0)+COLUMN(E$1),1))</f>
        <v/>
      </c>
      <c r="BC166" t="str">
        <f>IF($A166="","", INDEX(CS!$B$1:$B$12939,MATCH($A166,CS!$B:$B,0)+COLUMN(F$1),1))</f>
        <v/>
      </c>
      <c r="BD166" t="str">
        <f>IF($A166="","", INDEX(CS!$B$1:$B$12939,MATCH($A166,CS!$B:$B,0)+COLUMN(G$1),1))</f>
        <v/>
      </c>
      <c r="BE166" t="str">
        <f>IF($A166="","", INDEX(CS!$B$1:$B$12939,MATCH($A166,CS!$B:$B,0)+COLUMN(H$1),1))</f>
        <v/>
      </c>
      <c r="BF166" t="str">
        <f>IF($A166="","", INDEX(CS!$B$1:$B$12939,MATCH($A166,CS!$B:$B,0)+COLUMN(I$1),1))</f>
        <v/>
      </c>
      <c r="BG166" t="str">
        <f>IF($A166="","", INDEX(CS!$B$1:$B$12939,MATCH($A166,CS!$B:$B,0)+COLUMN(J$1),1))</f>
        <v/>
      </c>
    </row>
    <row r="167" spans="3:59" x14ac:dyDescent="0.4">
      <c r="C167" t="s">
        <v>193</v>
      </c>
      <c r="D167" t="str">
        <f t="shared" si="10"/>
        <v>0/0/0</v>
      </c>
      <c r="E167">
        <v>1</v>
      </c>
      <c r="AX167" t="str">
        <f>IF($A167="","", INDEX(CS!$B$1:$B$12939,MATCH($A167,CS!$B:$B,0)+COLUMN(A$1),1))</f>
        <v/>
      </c>
      <c r="AY167" t="str">
        <f>IF($A167="","", INDEX(CS!$B$1:$B$12939,MATCH($A167,CS!$B:$B,0)+COLUMN(B$1),1))</f>
        <v/>
      </c>
      <c r="AZ167" t="str">
        <f>IF($A167="","", INDEX(CS!$B$1:$B$12939,MATCH($A167,CS!$B:$B,0)+COLUMN(C$1),1))</f>
        <v/>
      </c>
      <c r="BA167" t="str">
        <f>IF($A167="","", INDEX(CS!$B$1:$B$12939,MATCH($A167,CS!$B:$B,0)+COLUMN(D$1),1))</f>
        <v/>
      </c>
      <c r="BB167" t="str">
        <f>IF($A167="","", INDEX(CS!$B$1:$B$12939,MATCH($A167,CS!$B:$B,0)+COLUMN(E$1),1))</f>
        <v/>
      </c>
      <c r="BC167" t="str">
        <f>IF($A167="","", INDEX(CS!$B$1:$B$12939,MATCH($A167,CS!$B:$B,0)+COLUMN(F$1),1))</f>
        <v/>
      </c>
      <c r="BD167" t="str">
        <f>IF($A167="","", INDEX(CS!$B$1:$B$12939,MATCH($A167,CS!$B:$B,0)+COLUMN(G$1),1))</f>
        <v/>
      </c>
      <c r="BE167" t="str">
        <f>IF($A167="","", INDEX(CS!$B$1:$B$12939,MATCH($A167,CS!$B:$B,0)+COLUMN(H$1),1))</f>
        <v/>
      </c>
      <c r="BF167" t="str">
        <f>IF($A167="","", INDEX(CS!$B$1:$B$12939,MATCH($A167,CS!$B:$B,0)+COLUMN(I$1),1))</f>
        <v/>
      </c>
      <c r="BG167" t="str">
        <f>IF($A167="","", INDEX(CS!$B$1:$B$12939,MATCH($A167,CS!$B:$B,0)+COLUMN(J$1),1))</f>
        <v/>
      </c>
    </row>
    <row r="168" spans="3:59" x14ac:dyDescent="0.4">
      <c r="C168" t="s">
        <v>193</v>
      </c>
      <c r="D168" t="str">
        <f t="shared" si="10"/>
        <v>0/0/0</v>
      </c>
      <c r="E168">
        <v>1</v>
      </c>
      <c r="AX168" t="str">
        <f>IF($A168="","", INDEX(CS!$B$1:$B$12939,MATCH($A168,CS!$B:$B,0)+COLUMN(A$1),1))</f>
        <v/>
      </c>
      <c r="AY168" t="str">
        <f>IF($A168="","", INDEX(CS!$B$1:$B$12939,MATCH($A168,CS!$B:$B,0)+COLUMN(B$1),1))</f>
        <v/>
      </c>
      <c r="AZ168" t="str">
        <f>IF($A168="","", INDEX(CS!$B$1:$B$12939,MATCH($A168,CS!$B:$B,0)+COLUMN(C$1),1))</f>
        <v/>
      </c>
      <c r="BA168" t="str">
        <f>IF($A168="","", INDEX(CS!$B$1:$B$12939,MATCH($A168,CS!$B:$B,0)+COLUMN(D$1),1))</f>
        <v/>
      </c>
      <c r="BB168" t="str">
        <f>IF($A168="","", INDEX(CS!$B$1:$B$12939,MATCH($A168,CS!$B:$B,0)+COLUMN(E$1),1))</f>
        <v/>
      </c>
      <c r="BC168" t="str">
        <f>IF($A168="","", INDEX(CS!$B$1:$B$12939,MATCH($A168,CS!$B:$B,0)+COLUMN(F$1),1))</f>
        <v/>
      </c>
      <c r="BD168" t="str">
        <f>IF($A168="","", INDEX(CS!$B$1:$B$12939,MATCH($A168,CS!$B:$B,0)+COLUMN(G$1),1))</f>
        <v/>
      </c>
      <c r="BE168" t="str">
        <f>IF($A168="","", INDEX(CS!$B$1:$B$12939,MATCH($A168,CS!$B:$B,0)+COLUMN(H$1),1))</f>
        <v/>
      </c>
      <c r="BF168" t="str">
        <f>IF($A168="","", INDEX(CS!$B$1:$B$12939,MATCH($A168,CS!$B:$B,0)+COLUMN(I$1),1))</f>
        <v/>
      </c>
      <c r="BG168" t="str">
        <f>IF($A168="","", INDEX(CS!$B$1:$B$12939,MATCH($A168,CS!$B:$B,0)+COLUMN(J$1),1))</f>
        <v/>
      </c>
    </row>
    <row r="169" spans="3:59" x14ac:dyDescent="0.4">
      <c r="C169" t="s">
        <v>193</v>
      </c>
      <c r="D169" t="str">
        <f t="shared" si="10"/>
        <v>0/0/0</v>
      </c>
      <c r="E169">
        <v>1</v>
      </c>
      <c r="AX169" t="str">
        <f>IF($A169="","", INDEX(CS!$B$1:$B$12939,MATCH($A169,CS!$B:$B,0)+COLUMN(A$1),1))</f>
        <v/>
      </c>
      <c r="AY169" t="str">
        <f>IF($A169="","", INDEX(CS!$B$1:$B$12939,MATCH($A169,CS!$B:$B,0)+COLUMN(B$1),1))</f>
        <v/>
      </c>
      <c r="AZ169" t="str">
        <f>IF($A169="","", INDEX(CS!$B$1:$B$12939,MATCH($A169,CS!$B:$B,0)+COLUMN(C$1),1))</f>
        <v/>
      </c>
      <c r="BA169" t="str">
        <f>IF($A169="","", INDEX(CS!$B$1:$B$12939,MATCH($A169,CS!$B:$B,0)+COLUMN(D$1),1))</f>
        <v/>
      </c>
      <c r="BB169" t="str">
        <f>IF($A169="","", INDEX(CS!$B$1:$B$12939,MATCH($A169,CS!$B:$B,0)+COLUMN(E$1),1))</f>
        <v/>
      </c>
      <c r="BC169" t="str">
        <f>IF($A169="","", INDEX(CS!$B$1:$B$12939,MATCH($A169,CS!$B:$B,0)+COLUMN(F$1),1))</f>
        <v/>
      </c>
      <c r="BD169" t="str">
        <f>IF($A169="","", INDEX(CS!$B$1:$B$12939,MATCH($A169,CS!$B:$B,0)+COLUMN(G$1),1))</f>
        <v/>
      </c>
      <c r="BE169" t="str">
        <f>IF($A169="","", INDEX(CS!$B$1:$B$12939,MATCH($A169,CS!$B:$B,0)+COLUMN(H$1),1))</f>
        <v/>
      </c>
      <c r="BF169" t="str">
        <f>IF($A169="","", INDEX(CS!$B$1:$B$12939,MATCH($A169,CS!$B:$B,0)+COLUMN(I$1),1))</f>
        <v/>
      </c>
      <c r="BG169" t="str">
        <f>IF($A169="","", INDEX(CS!$B$1:$B$12939,MATCH($A169,CS!$B:$B,0)+COLUMN(J$1),1))</f>
        <v/>
      </c>
    </row>
    <row r="170" spans="3:59" x14ac:dyDescent="0.4">
      <c r="C170" t="s">
        <v>193</v>
      </c>
      <c r="D170" t="str">
        <f t="shared" si="10"/>
        <v>0/0/0</v>
      </c>
      <c r="E170">
        <v>1</v>
      </c>
      <c r="AX170" t="str">
        <f>IF($A170="","", INDEX(CS!$B$1:$B$12939,MATCH($A170,CS!$B:$B,0)+COLUMN(A$1),1))</f>
        <v/>
      </c>
      <c r="AY170" t="str">
        <f>IF($A170="","", INDEX(CS!$B$1:$B$12939,MATCH($A170,CS!$B:$B,0)+COLUMN(B$1),1))</f>
        <v/>
      </c>
      <c r="AZ170" t="str">
        <f>IF($A170="","", INDEX(CS!$B$1:$B$12939,MATCH($A170,CS!$B:$B,0)+COLUMN(C$1),1))</f>
        <v/>
      </c>
      <c r="BA170" t="str">
        <f>IF($A170="","", INDEX(CS!$B$1:$B$12939,MATCH($A170,CS!$B:$B,0)+COLUMN(D$1),1))</f>
        <v/>
      </c>
      <c r="BB170" t="str">
        <f>IF($A170="","", INDEX(CS!$B$1:$B$12939,MATCH($A170,CS!$B:$B,0)+COLUMN(E$1),1))</f>
        <v/>
      </c>
      <c r="BC170" t="str">
        <f>IF($A170="","", INDEX(CS!$B$1:$B$12939,MATCH($A170,CS!$B:$B,0)+COLUMN(F$1),1))</f>
        <v/>
      </c>
      <c r="BD170" t="str">
        <f>IF($A170="","", INDEX(CS!$B$1:$B$12939,MATCH($A170,CS!$B:$B,0)+COLUMN(G$1),1))</f>
        <v/>
      </c>
      <c r="BE170" t="str">
        <f>IF($A170="","", INDEX(CS!$B$1:$B$12939,MATCH($A170,CS!$B:$B,0)+COLUMN(H$1),1))</f>
        <v/>
      </c>
      <c r="BF170" t="str">
        <f>IF($A170="","", INDEX(CS!$B$1:$B$12939,MATCH($A170,CS!$B:$B,0)+COLUMN(I$1),1))</f>
        <v/>
      </c>
      <c r="BG170" t="str">
        <f>IF($A170="","", INDEX(CS!$B$1:$B$12939,MATCH($A170,CS!$B:$B,0)+COLUMN(J$1),1))</f>
        <v/>
      </c>
    </row>
    <row r="171" spans="3:59" x14ac:dyDescent="0.4">
      <c r="C171" t="s">
        <v>193</v>
      </c>
      <c r="D171" t="str">
        <f t="shared" si="10"/>
        <v>0/0/0</v>
      </c>
      <c r="E171">
        <v>1</v>
      </c>
      <c r="AX171" t="str">
        <f>IF($A171="","", INDEX(CS!$B$1:$B$12939,MATCH($A171,CS!$B:$B,0)+COLUMN(A$1),1))</f>
        <v/>
      </c>
      <c r="AY171" t="str">
        <f>IF($A171="","", INDEX(CS!$B$1:$B$12939,MATCH($A171,CS!$B:$B,0)+COLUMN(B$1),1))</f>
        <v/>
      </c>
      <c r="AZ171" t="str">
        <f>IF($A171="","", INDEX(CS!$B$1:$B$12939,MATCH($A171,CS!$B:$B,0)+COLUMN(C$1),1))</f>
        <v/>
      </c>
      <c r="BA171" t="str">
        <f>IF($A171="","", INDEX(CS!$B$1:$B$12939,MATCH($A171,CS!$B:$B,0)+COLUMN(D$1),1))</f>
        <v/>
      </c>
      <c r="BB171" t="str">
        <f>IF($A171="","", INDEX(CS!$B$1:$B$12939,MATCH($A171,CS!$B:$B,0)+COLUMN(E$1),1))</f>
        <v/>
      </c>
      <c r="BC171" t="str">
        <f>IF($A171="","", INDEX(CS!$B$1:$B$12939,MATCH($A171,CS!$B:$B,0)+COLUMN(F$1),1))</f>
        <v/>
      </c>
      <c r="BD171" t="str">
        <f>IF($A171="","", INDEX(CS!$B$1:$B$12939,MATCH($A171,CS!$B:$B,0)+COLUMN(G$1),1))</f>
        <v/>
      </c>
      <c r="BE171" t="str">
        <f>IF($A171="","", INDEX(CS!$B$1:$B$12939,MATCH($A171,CS!$B:$B,0)+COLUMN(H$1),1))</f>
        <v/>
      </c>
      <c r="BF171" t="str">
        <f>IF($A171="","", INDEX(CS!$B$1:$B$12939,MATCH($A171,CS!$B:$B,0)+COLUMN(I$1),1))</f>
        <v/>
      </c>
      <c r="BG171" t="str">
        <f>IF($A171="","", INDEX(CS!$B$1:$B$12939,MATCH($A171,CS!$B:$B,0)+COLUMN(J$1),1))</f>
        <v/>
      </c>
    </row>
    <row r="172" spans="3:59" x14ac:dyDescent="0.4">
      <c r="C172" t="s">
        <v>193</v>
      </c>
      <c r="D172" t="str">
        <f t="shared" si="10"/>
        <v>0/0/0</v>
      </c>
      <c r="E172">
        <v>1</v>
      </c>
      <c r="AX172" t="str">
        <f>IF($A172="","", INDEX(CS!$B$1:$B$12939,MATCH($A172,CS!$B:$B,0)+COLUMN(A$1),1))</f>
        <v/>
      </c>
      <c r="AY172" t="str">
        <f>IF($A172="","", INDEX(CS!$B$1:$B$12939,MATCH($A172,CS!$B:$B,0)+COLUMN(B$1),1))</f>
        <v/>
      </c>
      <c r="AZ172" t="str">
        <f>IF($A172="","", INDEX(CS!$B$1:$B$12939,MATCH($A172,CS!$B:$B,0)+COLUMN(C$1),1))</f>
        <v/>
      </c>
      <c r="BA172" t="str">
        <f>IF($A172="","", INDEX(CS!$B$1:$B$12939,MATCH($A172,CS!$B:$B,0)+COLUMN(D$1),1))</f>
        <v/>
      </c>
      <c r="BB172" t="str">
        <f>IF($A172="","", INDEX(CS!$B$1:$B$12939,MATCH($A172,CS!$B:$B,0)+COLUMN(E$1),1))</f>
        <v/>
      </c>
      <c r="BC172" t="str">
        <f>IF($A172="","", INDEX(CS!$B$1:$B$12939,MATCH($A172,CS!$B:$B,0)+COLUMN(F$1),1))</f>
        <v/>
      </c>
      <c r="BD172" t="str">
        <f>IF($A172="","", INDEX(CS!$B$1:$B$12939,MATCH($A172,CS!$B:$B,0)+COLUMN(G$1),1))</f>
        <v/>
      </c>
      <c r="BE172" t="str">
        <f>IF($A172="","", INDEX(CS!$B$1:$B$12939,MATCH($A172,CS!$B:$B,0)+COLUMN(H$1),1))</f>
        <v/>
      </c>
      <c r="BF172" t="str">
        <f>IF($A172="","", INDEX(CS!$B$1:$B$12939,MATCH($A172,CS!$B:$B,0)+COLUMN(I$1),1))</f>
        <v/>
      </c>
      <c r="BG172" t="str">
        <f>IF($A172="","", INDEX(CS!$B$1:$B$12939,MATCH($A172,CS!$B:$B,0)+COLUMN(J$1),1))</f>
        <v/>
      </c>
    </row>
    <row r="173" spans="3:59" x14ac:dyDescent="0.4">
      <c r="C173" t="s">
        <v>193</v>
      </c>
      <c r="D173" t="str">
        <f t="shared" si="10"/>
        <v>0/0/0</v>
      </c>
      <c r="E173">
        <v>1</v>
      </c>
      <c r="AX173" t="str">
        <f>IF($A173="","", INDEX(CS!$B$1:$B$12939,MATCH($A173,CS!$B:$B,0)+COLUMN(A$1),1))</f>
        <v/>
      </c>
      <c r="AY173" t="str">
        <f>IF($A173="","", INDEX(CS!$B$1:$B$12939,MATCH($A173,CS!$B:$B,0)+COLUMN(B$1),1))</f>
        <v/>
      </c>
      <c r="AZ173" t="str">
        <f>IF($A173="","", INDEX(CS!$B$1:$B$12939,MATCH($A173,CS!$B:$B,0)+COLUMN(C$1),1))</f>
        <v/>
      </c>
      <c r="BA173" t="str">
        <f>IF($A173="","", INDEX(CS!$B$1:$B$12939,MATCH($A173,CS!$B:$B,0)+COLUMN(D$1),1))</f>
        <v/>
      </c>
      <c r="BB173" t="str">
        <f>IF($A173="","", INDEX(CS!$B$1:$B$12939,MATCH($A173,CS!$B:$B,0)+COLUMN(E$1),1))</f>
        <v/>
      </c>
      <c r="BC173" t="str">
        <f>IF($A173="","", INDEX(CS!$B$1:$B$12939,MATCH($A173,CS!$B:$B,0)+COLUMN(F$1),1))</f>
        <v/>
      </c>
      <c r="BD173" t="str">
        <f>IF($A173="","", INDEX(CS!$B$1:$B$12939,MATCH($A173,CS!$B:$B,0)+COLUMN(G$1),1))</f>
        <v/>
      </c>
      <c r="BE173" t="str">
        <f>IF($A173="","", INDEX(CS!$B$1:$B$12939,MATCH($A173,CS!$B:$B,0)+COLUMN(H$1),1))</f>
        <v/>
      </c>
      <c r="BF173" t="str">
        <f>IF($A173="","", INDEX(CS!$B$1:$B$12939,MATCH($A173,CS!$B:$B,0)+COLUMN(I$1),1))</f>
        <v/>
      </c>
      <c r="BG173" t="str">
        <f>IF($A173="","", INDEX(CS!$B$1:$B$12939,MATCH($A173,CS!$B:$B,0)+COLUMN(J$1),1))</f>
        <v/>
      </c>
    </row>
    <row r="174" spans="3:59" x14ac:dyDescent="0.4">
      <c r="C174" t="s">
        <v>193</v>
      </c>
      <c r="D174" t="str">
        <f t="shared" si="10"/>
        <v>0/0/0</v>
      </c>
      <c r="E174">
        <v>1</v>
      </c>
      <c r="AX174" t="str">
        <f>IF($A174="","", INDEX(CS!$B$1:$B$12939,MATCH($A174,CS!$B:$B,0)+COLUMN(A$1),1))</f>
        <v/>
      </c>
      <c r="AY174" t="str">
        <f>IF($A174="","", INDEX(CS!$B$1:$B$12939,MATCH($A174,CS!$B:$B,0)+COLUMN(B$1),1))</f>
        <v/>
      </c>
      <c r="AZ174" t="str">
        <f>IF($A174="","", INDEX(CS!$B$1:$B$12939,MATCH($A174,CS!$B:$B,0)+COLUMN(C$1),1))</f>
        <v/>
      </c>
      <c r="BA174" t="str">
        <f>IF($A174="","", INDEX(CS!$B$1:$B$12939,MATCH($A174,CS!$B:$B,0)+COLUMN(D$1),1))</f>
        <v/>
      </c>
      <c r="BB174" t="str">
        <f>IF($A174="","", INDEX(CS!$B$1:$B$12939,MATCH($A174,CS!$B:$B,0)+COLUMN(E$1),1))</f>
        <v/>
      </c>
      <c r="BC174" t="str">
        <f>IF($A174="","", INDEX(CS!$B$1:$B$12939,MATCH($A174,CS!$B:$B,0)+COLUMN(F$1),1))</f>
        <v/>
      </c>
      <c r="BD174" t="str">
        <f>IF($A174="","", INDEX(CS!$B$1:$B$12939,MATCH($A174,CS!$B:$B,0)+COLUMN(G$1),1))</f>
        <v/>
      </c>
      <c r="BE174" t="str">
        <f>IF($A174="","", INDEX(CS!$B$1:$B$12939,MATCH($A174,CS!$B:$B,0)+COLUMN(H$1),1))</f>
        <v/>
      </c>
      <c r="BF174" t="str">
        <f>IF($A174="","", INDEX(CS!$B$1:$B$12939,MATCH($A174,CS!$B:$B,0)+COLUMN(I$1),1))</f>
        <v/>
      </c>
      <c r="BG174" t="str">
        <f>IF($A174="","", INDEX(CS!$B$1:$B$12939,MATCH($A174,CS!$B:$B,0)+COLUMN(J$1),1))</f>
        <v/>
      </c>
    </row>
    <row r="175" spans="3:59" x14ac:dyDescent="0.4">
      <c r="C175" t="s">
        <v>193</v>
      </c>
      <c r="D175" t="str">
        <f t="shared" si="10"/>
        <v>0/0/0</v>
      </c>
      <c r="E175">
        <v>1</v>
      </c>
      <c r="AX175" t="str">
        <f>IF($A175="","", INDEX(CS!$B$1:$B$12939,MATCH($A175,CS!$B:$B,0)+COLUMN(A$1),1))</f>
        <v/>
      </c>
      <c r="AY175" t="str">
        <f>IF($A175="","", INDEX(CS!$B$1:$B$12939,MATCH($A175,CS!$B:$B,0)+COLUMN(B$1),1))</f>
        <v/>
      </c>
      <c r="AZ175" t="str">
        <f>IF($A175="","", INDEX(CS!$B$1:$B$12939,MATCH($A175,CS!$B:$B,0)+COLUMN(C$1),1))</f>
        <v/>
      </c>
      <c r="BA175" t="str">
        <f>IF($A175="","", INDEX(CS!$B$1:$B$12939,MATCH($A175,CS!$B:$B,0)+COLUMN(D$1),1))</f>
        <v/>
      </c>
      <c r="BB175" t="str">
        <f>IF($A175="","", INDEX(CS!$B$1:$B$12939,MATCH($A175,CS!$B:$B,0)+COLUMN(E$1),1))</f>
        <v/>
      </c>
      <c r="BC175" t="str">
        <f>IF($A175="","", INDEX(CS!$B$1:$B$12939,MATCH($A175,CS!$B:$B,0)+COLUMN(F$1),1))</f>
        <v/>
      </c>
      <c r="BD175" t="str">
        <f>IF($A175="","", INDEX(CS!$B$1:$B$12939,MATCH($A175,CS!$B:$B,0)+COLUMN(G$1),1))</f>
        <v/>
      </c>
      <c r="BE175" t="str">
        <f>IF($A175="","", INDEX(CS!$B$1:$B$12939,MATCH($A175,CS!$B:$B,0)+COLUMN(H$1),1))</f>
        <v/>
      </c>
      <c r="BF175" t="str">
        <f>IF($A175="","", INDEX(CS!$B$1:$B$12939,MATCH($A175,CS!$B:$B,0)+COLUMN(I$1),1))</f>
        <v/>
      </c>
      <c r="BG175" t="str">
        <f>IF($A175="","", INDEX(CS!$B$1:$B$12939,MATCH($A175,CS!$B:$B,0)+COLUMN(J$1),1))</f>
        <v/>
      </c>
    </row>
    <row r="176" spans="3:59" x14ac:dyDescent="0.4">
      <c r="C176" t="s">
        <v>193</v>
      </c>
      <c r="D176" t="str">
        <f t="shared" si="10"/>
        <v>0/0/0</v>
      </c>
      <c r="E176">
        <v>1</v>
      </c>
      <c r="AX176" t="str">
        <f>IF($A176="","", INDEX(CS!$B$1:$B$12939,MATCH($A176,CS!$B:$B,0)+COLUMN(A$1),1))</f>
        <v/>
      </c>
      <c r="AY176" t="str">
        <f>IF($A176="","", INDEX(CS!$B$1:$B$12939,MATCH($A176,CS!$B:$B,0)+COLUMN(B$1),1))</f>
        <v/>
      </c>
      <c r="AZ176" t="str">
        <f>IF($A176="","", INDEX(CS!$B$1:$B$12939,MATCH($A176,CS!$B:$B,0)+COLUMN(C$1),1))</f>
        <v/>
      </c>
      <c r="BA176" t="str">
        <f>IF($A176="","", INDEX(CS!$B$1:$B$12939,MATCH($A176,CS!$B:$B,0)+COLUMN(D$1),1))</f>
        <v/>
      </c>
      <c r="BB176" t="str">
        <f>IF($A176="","", INDEX(CS!$B$1:$B$12939,MATCH($A176,CS!$B:$B,0)+COLUMN(E$1),1))</f>
        <v/>
      </c>
      <c r="BC176" t="str">
        <f>IF($A176="","", INDEX(CS!$B$1:$B$12939,MATCH($A176,CS!$B:$B,0)+COLUMN(F$1),1))</f>
        <v/>
      </c>
      <c r="BD176" t="str">
        <f>IF($A176="","", INDEX(CS!$B$1:$B$12939,MATCH($A176,CS!$B:$B,0)+COLUMN(G$1),1))</f>
        <v/>
      </c>
      <c r="BE176" t="str">
        <f>IF($A176="","", INDEX(CS!$B$1:$B$12939,MATCH($A176,CS!$B:$B,0)+COLUMN(H$1),1))</f>
        <v/>
      </c>
      <c r="BF176" t="str">
        <f>IF($A176="","", INDEX(CS!$B$1:$B$12939,MATCH($A176,CS!$B:$B,0)+COLUMN(I$1),1))</f>
        <v/>
      </c>
      <c r="BG176" t="str">
        <f>IF($A176="","", INDEX(CS!$B$1:$B$12939,MATCH($A176,CS!$B:$B,0)+COLUMN(J$1),1))</f>
        <v/>
      </c>
    </row>
    <row r="177" spans="3:59" x14ac:dyDescent="0.4">
      <c r="C177" t="s">
        <v>193</v>
      </c>
      <c r="D177" t="str">
        <f t="shared" si="10"/>
        <v>0/0/0</v>
      </c>
      <c r="E177">
        <v>1</v>
      </c>
      <c r="AX177" t="str">
        <f>IF($A177="","", INDEX(CS!$B$1:$B$12939,MATCH($A177,CS!$B:$B,0)+COLUMN(A$1),1))</f>
        <v/>
      </c>
      <c r="AY177" t="str">
        <f>IF($A177="","", INDEX(CS!$B$1:$B$12939,MATCH($A177,CS!$B:$B,0)+COLUMN(B$1),1))</f>
        <v/>
      </c>
      <c r="AZ177" t="str">
        <f>IF($A177="","", INDEX(CS!$B$1:$B$12939,MATCH($A177,CS!$B:$B,0)+COLUMN(C$1),1))</f>
        <v/>
      </c>
      <c r="BA177" t="str">
        <f>IF($A177="","", INDEX(CS!$B$1:$B$12939,MATCH($A177,CS!$B:$B,0)+COLUMN(D$1),1))</f>
        <v/>
      </c>
      <c r="BB177" t="str">
        <f>IF($A177="","", INDEX(CS!$B$1:$B$12939,MATCH($A177,CS!$B:$B,0)+COLUMN(E$1),1))</f>
        <v/>
      </c>
      <c r="BC177" t="str">
        <f>IF($A177="","", INDEX(CS!$B$1:$B$12939,MATCH($A177,CS!$B:$B,0)+COLUMN(F$1),1))</f>
        <v/>
      </c>
      <c r="BD177" t="str">
        <f>IF($A177="","", INDEX(CS!$B$1:$B$12939,MATCH($A177,CS!$B:$B,0)+COLUMN(G$1),1))</f>
        <v/>
      </c>
      <c r="BE177" t="str">
        <f>IF($A177="","", INDEX(CS!$B$1:$B$12939,MATCH($A177,CS!$B:$B,0)+COLUMN(H$1),1))</f>
        <v/>
      </c>
      <c r="BF177" t="str">
        <f>IF($A177="","", INDEX(CS!$B$1:$B$12939,MATCH($A177,CS!$B:$B,0)+COLUMN(I$1),1))</f>
        <v/>
      </c>
      <c r="BG177" t="str">
        <f>IF($A177="","", INDEX(CS!$B$1:$B$12939,MATCH($A177,CS!$B:$B,0)+COLUMN(J$1),1))</f>
        <v/>
      </c>
    </row>
    <row r="178" spans="3:59" x14ac:dyDescent="0.4">
      <c r="C178" t="s">
        <v>193</v>
      </c>
      <c r="D178" t="str">
        <f t="shared" si="10"/>
        <v>0/0/0</v>
      </c>
      <c r="E178">
        <v>1</v>
      </c>
      <c r="AX178" t="str">
        <f>IF($A178="","", INDEX(CS!$B$1:$B$12939,MATCH($A178,CS!$B:$B,0)+COLUMN(A$1),1))</f>
        <v/>
      </c>
      <c r="AY178" t="str">
        <f>IF($A178="","", INDEX(CS!$B$1:$B$12939,MATCH($A178,CS!$B:$B,0)+COLUMN(B$1),1))</f>
        <v/>
      </c>
      <c r="AZ178" t="str">
        <f>IF($A178="","", INDEX(CS!$B$1:$B$12939,MATCH($A178,CS!$B:$B,0)+COLUMN(C$1),1))</f>
        <v/>
      </c>
      <c r="BA178" t="str">
        <f>IF($A178="","", INDEX(CS!$B$1:$B$12939,MATCH($A178,CS!$B:$B,0)+COLUMN(D$1),1))</f>
        <v/>
      </c>
      <c r="BB178" t="str">
        <f>IF($A178="","", INDEX(CS!$B$1:$B$12939,MATCH($A178,CS!$B:$B,0)+COLUMN(E$1),1))</f>
        <v/>
      </c>
      <c r="BC178" t="str">
        <f>IF($A178="","", INDEX(CS!$B$1:$B$12939,MATCH($A178,CS!$B:$B,0)+COLUMN(F$1),1))</f>
        <v/>
      </c>
      <c r="BD178" t="str">
        <f>IF($A178="","", INDEX(CS!$B$1:$B$12939,MATCH($A178,CS!$B:$B,0)+COLUMN(G$1),1))</f>
        <v/>
      </c>
      <c r="BE178" t="str">
        <f>IF($A178="","", INDEX(CS!$B$1:$B$12939,MATCH($A178,CS!$B:$B,0)+COLUMN(H$1),1))</f>
        <v/>
      </c>
      <c r="BF178" t="str">
        <f>IF($A178="","", INDEX(CS!$B$1:$B$12939,MATCH($A178,CS!$B:$B,0)+COLUMN(I$1),1))</f>
        <v/>
      </c>
      <c r="BG178" t="str">
        <f>IF($A178="","", INDEX(CS!$B$1:$B$12939,MATCH($A178,CS!$B:$B,0)+COLUMN(J$1),1))</f>
        <v/>
      </c>
    </row>
    <row r="179" spans="3:59" x14ac:dyDescent="0.4">
      <c r="C179" t="s">
        <v>193</v>
      </c>
      <c r="D179" t="str">
        <f t="shared" si="10"/>
        <v>0/0/0</v>
      </c>
      <c r="E179">
        <v>1</v>
      </c>
      <c r="AX179" t="str">
        <f>IF($A179="","", INDEX(CS!$B$1:$B$12939,MATCH($A179,CS!$B:$B,0)+COLUMN(A$1),1))</f>
        <v/>
      </c>
      <c r="AY179" t="str">
        <f>IF($A179="","", INDEX(CS!$B$1:$B$12939,MATCH($A179,CS!$B:$B,0)+COLUMN(B$1),1))</f>
        <v/>
      </c>
      <c r="AZ179" t="str">
        <f>IF($A179="","", INDEX(CS!$B$1:$B$12939,MATCH($A179,CS!$B:$B,0)+COLUMN(C$1),1))</f>
        <v/>
      </c>
      <c r="BA179" t="str">
        <f>IF($A179="","", INDEX(CS!$B$1:$B$12939,MATCH($A179,CS!$B:$B,0)+COLUMN(D$1),1))</f>
        <v/>
      </c>
      <c r="BB179" t="str">
        <f>IF($A179="","", INDEX(CS!$B$1:$B$12939,MATCH($A179,CS!$B:$B,0)+COLUMN(E$1),1))</f>
        <v/>
      </c>
      <c r="BC179" t="str">
        <f>IF($A179="","", INDEX(CS!$B$1:$B$12939,MATCH($A179,CS!$B:$B,0)+COLUMN(F$1),1))</f>
        <v/>
      </c>
      <c r="BD179" t="str">
        <f>IF($A179="","", INDEX(CS!$B$1:$B$12939,MATCH($A179,CS!$B:$B,0)+COLUMN(G$1),1))</f>
        <v/>
      </c>
      <c r="BE179" t="str">
        <f>IF($A179="","", INDEX(CS!$B$1:$B$12939,MATCH($A179,CS!$B:$B,0)+COLUMN(H$1),1))</f>
        <v/>
      </c>
      <c r="BF179" t="str">
        <f>IF($A179="","", INDEX(CS!$B$1:$B$12939,MATCH($A179,CS!$B:$B,0)+COLUMN(I$1),1))</f>
        <v/>
      </c>
      <c r="BG179" t="str">
        <f>IF($A179="","", INDEX(CS!$B$1:$B$12939,MATCH($A179,CS!$B:$B,0)+COLUMN(J$1),1))</f>
        <v/>
      </c>
    </row>
    <row r="180" spans="3:59" x14ac:dyDescent="0.4">
      <c r="C180" t="s">
        <v>193</v>
      </c>
      <c r="D180" t="str">
        <f t="shared" si="10"/>
        <v>0/0/0</v>
      </c>
      <c r="E180">
        <v>1</v>
      </c>
      <c r="AX180" t="str">
        <f>IF($A180="","", INDEX(CS!$B$1:$B$12939,MATCH($A180,CS!$B:$B,0)+COLUMN(A$1),1))</f>
        <v/>
      </c>
      <c r="AY180" t="str">
        <f>IF($A180="","", INDEX(CS!$B$1:$B$12939,MATCH($A180,CS!$B:$B,0)+COLUMN(B$1),1))</f>
        <v/>
      </c>
      <c r="AZ180" t="str">
        <f>IF($A180="","", INDEX(CS!$B$1:$B$12939,MATCH($A180,CS!$B:$B,0)+COLUMN(C$1),1))</f>
        <v/>
      </c>
      <c r="BA180" t="str">
        <f>IF($A180="","", INDEX(CS!$B$1:$B$12939,MATCH($A180,CS!$B:$B,0)+COLUMN(D$1),1))</f>
        <v/>
      </c>
      <c r="BB180" t="str">
        <f>IF($A180="","", INDEX(CS!$B$1:$B$12939,MATCH($A180,CS!$B:$B,0)+COLUMN(E$1),1))</f>
        <v/>
      </c>
      <c r="BC180" t="str">
        <f>IF($A180="","", INDEX(CS!$B$1:$B$12939,MATCH($A180,CS!$B:$B,0)+COLUMN(F$1),1))</f>
        <v/>
      </c>
      <c r="BD180" t="str">
        <f>IF($A180="","", INDEX(CS!$B$1:$B$12939,MATCH($A180,CS!$B:$B,0)+COLUMN(G$1),1))</f>
        <v/>
      </c>
      <c r="BE180" t="str">
        <f>IF($A180="","", INDEX(CS!$B$1:$B$12939,MATCH($A180,CS!$B:$B,0)+COLUMN(H$1),1))</f>
        <v/>
      </c>
      <c r="BF180" t="str">
        <f>IF($A180="","", INDEX(CS!$B$1:$B$12939,MATCH($A180,CS!$B:$B,0)+COLUMN(I$1),1))</f>
        <v/>
      </c>
      <c r="BG180" t="str">
        <f>IF($A180="","", INDEX(CS!$B$1:$B$12939,MATCH($A180,CS!$B:$B,0)+COLUMN(J$1),1))</f>
        <v/>
      </c>
    </row>
    <row r="181" spans="3:59" x14ac:dyDescent="0.4">
      <c r="C181" t="s">
        <v>193</v>
      </c>
      <c r="D181" t="str">
        <f t="shared" si="10"/>
        <v>0/0/0</v>
      </c>
      <c r="E181">
        <v>1</v>
      </c>
      <c r="AX181" t="str">
        <f>IF($A181="","", INDEX(CS!$B$1:$B$12939,MATCH($A181,CS!$B:$B,0)+COLUMN(A$1),1))</f>
        <v/>
      </c>
      <c r="AY181" t="str">
        <f>IF($A181="","", INDEX(CS!$B$1:$B$12939,MATCH($A181,CS!$B:$B,0)+COLUMN(B$1),1))</f>
        <v/>
      </c>
      <c r="AZ181" t="str">
        <f>IF($A181="","", INDEX(CS!$B$1:$B$12939,MATCH($A181,CS!$B:$B,0)+COLUMN(C$1),1))</f>
        <v/>
      </c>
      <c r="BA181" t="str">
        <f>IF($A181="","", INDEX(CS!$B$1:$B$12939,MATCH($A181,CS!$B:$B,0)+COLUMN(D$1),1))</f>
        <v/>
      </c>
      <c r="BB181" t="str">
        <f>IF($A181="","", INDEX(CS!$B$1:$B$12939,MATCH($A181,CS!$B:$B,0)+COLUMN(E$1),1))</f>
        <v/>
      </c>
      <c r="BC181" t="str">
        <f>IF($A181="","", INDEX(CS!$B$1:$B$12939,MATCH($A181,CS!$B:$B,0)+COLUMN(F$1),1))</f>
        <v/>
      </c>
      <c r="BD181" t="str">
        <f>IF($A181="","", INDEX(CS!$B$1:$B$12939,MATCH($A181,CS!$B:$B,0)+COLUMN(G$1),1))</f>
        <v/>
      </c>
      <c r="BE181" t="str">
        <f>IF($A181="","", INDEX(CS!$B$1:$B$12939,MATCH($A181,CS!$B:$B,0)+COLUMN(H$1),1))</f>
        <v/>
      </c>
      <c r="BF181" t="str">
        <f>IF($A181="","", INDEX(CS!$B$1:$B$12939,MATCH($A181,CS!$B:$B,0)+COLUMN(I$1),1))</f>
        <v/>
      </c>
      <c r="BG181" t="str">
        <f>IF($A181="","", INDEX(CS!$B$1:$B$12939,MATCH($A181,CS!$B:$B,0)+COLUMN(J$1),1))</f>
        <v/>
      </c>
    </row>
    <row r="182" spans="3:59" x14ac:dyDescent="0.4">
      <c r="C182" t="s">
        <v>193</v>
      </c>
      <c r="D182" t="str">
        <f t="shared" si="10"/>
        <v>0/0/0</v>
      </c>
      <c r="E182">
        <v>1</v>
      </c>
      <c r="AX182" t="str">
        <f>IF($A182="","", INDEX(CS!$B$1:$B$12939,MATCH($A182,CS!$B:$B,0)+COLUMN(A$1),1))</f>
        <v/>
      </c>
      <c r="AY182" t="str">
        <f>IF($A182="","", INDEX(CS!$B$1:$B$12939,MATCH($A182,CS!$B:$B,0)+COLUMN(B$1),1))</f>
        <v/>
      </c>
      <c r="AZ182" t="str">
        <f>IF($A182="","", INDEX(CS!$B$1:$B$12939,MATCH($A182,CS!$B:$B,0)+COLUMN(C$1),1))</f>
        <v/>
      </c>
      <c r="BA182" t="str">
        <f>IF($A182="","", INDEX(CS!$B$1:$B$12939,MATCH($A182,CS!$B:$B,0)+COLUMN(D$1),1))</f>
        <v/>
      </c>
      <c r="BB182" t="str">
        <f>IF($A182="","", INDEX(CS!$B$1:$B$12939,MATCH($A182,CS!$B:$B,0)+COLUMN(E$1),1))</f>
        <v/>
      </c>
      <c r="BC182" t="str">
        <f>IF($A182="","", INDEX(CS!$B$1:$B$12939,MATCH($A182,CS!$B:$B,0)+COLUMN(F$1),1))</f>
        <v/>
      </c>
      <c r="BD182" t="str">
        <f>IF($A182="","", INDEX(CS!$B$1:$B$12939,MATCH($A182,CS!$B:$B,0)+COLUMN(G$1),1))</f>
        <v/>
      </c>
      <c r="BE182" t="str">
        <f>IF($A182="","", INDEX(CS!$B$1:$B$12939,MATCH($A182,CS!$B:$B,0)+COLUMN(H$1),1))</f>
        <v/>
      </c>
      <c r="BF182" t="str">
        <f>IF($A182="","", INDEX(CS!$B$1:$B$12939,MATCH($A182,CS!$B:$B,0)+COLUMN(I$1),1))</f>
        <v/>
      </c>
      <c r="BG182" t="str">
        <f>IF($A182="","", INDEX(CS!$B$1:$B$12939,MATCH($A182,CS!$B:$B,0)+COLUMN(J$1),1))</f>
        <v/>
      </c>
    </row>
    <row r="183" spans="3:59" x14ac:dyDescent="0.4">
      <c r="C183" t="s">
        <v>193</v>
      </c>
      <c r="D183" t="str">
        <f t="shared" si="10"/>
        <v>0/0/0</v>
      </c>
      <c r="E183">
        <v>1</v>
      </c>
      <c r="AX183" t="str">
        <f>IF($A183="","", INDEX(CS!$B$1:$B$12939,MATCH($A183,CS!$B:$B,0)+COLUMN(A$1),1))</f>
        <v/>
      </c>
      <c r="AY183" t="str">
        <f>IF($A183="","", INDEX(CS!$B$1:$B$12939,MATCH($A183,CS!$B:$B,0)+COLUMN(B$1),1))</f>
        <v/>
      </c>
      <c r="AZ183" t="str">
        <f>IF($A183="","", INDEX(CS!$B$1:$B$12939,MATCH($A183,CS!$B:$B,0)+COLUMN(C$1),1))</f>
        <v/>
      </c>
      <c r="BA183" t="str">
        <f>IF($A183="","", INDEX(CS!$B$1:$B$12939,MATCH($A183,CS!$B:$B,0)+COLUMN(D$1),1))</f>
        <v/>
      </c>
      <c r="BB183" t="str">
        <f>IF($A183="","", INDEX(CS!$B$1:$B$12939,MATCH($A183,CS!$B:$B,0)+COLUMN(E$1),1))</f>
        <v/>
      </c>
      <c r="BC183" t="str">
        <f>IF($A183="","", INDEX(CS!$B$1:$B$12939,MATCH($A183,CS!$B:$B,0)+COLUMN(F$1),1))</f>
        <v/>
      </c>
      <c r="BD183" t="str">
        <f>IF($A183="","", INDEX(CS!$B$1:$B$12939,MATCH($A183,CS!$B:$B,0)+COLUMN(G$1),1))</f>
        <v/>
      </c>
      <c r="BE183" t="str">
        <f>IF($A183="","", INDEX(CS!$B$1:$B$12939,MATCH($A183,CS!$B:$B,0)+COLUMN(H$1),1))</f>
        <v/>
      </c>
      <c r="BF183" t="str">
        <f>IF($A183="","", INDEX(CS!$B$1:$B$12939,MATCH($A183,CS!$B:$B,0)+COLUMN(I$1),1))</f>
        <v/>
      </c>
      <c r="BG183" t="str">
        <f>IF($A183="","", INDEX(CS!$B$1:$B$12939,MATCH($A183,CS!$B:$B,0)+COLUMN(J$1),1))</f>
        <v/>
      </c>
    </row>
    <row r="184" spans="3:59" x14ac:dyDescent="0.4">
      <c r="C184" t="s">
        <v>193</v>
      </c>
      <c r="D184" t="str">
        <f t="shared" si="10"/>
        <v>0/0/0</v>
      </c>
      <c r="E184">
        <v>1</v>
      </c>
      <c r="AX184" t="str">
        <f>IF($A184="","", INDEX(CS!$B$1:$B$12939,MATCH($A184,CS!$B:$B,0)+COLUMN(A$1),1))</f>
        <v/>
      </c>
      <c r="AY184" t="str">
        <f>IF($A184="","", INDEX(CS!$B$1:$B$12939,MATCH($A184,CS!$B:$B,0)+COLUMN(B$1),1))</f>
        <v/>
      </c>
      <c r="AZ184" t="str">
        <f>IF($A184="","", INDEX(CS!$B$1:$B$12939,MATCH($A184,CS!$B:$B,0)+COLUMN(C$1),1))</f>
        <v/>
      </c>
      <c r="BA184" t="str">
        <f>IF($A184="","", INDEX(CS!$B$1:$B$12939,MATCH($A184,CS!$B:$B,0)+COLUMN(D$1),1))</f>
        <v/>
      </c>
      <c r="BB184" t="str">
        <f>IF($A184="","", INDEX(CS!$B$1:$B$12939,MATCH($A184,CS!$B:$B,0)+COLUMN(E$1),1))</f>
        <v/>
      </c>
      <c r="BC184" t="str">
        <f>IF($A184="","", INDEX(CS!$B$1:$B$12939,MATCH($A184,CS!$B:$B,0)+COLUMN(F$1),1))</f>
        <v/>
      </c>
      <c r="BD184" t="str">
        <f>IF($A184="","", INDEX(CS!$B$1:$B$12939,MATCH($A184,CS!$B:$B,0)+COLUMN(G$1),1))</f>
        <v/>
      </c>
      <c r="BE184" t="str">
        <f>IF($A184="","", INDEX(CS!$B$1:$B$12939,MATCH($A184,CS!$B:$B,0)+COLUMN(H$1),1))</f>
        <v/>
      </c>
      <c r="BF184" t="str">
        <f>IF($A184="","", INDEX(CS!$B$1:$B$12939,MATCH($A184,CS!$B:$B,0)+COLUMN(I$1),1))</f>
        <v/>
      </c>
      <c r="BG184" t="str">
        <f>IF($A184="","", INDEX(CS!$B$1:$B$12939,MATCH($A184,CS!$B:$B,0)+COLUMN(J$1),1))</f>
        <v/>
      </c>
    </row>
    <row r="185" spans="3:59" x14ac:dyDescent="0.4">
      <c r="C185" t="s">
        <v>193</v>
      </c>
      <c r="D185" t="str">
        <f t="shared" si="10"/>
        <v>0/0/0</v>
      </c>
      <c r="E185">
        <v>1</v>
      </c>
      <c r="AX185" t="str">
        <f>IF($A185="","", INDEX(CS!$B$1:$B$12939,MATCH($A185,CS!$B:$B,0)+COLUMN(A$1),1))</f>
        <v/>
      </c>
      <c r="AY185" t="str">
        <f>IF($A185="","", INDEX(CS!$B$1:$B$12939,MATCH($A185,CS!$B:$B,0)+COLUMN(B$1),1))</f>
        <v/>
      </c>
      <c r="AZ185" t="str">
        <f>IF($A185="","", INDEX(CS!$B$1:$B$12939,MATCH($A185,CS!$B:$B,0)+COLUMN(C$1),1))</f>
        <v/>
      </c>
      <c r="BA185" t="str">
        <f>IF($A185="","", INDEX(CS!$B$1:$B$12939,MATCH($A185,CS!$B:$B,0)+COLUMN(D$1),1))</f>
        <v/>
      </c>
      <c r="BB185" t="str">
        <f>IF($A185="","", INDEX(CS!$B$1:$B$12939,MATCH($A185,CS!$B:$B,0)+COLUMN(E$1),1))</f>
        <v/>
      </c>
      <c r="BC185" t="str">
        <f>IF($A185="","", INDEX(CS!$B$1:$B$12939,MATCH($A185,CS!$B:$B,0)+COLUMN(F$1),1))</f>
        <v/>
      </c>
      <c r="BD185" t="str">
        <f>IF($A185="","", INDEX(CS!$B$1:$B$12939,MATCH($A185,CS!$B:$B,0)+COLUMN(G$1),1))</f>
        <v/>
      </c>
      <c r="BE185" t="str">
        <f>IF($A185="","", INDEX(CS!$B$1:$B$12939,MATCH($A185,CS!$B:$B,0)+COLUMN(H$1),1))</f>
        <v/>
      </c>
      <c r="BF185" t="str">
        <f>IF($A185="","", INDEX(CS!$B$1:$B$12939,MATCH($A185,CS!$B:$B,0)+COLUMN(I$1),1))</f>
        <v/>
      </c>
      <c r="BG185" t="str">
        <f>IF($A185="","", INDEX(CS!$B$1:$B$12939,MATCH($A185,CS!$B:$B,0)+COLUMN(J$1),1))</f>
        <v/>
      </c>
    </row>
    <row r="186" spans="3:59" x14ac:dyDescent="0.4">
      <c r="C186" t="s">
        <v>193</v>
      </c>
      <c r="D186" t="str">
        <f t="shared" si="10"/>
        <v>0/0/0</v>
      </c>
      <c r="E186">
        <v>1</v>
      </c>
      <c r="AX186" t="str">
        <f>IF($A186="","", INDEX(CS!$B$1:$B$12939,MATCH($A186,CS!$B:$B,0)+COLUMN(A$1),1))</f>
        <v/>
      </c>
      <c r="AY186" t="str">
        <f>IF($A186="","", INDEX(CS!$B$1:$B$12939,MATCH($A186,CS!$B:$B,0)+COLUMN(B$1),1))</f>
        <v/>
      </c>
      <c r="AZ186" t="str">
        <f>IF($A186="","", INDEX(CS!$B$1:$B$12939,MATCH($A186,CS!$B:$B,0)+COLUMN(C$1),1))</f>
        <v/>
      </c>
      <c r="BA186" t="str">
        <f>IF($A186="","", INDEX(CS!$B$1:$B$12939,MATCH($A186,CS!$B:$B,0)+COLUMN(D$1),1))</f>
        <v/>
      </c>
      <c r="BB186" t="str">
        <f>IF($A186="","", INDEX(CS!$B$1:$B$12939,MATCH($A186,CS!$B:$B,0)+COLUMN(E$1),1))</f>
        <v/>
      </c>
      <c r="BC186" t="str">
        <f>IF($A186="","", INDEX(CS!$B$1:$B$12939,MATCH($A186,CS!$B:$B,0)+COLUMN(F$1),1))</f>
        <v/>
      </c>
      <c r="BD186" t="str">
        <f>IF($A186="","", INDEX(CS!$B$1:$B$12939,MATCH($A186,CS!$B:$B,0)+COLUMN(G$1),1))</f>
        <v/>
      </c>
      <c r="BE186" t="str">
        <f>IF($A186="","", INDEX(CS!$B$1:$B$12939,MATCH($A186,CS!$B:$B,0)+COLUMN(H$1),1))</f>
        <v/>
      </c>
      <c r="BF186" t="str">
        <f>IF($A186="","", INDEX(CS!$B$1:$B$12939,MATCH($A186,CS!$B:$B,0)+COLUMN(I$1),1))</f>
        <v/>
      </c>
      <c r="BG186" t="str">
        <f>IF($A186="","", INDEX(CS!$B$1:$B$12939,MATCH($A186,CS!$B:$B,0)+COLUMN(J$1),1))</f>
        <v/>
      </c>
    </row>
    <row r="187" spans="3:59" x14ac:dyDescent="0.4">
      <c r="C187" t="s">
        <v>193</v>
      </c>
      <c r="D187" t="str">
        <f t="shared" si="10"/>
        <v>0/0/0</v>
      </c>
      <c r="E187">
        <v>1</v>
      </c>
      <c r="AX187" t="str">
        <f>IF($A187="","", INDEX(CS!$B$1:$B$12939,MATCH($A187,CS!$B:$B,0)+COLUMN(A$1),1))</f>
        <v/>
      </c>
      <c r="AY187" t="str">
        <f>IF($A187="","", INDEX(CS!$B$1:$B$12939,MATCH($A187,CS!$B:$B,0)+COLUMN(B$1),1))</f>
        <v/>
      </c>
      <c r="AZ187" t="str">
        <f>IF($A187="","", INDEX(CS!$B$1:$B$12939,MATCH($A187,CS!$B:$B,0)+COLUMN(C$1),1))</f>
        <v/>
      </c>
      <c r="BA187" t="str">
        <f>IF($A187="","", INDEX(CS!$B$1:$B$12939,MATCH($A187,CS!$B:$B,0)+COLUMN(D$1),1))</f>
        <v/>
      </c>
      <c r="BB187" t="str">
        <f>IF($A187="","", INDEX(CS!$B$1:$B$12939,MATCH($A187,CS!$B:$B,0)+COLUMN(E$1),1))</f>
        <v/>
      </c>
      <c r="BC187" t="str">
        <f>IF($A187="","", INDEX(CS!$B$1:$B$12939,MATCH($A187,CS!$B:$B,0)+COLUMN(F$1),1))</f>
        <v/>
      </c>
      <c r="BD187" t="str">
        <f>IF($A187="","", INDEX(CS!$B$1:$B$12939,MATCH($A187,CS!$B:$B,0)+COLUMN(G$1),1))</f>
        <v/>
      </c>
      <c r="BE187" t="str">
        <f>IF($A187="","", INDEX(CS!$B$1:$B$12939,MATCH($A187,CS!$B:$B,0)+COLUMN(H$1),1))</f>
        <v/>
      </c>
      <c r="BF187" t="str">
        <f>IF($A187="","", INDEX(CS!$B$1:$B$12939,MATCH($A187,CS!$B:$B,0)+COLUMN(I$1),1))</f>
        <v/>
      </c>
      <c r="BG187" t="str">
        <f>IF($A187="","", INDEX(CS!$B$1:$B$12939,MATCH($A187,CS!$B:$B,0)+COLUMN(J$1),1))</f>
        <v/>
      </c>
    </row>
    <row r="188" spans="3:59" x14ac:dyDescent="0.4">
      <c r="C188" t="s">
        <v>193</v>
      </c>
      <c r="D188" t="str">
        <f t="shared" si="10"/>
        <v>0/0/0</v>
      </c>
      <c r="E188">
        <v>1</v>
      </c>
      <c r="AX188" t="str">
        <f>IF($A188="","", INDEX(CS!$B$1:$B$12939,MATCH($A188,CS!$B:$B,0)+COLUMN(A$1),1))</f>
        <v/>
      </c>
      <c r="AY188" t="str">
        <f>IF($A188="","", INDEX(CS!$B$1:$B$12939,MATCH($A188,CS!$B:$B,0)+COLUMN(B$1),1))</f>
        <v/>
      </c>
      <c r="AZ188" t="str">
        <f>IF($A188="","", INDEX(CS!$B$1:$B$12939,MATCH($A188,CS!$B:$B,0)+COLUMN(C$1),1))</f>
        <v/>
      </c>
      <c r="BA188" t="str">
        <f>IF($A188="","", INDEX(CS!$B$1:$B$12939,MATCH($A188,CS!$B:$B,0)+COLUMN(D$1),1))</f>
        <v/>
      </c>
      <c r="BB188" t="str">
        <f>IF($A188="","", INDEX(CS!$B$1:$B$12939,MATCH($A188,CS!$B:$B,0)+COLUMN(E$1),1))</f>
        <v/>
      </c>
      <c r="BC188" t="str">
        <f>IF($A188="","", INDEX(CS!$B$1:$B$12939,MATCH($A188,CS!$B:$B,0)+COLUMN(F$1),1))</f>
        <v/>
      </c>
      <c r="BD188" t="str">
        <f>IF($A188="","", INDEX(CS!$B$1:$B$12939,MATCH($A188,CS!$B:$B,0)+COLUMN(G$1),1))</f>
        <v/>
      </c>
      <c r="BE188" t="str">
        <f>IF($A188="","", INDEX(CS!$B$1:$B$12939,MATCH($A188,CS!$B:$B,0)+COLUMN(H$1),1))</f>
        <v/>
      </c>
      <c r="BF188" t="str">
        <f>IF($A188="","", INDEX(CS!$B$1:$B$12939,MATCH($A188,CS!$B:$B,0)+COLUMN(I$1),1))</f>
        <v/>
      </c>
      <c r="BG188" t="str">
        <f>IF($A188="","", INDEX(CS!$B$1:$B$12939,MATCH($A188,CS!$B:$B,0)+COLUMN(J$1),1))</f>
        <v/>
      </c>
    </row>
    <row r="189" spans="3:59" x14ac:dyDescent="0.4">
      <c r="C189" t="s">
        <v>193</v>
      </c>
      <c r="D189" t="str">
        <f t="shared" si="10"/>
        <v>0/0/0</v>
      </c>
      <c r="E189">
        <v>1</v>
      </c>
      <c r="AX189" t="str">
        <f>IF($A189="","", INDEX(CS!$B$1:$B$12939,MATCH($A189,CS!$B:$B,0)+COLUMN(A$1),1))</f>
        <v/>
      </c>
      <c r="AY189" t="str">
        <f>IF($A189="","", INDEX(CS!$B$1:$B$12939,MATCH($A189,CS!$B:$B,0)+COLUMN(B$1),1))</f>
        <v/>
      </c>
      <c r="AZ189" t="str">
        <f>IF($A189="","", INDEX(CS!$B$1:$B$12939,MATCH($A189,CS!$B:$B,0)+COLUMN(C$1),1))</f>
        <v/>
      </c>
      <c r="BA189" t="str">
        <f>IF($A189="","", INDEX(CS!$B$1:$B$12939,MATCH($A189,CS!$B:$B,0)+COLUMN(D$1),1))</f>
        <v/>
      </c>
      <c r="BB189" t="str">
        <f>IF($A189="","", INDEX(CS!$B$1:$B$12939,MATCH($A189,CS!$B:$B,0)+COLUMN(E$1),1))</f>
        <v/>
      </c>
      <c r="BC189" t="str">
        <f>IF($A189="","", INDEX(CS!$B$1:$B$12939,MATCH($A189,CS!$B:$B,0)+COLUMN(F$1),1))</f>
        <v/>
      </c>
      <c r="BD189" t="str">
        <f>IF($A189="","", INDEX(CS!$B$1:$B$12939,MATCH($A189,CS!$B:$B,0)+COLUMN(G$1),1))</f>
        <v/>
      </c>
      <c r="BE189" t="str">
        <f>IF($A189="","", INDEX(CS!$B$1:$B$12939,MATCH($A189,CS!$B:$B,0)+COLUMN(H$1),1))</f>
        <v/>
      </c>
      <c r="BF189" t="str">
        <f>IF($A189="","", INDEX(CS!$B$1:$B$12939,MATCH($A189,CS!$B:$B,0)+COLUMN(I$1),1))</f>
        <v/>
      </c>
      <c r="BG189" t="str">
        <f>IF($A189="","", INDEX(CS!$B$1:$B$12939,MATCH($A189,CS!$B:$B,0)+COLUMN(J$1),1))</f>
        <v/>
      </c>
    </row>
    <row r="190" spans="3:59" x14ac:dyDescent="0.4">
      <c r="C190" t="s">
        <v>193</v>
      </c>
      <c r="D190" t="str">
        <f t="shared" si="10"/>
        <v>0/0/0</v>
      </c>
      <c r="E190">
        <v>1</v>
      </c>
      <c r="AX190" t="str">
        <f>IF($A190="","", INDEX(CS!$B$1:$B$12939,MATCH($A190,CS!$B:$B,0)+COLUMN(A$1),1))</f>
        <v/>
      </c>
      <c r="AY190" t="str">
        <f>IF($A190="","", INDEX(CS!$B$1:$B$12939,MATCH($A190,CS!$B:$B,0)+COLUMN(B$1),1))</f>
        <v/>
      </c>
      <c r="AZ190" t="str">
        <f>IF($A190="","", INDEX(CS!$B$1:$B$12939,MATCH($A190,CS!$B:$B,0)+COLUMN(C$1),1))</f>
        <v/>
      </c>
      <c r="BA190" t="str">
        <f>IF($A190="","", INDEX(CS!$B$1:$B$12939,MATCH($A190,CS!$B:$B,0)+COLUMN(D$1),1))</f>
        <v/>
      </c>
      <c r="BB190" t="str">
        <f>IF($A190="","", INDEX(CS!$B$1:$B$12939,MATCH($A190,CS!$B:$B,0)+COLUMN(E$1),1))</f>
        <v/>
      </c>
      <c r="BC190" t="str">
        <f>IF($A190="","", INDEX(CS!$B$1:$B$12939,MATCH($A190,CS!$B:$B,0)+COLUMN(F$1),1))</f>
        <v/>
      </c>
      <c r="BD190" t="str">
        <f>IF($A190="","", INDEX(CS!$B$1:$B$12939,MATCH($A190,CS!$B:$B,0)+COLUMN(I$1),1))</f>
        <v/>
      </c>
      <c r="BE190" t="str">
        <f>IF($A190="","", INDEX(CS!$B$1:$B$12939,MATCH($A190,CS!$B:$B,0)+COLUMN(J$1),1))</f>
        <v/>
      </c>
      <c r="BF190" t="str">
        <f>IF($A190="","", INDEX(CS!$B$1:$B$12939,MATCH($A190,CS!$B:$B,0)+COLUMN(K$1),1))</f>
        <v/>
      </c>
      <c r="BG190" t="str">
        <f>IF($A190="","", INDEX(CS!$B$1:$B$12939,MATCH($A190,CS!$B:$B,0)+COLUMN(L$1),1))</f>
        <v/>
      </c>
    </row>
    <row r="191" spans="3:59" x14ac:dyDescent="0.4">
      <c r="C191" t="s">
        <v>193</v>
      </c>
      <c r="D191" t="str">
        <f t="shared" si="10"/>
        <v>0/0/0</v>
      </c>
      <c r="E191">
        <v>1</v>
      </c>
      <c r="AX191" t="str">
        <f>IF($A191="","", INDEX(CS!$B$1:$B$12939,MATCH($A191,CS!$B:$B,0)+COLUMN(A$1),1))</f>
        <v/>
      </c>
      <c r="AY191" t="str">
        <f>IF($A191="","", INDEX(CS!$B$1:$B$12939,MATCH($A191,CS!$B:$B,0)+COLUMN(B$1),1))</f>
        <v/>
      </c>
      <c r="AZ191" t="str">
        <f>IF($A191="","", INDEX(CS!$B$1:$B$12939,MATCH($A191,CS!$B:$B,0)+COLUMN(C$1),1))</f>
        <v/>
      </c>
      <c r="BA191" t="str">
        <f>IF($A191="","", INDEX(CS!$B$1:$B$12939,MATCH($A191,CS!$B:$B,0)+COLUMN(D$1),1))</f>
        <v/>
      </c>
      <c r="BB191" t="str">
        <f>IF($A191="","", INDEX(CS!$B$1:$B$12939,MATCH($A191,CS!$B:$B,0)+COLUMN(E$1),1))</f>
        <v/>
      </c>
      <c r="BC191" t="str">
        <f>IF($A191="","", INDEX(CS!$B$1:$B$12939,MATCH($A191,CS!$B:$B,0)+COLUMN(F$1),1))</f>
        <v/>
      </c>
      <c r="BD191" t="str">
        <f>IF($A191="","", INDEX(CS!$B$1:$B$12939,MATCH($A191,CS!$B:$B,0)+COLUMN(I$1),1))</f>
        <v/>
      </c>
      <c r="BE191" t="str">
        <f>IF($A191="","", INDEX(CS!$B$1:$B$12939,MATCH($A191,CS!$B:$B,0)+COLUMN(J$1),1))</f>
        <v/>
      </c>
      <c r="BF191" t="str">
        <f>IF($A191="","", INDEX(CS!$B$1:$B$12939,MATCH($A191,CS!$B:$B,0)+COLUMN(K$1),1))</f>
        <v/>
      </c>
      <c r="BG191" t="str">
        <f>IF($A191="","", INDEX(CS!$B$1:$B$12939,MATCH($A191,CS!$B:$B,0)+COLUMN(L$1),1))</f>
        <v/>
      </c>
    </row>
    <row r="192" spans="3:59" x14ac:dyDescent="0.4">
      <c r="C192" t="s">
        <v>193</v>
      </c>
      <c r="D192" t="str">
        <f t="shared" si="10"/>
        <v>0/0/0</v>
      </c>
      <c r="E192">
        <v>1</v>
      </c>
      <c r="AX192" t="str">
        <f>IF($A192="","", INDEX(CS!$B$1:$B$12939,MATCH($A192,CS!$B:$B,0)+COLUMN(A$1),1))</f>
        <v/>
      </c>
      <c r="AY192" t="str">
        <f>IF($A192="","", INDEX(CS!$B$1:$B$12939,MATCH($A192,CS!$B:$B,0)+COLUMN(B$1),1))</f>
        <v/>
      </c>
      <c r="AZ192" t="str">
        <f>IF($A192="","", INDEX(CS!$B$1:$B$12939,MATCH($A192,CS!$B:$B,0)+COLUMN(C$1),1))</f>
        <v/>
      </c>
      <c r="BA192" t="str">
        <f>IF($A192="","", INDEX(CS!$B$1:$B$12939,MATCH($A192,CS!$B:$B,0)+COLUMN(D$1),1))</f>
        <v/>
      </c>
      <c r="BB192" t="str">
        <f>IF($A192="","", INDEX(CS!$B$1:$B$12939,MATCH($A192,CS!$B:$B,0)+COLUMN(E$1),1))</f>
        <v/>
      </c>
      <c r="BC192" t="str">
        <f>IF($A192="","", INDEX(CS!$B$1:$B$12939,MATCH($A192,CS!$B:$B,0)+COLUMN(F$1),1))</f>
        <v/>
      </c>
      <c r="BD192" t="str">
        <f>IF($A192="","", INDEX(CS!$B$1:$B$12939,MATCH($A192,CS!$B:$B,0)+COLUMN(I$1),1))</f>
        <v/>
      </c>
      <c r="BE192" t="str">
        <f>IF($A192="","", INDEX(CS!$B$1:$B$12939,MATCH($A192,CS!$B:$B,0)+COLUMN(J$1),1))</f>
        <v/>
      </c>
      <c r="BF192" t="str">
        <f>IF($A192="","", INDEX(CS!$B$1:$B$12939,MATCH($A192,CS!$B:$B,0)+COLUMN(K$1),1))</f>
        <v/>
      </c>
      <c r="BG192" t="str">
        <f>IF($A192="","", INDEX(CS!$B$1:$B$12939,MATCH($A192,CS!$B:$B,0)+COLUMN(L$1),1))</f>
        <v/>
      </c>
    </row>
    <row r="193" spans="3:59" x14ac:dyDescent="0.4">
      <c r="C193" t="s">
        <v>193</v>
      </c>
      <c r="D193" t="str">
        <f t="shared" si="10"/>
        <v>0/0/0</v>
      </c>
      <c r="E193">
        <v>1</v>
      </c>
      <c r="AX193" t="str">
        <f>IF($A193="","", INDEX(CS!$B$1:$B$12939,MATCH($A193,CS!$B:$B,0)+COLUMN(A$1),1))</f>
        <v/>
      </c>
      <c r="AY193" t="str">
        <f>IF($A193="","", INDEX(CS!$B$1:$B$12939,MATCH($A193,CS!$B:$B,0)+COLUMN(B$1),1))</f>
        <v/>
      </c>
      <c r="AZ193" t="str">
        <f>IF($A193="","", INDEX(CS!$B$1:$B$12939,MATCH($A193,CS!$B:$B,0)+COLUMN(C$1),1))</f>
        <v/>
      </c>
      <c r="BA193" t="str">
        <f>IF($A193="","", INDEX(CS!$B$1:$B$12939,MATCH($A193,CS!$B:$B,0)+COLUMN(D$1),1))</f>
        <v/>
      </c>
      <c r="BB193" t="str">
        <f>IF($A193="","", INDEX(CS!$B$1:$B$12939,MATCH($A193,CS!$B:$B,0)+COLUMN(E$1),1))</f>
        <v/>
      </c>
      <c r="BC193" t="str">
        <f>IF($A193="","", INDEX(CS!$B$1:$B$12939,MATCH($A193,CS!$B:$B,0)+COLUMN(F$1),1))</f>
        <v/>
      </c>
      <c r="BD193" t="str">
        <f>IF($A193="","", INDEX(CS!$B$1:$B$12939,MATCH($A193,CS!$B:$B,0)+COLUMN(I$1),1))</f>
        <v/>
      </c>
      <c r="BE193" t="str">
        <f>IF($A193="","", INDEX(CS!$B$1:$B$12939,MATCH($A193,CS!$B:$B,0)+COLUMN(J$1),1))</f>
        <v/>
      </c>
      <c r="BF193" t="str">
        <f>IF($A193="","", INDEX(CS!$B$1:$B$12939,MATCH($A193,CS!$B:$B,0)+COLUMN(K$1),1))</f>
        <v/>
      </c>
      <c r="BG193" t="str">
        <f>IF($A193="","", INDEX(CS!$B$1:$B$12939,MATCH($A193,CS!$B:$B,0)+COLUMN(L$1),1))</f>
        <v/>
      </c>
    </row>
    <row r="194" spans="3:59" x14ac:dyDescent="0.4">
      <c r="C194" t="s">
        <v>193</v>
      </c>
      <c r="D194" t="str">
        <f t="shared" si="10"/>
        <v>0/0/0</v>
      </c>
      <c r="E194">
        <v>1</v>
      </c>
      <c r="AX194" t="str">
        <f>IF($A194="","", INDEX(CS!$B$1:$B$12939,MATCH($A194,CS!$B:$B,0)+COLUMN(A$1),1))</f>
        <v/>
      </c>
      <c r="AY194" t="str">
        <f>IF($A194="","", INDEX(CS!$B$1:$B$12939,MATCH($A194,CS!$B:$B,0)+COLUMN(B$1),1))</f>
        <v/>
      </c>
      <c r="AZ194" t="str">
        <f>IF($A194="","", INDEX(CS!$B$1:$B$12939,MATCH($A194,CS!$B:$B,0)+COLUMN(C$1),1))</f>
        <v/>
      </c>
      <c r="BA194" t="str">
        <f>IF($A194="","", INDEX(CS!$B$1:$B$12939,MATCH($A194,CS!$B:$B,0)+COLUMN(D$1),1))</f>
        <v/>
      </c>
      <c r="BB194" t="str">
        <f>IF($A194="","", INDEX(CS!$B$1:$B$12939,MATCH($A194,CS!$B:$B,0)+COLUMN(E$1),1))</f>
        <v/>
      </c>
      <c r="BC194" t="str">
        <f>IF($A194="","", INDEX(CS!$B$1:$B$12939,MATCH($A194,CS!$B:$B,0)+COLUMN(F$1),1))</f>
        <v/>
      </c>
      <c r="BD194" t="str">
        <f>IF($A194="","", INDEX(CS!$B$1:$B$12939,MATCH($A194,CS!$B:$B,0)+COLUMN(I$1),1))</f>
        <v/>
      </c>
      <c r="BE194" t="str">
        <f>IF($A194="","", INDEX(CS!$B$1:$B$12939,MATCH($A194,CS!$B:$B,0)+COLUMN(J$1),1))</f>
        <v/>
      </c>
      <c r="BF194" t="str">
        <f>IF($A194="","", INDEX(CS!$B$1:$B$12939,MATCH($A194,CS!$B:$B,0)+COLUMN(K$1),1))</f>
        <v/>
      </c>
      <c r="BG194" t="str">
        <f>IF($A194="","", INDEX(CS!$B$1:$B$12939,MATCH($A194,CS!$B:$B,0)+COLUMN(L$1),1))</f>
        <v/>
      </c>
    </row>
    <row r="195" spans="3:59" x14ac:dyDescent="0.4">
      <c r="C195" t="s">
        <v>193</v>
      </c>
      <c r="D195" t="str">
        <f t="shared" si="10"/>
        <v>0/0/0</v>
      </c>
      <c r="E195">
        <v>1</v>
      </c>
      <c r="AX195" t="str">
        <f>IF($A195="","", INDEX(CS!$B$1:$B$12939,MATCH($A195,CS!$B:$B,0)+COLUMN(A$1),1))</f>
        <v/>
      </c>
      <c r="AY195" t="str">
        <f>IF($A195="","", INDEX(CS!$B$1:$B$12939,MATCH($A195,CS!$B:$B,0)+COLUMN(B$1),1))</f>
        <v/>
      </c>
      <c r="AZ195" t="str">
        <f>IF($A195="","", INDEX(CS!$B$1:$B$12939,MATCH($A195,CS!$B:$B,0)+COLUMN(C$1),1))</f>
        <v/>
      </c>
      <c r="BA195" t="str">
        <f>IF($A195="","", INDEX(CS!$B$1:$B$12939,MATCH($A195,CS!$B:$B,0)+COLUMN(D$1),1))</f>
        <v/>
      </c>
      <c r="BB195" t="str">
        <f>IF($A195="","", INDEX(CS!$B$1:$B$12939,MATCH($A195,CS!$B:$B,0)+COLUMN(E$1),1))</f>
        <v/>
      </c>
      <c r="BC195" t="str">
        <f>IF($A195="","", INDEX(CS!$B$1:$B$12939,MATCH($A195,CS!$B:$B,0)+COLUMN(F$1),1))</f>
        <v/>
      </c>
      <c r="BD195" t="str">
        <f>IF($A195="","", INDEX(CS!$B$1:$B$12939,MATCH($A195,CS!$B:$B,0)+COLUMN(I$1),1))</f>
        <v/>
      </c>
      <c r="BE195" t="str">
        <f>IF($A195="","", INDEX(CS!$B$1:$B$12939,MATCH($A195,CS!$B:$B,0)+COLUMN(J$1),1))</f>
        <v/>
      </c>
      <c r="BF195" t="str">
        <f>IF($A195="","", INDEX(CS!$B$1:$B$12939,MATCH($A195,CS!$B:$B,0)+COLUMN(K$1),1))</f>
        <v/>
      </c>
      <c r="BG195" t="str">
        <f>IF($A195="","", INDEX(CS!$B$1:$B$12939,MATCH($A195,CS!$B:$B,0)+COLUMN(L$1),1))</f>
        <v/>
      </c>
    </row>
    <row r="196" spans="3:59" x14ac:dyDescent="0.4">
      <c r="C196" t="s">
        <v>193</v>
      </c>
      <c r="D196" t="str">
        <f t="shared" si="10"/>
        <v>0/0/0</v>
      </c>
      <c r="E196">
        <v>1</v>
      </c>
      <c r="AX196" t="str">
        <f>IF($A196="","", INDEX(CS!$B$1:$B$12939,MATCH($A196,CS!$B:$B,0)+COLUMN(A$1),1))</f>
        <v/>
      </c>
      <c r="AY196" t="str">
        <f>IF($A196="","", INDEX(CS!$B$1:$B$12939,MATCH($A196,CS!$B:$B,0)+COLUMN(B$1),1))</f>
        <v/>
      </c>
      <c r="AZ196" t="str">
        <f>IF($A196="","", INDEX(CS!$B$1:$B$12939,MATCH($A196,CS!$B:$B,0)+COLUMN(C$1),1))</f>
        <v/>
      </c>
      <c r="BA196" t="str">
        <f>IF($A196="","", INDEX(CS!$B$1:$B$12939,MATCH($A196,CS!$B:$B,0)+COLUMN(D$1),1))</f>
        <v/>
      </c>
      <c r="BB196" t="str">
        <f>IF($A196="","", INDEX(CS!$B$1:$B$12939,MATCH($A196,CS!$B:$B,0)+COLUMN(E$1),1))</f>
        <v/>
      </c>
      <c r="BC196" t="str">
        <f>IF($A196="","", INDEX(CS!$B$1:$B$12939,MATCH($A196,CS!$B:$B,0)+COLUMN(F$1),1))</f>
        <v/>
      </c>
      <c r="BD196" t="str">
        <f>IF($A196="","", INDEX(CS!$B$1:$B$12939,MATCH($A196,CS!$B:$B,0)+COLUMN(I$1),1))</f>
        <v/>
      </c>
      <c r="BE196" t="str">
        <f>IF($A196="","", INDEX(CS!$B$1:$B$12939,MATCH($A196,CS!$B:$B,0)+COLUMN(J$1),1))</f>
        <v/>
      </c>
      <c r="BF196" t="str">
        <f>IF($A196="","", INDEX(CS!$B$1:$B$12939,MATCH($A196,CS!$B:$B,0)+COLUMN(K$1),1))</f>
        <v/>
      </c>
      <c r="BG196" t="str">
        <f>IF($A196="","", INDEX(CS!$B$1:$B$12939,MATCH($A196,CS!$B:$B,0)+COLUMN(L$1),1))</f>
        <v/>
      </c>
    </row>
    <row r="197" spans="3:59" x14ac:dyDescent="0.4">
      <c r="C197" t="s">
        <v>193</v>
      </c>
      <c r="D197" t="str">
        <f t="shared" si="10"/>
        <v>0/0/0</v>
      </c>
      <c r="E197">
        <v>1</v>
      </c>
      <c r="AX197" t="str">
        <f>IF($A197="","", INDEX(CS!$B$1:$B$12939,MATCH($A197,CS!$B:$B,0)+COLUMN(A$1),1))</f>
        <v/>
      </c>
      <c r="AY197" t="str">
        <f>IF($A197="","", INDEX(CS!$B$1:$B$12939,MATCH($A197,CS!$B:$B,0)+COLUMN(B$1),1))</f>
        <v/>
      </c>
      <c r="AZ197" t="str">
        <f>IF($A197="","", INDEX(CS!$B$1:$B$12939,MATCH($A197,CS!$B:$B,0)+COLUMN(C$1),1))</f>
        <v/>
      </c>
      <c r="BA197" t="str">
        <f>IF($A197="","", INDEX(CS!$B$1:$B$12939,MATCH($A197,CS!$B:$B,0)+COLUMN(D$1),1))</f>
        <v/>
      </c>
      <c r="BB197" t="str">
        <f>IF($A197="","", INDEX(CS!$B$1:$B$12939,MATCH($A197,CS!$B:$B,0)+COLUMN(E$1),1))</f>
        <v/>
      </c>
      <c r="BC197" t="str">
        <f>IF($A197="","", INDEX(CS!$B$1:$B$12939,MATCH($A197,CS!$B:$B,0)+COLUMN(F$1),1))</f>
        <v/>
      </c>
      <c r="BD197" t="str">
        <f>IF($A197="","", INDEX(CS!$B$1:$B$12939,MATCH($A197,CS!$B:$B,0)+COLUMN(I$1),1))</f>
        <v/>
      </c>
      <c r="BE197" t="str">
        <f>IF($A197="","", INDEX(CS!$B$1:$B$12939,MATCH($A197,CS!$B:$B,0)+COLUMN(J$1),1))</f>
        <v/>
      </c>
      <c r="BF197" t="str">
        <f>IF($A197="","", INDEX(CS!$B$1:$B$12939,MATCH($A197,CS!$B:$B,0)+COLUMN(K$1),1))</f>
        <v/>
      </c>
      <c r="BG197" t="str">
        <f>IF($A197="","", INDEX(CS!$B$1:$B$12939,MATCH($A197,CS!$B:$B,0)+COLUMN(L$1),1))</f>
        <v/>
      </c>
    </row>
    <row r="198" spans="3:59" x14ac:dyDescent="0.4">
      <c r="C198" t="s">
        <v>193</v>
      </c>
      <c r="D198" t="str">
        <f t="shared" si="10"/>
        <v>0/0/0</v>
      </c>
      <c r="E198">
        <v>1</v>
      </c>
      <c r="AX198" t="str">
        <f>IF($A198="","", INDEX(CS!$B$1:$B$12939,MATCH($A198,CS!$B:$B,0)+COLUMN(A$1),1))</f>
        <v/>
      </c>
      <c r="AY198" t="str">
        <f>IF($A198="","", INDEX(CS!$B$1:$B$12939,MATCH($A198,CS!$B:$B,0)+COLUMN(B$1),1))</f>
        <v/>
      </c>
      <c r="AZ198" t="str">
        <f>IF($A198="","", INDEX(CS!$B$1:$B$12939,MATCH($A198,CS!$B:$B,0)+COLUMN(C$1),1))</f>
        <v/>
      </c>
      <c r="BA198" t="str">
        <f>IF($A198="","", INDEX(CS!$B$1:$B$12939,MATCH($A198,CS!$B:$B,0)+COLUMN(D$1),1))</f>
        <v/>
      </c>
      <c r="BB198" t="str">
        <f>IF($A198="","", INDEX(CS!$B$1:$B$12939,MATCH($A198,CS!$B:$B,0)+COLUMN(E$1),1))</f>
        <v/>
      </c>
      <c r="BC198" t="str">
        <f>IF($A198="","", INDEX(CS!$B$1:$B$12939,MATCH($A198,CS!$B:$B,0)+COLUMN(F$1),1))</f>
        <v/>
      </c>
      <c r="BD198" t="str">
        <f>IF($A198="","", INDEX(CS!$B$1:$B$12939,MATCH($A198,CS!$B:$B,0)+COLUMN(I$1),1))</f>
        <v/>
      </c>
      <c r="BE198" t="str">
        <f>IF($A198="","", INDEX(CS!$B$1:$B$12939,MATCH($A198,CS!$B:$B,0)+COLUMN(J$1),1))</f>
        <v/>
      </c>
      <c r="BF198" t="str">
        <f>IF($A198="","", INDEX(CS!$B$1:$B$12939,MATCH($A198,CS!$B:$B,0)+COLUMN(K$1),1))</f>
        <v/>
      </c>
      <c r="BG198" t="str">
        <f>IF($A198="","", INDEX(CS!$B$1:$B$12939,MATCH($A198,CS!$B:$B,0)+COLUMN(L$1),1))</f>
        <v/>
      </c>
    </row>
    <row r="199" spans="3:59" x14ac:dyDescent="0.4">
      <c r="C199" t="s">
        <v>193</v>
      </c>
      <c r="D199" t="str">
        <f t="shared" si="10"/>
        <v>0/0/0</v>
      </c>
      <c r="E199">
        <v>1</v>
      </c>
      <c r="AX199" t="str">
        <f>IF($A199="","", INDEX(CS!$B$1:$B$12939,MATCH($A199,CS!$B:$B,0)+COLUMN(A$1),1))</f>
        <v/>
      </c>
      <c r="AY199" t="str">
        <f>IF($A199="","", INDEX(CS!$B$1:$B$12939,MATCH($A199,CS!$B:$B,0)+COLUMN(B$1),1))</f>
        <v/>
      </c>
      <c r="AZ199" t="str">
        <f>IF($A199="","", INDEX(CS!$B$1:$B$12939,MATCH($A199,CS!$B:$B,0)+COLUMN(C$1),1))</f>
        <v/>
      </c>
      <c r="BA199" t="str">
        <f>IF($A199="","", INDEX(CS!$B$1:$B$12939,MATCH($A199,CS!$B:$B,0)+COLUMN(D$1),1))</f>
        <v/>
      </c>
      <c r="BB199" t="str">
        <f>IF($A199="","", INDEX(CS!$B$1:$B$12939,MATCH($A199,CS!$B:$B,0)+COLUMN(E$1),1))</f>
        <v/>
      </c>
      <c r="BC199" t="str">
        <f>IF($A199="","", INDEX(CS!$B$1:$B$12939,MATCH($A199,CS!$B:$B,0)+COLUMN(F$1),1))</f>
        <v/>
      </c>
      <c r="BD199" t="str">
        <f>IF($A199="","", INDEX(CS!$B$1:$B$12939,MATCH($A199,CS!$B:$B,0)+COLUMN(I$1),1))</f>
        <v/>
      </c>
      <c r="BE199" t="str">
        <f>IF($A199="","", INDEX(CS!$B$1:$B$12939,MATCH($A199,CS!$B:$B,0)+COLUMN(J$1),1))</f>
        <v/>
      </c>
      <c r="BF199" t="str">
        <f>IF($A199="","", INDEX(CS!$B$1:$B$12939,MATCH($A199,CS!$B:$B,0)+COLUMN(K$1),1))</f>
        <v/>
      </c>
      <c r="BG199" t="str">
        <f>IF($A199="","", INDEX(CS!$B$1:$B$12939,MATCH($A199,CS!$B:$B,0)+COLUMN(L$1),1))</f>
        <v/>
      </c>
    </row>
    <row r="200" spans="3:59" x14ac:dyDescent="0.4">
      <c r="C200" t="s">
        <v>193</v>
      </c>
      <c r="D200" t="str">
        <f t="shared" si="10"/>
        <v>0/0/0</v>
      </c>
      <c r="E200">
        <v>1</v>
      </c>
      <c r="AX200" t="str">
        <f>IF($A200="","", INDEX(CS!$B$1:$B$12939,MATCH($A200,CS!$B:$B,0)+COLUMN(A$1),1))</f>
        <v/>
      </c>
      <c r="AY200" t="str">
        <f>IF($A200="","", INDEX(CS!$B$1:$B$12939,MATCH($A200,CS!$B:$B,0)+COLUMN(B$1),1))</f>
        <v/>
      </c>
      <c r="AZ200" t="str">
        <f>IF($A200="","", INDEX(CS!$B$1:$B$12939,MATCH($A200,CS!$B:$B,0)+COLUMN(C$1),1))</f>
        <v/>
      </c>
      <c r="BA200" t="str">
        <f>IF($A200="","", INDEX(CS!$B$1:$B$12939,MATCH($A200,CS!$B:$B,0)+COLUMN(D$1),1))</f>
        <v/>
      </c>
      <c r="BB200" t="str">
        <f>IF($A200="","", INDEX(CS!$B$1:$B$12939,MATCH($A200,CS!$B:$B,0)+COLUMN(E$1),1))</f>
        <v/>
      </c>
      <c r="BC200" t="str">
        <f>IF($A200="","", INDEX(CS!$B$1:$B$12939,MATCH($A200,CS!$B:$B,0)+COLUMN(F$1),1))</f>
        <v/>
      </c>
      <c r="BD200" t="str">
        <f>IF($A200="","", INDEX(CS!$B$1:$B$12939,MATCH($A200,CS!$B:$B,0)+COLUMN(I$1),1))</f>
        <v/>
      </c>
      <c r="BE200" t="str">
        <f>IF($A200="","", INDEX(CS!$B$1:$B$12939,MATCH($A200,CS!$B:$B,0)+COLUMN(J$1),1))</f>
        <v/>
      </c>
      <c r="BF200" t="str">
        <f>IF($A200="","", INDEX(CS!$B$1:$B$12939,MATCH($A200,CS!$B:$B,0)+COLUMN(K$1),1))</f>
        <v/>
      </c>
      <c r="BG200" t="str">
        <f>IF($A200="","", INDEX(CS!$B$1:$B$12939,MATCH($A200,CS!$B:$B,0)+COLUMN(L$1),1))</f>
        <v/>
      </c>
    </row>
    <row r="201" spans="3:59" x14ac:dyDescent="0.4">
      <c r="C201" t="s">
        <v>193</v>
      </c>
      <c r="D201" t="str">
        <f t="shared" si="10"/>
        <v>0/0/0</v>
      </c>
      <c r="E201">
        <v>1</v>
      </c>
      <c r="AX201" t="str">
        <f>IF($A201="","", INDEX(CS!$B$1:$B$12939,MATCH($A201,CS!$B:$B,0)+COLUMN(A$1),1))</f>
        <v/>
      </c>
      <c r="AY201" t="str">
        <f>IF($A201="","", INDEX(CS!$B$1:$B$12939,MATCH($A201,CS!$B:$B,0)+COLUMN(B$1),1))</f>
        <v/>
      </c>
      <c r="AZ201" t="str">
        <f>IF($A201="","", INDEX(CS!$B$1:$B$12939,MATCH($A201,CS!$B:$B,0)+COLUMN(C$1),1))</f>
        <v/>
      </c>
      <c r="BA201" t="str">
        <f>IF($A201="","", INDEX(CS!$B$1:$B$12939,MATCH($A201,CS!$B:$B,0)+COLUMN(D$1),1))</f>
        <v/>
      </c>
      <c r="BB201" t="str">
        <f>IF($A201="","", INDEX(CS!$B$1:$B$12939,MATCH($A201,CS!$B:$B,0)+COLUMN(E$1),1))</f>
        <v/>
      </c>
      <c r="BC201" t="str">
        <f>IF($A201="","", INDEX(CS!$B$1:$B$12939,MATCH($A201,CS!$B:$B,0)+COLUMN(F$1),1))</f>
        <v/>
      </c>
      <c r="BD201" t="str">
        <f>IF($A201="","", INDEX(CS!$B$1:$B$12939,MATCH($A201,CS!$B:$B,0)+COLUMN(I$1),1))</f>
        <v/>
      </c>
      <c r="BE201" t="str">
        <f>IF($A201="","", INDEX(CS!$B$1:$B$12939,MATCH($A201,CS!$B:$B,0)+COLUMN(J$1),1))</f>
        <v/>
      </c>
      <c r="BF201" t="str">
        <f>IF($A201="","", INDEX(CS!$B$1:$B$12939,MATCH($A201,CS!$B:$B,0)+COLUMN(K$1),1))</f>
        <v/>
      </c>
      <c r="BG201" t="str">
        <f>IF($A201="","", INDEX(CS!$B$1:$B$12939,MATCH($A201,CS!$B:$B,0)+COLUMN(L$1),1))</f>
        <v/>
      </c>
    </row>
    <row r="202" spans="3:59" x14ac:dyDescent="0.4">
      <c r="C202" t="s">
        <v>193</v>
      </c>
      <c r="D202" t="str">
        <f t="shared" si="10"/>
        <v>0/0/0</v>
      </c>
      <c r="E202">
        <v>1</v>
      </c>
      <c r="AX202" t="str">
        <f>IF($A202="","", INDEX(CS!$B$1:$B$12939,MATCH($A202,CS!$B:$B,0)+COLUMN(A$1),1))</f>
        <v/>
      </c>
      <c r="AY202" t="str">
        <f>IF($A202="","", INDEX(CS!$B$1:$B$12939,MATCH($A202,CS!$B:$B,0)+COLUMN(B$1),1))</f>
        <v/>
      </c>
      <c r="AZ202" t="str">
        <f>IF($A202="","", INDEX(CS!$B$1:$B$12939,MATCH($A202,CS!$B:$B,0)+COLUMN(C$1),1))</f>
        <v/>
      </c>
      <c r="BA202" t="str">
        <f>IF($A202="","", INDEX(CS!$B$1:$B$12939,MATCH($A202,CS!$B:$B,0)+COLUMN(D$1),1))</f>
        <v/>
      </c>
      <c r="BB202" t="str">
        <f>IF($A202="","", INDEX(CS!$B$1:$B$12939,MATCH($A202,CS!$B:$B,0)+COLUMN(E$1),1))</f>
        <v/>
      </c>
      <c r="BC202" t="str">
        <f>IF($A202="","", INDEX(CS!$B$1:$B$12939,MATCH($A202,CS!$B:$B,0)+COLUMN(F$1),1))</f>
        <v/>
      </c>
      <c r="BD202" t="str">
        <f>IF($A202="","", INDEX(CS!$B$1:$B$12939,MATCH($A202,CS!$B:$B,0)+COLUMN(I$1),1))</f>
        <v/>
      </c>
      <c r="BE202" t="str">
        <f>IF($A202="","", INDEX(CS!$B$1:$B$12939,MATCH($A202,CS!$B:$B,0)+COLUMN(J$1),1))</f>
        <v/>
      </c>
      <c r="BF202" t="str">
        <f>IF($A202="","", INDEX(CS!$B$1:$B$12939,MATCH($A202,CS!$B:$B,0)+COLUMN(K$1),1))</f>
        <v/>
      </c>
      <c r="BG202" t="str">
        <f>IF($A202="","", INDEX(CS!$B$1:$B$12939,MATCH($A202,CS!$B:$B,0)+COLUMN(L$1),1))</f>
        <v/>
      </c>
    </row>
    <row r="203" spans="3:59" x14ac:dyDescent="0.4">
      <c r="C203" t="s">
        <v>193</v>
      </c>
      <c r="D203" t="str">
        <f t="shared" si="10"/>
        <v>0/0/0</v>
      </c>
      <c r="E203">
        <v>1</v>
      </c>
      <c r="AX203" t="str">
        <f>IF($A203="","", INDEX(CS!$B$1:$B$12939,MATCH($A203,CS!$B:$B,0)+COLUMN(A$1),1))</f>
        <v/>
      </c>
      <c r="AY203" t="str">
        <f>IF($A203="","", INDEX(CS!$B$1:$B$12939,MATCH($A203,CS!$B:$B,0)+COLUMN(B$1),1))</f>
        <v/>
      </c>
      <c r="AZ203" t="str">
        <f>IF($A203="","", INDEX(CS!$B$1:$B$12939,MATCH($A203,CS!$B:$B,0)+COLUMN(C$1),1))</f>
        <v/>
      </c>
      <c r="BA203" t="str">
        <f>IF($A203="","", INDEX(CS!$B$1:$B$12939,MATCH($A203,CS!$B:$B,0)+COLUMN(D$1),1))</f>
        <v/>
      </c>
      <c r="BB203" t="str">
        <f>IF($A203="","", INDEX(CS!$B$1:$B$12939,MATCH($A203,CS!$B:$B,0)+COLUMN(E$1),1))</f>
        <v/>
      </c>
      <c r="BC203" t="str">
        <f>IF($A203="","", INDEX(CS!$B$1:$B$12939,MATCH($A203,CS!$B:$B,0)+COLUMN(F$1),1))</f>
        <v/>
      </c>
      <c r="BD203" t="str">
        <f>IF($A203="","", INDEX(CS!$B$1:$B$12939,MATCH($A203,CS!$B:$B,0)+COLUMN(I$1),1))</f>
        <v/>
      </c>
      <c r="BE203" t="str">
        <f>IF($A203="","", INDEX(CS!$B$1:$B$12939,MATCH($A203,CS!$B:$B,0)+COLUMN(J$1),1))</f>
        <v/>
      </c>
      <c r="BF203" t="str">
        <f>IF($A203="","", INDEX(CS!$B$1:$B$12939,MATCH($A203,CS!$B:$B,0)+COLUMN(K$1),1))</f>
        <v/>
      </c>
      <c r="BG203" t="str">
        <f>IF($A203="","", INDEX(CS!$B$1:$B$12939,MATCH($A203,CS!$B:$B,0)+COLUMN(L$1),1))</f>
        <v/>
      </c>
    </row>
    <row r="204" spans="3:59" x14ac:dyDescent="0.4">
      <c r="C204" t="s">
        <v>193</v>
      </c>
      <c r="D204" t="str">
        <f t="shared" si="10"/>
        <v>0/0/0</v>
      </c>
      <c r="E204">
        <v>1</v>
      </c>
      <c r="AX204" t="str">
        <f>IF($A204="","", INDEX(CS!$B$1:$B$12939,MATCH($A204,CS!$B:$B,0)+COLUMN(A$1),1))</f>
        <v/>
      </c>
      <c r="AY204" t="str">
        <f>IF($A204="","", INDEX(CS!$B$1:$B$12939,MATCH($A204,CS!$B:$B,0)+COLUMN(B$1),1))</f>
        <v/>
      </c>
      <c r="AZ204" t="str">
        <f>IF($A204="","", INDEX(CS!$B$1:$B$12939,MATCH($A204,CS!$B:$B,0)+COLUMN(C$1),1))</f>
        <v/>
      </c>
      <c r="BA204" t="str">
        <f>IF($A204="","", INDEX(CS!$B$1:$B$12939,MATCH($A204,CS!$B:$B,0)+COLUMN(D$1),1))</f>
        <v/>
      </c>
      <c r="BB204" t="str">
        <f>IF($A204="","", INDEX(CS!$B$1:$B$12939,MATCH($A204,CS!$B:$B,0)+COLUMN(E$1),1))</f>
        <v/>
      </c>
      <c r="BC204" t="str">
        <f>IF($A204="","", INDEX(CS!$B$1:$B$12939,MATCH($A204,CS!$B:$B,0)+COLUMN(F$1),1))</f>
        <v/>
      </c>
      <c r="BD204" t="str">
        <f>IF($A204="","", INDEX(CS!$B$1:$B$12939,MATCH($A204,CS!$B:$B,0)+COLUMN(I$1),1))</f>
        <v/>
      </c>
      <c r="BE204" t="str">
        <f>IF($A204="","", INDEX(CS!$B$1:$B$12939,MATCH($A204,CS!$B:$B,0)+COLUMN(J$1),1))</f>
        <v/>
      </c>
      <c r="BF204" t="str">
        <f>IF($A204="","", INDEX(CS!$B$1:$B$12939,MATCH($A204,CS!$B:$B,0)+COLUMN(K$1),1))</f>
        <v/>
      </c>
      <c r="BG204" t="str">
        <f>IF($A204="","", INDEX(CS!$B$1:$B$12939,MATCH($A204,CS!$B:$B,0)+COLUMN(L$1),1))</f>
        <v/>
      </c>
    </row>
    <row r="205" spans="3:59" x14ac:dyDescent="0.4">
      <c r="C205" t="s">
        <v>193</v>
      </c>
      <c r="D205" t="str">
        <f t="shared" si="10"/>
        <v>0/0/0</v>
      </c>
      <c r="E205">
        <v>1</v>
      </c>
      <c r="AX205" t="str">
        <f>IF($A205="","", INDEX(CS!$B$1:$B$12939,MATCH($A205,CS!$B:$B,0)+COLUMN(A$1),1))</f>
        <v/>
      </c>
      <c r="AY205" t="str">
        <f>IF($A205="","", INDEX(CS!$B$1:$B$12939,MATCH($A205,CS!$B:$B,0)+COLUMN(B$1),1))</f>
        <v/>
      </c>
      <c r="AZ205" t="str">
        <f>IF($A205="","", INDEX(CS!$B$1:$B$12939,MATCH($A205,CS!$B:$B,0)+COLUMN(C$1),1))</f>
        <v/>
      </c>
      <c r="BA205" t="str">
        <f>IF($A205="","", INDEX(CS!$B$1:$B$12939,MATCH($A205,CS!$B:$B,0)+COLUMN(D$1),1))</f>
        <v/>
      </c>
      <c r="BB205" t="str">
        <f>IF($A205="","", INDEX(CS!$B$1:$B$12939,MATCH($A205,CS!$B:$B,0)+COLUMN(E$1),1))</f>
        <v/>
      </c>
      <c r="BC205" t="str">
        <f>IF($A205="","", INDEX(CS!$B$1:$B$12939,MATCH($A205,CS!$B:$B,0)+COLUMN(F$1),1))</f>
        <v/>
      </c>
      <c r="BD205" t="str">
        <f>IF($A205="","", INDEX(CS!$B$1:$B$12939,MATCH($A205,CS!$B:$B,0)+COLUMN(I$1),1))</f>
        <v/>
      </c>
      <c r="BE205" t="str">
        <f>IF($A205="","", INDEX(CS!$B$1:$B$12939,MATCH($A205,CS!$B:$B,0)+COLUMN(J$1),1))</f>
        <v/>
      </c>
      <c r="BF205" t="str">
        <f>IF($A205="","", INDEX(CS!$B$1:$B$12939,MATCH($A205,CS!$B:$B,0)+COLUMN(K$1),1))</f>
        <v/>
      </c>
      <c r="BG205" t="str">
        <f>IF($A205="","", INDEX(CS!$B$1:$B$12939,MATCH($A205,CS!$B:$B,0)+COLUMN(L$1),1))</f>
        <v/>
      </c>
    </row>
    <row r="206" spans="3:59" x14ac:dyDescent="0.4">
      <c r="C206" t="s">
        <v>193</v>
      </c>
      <c r="D206" t="str">
        <f t="shared" si="10"/>
        <v>0/0/0</v>
      </c>
      <c r="E206">
        <v>1</v>
      </c>
      <c r="AX206" t="str">
        <f>IF($A206="","", INDEX(CS!$B$1:$B$12939,MATCH($A206,CS!$B:$B,0)+COLUMN(A$1),1))</f>
        <v/>
      </c>
      <c r="AY206" t="str">
        <f>IF($A206="","", INDEX(CS!$B$1:$B$12939,MATCH($A206,CS!$B:$B,0)+COLUMN(B$1),1))</f>
        <v/>
      </c>
      <c r="AZ206" t="str">
        <f>IF($A206="","", INDEX(CS!$B$1:$B$12939,MATCH($A206,CS!$B:$B,0)+COLUMN(C$1),1))</f>
        <v/>
      </c>
      <c r="BA206" t="str">
        <f>IF($A206="","", INDEX(CS!$B$1:$B$12939,MATCH($A206,CS!$B:$B,0)+COLUMN(D$1),1))</f>
        <v/>
      </c>
      <c r="BB206" t="str">
        <f>IF($A206="","", INDEX(CS!$B$1:$B$12939,MATCH($A206,CS!$B:$B,0)+COLUMN(E$1),1))</f>
        <v/>
      </c>
      <c r="BC206" t="str">
        <f>IF($A206="","", INDEX(CS!$B$1:$B$12939,MATCH($A206,CS!$B:$B,0)+COLUMN(F$1),1))</f>
        <v/>
      </c>
      <c r="BD206" t="str">
        <f>IF($A206="","", INDEX(CS!$B$1:$B$12939,MATCH($A206,CS!$B:$B,0)+COLUMN(I$1),1))</f>
        <v/>
      </c>
      <c r="BE206" t="str">
        <f>IF($A206="","", INDEX(CS!$B$1:$B$12939,MATCH($A206,CS!$B:$B,0)+COLUMN(J$1),1))</f>
        <v/>
      </c>
      <c r="BF206" t="str">
        <f>IF($A206="","", INDEX(CS!$B$1:$B$12939,MATCH($A206,CS!$B:$B,0)+COLUMN(K$1),1))</f>
        <v/>
      </c>
      <c r="BG206" t="str">
        <f>IF($A206="","", INDEX(CS!$B$1:$B$12939,MATCH($A206,CS!$B:$B,0)+COLUMN(L$1),1))</f>
        <v/>
      </c>
    </row>
    <row r="207" spans="3:59" x14ac:dyDescent="0.4">
      <c r="C207" t="s">
        <v>193</v>
      </c>
      <c r="D207" t="str">
        <f t="shared" si="10"/>
        <v>0/0/0</v>
      </c>
      <c r="E207">
        <v>1</v>
      </c>
      <c r="AX207" t="str">
        <f>IF($A207="","", INDEX(CS!$B$1:$B$12939,MATCH($A207,CS!$B:$B,0)+COLUMN(A$1),1))</f>
        <v/>
      </c>
      <c r="AY207" t="str">
        <f>IF($A207="","", INDEX(CS!$B$1:$B$12939,MATCH($A207,CS!$B:$B,0)+COLUMN(B$1),1))</f>
        <v/>
      </c>
      <c r="AZ207" t="str">
        <f>IF($A207="","", INDEX(CS!$B$1:$B$12939,MATCH($A207,CS!$B:$B,0)+COLUMN(C$1),1))</f>
        <v/>
      </c>
      <c r="BA207" t="str">
        <f>IF($A207="","", INDEX(CS!$B$1:$B$12939,MATCH($A207,CS!$B:$B,0)+COLUMN(D$1),1))</f>
        <v/>
      </c>
      <c r="BB207" t="str">
        <f>IF($A207="","", INDEX(CS!$B$1:$B$12939,MATCH($A207,CS!$B:$B,0)+COLUMN(E$1),1))</f>
        <v/>
      </c>
      <c r="BC207" t="str">
        <f>IF($A207="","", INDEX(CS!$B$1:$B$12939,MATCH($A207,CS!$B:$B,0)+COLUMN(F$1),1))</f>
        <v/>
      </c>
      <c r="BD207" t="str">
        <f>IF($A207="","", INDEX(CS!$B$1:$B$12939,MATCH($A207,CS!$B:$B,0)+COLUMN(I$1),1))</f>
        <v/>
      </c>
      <c r="BE207" t="str">
        <f>IF($A207="","", INDEX(CS!$B$1:$B$12939,MATCH($A207,CS!$B:$B,0)+COLUMN(J$1),1))</f>
        <v/>
      </c>
      <c r="BF207" t="str">
        <f>IF($A207="","", INDEX(CS!$B$1:$B$12939,MATCH($A207,CS!$B:$B,0)+COLUMN(K$1),1))</f>
        <v/>
      </c>
      <c r="BG207" t="str">
        <f>IF($A207="","", INDEX(CS!$B$1:$B$12939,MATCH($A207,CS!$B:$B,0)+COLUMN(L$1),1))</f>
        <v/>
      </c>
    </row>
    <row r="208" spans="3:59" x14ac:dyDescent="0.4">
      <c r="C208" t="s">
        <v>193</v>
      </c>
      <c r="D208" t="str">
        <f t="shared" si="10"/>
        <v>0/0/0</v>
      </c>
      <c r="E208">
        <v>1</v>
      </c>
      <c r="AX208" t="str">
        <f>IF($A208="","", INDEX(CS!$B$1:$B$12939,MATCH($A208,CS!$B:$B,0)+COLUMN(A$1),1))</f>
        <v/>
      </c>
      <c r="AY208" t="str">
        <f>IF($A208="","", INDEX(CS!$B$1:$B$12939,MATCH($A208,CS!$B:$B,0)+COLUMN(B$1),1))</f>
        <v/>
      </c>
      <c r="AZ208" t="str">
        <f>IF($A208="","", INDEX(CS!$B$1:$B$12939,MATCH($A208,CS!$B:$B,0)+COLUMN(C$1),1))</f>
        <v/>
      </c>
      <c r="BA208" t="str">
        <f>IF($A208="","", INDEX(CS!$B$1:$B$12939,MATCH($A208,CS!$B:$B,0)+COLUMN(D$1),1))</f>
        <v/>
      </c>
      <c r="BB208" t="str">
        <f>IF($A208="","", INDEX(CS!$B$1:$B$12939,MATCH($A208,CS!$B:$B,0)+COLUMN(E$1),1))</f>
        <v/>
      </c>
      <c r="BC208" t="str">
        <f>IF($A208="","", INDEX(CS!$B$1:$B$12939,MATCH($A208,CS!$B:$B,0)+COLUMN(F$1),1))</f>
        <v/>
      </c>
      <c r="BD208" t="str">
        <f>IF($A208="","", INDEX(CS!$B$1:$B$12939,MATCH($A208,CS!$B:$B,0)+COLUMN(I$1),1))</f>
        <v/>
      </c>
      <c r="BE208" t="str">
        <f>IF($A208="","", INDEX(CS!$B$1:$B$12939,MATCH($A208,CS!$B:$B,0)+COLUMN(J$1),1))</f>
        <v/>
      </c>
      <c r="BF208" t="str">
        <f>IF($A208="","", INDEX(CS!$B$1:$B$12939,MATCH($A208,CS!$B:$B,0)+COLUMN(K$1),1))</f>
        <v/>
      </c>
      <c r="BG208" t="str">
        <f>IF($A208="","", INDEX(CS!$B$1:$B$12939,MATCH($A208,CS!$B:$B,0)+COLUMN(L$1),1))</f>
        <v/>
      </c>
    </row>
    <row r="209" spans="3:59" x14ac:dyDescent="0.4">
      <c r="C209" t="s">
        <v>193</v>
      </c>
      <c r="D209" t="str">
        <f t="shared" si="10"/>
        <v>0/0/0</v>
      </c>
      <c r="E209">
        <v>1</v>
      </c>
      <c r="AX209" t="str">
        <f>IF($A209="","", INDEX(CS!$B$1:$B$12939,MATCH($A209,CS!$B:$B,0)+COLUMN(A$1),1))</f>
        <v/>
      </c>
      <c r="AY209" t="str">
        <f>IF($A209="","", INDEX(CS!$B$1:$B$12939,MATCH($A209,CS!$B:$B,0)+COLUMN(B$1),1))</f>
        <v/>
      </c>
      <c r="AZ209" t="str">
        <f>IF($A209="","", INDEX(CS!$B$1:$B$12939,MATCH($A209,CS!$B:$B,0)+COLUMN(C$1),1))</f>
        <v/>
      </c>
      <c r="BA209" t="str">
        <f>IF($A209="","", INDEX(CS!$B$1:$B$12939,MATCH($A209,CS!$B:$B,0)+COLUMN(D$1),1))</f>
        <v/>
      </c>
      <c r="BB209" t="str">
        <f>IF($A209="","", INDEX(CS!$B$1:$B$12939,MATCH($A209,CS!$B:$B,0)+COLUMN(E$1),1))</f>
        <v/>
      </c>
      <c r="BC209" t="str">
        <f>IF($A209="","", INDEX(CS!$B$1:$B$12939,MATCH($A209,CS!$B:$B,0)+COLUMN(F$1),1))</f>
        <v/>
      </c>
      <c r="BD209" t="str">
        <f>IF($A209="","", INDEX(CS!$B$1:$B$12939,MATCH($A209,CS!$B:$B,0)+COLUMN(I$1),1))</f>
        <v/>
      </c>
      <c r="BE209" t="str">
        <f>IF($A209="","", INDEX(CS!$B$1:$B$12939,MATCH($A209,CS!$B:$B,0)+COLUMN(J$1),1))</f>
        <v/>
      </c>
      <c r="BF209" t="str">
        <f>IF($A209="","", INDEX(CS!$B$1:$B$12939,MATCH($A209,CS!$B:$B,0)+COLUMN(K$1),1))</f>
        <v/>
      </c>
      <c r="BG209" t="str">
        <f>IF($A209="","", INDEX(CS!$B$1:$B$12939,MATCH($A209,CS!$B:$B,0)+COLUMN(L$1),1))</f>
        <v/>
      </c>
    </row>
    <row r="210" spans="3:59" x14ac:dyDescent="0.4">
      <c r="C210" t="s">
        <v>193</v>
      </c>
      <c r="D210" t="str">
        <f t="shared" si="10"/>
        <v>0/0/0</v>
      </c>
      <c r="E210">
        <v>1</v>
      </c>
      <c r="AX210" t="str">
        <f>IF($A210="","", INDEX(CS!$B$1:$B$12939,MATCH($A210,CS!$B:$B,0)+COLUMN(A$1),1))</f>
        <v/>
      </c>
      <c r="AY210" t="str">
        <f>IF($A210="","", INDEX(CS!$B$1:$B$12939,MATCH($A210,CS!$B:$B,0)+COLUMN(B$1),1))</f>
        <v/>
      </c>
      <c r="AZ210" t="str">
        <f>IF($A210="","", INDEX(CS!$B$1:$B$12939,MATCH($A210,CS!$B:$B,0)+COLUMN(C$1),1))</f>
        <v/>
      </c>
      <c r="BA210" t="str">
        <f>IF($A210="","", INDEX(CS!$B$1:$B$12939,MATCH($A210,CS!$B:$B,0)+COLUMN(D$1),1))</f>
        <v/>
      </c>
      <c r="BB210" t="str">
        <f>IF($A210="","", INDEX(CS!$B$1:$B$12939,MATCH($A210,CS!$B:$B,0)+COLUMN(E$1),1))</f>
        <v/>
      </c>
      <c r="BC210" t="str">
        <f>IF($A210="","", INDEX(CS!$B$1:$B$12939,MATCH($A210,CS!$B:$B,0)+COLUMN(F$1),1))</f>
        <v/>
      </c>
      <c r="BD210" t="str">
        <f>IF($A210="","", INDEX(CS!$B$1:$B$12939,MATCH($A210,CS!$B:$B,0)+COLUMN(I$1),1))</f>
        <v/>
      </c>
      <c r="BE210" t="str">
        <f>IF($A210="","", INDEX(CS!$B$1:$B$12939,MATCH($A210,CS!$B:$B,0)+COLUMN(J$1),1))</f>
        <v/>
      </c>
      <c r="BF210" t="str">
        <f>IF($A210="","", INDEX(CS!$B$1:$B$12939,MATCH($A210,CS!$B:$B,0)+COLUMN(K$1),1))</f>
        <v/>
      </c>
      <c r="BG210" t="str">
        <f>IF($A210="","", INDEX(CS!$B$1:$B$12939,MATCH($A210,CS!$B:$B,0)+COLUMN(L$1),1))</f>
        <v/>
      </c>
    </row>
    <row r="211" spans="3:59" x14ac:dyDescent="0.4">
      <c r="C211" t="s">
        <v>193</v>
      </c>
      <c r="D211" t="str">
        <f t="shared" si="10"/>
        <v>0/0/0</v>
      </c>
      <c r="E211">
        <v>1</v>
      </c>
      <c r="AX211" t="str">
        <f>IF($A211="","", INDEX(CS!$B$1:$B$12939,MATCH($A211,CS!$B:$B,0)+COLUMN(A$1),1))</f>
        <v/>
      </c>
      <c r="AY211" t="str">
        <f>IF($A211="","", INDEX(CS!$B$1:$B$12939,MATCH($A211,CS!$B:$B,0)+COLUMN(B$1),1))</f>
        <v/>
      </c>
      <c r="AZ211" t="str">
        <f>IF($A211="","", INDEX(CS!$B$1:$B$12939,MATCH($A211,CS!$B:$B,0)+COLUMN(C$1),1))</f>
        <v/>
      </c>
      <c r="BA211" t="str">
        <f>IF($A211="","", INDEX(CS!$B$1:$B$12939,MATCH($A211,CS!$B:$B,0)+COLUMN(D$1),1))</f>
        <v/>
      </c>
      <c r="BB211" t="str">
        <f>IF($A211="","", INDEX(CS!$B$1:$B$12939,MATCH($A211,CS!$B:$B,0)+COLUMN(E$1),1))</f>
        <v/>
      </c>
      <c r="BC211" t="str">
        <f>IF($A211="","", INDEX(CS!$B$1:$B$12939,MATCH($A211,CS!$B:$B,0)+COLUMN(F$1),1))</f>
        <v/>
      </c>
      <c r="BD211" t="str">
        <f>IF($A211="","", INDEX(CS!$B$1:$B$12939,MATCH($A211,CS!$B:$B,0)+COLUMN(I$1),1))</f>
        <v/>
      </c>
      <c r="BE211" t="str">
        <f>IF($A211="","", INDEX(CS!$B$1:$B$12939,MATCH($A211,CS!$B:$B,0)+COLUMN(J$1),1))</f>
        <v/>
      </c>
      <c r="BF211" t="str">
        <f>IF($A211="","", INDEX(CS!$B$1:$B$12939,MATCH($A211,CS!$B:$B,0)+COLUMN(K$1),1))</f>
        <v/>
      </c>
      <c r="BG211" t="str">
        <f>IF($A211="","", INDEX(CS!$B$1:$B$12939,MATCH($A211,CS!$B:$B,0)+COLUMN(L$1),1))</f>
        <v/>
      </c>
    </row>
    <row r="212" spans="3:59" x14ac:dyDescent="0.4">
      <c r="C212" t="s">
        <v>193</v>
      </c>
      <c r="D212" t="str">
        <f t="shared" si="10"/>
        <v>0/0/0</v>
      </c>
      <c r="E212">
        <v>1</v>
      </c>
      <c r="AX212" t="str">
        <f>IF($A212="","", INDEX(CS!$B$1:$B$12939,MATCH($A212,CS!$B:$B,0)+COLUMN(A$1),1))</f>
        <v/>
      </c>
      <c r="AY212" t="str">
        <f>IF($A212="","", INDEX(CS!$B$1:$B$12939,MATCH($A212,CS!$B:$B,0)+COLUMN(B$1),1))</f>
        <v/>
      </c>
      <c r="AZ212" t="str">
        <f>IF($A212="","", INDEX(CS!$B$1:$B$12939,MATCH($A212,CS!$B:$B,0)+COLUMN(C$1),1))</f>
        <v/>
      </c>
      <c r="BA212" t="str">
        <f>IF($A212="","", INDEX(CS!$B$1:$B$12939,MATCH($A212,CS!$B:$B,0)+COLUMN(D$1),1))</f>
        <v/>
      </c>
      <c r="BB212" t="str">
        <f>IF($A212="","", INDEX(CS!$B$1:$B$12939,MATCH($A212,CS!$B:$B,0)+COLUMN(E$1),1))</f>
        <v/>
      </c>
      <c r="BC212" t="str">
        <f>IF($A212="","", INDEX(CS!$B$1:$B$12939,MATCH($A212,CS!$B:$B,0)+COLUMN(F$1),1))</f>
        <v/>
      </c>
      <c r="BD212" t="str">
        <f>IF($A212="","", INDEX(CS!$B$1:$B$12939,MATCH($A212,CS!$B:$B,0)+COLUMN(I$1),1))</f>
        <v/>
      </c>
      <c r="BE212" t="str">
        <f>IF($A212="","", INDEX(CS!$B$1:$B$12939,MATCH($A212,CS!$B:$B,0)+COLUMN(J$1),1))</f>
        <v/>
      </c>
      <c r="BF212" t="str">
        <f>IF($A212="","", INDEX(CS!$B$1:$B$12939,MATCH($A212,CS!$B:$B,0)+COLUMN(K$1),1))</f>
        <v/>
      </c>
      <c r="BG212" t="str">
        <f>IF($A212="","", INDEX(CS!$B$1:$B$12939,MATCH($A212,CS!$B:$B,0)+COLUMN(L$1),1))</f>
        <v/>
      </c>
    </row>
    <row r="213" spans="3:59" x14ac:dyDescent="0.4">
      <c r="C213" t="s">
        <v>193</v>
      </c>
      <c r="D213" t="str">
        <f t="shared" si="10"/>
        <v>0/0/0</v>
      </c>
      <c r="E213">
        <v>1</v>
      </c>
      <c r="AX213" t="str">
        <f>IF($A213="","", INDEX(CS!$B$1:$B$12939,MATCH($A213,CS!$B:$B,0)+COLUMN(A$1),1))</f>
        <v/>
      </c>
      <c r="AY213" t="str">
        <f>IF($A213="","", INDEX(CS!$B$1:$B$12939,MATCH($A213,CS!$B:$B,0)+COLUMN(B$1),1))</f>
        <v/>
      </c>
      <c r="AZ213" t="str">
        <f>IF($A213="","", INDEX(CS!$B$1:$B$12939,MATCH($A213,CS!$B:$B,0)+COLUMN(C$1),1))</f>
        <v/>
      </c>
      <c r="BA213" t="str">
        <f>IF($A213="","", INDEX(CS!$B$1:$B$12939,MATCH($A213,CS!$B:$B,0)+COLUMN(D$1),1))</f>
        <v/>
      </c>
      <c r="BB213" t="str">
        <f>IF($A213="","", INDEX(CS!$B$1:$B$12939,MATCH($A213,CS!$B:$B,0)+COLUMN(E$1),1))</f>
        <v/>
      </c>
      <c r="BC213" t="str">
        <f>IF($A213="","", INDEX(CS!$B$1:$B$12939,MATCH($A213,CS!$B:$B,0)+COLUMN(F$1),1))</f>
        <v/>
      </c>
      <c r="BD213" t="str">
        <f>IF($A213="","", INDEX(CS!$B$1:$B$12939,MATCH($A213,CS!$B:$B,0)+COLUMN(I$1),1))</f>
        <v/>
      </c>
      <c r="BE213" t="str">
        <f>IF($A213="","", INDEX(CS!$B$1:$B$12939,MATCH($A213,CS!$B:$B,0)+COLUMN(J$1),1))</f>
        <v/>
      </c>
      <c r="BF213" t="str">
        <f>IF($A213="","", INDEX(CS!$B$1:$B$12939,MATCH($A213,CS!$B:$B,0)+COLUMN(K$1),1))</f>
        <v/>
      </c>
      <c r="BG213" t="str">
        <f>IF($A213="","", INDEX(CS!$B$1:$B$12939,MATCH($A213,CS!$B:$B,0)+COLUMN(L$1),1))</f>
        <v/>
      </c>
    </row>
    <row r="214" spans="3:59" x14ac:dyDescent="0.4">
      <c r="C214" t="s">
        <v>193</v>
      </c>
      <c r="D214" t="str">
        <f t="shared" si="10"/>
        <v>0/0/0</v>
      </c>
      <c r="E214">
        <v>1</v>
      </c>
      <c r="AX214" t="str">
        <f>IF($A214="","", INDEX(CS!$B$1:$B$12939,MATCH($A214,CS!$B:$B,0)+COLUMN(A$1),1))</f>
        <v/>
      </c>
      <c r="AY214" t="str">
        <f>IF($A214="","", INDEX(CS!$B$1:$B$12939,MATCH($A214,CS!$B:$B,0)+COLUMN(B$1),1))</f>
        <v/>
      </c>
      <c r="AZ214" t="str">
        <f>IF($A214="","", INDEX(CS!$B$1:$B$12939,MATCH($A214,CS!$B:$B,0)+COLUMN(C$1),1))</f>
        <v/>
      </c>
      <c r="BA214" t="str">
        <f>IF($A214="","", INDEX(CS!$B$1:$B$12939,MATCH($A214,CS!$B:$B,0)+COLUMN(D$1),1))</f>
        <v/>
      </c>
      <c r="BB214" t="str">
        <f>IF($A214="","", INDEX(CS!$B$1:$B$12939,MATCH($A214,CS!$B:$B,0)+COLUMN(E$1),1))</f>
        <v/>
      </c>
      <c r="BC214" t="str">
        <f>IF($A214="","", INDEX(CS!$B$1:$B$12939,MATCH($A214,CS!$B:$B,0)+COLUMN(F$1),1))</f>
        <v/>
      </c>
      <c r="BD214" t="str">
        <f>IF($A214="","", INDEX(CS!$B$1:$B$12939,MATCH($A214,CS!$B:$B,0)+COLUMN(I$1),1))</f>
        <v/>
      </c>
      <c r="BE214" t="str">
        <f>IF($A214="","", INDEX(CS!$B$1:$B$12939,MATCH($A214,CS!$B:$B,0)+COLUMN(J$1),1))</f>
        <v/>
      </c>
      <c r="BF214" t="str">
        <f>IF($A214="","", INDEX(CS!$B$1:$B$12939,MATCH($A214,CS!$B:$B,0)+COLUMN(K$1),1))</f>
        <v/>
      </c>
      <c r="BG214" t="str">
        <f>IF($A214="","", INDEX(CS!$B$1:$B$12939,MATCH($A214,CS!$B:$B,0)+COLUMN(L$1),1))</f>
        <v/>
      </c>
    </row>
    <row r="215" spans="3:59" x14ac:dyDescent="0.4">
      <c r="C215" t="s">
        <v>193</v>
      </c>
      <c r="D215" t="str">
        <f t="shared" si="10"/>
        <v>0/0/0</v>
      </c>
      <c r="E215">
        <v>1</v>
      </c>
      <c r="AX215" t="str">
        <f>IF($A215="","", INDEX(CS!$B$1:$B$12939,MATCH($A215,CS!$B:$B,0)+COLUMN(A$1),1))</f>
        <v/>
      </c>
      <c r="AY215" t="str">
        <f>IF($A215="","", INDEX(CS!$B$1:$B$12939,MATCH($A215,CS!$B:$B,0)+COLUMN(B$1),1))</f>
        <v/>
      </c>
      <c r="AZ215" t="str">
        <f>IF($A215="","", INDEX(CS!$B$1:$B$12939,MATCH($A215,CS!$B:$B,0)+COLUMN(C$1),1))</f>
        <v/>
      </c>
      <c r="BA215" t="str">
        <f>IF($A215="","", INDEX(CS!$B$1:$B$12939,MATCH($A215,CS!$B:$B,0)+COLUMN(D$1),1))</f>
        <v/>
      </c>
      <c r="BB215" t="str">
        <f>IF($A215="","", INDEX(CS!$B$1:$B$12939,MATCH($A215,CS!$B:$B,0)+COLUMN(E$1),1))</f>
        <v/>
      </c>
      <c r="BC215" t="str">
        <f>IF($A215="","", INDEX(CS!$B$1:$B$12939,MATCH($A215,CS!$B:$B,0)+COLUMN(F$1),1))</f>
        <v/>
      </c>
      <c r="BD215" t="str">
        <f>IF($A215="","", INDEX(CS!$B$1:$B$12939,MATCH($A215,CS!$B:$B,0)+COLUMN(I$1),1))</f>
        <v/>
      </c>
      <c r="BE215" t="str">
        <f>IF($A215="","", INDEX(CS!$B$1:$B$12939,MATCH($A215,CS!$B:$B,0)+COLUMN(J$1),1))</f>
        <v/>
      </c>
      <c r="BF215" t="str">
        <f>IF($A215="","", INDEX(CS!$B$1:$B$12939,MATCH($A215,CS!$B:$B,0)+COLUMN(K$1),1))</f>
        <v/>
      </c>
      <c r="BG215" t="str">
        <f>IF($A215="","", INDEX(CS!$B$1:$B$12939,MATCH($A215,CS!$B:$B,0)+COLUMN(L$1),1))</f>
        <v/>
      </c>
    </row>
    <row r="216" spans="3:59" x14ac:dyDescent="0.4">
      <c r="C216" t="s">
        <v>193</v>
      </c>
      <c r="D216" t="str">
        <f t="shared" si="10"/>
        <v>0/0/0</v>
      </c>
      <c r="E216">
        <v>1</v>
      </c>
      <c r="AX216" t="str">
        <f>IF($A216="","", INDEX(CS!$B$1:$B$12939,MATCH($A216,CS!$B:$B,0)+COLUMN(A$1),1))</f>
        <v/>
      </c>
      <c r="AY216" t="str">
        <f>IF($A216="","", INDEX(CS!$B$1:$B$12939,MATCH($A216,CS!$B:$B,0)+COLUMN(B$1),1))</f>
        <v/>
      </c>
      <c r="AZ216" t="str">
        <f>IF($A216="","", INDEX(CS!$B$1:$B$12939,MATCH($A216,CS!$B:$B,0)+COLUMN(C$1),1))</f>
        <v/>
      </c>
      <c r="BA216" t="str">
        <f>IF($A216="","", INDEX(CS!$B$1:$B$12939,MATCH($A216,CS!$B:$B,0)+COLUMN(D$1),1))</f>
        <v/>
      </c>
      <c r="BB216" t="str">
        <f>IF($A216="","", INDEX(CS!$B$1:$B$12939,MATCH($A216,CS!$B:$B,0)+COLUMN(E$1),1))</f>
        <v/>
      </c>
      <c r="BC216" t="str">
        <f>IF($A216="","", INDEX(CS!$B$1:$B$12939,MATCH($A216,CS!$B:$B,0)+COLUMN(F$1),1))</f>
        <v/>
      </c>
      <c r="BD216" t="str">
        <f>IF($A216="","", INDEX(CS!$B$1:$B$12939,MATCH($A216,CS!$B:$B,0)+COLUMN(I$1),1))</f>
        <v/>
      </c>
      <c r="BE216" t="str">
        <f>IF($A216="","", INDEX(CS!$B$1:$B$12939,MATCH($A216,CS!$B:$B,0)+COLUMN(J$1),1))</f>
        <v/>
      </c>
      <c r="BF216" t="str">
        <f>IF($A216="","", INDEX(CS!$B$1:$B$12939,MATCH($A216,CS!$B:$B,0)+COLUMN(K$1),1))</f>
        <v/>
      </c>
      <c r="BG216" t="str">
        <f>IF($A216="","", INDEX(CS!$B$1:$B$12939,MATCH($A216,CS!$B:$B,0)+COLUMN(L$1),1))</f>
        <v/>
      </c>
    </row>
    <row r="217" spans="3:59" x14ac:dyDescent="0.4">
      <c r="C217" t="s">
        <v>193</v>
      </c>
      <c r="D217" t="str">
        <f t="shared" si="10"/>
        <v>0/0/0</v>
      </c>
      <c r="E217">
        <v>1</v>
      </c>
      <c r="AX217" t="str">
        <f>IF($A217="","", INDEX(CS!$B$1:$B$12939,MATCH($A217,CS!$B:$B,0)+COLUMN(A$1),1))</f>
        <v/>
      </c>
      <c r="AY217" t="str">
        <f>IF($A217="","", INDEX(CS!$B$1:$B$12939,MATCH($A217,CS!$B:$B,0)+COLUMN(B$1),1))</f>
        <v/>
      </c>
      <c r="AZ217" t="str">
        <f>IF($A217="","", INDEX(CS!$B$1:$B$12939,MATCH($A217,CS!$B:$B,0)+COLUMN(C$1),1))</f>
        <v/>
      </c>
      <c r="BA217" t="str">
        <f>IF($A217="","", INDEX(CS!$B$1:$B$12939,MATCH($A217,CS!$B:$B,0)+COLUMN(D$1),1))</f>
        <v/>
      </c>
      <c r="BB217" t="str">
        <f>IF($A217="","", INDEX(CS!$B$1:$B$12939,MATCH($A217,CS!$B:$B,0)+COLUMN(E$1),1))</f>
        <v/>
      </c>
      <c r="BC217" t="str">
        <f>IF($A217="","", INDEX(CS!$B$1:$B$12939,MATCH($A217,CS!$B:$B,0)+COLUMN(F$1),1))</f>
        <v/>
      </c>
      <c r="BD217" t="str">
        <f>IF($A217="","", INDEX(CS!$B$1:$B$12939,MATCH($A217,CS!$B:$B,0)+COLUMN(I$1),1))</f>
        <v/>
      </c>
      <c r="BE217" t="str">
        <f>IF($A217="","", INDEX(CS!$B$1:$B$12939,MATCH($A217,CS!$B:$B,0)+COLUMN(J$1),1))</f>
        <v/>
      </c>
      <c r="BF217" t="str">
        <f>IF($A217="","", INDEX(CS!$B$1:$B$12939,MATCH($A217,CS!$B:$B,0)+COLUMN(K$1),1))</f>
        <v/>
      </c>
      <c r="BG217" t="str">
        <f>IF($A217="","", INDEX(CS!$B$1:$B$12939,MATCH($A217,CS!$B:$B,0)+COLUMN(L$1),1))</f>
        <v/>
      </c>
    </row>
    <row r="218" spans="3:59" x14ac:dyDescent="0.4">
      <c r="C218" t="s">
        <v>193</v>
      </c>
      <c r="D218" t="str">
        <f t="shared" si="10"/>
        <v>0/0/0</v>
      </c>
      <c r="E218">
        <v>1</v>
      </c>
      <c r="AX218" t="str">
        <f>IF($A218="","", INDEX(CS!$B$1:$B$12939,MATCH($A218,CS!$B:$B,0)+COLUMN(A$1),1))</f>
        <v/>
      </c>
      <c r="AY218" t="str">
        <f>IF($A218="","", INDEX(CS!$B$1:$B$12939,MATCH($A218,CS!$B:$B,0)+COLUMN(B$1),1))</f>
        <v/>
      </c>
      <c r="AZ218" t="str">
        <f>IF($A218="","", INDEX(CS!$B$1:$B$12939,MATCH($A218,CS!$B:$B,0)+COLUMN(C$1),1))</f>
        <v/>
      </c>
      <c r="BA218" t="str">
        <f>IF($A218="","", INDEX(CS!$B$1:$B$12939,MATCH($A218,CS!$B:$B,0)+COLUMN(D$1),1))</f>
        <v/>
      </c>
      <c r="BB218" t="str">
        <f>IF($A218="","", INDEX(CS!$B$1:$B$12939,MATCH($A218,CS!$B:$B,0)+COLUMN(E$1),1))</f>
        <v/>
      </c>
      <c r="BC218" t="str">
        <f>IF($A218="","", INDEX(CS!$B$1:$B$12939,MATCH($A218,CS!$B:$B,0)+COLUMN(F$1),1))</f>
        <v/>
      </c>
      <c r="BD218" t="str">
        <f>IF($A218="","", INDEX(CS!$B$1:$B$12939,MATCH($A218,CS!$B:$B,0)+COLUMN(I$1),1))</f>
        <v/>
      </c>
      <c r="BE218" t="str">
        <f>IF($A218="","", INDEX(CS!$B$1:$B$12939,MATCH($A218,CS!$B:$B,0)+COLUMN(J$1),1))</f>
        <v/>
      </c>
      <c r="BF218" t="str">
        <f>IF($A218="","", INDEX(CS!$B$1:$B$12939,MATCH($A218,CS!$B:$B,0)+COLUMN(K$1),1))</f>
        <v/>
      </c>
      <c r="BG218" t="str">
        <f>IF($A218="","", INDEX(CS!$B$1:$B$12939,MATCH($A218,CS!$B:$B,0)+COLUMN(L$1),1))</f>
        <v/>
      </c>
    </row>
    <row r="219" spans="3:59" x14ac:dyDescent="0.4">
      <c r="C219" t="s">
        <v>193</v>
      </c>
      <c r="D219" t="str">
        <f t="shared" si="10"/>
        <v>0/0/0</v>
      </c>
      <c r="E219">
        <v>1</v>
      </c>
      <c r="AX219" t="str">
        <f>IF($A219="","", INDEX(CS!$B$1:$B$12939,MATCH($A219,CS!$B:$B,0)+COLUMN(A$1),1))</f>
        <v/>
      </c>
      <c r="AY219" t="str">
        <f>IF($A219="","", INDEX(CS!$B$1:$B$12939,MATCH($A219,CS!$B:$B,0)+COLUMN(B$1),1))</f>
        <v/>
      </c>
      <c r="AZ219" t="str">
        <f>IF($A219="","", INDEX(CS!$B$1:$B$12939,MATCH($A219,CS!$B:$B,0)+COLUMN(C$1),1))</f>
        <v/>
      </c>
      <c r="BA219" t="str">
        <f>IF($A219="","", INDEX(CS!$B$1:$B$12939,MATCH($A219,CS!$B:$B,0)+COLUMN(D$1),1))</f>
        <v/>
      </c>
      <c r="BB219" t="str">
        <f>IF($A219="","", INDEX(CS!$B$1:$B$12939,MATCH($A219,CS!$B:$B,0)+COLUMN(E$1),1))</f>
        <v/>
      </c>
      <c r="BC219" t="str">
        <f>IF($A219="","", INDEX(CS!$B$1:$B$12939,MATCH($A219,CS!$B:$B,0)+COLUMN(F$1),1))</f>
        <v/>
      </c>
      <c r="BD219" t="str">
        <f>IF($A219="","", INDEX(CS!$B$1:$B$12939,MATCH($A219,CS!$B:$B,0)+COLUMN(I$1),1))</f>
        <v/>
      </c>
      <c r="BE219" t="str">
        <f>IF($A219="","", INDEX(CS!$B$1:$B$12939,MATCH($A219,CS!$B:$B,0)+COLUMN(J$1),1))</f>
        <v/>
      </c>
      <c r="BF219" t="str">
        <f>IF($A219="","", INDEX(CS!$B$1:$B$12939,MATCH($A219,CS!$B:$B,0)+COLUMN(K$1),1))</f>
        <v/>
      </c>
      <c r="BG219" t="str">
        <f>IF($A219="","", INDEX(CS!$B$1:$B$12939,MATCH($A219,CS!$B:$B,0)+COLUMN(L$1),1))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G9"/>
  <sheetViews>
    <sheetView workbookViewId="0">
      <selection activeCell="E9" sqref="E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7" s="2" customFormat="1" ht="18" x14ac:dyDescent="0.4">
      <c r="A1" s="2" t="s">
        <v>1488</v>
      </c>
      <c r="B1" s="2" t="s">
        <v>1489</v>
      </c>
      <c r="C1" s="2" t="s">
        <v>1490</v>
      </c>
      <c r="D1" s="2" t="s">
        <v>1491</v>
      </c>
      <c r="E1" s="2" t="s">
        <v>1492</v>
      </c>
      <c r="F1" s="2" t="s">
        <v>1493</v>
      </c>
      <c r="G1" s="2" t="s">
        <v>1494</v>
      </c>
    </row>
    <row r="2" spans="1:7" x14ac:dyDescent="0.4">
      <c r="A2" t="s">
        <v>1495</v>
      </c>
      <c r="B2" t="s">
        <v>1495</v>
      </c>
      <c r="C2" t="s">
        <v>54</v>
      </c>
      <c r="D2" t="s">
        <v>1496</v>
      </c>
      <c r="E2" t="s">
        <v>1497</v>
      </c>
      <c r="F2" t="s">
        <v>1498</v>
      </c>
      <c r="G2" t="s">
        <v>1499</v>
      </c>
    </row>
    <row r="3" spans="1:7" x14ac:dyDescent="0.4">
      <c r="A3" t="s">
        <v>56</v>
      </c>
      <c r="B3" t="s">
        <v>56</v>
      </c>
      <c r="C3" t="s">
        <v>56</v>
      </c>
      <c r="D3" t="s">
        <v>1500</v>
      </c>
      <c r="E3" t="s">
        <v>1501</v>
      </c>
      <c r="F3" t="s">
        <v>1502</v>
      </c>
      <c r="G3" t="s">
        <v>1503</v>
      </c>
    </row>
    <row r="4" spans="1:7" x14ac:dyDescent="0.4">
      <c r="A4" t="s">
        <v>41</v>
      </c>
      <c r="B4" t="s">
        <v>41</v>
      </c>
      <c r="C4" t="s">
        <v>41</v>
      </c>
      <c r="D4" t="s">
        <v>1504</v>
      </c>
      <c r="E4" t="s">
        <v>1505</v>
      </c>
      <c r="F4" t="s">
        <v>1506</v>
      </c>
      <c r="G4" t="s">
        <v>1507</v>
      </c>
    </row>
    <row r="5" spans="1:7" x14ac:dyDescent="0.4">
      <c r="A5" t="s">
        <v>43</v>
      </c>
      <c r="B5" t="s">
        <v>43</v>
      </c>
      <c r="C5" t="s">
        <v>43</v>
      </c>
      <c r="D5" t="s">
        <v>1508</v>
      </c>
      <c r="E5" t="s">
        <v>1509</v>
      </c>
      <c r="F5" t="s">
        <v>1510</v>
      </c>
      <c r="G5" t="s">
        <v>1511</v>
      </c>
    </row>
    <row r="6" spans="1:7" x14ac:dyDescent="0.4">
      <c r="A6" t="s">
        <v>1512</v>
      </c>
      <c r="B6" t="s">
        <v>1512</v>
      </c>
      <c r="C6" t="s">
        <v>63</v>
      </c>
      <c r="D6" t="s">
        <v>1513</v>
      </c>
      <c r="E6" t="s">
        <v>1514</v>
      </c>
      <c r="F6" t="s">
        <v>1515</v>
      </c>
      <c r="G6" t="s">
        <v>1516</v>
      </c>
    </row>
    <row r="7" spans="1:7" x14ac:dyDescent="0.4">
      <c r="A7" t="s">
        <v>1517</v>
      </c>
      <c r="B7" t="s">
        <v>1517</v>
      </c>
      <c r="C7" t="s">
        <v>45</v>
      </c>
      <c r="D7" t="s">
        <v>1518</v>
      </c>
      <c r="E7" t="s">
        <v>1519</v>
      </c>
      <c r="F7" t="s">
        <v>1520</v>
      </c>
      <c r="G7" t="s">
        <v>1521</v>
      </c>
    </row>
    <row r="8" spans="1:7" x14ac:dyDescent="0.4">
      <c r="A8" t="s">
        <v>1522</v>
      </c>
      <c r="B8" t="s">
        <v>1522</v>
      </c>
      <c r="C8" t="s">
        <v>47</v>
      </c>
      <c r="D8" t="s">
        <v>1523</v>
      </c>
      <c r="E8" t="s">
        <v>1524</v>
      </c>
      <c r="F8" t="s">
        <v>1525</v>
      </c>
      <c r="G8" t="s">
        <v>1526</v>
      </c>
    </row>
    <row r="9" spans="1:7" x14ac:dyDescent="0.4">
      <c r="A9" t="s">
        <v>49</v>
      </c>
      <c r="B9" t="s">
        <v>49</v>
      </c>
      <c r="C9" t="s">
        <v>49</v>
      </c>
      <c r="D9" t="s">
        <v>1527</v>
      </c>
      <c r="E9" t="s">
        <v>1528</v>
      </c>
      <c r="F9" t="s">
        <v>1529</v>
      </c>
      <c r="G9" t="s">
        <v>1530</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5" sqref="E15"/>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1813</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1814</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1815</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BO50" activePane="bottomRight" state="frozen"/>
      <selection pane="topRight" activeCell="H1" sqref="H1"/>
      <selection pane="bottomLeft" activeCell="A4" sqref="A4"/>
      <selection pane="bottomRight" sqref="A1:CN1"/>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63"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1817</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1818</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1532</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1809</v>
      </c>
    </row>
    <row r="58" spans="1:88" ht="37.5" outlineLevel="1" x14ac:dyDescent="0.4">
      <c r="A58" s="48" t="s">
        <v>1531</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1810</v>
      </c>
    </row>
    <row r="59" spans="1:88" ht="37.5" outlineLevel="1" x14ac:dyDescent="0.4">
      <c r="A59" s="48" t="s">
        <v>1533</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1811</v>
      </c>
    </row>
    <row r="60" spans="1:88" ht="37.5" outlineLevel="1" x14ac:dyDescent="0.4">
      <c r="A60" s="54" t="s">
        <v>1845</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1861</v>
      </c>
    </row>
    <row r="61" spans="1:88" outlineLevel="1" x14ac:dyDescent="0.4">
      <c r="A61" s="54" t="s">
        <v>1846</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1862</v>
      </c>
    </row>
    <row r="62" spans="1:88" ht="37.5" outlineLevel="1" x14ac:dyDescent="0.4">
      <c r="A62" s="54" t="s">
        <v>1847</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1863</v>
      </c>
    </row>
    <row r="63" spans="1:88" ht="37.5" outlineLevel="1" x14ac:dyDescent="0.4">
      <c r="A63" s="54" t="s">
        <v>1848</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1864</v>
      </c>
    </row>
    <row r="64" spans="1:88" ht="37.5" outlineLevel="1" x14ac:dyDescent="0.4">
      <c r="A64" s="54" t="s">
        <v>1849</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1865</v>
      </c>
    </row>
    <row r="65" spans="1:84" ht="37.5" outlineLevel="1" x14ac:dyDescent="0.4">
      <c r="A65" s="54" t="s">
        <v>1850</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1866</v>
      </c>
    </row>
    <row r="66" spans="1:84" outlineLevel="1" x14ac:dyDescent="0.4">
      <c r="A66" s="54" t="s">
        <v>1851</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1867</v>
      </c>
    </row>
    <row r="67" spans="1:84" ht="37.5" outlineLevel="1" x14ac:dyDescent="0.4">
      <c r="A67" s="54" t="s">
        <v>1852</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1868</v>
      </c>
    </row>
    <row r="68" spans="1:84" ht="37.5" outlineLevel="1" x14ac:dyDescent="0.4">
      <c r="A68" s="54" t="s">
        <v>1853</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1869</v>
      </c>
    </row>
    <row r="69" spans="1:84" ht="37.5" outlineLevel="1" x14ac:dyDescent="0.4">
      <c r="A69" s="54" t="s">
        <v>1854</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1870</v>
      </c>
    </row>
    <row r="70" spans="1:84" ht="37.5" outlineLevel="1" x14ac:dyDescent="0.4">
      <c r="A70" s="54" t="s">
        <v>1855</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1871</v>
      </c>
    </row>
    <row r="71" spans="1:84" ht="37.5" outlineLevel="1" x14ac:dyDescent="0.4">
      <c r="A71" s="54" t="s">
        <v>1856</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1872</v>
      </c>
    </row>
    <row r="72" spans="1:84" ht="37.5" outlineLevel="1" x14ac:dyDescent="0.4">
      <c r="A72" s="54" t="s">
        <v>1857</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1873</v>
      </c>
    </row>
    <row r="73" spans="1:84" ht="37.5" outlineLevel="1" x14ac:dyDescent="0.4">
      <c r="A73" s="54" t="s">
        <v>1858</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1874</v>
      </c>
    </row>
    <row r="74" spans="1:84" ht="37.5" outlineLevel="1" x14ac:dyDescent="0.4">
      <c r="A74" s="54" t="s">
        <v>1859</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1875</v>
      </c>
    </row>
    <row r="75" spans="1:84" ht="37.5" outlineLevel="1" x14ac:dyDescent="0.4">
      <c r="A75" s="54" t="s">
        <v>1860</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1876</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1793</v>
      </c>
    </row>
    <row r="2" spans="1:3" x14ac:dyDescent="0.4">
      <c r="A2" t="s">
        <v>326</v>
      </c>
      <c r="B2" s="17" t="s">
        <v>338</v>
      </c>
      <c r="C2" t="s">
        <v>1794</v>
      </c>
    </row>
    <row r="3" spans="1:3" x14ac:dyDescent="0.4">
      <c r="A3" t="s">
        <v>327</v>
      </c>
      <c r="B3" s="17" t="s">
        <v>339</v>
      </c>
      <c r="C3" t="s">
        <v>1795</v>
      </c>
    </row>
    <row r="4" spans="1:3" x14ac:dyDescent="0.4">
      <c r="A4" t="s">
        <v>328</v>
      </c>
      <c r="B4" s="17" t="s">
        <v>340</v>
      </c>
      <c r="C4" t="s">
        <v>1796</v>
      </c>
    </row>
    <row r="5" spans="1:3" x14ac:dyDescent="0.4">
      <c r="A5" t="s">
        <v>329</v>
      </c>
      <c r="B5" s="17" t="s">
        <v>343</v>
      </c>
      <c r="C5" t="s">
        <v>1797</v>
      </c>
    </row>
    <row r="6" spans="1:3" ht="37.5" x14ac:dyDescent="0.4">
      <c r="A6" t="s">
        <v>330</v>
      </c>
      <c r="B6" s="17" t="s">
        <v>344</v>
      </c>
      <c r="C6" t="s">
        <v>1798</v>
      </c>
    </row>
    <row r="7" spans="1:3" x14ac:dyDescent="0.4">
      <c r="A7" t="s">
        <v>331</v>
      </c>
      <c r="B7" s="17" t="s">
        <v>345</v>
      </c>
      <c r="C7" t="s">
        <v>1799</v>
      </c>
    </row>
    <row r="8" spans="1:3" x14ac:dyDescent="0.4">
      <c r="A8" t="s">
        <v>346</v>
      </c>
      <c r="B8" s="17" t="s">
        <v>347</v>
      </c>
      <c r="C8" t="s">
        <v>1795</v>
      </c>
    </row>
    <row r="9" spans="1:3" x14ac:dyDescent="0.4">
      <c r="A9" t="s">
        <v>1229</v>
      </c>
      <c r="B9" s="17" t="s">
        <v>342</v>
      </c>
      <c r="C9" t="s">
        <v>1800</v>
      </c>
    </row>
    <row r="11" spans="1:3" x14ac:dyDescent="0.4">
      <c r="A11" t="s">
        <v>333</v>
      </c>
      <c r="C11" t="s">
        <v>1800</v>
      </c>
    </row>
    <row r="12" spans="1:3" x14ac:dyDescent="0.4">
      <c r="A12" t="s">
        <v>334</v>
      </c>
      <c r="C12" t="s">
        <v>1800</v>
      </c>
    </row>
    <row r="13" spans="1:3" x14ac:dyDescent="0.4">
      <c r="A13" t="s">
        <v>335</v>
      </c>
      <c r="C13" t="s">
        <v>1800</v>
      </c>
    </row>
    <row r="14" spans="1:3" x14ac:dyDescent="0.4">
      <c r="A14" t="s">
        <v>336</v>
      </c>
      <c r="C14" t="s">
        <v>1800</v>
      </c>
    </row>
    <row r="15" spans="1:3" x14ac:dyDescent="0.4">
      <c r="A15" t="s">
        <v>317</v>
      </c>
      <c r="B15" s="17" t="s">
        <v>1801</v>
      </c>
      <c r="C15" t="s">
        <v>1796</v>
      </c>
    </row>
    <row r="16" spans="1:3" x14ac:dyDescent="0.4">
      <c r="A16" t="s">
        <v>1314</v>
      </c>
      <c r="B16" s="17" t="s">
        <v>1802</v>
      </c>
      <c r="C16" t="s">
        <v>1796</v>
      </c>
    </row>
    <row r="17" spans="1:3" x14ac:dyDescent="0.4">
      <c r="A17" t="s">
        <v>1318</v>
      </c>
      <c r="B17" s="17" t="s">
        <v>1803</v>
      </c>
      <c r="C17" t="s">
        <v>1795</v>
      </c>
    </row>
    <row r="18" spans="1:3" x14ac:dyDescent="0.4">
      <c r="A18" t="s">
        <v>1317</v>
      </c>
      <c r="B18" s="17" t="s">
        <v>1804</v>
      </c>
      <c r="C18" t="s">
        <v>1797</v>
      </c>
    </row>
    <row r="19" spans="1:3" x14ac:dyDescent="0.4">
      <c r="A19" t="s">
        <v>1319</v>
      </c>
      <c r="B19" s="17" t="s">
        <v>1805</v>
      </c>
      <c r="C19" t="s">
        <v>1797</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tabSelected="1" workbookViewId="0">
      <pane xSplit="2" ySplit="1" topLeftCell="BL2" activePane="bottomRight" state="frozen"/>
      <selection pane="topRight" activeCell="C1" sqref="C1"/>
      <selection pane="bottomLeft" activeCell="A2" sqref="A2"/>
      <selection pane="bottomRight" activeCell="BT1" sqref="BT1:BT6"/>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1539</v>
      </c>
      <c r="BK1" s="46" t="s">
        <v>1540</v>
      </c>
      <c r="BL1" s="46" t="s">
        <v>1541</v>
      </c>
      <c r="BM1" s="46" t="s">
        <v>1542</v>
      </c>
      <c r="BN1" s="46" t="s">
        <v>1543</v>
      </c>
      <c r="BO1" s="46" t="s">
        <v>1841</v>
      </c>
      <c r="BP1" s="46" t="s">
        <v>1544</v>
      </c>
      <c r="BQ1" s="46" t="s">
        <v>1545</v>
      </c>
      <c r="BR1" s="46" t="s">
        <v>1546</v>
      </c>
      <c r="BS1" s="46" t="s">
        <v>1547</v>
      </c>
      <c r="BT1" s="47" t="s">
        <v>1840</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1655</v>
      </c>
      <c r="BM2">
        <v>26</v>
      </c>
      <c r="BN2" t="s">
        <v>1656</v>
      </c>
      <c r="BO2" t="s">
        <v>1657</v>
      </c>
      <c r="BT2" s="46" t="s">
        <v>1657</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1658</v>
      </c>
      <c r="BM3">
        <v>18</v>
      </c>
      <c r="BN3" t="s">
        <v>1659</v>
      </c>
      <c r="BO3" t="s">
        <v>1657</v>
      </c>
      <c r="BT3" s="46" t="s">
        <v>1657</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1660</v>
      </c>
      <c r="BM4">
        <v>12</v>
      </c>
      <c r="BN4" t="s">
        <v>1661</v>
      </c>
      <c r="BO4" t="s">
        <v>1657</v>
      </c>
      <c r="BQ4" t="s">
        <v>1661</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1662</v>
      </c>
      <c r="BM5">
        <v>10</v>
      </c>
      <c r="BN5" t="s">
        <v>1663</v>
      </c>
      <c r="BO5" t="s">
        <v>1657</v>
      </c>
      <c r="BP5">
        <v>0.2</v>
      </c>
      <c r="BQ5" t="s">
        <v>1663</v>
      </c>
    </row>
    <row r="6" spans="1:72" ht="27" x14ac:dyDescent="0.4">
      <c r="A6" s="48" t="s">
        <v>503</v>
      </c>
      <c r="B6" s="46" t="s">
        <v>753</v>
      </c>
      <c r="C6" s="39">
        <v>0.5</v>
      </c>
      <c r="D6">
        <v>2</v>
      </c>
      <c r="E6">
        <v>1</v>
      </c>
      <c r="F6" t="s">
        <v>1806</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1664</v>
      </c>
      <c r="BM6">
        <v>8</v>
      </c>
      <c r="BN6" t="s">
        <v>1665</v>
      </c>
      <c r="BO6" t="s">
        <v>1657</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1666</v>
      </c>
      <c r="BM7">
        <v>10</v>
      </c>
      <c r="BN7" t="s">
        <v>1667</v>
      </c>
      <c r="BO7" t="s">
        <v>1657</v>
      </c>
      <c r="BQ7" t="s">
        <v>1668</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1669</v>
      </c>
      <c r="BM9">
        <v>7</v>
      </c>
      <c r="BN9" t="s">
        <v>1670</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1671</v>
      </c>
      <c r="BM10">
        <v>12</v>
      </c>
      <c r="BN10" t="s">
        <v>1672</v>
      </c>
      <c r="BO10" t="s">
        <v>1657</v>
      </c>
      <c r="BQ10" t="s">
        <v>1672</v>
      </c>
      <c r="BT10" s="46" t="s">
        <v>1657</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1673</v>
      </c>
      <c r="BM11">
        <v>7</v>
      </c>
      <c r="BN11" t="s">
        <v>1674</v>
      </c>
      <c r="BO11" t="s">
        <v>1657</v>
      </c>
      <c r="BT11" s="46" t="s">
        <v>1657</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1675</v>
      </c>
      <c r="BQ12" t="s">
        <v>1676</v>
      </c>
      <c r="BT12" s="46" t="s">
        <v>1675</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c r="BT13" s="46" t="s">
        <v>1675</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1675</v>
      </c>
      <c r="BQ14" t="s">
        <v>1677</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1675</v>
      </c>
      <c r="BQ15" t="s">
        <v>1678</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1679</v>
      </c>
      <c r="BM16">
        <v>6</v>
      </c>
      <c r="BN16" t="s">
        <v>1680</v>
      </c>
      <c r="BO16" t="s">
        <v>1657</v>
      </c>
      <c r="BQ16" t="s">
        <v>1680</v>
      </c>
      <c r="BT16" s="46" t="s">
        <v>1657</v>
      </c>
    </row>
    <row r="17" spans="1:71" ht="27" x14ac:dyDescent="0.4">
      <c r="A17" s="48" t="s">
        <v>510</v>
      </c>
      <c r="B17" s="46" t="s">
        <v>1808</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1681</v>
      </c>
      <c r="BM17">
        <v>4</v>
      </c>
      <c r="BN17" t="s">
        <v>1682</v>
      </c>
      <c r="BO17" t="s">
        <v>1657</v>
      </c>
    </row>
    <row r="18" spans="1:71" ht="27" x14ac:dyDescent="0.4">
      <c r="A18" s="48" t="s">
        <v>739</v>
      </c>
      <c r="B18" s="46" t="s">
        <v>970</v>
      </c>
      <c r="C18" s="39">
        <v>0.9</v>
      </c>
      <c r="D18">
        <v>3</v>
      </c>
      <c r="E18">
        <v>2</v>
      </c>
      <c r="F18" t="s">
        <v>1807</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1683</v>
      </c>
    </row>
    <row r="19" spans="1:71"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c r="BT19" s="46" t="s">
        <v>1675</v>
      </c>
    </row>
    <row r="20" spans="1:71" x14ac:dyDescent="0.4">
      <c r="A20" s="48"/>
      <c r="B20" s="46"/>
      <c r="C20" s="39"/>
      <c r="V20" s="39"/>
      <c r="W20" s="39"/>
      <c r="X20" s="39"/>
      <c r="Y20" s="39"/>
      <c r="Z20" s="39"/>
      <c r="AA20" s="39"/>
      <c r="AB20" s="39"/>
      <c r="AC20" s="39"/>
      <c r="AK20" s="17"/>
      <c r="AL20" s="17"/>
      <c r="AS20" s="17"/>
    </row>
    <row r="21" spans="1:71" x14ac:dyDescent="0.4">
      <c r="A21" s="48" t="s">
        <v>1205</v>
      </c>
      <c r="B21" s="46"/>
      <c r="C21" s="39"/>
      <c r="G21">
        <v>15</v>
      </c>
      <c r="H21">
        <v>15</v>
      </c>
      <c r="V21" s="39"/>
      <c r="W21" s="39"/>
      <c r="X21" s="39"/>
      <c r="Y21" s="39"/>
      <c r="Z21" s="39"/>
      <c r="AA21" s="39"/>
      <c r="AB21" s="39"/>
      <c r="AC21" s="39"/>
      <c r="AK21" s="17"/>
      <c r="AL21" s="17"/>
      <c r="AS21" s="17"/>
      <c r="BE21">
        <v>5</v>
      </c>
      <c r="BG21">
        <v>10</v>
      </c>
      <c r="BT21" s="46" t="s">
        <v>1675</v>
      </c>
    </row>
    <row r="22" spans="1:71" x14ac:dyDescent="0.4">
      <c r="A22" s="48" t="s">
        <v>1206</v>
      </c>
      <c r="B22" s="46"/>
      <c r="C22" s="39">
        <v>0.3</v>
      </c>
      <c r="S22">
        <v>40</v>
      </c>
      <c r="V22" s="39"/>
      <c r="W22" s="39"/>
      <c r="X22" s="39"/>
      <c r="Y22" s="39"/>
      <c r="Z22" s="39"/>
      <c r="AA22" s="39"/>
      <c r="AB22" s="39"/>
      <c r="AC22" s="39"/>
      <c r="AK22" s="17"/>
      <c r="AL22" s="17"/>
      <c r="AS22" s="17"/>
    </row>
    <row r="23" spans="1:71" x14ac:dyDescent="0.4">
      <c r="A23" s="48" t="s">
        <v>1207</v>
      </c>
      <c r="B23" s="46"/>
      <c r="C23" s="39">
        <v>0.15</v>
      </c>
      <c r="T23">
        <v>40</v>
      </c>
      <c r="V23" s="39"/>
      <c r="W23" s="39"/>
      <c r="X23" s="39"/>
      <c r="Y23" s="39"/>
      <c r="Z23" s="39"/>
      <c r="AA23" s="39"/>
      <c r="AB23" s="39"/>
      <c r="AC23" s="39"/>
      <c r="AK23" s="17"/>
      <c r="AL23" s="17"/>
      <c r="AS23" s="17"/>
    </row>
    <row r="24" spans="1:71" x14ac:dyDescent="0.4">
      <c r="A24" s="48" t="s">
        <v>1208</v>
      </c>
      <c r="B24" s="46"/>
      <c r="C24" s="39">
        <v>0.15</v>
      </c>
      <c r="U24">
        <v>40</v>
      </c>
      <c r="V24" s="39"/>
      <c r="W24" s="39"/>
      <c r="X24" s="39"/>
      <c r="Y24" s="39"/>
      <c r="Z24" s="39"/>
      <c r="AA24" s="39"/>
      <c r="AB24" s="39"/>
      <c r="AC24" s="39"/>
      <c r="AK24" s="17"/>
      <c r="AL24" s="17"/>
      <c r="AS24" s="17"/>
    </row>
    <row r="25" spans="1:71" x14ac:dyDescent="0.4">
      <c r="A25" s="48" t="s">
        <v>1209</v>
      </c>
      <c r="B25" s="46"/>
      <c r="C25" s="39">
        <v>0.1</v>
      </c>
      <c r="G25">
        <v>20</v>
      </c>
      <c r="J25">
        <v>10</v>
      </c>
      <c r="V25" s="39"/>
      <c r="W25" s="39"/>
      <c r="X25" s="39"/>
      <c r="Y25" s="39"/>
      <c r="Z25" s="39"/>
      <c r="AA25" s="39">
        <v>0.25</v>
      </c>
      <c r="AB25" s="39">
        <v>0.25</v>
      </c>
      <c r="AC25" s="39"/>
      <c r="AK25" s="17"/>
      <c r="AL25" s="17"/>
      <c r="AS25" s="17"/>
      <c r="BG25">
        <v>5</v>
      </c>
    </row>
    <row r="26" spans="1:71"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106"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1538</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1548</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1549</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1550</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1551</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1552</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1553</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1554</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1555</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1556</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1557</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1558</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1559</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1560</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1561</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1562</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1563</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1564</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1565</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1566</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1567</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1568</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1569</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1570</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1571</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1572</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1573</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1574</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1575</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1576</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1577</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1578</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1579</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1580</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1581</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1582</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1583</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1584</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1585</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1586</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1587</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1588</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1589</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1590</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1591</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1592</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1593</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1594</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1595</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1596</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1597</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1598</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1599</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1600</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1601</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1602</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1603</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1604</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1605</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1606</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1607</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1608</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1609</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1610</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1611</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1612</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1613</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1614</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1615</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1616</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1617</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1618</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1619</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1620</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1621</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1622</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1623</v>
      </c>
    </row>
    <row r="96" spans="1:23" outlineLevel="1" x14ac:dyDescent="0.4">
      <c r="A96" s="2" t="s">
        <v>510</v>
      </c>
      <c r="B96" s="10" t="s">
        <v>806</v>
      </c>
      <c r="C96" t="str">
        <f>_xlfn.LET(
 _xlpm.dOK,COUNTIF(クラス!A:A,E96)&gt;0,
 _xlpm.eOK,COUNTIF(クラス!A:A,F96)&gt;0,
 IF(_xlpm.dOK,"○","×") &amp; IF(_xlpm.eOK,"○","×")
)</f>
        <v>××</v>
      </c>
      <c r="S96" t="str">
        <f t="shared" si="1"/>
        <v>炎の輪</v>
      </c>
      <c r="W96" t="s">
        <v>1624</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1625</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1626</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1627</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1628</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1629</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1630</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1631</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1538</v>
      </c>
      <c r="D1" s="17" t="s">
        <v>1644</v>
      </c>
      <c r="E1" s="17" t="s">
        <v>1645</v>
      </c>
      <c r="F1" s="17" t="s">
        <v>1646</v>
      </c>
      <c r="G1" s="17" t="s">
        <v>1647</v>
      </c>
      <c r="H1" s="17" t="s">
        <v>1648</v>
      </c>
      <c r="I1" s="17" t="s">
        <v>1649</v>
      </c>
      <c r="J1" s="17" t="s">
        <v>1650</v>
      </c>
      <c r="K1" s="17" t="s">
        <v>1651</v>
      </c>
      <c r="L1" s="17" t="s">
        <v>1652</v>
      </c>
      <c r="M1" s="17" t="s">
        <v>1653</v>
      </c>
      <c r="N1" s="17" t="s">
        <v>1654</v>
      </c>
    </row>
    <row r="2" spans="1:14" x14ac:dyDescent="0.4">
      <c r="A2" s="17" t="s">
        <v>548</v>
      </c>
      <c r="B2" s="17" t="s">
        <v>81</v>
      </c>
    </row>
    <row r="3" spans="1:14" ht="56.25" x14ac:dyDescent="0.4">
      <c r="A3" s="17" t="s">
        <v>549</v>
      </c>
      <c r="B3" s="17" t="s">
        <v>578</v>
      </c>
      <c r="C3" t="s">
        <v>1708</v>
      </c>
    </row>
    <row r="4" spans="1:14" ht="37.5" x14ac:dyDescent="0.4">
      <c r="A4" s="17" t="s">
        <v>494</v>
      </c>
      <c r="B4" s="17" t="s">
        <v>575</v>
      </c>
      <c r="C4" t="s">
        <v>1709</v>
      </c>
    </row>
    <row r="5" spans="1:14" x14ac:dyDescent="0.4">
      <c r="A5" s="17" t="s">
        <v>550</v>
      </c>
      <c r="B5" s="17" t="s">
        <v>574</v>
      </c>
      <c r="C5" t="s">
        <v>1710</v>
      </c>
    </row>
    <row r="6" spans="1:14" ht="37.5" x14ac:dyDescent="0.4">
      <c r="A6" s="17" t="s">
        <v>551</v>
      </c>
      <c r="B6" s="17" t="s">
        <v>577</v>
      </c>
      <c r="C6" t="s">
        <v>1711</v>
      </c>
    </row>
    <row r="7" spans="1:14" ht="75" x14ac:dyDescent="0.4">
      <c r="A7" s="17" t="s">
        <v>495</v>
      </c>
      <c r="B7" s="17" t="s">
        <v>573</v>
      </c>
      <c r="C7" t="s">
        <v>1712</v>
      </c>
    </row>
    <row r="8" spans="1:14" ht="37.5" x14ac:dyDescent="0.4">
      <c r="A8" s="17" t="s">
        <v>552</v>
      </c>
      <c r="B8" s="17" t="s">
        <v>576</v>
      </c>
      <c r="C8" t="s">
        <v>1713</v>
      </c>
    </row>
    <row r="9" spans="1:14" x14ac:dyDescent="0.4">
      <c r="A9" s="17" t="s">
        <v>553</v>
      </c>
      <c r="B9" s="17" t="s">
        <v>572</v>
      </c>
      <c r="C9" t="s">
        <v>1714</v>
      </c>
    </row>
    <row r="10" spans="1:14" x14ac:dyDescent="0.4">
      <c r="A10" s="17" t="s">
        <v>554</v>
      </c>
      <c r="B10" s="17" t="s">
        <v>571</v>
      </c>
      <c r="C10" t="s">
        <v>1715</v>
      </c>
    </row>
    <row r="11" spans="1:14" x14ac:dyDescent="0.4">
      <c r="A11" s="17" t="s">
        <v>555</v>
      </c>
      <c r="B11" s="17" t="s">
        <v>1334</v>
      </c>
      <c r="C11" t="s">
        <v>1716</v>
      </c>
      <c r="D11">
        <v>0.01</v>
      </c>
      <c r="E11">
        <v>1</v>
      </c>
      <c r="F11">
        <v>1</v>
      </c>
      <c r="G11">
        <v>3</v>
      </c>
      <c r="H11">
        <v>0.35</v>
      </c>
      <c r="I11">
        <v>38</v>
      </c>
      <c r="J11">
        <v>0.5</v>
      </c>
      <c r="K11">
        <v>2</v>
      </c>
      <c r="L11">
        <v>1</v>
      </c>
      <c r="M11">
        <v>3</v>
      </c>
      <c r="N11">
        <v>10</v>
      </c>
    </row>
    <row r="12" spans="1:14" x14ac:dyDescent="0.4">
      <c r="A12" s="17" t="s">
        <v>556</v>
      </c>
      <c r="B12" s="17" t="s">
        <v>557</v>
      </c>
      <c r="C12" t="s">
        <v>1717</v>
      </c>
    </row>
    <row r="15" spans="1:14" x14ac:dyDescent="0.4">
      <c r="A15" s="17" t="s">
        <v>548</v>
      </c>
      <c r="B15" s="17" t="s">
        <v>81</v>
      </c>
    </row>
    <row r="16" spans="1:14" x14ac:dyDescent="0.4">
      <c r="A16" s="17" t="s">
        <v>580</v>
      </c>
      <c r="B16" s="17" t="s">
        <v>579</v>
      </c>
      <c r="C16" t="s">
        <v>1718</v>
      </c>
    </row>
    <row r="17" spans="1:3" x14ac:dyDescent="0.4">
      <c r="A17" s="17" t="s">
        <v>558</v>
      </c>
      <c r="B17" s="17" t="s">
        <v>585</v>
      </c>
      <c r="C17" t="s">
        <v>1719</v>
      </c>
    </row>
    <row r="18" spans="1:3" x14ac:dyDescent="0.4">
      <c r="A18" s="17" t="s">
        <v>559</v>
      </c>
      <c r="B18" s="17" t="s">
        <v>584</v>
      </c>
      <c r="C18" t="s">
        <v>1720</v>
      </c>
    </row>
    <row r="19" spans="1:3" ht="37.5" x14ac:dyDescent="0.4">
      <c r="A19" s="17" t="s">
        <v>560</v>
      </c>
      <c r="B19" s="17" t="s">
        <v>586</v>
      </c>
      <c r="C19" t="s">
        <v>1721</v>
      </c>
    </row>
    <row r="20" spans="1:3" ht="56.25" x14ac:dyDescent="0.4">
      <c r="A20" s="17" t="s">
        <v>587</v>
      </c>
      <c r="B20" s="17" t="s">
        <v>588</v>
      </c>
      <c r="C20" t="s">
        <v>1722</v>
      </c>
    </row>
    <row r="21" spans="1:3" x14ac:dyDescent="0.4">
      <c r="A21" s="17" t="s">
        <v>561</v>
      </c>
      <c r="B21" s="17" t="s">
        <v>583</v>
      </c>
      <c r="C21" t="s">
        <v>1723</v>
      </c>
    </row>
    <row r="22" spans="1:3" x14ac:dyDescent="0.4">
      <c r="A22" s="17" t="s">
        <v>581</v>
      </c>
      <c r="B22" s="17" t="s">
        <v>582</v>
      </c>
      <c r="C22" t="s">
        <v>1724</v>
      </c>
    </row>
    <row r="25" spans="1:3" x14ac:dyDescent="0.4">
      <c r="A25" s="17" t="s">
        <v>548</v>
      </c>
      <c r="B25" s="17" t="s">
        <v>81</v>
      </c>
    </row>
    <row r="26" spans="1:3" x14ac:dyDescent="0.4">
      <c r="A26" s="17" t="s">
        <v>562</v>
      </c>
      <c r="B26" s="17" t="s">
        <v>594</v>
      </c>
      <c r="C26" t="s">
        <v>1725</v>
      </c>
    </row>
    <row r="27" spans="1:3" ht="56.25" x14ac:dyDescent="0.4">
      <c r="A27" s="17" t="s">
        <v>563</v>
      </c>
      <c r="B27" s="17" t="s">
        <v>595</v>
      </c>
      <c r="C27" t="s">
        <v>1726</v>
      </c>
    </row>
    <row r="28" spans="1:3" ht="37.5" x14ac:dyDescent="0.4">
      <c r="A28" s="17" t="s">
        <v>564</v>
      </c>
      <c r="B28" s="17" t="s">
        <v>589</v>
      </c>
      <c r="C28" t="s">
        <v>1727</v>
      </c>
    </row>
    <row r="29" spans="1:3" ht="37.5" x14ac:dyDescent="0.4">
      <c r="A29" s="17" t="s">
        <v>565</v>
      </c>
      <c r="B29" s="17" t="s">
        <v>590</v>
      </c>
      <c r="C29" t="s">
        <v>1728</v>
      </c>
    </row>
    <row r="30" spans="1:3" x14ac:dyDescent="0.4">
      <c r="A30" s="17" t="s">
        <v>566</v>
      </c>
      <c r="B30" s="17" t="s">
        <v>567</v>
      </c>
      <c r="C30" t="s">
        <v>1729</v>
      </c>
    </row>
    <row r="31" spans="1:3" x14ac:dyDescent="0.4">
      <c r="A31" s="17" t="s">
        <v>568</v>
      </c>
      <c r="B31" s="17" t="s">
        <v>569</v>
      </c>
      <c r="C31" t="s">
        <v>1730</v>
      </c>
    </row>
    <row r="32" spans="1:3" x14ac:dyDescent="0.4">
      <c r="A32" s="17" t="s">
        <v>591</v>
      </c>
      <c r="B32" s="17" t="s">
        <v>592</v>
      </c>
      <c r="C32" t="s">
        <v>1731</v>
      </c>
    </row>
    <row r="34" spans="1:3" x14ac:dyDescent="0.4">
      <c r="A34" s="17" t="s">
        <v>570</v>
      </c>
      <c r="B34" s="17" t="s">
        <v>596</v>
      </c>
      <c r="C34" t="s">
        <v>1732</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1478</v>
      </c>
      <c r="F51" t="s">
        <v>1477</v>
      </c>
      <c r="G51" t="s">
        <v>1408</v>
      </c>
      <c r="H51">
        <v>1</v>
      </c>
      <c r="I51">
        <v>4</v>
      </c>
      <c r="J51">
        <v>2.5</v>
      </c>
      <c r="K51">
        <v>4</v>
      </c>
      <c r="L51" t="b">
        <v>1</v>
      </c>
      <c r="M51">
        <v>2</v>
      </c>
    </row>
    <row r="52" spans="1:14" x14ac:dyDescent="0.4">
      <c r="A52" t="s">
        <v>1479</v>
      </c>
      <c r="C52" t="s">
        <v>1359</v>
      </c>
      <c r="D52" s="17" t="s">
        <v>1482</v>
      </c>
      <c r="F52" t="s">
        <v>1480</v>
      </c>
      <c r="G52" t="s">
        <v>1481</v>
      </c>
      <c r="H52">
        <v>3</v>
      </c>
      <c r="I52">
        <v>5</v>
      </c>
      <c r="J52">
        <v>3</v>
      </c>
      <c r="K52">
        <v>5</v>
      </c>
      <c r="L52" t="b">
        <v>1</v>
      </c>
      <c r="M52">
        <v>3</v>
      </c>
    </row>
    <row r="53" spans="1:14" x14ac:dyDescent="0.4">
      <c r="A53">
        <v>1</v>
      </c>
      <c r="C53" t="s">
        <v>1483</v>
      </c>
      <c r="D53" s="17" t="s">
        <v>1484</v>
      </c>
      <c r="N53">
        <v>1</v>
      </c>
    </row>
    <row r="54" spans="1:14" x14ac:dyDescent="0.4">
      <c r="A54">
        <v>2</v>
      </c>
      <c r="C54" t="s">
        <v>1483</v>
      </c>
      <c r="D54" s="17" t="s">
        <v>1485</v>
      </c>
      <c r="N54">
        <v>1.1499999999999999</v>
      </c>
    </row>
    <row r="55" spans="1:14" x14ac:dyDescent="0.4">
      <c r="A55">
        <v>3</v>
      </c>
      <c r="C55" t="s">
        <v>1483</v>
      </c>
      <c r="D55" s="17" t="s">
        <v>1486</v>
      </c>
      <c r="N55">
        <v>1.3</v>
      </c>
    </row>
    <row r="56" spans="1:14" x14ac:dyDescent="0.4">
      <c r="A56">
        <v>4</v>
      </c>
      <c r="C56" t="s">
        <v>1483</v>
      </c>
      <c r="D56" s="17" t="s">
        <v>1487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1632</v>
      </c>
      <c r="BE1" s="17" t="s">
        <v>1633</v>
      </c>
      <c r="BF1" s="17" t="s">
        <v>1634</v>
      </c>
      <c r="BG1" s="17" t="s">
        <v>1635</v>
      </c>
      <c r="BH1" s="17" t="s">
        <v>1636</v>
      </c>
      <c r="BI1" s="17" t="s">
        <v>1637</v>
      </c>
      <c r="BJ1" s="17" t="s">
        <v>1638</v>
      </c>
      <c r="BK1" s="17" t="s">
        <v>1639</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1684</v>
      </c>
      <c r="BD2" t="s">
        <v>1685</v>
      </c>
      <c r="BE2">
        <v>1</v>
      </c>
      <c r="BF2">
        <v>0</v>
      </c>
      <c r="BG2">
        <v>2</v>
      </c>
      <c r="BH2" t="s">
        <v>1686</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1684</v>
      </c>
      <c r="BD3" t="s">
        <v>1687</v>
      </c>
      <c r="BE3">
        <v>2</v>
      </c>
      <c r="BF3">
        <v>125</v>
      </c>
      <c r="BG3">
        <v>4</v>
      </c>
      <c r="BH3" t="s">
        <v>1688</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1684</v>
      </c>
      <c r="BD4" t="s">
        <v>1689</v>
      </c>
      <c r="BE4">
        <v>3</v>
      </c>
      <c r="BF4">
        <v>260</v>
      </c>
      <c r="BG4">
        <v>7</v>
      </c>
      <c r="BH4" t="s">
        <v>1690</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1684</v>
      </c>
      <c r="BD5" t="s">
        <v>1691</v>
      </c>
      <c r="BE5">
        <v>4</v>
      </c>
      <c r="BF5">
        <v>420</v>
      </c>
      <c r="BG5">
        <v>10</v>
      </c>
      <c r="BH5" t="s">
        <v>1692</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F2" activePane="bottomRight" state="frozen"/>
      <selection pane="topRight" activeCell="E1" sqref="E1"/>
      <selection pane="bottomLeft" activeCell="A2" sqref="A2"/>
      <selection pane="bottomRight" activeCell="O1" sqref="O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1538</v>
      </c>
    </row>
    <row r="2" spans="1:51" x14ac:dyDescent="0.4">
      <c r="A2" t="s">
        <v>1033</v>
      </c>
      <c r="B2" t="s">
        <v>993</v>
      </c>
      <c r="C2">
        <v>1</v>
      </c>
      <c r="D2">
        <v>5</v>
      </c>
      <c r="E2" t="s">
        <v>1001</v>
      </c>
      <c r="AY2" t="s">
        <v>1733</v>
      </c>
    </row>
    <row r="3" spans="1:51" outlineLevel="1" x14ac:dyDescent="0.4">
      <c r="A3" t="s">
        <v>1034</v>
      </c>
      <c r="B3" t="s">
        <v>993</v>
      </c>
      <c r="C3">
        <v>1</v>
      </c>
      <c r="D3">
        <v>5</v>
      </c>
      <c r="E3" t="s">
        <v>1002</v>
      </c>
      <c r="AY3" t="s">
        <v>1734</v>
      </c>
    </row>
    <row r="4" spans="1:51" outlineLevel="1" x14ac:dyDescent="0.4">
      <c r="A4" t="s">
        <v>1035</v>
      </c>
      <c r="B4" t="s">
        <v>993</v>
      </c>
      <c r="C4">
        <v>1</v>
      </c>
      <c r="D4">
        <v>5</v>
      </c>
      <c r="E4" t="s">
        <v>1003</v>
      </c>
      <c r="AY4" t="s">
        <v>1735</v>
      </c>
    </row>
    <row r="5" spans="1:51" outlineLevel="1" x14ac:dyDescent="0.4">
      <c r="A5" t="s">
        <v>1036</v>
      </c>
      <c r="B5" t="s">
        <v>993</v>
      </c>
      <c r="C5">
        <v>2</v>
      </c>
      <c r="D5">
        <v>15</v>
      </c>
      <c r="E5" t="s">
        <v>1022</v>
      </c>
      <c r="AY5" t="s">
        <v>1736</v>
      </c>
    </row>
    <row r="6" spans="1:51" outlineLevel="1" x14ac:dyDescent="0.4">
      <c r="A6" t="s">
        <v>1037</v>
      </c>
      <c r="B6" t="s">
        <v>993</v>
      </c>
      <c r="C6">
        <v>2</v>
      </c>
      <c r="D6">
        <v>15</v>
      </c>
      <c r="E6" t="s">
        <v>1023</v>
      </c>
      <c r="AY6" t="s">
        <v>1737</v>
      </c>
    </row>
    <row r="7" spans="1:51" outlineLevel="1" x14ac:dyDescent="0.4">
      <c r="A7" t="s">
        <v>1038</v>
      </c>
      <c r="B7" t="s">
        <v>993</v>
      </c>
      <c r="C7">
        <v>2</v>
      </c>
      <c r="D7">
        <v>15</v>
      </c>
      <c r="E7" t="s">
        <v>1026</v>
      </c>
      <c r="AY7" t="s">
        <v>1738</v>
      </c>
    </row>
    <row r="8" spans="1:51" outlineLevel="1" x14ac:dyDescent="0.4">
      <c r="A8" t="s">
        <v>1039</v>
      </c>
      <c r="B8" t="s">
        <v>993</v>
      </c>
      <c r="C8">
        <v>3</v>
      </c>
      <c r="D8">
        <v>25</v>
      </c>
      <c r="E8" t="s">
        <v>1024</v>
      </c>
      <c r="AY8" t="s">
        <v>1739</v>
      </c>
    </row>
    <row r="9" spans="1:51" outlineLevel="1" x14ac:dyDescent="0.4">
      <c r="A9" t="s">
        <v>1027</v>
      </c>
      <c r="B9" t="s">
        <v>993</v>
      </c>
      <c r="C9">
        <v>3</v>
      </c>
      <c r="D9">
        <v>25</v>
      </c>
      <c r="E9" t="s">
        <v>1029</v>
      </c>
      <c r="AY9" t="s">
        <v>1740</v>
      </c>
    </row>
    <row r="10" spans="1:51" outlineLevel="1" x14ac:dyDescent="0.4">
      <c r="A10" t="s">
        <v>1030</v>
      </c>
      <c r="B10" t="s">
        <v>993</v>
      </c>
      <c r="C10">
        <v>3</v>
      </c>
      <c r="D10">
        <v>25</v>
      </c>
      <c r="E10" t="s">
        <v>1030</v>
      </c>
      <c r="AY10" t="s">
        <v>1741</v>
      </c>
    </row>
    <row r="11" spans="1:51" outlineLevel="1" x14ac:dyDescent="0.4">
      <c r="A11" t="s">
        <v>1040</v>
      </c>
      <c r="B11" t="s">
        <v>993</v>
      </c>
      <c r="C11">
        <v>4</v>
      </c>
      <c r="D11">
        <v>35</v>
      </c>
      <c r="E11" t="s">
        <v>1031</v>
      </c>
      <c r="AY11" t="s">
        <v>1742</v>
      </c>
    </row>
    <row r="12" spans="1:51" outlineLevel="1" x14ac:dyDescent="0.4">
      <c r="A12" t="s">
        <v>1032</v>
      </c>
      <c r="B12" t="s">
        <v>993</v>
      </c>
      <c r="C12">
        <v>4</v>
      </c>
      <c r="D12">
        <v>35</v>
      </c>
      <c r="E12" t="s">
        <v>1025</v>
      </c>
      <c r="AY12" t="s">
        <v>1743</v>
      </c>
    </row>
    <row r="13" spans="1:51" outlineLevel="1" x14ac:dyDescent="0.4">
      <c r="A13" t="s">
        <v>1041</v>
      </c>
      <c r="B13" t="s">
        <v>993</v>
      </c>
      <c r="C13">
        <v>4</v>
      </c>
      <c r="D13">
        <v>35</v>
      </c>
      <c r="E13" t="s">
        <v>1028</v>
      </c>
      <c r="AY13" t="s">
        <v>1744</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1745</v>
      </c>
    </row>
    <row r="24" spans="1:51" outlineLevel="1" x14ac:dyDescent="0.4">
      <c r="A24" t="s">
        <v>1095</v>
      </c>
      <c r="B24" t="s">
        <v>103</v>
      </c>
      <c r="C24">
        <v>1</v>
      </c>
      <c r="D24">
        <v>5</v>
      </c>
      <c r="E24" t="s">
        <v>1042</v>
      </c>
      <c r="AY24" t="s">
        <v>1746</v>
      </c>
    </row>
    <row r="25" spans="1:51" outlineLevel="1" x14ac:dyDescent="0.4">
      <c r="A25" t="s">
        <v>1096</v>
      </c>
      <c r="B25" t="s">
        <v>103</v>
      </c>
      <c r="C25">
        <v>1</v>
      </c>
      <c r="D25">
        <v>5</v>
      </c>
      <c r="E25" t="s">
        <v>1004</v>
      </c>
      <c r="AY25" t="s">
        <v>1747</v>
      </c>
    </row>
    <row r="26" spans="1:51" outlineLevel="1" x14ac:dyDescent="0.4">
      <c r="A26" t="s">
        <v>1097</v>
      </c>
      <c r="B26" t="s">
        <v>103</v>
      </c>
      <c r="C26">
        <v>2</v>
      </c>
      <c r="D26">
        <v>15</v>
      </c>
      <c r="E26" t="s">
        <v>1045</v>
      </c>
      <c r="AY26" t="s">
        <v>1748</v>
      </c>
    </row>
    <row r="27" spans="1:51" outlineLevel="1" x14ac:dyDescent="0.4">
      <c r="A27" t="s">
        <v>1098</v>
      </c>
      <c r="B27" t="s">
        <v>103</v>
      </c>
      <c r="C27">
        <v>2</v>
      </c>
      <c r="D27">
        <v>15</v>
      </c>
      <c r="E27" t="s">
        <v>1046</v>
      </c>
      <c r="AY27" t="s">
        <v>1749</v>
      </c>
    </row>
    <row r="28" spans="1:51" outlineLevel="1" x14ac:dyDescent="0.4">
      <c r="A28" t="s">
        <v>1099</v>
      </c>
      <c r="B28" t="s">
        <v>103</v>
      </c>
      <c r="C28">
        <v>2</v>
      </c>
      <c r="D28">
        <v>15</v>
      </c>
      <c r="E28" t="s">
        <v>1047</v>
      </c>
      <c r="AY28" t="s">
        <v>1750</v>
      </c>
    </row>
    <row r="29" spans="1:51" outlineLevel="1" x14ac:dyDescent="0.4">
      <c r="A29" t="s">
        <v>1100</v>
      </c>
      <c r="B29" t="s">
        <v>103</v>
      </c>
      <c r="C29">
        <v>3</v>
      </c>
      <c r="D29">
        <v>25</v>
      </c>
      <c r="E29" t="s">
        <v>1101</v>
      </c>
      <c r="AY29" t="s">
        <v>1751</v>
      </c>
    </row>
    <row r="30" spans="1:51" outlineLevel="1" x14ac:dyDescent="0.4">
      <c r="A30" t="s">
        <v>1102</v>
      </c>
      <c r="B30" t="s">
        <v>103</v>
      </c>
      <c r="C30">
        <v>3</v>
      </c>
      <c r="D30">
        <v>25</v>
      </c>
      <c r="E30" t="s">
        <v>1008</v>
      </c>
      <c r="AY30" t="s">
        <v>1752</v>
      </c>
    </row>
    <row r="31" spans="1:51" outlineLevel="1" x14ac:dyDescent="0.4">
      <c r="A31" t="s">
        <v>1043</v>
      </c>
      <c r="B31" t="s">
        <v>103</v>
      </c>
      <c r="C31">
        <v>3</v>
      </c>
      <c r="D31">
        <v>25</v>
      </c>
      <c r="E31" t="s">
        <v>1049</v>
      </c>
      <c r="AY31" t="s">
        <v>1753</v>
      </c>
    </row>
    <row r="32" spans="1:51" outlineLevel="1" x14ac:dyDescent="0.4">
      <c r="A32" t="s">
        <v>1103</v>
      </c>
      <c r="B32" t="s">
        <v>103</v>
      </c>
      <c r="C32">
        <v>4</v>
      </c>
      <c r="D32">
        <v>35</v>
      </c>
      <c r="E32" t="s">
        <v>1104</v>
      </c>
      <c r="AY32" t="s">
        <v>1754</v>
      </c>
    </row>
    <row r="33" spans="1:51" outlineLevel="1" x14ac:dyDescent="0.4">
      <c r="A33" t="s">
        <v>1105</v>
      </c>
      <c r="B33" t="s">
        <v>103</v>
      </c>
      <c r="C33">
        <v>4</v>
      </c>
      <c r="D33">
        <v>35</v>
      </c>
      <c r="E33" t="s">
        <v>1058</v>
      </c>
      <c r="AY33" t="s">
        <v>1755</v>
      </c>
    </row>
    <row r="34" spans="1:51" outlineLevel="1" x14ac:dyDescent="0.4">
      <c r="A34" t="s">
        <v>1048</v>
      </c>
      <c r="B34" t="s">
        <v>103</v>
      </c>
      <c r="C34">
        <v>4</v>
      </c>
      <c r="D34">
        <v>35</v>
      </c>
      <c r="E34" t="s">
        <v>1050</v>
      </c>
      <c r="AY34" t="s">
        <v>1756</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1757</v>
      </c>
    </row>
    <row r="45" spans="1:51" outlineLevel="1" x14ac:dyDescent="0.4">
      <c r="A45" t="s">
        <v>1107</v>
      </c>
      <c r="B45" t="s">
        <v>6</v>
      </c>
      <c r="C45">
        <v>1</v>
      </c>
      <c r="D45">
        <v>5</v>
      </c>
      <c r="E45" t="s">
        <v>1055</v>
      </c>
      <c r="AY45" t="s">
        <v>1758</v>
      </c>
    </row>
    <row r="46" spans="1:51" outlineLevel="1" x14ac:dyDescent="0.4">
      <c r="A46" t="s">
        <v>1108</v>
      </c>
      <c r="B46" t="s">
        <v>6</v>
      </c>
      <c r="C46">
        <v>1</v>
      </c>
      <c r="D46">
        <v>5</v>
      </c>
      <c r="E46" t="s">
        <v>1005</v>
      </c>
      <c r="AY46" t="s">
        <v>1759</v>
      </c>
    </row>
    <row r="47" spans="1:51" outlineLevel="1" x14ac:dyDescent="0.4">
      <c r="A47" t="s">
        <v>1109</v>
      </c>
      <c r="B47" t="s">
        <v>6</v>
      </c>
      <c r="C47">
        <v>2</v>
      </c>
      <c r="D47">
        <v>15</v>
      </c>
      <c r="E47" t="s">
        <v>1052</v>
      </c>
      <c r="AY47" t="s">
        <v>1760</v>
      </c>
    </row>
    <row r="48" spans="1:51" outlineLevel="1" x14ac:dyDescent="0.4">
      <c r="A48" t="s">
        <v>1110</v>
      </c>
      <c r="B48" t="s">
        <v>6</v>
      </c>
      <c r="C48">
        <v>2</v>
      </c>
      <c r="D48">
        <v>15</v>
      </c>
      <c r="E48" t="s">
        <v>1056</v>
      </c>
      <c r="AY48" t="s">
        <v>1761</v>
      </c>
    </row>
    <row r="49" spans="1:51" outlineLevel="1" x14ac:dyDescent="0.4">
      <c r="A49" t="s">
        <v>1111</v>
      </c>
      <c r="B49" t="s">
        <v>6</v>
      </c>
      <c r="C49">
        <v>2</v>
      </c>
      <c r="D49">
        <v>15</v>
      </c>
      <c r="E49" t="s">
        <v>1047</v>
      </c>
      <c r="AY49" t="s">
        <v>1762</v>
      </c>
    </row>
    <row r="50" spans="1:51" outlineLevel="1" x14ac:dyDescent="0.4">
      <c r="A50" t="s">
        <v>1112</v>
      </c>
      <c r="B50" t="s">
        <v>6</v>
      </c>
      <c r="C50">
        <v>3</v>
      </c>
      <c r="D50">
        <v>25</v>
      </c>
      <c r="E50" t="s">
        <v>1101</v>
      </c>
      <c r="AY50" t="s">
        <v>1763</v>
      </c>
    </row>
    <row r="51" spans="1:51" outlineLevel="1" x14ac:dyDescent="0.4">
      <c r="A51" t="s">
        <v>1113</v>
      </c>
      <c r="B51" t="s">
        <v>6</v>
      </c>
      <c r="C51">
        <v>3</v>
      </c>
      <c r="D51">
        <v>25</v>
      </c>
      <c r="E51" t="s">
        <v>1057</v>
      </c>
      <c r="AY51" t="s">
        <v>1764</v>
      </c>
    </row>
    <row r="52" spans="1:51" outlineLevel="1" x14ac:dyDescent="0.4">
      <c r="A52" t="s">
        <v>1044</v>
      </c>
      <c r="B52" t="s">
        <v>6</v>
      </c>
      <c r="C52">
        <v>3</v>
      </c>
      <c r="D52">
        <v>25</v>
      </c>
      <c r="E52" t="s">
        <v>1053</v>
      </c>
      <c r="AY52" t="s">
        <v>1765</v>
      </c>
    </row>
    <row r="53" spans="1:51" outlineLevel="1" x14ac:dyDescent="0.4">
      <c r="A53" t="s">
        <v>1114</v>
      </c>
      <c r="B53" t="s">
        <v>6</v>
      </c>
      <c r="C53">
        <v>4</v>
      </c>
      <c r="D53">
        <v>35</v>
      </c>
      <c r="E53" t="s">
        <v>1058</v>
      </c>
      <c r="AY53" t="s">
        <v>1766</v>
      </c>
    </row>
    <row r="54" spans="1:51" outlineLevel="1" x14ac:dyDescent="0.4">
      <c r="A54" t="s">
        <v>1115</v>
      </c>
      <c r="B54" t="s">
        <v>6</v>
      </c>
      <c r="C54">
        <v>4</v>
      </c>
      <c r="D54">
        <v>35</v>
      </c>
      <c r="E54" t="s">
        <v>1116</v>
      </c>
      <c r="AY54" t="s">
        <v>1767</v>
      </c>
    </row>
    <row r="55" spans="1:51" outlineLevel="1" x14ac:dyDescent="0.4">
      <c r="A55" t="s">
        <v>1117</v>
      </c>
      <c r="B55" t="s">
        <v>6</v>
      </c>
      <c r="C55">
        <v>4</v>
      </c>
      <c r="D55">
        <v>35</v>
      </c>
      <c r="E55" t="s">
        <v>1054</v>
      </c>
      <c r="AY55" t="s">
        <v>1768</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1769</v>
      </c>
    </row>
    <row r="66" spans="1:51" outlineLevel="1" x14ac:dyDescent="0.4">
      <c r="A66" t="s">
        <v>1083</v>
      </c>
      <c r="B66" t="s">
        <v>656</v>
      </c>
      <c r="C66">
        <v>1</v>
      </c>
      <c r="D66">
        <v>5</v>
      </c>
      <c r="E66" t="s">
        <v>1016</v>
      </c>
      <c r="AY66" t="s">
        <v>1770</v>
      </c>
    </row>
    <row r="67" spans="1:51" outlineLevel="1" x14ac:dyDescent="0.4">
      <c r="A67" t="s">
        <v>1084</v>
      </c>
      <c r="B67" t="s">
        <v>656</v>
      </c>
      <c r="C67">
        <v>1</v>
      </c>
      <c r="D67">
        <v>5</v>
      </c>
      <c r="E67" t="s">
        <v>1006</v>
      </c>
      <c r="AY67" t="s">
        <v>1771</v>
      </c>
    </row>
    <row r="68" spans="1:51" outlineLevel="1" x14ac:dyDescent="0.4">
      <c r="A68" t="s">
        <v>1085</v>
      </c>
      <c r="B68" t="s">
        <v>656</v>
      </c>
      <c r="C68">
        <v>2</v>
      </c>
      <c r="D68">
        <v>15</v>
      </c>
      <c r="E68" t="s">
        <v>1012</v>
      </c>
      <c r="AY68" t="s">
        <v>1772</v>
      </c>
    </row>
    <row r="69" spans="1:51" outlineLevel="1" x14ac:dyDescent="0.4">
      <c r="A69" t="s">
        <v>1086</v>
      </c>
      <c r="B69" t="s">
        <v>656</v>
      </c>
      <c r="C69">
        <v>2</v>
      </c>
      <c r="D69">
        <v>15</v>
      </c>
      <c r="E69" t="s">
        <v>1013</v>
      </c>
      <c r="AY69" t="s">
        <v>1773</v>
      </c>
    </row>
    <row r="70" spans="1:51" outlineLevel="1" x14ac:dyDescent="0.4">
      <c r="A70" t="s">
        <v>1087</v>
      </c>
      <c r="B70" t="s">
        <v>656</v>
      </c>
      <c r="C70">
        <v>2</v>
      </c>
      <c r="D70">
        <v>15</v>
      </c>
      <c r="E70" t="s">
        <v>1017</v>
      </c>
      <c r="AY70" t="s">
        <v>1774</v>
      </c>
    </row>
    <row r="71" spans="1:51" outlineLevel="1" x14ac:dyDescent="0.4">
      <c r="A71" t="s">
        <v>1088</v>
      </c>
      <c r="B71" t="s">
        <v>656</v>
      </c>
      <c r="C71">
        <v>3</v>
      </c>
      <c r="D71">
        <v>25</v>
      </c>
      <c r="E71" t="s">
        <v>1016</v>
      </c>
      <c r="AY71" t="s">
        <v>1775</v>
      </c>
    </row>
    <row r="72" spans="1:51" outlineLevel="1" x14ac:dyDescent="0.4">
      <c r="A72" t="s">
        <v>1089</v>
      </c>
      <c r="B72" t="s">
        <v>656</v>
      </c>
      <c r="C72">
        <v>3</v>
      </c>
      <c r="D72">
        <v>25</v>
      </c>
      <c r="E72" t="s">
        <v>1019</v>
      </c>
      <c r="AY72" t="s">
        <v>1776</v>
      </c>
    </row>
    <row r="73" spans="1:51" outlineLevel="1" x14ac:dyDescent="0.4">
      <c r="A73" t="s">
        <v>1090</v>
      </c>
      <c r="B73" t="s">
        <v>656</v>
      </c>
      <c r="C73">
        <v>3</v>
      </c>
      <c r="D73">
        <v>25</v>
      </c>
      <c r="E73" t="s">
        <v>1014</v>
      </c>
      <c r="AY73" t="s">
        <v>1777</v>
      </c>
    </row>
    <row r="74" spans="1:51" outlineLevel="1" x14ac:dyDescent="0.4">
      <c r="A74" t="s">
        <v>1091</v>
      </c>
      <c r="B74" t="s">
        <v>656</v>
      </c>
      <c r="C74">
        <v>4</v>
      </c>
      <c r="D74">
        <v>35</v>
      </c>
      <c r="E74" t="s">
        <v>1018</v>
      </c>
      <c r="AY74" t="s">
        <v>1778</v>
      </c>
    </row>
    <row r="75" spans="1:51" outlineLevel="1" x14ac:dyDescent="0.4">
      <c r="A75" t="s">
        <v>1092</v>
      </c>
      <c r="B75" t="s">
        <v>656</v>
      </c>
      <c r="C75">
        <v>4</v>
      </c>
      <c r="D75">
        <v>35</v>
      </c>
      <c r="E75" t="s">
        <v>1021</v>
      </c>
      <c r="AY75" t="s">
        <v>1779</v>
      </c>
    </row>
    <row r="76" spans="1:51" outlineLevel="1" x14ac:dyDescent="0.4">
      <c r="A76" t="s">
        <v>1093</v>
      </c>
      <c r="B76" t="s">
        <v>656</v>
      </c>
      <c r="C76">
        <v>4</v>
      </c>
      <c r="D76">
        <v>35</v>
      </c>
      <c r="E76" t="s">
        <v>1020</v>
      </c>
      <c r="AY76" t="s">
        <v>1780</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1781</v>
      </c>
    </row>
    <row r="87" spans="1:51" x14ac:dyDescent="0.4">
      <c r="A87" t="s">
        <v>1066</v>
      </c>
      <c r="B87" t="s">
        <v>998</v>
      </c>
      <c r="C87">
        <v>1</v>
      </c>
      <c r="D87">
        <v>5</v>
      </c>
      <c r="E87" t="s">
        <v>1059</v>
      </c>
      <c r="AY87" t="s">
        <v>1782</v>
      </c>
    </row>
    <row r="88" spans="1:51" outlineLevel="1" x14ac:dyDescent="0.4">
      <c r="A88" t="s">
        <v>1067</v>
      </c>
      <c r="B88" t="s">
        <v>998</v>
      </c>
      <c r="C88">
        <v>1</v>
      </c>
      <c r="D88">
        <v>5</v>
      </c>
      <c r="E88" t="s">
        <v>1007</v>
      </c>
      <c r="AY88" t="s">
        <v>1783</v>
      </c>
    </row>
    <row r="89" spans="1:51" outlineLevel="1" x14ac:dyDescent="0.4">
      <c r="A89" t="s">
        <v>1068</v>
      </c>
      <c r="B89" t="s">
        <v>998</v>
      </c>
      <c r="C89">
        <v>2</v>
      </c>
      <c r="D89">
        <v>15</v>
      </c>
      <c r="E89" t="s">
        <v>1069</v>
      </c>
      <c r="AY89" t="s">
        <v>1784</v>
      </c>
    </row>
    <row r="90" spans="1:51" outlineLevel="1" x14ac:dyDescent="0.4">
      <c r="A90" t="s">
        <v>1070</v>
      </c>
      <c r="B90" t="s">
        <v>998</v>
      </c>
      <c r="C90">
        <v>2</v>
      </c>
      <c r="D90">
        <v>15</v>
      </c>
      <c r="E90" t="s">
        <v>1061</v>
      </c>
      <c r="AY90" t="s">
        <v>1785</v>
      </c>
    </row>
    <row r="91" spans="1:51" outlineLevel="1" x14ac:dyDescent="0.4">
      <c r="A91" t="s">
        <v>1071</v>
      </c>
      <c r="B91" t="s">
        <v>998</v>
      </c>
      <c r="C91">
        <v>2</v>
      </c>
      <c r="D91">
        <v>15</v>
      </c>
      <c r="E91" t="s">
        <v>1072</v>
      </c>
      <c r="AY91" t="s">
        <v>1786</v>
      </c>
    </row>
    <row r="92" spans="1:51" outlineLevel="1" x14ac:dyDescent="0.4">
      <c r="A92" t="s">
        <v>1060</v>
      </c>
      <c r="B92" t="s">
        <v>998</v>
      </c>
      <c r="C92">
        <v>3</v>
      </c>
      <c r="D92">
        <v>25</v>
      </c>
      <c r="E92" t="s">
        <v>1073</v>
      </c>
      <c r="AY92" t="s">
        <v>1787</v>
      </c>
    </row>
    <row r="93" spans="1:51" outlineLevel="1" x14ac:dyDescent="0.4">
      <c r="A93" t="s">
        <v>1062</v>
      </c>
      <c r="B93" t="s">
        <v>998</v>
      </c>
      <c r="C93">
        <v>3</v>
      </c>
      <c r="D93">
        <v>25</v>
      </c>
      <c r="E93" t="s">
        <v>1063</v>
      </c>
      <c r="AY93" t="s">
        <v>1788</v>
      </c>
    </row>
    <row r="94" spans="1:51" outlineLevel="1" x14ac:dyDescent="0.4">
      <c r="A94" t="s">
        <v>1074</v>
      </c>
      <c r="B94" t="s">
        <v>998</v>
      </c>
      <c r="C94">
        <v>3</v>
      </c>
      <c r="D94">
        <v>25</v>
      </c>
      <c r="E94" t="s">
        <v>1075</v>
      </c>
      <c r="AY94" t="s">
        <v>1789</v>
      </c>
    </row>
    <row r="95" spans="1:51" outlineLevel="1" x14ac:dyDescent="0.4">
      <c r="A95" t="s">
        <v>1076</v>
      </c>
      <c r="B95" t="s">
        <v>998</v>
      </c>
      <c r="C95">
        <v>4</v>
      </c>
      <c r="D95">
        <v>35</v>
      </c>
      <c r="E95" t="s">
        <v>1077</v>
      </c>
      <c r="AY95" t="s">
        <v>1790</v>
      </c>
    </row>
    <row r="96" spans="1:51" outlineLevel="1" x14ac:dyDescent="0.4">
      <c r="A96" t="s">
        <v>1078</v>
      </c>
      <c r="B96" t="s">
        <v>998</v>
      </c>
      <c r="C96">
        <v>4</v>
      </c>
      <c r="D96">
        <v>35</v>
      </c>
      <c r="E96" t="s">
        <v>1079</v>
      </c>
      <c r="AY96" t="s">
        <v>1791</v>
      </c>
    </row>
    <row r="97" spans="1:51" outlineLevel="1" x14ac:dyDescent="0.4">
      <c r="A97" t="s">
        <v>1080</v>
      </c>
      <c r="B97" t="s">
        <v>998</v>
      </c>
      <c r="C97">
        <v>4</v>
      </c>
      <c r="D97">
        <v>35</v>
      </c>
      <c r="E97" t="s">
        <v>1081</v>
      </c>
      <c r="AY97" t="s">
        <v>1792</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1640</v>
      </c>
      <c r="X1" s="3" t="s">
        <v>1641</v>
      </c>
      <c r="Y1" s="3" t="s">
        <v>1642</v>
      </c>
      <c r="Z1" s="3" t="s">
        <v>1643</v>
      </c>
    </row>
    <row r="2" spans="1:26" x14ac:dyDescent="0.4">
      <c r="A2" s="17">
        <v>1</v>
      </c>
      <c r="B2" s="17" t="s">
        <v>955</v>
      </c>
      <c r="C2" s="17"/>
      <c r="D2" s="17"/>
      <c r="E2" s="17"/>
      <c r="F2" s="17"/>
      <c r="G2" s="17">
        <v>10</v>
      </c>
      <c r="H2" s="17">
        <v>0</v>
      </c>
      <c r="I2" s="17">
        <v>0</v>
      </c>
      <c r="J2" s="17"/>
      <c r="K2" s="17">
        <v>10</v>
      </c>
      <c r="U2" s="39">
        <v>1</v>
      </c>
      <c r="V2" s="39">
        <v>0</v>
      </c>
      <c r="W2" t="s">
        <v>1693</v>
      </c>
      <c r="X2" t="s">
        <v>1694</v>
      </c>
      <c r="Y2" t="s">
        <v>1695</v>
      </c>
      <c r="Z2">
        <v>1</v>
      </c>
    </row>
    <row r="3" spans="1:26" x14ac:dyDescent="0.4">
      <c r="A3" s="17">
        <v>2</v>
      </c>
      <c r="B3" s="17" t="s">
        <v>955</v>
      </c>
      <c r="C3" s="17"/>
      <c r="D3" s="17"/>
      <c r="E3" s="17"/>
      <c r="F3" s="17"/>
      <c r="G3" s="17">
        <v>20</v>
      </c>
      <c r="H3" s="17">
        <v>0</v>
      </c>
      <c r="I3" s="17">
        <v>0</v>
      </c>
      <c r="J3" s="17"/>
      <c r="K3" s="17">
        <v>20</v>
      </c>
      <c r="U3" s="39">
        <v>1</v>
      </c>
      <c r="V3" s="39">
        <v>0.15</v>
      </c>
      <c r="W3" t="s">
        <v>1696</v>
      </c>
      <c r="X3" t="s">
        <v>1697</v>
      </c>
      <c r="Y3" t="s">
        <v>1698</v>
      </c>
      <c r="Z3">
        <v>1.25</v>
      </c>
    </row>
    <row r="4" spans="1:26" x14ac:dyDescent="0.4">
      <c r="A4" s="17">
        <v>3</v>
      </c>
      <c r="B4" s="17" t="s">
        <v>955</v>
      </c>
      <c r="C4" s="17"/>
      <c r="D4" s="17"/>
      <c r="E4" s="17"/>
      <c r="F4" s="17"/>
      <c r="G4" s="17">
        <v>10</v>
      </c>
      <c r="H4" s="17">
        <v>10</v>
      </c>
      <c r="I4" s="17"/>
      <c r="J4" s="17"/>
      <c r="K4">
        <v>10</v>
      </c>
      <c r="L4" s="17">
        <v>10</v>
      </c>
      <c r="U4" s="39">
        <v>1</v>
      </c>
      <c r="V4" s="39">
        <v>0.3</v>
      </c>
      <c r="W4" t="s">
        <v>1699</v>
      </c>
      <c r="X4" t="s">
        <v>1700</v>
      </c>
      <c r="Y4" t="s">
        <v>1701</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1702</v>
      </c>
      <c r="X5" t="s">
        <v>1703</v>
      </c>
      <c r="Y5" t="s">
        <v>1704</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1705</v>
      </c>
      <c r="X6" t="s">
        <v>1706</v>
      </c>
      <c r="Y6" t="s">
        <v>1707</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1816</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2026-09-27T20:46:28Z</dcterms:modified>
</cp:coreProperties>
</file>