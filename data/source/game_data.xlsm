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F8B0AAB5-CCEF-4E57-A569-3242879B5DE8}" xr6:coauthVersionLast="47" xr6:coauthVersionMax="47" xr10:uidLastSave="{00000000-0000-0000-0000-000000000000}"/>
  <bookViews>
    <workbookView xWindow="645" yWindow="2745" windowWidth="23415" windowHeight="17445" tabRatio="799" activeTab="7"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研究" sheetId="17" r:id="rId17"/>
    <sheet name="付与" sheetId="20" r:id="rId18"/>
    <sheet name="消費量" sheetId="22" r:id="rId19"/>
    <sheet name="装備" sheetId="14" r:id="rId20"/>
  </sheets>
  <definedNames>
    <definedName name="_xlnm._FilterDatabase" localSheetId="0" hidden="1">CS!$A$4:$T$707</definedName>
    <definedName name="_xlnm._FilterDatabase" localSheetId="4" hidden="1">スキル一覧!$A$3:$CK$100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18" l="1"/>
  <c r="C17" i="18"/>
  <c r="C16" i="18"/>
  <c r="C15" i="18"/>
  <c r="C14" i="18"/>
  <c r="C13" i="18"/>
  <c r="C12" i="18"/>
  <c r="C11" i="18"/>
  <c r="D18" i="1"/>
  <c r="BG27" i="1"/>
  <c r="BF27" i="1"/>
  <c r="BE27" i="1"/>
  <c r="BD27" i="1"/>
  <c r="BC27" i="1"/>
  <c r="BB27" i="1"/>
  <c r="BA27" i="1"/>
  <c r="AZ27" i="1"/>
  <c r="AY27" i="1"/>
  <c r="AX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G73" i="1"/>
  <c r="BF73" i="1"/>
  <c r="BE73" i="1"/>
  <c r="BD73" i="1"/>
  <c r="BC73" i="1"/>
  <c r="BB73" i="1"/>
  <c r="BA73" i="1"/>
  <c r="AZ73" i="1"/>
  <c r="AY73" i="1"/>
  <c r="AX73" i="1"/>
  <c r="D73" i="1"/>
  <c r="BG77" i="1"/>
  <c r="BF77" i="1"/>
  <c r="BE77" i="1"/>
  <c r="BD77" i="1"/>
  <c r="BC77" i="1"/>
  <c r="BB77" i="1"/>
  <c r="BA77" i="1"/>
  <c r="AZ77" i="1"/>
  <c r="AY77" i="1"/>
  <c r="AX77" i="1"/>
  <c r="D77" i="1"/>
  <c r="BG76" i="1"/>
  <c r="BF76" i="1"/>
  <c r="BE76" i="1"/>
  <c r="BD76" i="1"/>
  <c r="BC76" i="1"/>
  <c r="BB76" i="1"/>
  <c r="BA76" i="1"/>
  <c r="AZ76" i="1"/>
  <c r="AY76" i="1"/>
  <c r="AX76" i="1"/>
  <c r="D76" i="1"/>
  <c r="BG75" i="1"/>
  <c r="BF75" i="1"/>
  <c r="BE75" i="1"/>
  <c r="BD75" i="1"/>
  <c r="BC75" i="1"/>
  <c r="BB75" i="1"/>
  <c r="BA75" i="1"/>
  <c r="AZ75" i="1"/>
  <c r="AY75" i="1"/>
  <c r="AX75" i="1"/>
  <c r="D75" i="1"/>
  <c r="D74" i="1"/>
  <c r="BG72" i="1"/>
  <c r="BF72" i="1"/>
  <c r="BE72" i="1"/>
  <c r="BD72" i="1"/>
  <c r="BC72" i="1"/>
  <c r="BB72" i="1"/>
  <c r="BA72" i="1"/>
  <c r="AZ72" i="1"/>
  <c r="AY72" i="1"/>
  <c r="AX72"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20" i="3"/>
  <c r="J423" i="3"/>
  <c r="J422" i="3"/>
  <c r="J421" i="3"/>
  <c r="J420" i="3"/>
  <c r="J419" i="3"/>
  <c r="J418" i="3"/>
  <c r="J417" i="3"/>
  <c r="H417" i="3"/>
  <c r="J416" i="3"/>
  <c r="J415" i="3"/>
  <c r="J414" i="3"/>
  <c r="J413" i="3"/>
  <c r="J412" i="3"/>
  <c r="J411"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BG189" i="1"/>
  <c r="BF189" i="1"/>
  <c r="BE189" i="1"/>
  <c r="BD189" i="1"/>
  <c r="BC189" i="1"/>
  <c r="BB189" i="1"/>
  <c r="BA189" i="1"/>
  <c r="AZ189" i="1"/>
  <c r="AY189" i="1"/>
  <c r="AX189" i="1"/>
  <c r="D189" i="1"/>
  <c r="BG188" i="1"/>
  <c r="BF188" i="1"/>
  <c r="BE188" i="1"/>
  <c r="BD188" i="1"/>
  <c r="BC188" i="1"/>
  <c r="BB188" i="1"/>
  <c r="BA188" i="1"/>
  <c r="AZ188" i="1"/>
  <c r="AY188" i="1"/>
  <c r="AX188" i="1"/>
  <c r="D188" i="1"/>
  <c r="BG187" i="1"/>
  <c r="BF187" i="1"/>
  <c r="BE187" i="1"/>
  <c r="BD187" i="1"/>
  <c r="BC187" i="1"/>
  <c r="BB187" i="1"/>
  <c r="BA187" i="1"/>
  <c r="AZ187" i="1"/>
  <c r="AY187" i="1"/>
  <c r="AX187" i="1"/>
  <c r="D187" i="1"/>
  <c r="BG186" i="1"/>
  <c r="BF186" i="1"/>
  <c r="BE186" i="1"/>
  <c r="BD186" i="1"/>
  <c r="BC186" i="1"/>
  <c r="BB186" i="1"/>
  <c r="BA186" i="1"/>
  <c r="AZ186" i="1"/>
  <c r="AY186" i="1"/>
  <c r="AX186" i="1"/>
  <c r="D186" i="1"/>
  <c r="BG185" i="1"/>
  <c r="BF185" i="1"/>
  <c r="BE185" i="1"/>
  <c r="BD185" i="1"/>
  <c r="BC185" i="1"/>
  <c r="BB185" i="1"/>
  <c r="BA185" i="1"/>
  <c r="AZ185" i="1"/>
  <c r="AY185" i="1"/>
  <c r="AX185" i="1"/>
  <c r="D185" i="1"/>
  <c r="BG184" i="1"/>
  <c r="BF184" i="1"/>
  <c r="BE184" i="1"/>
  <c r="BD184" i="1"/>
  <c r="BC184" i="1"/>
  <c r="BB184" i="1"/>
  <c r="BA184" i="1"/>
  <c r="AZ184" i="1"/>
  <c r="AY184" i="1"/>
  <c r="AX184" i="1"/>
  <c r="D184" i="1"/>
  <c r="BG183" i="1"/>
  <c r="BF183" i="1"/>
  <c r="BE183" i="1"/>
  <c r="BD183" i="1"/>
  <c r="BC183" i="1"/>
  <c r="BB183" i="1"/>
  <c r="BA183" i="1"/>
  <c r="AZ183" i="1"/>
  <c r="AY183" i="1"/>
  <c r="AX183" i="1"/>
  <c r="D183" i="1"/>
  <c r="BG182" i="1"/>
  <c r="BF182" i="1"/>
  <c r="BE182" i="1"/>
  <c r="BD182" i="1"/>
  <c r="BC182" i="1"/>
  <c r="BB182" i="1"/>
  <c r="BA182" i="1"/>
  <c r="AZ182" i="1"/>
  <c r="AY182" i="1"/>
  <c r="AX182" i="1"/>
  <c r="D182" i="1"/>
  <c r="BG181" i="1"/>
  <c r="BF181" i="1"/>
  <c r="BE181" i="1"/>
  <c r="BD181" i="1"/>
  <c r="BC181" i="1"/>
  <c r="BB181" i="1"/>
  <c r="BA181" i="1"/>
  <c r="AZ181" i="1"/>
  <c r="AY181" i="1"/>
  <c r="AX181" i="1"/>
  <c r="D181" i="1"/>
  <c r="BG180" i="1"/>
  <c r="BF180" i="1"/>
  <c r="BE180" i="1"/>
  <c r="BD180" i="1"/>
  <c r="BC180" i="1"/>
  <c r="BB180" i="1"/>
  <c r="BA180" i="1"/>
  <c r="AZ180" i="1"/>
  <c r="AY180" i="1"/>
  <c r="AX180" i="1"/>
  <c r="D180" i="1"/>
  <c r="BG179" i="1"/>
  <c r="BF179" i="1"/>
  <c r="BE179" i="1"/>
  <c r="BD179" i="1"/>
  <c r="BC179" i="1"/>
  <c r="BB179" i="1"/>
  <c r="BA179" i="1"/>
  <c r="AZ179" i="1"/>
  <c r="AY179" i="1"/>
  <c r="AX179" i="1"/>
  <c r="D179" i="1"/>
  <c r="BG178" i="1"/>
  <c r="BF178" i="1"/>
  <c r="BE178" i="1"/>
  <c r="BD178" i="1"/>
  <c r="BC178" i="1"/>
  <c r="BB178" i="1"/>
  <c r="BA178" i="1"/>
  <c r="AZ178" i="1"/>
  <c r="AY178" i="1"/>
  <c r="AX178" i="1"/>
  <c r="D178" i="1"/>
  <c r="BG177" i="1"/>
  <c r="BF177" i="1"/>
  <c r="BE177" i="1"/>
  <c r="BD177" i="1"/>
  <c r="BC177" i="1"/>
  <c r="BB177" i="1"/>
  <c r="BA177" i="1"/>
  <c r="AZ177" i="1"/>
  <c r="AY177" i="1"/>
  <c r="AX177" i="1"/>
  <c r="D177" i="1"/>
  <c r="BG176" i="1"/>
  <c r="BF176" i="1"/>
  <c r="BE176" i="1"/>
  <c r="BD176" i="1"/>
  <c r="BC176" i="1"/>
  <c r="BB176" i="1"/>
  <c r="BA176" i="1"/>
  <c r="AZ176" i="1"/>
  <c r="AY176" i="1"/>
  <c r="AX176" i="1"/>
  <c r="D176" i="1"/>
  <c r="BG175" i="1"/>
  <c r="BF175" i="1"/>
  <c r="BE175" i="1"/>
  <c r="BD175" i="1"/>
  <c r="BC175" i="1"/>
  <c r="BB175" i="1"/>
  <c r="BA175" i="1"/>
  <c r="AZ175" i="1"/>
  <c r="AY175" i="1"/>
  <c r="AX175" i="1"/>
  <c r="D175" i="1"/>
  <c r="BG174" i="1"/>
  <c r="BF174" i="1"/>
  <c r="BE174" i="1"/>
  <c r="BD174" i="1"/>
  <c r="BC174" i="1"/>
  <c r="BB174" i="1"/>
  <c r="BA174" i="1"/>
  <c r="AZ174" i="1"/>
  <c r="AY174" i="1"/>
  <c r="AX174" i="1"/>
  <c r="D174" i="1"/>
  <c r="BG173" i="1"/>
  <c r="BF173" i="1"/>
  <c r="BE173" i="1"/>
  <c r="BD173" i="1"/>
  <c r="BC173" i="1"/>
  <c r="BB173" i="1"/>
  <c r="BA173" i="1"/>
  <c r="AZ173" i="1"/>
  <c r="AY173" i="1"/>
  <c r="AX173" i="1"/>
  <c r="D173" i="1"/>
  <c r="BG172" i="1"/>
  <c r="BF172" i="1"/>
  <c r="BE172" i="1"/>
  <c r="BD172" i="1"/>
  <c r="BC172" i="1"/>
  <c r="BB172" i="1"/>
  <c r="BA172" i="1"/>
  <c r="AZ172" i="1"/>
  <c r="AY172" i="1"/>
  <c r="AX172" i="1"/>
  <c r="D172" i="1"/>
  <c r="BG171" i="1"/>
  <c r="BF171" i="1"/>
  <c r="BE171" i="1"/>
  <c r="BD171" i="1"/>
  <c r="BC171" i="1"/>
  <c r="BB171" i="1"/>
  <c r="BA171" i="1"/>
  <c r="AZ171" i="1"/>
  <c r="AY171" i="1"/>
  <c r="AX171" i="1"/>
  <c r="D171" i="1"/>
  <c r="BG170" i="1"/>
  <c r="BF170" i="1"/>
  <c r="BE170" i="1"/>
  <c r="BD170" i="1"/>
  <c r="BC170" i="1"/>
  <c r="BB170" i="1"/>
  <c r="BA170" i="1"/>
  <c r="AZ170" i="1"/>
  <c r="AY170" i="1"/>
  <c r="AX170" i="1"/>
  <c r="D170" i="1"/>
  <c r="BG169" i="1"/>
  <c r="BF169" i="1"/>
  <c r="BE169" i="1"/>
  <c r="BD169" i="1"/>
  <c r="BC169" i="1"/>
  <c r="BB169" i="1"/>
  <c r="BA169" i="1"/>
  <c r="AZ169" i="1"/>
  <c r="AY169" i="1"/>
  <c r="AX169" i="1"/>
  <c r="D169" i="1"/>
  <c r="BG168" i="1"/>
  <c r="BF168" i="1"/>
  <c r="BE168" i="1"/>
  <c r="BD168" i="1"/>
  <c r="BC168" i="1"/>
  <c r="BB168" i="1"/>
  <c r="BA168" i="1"/>
  <c r="AZ168" i="1"/>
  <c r="AY168" i="1"/>
  <c r="AX168" i="1"/>
  <c r="D168" i="1"/>
  <c r="BG167" i="1"/>
  <c r="BF167" i="1"/>
  <c r="BE167" i="1"/>
  <c r="BD167" i="1"/>
  <c r="BC167" i="1"/>
  <c r="BB167" i="1"/>
  <c r="BA167" i="1"/>
  <c r="AZ167" i="1"/>
  <c r="AY167" i="1"/>
  <c r="AX167" i="1"/>
  <c r="D167" i="1"/>
  <c r="BG166" i="1"/>
  <c r="BF166" i="1"/>
  <c r="BE166" i="1"/>
  <c r="BD166" i="1"/>
  <c r="BC166" i="1"/>
  <c r="BB166" i="1"/>
  <c r="BA166" i="1"/>
  <c r="AZ166" i="1"/>
  <c r="AY166" i="1"/>
  <c r="AX166" i="1"/>
  <c r="D166" i="1"/>
  <c r="BG165" i="1"/>
  <c r="BF165" i="1"/>
  <c r="BE165" i="1"/>
  <c r="BD165" i="1"/>
  <c r="BC165" i="1"/>
  <c r="BB165" i="1"/>
  <c r="BA165" i="1"/>
  <c r="AZ165" i="1"/>
  <c r="AY165" i="1"/>
  <c r="AX165" i="1"/>
  <c r="D165" i="1"/>
  <c r="BG164" i="1"/>
  <c r="BF164" i="1"/>
  <c r="BE164" i="1"/>
  <c r="BD164" i="1"/>
  <c r="BC164" i="1"/>
  <c r="BB164" i="1"/>
  <c r="BA164" i="1"/>
  <c r="AZ164" i="1"/>
  <c r="AY164" i="1"/>
  <c r="AX164" i="1"/>
  <c r="D164" i="1"/>
  <c r="BG163" i="1"/>
  <c r="BF163" i="1"/>
  <c r="BE163" i="1"/>
  <c r="BD163" i="1"/>
  <c r="BC163" i="1"/>
  <c r="BB163" i="1"/>
  <c r="BA163" i="1"/>
  <c r="AZ163" i="1"/>
  <c r="AY163" i="1"/>
  <c r="AX163" i="1"/>
  <c r="D163" i="1"/>
  <c r="BG162" i="1"/>
  <c r="BF162" i="1"/>
  <c r="BE162" i="1"/>
  <c r="BD162" i="1"/>
  <c r="BC162" i="1"/>
  <c r="BB162" i="1"/>
  <c r="BA162" i="1"/>
  <c r="AZ162" i="1"/>
  <c r="AY162" i="1"/>
  <c r="AX162" i="1"/>
  <c r="D162" i="1"/>
  <c r="BG161" i="1"/>
  <c r="BF161" i="1"/>
  <c r="BE161" i="1"/>
  <c r="BD161" i="1"/>
  <c r="BC161" i="1"/>
  <c r="BB161" i="1"/>
  <c r="BA161" i="1"/>
  <c r="AZ161" i="1"/>
  <c r="AY161" i="1"/>
  <c r="AX161" i="1"/>
  <c r="D161" i="1"/>
  <c r="BG160" i="1"/>
  <c r="BF160" i="1"/>
  <c r="BE160" i="1"/>
  <c r="BD160" i="1"/>
  <c r="BC160" i="1"/>
  <c r="BB160" i="1"/>
  <c r="BA160" i="1"/>
  <c r="AZ160" i="1"/>
  <c r="AY160" i="1"/>
  <c r="AX160" i="1"/>
  <c r="D160" i="1"/>
  <c r="BG159" i="1"/>
  <c r="BF159" i="1"/>
  <c r="BE159" i="1"/>
  <c r="BD159" i="1"/>
  <c r="BC159" i="1"/>
  <c r="BB159" i="1"/>
  <c r="BA159" i="1"/>
  <c r="AZ159" i="1"/>
  <c r="AY159" i="1"/>
  <c r="AX159" i="1"/>
  <c r="D159" i="1"/>
  <c r="BG158" i="1"/>
  <c r="BF158" i="1"/>
  <c r="BE158" i="1"/>
  <c r="BD158" i="1"/>
  <c r="BC158" i="1"/>
  <c r="BB158" i="1"/>
  <c r="BA158" i="1"/>
  <c r="AZ158" i="1"/>
  <c r="AY158" i="1"/>
  <c r="AX158" i="1"/>
  <c r="D158" i="1"/>
  <c r="BG157" i="1"/>
  <c r="BF157" i="1"/>
  <c r="BE157" i="1"/>
  <c r="BD157" i="1"/>
  <c r="BC157" i="1"/>
  <c r="BB157" i="1"/>
  <c r="BA157" i="1"/>
  <c r="AZ157" i="1"/>
  <c r="AY157" i="1"/>
  <c r="AX157" i="1"/>
  <c r="D157" i="1"/>
  <c r="BG156" i="1"/>
  <c r="BF156" i="1"/>
  <c r="BE156" i="1"/>
  <c r="BD156" i="1"/>
  <c r="BC156" i="1"/>
  <c r="BB156" i="1"/>
  <c r="BA156" i="1"/>
  <c r="AZ156" i="1"/>
  <c r="AY156" i="1"/>
  <c r="AX156" i="1"/>
  <c r="D156" i="1"/>
  <c r="BG155" i="1"/>
  <c r="BF155" i="1"/>
  <c r="BE155" i="1"/>
  <c r="BD155" i="1"/>
  <c r="BC155" i="1"/>
  <c r="BB155" i="1"/>
  <c r="BA155" i="1"/>
  <c r="AZ155" i="1"/>
  <c r="AY155" i="1"/>
  <c r="AX155" i="1"/>
  <c r="D155" i="1"/>
  <c r="BG154" i="1"/>
  <c r="BF154" i="1"/>
  <c r="BE154" i="1"/>
  <c r="BD154" i="1"/>
  <c r="BC154" i="1"/>
  <c r="BB154" i="1"/>
  <c r="BA154" i="1"/>
  <c r="AZ154" i="1"/>
  <c r="AY154" i="1"/>
  <c r="AX154" i="1"/>
  <c r="D154" i="1"/>
  <c r="BG153" i="1"/>
  <c r="BF153" i="1"/>
  <c r="BE153" i="1"/>
  <c r="BD153" i="1"/>
  <c r="BC153" i="1"/>
  <c r="BB153" i="1"/>
  <c r="BA153" i="1"/>
  <c r="AZ153" i="1"/>
  <c r="AY153" i="1"/>
  <c r="AX153" i="1"/>
  <c r="D153" i="1"/>
  <c r="BG152" i="1"/>
  <c r="BF152" i="1"/>
  <c r="BE152" i="1"/>
  <c r="BD152" i="1"/>
  <c r="BC152" i="1"/>
  <c r="BB152" i="1"/>
  <c r="BA152" i="1"/>
  <c r="AZ152" i="1"/>
  <c r="AY152" i="1"/>
  <c r="AX152" i="1"/>
  <c r="D152" i="1"/>
  <c r="BG151" i="1"/>
  <c r="BF151" i="1"/>
  <c r="BE151" i="1"/>
  <c r="BD151" i="1"/>
  <c r="BC151" i="1"/>
  <c r="BB151" i="1"/>
  <c r="BA151" i="1"/>
  <c r="AZ151" i="1"/>
  <c r="AY151" i="1"/>
  <c r="AX151" i="1"/>
  <c r="D151" i="1"/>
  <c r="BG150" i="1"/>
  <c r="BF150" i="1"/>
  <c r="BE150" i="1"/>
  <c r="BD150" i="1"/>
  <c r="BC150" i="1"/>
  <c r="BB150" i="1"/>
  <c r="BA150" i="1"/>
  <c r="AZ150" i="1"/>
  <c r="AY150" i="1"/>
  <c r="AX150" i="1"/>
  <c r="D150" i="1"/>
  <c r="BG149" i="1"/>
  <c r="BF149" i="1"/>
  <c r="BE149" i="1"/>
  <c r="BD149" i="1"/>
  <c r="BC149" i="1"/>
  <c r="BB149" i="1"/>
  <c r="BA149" i="1"/>
  <c r="AZ149" i="1"/>
  <c r="AY149" i="1"/>
  <c r="AX149" i="1"/>
  <c r="D149" i="1"/>
  <c r="BG148" i="1"/>
  <c r="BF148" i="1"/>
  <c r="BE148" i="1"/>
  <c r="BD148" i="1"/>
  <c r="BC148" i="1"/>
  <c r="BB148" i="1"/>
  <c r="BA148" i="1"/>
  <c r="AZ148" i="1"/>
  <c r="AY148" i="1"/>
  <c r="AX148" i="1"/>
  <c r="D148" i="1"/>
  <c r="BG147" i="1"/>
  <c r="BF147" i="1"/>
  <c r="BE147" i="1"/>
  <c r="BD147" i="1"/>
  <c r="BC147" i="1"/>
  <c r="BB147" i="1"/>
  <c r="BA147" i="1"/>
  <c r="AZ147" i="1"/>
  <c r="AY147" i="1"/>
  <c r="AX147" i="1"/>
  <c r="D147" i="1"/>
  <c r="BG146" i="1"/>
  <c r="BF146" i="1"/>
  <c r="BE146" i="1"/>
  <c r="BD146" i="1"/>
  <c r="BC146" i="1"/>
  <c r="BB146" i="1"/>
  <c r="BA146" i="1"/>
  <c r="AZ146" i="1"/>
  <c r="AY146" i="1"/>
  <c r="AX146" i="1"/>
  <c r="D146" i="1"/>
  <c r="BG145" i="1"/>
  <c r="BF145" i="1"/>
  <c r="BE145" i="1"/>
  <c r="BD145" i="1"/>
  <c r="BC145" i="1"/>
  <c r="BB145" i="1"/>
  <c r="BA145" i="1"/>
  <c r="AZ145" i="1"/>
  <c r="AY145" i="1"/>
  <c r="AX145" i="1"/>
  <c r="D145" i="1"/>
  <c r="BG144" i="1"/>
  <c r="BF144" i="1"/>
  <c r="BE144" i="1"/>
  <c r="BD144" i="1"/>
  <c r="BC144" i="1"/>
  <c r="BB144" i="1"/>
  <c r="BA144" i="1"/>
  <c r="AZ144" i="1"/>
  <c r="AY144" i="1"/>
  <c r="AX144" i="1"/>
  <c r="D144" i="1"/>
  <c r="BG143" i="1"/>
  <c r="BF143" i="1"/>
  <c r="BE143" i="1"/>
  <c r="BD143" i="1"/>
  <c r="BC143" i="1"/>
  <c r="BB143" i="1"/>
  <c r="BA143" i="1"/>
  <c r="AZ143" i="1"/>
  <c r="AY143" i="1"/>
  <c r="AX143" i="1"/>
  <c r="D143" i="1"/>
  <c r="BG142" i="1"/>
  <c r="BF142" i="1"/>
  <c r="BE142" i="1"/>
  <c r="BD142" i="1"/>
  <c r="BC142" i="1"/>
  <c r="BB142" i="1"/>
  <c r="BA142" i="1"/>
  <c r="AZ142" i="1"/>
  <c r="AY142" i="1"/>
  <c r="AX142" i="1"/>
  <c r="D142" i="1"/>
  <c r="BG141" i="1"/>
  <c r="BF141" i="1"/>
  <c r="BE141" i="1"/>
  <c r="BD141" i="1"/>
  <c r="BC141" i="1"/>
  <c r="BB141" i="1"/>
  <c r="BA141" i="1"/>
  <c r="AZ141" i="1"/>
  <c r="AY141" i="1"/>
  <c r="AX141" i="1"/>
  <c r="D141" i="1"/>
  <c r="BG140" i="1"/>
  <c r="BF140" i="1"/>
  <c r="BE140" i="1"/>
  <c r="BD140" i="1"/>
  <c r="BC140" i="1"/>
  <c r="BB140" i="1"/>
  <c r="BA140" i="1"/>
  <c r="AZ140" i="1"/>
  <c r="AY140" i="1"/>
  <c r="AX140" i="1"/>
  <c r="D140" i="1"/>
  <c r="BG139" i="1"/>
  <c r="BF139" i="1"/>
  <c r="BE139" i="1"/>
  <c r="BD139" i="1"/>
  <c r="BC139" i="1"/>
  <c r="BB139" i="1"/>
  <c r="BA139" i="1"/>
  <c r="AZ139" i="1"/>
  <c r="AY139" i="1"/>
  <c r="AX139" i="1"/>
  <c r="D139" i="1"/>
  <c r="BG138" i="1"/>
  <c r="BF138" i="1"/>
  <c r="BE138" i="1"/>
  <c r="BD138" i="1"/>
  <c r="BC138" i="1"/>
  <c r="BB138" i="1"/>
  <c r="BA138" i="1"/>
  <c r="AZ138" i="1"/>
  <c r="AY138" i="1"/>
  <c r="AX138" i="1"/>
  <c r="D138" i="1"/>
  <c r="BG137" i="1"/>
  <c r="BF137" i="1"/>
  <c r="BE137" i="1"/>
  <c r="BD137" i="1"/>
  <c r="BC137" i="1"/>
  <c r="BB137" i="1"/>
  <c r="BA137" i="1"/>
  <c r="AZ137" i="1"/>
  <c r="AY137" i="1"/>
  <c r="AX137" i="1"/>
  <c r="D137" i="1"/>
  <c r="BG136" i="1"/>
  <c r="BF136" i="1"/>
  <c r="BE136" i="1"/>
  <c r="BD136" i="1"/>
  <c r="BC136" i="1"/>
  <c r="BB136" i="1"/>
  <c r="BA136" i="1"/>
  <c r="AZ136" i="1"/>
  <c r="AY136" i="1"/>
  <c r="AX136" i="1"/>
  <c r="D136" i="1"/>
  <c r="BG135" i="1"/>
  <c r="BF135" i="1"/>
  <c r="BE135" i="1"/>
  <c r="BD135" i="1"/>
  <c r="BC135" i="1"/>
  <c r="BB135" i="1"/>
  <c r="BA135" i="1"/>
  <c r="AZ135" i="1"/>
  <c r="AY135" i="1"/>
  <c r="AX135" i="1"/>
  <c r="D135" i="1"/>
  <c r="BG134" i="1"/>
  <c r="BF134" i="1"/>
  <c r="BE134" i="1"/>
  <c r="BD134" i="1"/>
  <c r="BC134" i="1"/>
  <c r="BB134" i="1"/>
  <c r="BA134" i="1"/>
  <c r="AZ134" i="1"/>
  <c r="AY134" i="1"/>
  <c r="AX134" i="1"/>
  <c r="D134" i="1"/>
  <c r="BG133" i="1"/>
  <c r="BF133" i="1"/>
  <c r="BE133" i="1"/>
  <c r="BD133" i="1"/>
  <c r="BC133" i="1"/>
  <c r="BB133" i="1"/>
  <c r="BA133" i="1"/>
  <c r="AZ133" i="1"/>
  <c r="AY133" i="1"/>
  <c r="AX133" i="1"/>
  <c r="D133" i="1"/>
  <c r="BG132" i="1"/>
  <c r="BF132" i="1"/>
  <c r="BE132" i="1"/>
  <c r="BD132" i="1"/>
  <c r="BC132" i="1"/>
  <c r="BB132" i="1"/>
  <c r="BA132" i="1"/>
  <c r="AZ132" i="1"/>
  <c r="AY132" i="1"/>
  <c r="AX132" i="1"/>
  <c r="D132" i="1"/>
  <c r="BG131" i="1"/>
  <c r="BF131" i="1"/>
  <c r="BE131" i="1"/>
  <c r="BD131" i="1"/>
  <c r="BC131" i="1"/>
  <c r="BB131" i="1"/>
  <c r="BA131" i="1"/>
  <c r="AZ131" i="1"/>
  <c r="AY131" i="1"/>
  <c r="AX131" i="1"/>
  <c r="D131" i="1"/>
  <c r="BG130" i="1"/>
  <c r="BF130" i="1"/>
  <c r="BE130" i="1"/>
  <c r="BD130" i="1"/>
  <c r="BC130" i="1"/>
  <c r="BB130" i="1"/>
  <c r="BA130" i="1"/>
  <c r="AZ130" i="1"/>
  <c r="AY130" i="1"/>
  <c r="AX130" i="1"/>
  <c r="D130" i="1"/>
  <c r="BG129" i="1"/>
  <c r="BF129" i="1"/>
  <c r="BE129" i="1"/>
  <c r="BD129" i="1"/>
  <c r="BC129" i="1"/>
  <c r="BB129" i="1"/>
  <c r="BA129" i="1"/>
  <c r="AZ129" i="1"/>
  <c r="AY129" i="1"/>
  <c r="AX129" i="1"/>
  <c r="D129" i="1"/>
  <c r="BG128" i="1"/>
  <c r="BF128" i="1"/>
  <c r="BE128" i="1"/>
  <c r="BD128" i="1"/>
  <c r="BC128" i="1"/>
  <c r="BB128" i="1"/>
  <c r="BA128" i="1"/>
  <c r="AZ128" i="1"/>
  <c r="AY128" i="1"/>
  <c r="AX128" i="1"/>
  <c r="D128" i="1"/>
  <c r="BG127" i="1"/>
  <c r="BF127" i="1"/>
  <c r="BE127" i="1"/>
  <c r="BD127" i="1"/>
  <c r="BC127" i="1"/>
  <c r="BB127" i="1"/>
  <c r="BA127" i="1"/>
  <c r="AZ127" i="1"/>
  <c r="AY127" i="1"/>
  <c r="AX127" i="1"/>
  <c r="D127" i="1"/>
  <c r="BG126" i="1"/>
  <c r="BF126" i="1"/>
  <c r="BE126" i="1"/>
  <c r="BD126" i="1"/>
  <c r="BC126" i="1"/>
  <c r="BB126" i="1"/>
  <c r="BA126" i="1"/>
  <c r="AZ126" i="1"/>
  <c r="AY126" i="1"/>
  <c r="AX126" i="1"/>
  <c r="D126" i="1"/>
  <c r="BG125" i="1"/>
  <c r="BF125" i="1"/>
  <c r="BE125" i="1"/>
  <c r="BD125" i="1"/>
  <c r="BC125" i="1"/>
  <c r="BB125" i="1"/>
  <c r="BA125" i="1"/>
  <c r="AZ125" i="1"/>
  <c r="AY125" i="1"/>
  <c r="AX125" i="1"/>
  <c r="D125" i="1"/>
  <c r="BG124" i="1"/>
  <c r="BF124" i="1"/>
  <c r="BE124" i="1"/>
  <c r="BD124" i="1"/>
  <c r="BC124" i="1"/>
  <c r="BB124" i="1"/>
  <c r="BA124" i="1"/>
  <c r="AZ124" i="1"/>
  <c r="AY124" i="1"/>
  <c r="AX124" i="1"/>
  <c r="D124" i="1"/>
  <c r="BG123" i="1"/>
  <c r="BF123" i="1"/>
  <c r="BE123" i="1"/>
  <c r="BD123" i="1"/>
  <c r="BC123" i="1"/>
  <c r="BB123" i="1"/>
  <c r="BA123" i="1"/>
  <c r="AZ123" i="1"/>
  <c r="AY123" i="1"/>
  <c r="AX123" i="1"/>
  <c r="D123" i="1"/>
  <c r="BG122" i="1"/>
  <c r="BF122" i="1"/>
  <c r="BE122" i="1"/>
  <c r="BD122" i="1"/>
  <c r="BC122" i="1"/>
  <c r="BB122" i="1"/>
  <c r="BA122" i="1"/>
  <c r="AZ122" i="1"/>
  <c r="AY122" i="1"/>
  <c r="AX122" i="1"/>
  <c r="D122" i="1"/>
  <c r="BG121" i="1"/>
  <c r="BF121" i="1"/>
  <c r="BE121" i="1"/>
  <c r="BD121" i="1"/>
  <c r="BC121" i="1"/>
  <c r="BB121" i="1"/>
  <c r="BA121" i="1"/>
  <c r="AZ121" i="1"/>
  <c r="AY121" i="1"/>
  <c r="AX121" i="1"/>
  <c r="D121" i="1"/>
  <c r="BG120" i="1"/>
  <c r="BF120" i="1"/>
  <c r="BE120" i="1"/>
  <c r="BD120" i="1"/>
  <c r="BC120" i="1"/>
  <c r="BB120" i="1"/>
  <c r="BA120" i="1"/>
  <c r="AZ120" i="1"/>
  <c r="AY120" i="1"/>
  <c r="AX120" i="1"/>
  <c r="D120" i="1"/>
  <c r="BG119" i="1"/>
  <c r="BF119" i="1"/>
  <c r="BE119" i="1"/>
  <c r="BD119" i="1"/>
  <c r="BC119" i="1"/>
  <c r="BB119" i="1"/>
  <c r="BA119" i="1"/>
  <c r="AZ119" i="1"/>
  <c r="AY119" i="1"/>
  <c r="AX119" i="1"/>
  <c r="D119" i="1"/>
  <c r="BG118" i="1"/>
  <c r="BF118" i="1"/>
  <c r="BE118" i="1"/>
  <c r="BD118" i="1"/>
  <c r="BC118" i="1"/>
  <c r="BB118" i="1"/>
  <c r="BA118" i="1"/>
  <c r="AZ118" i="1"/>
  <c r="AY118" i="1"/>
  <c r="AX118" i="1"/>
  <c r="D118" i="1"/>
  <c r="BG117" i="1"/>
  <c r="BF117" i="1"/>
  <c r="BE117" i="1"/>
  <c r="BD117" i="1"/>
  <c r="BC117" i="1"/>
  <c r="BB117" i="1"/>
  <c r="BA117" i="1"/>
  <c r="AZ117" i="1"/>
  <c r="AY117" i="1"/>
  <c r="AX117" i="1"/>
  <c r="D117" i="1"/>
  <c r="BG116" i="1"/>
  <c r="BF116" i="1"/>
  <c r="BE116" i="1"/>
  <c r="BD116" i="1"/>
  <c r="BC116" i="1"/>
  <c r="BB116" i="1"/>
  <c r="BA116" i="1"/>
  <c r="AZ116" i="1"/>
  <c r="AY116" i="1"/>
  <c r="AX116" i="1"/>
  <c r="D116" i="1"/>
  <c r="BG115" i="1"/>
  <c r="BF115" i="1"/>
  <c r="BE115" i="1"/>
  <c r="BD115" i="1"/>
  <c r="BC115" i="1"/>
  <c r="BB115" i="1"/>
  <c r="BA115" i="1"/>
  <c r="AZ115" i="1"/>
  <c r="AY115" i="1"/>
  <c r="AX115" i="1"/>
  <c r="D115" i="1"/>
  <c r="BG114" i="1"/>
  <c r="BF114" i="1"/>
  <c r="BE114" i="1"/>
  <c r="BD114" i="1"/>
  <c r="BC114" i="1"/>
  <c r="BB114" i="1"/>
  <c r="BA114" i="1"/>
  <c r="AZ114" i="1"/>
  <c r="AY114" i="1"/>
  <c r="AX114" i="1"/>
  <c r="D114" i="1"/>
  <c r="BG113" i="1"/>
  <c r="BF113" i="1"/>
  <c r="BE113" i="1"/>
  <c r="BD113" i="1"/>
  <c r="BC113" i="1"/>
  <c r="BB113" i="1"/>
  <c r="BA113" i="1"/>
  <c r="AZ113" i="1"/>
  <c r="AY113" i="1"/>
  <c r="AX113" i="1"/>
  <c r="D113" i="1"/>
  <c r="BG112" i="1"/>
  <c r="BF112" i="1"/>
  <c r="BE112" i="1"/>
  <c r="BD112" i="1"/>
  <c r="BC112" i="1"/>
  <c r="BB112" i="1"/>
  <c r="BA112" i="1"/>
  <c r="AZ112" i="1"/>
  <c r="AY112" i="1"/>
  <c r="AX112" i="1"/>
  <c r="D112" i="1"/>
  <c r="BG111" i="1"/>
  <c r="BF111" i="1"/>
  <c r="BE111" i="1"/>
  <c r="BD111" i="1"/>
  <c r="BC111" i="1"/>
  <c r="BB111" i="1"/>
  <c r="BA111" i="1"/>
  <c r="AZ111" i="1"/>
  <c r="AY111" i="1"/>
  <c r="AX111" i="1"/>
  <c r="D111" i="1"/>
  <c r="BG110" i="1"/>
  <c r="BF110" i="1"/>
  <c r="BE110" i="1"/>
  <c r="BD110" i="1"/>
  <c r="BC110" i="1"/>
  <c r="BB110" i="1"/>
  <c r="BA110" i="1"/>
  <c r="AZ110" i="1"/>
  <c r="AY110" i="1"/>
  <c r="AX110" i="1"/>
  <c r="D110" i="1"/>
  <c r="BG109" i="1"/>
  <c r="BF109" i="1"/>
  <c r="BE109" i="1"/>
  <c r="BD109" i="1"/>
  <c r="BC109" i="1"/>
  <c r="BB109" i="1"/>
  <c r="BA109" i="1"/>
  <c r="AZ109" i="1"/>
  <c r="AY109" i="1"/>
  <c r="AX109" i="1"/>
  <c r="D109" i="1"/>
  <c r="BG108" i="1"/>
  <c r="BF108" i="1"/>
  <c r="BE108" i="1"/>
  <c r="BD108" i="1"/>
  <c r="BC108" i="1"/>
  <c r="BB108" i="1"/>
  <c r="BA108" i="1"/>
  <c r="AZ108" i="1"/>
  <c r="AY108" i="1"/>
  <c r="AX108" i="1"/>
  <c r="D108" i="1"/>
  <c r="BG107" i="1"/>
  <c r="BF107" i="1"/>
  <c r="BE107" i="1"/>
  <c r="BD107" i="1"/>
  <c r="BC107" i="1"/>
  <c r="BB107" i="1"/>
  <c r="BA107" i="1"/>
  <c r="AZ107" i="1"/>
  <c r="AY107" i="1"/>
  <c r="AX107" i="1"/>
  <c r="D107" i="1"/>
  <c r="BG106" i="1"/>
  <c r="BF106" i="1"/>
  <c r="BE106" i="1"/>
  <c r="BD106" i="1"/>
  <c r="BC106" i="1"/>
  <c r="BB106" i="1"/>
  <c r="BA106" i="1"/>
  <c r="AZ106" i="1"/>
  <c r="AY106" i="1"/>
  <c r="AX106" i="1"/>
  <c r="D106" i="1"/>
  <c r="BG105" i="1"/>
  <c r="BF105" i="1"/>
  <c r="BE105" i="1"/>
  <c r="BD105" i="1"/>
  <c r="BC105" i="1"/>
  <c r="BB105" i="1"/>
  <c r="BA105" i="1"/>
  <c r="AZ105" i="1"/>
  <c r="AY105" i="1"/>
  <c r="AX105" i="1"/>
  <c r="D105" i="1"/>
  <c r="BG104" i="1"/>
  <c r="BF104" i="1"/>
  <c r="BE104" i="1"/>
  <c r="BD104" i="1"/>
  <c r="BC104" i="1"/>
  <c r="BB104" i="1"/>
  <c r="BA104" i="1"/>
  <c r="AZ104" i="1"/>
  <c r="AY104" i="1"/>
  <c r="AX104" i="1"/>
  <c r="D104" i="1"/>
  <c r="BG103" i="1"/>
  <c r="BF103" i="1"/>
  <c r="BE103" i="1"/>
  <c r="BD103" i="1"/>
  <c r="BC103" i="1"/>
  <c r="BB103" i="1"/>
  <c r="BA103" i="1"/>
  <c r="AZ103" i="1"/>
  <c r="AY103" i="1"/>
  <c r="AX103" i="1"/>
  <c r="D103" i="1"/>
  <c r="BG102" i="1"/>
  <c r="BF102" i="1"/>
  <c r="BE102" i="1"/>
  <c r="BD102" i="1"/>
  <c r="BC102" i="1"/>
  <c r="BB102" i="1"/>
  <c r="BA102" i="1"/>
  <c r="AZ102" i="1"/>
  <c r="AY102" i="1"/>
  <c r="AX102" i="1"/>
  <c r="D102" i="1"/>
  <c r="BG101" i="1"/>
  <c r="BF101" i="1"/>
  <c r="BE101" i="1"/>
  <c r="BD101" i="1"/>
  <c r="BC101" i="1"/>
  <c r="BB101" i="1"/>
  <c r="BA101" i="1"/>
  <c r="AZ101" i="1"/>
  <c r="AY101" i="1"/>
  <c r="AX101" i="1"/>
  <c r="D101" i="1"/>
  <c r="BG100" i="1"/>
  <c r="BF100" i="1"/>
  <c r="BE100" i="1"/>
  <c r="BD100" i="1"/>
  <c r="BC100" i="1"/>
  <c r="BB100" i="1"/>
  <c r="BA100" i="1"/>
  <c r="AZ100" i="1"/>
  <c r="AY100" i="1"/>
  <c r="AX100" i="1"/>
  <c r="D100" i="1"/>
  <c r="BG99" i="1"/>
  <c r="BF99" i="1"/>
  <c r="BE99" i="1"/>
  <c r="BD99" i="1"/>
  <c r="BC99" i="1"/>
  <c r="BB99" i="1"/>
  <c r="BA99" i="1"/>
  <c r="AZ99" i="1"/>
  <c r="AY99" i="1"/>
  <c r="AX99" i="1"/>
  <c r="D99" i="1"/>
  <c r="BG98" i="1"/>
  <c r="BF98" i="1"/>
  <c r="BE98" i="1"/>
  <c r="BD98" i="1"/>
  <c r="BC98" i="1"/>
  <c r="BB98" i="1"/>
  <c r="BA98" i="1"/>
  <c r="AZ98" i="1"/>
  <c r="AY98" i="1"/>
  <c r="AX98" i="1"/>
  <c r="D98" i="1"/>
  <c r="BG97" i="1"/>
  <c r="BF97" i="1"/>
  <c r="BE97" i="1"/>
  <c r="BD97" i="1"/>
  <c r="BC97" i="1"/>
  <c r="BB97" i="1"/>
  <c r="BA97" i="1"/>
  <c r="AZ97" i="1"/>
  <c r="AY97" i="1"/>
  <c r="AX97"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G87" i="1"/>
  <c r="BF87" i="1"/>
  <c r="BE87" i="1"/>
  <c r="BD87" i="1"/>
  <c r="BC87" i="1"/>
  <c r="BB87" i="1"/>
  <c r="BA87" i="1"/>
  <c r="AZ87" i="1"/>
  <c r="AY87" i="1"/>
  <c r="AX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X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BA64"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94" i="1"/>
  <c r="AY94" i="1"/>
  <c r="AZ94" i="1"/>
  <c r="BA94" i="1"/>
  <c r="BB94" i="1"/>
  <c r="BC94" i="1"/>
  <c r="BD94" i="1"/>
  <c r="BE94" i="1"/>
  <c r="BF94" i="1"/>
  <c r="BG94" i="1"/>
  <c r="AX95" i="1"/>
  <c r="AY95" i="1"/>
  <c r="AZ95" i="1"/>
  <c r="BA95" i="1"/>
  <c r="BB95" i="1"/>
  <c r="BC95" i="1"/>
  <c r="BD95" i="1"/>
  <c r="BE95" i="1"/>
  <c r="BF95" i="1"/>
  <c r="BG95" i="1"/>
  <c r="AY56" i="1"/>
  <c r="AZ56" i="1"/>
  <c r="BA56" i="1"/>
  <c r="BB56" i="1"/>
  <c r="BC56" i="1"/>
  <c r="BD56" i="1"/>
  <c r="BE56" i="1"/>
  <c r="BF56" i="1"/>
  <c r="BG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F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C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D74" i="1"/>
  <c r="BE74" i="1"/>
  <c r="BF74" i="1"/>
  <c r="BG74" i="1"/>
  <c r="AX74" i="1"/>
  <c r="AY74" i="1"/>
  <c r="AZ74" i="1"/>
  <c r="BA74" i="1"/>
  <c r="BB74" i="1"/>
  <c r="BC74" i="1"/>
  <c r="BF44" i="1"/>
  <c r="BG44" i="1"/>
  <c r="AX96" i="1"/>
  <c r="AY96" i="1"/>
  <c r="AZ96" i="1"/>
  <c r="BA96" i="1"/>
  <c r="BB96" i="1"/>
  <c r="AX44" i="1"/>
  <c r="BC96" i="1"/>
  <c r="AY44" i="1"/>
  <c r="BD96" i="1"/>
  <c r="AZ44" i="1"/>
  <c r="BE96" i="1"/>
  <c r="BA44" i="1"/>
  <c r="BF96" i="1"/>
  <c r="BB44" i="1"/>
  <c r="BG96" i="1"/>
  <c r="BC44" i="1"/>
  <c r="BD44" i="1"/>
  <c r="BE44" i="1"/>
  <c r="BG92" i="1"/>
  <c r="BA91" i="1"/>
  <c r="AX93" i="1"/>
  <c r="BB91" i="1"/>
  <c r="AZ89" i="1"/>
  <c r="BE90" i="1"/>
  <c r="BA89" i="1"/>
  <c r="BF90" i="1"/>
  <c r="BF92" i="1"/>
  <c r="AZ91" i="1"/>
  <c r="BB89" i="1"/>
  <c r="BG90" i="1"/>
  <c r="BE92" i="1"/>
  <c r="AY91" i="1"/>
  <c r="AX88" i="1"/>
  <c r="BC89" i="1"/>
  <c r="BD92" i="1"/>
  <c r="AX91" i="1"/>
  <c r="AY88" i="1"/>
  <c r="BD89" i="1"/>
  <c r="BC92" i="1"/>
  <c r="AZ88" i="1"/>
  <c r="BE89" i="1"/>
  <c r="BB92" i="1"/>
  <c r="BA88" i="1"/>
  <c r="BF89" i="1"/>
  <c r="BG93" i="1"/>
  <c r="BA92" i="1"/>
  <c r="BB88" i="1"/>
  <c r="BG89" i="1"/>
  <c r="BF93" i="1"/>
  <c r="AZ92" i="1"/>
  <c r="BC88" i="1"/>
  <c r="BE93" i="1"/>
  <c r="AY92" i="1"/>
  <c r="BD88" i="1"/>
  <c r="AX90" i="1"/>
  <c r="BD93" i="1"/>
  <c r="AX92" i="1"/>
  <c r="BE88" i="1"/>
  <c r="AY90" i="1"/>
  <c r="BC93" i="1"/>
  <c r="BG91" i="1"/>
  <c r="BF88" i="1"/>
  <c r="AZ90" i="1"/>
  <c r="BB93" i="1"/>
  <c r="BF91" i="1"/>
  <c r="BG88" i="1"/>
  <c r="BA90" i="1"/>
  <c r="BA93" i="1"/>
  <c r="BE91" i="1"/>
  <c r="BB90" i="1"/>
  <c r="AZ93" i="1"/>
  <c r="BD91" i="1"/>
  <c r="AX89" i="1"/>
  <c r="BC90" i="1"/>
  <c r="AY93" i="1"/>
  <c r="BC91" i="1"/>
  <c r="AY89" i="1"/>
  <c r="BD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BA43" i="1"/>
  <c r="AX42" i="1"/>
  <c r="BA82" i="1"/>
  <c r="BA85" i="1"/>
  <c r="BE83" i="1"/>
  <c r="AY82" i="1"/>
  <c r="BC80" i="1"/>
  <c r="BG45" i="1"/>
  <c r="BB85" i="1"/>
  <c r="BF83" i="1"/>
  <c r="AZ82" i="1"/>
  <c r="BD80" i="1"/>
  <c r="AX46" i="1"/>
  <c r="BB43" i="1"/>
  <c r="AX66" i="1"/>
  <c r="BB64" i="1"/>
  <c r="AZ85" i="1"/>
  <c r="BD83" i="1"/>
  <c r="AX82" i="1"/>
  <c r="BB80" i="1"/>
  <c r="BF45" i="1"/>
  <c r="AZ43" i="1"/>
  <c r="BF65" i="1"/>
  <c r="AZ64" i="1"/>
  <c r="AY85" i="1"/>
  <c r="BC83" i="1"/>
  <c r="BG81" i="1"/>
  <c r="BA80" i="1"/>
  <c r="BE45" i="1"/>
  <c r="AY43" i="1"/>
  <c r="BE65" i="1"/>
  <c r="AY64" i="1"/>
  <c r="AX85" i="1"/>
  <c r="BB83" i="1"/>
  <c r="BF81" i="1"/>
  <c r="AZ80" i="1"/>
  <c r="BD45" i="1"/>
  <c r="AX43" i="1"/>
  <c r="BD65" i="1"/>
  <c r="AX64" i="1"/>
  <c r="BG84" i="1"/>
  <c r="BA83" i="1"/>
  <c r="BE81" i="1"/>
  <c r="AY80" i="1"/>
  <c r="BC45" i="1"/>
  <c r="BG42" i="1"/>
  <c r="BC65" i="1"/>
  <c r="BF84" i="1"/>
  <c r="AZ83" i="1"/>
  <c r="BD81" i="1"/>
  <c r="AX80" i="1"/>
  <c r="BB45" i="1"/>
  <c r="BB65" i="1"/>
  <c r="BE84" i="1"/>
  <c r="AY83" i="1"/>
  <c r="BC81" i="1"/>
  <c r="BG46" i="1"/>
  <c r="BA45" i="1"/>
  <c r="BG66" i="1"/>
  <c r="BA65" i="1"/>
  <c r="BD84" i="1"/>
  <c r="AX83" i="1"/>
  <c r="BB81" i="1"/>
  <c r="BF46" i="1"/>
  <c r="AZ45" i="1"/>
  <c r="BF66" i="1"/>
  <c r="AZ65" i="1"/>
  <c r="BC84" i="1"/>
  <c r="BG82" i="1"/>
  <c r="BA81" i="1"/>
  <c r="BE46" i="1"/>
  <c r="AY45" i="1"/>
  <c r="BC42" i="1"/>
  <c r="BE66" i="1"/>
  <c r="AY65" i="1"/>
  <c r="BB84" i="1"/>
  <c r="BF82" i="1"/>
  <c r="AZ81" i="1"/>
  <c r="BD46" i="1"/>
  <c r="AX45" i="1"/>
  <c r="BD66" i="1"/>
  <c r="AX65" i="1"/>
  <c r="BG85" i="1"/>
  <c r="BA84" i="1"/>
  <c r="BE82" i="1"/>
  <c r="AY81" i="1"/>
  <c r="BC46" i="1"/>
  <c r="BG43" i="1"/>
  <c r="BC66" i="1"/>
  <c r="BG64" i="1"/>
  <c r="BF85" i="1"/>
  <c r="AZ84" i="1"/>
  <c r="BD82" i="1"/>
  <c r="AX81" i="1"/>
  <c r="BB46" i="1"/>
  <c r="BF43" i="1"/>
  <c r="BB66" i="1"/>
  <c r="BF64" i="1"/>
  <c r="BE85" i="1"/>
  <c r="AY84" i="1"/>
  <c r="BC82" i="1"/>
  <c r="BG80" i="1"/>
  <c r="BA46" i="1"/>
  <c r="BE43" i="1"/>
  <c r="BA66" i="1"/>
  <c r="BE64" i="1"/>
  <c r="BD85" i="1"/>
  <c r="AX84" i="1"/>
  <c r="BB82" i="1"/>
  <c r="BF80" i="1"/>
  <c r="AZ46" i="1"/>
  <c r="BD43" i="1"/>
  <c r="AZ66" i="1"/>
  <c r="BD64" i="1"/>
  <c r="BC85" i="1"/>
  <c r="BG83" i="1"/>
  <c r="BE80" i="1"/>
  <c r="AY46" i="1"/>
  <c r="BC43"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<sst xmlns="http://schemas.openxmlformats.org/spreadsheetml/2006/main" count="3623" uniqueCount="1295">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</sst>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workbookViewId="0">
      <selection activeCell="K2" sqref="K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885</v>
      </c>
      <c r="J1" s="6" t="s">
        <v>887</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477</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1249</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1249</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1249</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1249</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1249</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1249</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1249</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1249</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1249</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1249</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1249</v>
      </c>
    </row>
    <row r="17" spans="1:14" hidden="1" outlineLevel="1" x14ac:dyDescent="0.4">
      <c r="A17" s="2">
        <v>9</v>
      </c>
      <c r="B17" s="2" t="s">
        <v>771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1249</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1249</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1249</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1249</v>
      </c>
    </row>
    <row r="22" spans="1:14" outlineLevel="1" collapsed="1" x14ac:dyDescent="0.4">
      <c r="B22" s="54" t="s">
        <v>503</v>
      </c>
      <c r="D22" s="2" t="s">
        <v>987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1249</v>
      </c>
    </row>
    <row r="23" spans="1:14" outlineLevel="1" collapsed="1" x14ac:dyDescent="0.4">
      <c r="B23" s="48" t="s">
        <v>504</v>
      </c>
      <c r="D23" s="2" t="s">
        <v>987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1249</v>
      </c>
    </row>
    <row r="24" spans="1:14" outlineLevel="1" collapsed="1" x14ac:dyDescent="0.4">
      <c r="B24" s="48" t="s">
        <v>505</v>
      </c>
      <c r="D24" s="2" t="s">
        <v>987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1249</v>
      </c>
    </row>
    <row r="25" spans="1:14" outlineLevel="1" collapsed="1" x14ac:dyDescent="0.4">
      <c r="B25" s="48" t="s">
        <v>506</v>
      </c>
      <c r="D25" s="2" t="s">
        <v>987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1249</v>
      </c>
    </row>
    <row r="26" spans="1:14" outlineLevel="1" collapsed="1" x14ac:dyDescent="0.4">
      <c r="B26" s="48" t="s">
        <v>507</v>
      </c>
      <c r="D26" s="2" t="s">
        <v>987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1249</v>
      </c>
    </row>
    <row r="27" spans="1:14" outlineLevel="1" collapsed="1" x14ac:dyDescent="0.4">
      <c r="B27" s="48" t="s">
        <v>508</v>
      </c>
      <c r="D27" s="2" t="s">
        <v>987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1249</v>
      </c>
    </row>
    <row r="28" spans="1:14" outlineLevel="1" collapsed="1" x14ac:dyDescent="0.4">
      <c r="B28" s="48" t="s">
        <v>509</v>
      </c>
      <c r="D28" s="2" t="s">
        <v>987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1249</v>
      </c>
    </row>
    <row r="29" spans="1:14" outlineLevel="1" collapsed="1" x14ac:dyDescent="0.4">
      <c r="B29" s="48" t="s">
        <v>510</v>
      </c>
      <c r="D29" s="2" t="s">
        <v>987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1249</v>
      </c>
    </row>
    <row r="30" spans="1:14" outlineLevel="1" collapsed="1" x14ac:dyDescent="0.4">
      <c r="B30" s="48" t="s">
        <v>511</v>
      </c>
      <c r="D30" s="2" t="s">
        <v>987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1249</v>
      </c>
    </row>
    <row r="31" spans="1:14" outlineLevel="1" collapsed="1" x14ac:dyDescent="0.4">
      <c r="B31" s="48" t="s">
        <v>512</v>
      </c>
      <c r="D31" s="2" t="s">
        <v>987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1249</v>
      </c>
    </row>
    <row r="32" spans="1:14" outlineLevel="1" collapsed="1" x14ac:dyDescent="0.4">
      <c r="B32" s="48" t="s">
        <v>513</v>
      </c>
      <c r="D32" s="2" t="s">
        <v>987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1249</v>
      </c>
    </row>
    <row r="33" spans="1:14" outlineLevel="1" collapsed="1" x14ac:dyDescent="0.4">
      <c r="B33" s="48" t="s">
        <v>514</v>
      </c>
      <c r="D33" s="2" t="s">
        <v>987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1249</v>
      </c>
    </row>
    <row r="34" spans="1:14" outlineLevel="1" collapsed="1" x14ac:dyDescent="0.4">
      <c r="B34" s="48" t="s">
        <v>515</v>
      </c>
      <c r="D34" s="2" t="s">
        <v>987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1249</v>
      </c>
    </row>
    <row r="35" spans="1:14" outlineLevel="1" collapsed="1" x14ac:dyDescent="0.4">
      <c r="B35" s="48" t="s">
        <v>780</v>
      </c>
      <c r="D35" s="2" t="s">
        <v>987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1249</v>
      </c>
    </row>
    <row r="36" spans="1:14" outlineLevel="1" collapsed="1" x14ac:dyDescent="0.4">
      <c r="B36" s="48" t="s">
        <v>917</v>
      </c>
      <c r="D36" s="2" t="s">
        <v>987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1249</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1249</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1249</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1249</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1249</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1249</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1249</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1249</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1249</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1249</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1249</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1249</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1249</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1249</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1249</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1249</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1249</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1249</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1249</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1249</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1249</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1249</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1249</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1249</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1249</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1249</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1249</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1249</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1249</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1249</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1249</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1249</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1249</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1249</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1249</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1249</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1249</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1249</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1249</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1249</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1249</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1249</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1249</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1249</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1249</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1249</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1249</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1249</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1249</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1249</v>
      </c>
    </row>
    <row r="86" spans="1:14" x14ac:dyDescent="0.4">
      <c r="B86" s="2" t="s">
        <v>1223</v>
      </c>
      <c r="C86" s="2" t="s">
        <v>1224</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1249</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1249</v>
      </c>
    </row>
    <row r="88" spans="1:14" outlineLevel="1" x14ac:dyDescent="0.4">
      <c r="A88" s="2">
        <v>2</v>
      </c>
      <c r="B88" s="2" t="s">
        <v>172</v>
      </c>
      <c r="C88" s="2" t="s">
        <v>173</v>
      </c>
      <c r="E88" s="13" t="s">
        <v>129</v>
      </c>
      <c r="G88" s="19">
        <v>60</v>
      </c>
      <c r="H88" s="10" t="s">
        <v>1225</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1249</v>
      </c>
    </row>
    <row r="89" spans="1:14" outlineLevel="1" x14ac:dyDescent="0.4">
      <c r="A89" s="2">
        <v>3</v>
      </c>
      <c r="B89" s="2" t="s">
        <v>1226</v>
      </c>
      <c r="E89" s="13" t="s">
        <v>130</v>
      </c>
      <c r="H89" s="10" t="s">
        <v>1227</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1249</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1249</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1249</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1249</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1249</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1249</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1249</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1249</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1249</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1249</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1249</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1249</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1249</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1249</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1249</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1249</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1249</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1249</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1249</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1249</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1249</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1249</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1249</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1249</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1249</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1249</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1249</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1249</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1249</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1249</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1249</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1249</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1249</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1249</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1249</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1249</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1249</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1249</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1249</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1249</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1249</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1249</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1249</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1249</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1249</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1249</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1249</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1249</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1249</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1249</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1249</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1249</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1249</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1249</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1249</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1249</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1249</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1249</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1249</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1249</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1249</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1249</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1249</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1249</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1249</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1249</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1249</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1249</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1249</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1249</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1249</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1249</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1249</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1249</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1249</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1249</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1249</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1249</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1249</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1249</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1249</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1249</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1249</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1249</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1249</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1249</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1249</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1249</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1249</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1249</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1249</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1249</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1249</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1249</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1249</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1249</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1249</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1249</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1249</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1249</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1249</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1249</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1249</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1249</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1249</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1249</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1249</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1249</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1249</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1249</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1249</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1249</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1249</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1249</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1249</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1249</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1249</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1249</v>
      </c>
    </row>
    <row r="208" spans="1:14" hidden="1" outlineLevel="1" x14ac:dyDescent="0.4">
      <c r="A208" s="2">
        <v>3</v>
      </c>
      <c r="B208" s="2" t="s">
        <v>475</v>
      </c>
      <c r="E208" s="13" t="s">
        <v>474</v>
      </c>
      <c r="H208" s="10" t="s">
        <v>476</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1249</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1249</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1249</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1249</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1249</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1249</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1249</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1249</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1249</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1249</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1249</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1249</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1249</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1249</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1249</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1249</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1249</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1249</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1249</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1249</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1249</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1249</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1249</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1249</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1249</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1249</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1249</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1249</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1249</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1249</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1249</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1249</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1249</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1249</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1249</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1249</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1249</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1249</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1249</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1249</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1249</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1249</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1249</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1249</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1249</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1249</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1249</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1249</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1249</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1249</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1249</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1249</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1249</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1249</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1249</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1249</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1249</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1249</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1249</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1249</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1249</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1249</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1249</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1249</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1249</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1249</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1249</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1249</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1249</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1249</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1249</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1249</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1249</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1249</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1249</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1249</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1249</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1249</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1249</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1249</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1249</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1249</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1249</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1249</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1249</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1249</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1249</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1249</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1249</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1249</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1249</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1249</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1249</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1249</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1249</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1249</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1249</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1249</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1249</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1249</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1249</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1249</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1249</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1249</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1249</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1249</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1249</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1249</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1249</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1249</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1249</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1249</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1249</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1249</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1249</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1249</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1249</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1249</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1249</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1249</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1249</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1249</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1249</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1249</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1249</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1249</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1249</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1249</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1249</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1249</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1249</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1249</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1249</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1249</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1249</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1249</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1249</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1249</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1249</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1249</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1249</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1249</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1249</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1249</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1249</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1249</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1249</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1249</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1249</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1249</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1249</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1249</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1249</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1249</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1249</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1249</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1249</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1249</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1249</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1249</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1249</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1249</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1249</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1249</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1249</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1249</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1249</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1249</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1249</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1249</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1249</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1249</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1249</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1249</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1249</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1249</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1249</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1249</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1249</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1249</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1249</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1249</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1249</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1249</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1249</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1249</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1249</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1249</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1249</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1249</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1249</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1249</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1249</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1249</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1249</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1249</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1249</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1249</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1249</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1249</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1249</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1249</v>
      </c>
    </row>
    <row r="411" spans="1:14" x14ac:dyDescent="0.4">
      <c r="B411" s="2" t="s">
        <v>899</v>
      </c>
      <c r="D411" s="2" t="s">
        <v>900</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1249</v>
      </c>
    </row>
    <row r="412" spans="1:14" ht="36" hidden="1" outlineLevel="1" x14ac:dyDescent="0.4">
      <c r="A412" s="2">
        <v>1</v>
      </c>
      <c r="B412" s="2" t="s">
        <v>901</v>
      </c>
      <c r="D412" s="2" t="s">
        <v>888</v>
      </c>
      <c r="E412" s="13" t="s">
        <v>129</v>
      </c>
      <c r="G412" s="19">
        <v>60</v>
      </c>
      <c r="H412" s="10" t="s">
        <v>907</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1249</v>
      </c>
    </row>
    <row r="414" spans="1:14" hidden="1" outlineLevel="1" x14ac:dyDescent="0.4">
      <c r="A414" s="2">
        <v>3</v>
      </c>
      <c r="B414" s="2" t="s">
        <v>906</v>
      </c>
      <c r="E414" s="13" t="s">
        <v>130</v>
      </c>
      <c r="H414" s="10" t="s">
        <v>905</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1249</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1249</v>
      </c>
    </row>
    <row r="417" spans="1:14" hidden="1" outlineLevel="1" x14ac:dyDescent="0.4">
      <c r="A417" s="2">
        <v>6</v>
      </c>
      <c r="B417" s="2" t="s">
        <v>902</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1249</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1249</v>
      </c>
    </row>
    <row r="420" spans="1:14" hidden="1" outlineLevel="1" x14ac:dyDescent="0.4">
      <c r="A420" s="2">
        <v>9</v>
      </c>
      <c r="B420" s="2" t="s">
        <v>903</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904</v>
      </c>
      <c r="D421" s="2" t="s">
        <v>888</v>
      </c>
      <c r="E421" s="13" t="s">
        <v>129</v>
      </c>
      <c r="G421" s="19">
        <v>80</v>
      </c>
      <c r="H421" s="10" t="s">
        <v>908</v>
      </c>
      <c r="I421" s="6" t="s">
        <v>424</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1249</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1249</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1249</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1249</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1249</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1249</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1249</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1249</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1249</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1249</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1249</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1249</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1249</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1249</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1249</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1249</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1249</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1249</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1249</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1249</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1249</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1249</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1249</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1249</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1249</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1249</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1249</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1249</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1249</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1249</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1249</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1249</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1249</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1249</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1249</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1249</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1249</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1249</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1249</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1249</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1249</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1249</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1249</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1249</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1249</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1249</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1249</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1249</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1249</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1249</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1249</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1249</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1249</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1249</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1249</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1249</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1249</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1249</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1249</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1249</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1249</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1249</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1249</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1249</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1249</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1249</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1249</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1249</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1249</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1249</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1249</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1249</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1249</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1249</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1249</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1249</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1249</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1249</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1249</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1249</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1249</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1249</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1249</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1249</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1249</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1249</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1249</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1249</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1249</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1249</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1249</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1249</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1249</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1249</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1249</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1249</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1249</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1249</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1249</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1249</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1249</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1249</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1249</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1249</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1249</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1249</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1249</v>
      </c>
    </row>
    <row r="529" spans="1:14" ht="18.75" x14ac:dyDescent="0.4">
      <c r="B529" t="s">
        <v>853</v>
      </c>
      <c r="D529" s="7" t="s">
        <v>859</v>
      </c>
      <c r="E529" s="13" t="s">
        <v>860</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1249</v>
      </c>
    </row>
    <row r="530" spans="1:14" hidden="1" outlineLevel="1" x14ac:dyDescent="0.4">
      <c r="A530" s="2">
        <v>1</v>
      </c>
      <c r="B530" s="2" t="str">
        <f>D529&amp;"の適用"</f>
        <v>炎の適用</v>
      </c>
      <c r="D530" s="7"/>
      <c r="E530" s="13" t="s">
        <v>474</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1249</v>
      </c>
    </row>
    <row r="532" spans="1:14" ht="36" hidden="1" outlineLevel="1" x14ac:dyDescent="0.4">
      <c r="A532" s="2">
        <v>3</v>
      </c>
      <c r="B532" s="2" t="str">
        <f>D529&amp;"の体"</f>
        <v>炎の体</v>
      </c>
      <c r="D532" s="7"/>
      <c r="E532" s="13" t="s">
        <v>772</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1249</v>
      </c>
    </row>
    <row r="534" spans="1:14" hidden="1" outlineLevel="1" x14ac:dyDescent="0.4">
      <c r="A534" s="2">
        <v>5</v>
      </c>
      <c r="D534" s="7"/>
      <c r="E534" s="13" t="s">
        <v>474</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1249</v>
      </c>
    </row>
    <row r="535" spans="1:14" ht="36" hidden="1" outlineLevel="1" x14ac:dyDescent="0.4">
      <c r="A535" s="2">
        <v>6</v>
      </c>
      <c r="B535" s="2" t="str">
        <f>E529&amp;"突撃"</f>
        <v>火炎突撃</v>
      </c>
      <c r="D535" s="7" t="str">
        <f>D529</f>
        <v>炎</v>
      </c>
      <c r="E535" s="13" t="s">
        <v>772</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1249</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1249</v>
      </c>
    </row>
    <row r="538" spans="1:14" hidden="1" outlineLevel="1" x14ac:dyDescent="0.4">
      <c r="A538" s="2">
        <v>9</v>
      </c>
      <c r="B538" s="2" t="str">
        <f>D529&amp;"強化"</f>
        <v>炎強化</v>
      </c>
      <c r="D538" s="7"/>
      <c r="E538" s="13" t="s">
        <v>474</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772</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1249</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1249</v>
      </c>
    </row>
    <row r="542" spans="1:14" ht="18.75" x14ac:dyDescent="0.4">
      <c r="B542" t="s">
        <v>854</v>
      </c>
      <c r="D542" s="2" t="s">
        <v>862</v>
      </c>
      <c r="E542" s="13" t="s">
        <v>863</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1249</v>
      </c>
    </row>
    <row r="543" spans="1:14" hidden="1" outlineLevel="1" x14ac:dyDescent="0.4">
      <c r="A543" s="2">
        <v>1</v>
      </c>
      <c r="B543" s="2" t="str">
        <f>D542&amp;"の適用"</f>
        <v>氷の適用</v>
      </c>
      <c r="D543" s="7"/>
      <c r="E543" s="13" t="s">
        <v>474</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1249</v>
      </c>
    </row>
    <row r="545" spans="1:14" ht="36" hidden="1" outlineLevel="1" x14ac:dyDescent="0.4">
      <c r="A545" s="2">
        <v>3</v>
      </c>
      <c r="B545" s="2" t="str">
        <f>D542&amp;"の体"</f>
        <v>氷の体</v>
      </c>
      <c r="D545" s="7"/>
      <c r="E545" s="13" t="s">
        <v>772</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1249</v>
      </c>
    </row>
    <row r="547" spans="1:14" hidden="1" outlineLevel="1" x14ac:dyDescent="0.4">
      <c r="A547" s="2">
        <v>5</v>
      </c>
      <c r="D547" s="7"/>
      <c r="E547" s="13" t="s">
        <v>474</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1249</v>
      </c>
    </row>
    <row r="548" spans="1:14" ht="36" hidden="1" outlineLevel="1" x14ac:dyDescent="0.4">
      <c r="A548" s="2">
        <v>6</v>
      </c>
      <c r="B548" s="2" t="str">
        <f>E542&amp;"突撃"</f>
        <v>氷結突撃</v>
      </c>
      <c r="D548" s="7" t="str">
        <f>D542</f>
        <v>氷</v>
      </c>
      <c r="E548" s="13" t="s">
        <v>772</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1249</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1249</v>
      </c>
    </row>
    <row r="551" spans="1:14" hidden="1" outlineLevel="1" x14ac:dyDescent="0.4">
      <c r="A551" s="2">
        <v>9</v>
      </c>
      <c r="B551" s="2" t="str">
        <f>D542&amp;"強化"</f>
        <v>氷強化</v>
      </c>
      <c r="D551" s="7"/>
      <c r="E551" s="13" t="s">
        <v>474</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772</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1249</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1249</v>
      </c>
    </row>
    <row r="555" spans="1:14" ht="18.75" x14ac:dyDescent="0.4">
      <c r="B555" t="s">
        <v>855</v>
      </c>
      <c r="D555" s="2" t="s">
        <v>883</v>
      </c>
      <c r="E555" s="13" t="s">
        <v>894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1249</v>
      </c>
    </row>
    <row r="556" spans="1:14" hidden="1" outlineLevel="1" x14ac:dyDescent="0.4">
      <c r="A556" s="2">
        <v>1</v>
      </c>
      <c r="B556" s="2" t="s">
        <v>878</v>
      </c>
      <c r="D556" s="7"/>
      <c r="E556" s="13" t="s">
        <v>474</v>
      </c>
      <c r="H556" s="10" t="s">
        <v>882</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1249</v>
      </c>
    </row>
    <row r="558" spans="1:14" hidden="1" outlineLevel="1" x14ac:dyDescent="0.4">
      <c r="A558" s="2">
        <v>3</v>
      </c>
      <c r="B558" s="2" t="s">
        <v>879</v>
      </c>
      <c r="D558" s="7"/>
      <c r="E558" s="13" t="s">
        <v>772</v>
      </c>
      <c r="F558" s="14">
        <v>5</v>
      </c>
      <c r="G558" s="19">
        <v>20</v>
      </c>
      <c r="H558" s="10" t="s">
        <v>886</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1249</v>
      </c>
    </row>
    <row r="560" spans="1:14" hidden="1" outlineLevel="1" x14ac:dyDescent="0.4">
      <c r="A560" s="2">
        <v>5</v>
      </c>
      <c r="D560" s="7"/>
      <c r="E560" s="13" t="s">
        <v>474</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1249</v>
      </c>
    </row>
    <row r="561" spans="1:14" ht="36" hidden="1" outlineLevel="1" x14ac:dyDescent="0.4">
      <c r="A561" s="2">
        <v>6</v>
      </c>
      <c r="B561" s="2" t="s">
        <v>895</v>
      </c>
      <c r="D561" s="7" t="s">
        <v>877</v>
      </c>
      <c r="E561" s="13" t="s">
        <v>772</v>
      </c>
      <c r="F561" s="14">
        <v>5</v>
      </c>
      <c r="G561" s="19">
        <v>60</v>
      </c>
      <c r="H561" s="10" t="s">
        <v>884</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1249</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1249</v>
      </c>
    </row>
    <row r="564" spans="1:14" hidden="1" outlineLevel="1" x14ac:dyDescent="0.4">
      <c r="A564" s="2">
        <v>9</v>
      </c>
      <c r="B564" s="2" t="s">
        <v>880</v>
      </c>
      <c r="D564" s="7"/>
      <c r="E564" s="13" t="s">
        <v>474</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881</v>
      </c>
      <c r="D565" s="7" t="s">
        <v>877</v>
      </c>
      <c r="E565" s="13" t="s">
        <v>772</v>
      </c>
      <c r="G565" s="19">
        <v>25</v>
      </c>
      <c r="H565" s="10" t="str">
        <f>"攻撃手段:吐息 "&amp;D555&amp;"+30 射程:2 判定:Lv"</f>
        <v>攻撃手段:吐息 怯み+30 射程:2 判定:Lv</v>
      </c>
      <c r="I565" s="6" t="s">
        <v>424</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1249</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1249</v>
      </c>
    </row>
    <row r="568" spans="1:14" ht="18.75" x14ac:dyDescent="0.4">
      <c r="B568" t="s">
        <v>856</v>
      </c>
      <c r="D568" s="2" t="s">
        <v>864</v>
      </c>
      <c r="E568" s="13" t="s">
        <v>865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1249</v>
      </c>
    </row>
    <row r="569" spans="1:14" hidden="1" outlineLevel="1" x14ac:dyDescent="0.4">
      <c r="A569" s="2">
        <v>1</v>
      </c>
      <c r="B569" s="2" t="str">
        <f>D568&amp;"の適用"</f>
        <v>雷の適用</v>
      </c>
      <c r="D569" s="7"/>
      <c r="E569" s="13" t="s">
        <v>474</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1249</v>
      </c>
    </row>
    <row r="571" spans="1:14" ht="36" hidden="1" outlineLevel="1" x14ac:dyDescent="0.4">
      <c r="A571" s="2">
        <v>3</v>
      </c>
      <c r="B571" s="2" t="str">
        <f>D568&amp;"の体"</f>
        <v>雷の体</v>
      </c>
      <c r="D571" s="7"/>
      <c r="E571" s="13" t="s">
        <v>772</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1249</v>
      </c>
    </row>
    <row r="573" spans="1:14" hidden="1" outlineLevel="1" x14ac:dyDescent="0.4">
      <c r="A573" s="2">
        <v>5</v>
      </c>
      <c r="D573" s="7"/>
      <c r="E573" s="13" t="s">
        <v>474</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1249</v>
      </c>
    </row>
    <row r="574" spans="1:14" ht="36" hidden="1" outlineLevel="1" x14ac:dyDescent="0.4">
      <c r="A574" s="2">
        <v>6</v>
      </c>
      <c r="B574" s="2" t="str">
        <f>E568&amp;"突撃"</f>
        <v>電撃突撃</v>
      </c>
      <c r="D574" s="7" t="str">
        <f>D568</f>
        <v>雷</v>
      </c>
      <c r="E574" s="13" t="s">
        <v>772</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1249</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1249</v>
      </c>
    </row>
    <row r="577" spans="1:14" hidden="1" outlineLevel="1" x14ac:dyDescent="0.4">
      <c r="A577" s="2">
        <v>9</v>
      </c>
      <c r="B577" s="2" t="str">
        <f>D568&amp;"強化"</f>
        <v>雷強化</v>
      </c>
      <c r="D577" s="7"/>
      <c r="E577" s="13" t="s">
        <v>474</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772</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1249</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1249</v>
      </c>
    </row>
    <row r="581" spans="1:14" ht="18.75" x14ac:dyDescent="0.4">
      <c r="B581" t="s">
        <v>857</v>
      </c>
      <c r="D581" s="2" t="s">
        <v>866</v>
      </c>
      <c r="E581" s="13" t="s">
        <v>867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1249</v>
      </c>
    </row>
    <row r="582" spans="1:14" hidden="1" outlineLevel="1" x14ac:dyDescent="0.4">
      <c r="A582" s="2">
        <v>1</v>
      </c>
      <c r="B582" s="2" t="str">
        <f>D581&amp;"の適用"</f>
        <v>毒の適用</v>
      </c>
      <c r="D582" s="7"/>
      <c r="E582" s="13" t="s">
        <v>474</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1249</v>
      </c>
    </row>
    <row r="584" spans="1:14" ht="36" hidden="1" outlineLevel="1" x14ac:dyDescent="0.4">
      <c r="A584" s="2">
        <v>3</v>
      </c>
      <c r="B584" s="2" t="str">
        <f>D581&amp;"の体"</f>
        <v>毒の体</v>
      </c>
      <c r="D584" s="7"/>
      <c r="E584" s="13" t="s">
        <v>772</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1249</v>
      </c>
    </row>
    <row r="586" spans="1:14" hidden="1" outlineLevel="1" x14ac:dyDescent="0.4">
      <c r="A586" s="2">
        <v>5</v>
      </c>
      <c r="D586" s="7"/>
      <c r="E586" s="13" t="s">
        <v>474</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1249</v>
      </c>
    </row>
    <row r="587" spans="1:14" ht="36" hidden="1" outlineLevel="1" x14ac:dyDescent="0.4">
      <c r="A587" s="2">
        <v>6</v>
      </c>
      <c r="B587" s="2" t="str">
        <f>E581&amp;"突撃"</f>
        <v>腐蝕突撃</v>
      </c>
      <c r="D587" s="7" t="str">
        <f>D581</f>
        <v>毒</v>
      </c>
      <c r="E587" s="13" t="s">
        <v>772</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1249</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1249</v>
      </c>
    </row>
    <row r="590" spans="1:14" hidden="1" outlineLevel="1" x14ac:dyDescent="0.4">
      <c r="A590" s="2">
        <v>9</v>
      </c>
      <c r="B590" s="2" t="str">
        <f>D581&amp;"強化"</f>
        <v>毒強化</v>
      </c>
      <c r="D590" s="7"/>
      <c r="E590" s="13" t="s">
        <v>474</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772</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1249</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1249</v>
      </c>
    </row>
    <row r="594" spans="1:14" ht="18.75" x14ac:dyDescent="0.4">
      <c r="B594" t="s">
        <v>858</v>
      </c>
      <c r="D594" s="2" t="s">
        <v>893</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1249</v>
      </c>
    </row>
    <row r="595" spans="1:14" hidden="1" outlineLevel="1" x14ac:dyDescent="0.4">
      <c r="A595" s="2">
        <v>1</v>
      </c>
      <c r="B595" s="2" t="s">
        <v>889</v>
      </c>
      <c r="D595" s="7"/>
      <c r="E595" s="13" t="s">
        <v>474</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1249</v>
      </c>
    </row>
    <row r="597" spans="1:14" ht="36" hidden="1" outlineLevel="1" x14ac:dyDescent="0.4">
      <c r="A597" s="2">
        <v>3</v>
      </c>
      <c r="B597" s="2" t="s">
        <v>890</v>
      </c>
      <c r="D597" s="7"/>
      <c r="E597" s="13" t="s">
        <v>772</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1249</v>
      </c>
    </row>
    <row r="599" spans="1:14" hidden="1" outlineLevel="1" x14ac:dyDescent="0.4">
      <c r="A599" s="2">
        <v>5</v>
      </c>
      <c r="D599" s="7"/>
      <c r="E599" s="13" t="s">
        <v>474</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1249</v>
      </c>
    </row>
    <row r="600" spans="1:14" ht="36" hidden="1" outlineLevel="1" x14ac:dyDescent="0.4">
      <c r="A600" s="2">
        <v>6</v>
      </c>
      <c r="B600" s="2" t="s">
        <v>770</v>
      </c>
      <c r="D600" s="7" t="s">
        <v>888</v>
      </c>
      <c r="E600" s="13" t="s">
        <v>772</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1249</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1249</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1249</v>
      </c>
    </row>
    <row r="603" spans="1:14" hidden="1" outlineLevel="1" x14ac:dyDescent="0.4">
      <c r="A603" s="2">
        <v>9</v>
      </c>
      <c r="B603" s="2" t="s">
        <v>891</v>
      </c>
      <c r="D603" s="7"/>
      <c r="E603" s="13" t="s">
        <v>474</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892</v>
      </c>
      <c r="D604" s="7" t="s">
        <v>888</v>
      </c>
      <c r="E604" s="13" t="s">
        <v>772</v>
      </c>
      <c r="G604" s="19">
        <v>25</v>
      </c>
      <c r="H604" s="10" t="str">
        <f>"攻撃手段:吐息 "&amp;D594&amp;"+30 射程:2 判定:Lv"</f>
        <v>攻撃手段:吐息 打撃+30 射程:2 判定:Lv</v>
      </c>
      <c r="I604" s="6" t="s">
        <v>424</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1249</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1249</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1249</v>
      </c>
    </row>
    <row r="608" spans="1:14" x14ac:dyDescent="0.4">
      <c r="B608" s="2" t="s">
        <v>815</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1249</v>
      </c>
    </row>
    <row r="609" spans="1:14" hidden="1" outlineLevel="1" x14ac:dyDescent="0.4">
      <c r="A609" s="2">
        <v>1</v>
      </c>
      <c r="B609" s="2" t="s">
        <v>110</v>
      </c>
      <c r="E609" s="13" t="s">
        <v>772</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1249</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1249</v>
      </c>
    </row>
    <row r="611" spans="1:14" hidden="1" outlineLevel="1" x14ac:dyDescent="0.4">
      <c r="A611" s="2">
        <v>3</v>
      </c>
      <c r="B611" s="2" t="s">
        <v>868</v>
      </c>
      <c r="E611" s="13" t="s">
        <v>772</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1249</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1249</v>
      </c>
    </row>
    <row r="613" spans="1:14" hidden="1" outlineLevel="1" x14ac:dyDescent="0.4">
      <c r="A613" s="2">
        <v>5</v>
      </c>
      <c r="B613" s="2" t="s">
        <v>873</v>
      </c>
      <c r="E613" s="13" t="s">
        <v>473</v>
      </c>
      <c r="H613" s="10" t="s">
        <v>874</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870</v>
      </c>
      <c r="E614" s="13" t="s">
        <v>772</v>
      </c>
      <c r="G614" s="19">
        <v>20</v>
      </c>
      <c r="H614" s="10" t="s">
        <v>872</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1249</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1249</v>
      </c>
    </row>
    <row r="616" spans="1:14" ht="36" hidden="1" outlineLevel="1" x14ac:dyDescent="0.4">
      <c r="A616" s="2">
        <v>8</v>
      </c>
      <c r="B616" s="2" t="s">
        <v>869</v>
      </c>
      <c r="E616" s="13" t="s">
        <v>772</v>
      </c>
      <c r="H616" s="10" t="s">
        <v>871</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876</v>
      </c>
      <c r="E617" s="13" t="s">
        <v>473</v>
      </c>
      <c r="H617" s="10" t="s">
        <v>875</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772</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1249</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1249</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1249</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1249</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1249</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1249</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1249</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1249</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1249</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1249</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1249</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1249</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1249</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1249</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1249</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1249</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1249</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1249</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1249</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1249</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1249</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1249</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1249</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1249</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1249</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1249</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1249</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1249</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1249</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1249</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1249</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1249</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1249</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1249</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1249</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1249</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1249</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1249</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1249</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1249</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1249</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1249</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1249</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1249</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1249</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1249</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1249</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1249</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1249</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1249</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1249</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1249</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1249</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1249</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1249</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1249</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1249</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1249</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1249</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1249</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1249</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1249</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1249</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1249</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1249</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1249</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1249</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1249</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1249</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1249</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1249</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1249</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1249</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1249</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1249</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1249</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1249</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1249</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1249</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1249</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1249</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1249</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1249</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1249</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1249</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1249</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1249</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1249</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1249</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1249</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72" activePane="bottomRight" state="frozen"/>
      <selection pane="topRight" activeCell="F1" sqref="F1"/>
      <selection pane="bottomLeft" activeCell="A18" sqref="A18"/>
      <selection pane="bottomRight" activeCell="A81" sqref="A8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hidden="1" customWidth="1" outlineLevel="1"/>
    <col min="60" max="60" width="7.625" bestFit="1" customWidth="1" collapsed="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931</v>
      </c>
      <c r="F1" s="22" t="s">
        <v>11</v>
      </c>
      <c r="G1" s="22" t="s">
        <v>1289</v>
      </c>
      <c r="H1" s="22" t="s">
        <v>1290</v>
      </c>
      <c r="I1" s="22" t="s">
        <v>13</v>
      </c>
      <c r="J1" s="22" t="s">
        <v>15</v>
      </c>
      <c r="K1" s="25" t="s">
        <v>17</v>
      </c>
      <c r="L1" s="22" t="s">
        <v>18</v>
      </c>
      <c r="M1" s="22" t="s">
        <v>20</v>
      </c>
      <c r="N1" s="22" t="s">
        <v>22</v>
      </c>
      <c r="O1" s="22" t="s">
        <v>29</v>
      </c>
      <c r="P1" s="20" t="s">
        <v>146</v>
      </c>
      <c r="Q1" s="20" t="s">
        <v>178</v>
      </c>
      <c r="R1" s="20" t="s">
        <v>707</v>
      </c>
      <c r="S1" s="20" t="s">
        <v>1283</v>
      </c>
      <c r="T1" s="20" t="s">
        <v>1284</v>
      </c>
      <c r="U1" s="20" t="s">
        <v>1285</v>
      </c>
      <c r="V1" s="20" t="s">
        <v>133</v>
      </c>
      <c r="W1" s="20" t="s">
        <v>134</v>
      </c>
      <c r="X1" s="20" t="s">
        <v>135</v>
      </c>
      <c r="Y1" s="20" t="s">
        <v>136</v>
      </c>
      <c r="Z1" s="20" t="s">
        <v>138</v>
      </c>
      <c r="AA1" s="20" t="s">
        <v>139</v>
      </c>
      <c r="AB1" s="20" t="s">
        <v>141</v>
      </c>
      <c r="AC1" s="20" t="s">
        <v>142</v>
      </c>
      <c r="AD1" s="20" t="s">
        <v>143</v>
      </c>
      <c r="AE1" s="20" t="s">
        <v>144</v>
      </c>
      <c r="AF1" s="20" t="s">
        <v>145</v>
      </c>
      <c r="AG1" s="20" t="s">
        <v>157</v>
      </c>
      <c r="AH1" s="20" t="s">
        <v>158</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c r="AX1" s="34" t="s">
        <v>256</v>
      </c>
      <c r="AY1" s="34" t="s">
        <v>257</v>
      </c>
      <c r="AZ1" s="34" t="s">
        <v>258</v>
      </c>
      <c r="BA1" s="34" t="s">
        <v>259</v>
      </c>
      <c r="BB1" s="34" t="s">
        <v>260</v>
      </c>
      <c r="BC1" s="34" t="s">
        <v>261</v>
      </c>
      <c r="BD1" s="34" t="s">
        <v>262</v>
      </c>
      <c r="BE1" s="34" t="s">
        <v>263</v>
      </c>
      <c r="BF1" s="34" t="s">
        <v>264</v>
      </c>
      <c r="BG1" s="34" t="s">
        <v>265</v>
      </c>
      <c r="BH1" s="10" t="s">
        <v>266</v>
      </c>
      <c r="BI1" s="10" t="s">
        <v>267</v>
      </c>
      <c r="BJ1" s="35" t="s">
        <v>268</v>
      </c>
      <c r="BK1" s="10" t="s">
        <v>269</v>
      </c>
      <c r="BL1" s="35" t="s">
        <v>270</v>
      </c>
      <c r="BM1" s="10" t="s">
        <v>271</v>
      </c>
      <c r="BN1" s="35" t="s">
        <v>272</v>
      </c>
      <c r="BO1" s="10" t="s">
        <v>273</v>
      </c>
      <c r="BP1" s="35" t="s">
        <v>274</v>
      </c>
      <c r="BQ1" s="10" t="s">
        <v>306</v>
      </c>
      <c r="BR1" s="10" t="s">
        <v>947</v>
      </c>
      <c r="BS1" s="10" t="s">
        <v>944</v>
      </c>
      <c r="BT1" s="53" t="s">
        <v>479</v>
      </c>
      <c r="BU1" s="53" t="s">
        <v>480</v>
      </c>
      <c r="BV1" s="53" t="s">
        <v>481</v>
      </c>
      <c r="BW1" s="53" t="s">
        <v>482</v>
      </c>
      <c r="BX1" s="10" t="s">
        <v>946</v>
      </c>
      <c r="BY1" s="10" t="s">
        <v>949</v>
      </c>
      <c r="CA1" s="10" t="s">
        <v>954</v>
      </c>
      <c r="CB1" s="10" t="s">
        <v>956</v>
      </c>
      <c r="CC1" s="10" t="s">
        <v>957</v>
      </c>
      <c r="CD1" s="10" t="s">
        <v>955</v>
      </c>
      <c r="CE1" s="10" t="s">
        <v>958</v>
      </c>
      <c r="CF1" s="10" t="s">
        <v>959</v>
      </c>
      <c r="CG1" s="10" t="s">
        <v>786</v>
      </c>
      <c r="CH1" s="10" t="s">
        <v>787</v>
      </c>
      <c r="CI1" s="10" t="s">
        <v>1036</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6" t="s">
        <v>233</v>
      </c>
      <c r="AK2" s="66"/>
      <c r="AL2" s="66"/>
      <c r="AM2" s="66"/>
      <c r="AN2" s="66"/>
      <c r="AO2" s="66"/>
      <c r="AP2" s="66"/>
      <c r="AQ2" s="66"/>
      <c r="AR2" s="66"/>
      <c r="AS2" s="66"/>
      <c r="AT2" s="66"/>
      <c r="AU2" s="66"/>
      <c r="AV2" s="66"/>
      <c r="AW2" s="66"/>
      <c r="AX2" s="66"/>
      <c r="AY2" s="66"/>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6" t="s">
        <v>234</v>
      </c>
      <c r="AK3" s="66"/>
      <c r="AL3" s="66"/>
      <c r="AM3" s="66"/>
      <c r="AN3" s="66"/>
      <c r="AO3" s="66"/>
      <c r="AP3" s="66"/>
      <c r="AQ3" s="66"/>
      <c r="AR3" s="66"/>
      <c r="AS3" s="66"/>
      <c r="AT3" s="66"/>
      <c r="AU3" s="66"/>
      <c r="AV3" s="66"/>
      <c r="AW3" s="66"/>
      <c r="AX3" s="66"/>
      <c r="AY3" s="66"/>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6" t="s">
        <v>235</v>
      </c>
      <c r="AK4" s="66"/>
      <c r="AL4" s="66"/>
      <c r="AM4" s="66"/>
      <c r="AN4" s="66"/>
      <c r="AO4" s="66"/>
      <c r="AP4" s="66"/>
      <c r="AQ4" s="66"/>
      <c r="AR4" s="66"/>
      <c r="AS4" s="66"/>
      <c r="AT4" s="66"/>
      <c r="AU4" s="66"/>
      <c r="AV4" s="66"/>
      <c r="AW4" s="66"/>
      <c r="AX4" s="66"/>
      <c r="AY4" s="66"/>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106</v>
      </c>
      <c r="AJ5" s="66" t="s">
        <v>236</v>
      </c>
      <c r="AK5" s="66"/>
      <c r="AL5" s="66"/>
      <c r="AM5" s="66"/>
      <c r="AN5" s="66"/>
      <c r="AO5" s="66"/>
      <c r="AP5" s="66"/>
      <c r="AQ5" s="66"/>
      <c r="AR5" s="66"/>
      <c r="AS5" s="66"/>
      <c r="AT5" s="66"/>
      <c r="AU5" s="66"/>
      <c r="AV5" s="66"/>
      <c r="AW5" s="66"/>
      <c r="AX5" s="66"/>
      <c r="AY5" s="66"/>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105</v>
      </c>
      <c r="AJ6" s="66" t="s">
        <v>237</v>
      </c>
      <c r="AK6" s="66"/>
      <c r="AL6" s="66"/>
      <c r="AM6" s="66"/>
      <c r="AN6" s="66"/>
      <c r="AO6" s="66"/>
      <c r="AP6" s="66"/>
      <c r="AQ6" s="66"/>
      <c r="AR6" s="66"/>
      <c r="AS6" s="66"/>
      <c r="AT6" s="66"/>
      <c r="AU6" s="66"/>
      <c r="AV6" s="66"/>
      <c r="AW6" s="66"/>
      <c r="AX6" s="66"/>
      <c r="AY6" s="66"/>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4" t="s">
        <v>238</v>
      </c>
      <c r="AK7" s="64"/>
      <c r="AL7" s="64"/>
      <c r="AM7" s="64"/>
      <c r="AN7" s="64"/>
      <c r="AO7" s="64"/>
      <c r="AP7" s="64"/>
      <c r="AQ7" s="64"/>
      <c r="AR7" s="64"/>
      <c r="AS7" s="64"/>
      <c r="AT7" s="64"/>
      <c r="AU7" s="64"/>
      <c r="AV7" s="64"/>
      <c r="AW7" s="64"/>
      <c r="AX7" s="64"/>
      <c r="AY7" s="64"/>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4" t="s">
        <v>239</v>
      </c>
      <c r="AK8" s="64"/>
      <c r="AL8" s="64"/>
      <c r="AM8" s="64"/>
      <c r="AN8" s="64"/>
      <c r="AO8" s="64"/>
      <c r="AP8" s="64"/>
      <c r="AQ8" s="64"/>
      <c r="AR8" s="64"/>
      <c r="AS8" s="64"/>
      <c r="AT8" s="64"/>
      <c r="AU8" s="64"/>
      <c r="AV8" s="64"/>
      <c r="AW8" s="64"/>
      <c r="AX8" s="64"/>
      <c r="AY8" s="64"/>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227</v>
      </c>
      <c r="AJ9" s="65" t="s">
        <v>240</v>
      </c>
      <c r="AK9" s="65"/>
      <c r="AL9" s="65"/>
      <c r="AM9" s="65"/>
      <c r="AN9" s="65"/>
      <c r="AO9" s="65"/>
      <c r="AP9" s="65"/>
      <c r="AQ9" s="65"/>
      <c r="AR9" s="65"/>
      <c r="AS9" s="65"/>
      <c r="AT9" s="65"/>
      <c r="AU9" s="65"/>
      <c r="AV9" s="65"/>
      <c r="AW9" s="65"/>
      <c r="AX9" s="65"/>
      <c r="AY9" s="65"/>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228</v>
      </c>
      <c r="AJ10" s="65" t="s">
        <v>241</v>
      </c>
      <c r="AK10" s="65"/>
      <c r="AL10" s="65"/>
      <c r="AM10" s="65"/>
      <c r="AN10" s="65"/>
      <c r="AO10" s="65"/>
      <c r="AP10" s="65"/>
      <c r="AQ10" s="65"/>
      <c r="AR10" s="65"/>
      <c r="AS10" s="65"/>
      <c r="AT10" s="65"/>
      <c r="AU10" s="65"/>
      <c r="AV10" s="65"/>
      <c r="AW10" s="65"/>
      <c r="AX10" s="65"/>
      <c r="AY10" s="65"/>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229</v>
      </c>
      <c r="AJ11" s="65" t="s">
        <v>242</v>
      </c>
      <c r="AK11" s="65"/>
      <c r="AL11" s="65"/>
      <c r="AM11" s="65"/>
      <c r="AN11" s="65"/>
      <c r="AO11" s="65"/>
      <c r="AP11" s="65"/>
      <c r="AQ11" s="65"/>
      <c r="AR11" s="65"/>
      <c r="AS11" s="65"/>
      <c r="AT11" s="65"/>
      <c r="AU11" s="65"/>
      <c r="AV11" s="65"/>
      <c r="AW11" s="65"/>
      <c r="AX11" s="65"/>
      <c r="AY11" s="65"/>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230</v>
      </c>
      <c r="AJ12" s="65" t="s">
        <v>243</v>
      </c>
      <c r="AK12" s="65"/>
      <c r="AL12" s="65"/>
      <c r="AM12" s="65"/>
      <c r="AN12" s="65"/>
      <c r="AO12" s="65"/>
      <c r="AP12" s="65"/>
      <c r="AQ12" s="65"/>
      <c r="AR12" s="65"/>
      <c r="AS12" s="65"/>
      <c r="AT12" s="65"/>
      <c r="AU12" s="65"/>
      <c r="AV12" s="65"/>
      <c r="AW12" s="65"/>
      <c r="AX12" s="65"/>
      <c r="AY12" s="65"/>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231</v>
      </c>
      <c r="AJ13" s="63" t="s">
        <v>244</v>
      </c>
      <c r="AK13" s="63"/>
      <c r="AL13" s="63"/>
      <c r="AM13" s="63"/>
      <c r="AN13" s="63"/>
      <c r="AO13" s="63"/>
      <c r="AP13" s="63"/>
      <c r="AQ13" s="63"/>
      <c r="AR13" s="63"/>
      <c r="AS13" s="63"/>
      <c r="AT13" s="63"/>
      <c r="AU13" s="63"/>
      <c r="AV13" s="63"/>
      <c r="AW13" s="63"/>
      <c r="AX13" s="63"/>
      <c r="AY13" s="63"/>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3" t="s">
        <v>245</v>
      </c>
      <c r="AK14" s="63"/>
      <c r="AL14" s="63"/>
      <c r="AM14" s="63"/>
      <c r="AN14" s="63"/>
      <c r="AO14" s="63"/>
      <c r="AP14" s="63"/>
      <c r="AQ14" s="63"/>
      <c r="AR14" s="63"/>
      <c r="AS14" s="63"/>
      <c r="AT14" s="63"/>
      <c r="AU14" s="63"/>
      <c r="AV14" s="63"/>
      <c r="AW14" s="63"/>
      <c r="AX14" s="63"/>
      <c r="AY14" s="63"/>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1044</v>
      </c>
      <c r="AJ15" s="63" t="s">
        <v>246</v>
      </c>
      <c r="AK15" s="63"/>
      <c r="AL15" s="63"/>
      <c r="AM15" s="63"/>
      <c r="AN15" s="63"/>
      <c r="AO15" s="63"/>
      <c r="AP15" s="63"/>
      <c r="AQ15" s="63"/>
      <c r="AR15" s="63"/>
      <c r="AS15" s="63"/>
      <c r="AT15" s="63"/>
      <c r="AU15" s="63"/>
      <c r="AV15" s="63"/>
      <c r="AW15" s="63"/>
      <c r="AX15" s="63"/>
      <c r="AY15" s="63"/>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3" t="s">
        <v>247</v>
      </c>
      <c r="AK16" s="63"/>
      <c r="AL16" s="63"/>
      <c r="AM16" s="63"/>
      <c r="AN16" s="63"/>
      <c r="AO16" s="63"/>
      <c r="AP16" s="63"/>
      <c r="AQ16" s="63"/>
      <c r="AR16" s="63"/>
      <c r="AS16" s="63"/>
      <c r="AT16" s="63"/>
      <c r="AU16" s="63"/>
      <c r="AV16" s="63"/>
      <c r="AW16" s="63"/>
      <c r="AX16" s="63"/>
      <c r="AY16" s="63"/>
      <c r="BJ16" s="35"/>
      <c r="BL16" s="35"/>
      <c r="BN16" s="35"/>
      <c r="BP16" s="35"/>
    </row>
    <row r="17" spans="1:87" collapsed="1" x14ac:dyDescent="0.4">
      <c r="BS17" s="3" t="s">
        <v>945</v>
      </c>
      <c r="BT17" s="53" t="s">
        <v>479</v>
      </c>
      <c r="BU17" s="53" t="s">
        <v>480</v>
      </c>
      <c r="BV17" s="53" t="s">
        <v>481</v>
      </c>
      <c r="BW17" s="53" t="s">
        <v>482</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INDEX(CS!$B$1:$B$12828,MATCH($A18,CS!$B:$B,0)+COLUMN(A$1),1))</f>
        <v>エルフ</v>
      </c>
      <c r="AY18" t="str">
        <f>IF($A18="","", INDEX(CS!$B$1:$B$12828,MATCH($A18,CS!$B:$B,0)+COLUMN(B$1),1))</f>
        <v>ドワーフ</v>
      </c>
      <c r="AZ18">
        <f>IF($A18="","", INDEX(CS!$B$1:$B$12828,MATCH($A18,CS!$B:$B,0)+COLUMN(C$1),1))</f>
        <v>0</v>
      </c>
      <c r="BA18" t="str">
        <f>IF($A18="","", INDEX(CS!$B$1:$B$12828,MATCH($A18,CS!$B:$B,0)+COLUMN(D$1),1))</f>
        <v>ビーストマン</v>
      </c>
      <c r="BB18">
        <f>IF($A18="","", INDEX(CS!$B$1:$B$12828,MATCH($A18,CS!$B:$B,0)+COLUMN(E$1),1))</f>
        <v>0</v>
      </c>
      <c r="BC18">
        <f>IF($A18="","", INDEX(CS!$B$1:$B$12828,MATCH($A18,CS!$B:$B,0)+COLUMN(F$1),1))</f>
        <v>0</v>
      </c>
      <c r="BD18">
        <f>IF($A18="","", INDEX(CS!$B$1:$B$12828,MATCH($A18,CS!$B:$B,0)+COLUMN(I$1),1))</f>
        <v>0</v>
      </c>
      <c r="BE18">
        <f>IF($A18="","", INDEX(CS!$B$1:$B$12828,MATCH($A18,CS!$B:$B,0)+COLUMN(J$1),1))</f>
        <v>0</v>
      </c>
      <c r="BF18">
        <f>IF($A18="","", INDEX(CS!$B$1:$B$12828,MATCH($A18,CS!$B:$B,0)+COLUMN(K$1),1))</f>
        <v>0</v>
      </c>
      <c r="BG18">
        <f>IF($A18="","", INDEX(CS!$B$1:$B$12828,MATCH($A18,CS!$B:$B,0)+COLUMN(L$1),1))</f>
        <v>0</v>
      </c>
      <c r="BR18" t="s">
        <v>948</v>
      </c>
      <c r="BS18" s="53">
        <v>100</v>
      </c>
      <c r="BT18" s="52">
        <v>40</v>
      </c>
      <c r="BU18" s="52">
        <v>30</v>
      </c>
      <c r="BV18" s="52">
        <v>20</v>
      </c>
      <c r="BW18" s="52">
        <v>10</v>
      </c>
      <c r="CI18" t="s">
        <v>1037</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INDEX(CS!$B$1:$B$12828,MATCH($A19,CS!$B:$B,0)+COLUMN(A$1),1))</f>
        <v>ドワーフ</v>
      </c>
      <c r="AY19">
        <f>IF($A19="","", INDEX(CS!$B$1:$B$12828,MATCH($A19,CS!$B:$B,0)+COLUMN(B$1),1))</f>
        <v>0</v>
      </c>
      <c r="AZ19" t="str">
        <f>IF($A19="","", INDEX(CS!$B$1:$B$12828,MATCH($A19,CS!$B:$B,0)+COLUMN(C$1),1))</f>
        <v>ビーストマン</v>
      </c>
      <c r="BA19">
        <f>IF($A19="","", INDEX(CS!$B$1:$B$12828,MATCH($A19,CS!$B:$B,0)+COLUMN(D$1),1))</f>
        <v>0</v>
      </c>
      <c r="BB19">
        <f>IF($A19="","", INDEX(CS!$B$1:$B$12828,MATCH($A19,CS!$B:$B,0)+COLUMN(E$1),1))</f>
        <v>0</v>
      </c>
      <c r="BC19">
        <f>IF($A19="","", INDEX(CS!$B$1:$B$12828,MATCH($A19,CS!$B:$B,0)+COLUMN(F$1),1))</f>
        <v>0</v>
      </c>
      <c r="BD19">
        <f>IF($A19="","", INDEX(CS!$B$1:$B$12828,MATCH($A19,CS!$B:$B,0)+COLUMN(I$1),1))</f>
        <v>0</v>
      </c>
      <c r="BE19">
        <f>IF($A19="","", INDEX(CS!$B$1:$B$12828,MATCH($A19,CS!$B:$B,0)+COLUMN(J$1),1))</f>
        <v>0</v>
      </c>
      <c r="BF19">
        <f>IF($A19="","", INDEX(CS!$B$1:$B$12828,MATCH($A19,CS!$B:$B,0)+COLUMN(K$1),1))</f>
        <v>0</v>
      </c>
      <c r="BG19">
        <f>IF($A19="","", INDEX(CS!$B$1:$B$12828,MATCH($A19,CS!$B:$B,0)+COLUMN(L$1),1))</f>
        <v>0</v>
      </c>
      <c r="BR19" t="s">
        <v>948</v>
      </c>
      <c r="BS19" s="53">
        <v>100</v>
      </c>
      <c r="BT19" s="52">
        <v>20</v>
      </c>
      <c r="BU19" s="52">
        <v>50</v>
      </c>
      <c r="BV19" s="52">
        <v>10</v>
      </c>
      <c r="BW19" s="52">
        <v>20</v>
      </c>
      <c r="CI19" t="s">
        <v>920</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INDEX(CS!$B$1:$B$12828,MATCH($A20,CS!$B:$B,0)+COLUMN(A$1),1))</f>
        <v>0</v>
      </c>
      <c r="AY20" t="str">
        <f>IF($A20="","", INDEX(CS!$B$1:$B$12828,MATCH($A20,CS!$B:$B,0)+COLUMN(B$1),1))</f>
        <v>ビーストマン</v>
      </c>
      <c r="AZ20">
        <f>IF($A20="","", INDEX(CS!$B$1:$B$12828,MATCH($A20,CS!$B:$B,0)+COLUMN(C$1),1))</f>
        <v>0</v>
      </c>
      <c r="BA20">
        <f>IF($A20="","", INDEX(CS!$B$1:$B$12828,MATCH($A20,CS!$B:$B,0)+COLUMN(D$1),1))</f>
        <v>0</v>
      </c>
      <c r="BB20">
        <f>IF($A20="","", INDEX(CS!$B$1:$B$12828,MATCH($A20,CS!$B:$B,0)+COLUMN(E$1),1))</f>
        <v>0</v>
      </c>
      <c r="BC20">
        <f>IF($A20="","", INDEX(CS!$B$1:$B$12828,MATCH($A20,CS!$B:$B,0)+COLUMN(F$1),1))</f>
        <v>0</v>
      </c>
      <c r="BD20">
        <f>IF($A20="","", INDEX(CS!$B$1:$B$12828,MATCH($A20,CS!$B:$B,0)+COLUMN(I$1),1))</f>
        <v>0</v>
      </c>
      <c r="BE20">
        <f>IF($A20="","", INDEX(CS!$B$1:$B$12828,MATCH($A20,CS!$B:$B,0)+COLUMN(J$1),1))</f>
        <v>0</v>
      </c>
      <c r="BF20">
        <f>IF($A20="","", INDEX(CS!$B$1:$B$12828,MATCH($A20,CS!$B:$B,0)+COLUMN(K$1),1))</f>
        <v>0</v>
      </c>
      <c r="BG20">
        <f>IF($A20="","", INDEX(CS!$B$1:$B$12828,MATCH($A20,CS!$B:$B,0)+COLUMN(L$1),1))</f>
        <v>0</v>
      </c>
      <c r="BR20" t="s">
        <v>948</v>
      </c>
      <c r="BS20" s="53">
        <v>100</v>
      </c>
      <c r="BT20" s="52">
        <v>30</v>
      </c>
      <c r="BU20" s="52">
        <v>20</v>
      </c>
      <c r="BV20" s="52">
        <v>40</v>
      </c>
      <c r="BW20" s="52">
        <v>10</v>
      </c>
      <c r="CI20" t="s">
        <v>1038</v>
      </c>
    </row>
    <row r="21" spans="1:87" outlineLevel="1" x14ac:dyDescent="0.4">
      <c r="D21" t="str">
        <f t="shared" si="0"/>
        <v>0/0/0</v>
      </c>
      <c r="AX21" t="str">
        <f>IF($A21="","", INDEX(CS!$B$1:$B$12828,MATCH($A21,CS!$B:$B,0)+COLUMN(A$1),1))</f>
        <v/>
      </c>
      <c r="AY21" t="str">
        <f>IF($A21="","", INDEX(CS!$B$1:$B$12828,MATCH($A21,CS!$B:$B,0)+COLUMN(B$1),1))</f>
        <v/>
      </c>
      <c r="AZ21" t="str">
        <f>IF($A21="","", INDEX(CS!$B$1:$B$12828,MATCH($A21,CS!$B:$B,0)+COLUMN(C$1),1))</f>
        <v/>
      </c>
      <c r="BA21" t="str">
        <f>IF($A21="","", INDEX(CS!$B$1:$B$12828,MATCH($A21,CS!$B:$B,0)+COLUMN(D$1),1))</f>
        <v/>
      </c>
      <c r="BB21" t="str">
        <f>IF($A21="","", INDEX(CS!$B$1:$B$12828,MATCH($A21,CS!$B:$B,0)+COLUMN(E$1),1))</f>
        <v/>
      </c>
      <c r="BC21" t="str">
        <f>IF($A21="","", INDEX(CS!$B$1:$B$12828,MATCH($A21,CS!$B:$B,0)+COLUMN(F$1),1))</f>
        <v/>
      </c>
      <c r="BD21" t="str">
        <f>IF($A21="","", INDEX(CS!$B$1:$B$12828,MATCH($A21,CS!$B:$B,0)+COLUMN(I$1),1))</f>
        <v/>
      </c>
      <c r="BE21" t="str">
        <f>IF($A21="","", INDEX(CS!$B$1:$B$12828,MATCH($A21,CS!$B:$B,0)+COLUMN(J$1),1))</f>
        <v/>
      </c>
      <c r="BF21" t="str">
        <f>IF($A21="","", INDEX(CS!$B$1:$B$12828,MATCH($A21,CS!$B:$B,0)+COLUMN(K$1),1))</f>
        <v/>
      </c>
      <c r="BG21" t="str">
        <f>IF($A21="","", INDEX(CS!$B$1:$B$12828,MATCH($A21,CS!$B:$B,0)+COLUMN(L$1),1))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INDEX(CS!$B$1:$B$12828,MATCH($A22,CS!$B:$B,0)+COLUMN(A$1),1))</f>
        <v>0</v>
      </c>
      <c r="AY22">
        <f>IF($A22="","", INDEX(CS!$B$1:$B$12828,MATCH($A22,CS!$B:$B,0)+COLUMN(B$1),1))</f>
        <v>0</v>
      </c>
      <c r="AZ22">
        <f>IF($A22="","", INDEX(CS!$B$1:$B$12828,MATCH($A22,CS!$B:$B,0)+COLUMN(C$1),1))</f>
        <v>0</v>
      </c>
      <c r="BA22">
        <f>IF($A22="","", INDEX(CS!$B$1:$B$12828,MATCH($A22,CS!$B:$B,0)+COLUMN(D$1),1))</f>
        <v>0</v>
      </c>
      <c r="BB22">
        <f>IF($A22="","", INDEX(CS!$B$1:$B$12828,MATCH($A22,CS!$B:$B,0)+COLUMN(E$1),1))</f>
        <v>0</v>
      </c>
      <c r="BC22">
        <f>IF($A22="","", INDEX(CS!$B$1:$B$12828,MATCH($A22,CS!$B:$B,0)+COLUMN(F$1),1))</f>
        <v>0</v>
      </c>
      <c r="BD22">
        <f>IF($A22="","", INDEX(CS!$B$1:$B$12828,MATCH($A22,CS!$B:$B,0)+COLUMN(I$1),1))</f>
        <v>0</v>
      </c>
      <c r="BE22">
        <f>IF($A22="","", INDEX(CS!$B$1:$B$12828,MATCH($A22,CS!$B:$B,0)+COLUMN(J$1),1))</f>
        <v>0</v>
      </c>
      <c r="BF22">
        <f>IF($A22="","", INDEX(CS!$B$1:$B$12828,MATCH($A22,CS!$B:$B,0)+COLUMN(K$1),1))</f>
        <v>0</v>
      </c>
      <c r="BG22">
        <f>IF($A22="","", INDEX(CS!$B$1:$B$12828,MATCH($A22,CS!$B:$B,0)+COLUMN(L$1),1))</f>
        <v>0</v>
      </c>
      <c r="BR22" t="s">
        <v>948</v>
      </c>
      <c r="BS22" s="53">
        <v>110</v>
      </c>
      <c r="BT22" s="52">
        <v>20</v>
      </c>
      <c r="BU22" s="52">
        <v>20</v>
      </c>
      <c r="BV22" s="52">
        <v>50</v>
      </c>
      <c r="BW22" s="52">
        <v>20</v>
      </c>
      <c r="CI22" t="s">
        <v>922</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INDEX(CS!$B$1:$B$12828,MATCH($A23,CS!$B:$B,0)+COLUMN(A$1),1))</f>
        <v>0</v>
      </c>
      <c r="AY23">
        <f>IF($A23="","", INDEX(CS!$B$1:$B$12828,MATCH($A23,CS!$B:$B,0)+COLUMN(B$1),1))</f>
        <v>0</v>
      </c>
      <c r="AZ23">
        <f>IF($A23="","", INDEX(CS!$B$1:$B$12828,MATCH($A23,CS!$B:$B,0)+COLUMN(C$1),1))</f>
        <v>0</v>
      </c>
      <c r="BA23">
        <f>IF($A23="","", INDEX(CS!$B$1:$B$12828,MATCH($A23,CS!$B:$B,0)+COLUMN(D$1),1))</f>
        <v>0</v>
      </c>
      <c r="BB23">
        <f>IF($A23="","", INDEX(CS!$B$1:$B$12828,MATCH($A23,CS!$B:$B,0)+COLUMN(E$1),1))</f>
        <v>0</v>
      </c>
      <c r="BC23">
        <f>IF($A23="","", INDEX(CS!$B$1:$B$12828,MATCH($A23,CS!$B:$B,0)+COLUMN(F$1),1))</f>
        <v>0</v>
      </c>
      <c r="BD23">
        <f>IF($A23="","", INDEX(CS!$B$1:$B$12828,MATCH($A23,CS!$B:$B,0)+COLUMN(I$1),1))</f>
        <v>0</v>
      </c>
      <c r="BE23">
        <f>IF($A23="","", INDEX(CS!$B$1:$B$12828,MATCH($A23,CS!$B:$B,0)+COLUMN(J$1),1))</f>
        <v>0</v>
      </c>
      <c r="BF23">
        <f>IF($A23="","", INDEX(CS!$B$1:$B$12828,MATCH($A23,CS!$B:$B,0)+COLUMN(K$1),1))</f>
        <v>0</v>
      </c>
      <c r="BG23">
        <f>IF($A23="","", INDEX(CS!$B$1:$B$12828,MATCH($A23,CS!$B:$B,0)+COLUMN(L$1),1))</f>
        <v>0</v>
      </c>
      <c r="BR23" t="s">
        <v>948</v>
      </c>
      <c r="BS23" s="53">
        <v>110</v>
      </c>
      <c r="BT23" s="52">
        <v>15</v>
      </c>
      <c r="BU23" s="52">
        <v>10</v>
      </c>
      <c r="BV23" s="52">
        <v>70</v>
      </c>
      <c r="BW23" s="52">
        <v>15</v>
      </c>
      <c r="CI23" t="s">
        <v>923</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INDEX(CS!$B$1:$B$12828,MATCH($A24,CS!$B:$B,0)+COLUMN(A$1),1))</f>
        <v>0</v>
      </c>
      <c r="AY24">
        <f>IF($A24="","", INDEX(CS!$B$1:$B$12828,MATCH($A24,CS!$B:$B,0)+COLUMN(B$1),1))</f>
        <v>0</v>
      </c>
      <c r="AZ24">
        <f>IF($A24="","", INDEX(CS!$B$1:$B$12828,MATCH($A24,CS!$B:$B,0)+COLUMN(C$1),1))</f>
        <v>0</v>
      </c>
      <c r="BA24">
        <f>IF($A24="","", INDEX(CS!$B$1:$B$12828,MATCH($A24,CS!$B:$B,0)+COLUMN(D$1),1))</f>
        <v>0</v>
      </c>
      <c r="BB24">
        <f>IF($A24="","", INDEX(CS!$B$1:$B$12828,MATCH($A24,CS!$B:$B,0)+COLUMN(E$1),1))</f>
        <v>0</v>
      </c>
      <c r="BC24">
        <f>IF($A24="","", INDEX(CS!$B$1:$B$12828,MATCH($A24,CS!$B:$B,0)+COLUMN(F$1),1))</f>
        <v>0</v>
      </c>
      <c r="BD24">
        <f>IF($A24="","", INDEX(CS!$B$1:$B$12828,MATCH($A24,CS!$B:$B,0)+COLUMN(I$1),1))</f>
        <v>0</v>
      </c>
      <c r="BE24">
        <f>IF($A24="","", INDEX(CS!$B$1:$B$12828,MATCH($A24,CS!$B:$B,0)+COLUMN(J$1),1))</f>
        <v>0</v>
      </c>
      <c r="BF24">
        <f>IF($A24="","", INDEX(CS!$B$1:$B$12828,MATCH($A24,CS!$B:$B,0)+COLUMN(K$1),1))</f>
        <v>0</v>
      </c>
      <c r="BG24">
        <f>IF($A24="","", INDEX(CS!$B$1:$B$12828,MATCH($A24,CS!$B:$B,0)+COLUMN(L$1),1))</f>
        <v>0</v>
      </c>
      <c r="BR24" t="s">
        <v>948</v>
      </c>
      <c r="BS24" s="53">
        <v>200</v>
      </c>
      <c r="BT24" s="52">
        <v>40</v>
      </c>
      <c r="BU24" s="52">
        <v>10</v>
      </c>
      <c r="BV24" s="52">
        <v>100</v>
      </c>
      <c r="BW24" s="52">
        <v>10</v>
      </c>
      <c r="CI24" t="s">
        <v>924</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INDEX(CS!$B$1:$B$12828,MATCH($A25,CS!$B:$B,0)+COLUMN(A$1),1))</f>
        <v>0</v>
      </c>
      <c r="AY25">
        <f>IF($A25="","", INDEX(CS!$B$1:$B$12828,MATCH($A25,CS!$B:$B,0)+COLUMN(B$1),1))</f>
        <v>0</v>
      </c>
      <c r="AZ25">
        <f>IF($A25="","", INDEX(CS!$B$1:$B$12828,MATCH($A25,CS!$B:$B,0)+COLUMN(C$1),1))</f>
        <v>0</v>
      </c>
      <c r="BA25">
        <f>IF($A25="","", INDEX(CS!$B$1:$B$12828,MATCH($A25,CS!$B:$B,0)+COLUMN(D$1),1))</f>
        <v>0</v>
      </c>
      <c r="BB25">
        <f>IF($A25="","", INDEX(CS!$B$1:$B$12828,MATCH($A25,CS!$B:$B,0)+COLUMN(E$1),1))</f>
        <v>0</v>
      </c>
      <c r="BC25">
        <f>IF($A25="","", INDEX(CS!$B$1:$B$12828,MATCH($A25,CS!$B:$B,0)+COLUMN(F$1),1))</f>
        <v>0</v>
      </c>
      <c r="BD25">
        <f>IF($A25="","", INDEX(CS!$B$1:$B$12828,MATCH($A25,CS!$B:$B,0)+COLUMN(I$1),1))</f>
        <v>0</v>
      </c>
      <c r="BE25">
        <f>IF($A25="","", INDEX(CS!$B$1:$B$12828,MATCH($A25,CS!$B:$B,0)+COLUMN(J$1),1))</f>
        <v>0</v>
      </c>
      <c r="BF25">
        <f>IF($A25="","", INDEX(CS!$B$1:$B$12828,MATCH($A25,CS!$B:$B,0)+COLUMN(K$1),1))</f>
        <v>0</v>
      </c>
      <c r="BG25">
        <f>IF($A25="","", INDEX(CS!$B$1:$B$12828,MATCH($A25,CS!$B:$B,0)+COLUMN(L$1),1))</f>
        <v>0</v>
      </c>
      <c r="BR25" t="s">
        <v>948</v>
      </c>
      <c r="BS25" s="53">
        <v>250</v>
      </c>
      <c r="BT25" s="52">
        <v>60</v>
      </c>
      <c r="BU25" s="52">
        <v>30</v>
      </c>
      <c r="BV25" s="52">
        <v>200</v>
      </c>
      <c r="BW25" s="52">
        <v>30</v>
      </c>
      <c r="CI25" t="s">
        <v>925</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INDEX(CS!$B$1:$B$12828,MATCH($A26,CS!$B:$B,0)+COLUMN(A$1),1))</f>
        <v>0</v>
      </c>
      <c r="AY26">
        <f>IF($A26="","", INDEX(CS!$B$1:$B$12828,MATCH($A26,CS!$B:$B,0)+COLUMN(B$1),1))</f>
        <v>0</v>
      </c>
      <c r="AZ26">
        <f>IF($A26="","", INDEX(CS!$B$1:$B$12828,MATCH($A26,CS!$B:$B,0)+COLUMN(C$1),1))</f>
        <v>0</v>
      </c>
      <c r="BA26">
        <f>IF($A26="","", INDEX(CS!$B$1:$B$12828,MATCH($A26,CS!$B:$B,0)+COLUMN(D$1),1))</f>
        <v>0</v>
      </c>
      <c r="BB26">
        <f>IF($A26="","", INDEX(CS!$B$1:$B$12828,MATCH($A26,CS!$B:$B,0)+COLUMN(E$1),1))</f>
        <v>0</v>
      </c>
      <c r="BC26">
        <f>IF($A26="","", INDEX(CS!$B$1:$B$12828,MATCH($A26,CS!$B:$B,0)+COLUMN(F$1),1))</f>
        <v>0</v>
      </c>
      <c r="BD26">
        <f>IF($A26="","", INDEX(CS!$B$1:$B$12828,MATCH($A26,CS!$B:$B,0)+COLUMN(I$1),1))</f>
        <v>0</v>
      </c>
      <c r="BE26">
        <f>IF($A26="","", INDEX(CS!$B$1:$B$12828,MATCH($A26,CS!$B:$B,0)+COLUMN(J$1),1))</f>
        <v>0</v>
      </c>
      <c r="BF26">
        <f>IF($A26="","", INDEX(CS!$B$1:$B$12828,MATCH($A26,CS!$B:$B,0)+COLUMN(K$1),1))</f>
        <v>0</v>
      </c>
      <c r="BG26">
        <f>IF($A26="","", INDEX(CS!$B$1:$B$12828,MATCH($A26,CS!$B:$B,0)+COLUMN(L$1),1))</f>
        <v>0</v>
      </c>
      <c r="BR26" t="s">
        <v>948</v>
      </c>
      <c r="BS26" s="53">
        <v>70</v>
      </c>
      <c r="BT26" s="52">
        <v>30</v>
      </c>
      <c r="BU26" s="52">
        <v>20</v>
      </c>
      <c r="BV26" s="52">
        <v>10</v>
      </c>
      <c r="BW26" s="52">
        <v>10</v>
      </c>
      <c r="CI26" t="s">
        <v>926</v>
      </c>
    </row>
    <row r="27" spans="1:87" outlineLevel="1" x14ac:dyDescent="0.4">
      <c r="A27" t="s">
        <v>1177</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INDEX(CS!$B$1:$B$12828,MATCH($A27,CS!$B:$B,0)+COLUMN(A$1),1))</f>
        <v>#N/A</v>
      </c>
      <c r="AY27" t="e">
        <f>IF($A27="","", INDEX(CS!$B$1:$B$12828,MATCH($A27,CS!$B:$B,0)+COLUMN(B$1),1))</f>
        <v>#N/A</v>
      </c>
      <c r="AZ27" t="e">
        <f>IF($A27="","", INDEX(CS!$B$1:$B$12828,MATCH($A27,CS!$B:$B,0)+COLUMN(C$1),1))</f>
        <v>#N/A</v>
      </c>
      <c r="BA27" t="e">
        <f>IF($A27="","", INDEX(CS!$B$1:$B$12828,MATCH($A27,CS!$B:$B,0)+COLUMN(D$1),1))</f>
        <v>#N/A</v>
      </c>
      <c r="BB27" t="e">
        <f>IF($A27="","", INDEX(CS!$B$1:$B$12828,MATCH($A27,CS!$B:$B,0)+COLUMN(E$1),1))</f>
        <v>#N/A</v>
      </c>
      <c r="BC27" t="e">
        <f>IF($A27="","", INDEX(CS!$B$1:$B$12828,MATCH($A27,CS!$B:$B,0)+COLUMN(F$1),1))</f>
        <v>#N/A</v>
      </c>
      <c r="BD27" t="e">
        <f>IF($A27="","", INDEX(CS!$B$1:$B$12828,MATCH($A27,CS!$B:$B,0)+COLUMN(I$1),1))</f>
        <v>#N/A</v>
      </c>
      <c r="BE27" t="e">
        <f>IF($A27="","", INDEX(CS!$B$1:$B$12828,MATCH($A27,CS!$B:$B,0)+COLUMN(J$1),1))</f>
        <v>#N/A</v>
      </c>
      <c r="BF27" t="e">
        <f>IF($A27="","", INDEX(CS!$B$1:$B$12828,MATCH($A27,CS!$B:$B,0)+COLUMN(K$1),1))</f>
        <v>#N/A</v>
      </c>
      <c r="BG27" t="e">
        <f>IF($A27="","", INDEX(CS!$B$1:$B$12828,MATCH($A27,CS!$B:$B,0)+COLUMN(L$1),1))</f>
        <v>#N/A</v>
      </c>
      <c r="BR27" t="s">
        <v>948</v>
      </c>
      <c r="BS27" s="53">
        <v>70</v>
      </c>
      <c r="BT27" s="52">
        <v>30</v>
      </c>
      <c r="BU27" s="52">
        <v>20</v>
      </c>
      <c r="BV27" s="52">
        <v>10</v>
      </c>
      <c r="BW27" s="52">
        <v>10</v>
      </c>
      <c r="CI27" t="s">
        <v>926</v>
      </c>
    </row>
    <row r="28" spans="1:87" outlineLevel="1" x14ac:dyDescent="0.4">
      <c r="D28" t="str">
        <f t="shared" si="0"/>
        <v>0/0/0</v>
      </c>
      <c r="E28">
        <v>1</v>
      </c>
      <c r="AX28" t="str">
        <f>IF($A28="","", INDEX(CS!$B$1:$B$12828,MATCH($A28,CS!$B:$B,0)+COLUMN(A$1),1))</f>
        <v/>
      </c>
      <c r="AY28" t="str">
        <f>IF($A28="","", INDEX(CS!$B$1:$B$12828,MATCH($A28,CS!$B:$B,0)+COLUMN(B$1),1))</f>
        <v/>
      </c>
      <c r="AZ28" t="str">
        <f>IF($A28="","", INDEX(CS!$B$1:$B$12828,MATCH($A28,CS!$B:$B,0)+COLUMN(C$1),1))</f>
        <v/>
      </c>
      <c r="BA28" t="str">
        <f>IF($A28="","", INDEX(CS!$B$1:$B$12828,MATCH($A28,CS!$B:$B,0)+COLUMN(D$1),1))</f>
        <v/>
      </c>
      <c r="BB28" t="str">
        <f>IF($A28="","", INDEX(CS!$B$1:$B$12828,MATCH($A28,CS!$B:$B,0)+COLUMN(E$1),1))</f>
        <v/>
      </c>
      <c r="BC28" t="str">
        <f>IF($A28="","", INDEX(CS!$B$1:$B$12828,MATCH($A28,CS!$B:$B,0)+COLUMN(F$1),1))</f>
        <v/>
      </c>
      <c r="BD28" t="str">
        <f>IF($A28="","", INDEX(CS!$B$1:$B$12828,MATCH($A28,CS!$B:$B,0)+COLUMN(I$1),1))</f>
        <v/>
      </c>
      <c r="BE28" t="str">
        <f>IF($A28="","", INDEX(CS!$B$1:$B$12828,MATCH($A28,CS!$B:$B,0)+COLUMN(J$1),1))</f>
        <v/>
      </c>
      <c r="BF28" t="str">
        <f>IF($A28="","", INDEX(CS!$B$1:$B$12828,MATCH($A28,CS!$B:$B,0)+COLUMN(K$1),1))</f>
        <v/>
      </c>
      <c r="BG28" t="str">
        <f>IF($A28="","", INDEX(CS!$B$1:$B$12828,MATCH($A28,CS!$B:$B,0)+COLUMN(L$1),1))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INDEX(CS!$B$1:$B$12828,MATCH($A29,CS!$B:$B,0)+COLUMN(A$1),1))</f>
        <v>0</v>
      </c>
      <c r="AY29">
        <f>IF($A29="","", INDEX(CS!$B$1:$B$12828,MATCH($A29,CS!$B:$B,0)+COLUMN(B$1),1))</f>
        <v>0</v>
      </c>
      <c r="AZ29">
        <f>IF($A29="","", INDEX(CS!$B$1:$B$12828,MATCH($A29,CS!$B:$B,0)+COLUMN(C$1),1))</f>
        <v>0</v>
      </c>
      <c r="BA29">
        <f>IF($A29="","", INDEX(CS!$B$1:$B$12828,MATCH($A29,CS!$B:$B,0)+COLUMN(D$1),1))</f>
        <v>0</v>
      </c>
      <c r="BB29">
        <f>IF($A29="","", INDEX(CS!$B$1:$B$12828,MATCH($A29,CS!$B:$B,0)+COLUMN(E$1),1))</f>
        <v>0</v>
      </c>
      <c r="BC29">
        <f>IF($A29="","", INDEX(CS!$B$1:$B$12828,MATCH($A29,CS!$B:$B,0)+COLUMN(F$1),1))</f>
        <v>0</v>
      </c>
      <c r="BD29">
        <f>IF($A29="","", INDEX(CS!$B$1:$B$12828,MATCH($A29,CS!$B:$B,0)+COLUMN(I$1),1))</f>
        <v>0</v>
      </c>
      <c r="BE29">
        <f>IF($A29="","", INDEX(CS!$B$1:$B$12828,MATCH($A29,CS!$B:$B,0)+COLUMN(J$1),1))</f>
        <v>0</v>
      </c>
      <c r="BF29">
        <f>IF($A29="","", INDEX(CS!$B$1:$B$12828,MATCH($A29,CS!$B:$B,0)+COLUMN(K$1),1))</f>
        <v>0</v>
      </c>
      <c r="BG29">
        <f>IF($A29="","", INDEX(CS!$B$1:$B$12828,MATCH($A29,CS!$B:$B,0)+COLUMN(L$1),1))</f>
        <v>0</v>
      </c>
      <c r="BR29" t="s">
        <v>946</v>
      </c>
      <c r="BS29" s="53">
        <v>30</v>
      </c>
      <c r="BT29" s="52">
        <v>0</v>
      </c>
      <c r="BU29" s="52">
        <v>0</v>
      </c>
      <c r="BV29" s="52">
        <v>50</v>
      </c>
      <c r="BW29" s="52">
        <v>25</v>
      </c>
      <c r="BX29" s="52">
        <v>10</v>
      </c>
      <c r="CI29" t="s">
        <v>927</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INDEX(CS!$B$1:$B$12828,MATCH($A30,CS!$B:$B,0)+COLUMN(A$1),1))</f>
        <v>0</v>
      </c>
      <c r="AY30">
        <f>IF($A30="","", INDEX(CS!$B$1:$B$12828,MATCH($A30,CS!$B:$B,0)+COLUMN(B$1),1))</f>
        <v>0</v>
      </c>
      <c r="AZ30">
        <f>IF($A30="","", INDEX(CS!$B$1:$B$12828,MATCH($A30,CS!$B:$B,0)+COLUMN(C$1),1))</f>
        <v>0</v>
      </c>
      <c r="BA30">
        <f>IF($A30="","", INDEX(CS!$B$1:$B$12828,MATCH($A30,CS!$B:$B,0)+COLUMN(D$1),1))</f>
        <v>0</v>
      </c>
      <c r="BB30">
        <f>IF($A30="","", INDEX(CS!$B$1:$B$12828,MATCH($A30,CS!$B:$B,0)+COLUMN(E$1),1))</f>
        <v>0</v>
      </c>
      <c r="BC30">
        <f>IF($A30="","", INDEX(CS!$B$1:$B$12828,MATCH($A30,CS!$B:$B,0)+COLUMN(F$1),1))</f>
        <v>0</v>
      </c>
      <c r="BD30">
        <f>IF($A30="","", INDEX(CS!$B$1:$B$12828,MATCH($A30,CS!$B:$B,0)+COLUMN(I$1),1))</f>
        <v>0</v>
      </c>
      <c r="BE30">
        <f>IF($A30="","", INDEX(CS!$B$1:$B$12828,MATCH($A30,CS!$B:$B,0)+COLUMN(J$1),1))</f>
        <v>0</v>
      </c>
      <c r="BF30">
        <f>IF($A30="","", INDEX(CS!$B$1:$B$12828,MATCH($A30,CS!$B:$B,0)+COLUMN(K$1),1))</f>
        <v>0</v>
      </c>
      <c r="BG30">
        <f>IF($A30="","", INDEX(CS!$B$1:$B$12828,MATCH($A30,CS!$B:$B,0)+COLUMN(L$1),1))</f>
        <v>0</v>
      </c>
      <c r="BR30" t="s">
        <v>946</v>
      </c>
      <c r="BS30" s="53">
        <v>30</v>
      </c>
      <c r="BT30" s="52">
        <v>10</v>
      </c>
      <c r="BU30" s="52">
        <v>30</v>
      </c>
      <c r="BV30" s="52">
        <v>10</v>
      </c>
      <c r="BW30" s="52">
        <v>10</v>
      </c>
      <c r="BX30" s="52">
        <v>10</v>
      </c>
      <c r="CI30" t="s">
        <v>928</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INDEX(CS!$B$1:$B$12828,MATCH($A31,CS!$B:$B,0)+COLUMN(A$1),1))</f>
        <v>0</v>
      </c>
      <c r="AY31">
        <f>IF($A31="","", INDEX(CS!$B$1:$B$12828,MATCH($A31,CS!$B:$B,0)+COLUMN(B$1),1))</f>
        <v>0</v>
      </c>
      <c r="AZ31">
        <f>IF($A31="","", INDEX(CS!$B$1:$B$12828,MATCH($A31,CS!$B:$B,0)+COLUMN(C$1),1))</f>
        <v>0</v>
      </c>
      <c r="BA31">
        <f>IF($A31="","", INDEX(CS!$B$1:$B$12828,MATCH($A31,CS!$B:$B,0)+COLUMN(D$1),1))</f>
        <v>0</v>
      </c>
      <c r="BB31">
        <f>IF($A31="","", INDEX(CS!$B$1:$B$12828,MATCH($A31,CS!$B:$B,0)+COLUMN(E$1),1))</f>
        <v>0</v>
      </c>
      <c r="BC31">
        <f>IF($A31="","", INDEX(CS!$B$1:$B$12828,MATCH($A31,CS!$B:$B,0)+COLUMN(F$1),1))</f>
        <v>0</v>
      </c>
      <c r="BD31">
        <f>IF($A31="","", INDEX(CS!$B$1:$B$12828,MATCH($A31,CS!$B:$B,0)+COLUMN(I$1),1))</f>
        <v>0</v>
      </c>
      <c r="BE31">
        <f>IF($A31="","", INDEX(CS!$B$1:$B$12828,MATCH($A31,CS!$B:$B,0)+COLUMN(J$1),1))</f>
        <v>0</v>
      </c>
      <c r="BF31">
        <f>IF($A31="","", INDEX(CS!$B$1:$B$12828,MATCH($A31,CS!$B:$B,0)+COLUMN(K$1),1))</f>
        <v>0</v>
      </c>
      <c r="BG31">
        <f>IF($A31="","", INDEX(CS!$B$1:$B$12828,MATCH($A31,CS!$B:$B,0)+COLUMN(L$1),1))</f>
        <v>0</v>
      </c>
      <c r="BR31" t="s">
        <v>949</v>
      </c>
      <c r="BS31" s="53">
        <v>50</v>
      </c>
      <c r="BT31" s="52">
        <v>0</v>
      </c>
      <c r="BU31" s="52">
        <v>0</v>
      </c>
      <c r="BV31" s="52">
        <v>50</v>
      </c>
      <c r="BW31" s="52">
        <v>25</v>
      </c>
      <c r="BX31" s="52">
        <v>0</v>
      </c>
      <c r="BY31" s="52">
        <v>50</v>
      </c>
      <c r="CI31" t="s">
        <v>929</v>
      </c>
    </row>
    <row r="32" spans="1:87" outlineLevel="1" x14ac:dyDescent="0.4">
      <c r="C32" t="s">
        <v>62</v>
      </c>
      <c r="D32" t="str">
        <f t="shared" si="0"/>
        <v>0/0/0</v>
      </c>
      <c r="E32">
        <v>1</v>
      </c>
      <c r="AX32" t="str">
        <f>IF($A32="","", INDEX(CS!$B$1:$B$12828,MATCH($A32,CS!$B:$B,0)+COLUMN(A$1),1))</f>
        <v/>
      </c>
      <c r="AY32" t="str">
        <f>IF($A32="","", INDEX(CS!$B$1:$B$12828,MATCH($A32,CS!$B:$B,0)+COLUMN(B$1),1))</f>
        <v/>
      </c>
      <c r="AZ32" t="str">
        <f>IF($A32="","", INDEX(CS!$B$1:$B$12828,MATCH($A32,CS!$B:$B,0)+COLUMN(C$1),1))</f>
        <v/>
      </c>
      <c r="BA32" t="str">
        <f>IF($A32="","", INDEX(CS!$B$1:$B$12828,MATCH($A32,CS!$B:$B,0)+COLUMN(D$1),1))</f>
        <v/>
      </c>
      <c r="BB32" t="str">
        <f>IF($A32="","", INDEX(CS!$B$1:$B$12828,MATCH($A32,CS!$B:$B,0)+COLUMN(E$1),1))</f>
        <v/>
      </c>
      <c r="BC32" t="str">
        <f>IF($A32="","", INDEX(CS!$B$1:$B$12828,MATCH($A32,CS!$B:$B,0)+COLUMN(F$1),1))</f>
        <v/>
      </c>
      <c r="BD32" t="str">
        <f>IF($A32="","", INDEX(CS!$B$1:$B$12828,MATCH($A32,CS!$B:$B,0)+COLUMN(I$1),1))</f>
        <v/>
      </c>
      <c r="BE32" t="str">
        <f>IF($A32="","", INDEX(CS!$B$1:$B$12828,MATCH($A32,CS!$B:$B,0)+COLUMN(J$1),1))</f>
        <v/>
      </c>
      <c r="BF32" t="str">
        <f>IF($A32="","", INDEX(CS!$B$1:$B$12828,MATCH($A32,CS!$B:$B,0)+COLUMN(K$1),1))</f>
        <v/>
      </c>
      <c r="BG32" t="str">
        <f>IF($A32="","", INDEX(CS!$B$1:$B$12828,MATCH($A32,CS!$B:$B,0)+COLUMN(L$1),1))</f>
        <v/>
      </c>
      <c r="BS32" s="17"/>
      <c r="BT32" s="52"/>
      <c r="BU32" s="52"/>
      <c r="BV32" s="52"/>
      <c r="BW32" s="52"/>
    </row>
    <row r="33" spans="1:87" outlineLevel="1" x14ac:dyDescent="0.4">
      <c r="A33" t="s">
        <v>205</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INDEX(CS!$B$1:$B$12828,MATCH($A33,CS!$B:$B,0)+COLUMN(A$1),1))</f>
        <v>0</v>
      </c>
      <c r="AY33">
        <f>IF($A33="","", INDEX(CS!$B$1:$B$12828,MATCH($A33,CS!$B:$B,0)+COLUMN(B$1),1))</f>
        <v>0</v>
      </c>
      <c r="AZ33">
        <f>IF($A33="","", INDEX(CS!$B$1:$B$12828,MATCH($A33,CS!$B:$B,0)+COLUMN(C$1),1))</f>
        <v>0</v>
      </c>
      <c r="BA33">
        <f>IF($A33="","", INDEX(CS!$B$1:$B$12828,MATCH($A33,CS!$B:$B,0)+COLUMN(D$1),1))</f>
        <v>0</v>
      </c>
      <c r="BB33">
        <f>IF($A33="","", INDEX(CS!$B$1:$B$12828,MATCH($A33,CS!$B:$B,0)+COLUMN(E$1),1))</f>
        <v>0</v>
      </c>
      <c r="BC33">
        <f>IF($A33="","", INDEX(CS!$B$1:$B$12828,MATCH($A33,CS!$B:$B,0)+COLUMN(F$1),1))</f>
        <v>0</v>
      </c>
      <c r="BD33">
        <f>IF($A33="","", INDEX(CS!$B$1:$B$12828,MATCH($A33,CS!$B:$B,0)+COLUMN(I$1),1))</f>
        <v>0</v>
      </c>
      <c r="BE33">
        <f>IF($A33="","", INDEX(CS!$B$1:$B$12828,MATCH($A33,CS!$B:$B,0)+COLUMN(J$1),1))</f>
        <v>0</v>
      </c>
      <c r="BF33">
        <f>IF($A33="","", INDEX(CS!$B$1:$B$12828,MATCH($A33,CS!$B:$B,0)+COLUMN(K$1),1))</f>
        <v>0</v>
      </c>
      <c r="BG33">
        <f>IF($A33="","", INDEX(CS!$B$1:$B$12828,MATCH($A33,CS!$B:$B,0)+COLUMN(L$1),1))</f>
        <v>0</v>
      </c>
      <c r="BR33" t="s">
        <v>949</v>
      </c>
      <c r="BS33" s="53">
        <v>50</v>
      </c>
      <c r="BV33" s="52">
        <v>75</v>
      </c>
      <c r="CI33" t="s">
        <v>1039</v>
      </c>
    </row>
    <row r="34" spans="1:87" outlineLevel="1" x14ac:dyDescent="0.4">
      <c r="A34" t="s">
        <v>206</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INDEX(CS!$B$1:$B$12828,MATCH($A34,CS!$B:$B,0)+COLUMN(A$1),1))</f>
        <v>0</v>
      </c>
      <c r="AY34">
        <f>IF($A34="","", INDEX(CS!$B$1:$B$12828,MATCH($A34,CS!$B:$B,0)+COLUMN(B$1),1))</f>
        <v>0</v>
      </c>
      <c r="AZ34">
        <f>IF($A34="","", INDEX(CS!$B$1:$B$12828,MATCH($A34,CS!$B:$B,0)+COLUMN(C$1),1))</f>
        <v>0</v>
      </c>
      <c r="BA34">
        <f>IF($A34="","", INDEX(CS!$B$1:$B$12828,MATCH($A34,CS!$B:$B,0)+COLUMN(D$1),1))</f>
        <v>0</v>
      </c>
      <c r="BB34">
        <f>IF($A34="","", INDEX(CS!$B$1:$B$12828,MATCH($A34,CS!$B:$B,0)+COLUMN(E$1),1))</f>
        <v>0</v>
      </c>
      <c r="BC34">
        <f>IF($A34="","", INDEX(CS!$B$1:$B$12828,MATCH($A34,CS!$B:$B,0)+COLUMN(F$1),1))</f>
        <v>0</v>
      </c>
      <c r="BD34">
        <f>IF($A34="","", INDEX(CS!$B$1:$B$12828,MATCH($A34,CS!$B:$B,0)+COLUMN(I$1),1))</f>
        <v>0</v>
      </c>
      <c r="BE34">
        <f>IF($A34="","", INDEX(CS!$B$1:$B$12828,MATCH($A34,CS!$B:$B,0)+COLUMN(J$1),1))</f>
        <v>0</v>
      </c>
      <c r="BF34">
        <f>IF($A34="","", INDEX(CS!$B$1:$B$12828,MATCH($A34,CS!$B:$B,0)+COLUMN(K$1),1))</f>
        <v>0</v>
      </c>
      <c r="BG34">
        <f>IF($A34="","", INDEX(CS!$B$1:$B$12828,MATCH($A34,CS!$B:$B,0)+COLUMN(L$1),1))</f>
        <v>0</v>
      </c>
      <c r="BR34" t="s">
        <v>949</v>
      </c>
      <c r="BS34" s="53">
        <v>50</v>
      </c>
      <c r="CI34" t="s">
        <v>1040</v>
      </c>
    </row>
    <row r="35" spans="1:87" outlineLevel="1" x14ac:dyDescent="0.4">
      <c r="A35" t="s">
        <v>208</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INDEX(CS!$B$1:$B$12828,MATCH($A35,CS!$B:$B,0)+COLUMN(A$1),1))</f>
        <v>0</v>
      </c>
      <c r="AY35">
        <f>IF($A35="","", INDEX(CS!$B$1:$B$12828,MATCH($A35,CS!$B:$B,0)+COLUMN(B$1),1))</f>
        <v>0</v>
      </c>
      <c r="AZ35">
        <f>IF($A35="","", INDEX(CS!$B$1:$B$12828,MATCH($A35,CS!$B:$B,0)+COLUMN(C$1),1))</f>
        <v>0</v>
      </c>
      <c r="BA35">
        <f>IF($A35="","", INDEX(CS!$B$1:$B$12828,MATCH($A35,CS!$B:$B,0)+COLUMN(D$1),1))</f>
        <v>0</v>
      </c>
      <c r="BB35">
        <f>IF($A35="","", INDEX(CS!$B$1:$B$12828,MATCH($A35,CS!$B:$B,0)+COLUMN(E$1),1))</f>
        <v>0</v>
      </c>
      <c r="BC35">
        <f>IF($A35="","", INDEX(CS!$B$1:$B$12828,MATCH($A35,CS!$B:$B,0)+COLUMN(F$1),1))</f>
        <v>0</v>
      </c>
      <c r="BD35">
        <f>IF($A35="","", INDEX(CS!$B$1:$B$12828,MATCH($A35,CS!$B:$B,0)+COLUMN(I$1),1))</f>
        <v>0</v>
      </c>
      <c r="BE35">
        <f>IF($A35="","", INDEX(CS!$B$1:$B$12828,MATCH($A35,CS!$B:$B,0)+COLUMN(J$1),1))</f>
        <v>0</v>
      </c>
      <c r="BF35">
        <f>IF($A35="","", INDEX(CS!$B$1:$B$12828,MATCH($A35,CS!$B:$B,0)+COLUMN(K$1),1))</f>
        <v>0</v>
      </c>
      <c r="BG35">
        <f>IF($A35="","", INDEX(CS!$B$1:$B$12828,MATCH($A35,CS!$B:$B,0)+COLUMN(L$1),1))</f>
        <v>0</v>
      </c>
      <c r="BR35" t="s">
        <v>946</v>
      </c>
      <c r="BS35" s="53">
        <v>25</v>
      </c>
      <c r="BX35">
        <v>25</v>
      </c>
      <c r="CD35" t="s">
        <v>960</v>
      </c>
      <c r="CE35" t="s">
        <v>960</v>
      </c>
      <c r="CF35" t="s">
        <v>960</v>
      </c>
      <c r="CI35" t="s">
        <v>1041</v>
      </c>
    </row>
    <row r="36" spans="1:87" outlineLevel="1" x14ac:dyDescent="0.4">
      <c r="C36" t="s">
        <v>62</v>
      </c>
      <c r="D36" t="str">
        <f t="shared" si="2"/>
        <v>0/0/0</v>
      </c>
      <c r="E36">
        <v>1</v>
      </c>
      <c r="AX36" t="str">
        <f>IF($A36="","", INDEX(CS!$B$1:$B$12828,MATCH($A36,CS!$B:$B,0)+COLUMN(A$1),1))</f>
        <v/>
      </c>
      <c r="AY36" t="str">
        <f>IF($A36="","", INDEX(CS!$B$1:$B$12828,MATCH($A36,CS!$B:$B,0)+COLUMN(B$1),1))</f>
        <v/>
      </c>
      <c r="AZ36" t="str">
        <f>IF($A36="","", INDEX(CS!$B$1:$B$12828,MATCH($A36,CS!$B:$B,0)+COLUMN(C$1),1))</f>
        <v/>
      </c>
      <c r="BA36" t="str">
        <f>IF($A36="","", INDEX(CS!$B$1:$B$12828,MATCH($A36,CS!$B:$B,0)+COLUMN(D$1),1))</f>
        <v/>
      </c>
      <c r="BB36" t="str">
        <f>IF($A36="","", INDEX(CS!$B$1:$B$12828,MATCH($A36,CS!$B:$B,0)+COLUMN(E$1),1))</f>
        <v/>
      </c>
      <c r="BC36" t="str">
        <f>IF($A36="","", INDEX(CS!$B$1:$B$12828,MATCH($A36,CS!$B:$B,0)+COLUMN(F$1),1))</f>
        <v/>
      </c>
      <c r="BD36" t="str">
        <f>IF($A36="","", INDEX(CS!$B$1:$B$12828,MATCH($A36,CS!$B:$B,0)+COLUMN(I$1),1))</f>
        <v/>
      </c>
      <c r="BE36" t="str">
        <f>IF($A36="","", INDEX(CS!$B$1:$B$12828,MATCH($A36,CS!$B:$B,0)+COLUMN(J$1),1))</f>
        <v/>
      </c>
      <c r="BF36" t="str">
        <f>IF($A36="","", INDEX(CS!$B$1:$B$12828,MATCH($A36,CS!$B:$B,0)+COLUMN(K$1),1))</f>
        <v/>
      </c>
      <c r="BG36" t="str">
        <f>IF($A36="","", INDEX(CS!$B$1:$B$12828,MATCH($A36,CS!$B:$B,0)+COLUMN(L$1),1))</f>
        <v/>
      </c>
    </row>
    <row r="37" spans="1:87" outlineLevel="1" x14ac:dyDescent="0.4">
      <c r="C37" t="s">
        <v>62</v>
      </c>
      <c r="D37" t="str">
        <f t="shared" si="2"/>
        <v>0/0/0</v>
      </c>
      <c r="E37">
        <v>1</v>
      </c>
      <c r="AX37" t="str">
        <f>IF($A37="","", INDEX(CS!$B$1:$B$12828,MATCH($A37,CS!$B:$B,0)+COLUMN(A$1),1))</f>
        <v/>
      </c>
      <c r="AY37" t="str">
        <f>IF($A37="","", INDEX(CS!$B$1:$B$12828,MATCH($A37,CS!$B:$B,0)+COLUMN(B$1),1))</f>
        <v/>
      </c>
      <c r="AZ37" t="str">
        <f>IF($A37="","", INDEX(CS!$B$1:$B$12828,MATCH($A37,CS!$B:$B,0)+COLUMN(C$1),1))</f>
        <v/>
      </c>
      <c r="BA37" t="str">
        <f>IF($A37="","", INDEX(CS!$B$1:$B$12828,MATCH($A37,CS!$B:$B,0)+COLUMN(D$1),1))</f>
        <v/>
      </c>
      <c r="BB37" t="str">
        <f>IF($A37="","", INDEX(CS!$B$1:$B$12828,MATCH($A37,CS!$B:$B,0)+COLUMN(E$1),1))</f>
        <v/>
      </c>
      <c r="BC37" t="str">
        <f>IF($A37="","", INDEX(CS!$B$1:$B$12828,MATCH($A37,CS!$B:$B,0)+COLUMN(F$1),1))</f>
        <v/>
      </c>
      <c r="BD37" t="str">
        <f>IF($A37="","", INDEX(CS!$B$1:$B$12828,MATCH($A37,CS!$B:$B,0)+COLUMN(I$1),1))</f>
        <v/>
      </c>
      <c r="BE37" t="str">
        <f>IF($A37="","", INDEX(CS!$B$1:$B$12828,MATCH($A37,CS!$B:$B,0)+COLUMN(J$1),1))</f>
        <v/>
      </c>
      <c r="BF37" t="str">
        <f>IF($A37="","", INDEX(CS!$B$1:$B$12828,MATCH($A37,CS!$B:$B,0)+COLUMN(K$1),1))</f>
        <v/>
      </c>
      <c r="BG37" t="str">
        <f>IF($A37="","", INDEX(CS!$B$1:$B$12828,MATCH($A37,CS!$B:$B,0)+COLUMN(L$1),1))</f>
        <v/>
      </c>
    </row>
    <row r="38" spans="1:87" outlineLevel="1" x14ac:dyDescent="0.4">
      <c r="C38" t="s">
        <v>62</v>
      </c>
      <c r="D38" t="str">
        <f t="shared" si="2"/>
        <v>0/0/0</v>
      </c>
      <c r="E38">
        <v>1</v>
      </c>
      <c r="AX38" t="str">
        <f>IF($A38="","", INDEX(CS!$B$1:$B$12828,MATCH($A38,CS!$B:$B,0)+COLUMN(A$1),1))</f>
        <v/>
      </c>
      <c r="AY38" t="str">
        <f>IF($A38="","", INDEX(CS!$B$1:$B$12828,MATCH($A38,CS!$B:$B,0)+COLUMN(B$1),1))</f>
        <v/>
      </c>
      <c r="AZ38" t="str">
        <f>IF($A38="","", INDEX(CS!$B$1:$B$12828,MATCH($A38,CS!$B:$B,0)+COLUMN(C$1),1))</f>
        <v/>
      </c>
      <c r="BA38" t="str">
        <f>IF($A38="","", INDEX(CS!$B$1:$B$12828,MATCH($A38,CS!$B:$B,0)+COLUMN(D$1),1))</f>
        <v/>
      </c>
      <c r="BB38" t="str">
        <f>IF($A38="","", INDEX(CS!$B$1:$B$12828,MATCH($A38,CS!$B:$B,0)+COLUMN(E$1),1))</f>
        <v/>
      </c>
      <c r="BC38" t="str">
        <f>IF($A38="","", INDEX(CS!$B$1:$B$12828,MATCH($A38,CS!$B:$B,0)+COLUMN(F$1),1))</f>
        <v/>
      </c>
      <c r="BD38" t="str">
        <f>IF($A38="","", INDEX(CS!$B$1:$B$12828,MATCH($A38,CS!$B:$B,0)+COLUMN(I$1),1))</f>
        <v/>
      </c>
      <c r="BE38" t="str">
        <f>IF($A38="","", INDEX(CS!$B$1:$B$12828,MATCH($A38,CS!$B:$B,0)+COLUMN(J$1),1))</f>
        <v/>
      </c>
      <c r="BF38" t="str">
        <f>IF($A38="","", INDEX(CS!$B$1:$B$12828,MATCH($A38,CS!$B:$B,0)+COLUMN(K$1),1))</f>
        <v/>
      </c>
      <c r="BG38" t="str">
        <f>IF($A38="","", INDEX(CS!$B$1:$B$12828,MATCH($A38,CS!$B:$B,0)+COLUMN(L$1),1))</f>
        <v/>
      </c>
    </row>
    <row r="39" spans="1:87" outlineLevel="1" x14ac:dyDescent="0.4">
      <c r="C39" t="s">
        <v>62</v>
      </c>
      <c r="D39" t="str">
        <f t="shared" si="2"/>
        <v>0/0/0</v>
      </c>
      <c r="E39">
        <v>1</v>
      </c>
      <c r="AX39" t="str">
        <f>IF($A39="","", INDEX(CS!$B$1:$B$12828,MATCH($A39,CS!$B:$B,0)+COLUMN(A$1),1))</f>
        <v/>
      </c>
      <c r="AY39" t="str">
        <f>IF($A39="","", INDEX(CS!$B$1:$B$12828,MATCH($A39,CS!$B:$B,0)+COLUMN(B$1),1))</f>
        <v/>
      </c>
      <c r="AZ39" t="str">
        <f>IF($A39="","", INDEX(CS!$B$1:$B$12828,MATCH($A39,CS!$B:$B,0)+COLUMN(C$1),1))</f>
        <v/>
      </c>
      <c r="BA39" t="str">
        <f>IF($A39="","", INDEX(CS!$B$1:$B$12828,MATCH($A39,CS!$B:$B,0)+COLUMN(D$1),1))</f>
        <v/>
      </c>
      <c r="BB39" t="str">
        <f>IF($A39="","", INDEX(CS!$B$1:$B$12828,MATCH($A39,CS!$B:$B,0)+COLUMN(E$1),1))</f>
        <v/>
      </c>
      <c r="BC39" t="str">
        <f>IF($A39="","", INDEX(CS!$B$1:$B$12828,MATCH($A39,CS!$B:$B,0)+COLUMN(F$1),1))</f>
        <v/>
      </c>
      <c r="BD39" t="str">
        <f>IF($A39="","", INDEX(CS!$B$1:$B$12828,MATCH($A39,CS!$B:$B,0)+COLUMN(I$1),1))</f>
        <v/>
      </c>
      <c r="BE39" t="str">
        <f>IF($A39="","", INDEX(CS!$B$1:$B$12828,MATCH($A39,CS!$B:$B,0)+COLUMN(J$1),1))</f>
        <v/>
      </c>
      <c r="BF39" t="str">
        <f>IF($A39="","", INDEX(CS!$B$1:$B$12828,MATCH($A39,CS!$B:$B,0)+COLUMN(K$1),1))</f>
        <v/>
      </c>
      <c r="BG39" t="str">
        <f>IF($A39="","", INDEX(CS!$B$1:$B$12828,MATCH($A39,CS!$B:$B,0)+COLUMN(L$1),1))</f>
        <v/>
      </c>
    </row>
    <row r="40" spans="1:87" outlineLevel="1" x14ac:dyDescent="0.4">
      <c r="C40" t="s">
        <v>62</v>
      </c>
      <c r="D40" t="str">
        <f t="shared" si="2"/>
        <v>0/0/0</v>
      </c>
      <c r="E40">
        <v>1</v>
      </c>
      <c r="AX40" t="str">
        <f>IF($A40="","", INDEX(CS!$B$1:$B$12828,MATCH($A40,CS!$B:$B,0)+COLUMN(A$1),1))</f>
        <v/>
      </c>
      <c r="AY40" t="str">
        <f>IF($A40="","", INDEX(CS!$B$1:$B$12828,MATCH($A40,CS!$B:$B,0)+COLUMN(B$1),1))</f>
        <v/>
      </c>
      <c r="AZ40" t="str">
        <f>IF($A40="","", INDEX(CS!$B$1:$B$12828,MATCH($A40,CS!$B:$B,0)+COLUMN(C$1),1))</f>
        <v/>
      </c>
      <c r="BA40" t="str">
        <f>IF($A40="","", INDEX(CS!$B$1:$B$12828,MATCH($A40,CS!$B:$B,0)+COLUMN(D$1),1))</f>
        <v/>
      </c>
      <c r="BB40" t="str">
        <f>IF($A40="","", INDEX(CS!$B$1:$B$12828,MATCH($A40,CS!$B:$B,0)+COLUMN(E$1),1))</f>
        <v/>
      </c>
      <c r="BC40" t="str">
        <f>IF($A40="","", INDEX(CS!$B$1:$B$12828,MATCH($A40,CS!$B:$B,0)+COLUMN(F$1),1))</f>
        <v/>
      </c>
      <c r="BD40" t="str">
        <f>IF($A40="","", INDEX(CS!$B$1:$B$12828,MATCH($A40,CS!$B:$B,0)+COLUMN(I$1),1))</f>
        <v/>
      </c>
      <c r="BE40" t="str">
        <f>IF($A40="","", INDEX(CS!$B$1:$B$12828,MATCH($A40,CS!$B:$B,0)+COLUMN(J$1),1))</f>
        <v/>
      </c>
      <c r="BF40" t="str">
        <f>IF($A40="","", INDEX(CS!$B$1:$B$12828,MATCH($A40,CS!$B:$B,0)+COLUMN(K$1),1))</f>
        <v/>
      </c>
      <c r="BG40" t="str">
        <f>IF($A40="","", INDEX(CS!$B$1:$B$12828,MATCH($A40,CS!$B:$B,0)+COLUMN(L$1),1))</f>
        <v/>
      </c>
    </row>
    <row r="41" spans="1:87" x14ac:dyDescent="0.4">
      <c r="C41" t="s">
        <v>62</v>
      </c>
      <c r="D41" t="str">
        <f t="shared" si="2"/>
        <v>0/0/0</v>
      </c>
      <c r="E41">
        <v>1</v>
      </c>
      <c r="AX41" t="str">
        <f>IF($A41="","", INDEX(CS!$B$1:$B$12828,MATCH($A41,CS!$B:$B,0)+COLUMN(A$1),1))</f>
        <v/>
      </c>
      <c r="AY41" t="str">
        <f>IF($A41="","", INDEX(CS!$B$1:$B$12828,MATCH($A41,CS!$B:$B,0)+COLUMN(B$1),1))</f>
        <v/>
      </c>
      <c r="AZ41" t="str">
        <f>IF($A41="","", INDEX(CS!$B$1:$B$12828,MATCH($A41,CS!$B:$B,0)+COLUMN(C$1),1))</f>
        <v/>
      </c>
      <c r="BA41" t="str">
        <f>IF($A41="","", INDEX(CS!$B$1:$B$12828,MATCH($A41,CS!$B:$B,0)+COLUMN(D$1),1))</f>
        <v/>
      </c>
      <c r="BB41" t="str">
        <f>IF($A41="","", INDEX(CS!$B$1:$B$12828,MATCH($A41,CS!$B:$B,0)+COLUMN(E$1),1))</f>
        <v/>
      </c>
      <c r="BC41" t="str">
        <f>IF($A41="","", INDEX(CS!$B$1:$B$12828,MATCH($A41,CS!$B:$B,0)+COLUMN(F$1),1))</f>
        <v/>
      </c>
      <c r="BD41" t="str">
        <f>IF($A41="","", INDEX(CS!$B$1:$B$12828,MATCH($A41,CS!$B:$B,0)+COLUMN(I$1),1))</f>
        <v/>
      </c>
      <c r="BE41" t="str">
        <f>IF($A41="","", INDEX(CS!$B$1:$B$12828,MATCH($A41,CS!$B:$B,0)+COLUMN(J$1),1))</f>
        <v/>
      </c>
      <c r="BF41" t="str">
        <f>IF($A41="","", INDEX(CS!$B$1:$B$12828,MATCH($A41,CS!$B:$B,0)+COLUMN(K$1),1))</f>
        <v/>
      </c>
      <c r="BG41" t="str">
        <f>IF($A41="","", INDEX(CS!$B$1:$B$12828,MATCH($A41,CS!$B:$B,0)+COLUMN(L$1),1))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INDEX(CS!$B$1:$B$12828,MATCH($A42,CS!$B:$B,0)+COLUMN(A$1),1))</f>
        <v>炎の拳</v>
      </c>
      <c r="AY42">
        <f>IF($A42="","", INDEX(CS!$B$1:$B$12828,MATCH($A42,CS!$B:$B,0)+COLUMN(B$1),1))</f>
        <v>0</v>
      </c>
      <c r="AZ42" t="str">
        <f>IF($A42="","", INDEX(CS!$B$1:$B$12828,MATCH($A42,CS!$B:$B,0)+COLUMN(C$1),1))</f>
        <v>浮遊</v>
      </c>
      <c r="BA42">
        <f>IF($A42="","", INDEX(CS!$B$1:$B$12828,MATCH($A42,CS!$B:$B,0)+COLUMN(D$1),1))</f>
        <v>0</v>
      </c>
      <c r="BB42">
        <f>IF($A42="","", INDEX(CS!$B$1:$B$12828,MATCH($A42,CS!$B:$B,0)+COLUMN(E$1),1))</f>
        <v>0</v>
      </c>
      <c r="BC42" t="str">
        <f>IF($A42="","", INDEX(CS!$B$1:$B$12828,MATCH($A42,CS!$B:$B,0)+COLUMN(F$1),1))</f>
        <v>炎の魔力</v>
      </c>
      <c r="BD42" t="str">
        <f>IF($A42="","", INDEX(CS!$B$1:$B$12828,MATCH($A42,CS!$B:$B,0)+COLUMN(I$1),1))</f>
        <v>炎の力</v>
      </c>
      <c r="BE42" t="str">
        <f>IF($A42="","", INDEX(CS!$B$1:$B$12828,MATCH($A42,CS!$B:$B,0)+COLUMN(J$1),1))</f>
        <v>炎の吐息</v>
      </c>
      <c r="BF42">
        <f>IF($A42="","", INDEX(CS!$B$1:$B$12828,MATCH($A42,CS!$B:$B,0)+COLUMN(K$1),1))</f>
        <v>0</v>
      </c>
      <c r="BG42">
        <f>IF($A42="","", INDEX(CS!$B$1:$B$12828,MATCH($A42,CS!$B:$B,0)+COLUMN(L$1),1))</f>
        <v>0</v>
      </c>
      <c r="CD42" t="s">
        <v>960</v>
      </c>
      <c r="CE42" t="s">
        <v>960</v>
      </c>
      <c r="CF42" t="s">
        <v>960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INDEX(CS!$B$1:$B$12828,MATCH($A43,CS!$B:$B,0)+COLUMN(A$1),1))</f>
        <v>氷の拳</v>
      </c>
      <c r="AY43">
        <f>IF($A43="","", INDEX(CS!$B$1:$B$12828,MATCH($A43,CS!$B:$B,0)+COLUMN(B$1),1))</f>
        <v>0</v>
      </c>
      <c r="AZ43" t="str">
        <f>IF($A43="","", INDEX(CS!$B$1:$B$12828,MATCH($A43,CS!$B:$B,0)+COLUMN(C$1),1))</f>
        <v>浮遊</v>
      </c>
      <c r="BA43">
        <f>IF($A43="","", INDEX(CS!$B$1:$B$12828,MATCH($A43,CS!$B:$B,0)+COLUMN(D$1),1))</f>
        <v>0</v>
      </c>
      <c r="BB43">
        <f>IF($A43="","", INDEX(CS!$B$1:$B$12828,MATCH($A43,CS!$B:$B,0)+COLUMN(E$1),1))</f>
        <v>0</v>
      </c>
      <c r="BC43" t="str">
        <f>IF($A43="","", INDEX(CS!$B$1:$B$12828,MATCH($A43,CS!$B:$B,0)+COLUMN(F$1),1))</f>
        <v>氷の魔力</v>
      </c>
      <c r="BD43" t="str">
        <f>IF($A43="","", INDEX(CS!$B$1:$B$12828,MATCH($A43,CS!$B:$B,0)+COLUMN(I$1),1))</f>
        <v>氷の力</v>
      </c>
      <c r="BE43" t="str">
        <f>IF($A43="","", INDEX(CS!$B$1:$B$12828,MATCH($A43,CS!$B:$B,0)+COLUMN(J$1),1))</f>
        <v>氷の吐息</v>
      </c>
      <c r="BF43">
        <f>IF($A43="","", INDEX(CS!$B$1:$B$12828,MATCH($A43,CS!$B:$B,0)+COLUMN(K$1),1))</f>
        <v>0</v>
      </c>
      <c r="BG43">
        <f>IF($A43="","", INDEX(CS!$B$1:$B$12828,MATCH($A43,CS!$B:$B,0)+COLUMN(L$1),1))</f>
        <v>0</v>
      </c>
      <c r="CI43" t="s">
        <v>67</v>
      </c>
    </row>
    <row r="44" spans="1:87" x14ac:dyDescent="0.4">
      <c r="A44" s="1" t="s">
        <v>898</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INDEX(CS!$B$1:$B$12828,MATCH($A44,CS!$B:$B,0)+COLUMN(A$1),1))</f>
        <v>水の拳</v>
      </c>
      <c r="AY44">
        <f>IF($A44="","", INDEX(CS!$B$1:$B$12828,MATCH($A44,CS!$B:$B,0)+COLUMN(B$1),1))</f>
        <v>0</v>
      </c>
      <c r="AZ44" t="str">
        <f>IF($A44="","", INDEX(CS!$B$1:$B$12828,MATCH($A44,CS!$B:$B,0)+COLUMN(C$1),1))</f>
        <v>水の精霊</v>
      </c>
      <c r="BA44">
        <f>IF($A44="","", INDEX(CS!$B$1:$B$12828,MATCH($A44,CS!$B:$B,0)+COLUMN(D$1),1))</f>
        <v>0</v>
      </c>
      <c r="BB44">
        <f>IF($A44="","", INDEX(CS!$B$1:$B$12828,MATCH($A44,CS!$B:$B,0)+COLUMN(E$1),1))</f>
        <v>0</v>
      </c>
      <c r="BC44" t="str">
        <f>IF($A44="","", INDEX(CS!$B$1:$B$12828,MATCH($A44,CS!$B:$B,0)+COLUMN(F$1),1))</f>
        <v>水の魔力</v>
      </c>
      <c r="BD44" t="str">
        <f>IF($A44="","", INDEX(CS!$B$1:$B$12828,MATCH($A44,CS!$B:$B,0)+COLUMN(I$1),1))</f>
        <v>水の力</v>
      </c>
      <c r="BE44" t="str">
        <f>IF($A44="","", INDEX(CS!$B$1:$B$12828,MATCH($A44,CS!$B:$B,0)+COLUMN(J$1),1))</f>
        <v>水の吐息</v>
      </c>
      <c r="BF44">
        <f>IF($A44="","", INDEX(CS!$B$1:$B$12828,MATCH($A44,CS!$B:$B,0)+COLUMN(K$1),1))</f>
        <v>0</v>
      </c>
      <c r="BG44">
        <f>IF($A44="","", INDEX(CS!$B$1:$B$12828,MATCH($A44,CS!$B:$B,0)+COLUMN(L$1),1))</f>
        <v>0</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INDEX(CS!$B$1:$B$12828,MATCH($A45,CS!$B:$B,0)+COLUMN(A$1),1))</f>
        <v>風の拳</v>
      </c>
      <c r="AY45">
        <f>IF($A45="","", INDEX(CS!$B$1:$B$12828,MATCH($A45,CS!$B:$B,0)+COLUMN(B$1),1))</f>
        <v>0</v>
      </c>
      <c r="AZ45" t="str">
        <f>IF($A45="","", INDEX(CS!$B$1:$B$12828,MATCH($A45,CS!$B:$B,0)+COLUMN(C$1),1))</f>
        <v>浮遊</v>
      </c>
      <c r="BA45">
        <f>IF($A45="","", INDEX(CS!$B$1:$B$12828,MATCH($A45,CS!$B:$B,0)+COLUMN(D$1),1))</f>
        <v>0</v>
      </c>
      <c r="BB45">
        <f>IF($A45="","", INDEX(CS!$B$1:$B$12828,MATCH($A45,CS!$B:$B,0)+COLUMN(E$1),1))</f>
        <v>0</v>
      </c>
      <c r="BC45" t="str">
        <f>IF($A45="","", INDEX(CS!$B$1:$B$12828,MATCH($A45,CS!$B:$B,0)+COLUMN(F$1),1))</f>
        <v>風の魔力</v>
      </c>
      <c r="BD45" t="str">
        <f>IF($A45="","", INDEX(CS!$B$1:$B$12828,MATCH($A45,CS!$B:$B,0)+COLUMN(I$1),1))</f>
        <v>風の力</v>
      </c>
      <c r="BE45" t="str">
        <f>IF($A45="","", INDEX(CS!$B$1:$B$12828,MATCH($A45,CS!$B:$B,0)+COLUMN(J$1),1))</f>
        <v>風の吐息</v>
      </c>
      <c r="BF45">
        <f>IF($A45="","", INDEX(CS!$B$1:$B$12828,MATCH($A45,CS!$B:$B,0)+COLUMN(K$1),1))</f>
        <v>0</v>
      </c>
      <c r="BG45">
        <f>IF($A45="","", INDEX(CS!$B$1:$B$12828,MATCH($A45,CS!$B:$B,0)+COLUMN(L$1),1))</f>
        <v>0</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INDEX(CS!$B$1:$B$12828,MATCH($A46,CS!$B:$B,0)+COLUMN(A$1),1))</f>
        <v>地の拳</v>
      </c>
      <c r="AY46">
        <f>IF($A46="","", INDEX(CS!$B$1:$B$12828,MATCH($A46,CS!$B:$B,0)+COLUMN(B$1),1))</f>
        <v>0</v>
      </c>
      <c r="AZ46" t="str">
        <f>IF($A46="","", INDEX(CS!$B$1:$B$12828,MATCH($A46,CS!$B:$B,0)+COLUMN(C$1),1))</f>
        <v>浮遊</v>
      </c>
      <c r="BA46">
        <f>IF($A46="","", INDEX(CS!$B$1:$B$12828,MATCH($A46,CS!$B:$B,0)+COLUMN(D$1),1))</f>
        <v>0</v>
      </c>
      <c r="BB46">
        <f>IF($A46="","", INDEX(CS!$B$1:$B$12828,MATCH($A46,CS!$B:$B,0)+COLUMN(E$1),1))</f>
        <v>0</v>
      </c>
      <c r="BC46" t="str">
        <f>IF($A46="","", INDEX(CS!$B$1:$B$12828,MATCH($A46,CS!$B:$B,0)+COLUMN(F$1),1))</f>
        <v>地の魔力</v>
      </c>
      <c r="BD46" t="str">
        <f>IF($A46="","", INDEX(CS!$B$1:$B$12828,MATCH($A46,CS!$B:$B,0)+COLUMN(I$1),1))</f>
        <v>地の力</v>
      </c>
      <c r="BE46" t="str">
        <f>IF($A46="","", INDEX(CS!$B$1:$B$12828,MATCH($A46,CS!$B:$B,0)+COLUMN(J$1),1))</f>
        <v>石礫の吐息</v>
      </c>
      <c r="BF46">
        <f>IF($A46="","", INDEX(CS!$B$1:$B$12828,MATCH($A46,CS!$B:$B,0)+COLUMN(K$1),1))</f>
        <v>0</v>
      </c>
      <c r="BG46">
        <f>IF($A46="","", INDEX(CS!$B$1:$B$12828,MATCH($A46,CS!$B:$B,0)+COLUMN(L$1),1))</f>
        <v>0</v>
      </c>
      <c r="CI46" t="s">
        <v>67</v>
      </c>
    </row>
    <row r="47" spans="1:87" x14ac:dyDescent="0.4">
      <c r="C47" t="s">
        <v>62</v>
      </c>
      <c r="D47" t="str">
        <f t="shared" si="2"/>
        <v>0/0/0</v>
      </c>
      <c r="E47">
        <v>1</v>
      </c>
      <c r="AX47" t="str">
        <f>IF($A47="","", INDEX(CS!$B$1:$B$12828,MATCH($A47,CS!$B:$B,0)+COLUMN(A$1),1))</f>
        <v/>
      </c>
      <c r="AY47" t="str">
        <f>IF($A47="","", INDEX(CS!$B$1:$B$12828,MATCH($A47,CS!$B:$B,0)+COLUMN(B$1),1))</f>
        <v/>
      </c>
      <c r="AZ47" t="str">
        <f>IF($A47="","", INDEX(CS!$B$1:$B$12828,MATCH($A47,CS!$B:$B,0)+COLUMN(C$1),1))</f>
        <v/>
      </c>
      <c r="BA47" t="str">
        <f>IF($A47="","", INDEX(CS!$B$1:$B$12828,MATCH($A47,CS!$B:$B,0)+COLUMN(D$1),1))</f>
        <v/>
      </c>
      <c r="BB47" t="str">
        <f>IF($A47="","", INDEX(CS!$B$1:$B$12828,MATCH($A47,CS!$B:$B,0)+COLUMN(E$1),1))</f>
        <v/>
      </c>
      <c r="BC47" t="str">
        <f>IF($A47="","", INDEX(CS!$B$1:$B$12828,MATCH($A47,CS!$B:$B,0)+COLUMN(F$1),1))</f>
        <v/>
      </c>
      <c r="BD47" t="str">
        <f>IF($A47="","", INDEX(CS!$B$1:$B$12828,MATCH($A47,CS!$B:$B,0)+COLUMN(I$1),1))</f>
        <v/>
      </c>
      <c r="BE47" t="str">
        <f>IF($A47="","", INDEX(CS!$B$1:$B$12828,MATCH($A47,CS!$B:$B,0)+COLUMN(J$1),1))</f>
        <v/>
      </c>
      <c r="BF47" t="str">
        <f>IF($A47="","", INDEX(CS!$B$1:$B$12828,MATCH($A47,CS!$B:$B,0)+COLUMN(K$1),1))</f>
        <v/>
      </c>
      <c r="BG47" t="str">
        <f>IF($A47="","", INDEX(CS!$B$1:$B$12828,MATCH($A47,CS!$B:$B,0)+COLUMN(L$1),1))</f>
        <v/>
      </c>
    </row>
    <row r="48" spans="1:87" x14ac:dyDescent="0.4">
      <c r="C48" t="s">
        <v>62</v>
      </c>
      <c r="D48" t="str">
        <f t="shared" si="2"/>
        <v>0/0/0</v>
      </c>
      <c r="E48">
        <v>1</v>
      </c>
      <c r="AX48" t="str">
        <f>IF($A48="","", INDEX(CS!$B$1:$B$12828,MATCH($A48,CS!$B:$B,0)+COLUMN(A$1),1))</f>
        <v/>
      </c>
      <c r="AY48" t="str">
        <f>IF($A48="","", INDEX(CS!$B$1:$B$12828,MATCH($A48,CS!$B:$B,0)+COLUMN(B$1),1))</f>
        <v/>
      </c>
      <c r="AZ48" t="str">
        <f>IF($A48="","", INDEX(CS!$B$1:$B$12828,MATCH($A48,CS!$B:$B,0)+COLUMN(C$1),1))</f>
        <v/>
      </c>
      <c r="BA48" t="str">
        <f>IF($A48="","", INDEX(CS!$B$1:$B$12828,MATCH($A48,CS!$B:$B,0)+COLUMN(D$1),1))</f>
        <v/>
      </c>
      <c r="BB48" t="str">
        <f>IF($A48="","", INDEX(CS!$B$1:$B$12828,MATCH($A48,CS!$B:$B,0)+COLUMN(E$1),1))</f>
        <v/>
      </c>
      <c r="BC48" t="str">
        <f>IF($A48="","", INDEX(CS!$B$1:$B$12828,MATCH($A48,CS!$B:$B,0)+COLUMN(F$1),1))</f>
        <v/>
      </c>
      <c r="BD48" t="str">
        <f>IF($A48="","", INDEX(CS!$B$1:$B$12828,MATCH($A48,CS!$B:$B,0)+COLUMN(I$1),1))</f>
        <v/>
      </c>
      <c r="BE48" t="str">
        <f>IF($A48="","", INDEX(CS!$B$1:$B$12828,MATCH($A48,CS!$B:$B,0)+COLUMN(J$1),1))</f>
        <v/>
      </c>
      <c r="BF48" t="str">
        <f>IF($A48="","", INDEX(CS!$B$1:$B$12828,MATCH($A48,CS!$B:$B,0)+COLUMN(K$1),1))</f>
        <v/>
      </c>
      <c r="BG48" t="str">
        <f>IF($A48="","", INDEX(CS!$B$1:$B$12828,MATCH($A48,CS!$B:$B,0)+COLUMN(L$1),1))</f>
        <v/>
      </c>
    </row>
    <row r="49" spans="1:87" x14ac:dyDescent="0.4">
      <c r="C49" t="s">
        <v>62</v>
      </c>
      <c r="D49" t="str">
        <f t="shared" si="2"/>
        <v>0/0/0</v>
      </c>
      <c r="E49">
        <v>1</v>
      </c>
      <c r="AX49" t="str">
        <f>IF($A49="","", INDEX(CS!$B$1:$B$12828,MATCH($A49,CS!$B:$B,0)+COLUMN(A$1),1))</f>
        <v/>
      </c>
      <c r="AY49" t="str">
        <f>IF($A49="","", INDEX(CS!$B$1:$B$12828,MATCH($A49,CS!$B:$B,0)+COLUMN(B$1),1))</f>
        <v/>
      </c>
      <c r="AZ49" t="str">
        <f>IF($A49="","", INDEX(CS!$B$1:$B$12828,MATCH($A49,CS!$B:$B,0)+COLUMN(C$1),1))</f>
        <v/>
      </c>
      <c r="BA49" t="str">
        <f>IF($A49="","", INDEX(CS!$B$1:$B$12828,MATCH($A49,CS!$B:$B,0)+COLUMN(D$1),1))</f>
        <v/>
      </c>
      <c r="BB49" t="str">
        <f>IF($A49="","", INDEX(CS!$B$1:$B$12828,MATCH($A49,CS!$B:$B,0)+COLUMN(E$1),1))</f>
        <v/>
      </c>
      <c r="BC49" t="str">
        <f>IF($A49="","", INDEX(CS!$B$1:$B$12828,MATCH($A49,CS!$B:$B,0)+COLUMN(F$1),1))</f>
        <v/>
      </c>
      <c r="BD49" t="str">
        <f>IF($A49="","", INDEX(CS!$B$1:$B$12828,MATCH($A49,CS!$B:$B,0)+COLUMN(I$1),1))</f>
        <v/>
      </c>
      <c r="BE49" t="str">
        <f>IF($A49="","", INDEX(CS!$B$1:$B$12828,MATCH($A49,CS!$B:$B,0)+COLUMN(J$1),1))</f>
        <v/>
      </c>
      <c r="BF49" t="str">
        <f>IF($A49="","", INDEX(CS!$B$1:$B$12828,MATCH($A49,CS!$B:$B,0)+COLUMN(K$1),1))</f>
        <v/>
      </c>
      <c r="BG49" t="str">
        <f>IF($A49="","", INDEX(CS!$B$1:$B$12828,MATCH($A49,CS!$B:$B,0)+COLUMN(L$1),1))</f>
        <v/>
      </c>
    </row>
    <row r="50" spans="1:87" x14ac:dyDescent="0.4">
      <c r="C50" t="s">
        <v>62</v>
      </c>
      <c r="D50" t="str">
        <f t="shared" si="2"/>
        <v>0/0/0</v>
      </c>
      <c r="E50">
        <v>1</v>
      </c>
      <c r="AX50" t="str">
        <f>IF($A50="","", INDEX(CS!$B$1:$B$12828,MATCH($A50,CS!$B:$B,0)+COLUMN(A$1),1))</f>
        <v/>
      </c>
      <c r="AY50" t="str">
        <f>IF($A50="","", INDEX(CS!$B$1:$B$12828,MATCH($A50,CS!$B:$B,0)+COLUMN(B$1),1))</f>
        <v/>
      </c>
      <c r="AZ50" t="str">
        <f>IF($A50="","", INDEX(CS!$B$1:$B$12828,MATCH($A50,CS!$B:$B,0)+COLUMN(C$1),1))</f>
        <v/>
      </c>
      <c r="BA50" t="str">
        <f>IF($A50="","", INDEX(CS!$B$1:$B$12828,MATCH($A50,CS!$B:$B,0)+COLUMN(D$1),1))</f>
        <v/>
      </c>
      <c r="BB50" t="str">
        <f>IF($A50="","", INDEX(CS!$B$1:$B$12828,MATCH($A50,CS!$B:$B,0)+COLUMN(E$1),1))</f>
        <v/>
      </c>
      <c r="BC50" t="str">
        <f>IF($A50="","", INDEX(CS!$B$1:$B$12828,MATCH($A50,CS!$B:$B,0)+COLUMN(F$1),1))</f>
        <v/>
      </c>
      <c r="BD50" t="str">
        <f>IF($A50="","", INDEX(CS!$B$1:$B$12828,MATCH($A50,CS!$B:$B,0)+COLUMN(I$1),1))</f>
        <v/>
      </c>
      <c r="BE50" t="str">
        <f>IF($A50="","", INDEX(CS!$B$1:$B$12828,MATCH($A50,CS!$B:$B,0)+COLUMN(J$1),1))</f>
        <v/>
      </c>
      <c r="BF50" t="str">
        <f>IF($A50="","", INDEX(CS!$B$1:$B$12828,MATCH($A50,CS!$B:$B,0)+COLUMN(K$1),1))</f>
        <v/>
      </c>
      <c r="BG50" t="str">
        <f>IF($A50="","", INDEX(CS!$B$1:$B$12828,MATCH($A50,CS!$B:$B,0)+COLUMN(L$1),1))</f>
        <v/>
      </c>
    </row>
    <row r="51" spans="1:87" x14ac:dyDescent="0.4">
      <c r="C51" t="s">
        <v>62</v>
      </c>
      <c r="D51" t="str">
        <f t="shared" si="2"/>
        <v>0/0/0</v>
      </c>
      <c r="E51">
        <v>1</v>
      </c>
      <c r="AX51" t="str">
        <f>IF($A51="","", INDEX(CS!$B$1:$B$12828,MATCH($A51,CS!$B:$B,0)+COLUMN(A$1),1))</f>
        <v/>
      </c>
      <c r="AY51" t="str">
        <f>IF($A51="","", INDEX(CS!$B$1:$B$12828,MATCH($A51,CS!$B:$B,0)+COLUMN(B$1),1))</f>
        <v/>
      </c>
      <c r="AZ51" t="str">
        <f>IF($A51="","", INDEX(CS!$B$1:$B$12828,MATCH($A51,CS!$B:$B,0)+COLUMN(C$1),1))</f>
        <v/>
      </c>
      <c r="BA51" t="str">
        <f>IF($A51="","", INDEX(CS!$B$1:$B$12828,MATCH($A51,CS!$B:$B,0)+COLUMN(D$1),1))</f>
        <v/>
      </c>
      <c r="BB51" t="str">
        <f>IF($A51="","", INDEX(CS!$B$1:$B$12828,MATCH($A51,CS!$B:$B,0)+COLUMN(E$1),1))</f>
        <v/>
      </c>
      <c r="BC51" t="str">
        <f>IF($A51="","", INDEX(CS!$B$1:$B$12828,MATCH($A51,CS!$B:$B,0)+COLUMN(F$1),1))</f>
        <v/>
      </c>
      <c r="BD51" t="str">
        <f>IF($A51="","", INDEX(CS!$B$1:$B$12828,MATCH($A51,CS!$B:$B,0)+COLUMN(I$1),1))</f>
        <v/>
      </c>
      <c r="BE51" t="str">
        <f>IF($A51="","", INDEX(CS!$B$1:$B$12828,MATCH($A51,CS!$B:$B,0)+COLUMN(J$1),1))</f>
        <v/>
      </c>
      <c r="BF51" t="str">
        <f>IF($A51="","", INDEX(CS!$B$1:$B$12828,MATCH($A51,CS!$B:$B,0)+COLUMN(K$1),1))</f>
        <v/>
      </c>
      <c r="BG51" t="str">
        <f>IF($A51="","", INDEX(CS!$B$1:$B$12828,MATCH($A51,CS!$B:$B,0)+COLUMN(L$1),1))</f>
        <v/>
      </c>
    </row>
    <row r="52" spans="1:87" x14ac:dyDescent="0.4">
      <c r="B52" t="s">
        <v>940</v>
      </c>
      <c r="D52" t="str">
        <f t="shared" si="2"/>
        <v>0/0/0</v>
      </c>
      <c r="E52">
        <v>1</v>
      </c>
      <c r="AX52" t="str">
        <f>IF($A52="","", INDEX(CS!$B$1:$B$12828,MATCH($A52,CS!$B:$B,0)+COLUMN(A$1),1))</f>
        <v/>
      </c>
      <c r="AY52" t="str">
        <f>IF($A52="","", INDEX(CS!$B$1:$B$12828,MATCH($A52,CS!$B:$B,0)+COLUMN(B$1),1))</f>
        <v/>
      </c>
      <c r="AZ52" t="str">
        <f>IF($A52="","", INDEX(CS!$B$1:$B$12828,MATCH($A52,CS!$B:$B,0)+COLUMN(C$1),1))</f>
        <v/>
      </c>
      <c r="BA52" t="str">
        <f>IF($A52="","", INDEX(CS!$B$1:$B$12828,MATCH($A52,CS!$B:$B,0)+COLUMN(D$1),1))</f>
        <v/>
      </c>
      <c r="BB52" t="str">
        <f>IF($A52="","", INDEX(CS!$B$1:$B$12828,MATCH($A52,CS!$B:$B,0)+COLUMN(E$1),1))</f>
        <v/>
      </c>
      <c r="BC52" t="str">
        <f>IF($A52="","", INDEX(CS!$B$1:$B$12828,MATCH($A52,CS!$B:$B,0)+COLUMN(F$1),1))</f>
        <v/>
      </c>
      <c r="BD52" t="str">
        <f>IF($A52="","", INDEX(CS!$B$1:$B$12828,MATCH($A52,CS!$B:$B,0)+COLUMN(I$1),1))</f>
        <v/>
      </c>
      <c r="BE52" t="str">
        <f>IF($A52="","", INDEX(CS!$B$1:$B$12828,MATCH($A52,CS!$B:$B,0)+COLUMN(J$1),1))</f>
        <v/>
      </c>
      <c r="BF52" t="str">
        <f>IF($A52="","", INDEX(CS!$B$1:$B$12828,MATCH($A52,CS!$B:$B,0)+COLUMN(K$1),1))</f>
        <v/>
      </c>
      <c r="BG52" t="str">
        <f>IF($A52="","", INDEX(CS!$B$1:$B$12828,MATCH($A52,CS!$B:$B,0)+COLUMN(L$1),1))</f>
        <v/>
      </c>
    </row>
    <row r="53" spans="1:87" x14ac:dyDescent="0.4">
      <c r="CD53" t="s">
        <v>964</v>
      </c>
      <c r="CE53" t="s">
        <v>968</v>
      </c>
      <c r="CF53" t="s">
        <v>1179</v>
      </c>
    </row>
    <row r="54" spans="1:87" x14ac:dyDescent="0.4">
      <c r="CD54" t="s">
        <v>964</v>
      </c>
      <c r="CE54" t="s">
        <v>968</v>
      </c>
      <c r="CF54" t="s">
        <v>1179</v>
      </c>
    </row>
    <row r="55" spans="1:87" x14ac:dyDescent="0.4">
      <c r="CD55" t="s">
        <v>964</v>
      </c>
      <c r="CE55" t="s">
        <v>968</v>
      </c>
      <c r="CF55" t="s">
        <v>1179</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INDEX(CS!$B$1:$B$12828,MATCH($A56,CS!$B:$B,0)+COLUMN(A$1),1))</f>
        <v>0</v>
      </c>
      <c r="AY56" t="str">
        <f>IF($A56="","", INDEX(CS!$B$1:$B$12828,MATCH($A56,CS!$B:$B,0)+COLUMN(B$1),1))</f>
        <v>闘気撃</v>
      </c>
      <c r="AZ56" t="str">
        <f>IF($A56="","", INDEX(CS!$B$1:$B$12828,MATCH($A56,CS!$B:$B,0)+COLUMN(C$1),1))</f>
        <v>武器の扱い</v>
      </c>
      <c r="BA56">
        <f>IF($A56="","", INDEX(CS!$B$1:$B$12828,MATCH($A56,CS!$B:$B,0)+COLUMN(D$1),1))</f>
        <v>0</v>
      </c>
      <c r="BB56" t="str">
        <f>IF($A56="","", INDEX(CS!$B$1:$B$12828,MATCH($A56,CS!$B:$B,0)+COLUMN(E$1),1))</f>
        <v>闘気守</v>
      </c>
      <c r="BC56">
        <f>IF($A56="","", INDEX(CS!$B$1:$B$12828,MATCH($A56,CS!$B:$B,0)+COLUMN(F$1),1))</f>
        <v>0</v>
      </c>
      <c r="BD56" t="str">
        <f>IF($A56="","", INDEX(CS!$B$1:$B$12828,MATCH($A56,CS!$B:$B,0)+COLUMN(I$1),1))</f>
        <v>武器の攻め</v>
      </c>
      <c r="BE56" t="str">
        <f>IF($A56="","", INDEX(CS!$B$1:$B$12828,MATCH($A56,CS!$B:$B,0)+COLUMN(J$1),1))</f>
        <v>一閃撃</v>
      </c>
      <c r="BF56">
        <f>IF($A56="","", INDEX(CS!$B$1:$B$12828,MATCH($A56,CS!$B:$B,0)+COLUMN(K$1),1))</f>
        <v>0</v>
      </c>
      <c r="BG56">
        <f>IF($A56="","", INDEX(CS!$B$1:$B$12828,MATCH($A56,CS!$B:$B,0)+COLUMN(L$1),1))</f>
        <v>0</v>
      </c>
      <c r="BH56" t="s">
        <v>932</v>
      </c>
      <c r="CB56" t="s">
        <v>1229</v>
      </c>
      <c r="CE56" t="s">
        <v>967</v>
      </c>
      <c r="CF56" t="s">
        <v>1179</v>
      </c>
      <c r="CI56" t="s">
        <v>27</v>
      </c>
    </row>
    <row r="57" spans="1:87" outlineLevel="1" x14ac:dyDescent="0.4">
      <c r="A57" t="s">
        <v>185</v>
      </c>
      <c r="B57" t="s">
        <v>187</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INDEX(CS!$B$1:$B$12828,MATCH($A57,CS!$B:$B,0)+COLUMN(A$1),1))</f>
        <v>0</v>
      </c>
      <c r="AY57" t="str">
        <f>IF($A57="","", INDEX(CS!$B$1:$B$12828,MATCH($A57,CS!$B:$B,0)+COLUMN(B$1),1))</f>
        <v>闘気守</v>
      </c>
      <c r="AZ57" t="str">
        <f>IF($A57="","", INDEX(CS!$B$1:$B$12828,MATCH($A57,CS!$B:$B,0)+COLUMN(C$1),1))</f>
        <v>武器の扱い</v>
      </c>
      <c r="BA57">
        <f>IF($A57="","", INDEX(CS!$B$1:$B$12828,MATCH($A57,CS!$B:$B,0)+COLUMN(D$1),1))</f>
        <v>0</v>
      </c>
      <c r="BB57" t="str">
        <f>IF($A57="","", INDEX(CS!$B$1:$B$12828,MATCH($A57,CS!$B:$B,0)+COLUMN(E$1),1))</f>
        <v>闘気撃</v>
      </c>
      <c r="BC57" t="str">
        <f>IF($A57="","", INDEX(CS!$B$1:$B$12828,MATCH($A57,CS!$B:$B,0)+COLUMN(F$1),1))</f>
        <v>反撃</v>
      </c>
      <c r="BD57" t="str">
        <f>IF($A57="","", INDEX(CS!$B$1:$B$12828,MATCH($A57,CS!$B:$B,0)+COLUMN(I$1),1))</f>
        <v>武器の守り</v>
      </c>
      <c r="BE57" t="str">
        <f>IF($A57="","", INDEX(CS!$B$1:$B$12828,MATCH($A57,CS!$B:$B,0)+COLUMN(J$1),1))</f>
        <v>一閃撃</v>
      </c>
      <c r="BF57">
        <f>IF($A57="","", INDEX(CS!$B$1:$B$12828,MATCH($A57,CS!$B:$B,0)+COLUMN(K$1),1))</f>
        <v>0</v>
      </c>
      <c r="BG57">
        <f>IF($A57="","", INDEX(CS!$B$1:$B$12828,MATCH($A57,CS!$B:$B,0)+COLUMN(L$1),1))</f>
        <v>0</v>
      </c>
      <c r="BH57" t="s">
        <v>932</v>
      </c>
      <c r="CB57" t="s">
        <v>716</v>
      </c>
      <c r="CC57" t="s">
        <v>1230</v>
      </c>
      <c r="CE57" t="s">
        <v>967</v>
      </c>
      <c r="CF57" t="s">
        <v>1179</v>
      </c>
      <c r="CI57" t="s">
        <v>27</v>
      </c>
    </row>
    <row r="58" spans="1:87" outlineLevel="1" x14ac:dyDescent="0.4">
      <c r="A58" t="s">
        <v>186</v>
      </c>
      <c r="B58" t="s">
        <v>188</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INDEX(CS!$B$1:$B$12828,MATCH($A58,CS!$B:$B,0)+COLUMN(A$1),1))</f>
        <v>0</v>
      </c>
      <c r="AY58" t="str">
        <f>IF($A58="","", INDEX(CS!$B$1:$B$12828,MATCH($A58,CS!$B:$B,0)+COLUMN(B$1),1))</f>
        <v>闘気撃</v>
      </c>
      <c r="AZ58" t="str">
        <f>IF($A58="","", INDEX(CS!$B$1:$B$12828,MATCH($A58,CS!$B:$B,0)+COLUMN(C$1),1))</f>
        <v>武器の扱い</v>
      </c>
      <c r="BA58">
        <f>IF($A58="","", INDEX(CS!$B$1:$B$12828,MATCH($A58,CS!$B:$B,0)+COLUMN(D$1),1))</f>
        <v>0</v>
      </c>
      <c r="BB58" t="str">
        <f>IF($A58="","", INDEX(CS!$B$1:$B$12828,MATCH($A58,CS!$B:$B,0)+COLUMN(E$1),1))</f>
        <v>闘気速</v>
      </c>
      <c r="BC58">
        <f>IF($A58="","", INDEX(CS!$B$1:$B$12828,MATCH($A58,CS!$B:$B,0)+COLUMN(F$1),1))</f>
        <v>0</v>
      </c>
      <c r="BD58" t="str">
        <f>IF($A58="","", INDEX(CS!$B$1:$B$12828,MATCH($A58,CS!$B:$B,0)+COLUMN(I$1),1))</f>
        <v>武器の攻め</v>
      </c>
      <c r="BE58" t="str">
        <f>IF($A58="","", INDEX(CS!$B$1:$B$12828,MATCH($A58,CS!$B:$B,0)+COLUMN(J$1),1))</f>
        <v>一閃撃</v>
      </c>
      <c r="BF58">
        <f>IF($A58="","", INDEX(CS!$B$1:$B$12828,MATCH($A58,CS!$B:$B,0)+COLUMN(K$1),1))</f>
        <v>0</v>
      </c>
      <c r="BG58">
        <f>IF($A58="","", INDEX(CS!$B$1:$B$12828,MATCH($A58,CS!$B:$B,0)+COLUMN(L$1),1))</f>
        <v>0</v>
      </c>
      <c r="BH58" t="s">
        <v>932</v>
      </c>
      <c r="CB58" t="s">
        <v>1228</v>
      </c>
      <c r="CD58" t="s">
        <v>965</v>
      </c>
      <c r="CE58" t="s">
        <v>968</v>
      </c>
      <c r="CF58" t="s">
        <v>1179</v>
      </c>
      <c r="CI58" t="s">
        <v>27</v>
      </c>
    </row>
    <row r="59" spans="1:87" outlineLevel="1" x14ac:dyDescent="0.4">
      <c r="C59" t="s">
        <v>51</v>
      </c>
      <c r="D59" t="str">
        <f t="shared" si="4"/>
        <v>0/0/0</v>
      </c>
      <c r="E59">
        <v>1</v>
      </c>
      <c r="AX59" t="str">
        <f>IF($A59="","", INDEX(CS!$B$1:$B$12828,MATCH($A59,CS!$B:$B,0)+COLUMN(A$1),1))</f>
        <v/>
      </c>
      <c r="AY59" t="str">
        <f>IF($A59="","", INDEX(CS!$B$1:$B$12828,MATCH($A59,CS!$B:$B,0)+COLUMN(B$1),1))</f>
        <v/>
      </c>
      <c r="AZ59" t="str">
        <f>IF($A59="","", INDEX(CS!$B$1:$B$12828,MATCH($A59,CS!$B:$B,0)+COLUMN(C$1),1))</f>
        <v/>
      </c>
      <c r="BA59" t="str">
        <f>IF($A59="","", INDEX(CS!$B$1:$B$12828,MATCH($A59,CS!$B:$B,0)+COLUMN(D$1),1))</f>
        <v/>
      </c>
      <c r="BB59" t="str">
        <f>IF($A59="","", INDEX(CS!$B$1:$B$12828,MATCH($A59,CS!$B:$B,0)+COLUMN(E$1),1))</f>
        <v/>
      </c>
      <c r="BC59" t="str">
        <f>IF($A59="","", INDEX(CS!$B$1:$B$12828,MATCH($A59,CS!$B:$B,0)+COLUMN(F$1),1))</f>
        <v/>
      </c>
      <c r="BD59" t="str">
        <f>IF($A59="","", INDEX(CS!$B$1:$B$12828,MATCH($A59,CS!$B:$B,0)+COLUMN(I$1),1))</f>
        <v/>
      </c>
      <c r="BE59" t="str">
        <f>IF($A59="","", INDEX(CS!$B$1:$B$12828,MATCH($A59,CS!$B:$B,0)+COLUMN(J$1),1))</f>
        <v/>
      </c>
      <c r="BF59" t="str">
        <f>IF($A59="","", INDEX(CS!$B$1:$B$12828,MATCH($A59,CS!$B:$B,0)+COLUMN(K$1),1))</f>
        <v/>
      </c>
      <c r="BG59" t="str">
        <f>IF($A59="","", INDEX(CS!$B$1:$B$12828,MATCH($A59,CS!$B:$B,0)+COLUMN(L$1),1))</f>
        <v/>
      </c>
    </row>
    <row r="60" spans="1:87" outlineLevel="1" x14ac:dyDescent="0.4">
      <c r="A60" t="s">
        <v>255</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INDEX(CS!$B$1:$B$12828,MATCH($A60,CS!$B:$B,0)+COLUMN(A$1),1))</f>
        <v>0</v>
      </c>
      <c r="AY60" t="str">
        <f>IF($A60="","", INDEX(CS!$B$1:$B$12828,MATCH($A60,CS!$B:$B,0)+COLUMN(B$1),1))</f>
        <v>急所撃</v>
      </c>
      <c r="AZ60" t="str">
        <f>IF($A60="","", INDEX(CS!$B$1:$B$12828,MATCH($A60,CS!$B:$B,0)+COLUMN(C$1),1))</f>
        <v>隠密</v>
      </c>
      <c r="BA60">
        <f>IF($A60="","", INDEX(CS!$B$1:$B$12828,MATCH($A60,CS!$B:$B,0)+COLUMN(D$1),1))</f>
        <v>0</v>
      </c>
      <c r="BB60" t="str">
        <f>IF($A60="","", INDEX(CS!$B$1:$B$12828,MATCH($A60,CS!$B:$B,0)+COLUMN(E$1),1))</f>
        <v>痛撃</v>
      </c>
      <c r="BC60" t="str">
        <f>IF($A60="","", INDEX(CS!$B$1:$B$12828,MATCH($A60,CS!$B:$B,0)+COLUMN(F$1),1))</f>
        <v>罠技術</v>
      </c>
      <c r="BD60">
        <f>IF($A60="","", INDEX(CS!$B$1:$B$12828,MATCH($A60,CS!$B:$B,0)+COLUMN(I$1),1))</f>
        <v>0</v>
      </c>
      <c r="BE60">
        <f>IF($A60="","", INDEX(CS!$B$1:$B$12828,MATCH($A60,CS!$B:$B,0)+COLUMN(J$1),1))</f>
        <v>0</v>
      </c>
      <c r="BF60">
        <f>IF($A60="","", INDEX(CS!$B$1:$B$12828,MATCH($A60,CS!$B:$B,0)+COLUMN(K$1),1))</f>
        <v>0</v>
      </c>
      <c r="BG60">
        <f>IF($A60="","", INDEX(CS!$B$1:$B$12828,MATCH($A60,CS!$B:$B,0)+COLUMN(L$1),1))</f>
        <v>0</v>
      </c>
      <c r="BH60" t="s">
        <v>932</v>
      </c>
      <c r="CB60" t="s">
        <v>1231</v>
      </c>
      <c r="CE60" t="s">
        <v>968</v>
      </c>
      <c r="CF60" t="s">
        <v>1179</v>
      </c>
      <c r="CI60" t="s">
        <v>1045</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INDEX(CS!$B$1:$B$12828,MATCH($A61,CS!$B:$B,0)+COLUMN(A$1),1))</f>
        <v>0</v>
      </c>
      <c r="AY61">
        <f>IF($A61="","", INDEX(CS!$B$1:$B$12828,MATCH($A61,CS!$B:$B,0)+COLUMN(B$1),1))</f>
        <v>0</v>
      </c>
      <c r="AZ61">
        <f>IF($A61="","", INDEX(CS!$B$1:$B$12828,MATCH($A61,CS!$B:$B,0)+COLUMN(C$1),1))</f>
        <v>0</v>
      </c>
      <c r="BA61">
        <f>IF($A61="","", INDEX(CS!$B$1:$B$12828,MATCH($A61,CS!$B:$B,0)+COLUMN(D$1),1))</f>
        <v>0</v>
      </c>
      <c r="BB61">
        <f>IF($A61="","", INDEX(CS!$B$1:$B$12828,MATCH($A61,CS!$B:$B,0)+COLUMN(E$1),1))</f>
        <v>0</v>
      </c>
      <c r="BC61">
        <f>IF($A61="","", INDEX(CS!$B$1:$B$12828,MATCH($A61,CS!$B:$B,0)+COLUMN(F$1),1))</f>
        <v>0</v>
      </c>
      <c r="BD61">
        <f>IF($A61="","", INDEX(CS!$B$1:$B$12828,MATCH($A61,CS!$B:$B,0)+COLUMN(I$1),1))</f>
        <v>0</v>
      </c>
      <c r="BE61">
        <f>IF($A61="","", INDEX(CS!$B$1:$B$12828,MATCH($A61,CS!$B:$B,0)+COLUMN(J$1),1))</f>
        <v>0</v>
      </c>
      <c r="BF61">
        <f>IF($A61="","", INDEX(CS!$B$1:$B$12828,MATCH($A61,CS!$B:$B,0)+COLUMN(K$1),1))</f>
        <v>0</v>
      </c>
      <c r="BG61">
        <f>IF($A61="","", INDEX(CS!$B$1:$B$12828,MATCH($A61,CS!$B:$B,0)+COLUMN(L$1),1))</f>
        <v>0</v>
      </c>
      <c r="BH61" t="s">
        <v>932</v>
      </c>
      <c r="CB61" t="s">
        <v>1232</v>
      </c>
      <c r="CE61" t="s">
        <v>968</v>
      </c>
      <c r="CF61" t="s">
        <v>1179</v>
      </c>
      <c r="CI61" t="s">
        <v>1045</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INDEX(CS!$B$1:$B$12828,MATCH($A62,CS!$B:$B,0)+COLUMN(A$1),1))</f>
        <v>0</v>
      </c>
      <c r="AY62">
        <f>IF($A62="","", INDEX(CS!$B$1:$B$12828,MATCH($A62,CS!$B:$B,0)+COLUMN(B$1),1))</f>
        <v>0</v>
      </c>
      <c r="AZ62">
        <f>IF($A62="","", INDEX(CS!$B$1:$B$12828,MATCH($A62,CS!$B:$B,0)+COLUMN(C$1),1))</f>
        <v>0</v>
      </c>
      <c r="BA62">
        <f>IF($A62="","", INDEX(CS!$B$1:$B$12828,MATCH($A62,CS!$B:$B,0)+COLUMN(D$1),1))</f>
        <v>0</v>
      </c>
      <c r="BB62">
        <f>IF($A62="","", INDEX(CS!$B$1:$B$12828,MATCH($A62,CS!$B:$B,0)+COLUMN(E$1),1))</f>
        <v>0</v>
      </c>
      <c r="BC62">
        <f>IF($A62="","", INDEX(CS!$B$1:$B$12828,MATCH($A62,CS!$B:$B,0)+COLUMN(F$1),1))</f>
        <v>0</v>
      </c>
      <c r="BD62">
        <f>IF($A62="","", INDEX(CS!$B$1:$B$12828,MATCH($A62,CS!$B:$B,0)+COLUMN(I$1),1))</f>
        <v>0</v>
      </c>
      <c r="BE62">
        <f>IF($A62="","", INDEX(CS!$B$1:$B$12828,MATCH($A62,CS!$B:$B,0)+COLUMN(J$1),1))</f>
        <v>0</v>
      </c>
      <c r="BF62">
        <f>IF($A62="","", INDEX(CS!$B$1:$B$12828,MATCH($A62,CS!$B:$B,0)+COLUMN(K$1),1))</f>
        <v>0</v>
      </c>
      <c r="BG62">
        <f>IF($A62="","", INDEX(CS!$B$1:$B$12828,MATCH($A62,CS!$B:$B,0)+COLUMN(L$1),1))</f>
        <v>0</v>
      </c>
      <c r="BH62" t="s">
        <v>932</v>
      </c>
      <c r="CB62" t="s">
        <v>1231</v>
      </c>
      <c r="CE62" t="s">
        <v>968</v>
      </c>
      <c r="CF62" t="s">
        <v>1179</v>
      </c>
      <c r="CI62" t="s">
        <v>1045</v>
      </c>
    </row>
    <row r="63" spans="1:87" outlineLevel="1" x14ac:dyDescent="0.4">
      <c r="C63" t="s">
        <v>51</v>
      </c>
      <c r="D63" t="str">
        <f t="shared" si="4"/>
        <v>0/0/0</v>
      </c>
      <c r="E63">
        <v>1</v>
      </c>
      <c r="AX63" t="str">
        <f>IF($A63="","", INDEX(CS!$B$1:$B$12828,MATCH($A63,CS!$B:$B,0)+COLUMN(A$1),1))</f>
        <v/>
      </c>
      <c r="AY63" t="str">
        <f>IF($A63="","", INDEX(CS!$B$1:$B$12828,MATCH($A63,CS!$B:$B,0)+COLUMN(B$1),1))</f>
        <v/>
      </c>
      <c r="AZ63" t="str">
        <f>IF($A63="","", INDEX(CS!$B$1:$B$12828,MATCH($A63,CS!$B:$B,0)+COLUMN(C$1),1))</f>
        <v/>
      </c>
      <c r="BA63" t="str">
        <f>IF($A63="","", INDEX(CS!$B$1:$B$12828,MATCH($A63,CS!$B:$B,0)+COLUMN(D$1),1))</f>
        <v/>
      </c>
      <c r="BB63" t="str">
        <f>IF($A63="","", INDEX(CS!$B$1:$B$12828,MATCH($A63,CS!$B:$B,0)+COLUMN(E$1),1))</f>
        <v/>
      </c>
      <c r="BC63" t="str">
        <f>IF($A63="","", INDEX(CS!$B$1:$B$12828,MATCH($A63,CS!$B:$B,0)+COLUMN(F$1),1))</f>
        <v/>
      </c>
      <c r="BD63" t="str">
        <f>IF($A63="","", INDEX(CS!$B$1:$B$12828,MATCH($A63,CS!$B:$B,0)+COLUMN(I$1),1))</f>
        <v/>
      </c>
      <c r="BE63" t="str">
        <f>IF($A63="","", INDEX(CS!$B$1:$B$12828,MATCH($A63,CS!$B:$B,0)+COLUMN(J$1),1))</f>
        <v/>
      </c>
      <c r="BF63" t="str">
        <f>IF($A63="","", INDEX(CS!$B$1:$B$12828,MATCH($A63,CS!$B:$B,0)+COLUMN(K$1),1))</f>
        <v/>
      </c>
      <c r="BG63" t="str">
        <f>IF($A63="","", INDEX(CS!$B$1:$B$12828,MATCH($A63,CS!$B:$B,0)+COLUMN(L$1),1))</f>
        <v/>
      </c>
    </row>
    <row r="64" spans="1:87" outlineLevel="1" x14ac:dyDescent="0.4">
      <c r="A64" t="s">
        <v>249</v>
      </c>
      <c r="B64" t="s">
        <v>252</v>
      </c>
      <c r="C64" t="s">
        <v>51</v>
      </c>
      <c r="D64" t="str">
        <f t="shared" si="4"/>
        <v>710/470/240</v>
      </c>
      <c r="E64">
        <v>1</v>
      </c>
      <c r="F64">
        <v>60</v>
      </c>
      <c r="I64">
        <v>50</v>
      </c>
      <c r="J64">
        <v>55</v>
      </c>
      <c r="K64" s="24">
        <v>90</v>
      </c>
      <c r="L64">
        <v>90</v>
      </c>
      <c r="M64">
        <v>50</v>
      </c>
      <c r="N64">
        <v>75</v>
      </c>
      <c r="AK64">
        <v>90</v>
      </c>
      <c r="AT64">
        <v>50</v>
      </c>
      <c r="AV64">
        <v>100</v>
      </c>
      <c r="AX64">
        <f>IF($A64="","", INDEX(CS!$B$1:$B$12828,MATCH($A64,CS!$B:$B,0)+COLUMN(A$1),1))</f>
        <v>0</v>
      </c>
      <c r="AY64">
        <f>IF($A64="","", INDEX(CS!$B$1:$B$12828,MATCH($A64,CS!$B:$B,0)+COLUMN(B$1),1))</f>
        <v>0</v>
      </c>
      <c r="AZ64">
        <f>IF($A64="","", INDEX(CS!$B$1:$B$12828,MATCH($A64,CS!$B:$B,0)+COLUMN(C$1),1))</f>
        <v>0</v>
      </c>
      <c r="BA64">
        <f>IF($A64="","", INDEX(CS!$B$1:$B$12828,MATCH($A64,CS!$B:$B,0)+COLUMN(D$1),1))</f>
        <v>0</v>
      </c>
      <c r="BB64">
        <f>IF($A64="","", INDEX(CS!$B$1:$B$12828,MATCH($A64,CS!$B:$B,0)+COLUMN(E$1),1))</f>
        <v>0</v>
      </c>
      <c r="BC64">
        <f>IF($A64="","", INDEX(CS!$B$1:$B$12828,MATCH($A64,CS!$B:$B,0)+COLUMN(F$1),1))</f>
        <v>0</v>
      </c>
      <c r="BD64">
        <f>IF($A64="","", INDEX(CS!$B$1:$B$12828,MATCH($A64,CS!$B:$B,0)+COLUMN(I$1),1))</f>
        <v>0</v>
      </c>
      <c r="BE64">
        <f>IF($A64="","", INDEX(CS!$B$1:$B$12828,MATCH($A64,CS!$B:$B,0)+COLUMN(J$1),1))</f>
        <v>0</v>
      </c>
      <c r="BF64">
        <f>IF($A64="","", INDEX(CS!$B$1:$B$12828,MATCH($A64,CS!$B:$B,0)+COLUMN(K$1),1))</f>
        <v>0</v>
      </c>
      <c r="BG64">
        <f>IF($A64="","", INDEX(CS!$B$1:$B$12828,MATCH($A64,CS!$B:$B,0)+COLUMN(L$1),1))</f>
        <v>0</v>
      </c>
      <c r="BH64" t="s">
        <v>932</v>
      </c>
      <c r="CB64" t="s">
        <v>698</v>
      </c>
      <c r="CD64" t="s">
        <v>965</v>
      </c>
      <c r="CE64" t="s">
        <v>969</v>
      </c>
      <c r="CF64" t="s">
        <v>1179</v>
      </c>
      <c r="CI64" t="s">
        <v>252</v>
      </c>
    </row>
    <row r="65" spans="1:87" outlineLevel="1" x14ac:dyDescent="0.4">
      <c r="A65" t="s">
        <v>251</v>
      </c>
      <c r="B65" t="s">
        <v>253</v>
      </c>
      <c r="C65" t="s">
        <v>51</v>
      </c>
      <c r="D65" t="str">
        <f t="shared" si="4"/>
        <v>710/465/245</v>
      </c>
      <c r="E65">
        <v>1</v>
      </c>
      <c r="F65">
        <v>60</v>
      </c>
      <c r="I65">
        <v>50</v>
      </c>
      <c r="J65">
        <v>55</v>
      </c>
      <c r="K65" s="24">
        <v>85</v>
      </c>
      <c r="L65">
        <v>90</v>
      </c>
      <c r="M65">
        <v>50</v>
      </c>
      <c r="N65">
        <v>75</v>
      </c>
      <c r="AK65">
        <v>75</v>
      </c>
      <c r="AL65">
        <v>50</v>
      </c>
      <c r="AM65">
        <v>20</v>
      </c>
      <c r="AV65">
        <v>100</v>
      </c>
      <c r="AX65">
        <f>IF($A65="","", INDEX(CS!$B$1:$B$12828,MATCH($A65,CS!$B:$B,0)+COLUMN(A$1),1))</f>
        <v>0</v>
      </c>
      <c r="AY65">
        <f>IF($A65="","", INDEX(CS!$B$1:$B$12828,MATCH($A65,CS!$B:$B,0)+COLUMN(B$1),1))</f>
        <v>0</v>
      </c>
      <c r="AZ65">
        <f>IF($A65="","", INDEX(CS!$B$1:$B$12828,MATCH($A65,CS!$B:$B,0)+COLUMN(C$1),1))</f>
        <v>0</v>
      </c>
      <c r="BA65">
        <f>IF($A65="","", INDEX(CS!$B$1:$B$12828,MATCH($A65,CS!$B:$B,0)+COLUMN(D$1),1))</f>
        <v>0</v>
      </c>
      <c r="BB65">
        <f>IF($A65="","", INDEX(CS!$B$1:$B$12828,MATCH($A65,CS!$B:$B,0)+COLUMN(E$1),1))</f>
        <v>0</v>
      </c>
      <c r="BC65">
        <f>IF($A65="","", INDEX(CS!$B$1:$B$12828,MATCH($A65,CS!$B:$B,0)+COLUMN(F$1),1))</f>
        <v>0</v>
      </c>
      <c r="BD65">
        <f>IF($A65="","", INDEX(CS!$B$1:$B$12828,MATCH($A65,CS!$B:$B,0)+COLUMN(I$1),1))</f>
        <v>0</v>
      </c>
      <c r="BE65">
        <f>IF($A65="","", INDEX(CS!$B$1:$B$12828,MATCH($A65,CS!$B:$B,0)+COLUMN(J$1),1))</f>
        <v>0</v>
      </c>
      <c r="BF65">
        <f>IF($A65="","", INDEX(CS!$B$1:$B$12828,MATCH($A65,CS!$B:$B,0)+COLUMN(K$1),1))</f>
        <v>0</v>
      </c>
      <c r="BG65">
        <f>IF($A65="","", INDEX(CS!$B$1:$B$12828,MATCH($A65,CS!$B:$B,0)+COLUMN(L$1),1))</f>
        <v>0</v>
      </c>
      <c r="BH65" t="s">
        <v>932</v>
      </c>
      <c r="CB65" t="s">
        <v>698</v>
      </c>
      <c r="CD65" t="s">
        <v>965</v>
      </c>
      <c r="CE65" t="s">
        <v>969</v>
      </c>
      <c r="CF65" t="s">
        <v>1179</v>
      </c>
      <c r="CI65" t="s">
        <v>252</v>
      </c>
    </row>
    <row r="66" spans="1:87" outlineLevel="1" x14ac:dyDescent="0.4">
      <c r="A66" t="s">
        <v>250</v>
      </c>
      <c r="B66" t="s">
        <v>254</v>
      </c>
      <c r="C66" t="s">
        <v>51</v>
      </c>
      <c r="D66" t="str">
        <f t="shared" si="4"/>
        <v>710/465/245</v>
      </c>
      <c r="E66">
        <v>1</v>
      </c>
      <c r="F66">
        <v>65</v>
      </c>
      <c r="I66">
        <v>55</v>
      </c>
      <c r="J66">
        <v>65</v>
      </c>
      <c r="K66" s="24">
        <v>85</v>
      </c>
      <c r="L66">
        <v>70</v>
      </c>
      <c r="M66">
        <v>50</v>
      </c>
      <c r="N66">
        <v>75</v>
      </c>
      <c r="AK66">
        <v>50</v>
      </c>
      <c r="AM66">
        <v>95</v>
      </c>
      <c r="AV66">
        <v>100</v>
      </c>
      <c r="AX66">
        <f>IF($A66="","", INDEX(CS!$B$1:$B$12828,MATCH($A66,CS!$B:$B,0)+COLUMN(A$1),1))</f>
        <v>0</v>
      </c>
      <c r="AY66">
        <f>IF($A66="","", INDEX(CS!$B$1:$B$12828,MATCH($A66,CS!$B:$B,0)+COLUMN(B$1),1))</f>
        <v>0</v>
      </c>
      <c r="AZ66">
        <f>IF($A66="","", INDEX(CS!$B$1:$B$12828,MATCH($A66,CS!$B:$B,0)+COLUMN(C$1),1))</f>
        <v>0</v>
      </c>
      <c r="BA66">
        <f>IF($A66="","", INDEX(CS!$B$1:$B$12828,MATCH($A66,CS!$B:$B,0)+COLUMN(D$1),1))</f>
        <v>0</v>
      </c>
      <c r="BB66">
        <f>IF($A66="","", INDEX(CS!$B$1:$B$12828,MATCH($A66,CS!$B:$B,0)+COLUMN(E$1),1))</f>
        <v>0</v>
      </c>
      <c r="BC66">
        <f>IF($A66="","", INDEX(CS!$B$1:$B$12828,MATCH($A66,CS!$B:$B,0)+COLUMN(F$1),1))</f>
        <v>0</v>
      </c>
      <c r="BD66">
        <f>IF($A66="","", INDEX(CS!$B$1:$B$12828,MATCH($A66,CS!$B:$B,0)+COLUMN(I$1),1))</f>
        <v>0</v>
      </c>
      <c r="BE66">
        <f>IF($A66="","", INDEX(CS!$B$1:$B$12828,MATCH($A66,CS!$B:$B,0)+COLUMN(J$1),1))</f>
        <v>0</v>
      </c>
      <c r="BF66">
        <f>IF($A66="","", INDEX(CS!$B$1:$B$12828,MATCH($A66,CS!$B:$B,0)+COLUMN(K$1),1))</f>
        <v>0</v>
      </c>
      <c r="BG66">
        <f>IF($A66="","", INDEX(CS!$B$1:$B$12828,MATCH($A66,CS!$B:$B,0)+COLUMN(L$1),1))</f>
        <v>0</v>
      </c>
      <c r="BH66" t="s">
        <v>932</v>
      </c>
      <c r="CB66" t="s">
        <v>698</v>
      </c>
      <c r="CD66" t="s">
        <v>965</v>
      </c>
      <c r="CE66" t="s">
        <v>969</v>
      </c>
      <c r="CF66" t="s">
        <v>1179</v>
      </c>
      <c r="CI66" t="s">
        <v>252</v>
      </c>
    </row>
    <row r="67" spans="1:87" outlineLevel="1" x14ac:dyDescent="0.4">
      <c r="C67" t="s">
        <v>51</v>
      </c>
      <c r="D67" t="str">
        <f t="shared" si="4"/>
        <v>0/0/0</v>
      </c>
      <c r="E67">
        <v>1</v>
      </c>
      <c r="AX67" t="str">
        <f>IF($A67="","", INDEX(CS!$B$1:$B$12828,MATCH($A67,CS!$B:$B,0)+COLUMN(A$1),1))</f>
        <v/>
      </c>
      <c r="AY67" t="str">
        <f>IF($A67="","", INDEX(CS!$B$1:$B$12828,MATCH($A67,CS!$B:$B,0)+COLUMN(B$1),1))</f>
        <v/>
      </c>
      <c r="AZ67" t="str">
        <f>IF($A67="","", INDEX(CS!$B$1:$B$12828,MATCH($A67,CS!$B:$B,0)+COLUMN(C$1),1))</f>
        <v/>
      </c>
      <c r="BA67" t="str">
        <f>IF($A67="","", INDEX(CS!$B$1:$B$12828,MATCH($A67,CS!$B:$B,0)+COLUMN(D$1),1))</f>
        <v/>
      </c>
      <c r="BB67" t="str">
        <f>IF($A67="","", INDEX(CS!$B$1:$B$12828,MATCH($A67,CS!$B:$B,0)+COLUMN(E$1),1))</f>
        <v/>
      </c>
      <c r="BC67" t="str">
        <f>IF($A67="","", INDEX(CS!$B$1:$B$12828,MATCH($A67,CS!$B:$B,0)+COLUMN(F$1),1))</f>
        <v/>
      </c>
      <c r="BD67" t="str">
        <f>IF($A67="","", INDEX(CS!$B$1:$B$12828,MATCH($A67,CS!$B:$B,0)+COLUMN(I$1),1))</f>
        <v/>
      </c>
      <c r="BE67" t="str">
        <f>IF($A67="","", INDEX(CS!$B$1:$B$12828,MATCH($A67,CS!$B:$B,0)+COLUMN(J$1),1))</f>
        <v/>
      </c>
      <c r="BF67" t="str">
        <f>IF($A67="","", INDEX(CS!$B$1:$B$12828,MATCH($A67,CS!$B:$B,0)+COLUMN(K$1),1))</f>
        <v/>
      </c>
      <c r="BG67" t="str">
        <f>IF($A67="","", INDEX(CS!$B$1:$B$12828,MATCH($A67,CS!$B:$B,0)+COLUMN(L$1),1))</f>
        <v/>
      </c>
    </row>
    <row r="68" spans="1:87" outlineLevel="1" x14ac:dyDescent="0.4">
      <c r="A68" t="s">
        <v>38</v>
      </c>
      <c r="B68" t="s">
        <v>193</v>
      </c>
      <c r="C68" t="s">
        <v>51</v>
      </c>
      <c r="D68" t="str">
        <f t="shared" si="4"/>
        <v>710/485/225</v>
      </c>
      <c r="E68">
        <v>1</v>
      </c>
      <c r="F68">
        <v>75</v>
      </c>
      <c r="I68">
        <v>70</v>
      </c>
      <c r="J68">
        <v>70</v>
      </c>
      <c r="K68" s="24">
        <v>75</v>
      </c>
      <c r="L68">
        <v>70</v>
      </c>
      <c r="M68">
        <v>50</v>
      </c>
      <c r="N68">
        <v>75</v>
      </c>
      <c r="AK68">
        <v>75</v>
      </c>
      <c r="AT68">
        <v>50</v>
      </c>
      <c r="AW68">
        <v>100</v>
      </c>
      <c r="AX68" t="str">
        <f>IF($A68="","", INDEX(CS!$B$1:$B$12828,MATCH($A68,CS!$B:$B,0)+COLUMN(A$1),1))</f>
        <v>光粒</v>
      </c>
      <c r="AY68" t="str">
        <f>IF($A68="","", INDEX(CS!$B$1:$B$12828,MATCH($A68,CS!$B:$B,0)+COLUMN(B$1),1))</f>
        <v>軽回復</v>
      </c>
      <c r="AZ68">
        <f>IF($A68="","", INDEX(CS!$B$1:$B$12828,MATCH($A68,CS!$B:$B,0)+COLUMN(C$1),1))</f>
        <v>0</v>
      </c>
      <c r="BA68">
        <f>IF($A68="","", INDEX(CS!$B$1:$B$12828,MATCH($A68,CS!$B:$B,0)+COLUMN(D$1),1))</f>
        <v>0</v>
      </c>
      <c r="BB68">
        <f>IF($A68="","", INDEX(CS!$B$1:$B$12828,MATCH($A68,CS!$B:$B,0)+COLUMN(E$1),1))</f>
        <v>0</v>
      </c>
      <c r="BC68">
        <f>IF($A68="","", INDEX(CS!$B$1:$B$12828,MATCH($A68,CS!$B:$B,0)+COLUMN(F$1),1))</f>
        <v>0</v>
      </c>
      <c r="BD68">
        <f>IF($A68="","", INDEX(CS!$B$1:$B$12828,MATCH($A68,CS!$B:$B,0)+COLUMN(I$1),1))</f>
        <v>0</v>
      </c>
      <c r="BE68">
        <f>IF($A68="","", INDEX(CS!$B$1:$B$12828,MATCH($A68,CS!$B:$B,0)+COLUMN(J$1),1))</f>
        <v>0</v>
      </c>
      <c r="BF68">
        <f>IF($A68="","", INDEX(CS!$B$1:$B$12828,MATCH($A68,CS!$B:$B,0)+COLUMN(K$1),1))</f>
        <v>0</v>
      </c>
      <c r="BG68">
        <f>IF($A68="","", INDEX(CS!$B$1:$B$12828,MATCH($A68,CS!$B:$B,0)+COLUMN(L$1),1))</f>
        <v>0</v>
      </c>
      <c r="BH68" t="s">
        <v>932</v>
      </c>
      <c r="CB68" t="s">
        <v>1233</v>
      </c>
      <c r="CD68" t="s">
        <v>965</v>
      </c>
      <c r="CE68" t="s">
        <v>969</v>
      </c>
      <c r="CF68" t="s">
        <v>1179</v>
      </c>
      <c r="CI68" t="s">
        <v>193</v>
      </c>
    </row>
    <row r="69" spans="1:87" outlineLevel="1" x14ac:dyDescent="0.4">
      <c r="A69" t="s">
        <v>40</v>
      </c>
      <c r="B69" t="s">
        <v>192</v>
      </c>
      <c r="C69" t="s">
        <v>51</v>
      </c>
      <c r="D69" t="str">
        <f t="shared" si="4"/>
        <v>710/485/225</v>
      </c>
      <c r="E69">
        <v>1</v>
      </c>
      <c r="F69">
        <v>85</v>
      </c>
      <c r="I69">
        <v>70</v>
      </c>
      <c r="J69">
        <v>85</v>
      </c>
      <c r="K69" s="24">
        <v>55</v>
      </c>
      <c r="L69">
        <v>60</v>
      </c>
      <c r="M69">
        <v>55</v>
      </c>
      <c r="N69">
        <v>75</v>
      </c>
      <c r="AI69">
        <v>50</v>
      </c>
      <c r="AK69">
        <v>50</v>
      </c>
      <c r="AT69">
        <v>50</v>
      </c>
      <c r="AW69">
        <v>75</v>
      </c>
      <c r="AX69">
        <f>IF($A69="","", INDEX(CS!$B$1:$B$12828,MATCH($A69,CS!$B:$B,0)+COLUMN(A$1),1))</f>
        <v>0</v>
      </c>
      <c r="AY69">
        <f>IF($A69="","", INDEX(CS!$B$1:$B$12828,MATCH($A69,CS!$B:$B,0)+COLUMN(B$1),1))</f>
        <v>0</v>
      </c>
      <c r="AZ69">
        <f>IF($A69="","", INDEX(CS!$B$1:$B$12828,MATCH($A69,CS!$B:$B,0)+COLUMN(C$1),1))</f>
        <v>0</v>
      </c>
      <c r="BA69">
        <f>IF($A69="","", INDEX(CS!$B$1:$B$12828,MATCH($A69,CS!$B:$B,0)+COLUMN(D$1),1))</f>
        <v>0</v>
      </c>
      <c r="BB69">
        <f>IF($A69="","", INDEX(CS!$B$1:$B$12828,MATCH($A69,CS!$B:$B,0)+COLUMN(E$1),1))</f>
        <v>0</v>
      </c>
      <c r="BC69">
        <f>IF($A69="","", INDEX(CS!$B$1:$B$12828,MATCH($A69,CS!$B:$B,0)+COLUMN(F$1),1))</f>
        <v>0</v>
      </c>
      <c r="BD69">
        <f>IF($A69="","", INDEX(CS!$B$1:$B$12828,MATCH($A69,CS!$B:$B,0)+COLUMN(I$1),1))</f>
        <v>0</v>
      </c>
      <c r="BE69">
        <f>IF($A69="","", INDEX(CS!$B$1:$B$12828,MATCH($A69,CS!$B:$B,0)+COLUMN(J$1),1))</f>
        <v>0</v>
      </c>
      <c r="BF69">
        <f>IF($A69="","", INDEX(CS!$B$1:$B$12828,MATCH($A69,CS!$B:$B,0)+COLUMN(K$1),1))</f>
        <v>0</v>
      </c>
      <c r="BG69">
        <f>IF($A69="","", INDEX(CS!$B$1:$B$12828,MATCH($A69,CS!$B:$B,0)+COLUMN(L$1),1))</f>
        <v>0</v>
      </c>
      <c r="BH69" t="s">
        <v>932</v>
      </c>
      <c r="CB69" t="s">
        <v>716</v>
      </c>
      <c r="CC69" t="s">
        <v>1230</v>
      </c>
      <c r="CD69" t="s">
        <v>965</v>
      </c>
      <c r="CE69" t="s">
        <v>969</v>
      </c>
      <c r="CF69" t="s">
        <v>1179</v>
      </c>
      <c r="CI69" t="s">
        <v>193</v>
      </c>
    </row>
    <row r="70" spans="1:87" outlineLevel="1" x14ac:dyDescent="0.4">
      <c r="A70" t="s">
        <v>190</v>
      </c>
      <c r="B70" t="s">
        <v>191</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INDEX(CS!$B$1:$B$12828,MATCH($A70,CS!$B:$B,0)+COLUMN(A$1),1))</f>
        <v>植物の絡み</v>
      </c>
      <c r="AY70">
        <f>IF($A70="","", INDEX(CS!$B$1:$B$12828,MATCH($A70,CS!$B:$B,0)+COLUMN(B$1),1))</f>
        <v>0</v>
      </c>
      <c r="AZ70" t="str">
        <f>IF($A70="","", INDEX(CS!$B$1:$B$12828,MATCH($A70,CS!$B:$B,0)+COLUMN(C$1),1))</f>
        <v>森の歩み</v>
      </c>
      <c r="BA70">
        <f>IF($A70="","", INDEX(CS!$B$1:$B$12828,MATCH($A70,CS!$B:$B,0)+COLUMN(D$1),1))</f>
        <v>0</v>
      </c>
      <c r="BB70">
        <f>IF($A70="","", INDEX(CS!$B$1:$B$12828,MATCH($A70,CS!$B:$B,0)+COLUMN(E$1),1))</f>
        <v>0</v>
      </c>
      <c r="BC70">
        <f>IF($A70="","", INDEX(CS!$B$1:$B$12828,MATCH($A70,CS!$B:$B,0)+COLUMN(F$1),1))</f>
        <v>0</v>
      </c>
      <c r="BD70">
        <f>IF($A70="","", INDEX(CS!$B$1:$B$12828,MATCH($A70,CS!$B:$B,0)+COLUMN(I$1),1))</f>
        <v>0</v>
      </c>
      <c r="BE70">
        <f>IF($A70="","", INDEX(CS!$B$1:$B$12828,MATCH($A70,CS!$B:$B,0)+COLUMN(J$1),1))</f>
        <v>0</v>
      </c>
      <c r="BF70">
        <f>IF($A70="","", INDEX(CS!$B$1:$B$12828,MATCH($A70,CS!$B:$B,0)+COLUMN(K$1),1))</f>
        <v>0</v>
      </c>
      <c r="BG70">
        <f>IF($A70="","", INDEX(CS!$B$1:$B$12828,MATCH($A70,CS!$B:$B,0)+COLUMN(L$1),1))</f>
        <v>0</v>
      </c>
      <c r="BH70" t="s">
        <v>932</v>
      </c>
      <c r="CB70" t="s">
        <v>1233</v>
      </c>
      <c r="CD70" t="s">
        <v>965</v>
      </c>
      <c r="CE70" t="s">
        <v>969</v>
      </c>
      <c r="CF70" t="s">
        <v>1179</v>
      </c>
      <c r="CI70" t="s">
        <v>193</v>
      </c>
    </row>
    <row r="71" spans="1:87" outlineLevel="1" x14ac:dyDescent="0.4">
      <c r="C71" t="s">
        <v>51</v>
      </c>
      <c r="D71" t="str">
        <f t="shared" si="4"/>
        <v>0/0/0</v>
      </c>
      <c r="E71">
        <v>1</v>
      </c>
      <c r="AX71" t="str">
        <f>IF($A71="","", INDEX(CS!$B$1:$B$12828,MATCH($A71,CS!$B:$B,0)+COLUMN(A$1),1))</f>
        <v/>
      </c>
      <c r="AY71" t="str">
        <f>IF($A71="","", INDEX(CS!$B$1:$B$12828,MATCH($A71,CS!$B:$B,0)+COLUMN(B$1),1))</f>
        <v/>
      </c>
      <c r="AZ71" t="str">
        <f>IF($A71="","", INDEX(CS!$B$1:$B$12828,MATCH($A71,CS!$B:$B,0)+COLUMN(C$1),1))</f>
        <v/>
      </c>
      <c r="BA71" t="str">
        <f>IF($A71="","", INDEX(CS!$B$1:$B$12828,MATCH($A71,CS!$B:$B,0)+COLUMN(D$1),1))</f>
        <v/>
      </c>
      <c r="BB71" t="str">
        <f>IF($A71="","", INDEX(CS!$B$1:$B$12828,MATCH($A71,CS!$B:$B,0)+COLUMN(E$1),1))</f>
        <v/>
      </c>
      <c r="BC71" t="str">
        <f>IF($A71="","", INDEX(CS!$B$1:$B$12828,MATCH($A71,CS!$B:$B,0)+COLUMN(F$1),1))</f>
        <v/>
      </c>
      <c r="BD71" t="str">
        <f>IF($A71="","", INDEX(CS!$B$1:$B$12828,MATCH($A71,CS!$B:$B,0)+COLUMN(I$1),1))</f>
        <v/>
      </c>
      <c r="BE71" t="str">
        <f>IF($A71="","", INDEX(CS!$B$1:$B$12828,MATCH($A71,CS!$B:$B,0)+COLUMN(J$1),1))</f>
        <v/>
      </c>
      <c r="BF71" t="str">
        <f>IF($A71="","", INDEX(CS!$B$1:$B$12828,MATCH($A71,CS!$B:$B,0)+COLUMN(K$1),1))</f>
        <v/>
      </c>
      <c r="BG71" t="str">
        <f>IF($A71="","", INDEX(CS!$B$1:$B$12828,MATCH($A71,CS!$B:$B,0)+COLUMN(L$1),1))</f>
        <v/>
      </c>
    </row>
    <row r="72" spans="1:87" x14ac:dyDescent="0.4">
      <c r="D72" t="str">
        <f t="shared" ref="D72" si="5">SUM(AI72:AW72,F72:N72)&amp;"/"&amp;SUM(F72:N72)&amp;"/"&amp;SUM(AI72:AW72)</f>
        <v>0/0/0</v>
      </c>
      <c r="AX72" t="str">
        <f>IF($A72="","", INDEX(CS!$B$1:$B$12828,MATCH($A72,CS!$B:$B,0)+COLUMN(A$1),1))</f>
        <v/>
      </c>
      <c r="AY72" t="str">
        <f>IF($A72="","", INDEX(CS!$B$1:$B$12828,MATCH($A72,CS!$B:$B,0)+COLUMN(B$1),1))</f>
        <v/>
      </c>
      <c r="AZ72" t="str">
        <f>IF($A72="","", INDEX(CS!$B$1:$B$12828,MATCH($A72,CS!$B:$B,0)+COLUMN(C$1),1))</f>
        <v/>
      </c>
      <c r="BA72" t="str">
        <f>IF($A72="","", INDEX(CS!$B$1:$B$12828,MATCH($A72,CS!$B:$B,0)+COLUMN(D$1),1))</f>
        <v/>
      </c>
      <c r="BB72" t="str">
        <f>IF($A72="","", INDEX(CS!$B$1:$B$12828,MATCH($A72,CS!$B:$B,0)+COLUMN(E$1),1))</f>
        <v/>
      </c>
      <c r="BC72" t="str">
        <f>IF($A72="","", INDEX(CS!$B$1:$B$12828,MATCH($A72,CS!$B:$B,0)+COLUMN(F$1),1))</f>
        <v/>
      </c>
      <c r="BD72" t="str">
        <f>IF($A72="","", INDEX(CS!$B$1:$B$12828,MATCH($A72,CS!$B:$B,0)+COLUMN(I$1),1))</f>
        <v/>
      </c>
      <c r="BE72" t="str">
        <f>IF($A72="","", INDEX(CS!$B$1:$B$12828,MATCH($A72,CS!$B:$B,0)+COLUMN(J$1),1))</f>
        <v/>
      </c>
      <c r="BF72" t="str">
        <f>IF($A72="","", INDEX(CS!$B$1:$B$12828,MATCH($A72,CS!$B:$B,0)+COLUMN(K$1),1))</f>
        <v/>
      </c>
      <c r="BG72" t="str">
        <f>IF($A72="","", INDEX(CS!$B$1:$B$12828,MATCH($A72,CS!$B:$B,0)+COLUMN(L$1),1))</f>
        <v/>
      </c>
    </row>
    <row r="73" spans="1:87" x14ac:dyDescent="0.4">
      <c r="B73" t="s">
        <v>941</v>
      </c>
      <c r="D73" t="str">
        <f t="shared" ref="D73" si="6">SUM(AI73:AW73,F73:N73)&amp;"/"&amp;SUM(F73:N73)&amp;"/"&amp;SUM(AI73:AW73)</f>
        <v>0/0/0</v>
      </c>
      <c r="E73">
        <v>1</v>
      </c>
      <c r="AX73" t="str">
        <f>IF($A73="","", INDEX(CS!$B$1:$B$12828,MATCH($A73,CS!$B:$B,0)+COLUMN(A$1),1))</f>
        <v/>
      </c>
      <c r="AY73" t="str">
        <f>IF($A73="","", INDEX(CS!$B$1:$B$12828,MATCH($A73,CS!$B:$B,0)+COLUMN(B$1),1))</f>
        <v/>
      </c>
      <c r="AZ73" t="str">
        <f>IF($A73="","", INDEX(CS!$B$1:$B$12828,MATCH($A73,CS!$B:$B,0)+COLUMN(C$1),1))</f>
        <v/>
      </c>
      <c r="BA73" t="str">
        <f>IF($A73="","", INDEX(CS!$B$1:$B$12828,MATCH($A73,CS!$B:$B,0)+COLUMN(D$1),1))</f>
        <v/>
      </c>
      <c r="BB73" t="str">
        <f>IF($A73="","", INDEX(CS!$B$1:$B$12828,MATCH($A73,CS!$B:$B,0)+COLUMN(E$1),1))</f>
        <v/>
      </c>
      <c r="BC73" t="str">
        <f>IF($A73="","", INDEX(CS!$B$1:$B$12828,MATCH($A73,CS!$B:$B,0)+COLUMN(F$1),1))</f>
        <v/>
      </c>
      <c r="BD73" t="str">
        <f>IF($A73="","", INDEX(CS!$B$1:$B$12828,MATCH($A73,CS!$B:$B,0)+COLUMN(I$1),1))</f>
        <v/>
      </c>
      <c r="BE73" t="str">
        <f>IF($A73="","", INDEX(CS!$B$1:$B$12828,MATCH($A73,CS!$B:$B,0)+COLUMN(J$1),1))</f>
        <v/>
      </c>
      <c r="BF73" t="str">
        <f>IF($A73="","", INDEX(CS!$B$1:$B$12828,MATCH($A73,CS!$B:$B,0)+COLUMN(K$1),1))</f>
        <v/>
      </c>
      <c r="BG73" t="str">
        <f>IF($A73="","", INDEX(CS!$B$1:$B$12828,MATCH($A73,CS!$B:$B,0)+COLUMN(L$1),1))</f>
        <v/>
      </c>
    </row>
    <row r="74" spans="1:87" outlineLevel="1" x14ac:dyDescent="0.4">
      <c r="A74" t="s">
        <v>942</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INDEX(CS!$B$1:$B$12828,MATCH($A74,CS!$B:$B,0)+COLUMN(A$1),1))</f>
        <v>#N/A</v>
      </c>
      <c r="AY74" t="e">
        <f>IF($A74="","", INDEX(CS!$B$1:$B$12828,MATCH($A74,CS!$B:$B,0)+COLUMN(B$1),1))</f>
        <v>#N/A</v>
      </c>
      <c r="AZ74" t="e">
        <f>IF($A74="","", INDEX(CS!$B$1:$B$12828,MATCH($A74,CS!$B:$B,0)+COLUMN(C$1),1))</f>
        <v>#N/A</v>
      </c>
      <c r="BA74" t="e">
        <f>IF($A74="","", INDEX(CS!$B$1:$B$12828,MATCH($A74,CS!$B:$B,0)+COLUMN(D$1),1))</f>
        <v>#N/A</v>
      </c>
      <c r="BB74" t="e">
        <f>IF($A74="","", INDEX(CS!$B$1:$B$12828,MATCH($A74,CS!$B:$B,0)+COLUMN(E$1),1))</f>
        <v>#N/A</v>
      </c>
      <c r="BC74" t="e">
        <f>IF($A74="","", INDEX(CS!$B$1:$B$12828,MATCH($A74,CS!$B:$B,0)+COLUMN(F$1),1))</f>
        <v>#N/A</v>
      </c>
      <c r="BD74" t="e">
        <f>IF($A74="","", INDEX(CS!$B$1:$B$12828,MATCH($A74,CS!$B:$B,0)+COLUMN(I$1),1))</f>
        <v>#N/A</v>
      </c>
      <c r="BE74" t="e">
        <f>IF($A74="","", INDEX(CS!$B$1:$B$12828,MATCH($A74,CS!$B:$B,0)+COLUMN(J$1),1))</f>
        <v>#N/A</v>
      </c>
      <c r="BF74" t="e">
        <f>IF($A74="","", INDEX(CS!$B$1:$B$12828,MATCH($A74,CS!$B:$B,0)+COLUMN(K$1),1))</f>
        <v>#N/A</v>
      </c>
      <c r="BG74" t="e">
        <f>IF($A74="","", INDEX(CS!$B$1:$B$12828,MATCH($A74,CS!$B:$B,0)+COLUMN(L$1),1))</f>
        <v>#N/A</v>
      </c>
      <c r="BI74" t="s">
        <v>943</v>
      </c>
      <c r="CB74" t="s">
        <v>1231</v>
      </c>
      <c r="CE74" t="s">
        <v>968</v>
      </c>
      <c r="CF74" t="s">
        <v>1179</v>
      </c>
      <c r="CI74" t="s">
        <v>1045</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INDEX(CS!$B$1:$B$12828,MATCH($A75,CS!$B:$B,0)+COLUMN(A$1),1))</f>
        <v/>
      </c>
      <c r="AY75" t="str">
        <f>IF($A75="","", INDEX(CS!$B$1:$B$12828,MATCH($A75,CS!$B:$B,0)+COLUMN(B$1),1))</f>
        <v/>
      </c>
      <c r="AZ75" t="str">
        <f>IF($A75="","", INDEX(CS!$B$1:$B$12828,MATCH($A75,CS!$B:$B,0)+COLUMN(C$1),1))</f>
        <v/>
      </c>
      <c r="BA75" t="str">
        <f>IF($A75="","", INDEX(CS!$B$1:$B$12828,MATCH($A75,CS!$B:$B,0)+COLUMN(D$1),1))</f>
        <v/>
      </c>
      <c r="BB75" t="str">
        <f>IF($A75="","", INDEX(CS!$B$1:$B$12828,MATCH($A75,CS!$B:$B,0)+COLUMN(E$1),1))</f>
        <v/>
      </c>
      <c r="BC75" t="str">
        <f>IF($A75="","", INDEX(CS!$B$1:$B$12828,MATCH($A75,CS!$B:$B,0)+COLUMN(F$1),1))</f>
        <v/>
      </c>
      <c r="BD75" t="str">
        <f>IF($A75="","", INDEX(CS!$B$1:$B$12828,MATCH($A75,CS!$B:$B,0)+COLUMN(I$1),1))</f>
        <v/>
      </c>
      <c r="BE75" t="str">
        <f>IF($A75="","", INDEX(CS!$B$1:$B$12828,MATCH($A75,CS!$B:$B,0)+COLUMN(J$1),1))</f>
        <v/>
      </c>
      <c r="BF75" t="str">
        <f>IF($A75="","", INDEX(CS!$B$1:$B$12828,MATCH($A75,CS!$B:$B,0)+COLUMN(K$1),1))</f>
        <v/>
      </c>
      <c r="BG75" t="str">
        <f>IF($A75="","", INDEX(CS!$B$1:$B$12828,MATCH($A75,CS!$B:$B,0)+COLUMN(L$1),1))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INDEX(CS!$B$1:$B$12828,MATCH($A76,CS!$B:$B,0)+COLUMN(A$1),1))</f>
        <v/>
      </c>
      <c r="AY76" t="str">
        <f>IF($A76="","", INDEX(CS!$B$1:$B$12828,MATCH($A76,CS!$B:$B,0)+COLUMN(B$1),1))</f>
        <v/>
      </c>
      <c r="AZ76" t="str">
        <f>IF($A76="","", INDEX(CS!$B$1:$B$12828,MATCH($A76,CS!$B:$B,0)+COLUMN(C$1),1))</f>
        <v/>
      </c>
      <c r="BA76" t="str">
        <f>IF($A76="","", INDEX(CS!$B$1:$B$12828,MATCH($A76,CS!$B:$B,0)+COLUMN(D$1),1))</f>
        <v/>
      </c>
      <c r="BB76" t="str">
        <f>IF($A76="","", INDEX(CS!$B$1:$B$12828,MATCH($A76,CS!$B:$B,0)+COLUMN(E$1),1))</f>
        <v/>
      </c>
      <c r="BC76" t="str">
        <f>IF($A76="","", INDEX(CS!$B$1:$B$12828,MATCH($A76,CS!$B:$B,0)+COLUMN(F$1),1))</f>
        <v/>
      </c>
      <c r="BD76" t="str">
        <f>IF($A76="","", INDEX(CS!$B$1:$B$12828,MATCH($A76,CS!$B:$B,0)+COLUMN(I$1),1))</f>
        <v/>
      </c>
      <c r="BE76" t="str">
        <f>IF($A76="","", INDEX(CS!$B$1:$B$12828,MATCH($A76,CS!$B:$B,0)+COLUMN(J$1),1))</f>
        <v/>
      </c>
      <c r="BF76" t="str">
        <f>IF($A76="","", INDEX(CS!$B$1:$B$12828,MATCH($A76,CS!$B:$B,0)+COLUMN(K$1),1))</f>
        <v/>
      </c>
      <c r="BG76" t="str">
        <f>IF($A76="","", INDEX(CS!$B$1:$B$12828,MATCH($A76,CS!$B:$B,0)+COLUMN(L$1),1))</f>
        <v/>
      </c>
    </row>
    <row r="77" spans="1:87" outlineLevel="1" x14ac:dyDescent="0.4">
      <c r="C77" t="s">
        <v>51</v>
      </c>
      <c r="D77" t="str">
        <f>SUM(AI77:AW77,F77:N77)&amp;"/"&amp;SUM(F77:N77)&amp;"/"&amp;SUM(AI77:AW77)</f>
        <v>0/0/0</v>
      </c>
      <c r="E77">
        <v>1</v>
      </c>
      <c r="AX77" t="str">
        <f>IF($A77="","", INDEX(CS!$B$1:$B$12828,MATCH($A77,CS!$B:$B,0)+COLUMN(A$1),1))</f>
        <v/>
      </c>
      <c r="AY77" t="str">
        <f>IF($A77="","", INDEX(CS!$B$1:$B$12828,MATCH($A77,CS!$B:$B,0)+COLUMN(B$1),1))</f>
        <v/>
      </c>
      <c r="AZ77" t="str">
        <f>IF($A77="","", INDEX(CS!$B$1:$B$12828,MATCH($A77,CS!$B:$B,0)+COLUMN(C$1),1))</f>
        <v/>
      </c>
      <c r="BA77" t="str">
        <f>IF($A77="","", INDEX(CS!$B$1:$B$12828,MATCH($A77,CS!$B:$B,0)+COLUMN(D$1),1))</f>
        <v/>
      </c>
      <c r="BB77" t="str">
        <f>IF($A77="","", INDEX(CS!$B$1:$B$12828,MATCH($A77,CS!$B:$B,0)+COLUMN(E$1),1))</f>
        <v/>
      </c>
      <c r="BC77" t="str">
        <f>IF($A77="","", INDEX(CS!$B$1:$B$12828,MATCH($A77,CS!$B:$B,0)+COLUMN(F$1),1))</f>
        <v/>
      </c>
      <c r="BD77" t="str">
        <f>IF($A77="","", INDEX(CS!$B$1:$B$12828,MATCH($A77,CS!$B:$B,0)+COLUMN(I$1),1))</f>
        <v/>
      </c>
      <c r="BE77" t="str">
        <f>IF($A77="","", INDEX(CS!$B$1:$B$12828,MATCH($A77,CS!$B:$B,0)+COLUMN(J$1),1))</f>
        <v/>
      </c>
      <c r="BF77" t="str">
        <f>IF($A77="","", INDEX(CS!$B$1:$B$12828,MATCH($A77,CS!$B:$B,0)+COLUMN(K$1),1))</f>
        <v/>
      </c>
      <c r="BG77" t="str">
        <f>IF($A77="","", INDEX(CS!$B$1:$B$12828,MATCH($A77,CS!$B:$B,0)+COLUMN(L$1),1))</f>
        <v/>
      </c>
    </row>
    <row r="78" spans="1:87" x14ac:dyDescent="0.4">
      <c r="D78" t="str">
        <f t="shared" si="2"/>
        <v>0/0/0</v>
      </c>
      <c r="E78">
        <v>1</v>
      </c>
      <c r="AX78" t="str">
        <f>IF($A78="","", INDEX(CS!$B$1:$B$12828,MATCH($A78,CS!$B:$B,0)+COLUMN(A$1),1))</f>
        <v/>
      </c>
      <c r="AY78" t="str">
        <f>IF($A78="","", INDEX(CS!$B$1:$B$12828,MATCH($A78,CS!$B:$B,0)+COLUMN(B$1),1))</f>
        <v/>
      </c>
      <c r="AZ78" t="str">
        <f>IF($A78="","", INDEX(CS!$B$1:$B$12828,MATCH($A78,CS!$B:$B,0)+COLUMN(C$1),1))</f>
        <v/>
      </c>
      <c r="BA78" t="str">
        <f>IF($A78="","", INDEX(CS!$B$1:$B$12828,MATCH($A78,CS!$B:$B,0)+COLUMN(D$1),1))</f>
        <v/>
      </c>
      <c r="BB78" t="str">
        <f>IF($A78="","", INDEX(CS!$B$1:$B$12828,MATCH($A78,CS!$B:$B,0)+COLUMN(E$1),1))</f>
        <v/>
      </c>
      <c r="BC78" t="str">
        <f>IF($A78="","", INDEX(CS!$B$1:$B$12828,MATCH($A78,CS!$B:$B,0)+COLUMN(F$1),1))</f>
        <v/>
      </c>
      <c r="BD78" t="str">
        <f>IF($A78="","", INDEX(CS!$B$1:$B$12828,MATCH($A78,CS!$B:$B,0)+COLUMN(I$1),1))</f>
        <v/>
      </c>
      <c r="BE78" t="str">
        <f>IF($A78="","", INDEX(CS!$B$1:$B$12828,MATCH($A78,CS!$B:$B,0)+COLUMN(J$1),1))</f>
        <v/>
      </c>
      <c r="BF78" t="str">
        <f>IF($A78="","", INDEX(CS!$B$1:$B$12828,MATCH($A78,CS!$B:$B,0)+COLUMN(K$1),1))</f>
        <v/>
      </c>
      <c r="BG78" t="str">
        <f>IF($A78="","", INDEX(CS!$B$1:$B$12828,MATCH($A78,CS!$B:$B,0)+COLUMN(L$1),1))</f>
        <v/>
      </c>
    </row>
    <row r="79" spans="1:87" ht="20.25" customHeight="1" x14ac:dyDescent="0.4">
      <c r="D79" t="str">
        <f t="shared" si="2"/>
        <v>0/0/0</v>
      </c>
      <c r="E79">
        <v>1</v>
      </c>
      <c r="AX79" t="str">
        <f>IF($A79="","", INDEX(CS!$B$1:$B$12828,MATCH($A79,CS!$B:$B,0)+COLUMN(A$1),1))</f>
        <v/>
      </c>
      <c r="AY79" t="str">
        <f>IF($A79="","", INDEX(CS!$B$1:$B$12828,MATCH($A79,CS!$B:$B,0)+COLUMN(B$1),1))</f>
        <v/>
      </c>
      <c r="AZ79" t="str">
        <f>IF($A79="","", INDEX(CS!$B$1:$B$12828,MATCH($A79,CS!$B:$B,0)+COLUMN(C$1),1))</f>
        <v/>
      </c>
      <c r="BA79" t="str">
        <f>IF($A79="","", INDEX(CS!$B$1:$B$12828,MATCH($A79,CS!$B:$B,0)+COLUMN(D$1),1))</f>
        <v/>
      </c>
      <c r="BB79" t="str">
        <f>IF($A79="","", INDEX(CS!$B$1:$B$12828,MATCH($A79,CS!$B:$B,0)+COLUMN(E$1),1))</f>
        <v/>
      </c>
      <c r="BC79" t="str">
        <f>IF($A79="","", INDEX(CS!$B$1:$B$12828,MATCH($A79,CS!$B:$B,0)+COLUMN(F$1),1))</f>
        <v/>
      </c>
      <c r="BD79" t="str">
        <f>IF($A79="","", INDEX(CS!$B$1:$B$12828,MATCH($A79,CS!$B:$B,0)+COLUMN(I$1),1))</f>
        <v/>
      </c>
      <c r="BE79" t="str">
        <f>IF($A79="","", INDEX(CS!$B$1:$B$12828,MATCH($A79,CS!$B:$B,0)+COLUMN(J$1),1))</f>
        <v/>
      </c>
      <c r="BF79" t="str">
        <f>IF($A79="","", INDEX(CS!$B$1:$B$12828,MATCH($A79,CS!$B:$B,0)+COLUMN(K$1),1))</f>
        <v/>
      </c>
      <c r="BG79" t="str">
        <f>IF($A79="","", INDEX(CS!$B$1:$B$12828,MATCH($A79,CS!$B:$B,0)+COLUMN(L$1),1))</f>
        <v/>
      </c>
      <c r="BS79" s="53"/>
      <c r="BT79" s="53"/>
      <c r="BU79" s="53"/>
      <c r="BV79" s="53"/>
      <c r="BW79" s="53"/>
    </row>
    <row r="80" spans="1:87" x14ac:dyDescent="0.4">
      <c r="A80" t="s">
        <v>198</v>
      </c>
      <c r="C80" t="s">
        <v>194</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INDEX(CS!$B$1:$B$12828,MATCH($A80,CS!$B:$B,0)+COLUMN(A$1),1))</f>
        <v>爪</v>
      </c>
      <c r="AY80" t="str">
        <f>IF($A80="","", INDEX(CS!$B$1:$B$12828,MATCH($A80,CS!$B:$B,0)+COLUMN(B$1),1))</f>
        <v>牙</v>
      </c>
      <c r="AZ80">
        <f>IF($A80="","", INDEX(CS!$B$1:$B$12828,MATCH($A80,CS!$B:$B,0)+COLUMN(C$1),1))</f>
        <v>0</v>
      </c>
      <c r="BA80">
        <f>IF($A80="","", INDEX(CS!$B$1:$B$12828,MATCH($A80,CS!$B:$B,0)+COLUMN(D$1),1))</f>
        <v>0</v>
      </c>
      <c r="BB80">
        <f>IF($A80="","", INDEX(CS!$B$1:$B$12828,MATCH($A80,CS!$B:$B,0)+COLUMN(E$1),1))</f>
        <v>0</v>
      </c>
      <c r="BC80">
        <f>IF($A80="","", INDEX(CS!$B$1:$B$12828,MATCH($A80,CS!$B:$B,0)+COLUMN(F$1),1))</f>
        <v>0</v>
      </c>
      <c r="BD80">
        <f>IF($A80="","", INDEX(CS!$B$1:$B$12828,MATCH($A80,CS!$B:$B,0)+COLUMN(I$1),1))</f>
        <v>0</v>
      </c>
      <c r="BE80">
        <f>IF($A80="","", INDEX(CS!$B$1:$B$12828,MATCH($A80,CS!$B:$B,0)+COLUMN(J$1),1))</f>
        <v>0</v>
      </c>
      <c r="BF80">
        <f>IF($A80="","", INDEX(CS!$B$1:$B$12828,MATCH($A80,CS!$B:$B,0)+COLUMN(K$1),1))</f>
        <v>0</v>
      </c>
      <c r="BG80">
        <f>IF($A80="","", INDEX(CS!$B$1:$B$12828,MATCH($A80,CS!$B:$B,0)+COLUMN(L$1),1))</f>
        <v>0</v>
      </c>
      <c r="BR80" t="s">
        <v>948</v>
      </c>
      <c r="BS80" s="53">
        <v>120</v>
      </c>
      <c r="BT80" s="52">
        <v>10</v>
      </c>
      <c r="BU80" s="52">
        <v>10</v>
      </c>
      <c r="BV80" s="52">
        <v>90</v>
      </c>
      <c r="BW80" s="52">
        <v>10</v>
      </c>
      <c r="CB80" t="s">
        <v>960</v>
      </c>
      <c r="CC80" t="s">
        <v>960</v>
      </c>
      <c r="CF80" t="s">
        <v>960</v>
      </c>
      <c r="CI80" t="s">
        <v>194</v>
      </c>
    </row>
    <row r="81" spans="1:87" x14ac:dyDescent="0.4">
      <c r="A81" t="s">
        <v>195</v>
      </c>
      <c r="C81" t="s">
        <v>194</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INDEX(CS!$B$1:$B$12828,MATCH($A81,CS!$B:$B,0)+COLUMN(A$1),1))</f>
        <v>爪</v>
      </c>
      <c r="AY81" t="str">
        <f>IF($A81="","", INDEX(CS!$B$1:$B$12828,MATCH($A81,CS!$B:$B,0)+COLUMN(B$1),1))</f>
        <v>牙</v>
      </c>
      <c r="AZ81">
        <f>IF($A81="","", INDEX(CS!$B$1:$B$12828,MATCH($A81,CS!$B:$B,0)+COLUMN(C$1),1))</f>
        <v>0</v>
      </c>
      <c r="BA81">
        <f>IF($A81="","", INDEX(CS!$B$1:$B$12828,MATCH($A81,CS!$B:$B,0)+COLUMN(D$1),1))</f>
        <v>0</v>
      </c>
      <c r="BB81">
        <f>IF($A81="","", INDEX(CS!$B$1:$B$12828,MATCH($A81,CS!$B:$B,0)+COLUMN(E$1),1))</f>
        <v>0</v>
      </c>
      <c r="BC81">
        <f>IF($A81="","", INDEX(CS!$B$1:$B$12828,MATCH($A81,CS!$B:$B,0)+COLUMN(F$1),1))</f>
        <v>0</v>
      </c>
      <c r="BD81">
        <f>IF($A81="","", INDEX(CS!$B$1:$B$12828,MATCH($A81,CS!$B:$B,0)+COLUMN(I$1),1))</f>
        <v>0</v>
      </c>
      <c r="BE81">
        <f>IF($A81="","", INDEX(CS!$B$1:$B$12828,MATCH($A81,CS!$B:$B,0)+COLUMN(J$1),1))</f>
        <v>0</v>
      </c>
      <c r="BF81">
        <f>IF($A81="","", INDEX(CS!$B$1:$B$12828,MATCH($A81,CS!$B:$B,0)+COLUMN(K$1),1))</f>
        <v>0</v>
      </c>
      <c r="BG81">
        <f>IF($A81="","", INDEX(CS!$B$1:$B$12828,MATCH($A81,CS!$B:$B,0)+COLUMN(L$1),1))</f>
        <v>0</v>
      </c>
      <c r="BR81" t="s">
        <v>948</v>
      </c>
      <c r="BS81" s="53">
        <v>110</v>
      </c>
      <c r="BT81" s="52">
        <v>10</v>
      </c>
      <c r="BU81" s="52">
        <v>10</v>
      </c>
      <c r="BV81" s="52">
        <v>80</v>
      </c>
      <c r="BW81" s="52">
        <v>10</v>
      </c>
      <c r="CB81" t="s">
        <v>960</v>
      </c>
      <c r="CC81" t="s">
        <v>960</v>
      </c>
      <c r="CF81" t="s">
        <v>960</v>
      </c>
      <c r="CI81" t="s">
        <v>194</v>
      </c>
    </row>
    <row r="82" spans="1:87" x14ac:dyDescent="0.4">
      <c r="A82" t="s">
        <v>196</v>
      </c>
      <c r="C82" t="s">
        <v>194</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INDEX(CS!$B$1:$B$12828,MATCH($A82,CS!$B:$B,0)+COLUMN(A$1),1))</f>
        <v>牙</v>
      </c>
      <c r="AY82" t="str">
        <f>IF($A82="","", INDEX(CS!$B$1:$B$12828,MATCH($A82,CS!$B:$B,0)+COLUMN(B$1),1))</f>
        <v>尾</v>
      </c>
      <c r="AZ82" t="str">
        <f>IF($A82="","", INDEX(CS!$B$1:$B$12828,MATCH($A82,CS!$B:$B,0)+COLUMN(C$1),1))</f>
        <v>尾の巻き付き</v>
      </c>
      <c r="BA82">
        <f>IF($A82="","", INDEX(CS!$B$1:$B$12828,MATCH($A82,CS!$B:$B,0)+COLUMN(D$1),1))</f>
        <v>0</v>
      </c>
      <c r="BB82">
        <f>IF($A82="","", INDEX(CS!$B$1:$B$12828,MATCH($A82,CS!$B:$B,0)+COLUMN(E$1),1))</f>
        <v>0</v>
      </c>
      <c r="BC82">
        <f>IF($A82="","", INDEX(CS!$B$1:$B$12828,MATCH($A82,CS!$B:$B,0)+COLUMN(F$1),1))</f>
        <v>0</v>
      </c>
      <c r="BD82">
        <f>IF($A82="","", INDEX(CS!$B$1:$B$12828,MATCH($A82,CS!$B:$B,0)+COLUMN(I$1),1))</f>
        <v>0</v>
      </c>
      <c r="BE82">
        <f>IF($A82="","", INDEX(CS!$B$1:$B$12828,MATCH($A82,CS!$B:$B,0)+COLUMN(J$1),1))</f>
        <v>0</v>
      </c>
      <c r="BF82">
        <f>IF($A82="","", INDEX(CS!$B$1:$B$12828,MATCH($A82,CS!$B:$B,0)+COLUMN(K$1),1))</f>
        <v>0</v>
      </c>
      <c r="BG82">
        <f>IF($A82="","", INDEX(CS!$B$1:$B$12828,MATCH($A82,CS!$B:$B,0)+COLUMN(L$1),1))</f>
        <v>0</v>
      </c>
      <c r="BR82" t="s">
        <v>948</v>
      </c>
      <c r="BS82" s="53">
        <v>85</v>
      </c>
      <c r="BT82" s="52">
        <v>5</v>
      </c>
      <c r="BU82" s="52">
        <v>0</v>
      </c>
      <c r="BV82" s="52">
        <v>70</v>
      </c>
      <c r="BW82" s="52">
        <v>10</v>
      </c>
      <c r="CB82" t="s">
        <v>960</v>
      </c>
      <c r="CC82" t="s">
        <v>960</v>
      </c>
      <c r="CD82" t="s">
        <v>960</v>
      </c>
      <c r="CF82" t="s">
        <v>960</v>
      </c>
      <c r="CI82" t="s">
        <v>194</v>
      </c>
    </row>
    <row r="83" spans="1:87" x14ac:dyDescent="0.4">
      <c r="A83" t="s">
        <v>200</v>
      </c>
      <c r="C83" t="s">
        <v>194</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INDEX(CS!$B$1:$B$12828,MATCH($A83,CS!$B:$B,0)+COLUMN(A$1),1))</f>
        <v>爪</v>
      </c>
      <c r="AY83" t="str">
        <f>IF($A83="","", INDEX(CS!$B$1:$B$12828,MATCH($A83,CS!$B:$B,0)+COLUMN(B$1),1))</f>
        <v>牙</v>
      </c>
      <c r="AZ83">
        <f>IF($A83="","", INDEX(CS!$B$1:$B$12828,MATCH($A83,CS!$B:$B,0)+COLUMN(C$1),1))</f>
        <v>0</v>
      </c>
      <c r="BA83">
        <f>IF($A83="","", INDEX(CS!$B$1:$B$12828,MATCH($A83,CS!$B:$B,0)+COLUMN(D$1),1))</f>
        <v>0</v>
      </c>
      <c r="BB83">
        <f>IF($A83="","", INDEX(CS!$B$1:$B$12828,MATCH($A83,CS!$B:$B,0)+COLUMN(E$1),1))</f>
        <v>0</v>
      </c>
      <c r="BC83">
        <f>IF($A83="","", INDEX(CS!$B$1:$B$12828,MATCH($A83,CS!$B:$B,0)+COLUMN(F$1),1))</f>
        <v>0</v>
      </c>
      <c r="BD83">
        <f>IF($A83="","", INDEX(CS!$B$1:$B$12828,MATCH($A83,CS!$B:$B,0)+COLUMN(I$1),1))</f>
        <v>0</v>
      </c>
      <c r="BE83">
        <f>IF($A83="","", INDEX(CS!$B$1:$B$12828,MATCH($A83,CS!$B:$B,0)+COLUMN(J$1),1))</f>
        <v>0</v>
      </c>
      <c r="BF83">
        <f>IF($A83="","", INDEX(CS!$B$1:$B$12828,MATCH($A83,CS!$B:$B,0)+COLUMN(K$1),1))</f>
        <v>0</v>
      </c>
      <c r="BG83">
        <f>IF($A83="","", INDEX(CS!$B$1:$B$12828,MATCH($A83,CS!$B:$B,0)+COLUMN(L$1),1))</f>
        <v>0</v>
      </c>
      <c r="BR83" t="s">
        <v>948</v>
      </c>
      <c r="BS83" s="53">
        <v>80</v>
      </c>
      <c r="BT83" s="52">
        <v>10</v>
      </c>
      <c r="BU83" s="52">
        <v>10</v>
      </c>
      <c r="BV83" s="52">
        <v>50</v>
      </c>
      <c r="BW83" s="52">
        <v>10</v>
      </c>
      <c r="CB83" t="s">
        <v>960</v>
      </c>
      <c r="CC83" t="s">
        <v>960</v>
      </c>
      <c r="CF83" t="s">
        <v>960</v>
      </c>
      <c r="CI83" t="s">
        <v>194</v>
      </c>
    </row>
    <row r="84" spans="1:87" x14ac:dyDescent="0.4">
      <c r="A84" t="s">
        <v>202</v>
      </c>
      <c r="C84" t="s">
        <v>194</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INDEX(CS!$B$1:$B$12828,MATCH($A84,CS!$B:$B,0)+COLUMN(A$1),1))</f>
        <v>爪</v>
      </c>
      <c r="AY84" t="str">
        <f>IF($A84="","", INDEX(CS!$B$1:$B$12828,MATCH($A84,CS!$B:$B,0)+COLUMN(B$1),1))</f>
        <v>牙</v>
      </c>
      <c r="AZ84">
        <f>IF($A84="","", INDEX(CS!$B$1:$B$12828,MATCH($A84,CS!$B:$B,0)+COLUMN(C$1),1))</f>
        <v>0</v>
      </c>
      <c r="BA84">
        <f>IF($A84="","", INDEX(CS!$B$1:$B$12828,MATCH($A84,CS!$B:$B,0)+COLUMN(D$1),1))</f>
        <v>0</v>
      </c>
      <c r="BB84">
        <f>IF($A84="","", INDEX(CS!$B$1:$B$12828,MATCH($A84,CS!$B:$B,0)+COLUMN(E$1),1))</f>
        <v>0</v>
      </c>
      <c r="BC84">
        <f>IF($A84="","", INDEX(CS!$B$1:$B$12828,MATCH($A84,CS!$B:$B,0)+COLUMN(F$1),1))</f>
        <v>0</v>
      </c>
      <c r="BD84">
        <f>IF($A84="","", INDEX(CS!$B$1:$B$12828,MATCH($A84,CS!$B:$B,0)+COLUMN(I$1),1))</f>
        <v>0</v>
      </c>
      <c r="BE84">
        <f>IF($A84="","", INDEX(CS!$B$1:$B$12828,MATCH($A84,CS!$B:$B,0)+COLUMN(J$1),1))</f>
        <v>0</v>
      </c>
      <c r="BF84">
        <f>IF($A84="","", INDEX(CS!$B$1:$B$12828,MATCH($A84,CS!$B:$B,0)+COLUMN(K$1),1))</f>
        <v>0</v>
      </c>
      <c r="BG84">
        <f>IF($A84="","", INDEX(CS!$B$1:$B$12828,MATCH($A84,CS!$B:$B,0)+COLUMN(L$1),1))</f>
        <v>0</v>
      </c>
      <c r="BR84" t="s">
        <v>948</v>
      </c>
      <c r="BS84" s="53">
        <v>130</v>
      </c>
      <c r="BT84" s="52">
        <v>20</v>
      </c>
      <c r="BU84" s="52">
        <v>20</v>
      </c>
      <c r="BV84" s="52">
        <v>80</v>
      </c>
      <c r="BW84" s="52">
        <v>10</v>
      </c>
      <c r="CB84" t="s">
        <v>960</v>
      </c>
      <c r="CC84" t="s">
        <v>960</v>
      </c>
      <c r="CF84" t="s">
        <v>960</v>
      </c>
      <c r="CI84" t="s">
        <v>194</v>
      </c>
    </row>
    <row r="85" spans="1:87" x14ac:dyDescent="0.4">
      <c r="A85" t="s">
        <v>204</v>
      </c>
      <c r="C85" t="s">
        <v>194</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INDEX(CS!$B$1:$B$12828,MATCH($A85,CS!$B:$B,0)+COLUMN(A$1),1))</f>
        <v>牙</v>
      </c>
      <c r="AY85">
        <f>IF($A85="","", INDEX(CS!$B$1:$B$12828,MATCH($A85,CS!$B:$B,0)+COLUMN(B$1),1))</f>
        <v>0</v>
      </c>
      <c r="AZ85">
        <f>IF($A85="","", INDEX(CS!$B$1:$B$12828,MATCH($A85,CS!$B:$B,0)+COLUMN(C$1),1))</f>
        <v>0</v>
      </c>
      <c r="BA85">
        <f>IF($A85="","", INDEX(CS!$B$1:$B$12828,MATCH($A85,CS!$B:$B,0)+COLUMN(D$1),1))</f>
        <v>0</v>
      </c>
      <c r="BB85">
        <f>IF($A85="","", INDEX(CS!$B$1:$B$12828,MATCH($A85,CS!$B:$B,0)+COLUMN(E$1),1))</f>
        <v>0</v>
      </c>
      <c r="BC85">
        <f>IF($A85="","", INDEX(CS!$B$1:$B$12828,MATCH($A85,CS!$B:$B,0)+COLUMN(F$1),1))</f>
        <v>0</v>
      </c>
      <c r="BD85">
        <f>IF($A85="","", INDEX(CS!$B$1:$B$12828,MATCH($A85,CS!$B:$B,0)+COLUMN(I$1),1))</f>
        <v>0</v>
      </c>
      <c r="BE85">
        <f>IF($A85="","", INDEX(CS!$B$1:$B$12828,MATCH($A85,CS!$B:$B,0)+COLUMN(J$1),1))</f>
        <v>0</v>
      </c>
      <c r="BF85">
        <f>IF($A85="","", INDEX(CS!$B$1:$B$12828,MATCH($A85,CS!$B:$B,0)+COLUMN(K$1),1))</f>
        <v>0</v>
      </c>
      <c r="BG85">
        <f>IF($A85="","", INDEX(CS!$B$1:$B$12828,MATCH($A85,CS!$B:$B,0)+COLUMN(L$1),1))</f>
        <v>0</v>
      </c>
      <c r="BR85" t="s">
        <v>948</v>
      </c>
      <c r="BS85" s="53">
        <v>130</v>
      </c>
      <c r="BT85" s="52">
        <v>10</v>
      </c>
      <c r="BU85" s="52">
        <v>0</v>
      </c>
      <c r="BV85" s="52">
        <v>90</v>
      </c>
      <c r="BW85" s="52">
        <v>30</v>
      </c>
      <c r="CB85" t="s">
        <v>960</v>
      </c>
      <c r="CC85" t="s">
        <v>960</v>
      </c>
      <c r="CD85" t="s">
        <v>960</v>
      </c>
      <c r="CF85" t="s">
        <v>960</v>
      </c>
      <c r="CI85" t="s">
        <v>194</v>
      </c>
    </row>
    <row r="86" spans="1:87" x14ac:dyDescent="0.4">
      <c r="C86" t="s">
        <v>194</v>
      </c>
      <c r="D86" t="str">
        <f t="shared" si="2"/>
        <v>0/0/0</v>
      </c>
      <c r="E86">
        <v>1</v>
      </c>
      <c r="AX86" t="str">
        <f>IF($A86="","", INDEX(CS!$B$1:$B$12828,MATCH($A86,CS!$B:$B,0)+COLUMN(A$1),1))</f>
        <v/>
      </c>
      <c r="AY86" t="str">
        <f>IF($A86="","", INDEX(CS!$B$1:$B$12828,MATCH($A86,CS!$B:$B,0)+COLUMN(B$1),1))</f>
        <v/>
      </c>
      <c r="AZ86" t="str">
        <f>IF($A86="","", INDEX(CS!$B$1:$B$12828,MATCH($A86,CS!$B:$B,0)+COLUMN(C$1),1))</f>
        <v/>
      </c>
      <c r="BA86" t="str">
        <f>IF($A86="","", INDEX(CS!$B$1:$B$12828,MATCH($A86,CS!$B:$B,0)+COLUMN(D$1),1))</f>
        <v/>
      </c>
      <c r="BB86" t="str">
        <f>IF($A86="","", INDEX(CS!$B$1:$B$12828,MATCH($A86,CS!$B:$B,0)+COLUMN(E$1),1))</f>
        <v/>
      </c>
      <c r="BC86" t="str">
        <f>IF($A86="","", INDEX(CS!$B$1:$B$12828,MATCH($A86,CS!$B:$B,0)+COLUMN(F$1),1))</f>
        <v/>
      </c>
      <c r="BD86" t="str">
        <f>IF($A86="","", INDEX(CS!$B$1:$B$12828,MATCH($A86,CS!$B:$B,0)+COLUMN(I$1),1))</f>
        <v/>
      </c>
      <c r="BE86" t="str">
        <f>IF($A86="","", INDEX(CS!$B$1:$B$12828,MATCH($A86,CS!$B:$B,0)+COLUMN(J$1),1))</f>
        <v/>
      </c>
      <c r="BF86" t="str">
        <f>IF($A86="","", INDEX(CS!$B$1:$B$12828,MATCH($A86,CS!$B:$B,0)+COLUMN(K$1),1))</f>
        <v/>
      </c>
      <c r="BG86" t="str">
        <f>IF($A86="","", INDEX(CS!$B$1:$B$12828,MATCH($A86,CS!$B:$B,0)+COLUMN(L$1),1))</f>
        <v/>
      </c>
    </row>
    <row r="87" spans="1:87" x14ac:dyDescent="0.4">
      <c r="C87" t="s">
        <v>194</v>
      </c>
      <c r="D87" t="str">
        <f t="shared" ref="D87:D90" si="7">SUM(AI87:AW87,F87:N87)&amp;"/"&amp;SUM(F87:N87)&amp;"/"&amp;SUM(AI87:AW87)</f>
        <v>0/0/0</v>
      </c>
      <c r="E87">
        <v>1</v>
      </c>
      <c r="AX87" t="str">
        <f>IF($A87="","", INDEX(CS!$B$1:$B$12828,MATCH($A87,CS!$B:$B,0)+COLUMN(A$1),1))</f>
        <v/>
      </c>
      <c r="AY87" t="str">
        <f>IF($A87="","", INDEX(CS!$B$1:$B$12828,MATCH($A87,CS!$B:$B,0)+COLUMN(B$1),1))</f>
        <v/>
      </c>
      <c r="AZ87" t="str">
        <f>IF($A87="","", INDEX(CS!$B$1:$B$12828,MATCH($A87,CS!$B:$B,0)+COLUMN(C$1),1))</f>
        <v/>
      </c>
      <c r="BA87" t="str">
        <f>IF($A87="","", INDEX(CS!$B$1:$B$12828,MATCH($A87,CS!$B:$B,0)+COLUMN(D$1),1))</f>
        <v/>
      </c>
      <c r="BB87" t="str">
        <f>IF($A87="","", INDEX(CS!$B$1:$B$12828,MATCH($A87,CS!$B:$B,0)+COLUMN(E$1),1))</f>
        <v/>
      </c>
      <c r="BC87" t="str">
        <f>IF($A87="","", INDEX(CS!$B$1:$B$12828,MATCH($A87,CS!$B:$B,0)+COLUMN(F$1),1))</f>
        <v/>
      </c>
      <c r="BD87" t="str">
        <f>IF($A87="","", INDEX(CS!$B$1:$B$12828,MATCH($A87,CS!$B:$B,0)+COLUMN(I$1),1))</f>
        <v/>
      </c>
      <c r="BE87" t="str">
        <f>IF($A87="","", INDEX(CS!$B$1:$B$12828,MATCH($A87,CS!$B:$B,0)+COLUMN(J$1),1))</f>
        <v/>
      </c>
      <c r="BF87" t="str">
        <f>IF($A87="","", INDEX(CS!$B$1:$B$12828,MATCH($A87,CS!$B:$B,0)+COLUMN(K$1),1))</f>
        <v/>
      </c>
      <c r="BG87" t="str">
        <f>IF($A87="","", INDEX(CS!$B$1:$B$12828,MATCH($A87,CS!$B:$B,0)+COLUMN(L$1),1))</f>
        <v/>
      </c>
    </row>
    <row r="88" spans="1:87" x14ac:dyDescent="0.4">
      <c r="A88" t="s">
        <v>853</v>
      </c>
      <c r="C88" t="s">
        <v>194</v>
      </c>
      <c r="D88" t="str">
        <f t="shared" si="7"/>
        <v>0/0/0</v>
      </c>
      <c r="E88">
        <v>1</v>
      </c>
      <c r="S88" s="17">
        <v>50</v>
      </c>
      <c r="T88" s="17">
        <v>-30</v>
      </c>
      <c r="V88" s="17">
        <v>50</v>
      </c>
      <c r="W88" s="17">
        <v>-30</v>
      </c>
      <c r="AX88" t="str">
        <f>IF($A88="","", INDEX(CS!$B$1:$B$12828,MATCH($A88,CS!$B:$B,0)+COLUMN(A$1),1))</f>
        <v>炎の適用</v>
      </c>
      <c r="AY88">
        <f>IF($A88="","", INDEX(CS!$B$1:$B$12828,MATCH($A88,CS!$B:$B,0)+COLUMN(B$1),1))</f>
        <v>0</v>
      </c>
      <c r="AZ88" t="str">
        <f>IF($A88="","", INDEX(CS!$B$1:$B$12828,MATCH($A88,CS!$B:$B,0)+COLUMN(C$1),1))</f>
        <v>炎の体</v>
      </c>
      <c r="BA88">
        <f>IF($A88="","", INDEX(CS!$B$1:$B$12828,MATCH($A88,CS!$B:$B,0)+COLUMN(D$1),1))</f>
        <v>0</v>
      </c>
      <c r="BB88">
        <f>IF($A88="","", INDEX(CS!$B$1:$B$12828,MATCH($A88,CS!$B:$B,0)+COLUMN(E$1),1))</f>
        <v>0</v>
      </c>
      <c r="BC88" t="str">
        <f>IF($A88="","", INDEX(CS!$B$1:$B$12828,MATCH($A88,CS!$B:$B,0)+COLUMN(F$1),1))</f>
        <v>火炎突撃</v>
      </c>
      <c r="BD88" t="str">
        <f>IF($A88="","", INDEX(CS!$B$1:$B$12828,MATCH($A88,CS!$B:$B,0)+COLUMN(I$1),1))</f>
        <v>炎強化</v>
      </c>
      <c r="BE88" t="str">
        <f>IF($A88="","", INDEX(CS!$B$1:$B$12828,MATCH($A88,CS!$B:$B,0)+COLUMN(J$1),1))</f>
        <v>炎の唾</v>
      </c>
      <c r="BF88">
        <f>IF($A88="","", INDEX(CS!$B$1:$B$12828,MATCH($A88,CS!$B:$B,0)+COLUMN(K$1),1))</f>
        <v>0</v>
      </c>
      <c r="BG88">
        <f>IF($A88="","", INDEX(CS!$B$1:$B$12828,MATCH($A88,CS!$B:$B,0)+COLUMN(L$1),1))</f>
        <v>0</v>
      </c>
      <c r="BH88" t="s">
        <v>933</v>
      </c>
      <c r="BI88" t="s">
        <v>194</v>
      </c>
      <c r="BJ88" s="36" t="s">
        <v>933</v>
      </c>
    </row>
    <row r="89" spans="1:87" x14ac:dyDescent="0.4">
      <c r="A89" t="s">
        <v>854</v>
      </c>
      <c r="C89" t="s">
        <v>194</v>
      </c>
      <c r="D89" t="str">
        <f t="shared" si="7"/>
        <v>0/0/0</v>
      </c>
      <c r="E89">
        <v>1</v>
      </c>
      <c r="S89" s="17">
        <v>-30</v>
      </c>
      <c r="T89" s="17">
        <v>50</v>
      </c>
      <c r="V89" s="17">
        <v>-30</v>
      </c>
      <c r="W89" s="17">
        <v>50</v>
      </c>
      <c r="AX89" t="str">
        <f>IF($A89="","", INDEX(CS!$B$1:$B$12828,MATCH($A89,CS!$B:$B,0)+COLUMN(A$1),1))</f>
        <v>氷の適用</v>
      </c>
      <c r="AY89">
        <f>IF($A89="","", INDEX(CS!$B$1:$B$12828,MATCH($A89,CS!$B:$B,0)+COLUMN(B$1),1))</f>
        <v>0</v>
      </c>
      <c r="AZ89" t="str">
        <f>IF($A89="","", INDEX(CS!$B$1:$B$12828,MATCH($A89,CS!$B:$B,0)+COLUMN(C$1),1))</f>
        <v>氷の体</v>
      </c>
      <c r="BA89">
        <f>IF($A89="","", INDEX(CS!$B$1:$B$12828,MATCH($A89,CS!$B:$B,0)+COLUMN(D$1),1))</f>
        <v>0</v>
      </c>
      <c r="BB89">
        <f>IF($A89="","", INDEX(CS!$B$1:$B$12828,MATCH($A89,CS!$B:$B,0)+COLUMN(E$1),1))</f>
        <v>0</v>
      </c>
      <c r="BC89" t="str">
        <f>IF($A89="","", INDEX(CS!$B$1:$B$12828,MATCH($A89,CS!$B:$B,0)+COLUMN(F$1),1))</f>
        <v>氷結突撃</v>
      </c>
      <c r="BD89" t="str">
        <f>IF($A89="","", INDEX(CS!$B$1:$B$12828,MATCH($A89,CS!$B:$B,0)+COLUMN(I$1),1))</f>
        <v>氷強化</v>
      </c>
      <c r="BE89" t="str">
        <f>IF($A89="","", INDEX(CS!$B$1:$B$12828,MATCH($A89,CS!$B:$B,0)+COLUMN(J$1),1))</f>
        <v>氷の唾</v>
      </c>
      <c r="BF89">
        <f>IF($A89="","", INDEX(CS!$B$1:$B$12828,MATCH($A89,CS!$B:$B,0)+COLUMN(K$1),1))</f>
        <v>0</v>
      </c>
      <c r="BG89">
        <f>IF($A89="","", INDEX(CS!$B$1:$B$12828,MATCH($A89,CS!$B:$B,0)+COLUMN(L$1),1))</f>
        <v>0</v>
      </c>
      <c r="BH89" t="s">
        <v>933</v>
      </c>
      <c r="BI89" t="s">
        <v>194</v>
      </c>
      <c r="BJ89" s="36" t="s">
        <v>934</v>
      </c>
    </row>
    <row r="90" spans="1:87" x14ac:dyDescent="0.4">
      <c r="A90" t="s">
        <v>855</v>
      </c>
      <c r="C90" t="s">
        <v>194</v>
      </c>
      <c r="D90" t="str">
        <f t="shared" si="7"/>
        <v>0/0/0</v>
      </c>
      <c r="E90">
        <v>1</v>
      </c>
      <c r="AX90" t="str">
        <f>IF($A90="","", INDEX(CS!$B$1:$B$12828,MATCH($A90,CS!$B:$B,0)+COLUMN(A$1),1))</f>
        <v>風の適用</v>
      </c>
      <c r="AY90">
        <f>IF($A90="","", INDEX(CS!$B$1:$B$12828,MATCH($A90,CS!$B:$B,0)+COLUMN(B$1),1))</f>
        <v>0</v>
      </c>
      <c r="AZ90" t="str">
        <f>IF($A90="","", INDEX(CS!$B$1:$B$12828,MATCH($A90,CS!$B:$B,0)+COLUMN(C$1),1))</f>
        <v>風の体</v>
      </c>
      <c r="BA90">
        <f>IF($A90="","", INDEX(CS!$B$1:$B$12828,MATCH($A90,CS!$B:$B,0)+COLUMN(D$1),1))</f>
        <v>0</v>
      </c>
      <c r="BB90">
        <f>IF($A90="","", INDEX(CS!$B$1:$B$12828,MATCH($A90,CS!$B:$B,0)+COLUMN(E$1),1))</f>
        <v>0</v>
      </c>
      <c r="BC90" t="str">
        <f>IF($A90="","", INDEX(CS!$B$1:$B$12828,MATCH($A90,CS!$B:$B,0)+COLUMN(F$1),1))</f>
        <v>暴風突撃</v>
      </c>
      <c r="BD90" t="str">
        <f>IF($A90="","", INDEX(CS!$B$1:$B$12828,MATCH($A90,CS!$B:$B,0)+COLUMN(I$1),1))</f>
        <v>風強化</v>
      </c>
      <c r="BE90" t="str">
        <f>IF($A90="","", INDEX(CS!$B$1:$B$12828,MATCH($A90,CS!$B:$B,0)+COLUMN(J$1),1))</f>
        <v>風の唾</v>
      </c>
      <c r="BF90">
        <f>IF($A90="","", INDEX(CS!$B$1:$B$12828,MATCH($A90,CS!$B:$B,0)+COLUMN(K$1),1))</f>
        <v>0</v>
      </c>
      <c r="BG90">
        <f>IF($A90="","", INDEX(CS!$B$1:$B$12828,MATCH($A90,CS!$B:$B,0)+COLUMN(L$1),1))</f>
        <v>0</v>
      </c>
      <c r="BH90" t="s">
        <v>933</v>
      </c>
      <c r="BI90" t="s">
        <v>194</v>
      </c>
      <c r="BJ90" s="36" t="s">
        <v>935</v>
      </c>
    </row>
    <row r="91" spans="1:87" x14ac:dyDescent="0.4">
      <c r="A91" t="s">
        <v>856</v>
      </c>
      <c r="C91" t="s">
        <v>194</v>
      </c>
      <c r="D91" t="str">
        <f t="shared" si="2"/>
        <v>0/0/0</v>
      </c>
      <c r="E91">
        <v>1</v>
      </c>
      <c r="U91" s="17">
        <v>50</v>
      </c>
      <c r="X91" s="17">
        <v>50</v>
      </c>
      <c r="AX91" t="str">
        <f>IF($A91="","", INDEX(CS!$B$1:$B$12828,MATCH($A91,CS!$B:$B,0)+COLUMN(A$1),1))</f>
        <v>雷の適用</v>
      </c>
      <c r="AY91">
        <f>IF($A91="","", INDEX(CS!$B$1:$B$12828,MATCH($A91,CS!$B:$B,0)+COLUMN(B$1),1))</f>
        <v>0</v>
      </c>
      <c r="AZ91" t="str">
        <f>IF($A91="","", INDEX(CS!$B$1:$B$12828,MATCH($A91,CS!$B:$B,0)+COLUMN(C$1),1))</f>
        <v>雷の体</v>
      </c>
      <c r="BA91">
        <f>IF($A91="","", INDEX(CS!$B$1:$B$12828,MATCH($A91,CS!$B:$B,0)+COLUMN(D$1),1))</f>
        <v>0</v>
      </c>
      <c r="BB91">
        <f>IF($A91="","", INDEX(CS!$B$1:$B$12828,MATCH($A91,CS!$B:$B,0)+COLUMN(E$1),1))</f>
        <v>0</v>
      </c>
      <c r="BC91" t="str">
        <f>IF($A91="","", INDEX(CS!$B$1:$B$12828,MATCH($A91,CS!$B:$B,0)+COLUMN(F$1),1))</f>
        <v>電撃突撃</v>
      </c>
      <c r="BD91" t="str">
        <f>IF($A91="","", INDEX(CS!$B$1:$B$12828,MATCH($A91,CS!$B:$B,0)+COLUMN(I$1),1))</f>
        <v>雷強化</v>
      </c>
      <c r="BE91" t="str">
        <f>IF($A91="","", INDEX(CS!$B$1:$B$12828,MATCH($A91,CS!$B:$B,0)+COLUMN(J$1),1))</f>
        <v>雷の唾</v>
      </c>
      <c r="BF91">
        <f>IF($A91="","", INDEX(CS!$B$1:$B$12828,MATCH($A91,CS!$B:$B,0)+COLUMN(K$1),1))</f>
        <v>0</v>
      </c>
      <c r="BG91">
        <f>IF($A91="","", INDEX(CS!$B$1:$B$12828,MATCH($A91,CS!$B:$B,0)+COLUMN(L$1),1))</f>
        <v>0</v>
      </c>
      <c r="BH91" t="s">
        <v>933</v>
      </c>
      <c r="BI91" t="s">
        <v>194</v>
      </c>
      <c r="BJ91" s="36" t="s">
        <v>936</v>
      </c>
    </row>
    <row r="92" spans="1:87" x14ac:dyDescent="0.4">
      <c r="A92" t="s">
        <v>857</v>
      </c>
      <c r="C92" t="s">
        <v>194</v>
      </c>
      <c r="D92" t="str">
        <f t="shared" si="2"/>
        <v>0/0/0</v>
      </c>
      <c r="E92">
        <v>1</v>
      </c>
      <c r="Y92" s="17">
        <v>50</v>
      </c>
      <c r="Z92" s="17">
        <v>-30</v>
      </c>
      <c r="AX92" t="str">
        <f>IF($A92="","", INDEX(CS!$B$1:$B$12828,MATCH($A92,CS!$B:$B,0)+COLUMN(A$1),1))</f>
        <v>毒の適用</v>
      </c>
      <c r="AY92">
        <f>IF($A92="","", INDEX(CS!$B$1:$B$12828,MATCH($A92,CS!$B:$B,0)+COLUMN(B$1),1))</f>
        <v>0</v>
      </c>
      <c r="AZ92" t="str">
        <f>IF($A92="","", INDEX(CS!$B$1:$B$12828,MATCH($A92,CS!$B:$B,0)+COLUMN(C$1),1))</f>
        <v>毒の体</v>
      </c>
      <c r="BA92">
        <f>IF($A92="","", INDEX(CS!$B$1:$B$12828,MATCH($A92,CS!$B:$B,0)+COLUMN(D$1),1))</f>
        <v>0</v>
      </c>
      <c r="BB92">
        <f>IF($A92="","", INDEX(CS!$B$1:$B$12828,MATCH($A92,CS!$B:$B,0)+COLUMN(E$1),1))</f>
        <v>0</v>
      </c>
      <c r="BC92" t="str">
        <f>IF($A92="","", INDEX(CS!$B$1:$B$12828,MATCH($A92,CS!$B:$B,0)+COLUMN(F$1),1))</f>
        <v>腐蝕突撃</v>
      </c>
      <c r="BD92" t="str">
        <f>IF($A92="","", INDEX(CS!$B$1:$B$12828,MATCH($A92,CS!$B:$B,0)+COLUMN(I$1),1))</f>
        <v>毒強化</v>
      </c>
      <c r="BE92" t="str">
        <f>IF($A92="","", INDEX(CS!$B$1:$B$12828,MATCH($A92,CS!$B:$B,0)+COLUMN(J$1),1))</f>
        <v>毒の唾</v>
      </c>
      <c r="BF92">
        <f>IF($A92="","", INDEX(CS!$B$1:$B$12828,MATCH($A92,CS!$B:$B,0)+COLUMN(K$1),1))</f>
        <v>0</v>
      </c>
      <c r="BG92">
        <f>IF($A92="","", INDEX(CS!$B$1:$B$12828,MATCH($A92,CS!$B:$B,0)+COLUMN(L$1),1))</f>
        <v>0</v>
      </c>
      <c r="BH92" t="s">
        <v>933</v>
      </c>
      <c r="BI92" t="s">
        <v>194</v>
      </c>
      <c r="BJ92" s="36" t="s">
        <v>937</v>
      </c>
    </row>
    <row r="93" spans="1:87" x14ac:dyDescent="0.4">
      <c r="A93" t="s">
        <v>858</v>
      </c>
      <c r="C93" t="s">
        <v>194</v>
      </c>
      <c r="D93" t="str">
        <f t="shared" si="2"/>
        <v>0/0/0</v>
      </c>
      <c r="E93">
        <v>1</v>
      </c>
      <c r="T93" s="17">
        <v>30</v>
      </c>
      <c r="W93" s="17">
        <v>30</v>
      </c>
      <c r="AE93">
        <v>30</v>
      </c>
      <c r="AX93" t="str">
        <f>IF($A93="","", INDEX(CS!$B$1:$B$12828,MATCH($A93,CS!$B:$B,0)+COLUMN(A$1),1))</f>
        <v>水の適用</v>
      </c>
      <c r="AY93">
        <f>IF($A93="","", INDEX(CS!$B$1:$B$12828,MATCH($A93,CS!$B:$B,0)+COLUMN(B$1),1))</f>
        <v>0</v>
      </c>
      <c r="AZ93" t="str">
        <f>IF($A93="","", INDEX(CS!$B$1:$B$12828,MATCH($A93,CS!$B:$B,0)+COLUMN(C$1),1))</f>
        <v>水の体</v>
      </c>
      <c r="BA93">
        <f>IF($A93="","", INDEX(CS!$B$1:$B$12828,MATCH($A93,CS!$B:$B,0)+COLUMN(D$1),1))</f>
        <v>0</v>
      </c>
      <c r="BB93">
        <f>IF($A93="","", INDEX(CS!$B$1:$B$12828,MATCH($A93,CS!$B:$B,0)+COLUMN(E$1),1))</f>
        <v>0</v>
      </c>
      <c r="BC93" t="str">
        <f>IF($A93="","", INDEX(CS!$B$1:$B$12828,MATCH($A93,CS!$B:$B,0)+COLUMN(F$1),1))</f>
        <v>突撃</v>
      </c>
      <c r="BD93" t="str">
        <f>IF($A93="","", INDEX(CS!$B$1:$B$12828,MATCH($A93,CS!$B:$B,0)+COLUMN(I$1),1))</f>
        <v>水強化</v>
      </c>
      <c r="BE93" t="str">
        <f>IF($A93="","", INDEX(CS!$B$1:$B$12828,MATCH($A93,CS!$B:$B,0)+COLUMN(J$1),1))</f>
        <v>水の唾</v>
      </c>
      <c r="BF93">
        <f>IF($A93="","", INDEX(CS!$B$1:$B$12828,MATCH($A93,CS!$B:$B,0)+COLUMN(K$1),1))</f>
        <v>0</v>
      </c>
      <c r="BG93">
        <f>IF($A93="","", INDEX(CS!$B$1:$B$12828,MATCH($A93,CS!$B:$B,0)+COLUMN(L$1),1))</f>
        <v>0</v>
      </c>
      <c r="BH93" t="s">
        <v>933</v>
      </c>
      <c r="BI93" t="s">
        <v>194</v>
      </c>
      <c r="BJ93" s="36" t="s">
        <v>938</v>
      </c>
    </row>
    <row r="94" spans="1:87" x14ac:dyDescent="0.4">
      <c r="C94" t="s">
        <v>194</v>
      </c>
      <c r="D94" t="str">
        <f t="shared" si="2"/>
        <v>0/0/0</v>
      </c>
      <c r="E94">
        <v>1</v>
      </c>
      <c r="AX94" t="str">
        <f>IF($A94="","", INDEX(CS!$B$1:$B$12828,MATCH($A94,CS!$B:$B,0)+COLUMN(A$1),1))</f>
        <v/>
      </c>
      <c r="AY94" t="str">
        <f>IF($A94="","", INDEX(CS!$B$1:$B$12828,MATCH($A94,CS!$B:$B,0)+COLUMN(B$1),1))</f>
        <v/>
      </c>
      <c r="AZ94" t="str">
        <f>IF($A94="","", INDEX(CS!$B$1:$B$12828,MATCH($A94,CS!$B:$B,0)+COLUMN(C$1),1))</f>
        <v/>
      </c>
      <c r="BA94" t="str">
        <f>IF($A94="","", INDEX(CS!$B$1:$B$12828,MATCH($A94,CS!$B:$B,0)+COLUMN(D$1),1))</f>
        <v/>
      </c>
      <c r="BB94" t="str">
        <f>IF($A94="","", INDEX(CS!$B$1:$B$12828,MATCH($A94,CS!$B:$B,0)+COLUMN(E$1),1))</f>
        <v/>
      </c>
      <c r="BC94" t="str">
        <f>IF($A94="","", INDEX(CS!$B$1:$B$12828,MATCH($A94,CS!$B:$B,0)+COLUMN(F$1),1))</f>
        <v/>
      </c>
      <c r="BD94" t="str">
        <f>IF($A94="","", INDEX(CS!$B$1:$B$12828,MATCH($A94,CS!$B:$B,0)+COLUMN(I$1),1))</f>
        <v/>
      </c>
      <c r="BE94" t="str">
        <f>IF($A94="","", INDEX(CS!$B$1:$B$12828,MATCH($A94,CS!$B:$B,0)+COLUMN(J$1),1))</f>
        <v/>
      </c>
      <c r="BF94" t="str">
        <f>IF($A94="","", INDEX(CS!$B$1:$B$12828,MATCH($A94,CS!$B:$B,0)+COLUMN(K$1),1))</f>
        <v/>
      </c>
      <c r="BG94" t="str">
        <f>IF($A94="","", INDEX(CS!$B$1:$B$12828,MATCH($A94,CS!$B:$B,0)+COLUMN(L$1),1))</f>
        <v/>
      </c>
    </row>
    <row r="95" spans="1:87" x14ac:dyDescent="0.4">
      <c r="C95" t="s">
        <v>194</v>
      </c>
      <c r="D95" t="str">
        <f t="shared" si="2"/>
        <v>0/0/0</v>
      </c>
      <c r="E95">
        <v>1</v>
      </c>
      <c r="AX95" t="str">
        <f>IF($A95="","", INDEX(CS!$B$1:$B$12828,MATCH($A95,CS!$B:$B,0)+COLUMN(A$1),1))</f>
        <v/>
      </c>
      <c r="AY95" t="str">
        <f>IF($A95="","", INDEX(CS!$B$1:$B$12828,MATCH($A95,CS!$B:$B,0)+COLUMN(B$1),1))</f>
        <v/>
      </c>
      <c r="AZ95" t="str">
        <f>IF($A95="","", INDEX(CS!$B$1:$B$12828,MATCH($A95,CS!$B:$B,0)+COLUMN(C$1),1))</f>
        <v/>
      </c>
      <c r="BA95" t="str">
        <f>IF($A95="","", INDEX(CS!$B$1:$B$12828,MATCH($A95,CS!$B:$B,0)+COLUMN(D$1),1))</f>
        <v/>
      </c>
      <c r="BB95" t="str">
        <f>IF($A95="","", INDEX(CS!$B$1:$B$12828,MATCH($A95,CS!$B:$B,0)+COLUMN(E$1),1))</f>
        <v/>
      </c>
      <c r="BC95" t="str">
        <f>IF($A95="","", INDEX(CS!$B$1:$B$12828,MATCH($A95,CS!$B:$B,0)+COLUMN(F$1),1))</f>
        <v/>
      </c>
      <c r="BD95" t="str">
        <f>IF($A95="","", INDEX(CS!$B$1:$B$12828,MATCH($A95,CS!$B:$B,0)+COLUMN(I$1),1))</f>
        <v/>
      </c>
      <c r="BE95" t="str">
        <f>IF($A95="","", INDEX(CS!$B$1:$B$12828,MATCH($A95,CS!$B:$B,0)+COLUMN(J$1),1))</f>
        <v/>
      </c>
      <c r="BF95" t="str">
        <f>IF($A95="","", INDEX(CS!$B$1:$B$12828,MATCH($A95,CS!$B:$B,0)+COLUMN(K$1),1))</f>
        <v/>
      </c>
      <c r="BG95" t="str">
        <f>IF($A95="","", INDEX(CS!$B$1:$B$12828,MATCH($A95,CS!$B:$B,0)+COLUMN(L$1),1))</f>
        <v/>
      </c>
      <c r="BS95" s="53"/>
      <c r="BT95" s="53"/>
      <c r="BU95" s="53"/>
      <c r="BV95" s="53"/>
      <c r="BW95" s="53"/>
    </row>
    <row r="96" spans="1:87" x14ac:dyDescent="0.4">
      <c r="A96" t="s">
        <v>896</v>
      </c>
      <c r="C96" t="s">
        <v>194</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INDEX(CS!$B$1:$B$12828,MATCH($A96,CS!$B:$B,0)+COLUMN(A$1),1))</f>
        <v>爪</v>
      </c>
      <c r="AY96">
        <f>IF($A96="","", INDEX(CS!$B$1:$B$12828,MATCH($A96,CS!$B:$B,0)+COLUMN(B$1),1))</f>
        <v>0</v>
      </c>
      <c r="AZ96" t="str">
        <f>IF($A96="","", INDEX(CS!$B$1:$B$12828,MATCH($A96,CS!$B:$B,0)+COLUMN(C$1),1))</f>
        <v>翼</v>
      </c>
      <c r="BA96">
        <f>IF($A96="","", INDEX(CS!$B$1:$B$12828,MATCH($A96,CS!$B:$B,0)+COLUMN(D$1),1))</f>
        <v>0</v>
      </c>
      <c r="BB96" t="str">
        <f>IF($A96="","", INDEX(CS!$B$1:$B$12828,MATCH($A96,CS!$B:$B,0)+COLUMN(E$1),1))</f>
        <v>威圧</v>
      </c>
      <c r="BC96" t="str">
        <f>IF($A96="","", INDEX(CS!$B$1:$B$12828,MATCH($A96,CS!$B:$B,0)+COLUMN(F$1),1))</f>
        <v>毒の唾</v>
      </c>
      <c r="BD96" t="str">
        <f>IF($A96="","", INDEX(CS!$B$1:$B$12828,MATCH($A96,CS!$B:$B,0)+COLUMN(I$1),1))</f>
        <v>外皮</v>
      </c>
      <c r="BE96">
        <f>IF($A96="","", INDEX(CS!$B$1:$B$12828,MATCH($A96,CS!$B:$B,0)+COLUMN(J$1),1))</f>
        <v>0</v>
      </c>
      <c r="BF96">
        <f>IF($A96="","", INDEX(CS!$B$1:$B$12828,MATCH($A96,CS!$B:$B,0)+COLUMN(K$1),1))</f>
        <v>0</v>
      </c>
      <c r="BG96">
        <f>IF($A96="","", INDEX(CS!$B$1:$B$12828,MATCH($A96,CS!$B:$B,0)+COLUMN(L$1),1))</f>
        <v>0</v>
      </c>
      <c r="BS96" s="53">
        <v>200</v>
      </c>
      <c r="BT96" s="52">
        <v>0</v>
      </c>
      <c r="BU96" s="52">
        <v>0</v>
      </c>
      <c r="BV96" s="52">
        <v>180</v>
      </c>
      <c r="BW96" s="52">
        <v>20</v>
      </c>
      <c r="CB96" t="s">
        <v>960</v>
      </c>
      <c r="CC96" t="s">
        <v>960</v>
      </c>
      <c r="CD96" t="s">
        <v>960</v>
      </c>
      <c r="CE96" t="s">
        <v>960</v>
      </c>
      <c r="CF96" t="s">
        <v>960</v>
      </c>
      <c r="CI96" t="s">
        <v>1042</v>
      </c>
    </row>
    <row r="97" spans="3:59" x14ac:dyDescent="0.4">
      <c r="C97" t="s">
        <v>194</v>
      </c>
      <c r="D97" t="str">
        <f t="shared" si="8"/>
        <v>0/0/0</v>
      </c>
      <c r="E97">
        <v>1</v>
      </c>
      <c r="AX97" t="str">
        <f>IF($A97="","", INDEX(CS!$B$1:$B$12828,MATCH($A97,CS!$B:$B,0)+COLUMN(A$1),1))</f>
        <v/>
      </c>
      <c r="AY97" t="str">
        <f>IF($A97="","", INDEX(CS!$B$1:$B$12828,MATCH($A97,CS!$B:$B,0)+COLUMN(B$1),1))</f>
        <v/>
      </c>
      <c r="AZ97" t="str">
        <f>IF($A97="","", INDEX(CS!$B$1:$B$12828,MATCH($A97,CS!$B:$B,0)+COLUMN(C$1),1))</f>
        <v/>
      </c>
      <c r="BA97" t="str">
        <f>IF($A97="","", INDEX(CS!$B$1:$B$12828,MATCH($A97,CS!$B:$B,0)+COLUMN(D$1),1))</f>
        <v/>
      </c>
      <c r="BB97" t="str">
        <f>IF($A97="","", INDEX(CS!$B$1:$B$12828,MATCH($A97,CS!$B:$B,0)+COLUMN(E$1),1))</f>
        <v/>
      </c>
      <c r="BC97" t="str">
        <f>IF($A97="","", INDEX(CS!$B$1:$B$12828,MATCH($A97,CS!$B:$B,0)+COLUMN(F$1),1))</f>
        <v/>
      </c>
      <c r="BD97" t="str">
        <f>IF($A97="","", INDEX(CS!$B$1:$B$12828,MATCH($A97,CS!$B:$B,0)+COLUMN(I$1),1))</f>
        <v/>
      </c>
      <c r="BE97" t="str">
        <f>IF($A97="","", INDEX(CS!$B$1:$B$12828,MATCH($A97,CS!$B:$B,0)+COLUMN(J$1),1))</f>
        <v/>
      </c>
      <c r="BF97" t="str">
        <f>IF($A97="","", INDEX(CS!$B$1:$B$12828,MATCH($A97,CS!$B:$B,0)+COLUMN(K$1),1))</f>
        <v/>
      </c>
      <c r="BG97" t="str">
        <f>IF($A97="","", INDEX(CS!$B$1:$B$12828,MATCH($A97,CS!$B:$B,0)+COLUMN(L$1),1))</f>
        <v/>
      </c>
    </row>
    <row r="98" spans="3:59" x14ac:dyDescent="0.4">
      <c r="C98" t="s">
        <v>194</v>
      </c>
      <c r="D98" t="str">
        <f t="shared" si="8"/>
        <v>0/0/0</v>
      </c>
      <c r="E98">
        <v>1</v>
      </c>
      <c r="AX98" t="str">
        <f>IF($A98="","", INDEX(CS!$B$1:$B$12828,MATCH($A98,CS!$B:$B,0)+COLUMN(A$1),1))</f>
        <v/>
      </c>
      <c r="AY98" t="str">
        <f>IF($A98="","", INDEX(CS!$B$1:$B$12828,MATCH($A98,CS!$B:$B,0)+COLUMN(B$1),1))</f>
        <v/>
      </c>
      <c r="AZ98" t="str">
        <f>IF($A98="","", INDEX(CS!$B$1:$B$12828,MATCH($A98,CS!$B:$B,0)+COLUMN(C$1),1))</f>
        <v/>
      </c>
      <c r="BA98" t="str">
        <f>IF($A98="","", INDEX(CS!$B$1:$B$12828,MATCH($A98,CS!$B:$B,0)+COLUMN(D$1),1))</f>
        <v/>
      </c>
      <c r="BB98" t="str">
        <f>IF($A98="","", INDEX(CS!$B$1:$B$12828,MATCH($A98,CS!$B:$B,0)+COLUMN(E$1),1))</f>
        <v/>
      </c>
      <c r="BC98" t="str">
        <f>IF($A98="","", INDEX(CS!$B$1:$B$12828,MATCH($A98,CS!$B:$B,0)+COLUMN(F$1),1))</f>
        <v/>
      </c>
      <c r="BD98" t="str">
        <f>IF($A98="","", INDEX(CS!$B$1:$B$12828,MATCH($A98,CS!$B:$B,0)+COLUMN(I$1),1))</f>
        <v/>
      </c>
      <c r="BE98" t="str">
        <f>IF($A98="","", INDEX(CS!$B$1:$B$12828,MATCH($A98,CS!$B:$B,0)+COLUMN(J$1),1))</f>
        <v/>
      </c>
      <c r="BF98" t="str">
        <f>IF($A98="","", INDEX(CS!$B$1:$B$12828,MATCH($A98,CS!$B:$B,0)+COLUMN(K$1),1))</f>
        <v/>
      </c>
      <c r="BG98" t="str">
        <f>IF($A98="","", INDEX(CS!$B$1:$B$12828,MATCH($A98,CS!$B:$B,0)+COLUMN(L$1),1))</f>
        <v/>
      </c>
    </row>
    <row r="99" spans="3:59" x14ac:dyDescent="0.4">
      <c r="C99" t="s">
        <v>194</v>
      </c>
      <c r="D99" t="str">
        <f t="shared" si="8"/>
        <v>0/0/0</v>
      </c>
      <c r="E99">
        <v>1</v>
      </c>
      <c r="AX99" t="str">
        <f>IF($A99="","", INDEX(CS!$B$1:$B$12828,MATCH($A99,CS!$B:$B,0)+COLUMN(A$1),1))</f>
        <v/>
      </c>
      <c r="AY99" t="str">
        <f>IF($A99="","", INDEX(CS!$B$1:$B$12828,MATCH($A99,CS!$B:$B,0)+COLUMN(B$1),1))</f>
        <v/>
      </c>
      <c r="AZ99" t="str">
        <f>IF($A99="","", INDEX(CS!$B$1:$B$12828,MATCH($A99,CS!$B:$B,0)+COLUMN(C$1),1))</f>
        <v/>
      </c>
      <c r="BA99" t="str">
        <f>IF($A99="","", INDEX(CS!$B$1:$B$12828,MATCH($A99,CS!$B:$B,0)+COLUMN(D$1),1))</f>
        <v/>
      </c>
      <c r="BB99" t="str">
        <f>IF($A99="","", INDEX(CS!$B$1:$B$12828,MATCH($A99,CS!$B:$B,0)+COLUMN(E$1),1))</f>
        <v/>
      </c>
      <c r="BC99" t="str">
        <f>IF($A99="","", INDEX(CS!$B$1:$B$12828,MATCH($A99,CS!$B:$B,0)+COLUMN(F$1),1))</f>
        <v/>
      </c>
      <c r="BD99" t="str">
        <f>IF($A99="","", INDEX(CS!$B$1:$B$12828,MATCH($A99,CS!$B:$B,0)+COLUMN(I$1),1))</f>
        <v/>
      </c>
      <c r="BE99" t="str">
        <f>IF($A99="","", INDEX(CS!$B$1:$B$12828,MATCH($A99,CS!$B:$B,0)+COLUMN(J$1),1))</f>
        <v/>
      </c>
      <c r="BF99" t="str">
        <f>IF($A99="","", INDEX(CS!$B$1:$B$12828,MATCH($A99,CS!$B:$B,0)+COLUMN(K$1),1))</f>
        <v/>
      </c>
      <c r="BG99" t="str">
        <f>IF($A99="","", INDEX(CS!$B$1:$B$12828,MATCH($A99,CS!$B:$B,0)+COLUMN(L$1),1))</f>
        <v/>
      </c>
    </row>
    <row r="100" spans="3:59" x14ac:dyDescent="0.4">
      <c r="C100" t="s">
        <v>194</v>
      </c>
      <c r="D100" t="str">
        <f t="shared" si="8"/>
        <v>0/0/0</v>
      </c>
      <c r="E100">
        <v>1</v>
      </c>
      <c r="AX100" t="str">
        <f>IF($A100="","", INDEX(CS!$B$1:$B$12828,MATCH($A100,CS!$B:$B,0)+COLUMN(A$1),1))</f>
        <v/>
      </c>
      <c r="AY100" t="str">
        <f>IF($A100="","", INDEX(CS!$B$1:$B$12828,MATCH($A100,CS!$B:$B,0)+COLUMN(B$1),1))</f>
        <v/>
      </c>
      <c r="AZ100" t="str">
        <f>IF($A100="","", INDEX(CS!$B$1:$B$12828,MATCH($A100,CS!$B:$B,0)+COLUMN(C$1),1))</f>
        <v/>
      </c>
      <c r="BA100" t="str">
        <f>IF($A100="","", INDEX(CS!$B$1:$B$12828,MATCH($A100,CS!$B:$B,0)+COLUMN(D$1),1))</f>
        <v/>
      </c>
      <c r="BB100" t="str">
        <f>IF($A100="","", INDEX(CS!$B$1:$B$12828,MATCH($A100,CS!$B:$B,0)+COLUMN(E$1),1))</f>
        <v/>
      </c>
      <c r="BC100" t="str">
        <f>IF($A100="","", INDEX(CS!$B$1:$B$12828,MATCH($A100,CS!$B:$B,0)+COLUMN(F$1),1))</f>
        <v/>
      </c>
      <c r="BD100" t="str">
        <f>IF($A100="","", INDEX(CS!$B$1:$B$12828,MATCH($A100,CS!$B:$B,0)+COLUMN(I$1),1))</f>
        <v/>
      </c>
      <c r="BE100" t="str">
        <f>IF($A100="","", INDEX(CS!$B$1:$B$12828,MATCH($A100,CS!$B:$B,0)+COLUMN(J$1),1))</f>
        <v/>
      </c>
      <c r="BF100" t="str">
        <f>IF($A100="","", INDEX(CS!$B$1:$B$12828,MATCH($A100,CS!$B:$B,0)+COLUMN(K$1),1))</f>
        <v/>
      </c>
      <c r="BG100" t="str">
        <f>IF($A100="","", INDEX(CS!$B$1:$B$12828,MATCH($A100,CS!$B:$B,0)+COLUMN(L$1),1))</f>
        <v/>
      </c>
    </row>
    <row r="101" spans="3:59" x14ac:dyDescent="0.4">
      <c r="C101" t="s">
        <v>194</v>
      </c>
      <c r="D101" t="str">
        <f t="shared" si="8"/>
        <v>0/0/0</v>
      </c>
      <c r="E101">
        <v>1</v>
      </c>
      <c r="AX101" t="str">
        <f>IF($A101="","", INDEX(CS!$B$1:$B$12828,MATCH($A101,CS!$B:$B,0)+COLUMN(A$1),1))</f>
        <v/>
      </c>
      <c r="AY101" t="str">
        <f>IF($A101="","", INDEX(CS!$B$1:$B$12828,MATCH($A101,CS!$B:$B,0)+COLUMN(B$1),1))</f>
        <v/>
      </c>
      <c r="AZ101" t="str">
        <f>IF($A101="","", INDEX(CS!$B$1:$B$12828,MATCH($A101,CS!$B:$B,0)+COLUMN(C$1),1))</f>
        <v/>
      </c>
      <c r="BA101" t="str">
        <f>IF($A101="","", INDEX(CS!$B$1:$B$12828,MATCH($A101,CS!$B:$B,0)+COLUMN(D$1),1))</f>
        <v/>
      </c>
      <c r="BB101" t="str">
        <f>IF($A101="","", INDEX(CS!$B$1:$B$12828,MATCH($A101,CS!$B:$B,0)+COLUMN(E$1),1))</f>
        <v/>
      </c>
      <c r="BC101" t="str">
        <f>IF($A101="","", INDEX(CS!$B$1:$B$12828,MATCH($A101,CS!$B:$B,0)+COLUMN(F$1),1))</f>
        <v/>
      </c>
      <c r="BD101" t="str">
        <f>IF($A101="","", INDEX(CS!$B$1:$B$12828,MATCH($A101,CS!$B:$B,0)+COLUMN(I$1),1))</f>
        <v/>
      </c>
      <c r="BE101" t="str">
        <f>IF($A101="","", INDEX(CS!$B$1:$B$12828,MATCH($A101,CS!$B:$B,0)+COLUMN(J$1),1))</f>
        <v/>
      </c>
      <c r="BF101" t="str">
        <f>IF($A101="","", INDEX(CS!$B$1:$B$12828,MATCH($A101,CS!$B:$B,0)+COLUMN(K$1),1))</f>
        <v/>
      </c>
      <c r="BG101" t="str">
        <f>IF($A101="","", INDEX(CS!$B$1:$B$12828,MATCH($A101,CS!$B:$B,0)+COLUMN(L$1),1))</f>
        <v/>
      </c>
    </row>
    <row r="102" spans="3:59" x14ac:dyDescent="0.4">
      <c r="C102" t="s">
        <v>194</v>
      </c>
      <c r="D102" t="str">
        <f t="shared" si="8"/>
        <v>0/0/0</v>
      </c>
      <c r="E102">
        <v>1</v>
      </c>
      <c r="AX102" t="str">
        <f>IF($A102="","", INDEX(CS!$B$1:$B$12828,MATCH($A102,CS!$B:$B,0)+COLUMN(A$1),1))</f>
        <v/>
      </c>
      <c r="AY102" t="str">
        <f>IF($A102="","", INDEX(CS!$B$1:$B$12828,MATCH($A102,CS!$B:$B,0)+COLUMN(B$1),1))</f>
        <v/>
      </c>
      <c r="AZ102" t="str">
        <f>IF($A102="","", INDEX(CS!$B$1:$B$12828,MATCH($A102,CS!$B:$B,0)+COLUMN(C$1),1))</f>
        <v/>
      </c>
      <c r="BA102" t="str">
        <f>IF($A102="","", INDEX(CS!$B$1:$B$12828,MATCH($A102,CS!$B:$B,0)+COLUMN(D$1),1))</f>
        <v/>
      </c>
      <c r="BB102" t="str">
        <f>IF($A102="","", INDEX(CS!$B$1:$B$12828,MATCH($A102,CS!$B:$B,0)+COLUMN(E$1),1))</f>
        <v/>
      </c>
      <c r="BC102" t="str">
        <f>IF($A102="","", INDEX(CS!$B$1:$B$12828,MATCH($A102,CS!$B:$B,0)+COLUMN(F$1),1))</f>
        <v/>
      </c>
      <c r="BD102" t="str">
        <f>IF($A102="","", INDEX(CS!$B$1:$B$12828,MATCH($A102,CS!$B:$B,0)+COLUMN(I$1),1))</f>
        <v/>
      </c>
      <c r="BE102" t="str">
        <f>IF($A102="","", INDEX(CS!$B$1:$B$12828,MATCH($A102,CS!$B:$B,0)+COLUMN(J$1),1))</f>
        <v/>
      </c>
      <c r="BF102" t="str">
        <f>IF($A102="","", INDEX(CS!$B$1:$B$12828,MATCH($A102,CS!$B:$B,0)+COLUMN(K$1),1))</f>
        <v/>
      </c>
      <c r="BG102" t="str">
        <f>IF($A102="","", INDEX(CS!$B$1:$B$12828,MATCH($A102,CS!$B:$B,0)+COLUMN(L$1),1))</f>
        <v/>
      </c>
    </row>
    <row r="103" spans="3:59" x14ac:dyDescent="0.4">
      <c r="C103" t="s">
        <v>194</v>
      </c>
      <c r="D103" t="str">
        <f t="shared" si="8"/>
        <v>0/0/0</v>
      </c>
      <c r="E103">
        <v>1</v>
      </c>
      <c r="AX103" t="str">
        <f>IF($A103="","", INDEX(CS!$B$1:$B$12828,MATCH($A103,CS!$B:$B,0)+COLUMN(A$1),1))</f>
        <v/>
      </c>
      <c r="AY103" t="str">
        <f>IF($A103="","", INDEX(CS!$B$1:$B$12828,MATCH($A103,CS!$B:$B,0)+COLUMN(B$1),1))</f>
        <v/>
      </c>
      <c r="AZ103" t="str">
        <f>IF($A103="","", INDEX(CS!$B$1:$B$12828,MATCH($A103,CS!$B:$B,0)+COLUMN(C$1),1))</f>
        <v/>
      </c>
      <c r="BA103" t="str">
        <f>IF($A103="","", INDEX(CS!$B$1:$B$12828,MATCH($A103,CS!$B:$B,0)+COLUMN(D$1),1))</f>
        <v/>
      </c>
      <c r="BB103" t="str">
        <f>IF($A103="","", INDEX(CS!$B$1:$B$12828,MATCH($A103,CS!$B:$B,0)+COLUMN(E$1),1))</f>
        <v/>
      </c>
      <c r="BC103" t="str">
        <f>IF($A103="","", INDEX(CS!$B$1:$B$12828,MATCH($A103,CS!$B:$B,0)+COLUMN(F$1),1))</f>
        <v/>
      </c>
      <c r="BD103" t="str">
        <f>IF($A103="","", INDEX(CS!$B$1:$B$12828,MATCH($A103,CS!$B:$B,0)+COLUMN(I$1),1))</f>
        <v/>
      </c>
      <c r="BE103" t="str">
        <f>IF($A103="","", INDEX(CS!$B$1:$B$12828,MATCH($A103,CS!$B:$B,0)+COLUMN(J$1),1))</f>
        <v/>
      </c>
      <c r="BF103" t="str">
        <f>IF($A103="","", INDEX(CS!$B$1:$B$12828,MATCH($A103,CS!$B:$B,0)+COLUMN(K$1),1))</f>
        <v/>
      </c>
      <c r="BG103" t="str">
        <f>IF($A103="","", INDEX(CS!$B$1:$B$12828,MATCH($A103,CS!$B:$B,0)+COLUMN(L$1),1))</f>
        <v/>
      </c>
    </row>
    <row r="104" spans="3:59" x14ac:dyDescent="0.4">
      <c r="C104" t="s">
        <v>194</v>
      </c>
      <c r="D104" t="str">
        <f t="shared" si="8"/>
        <v>0/0/0</v>
      </c>
      <c r="E104">
        <v>1</v>
      </c>
      <c r="AX104" t="str">
        <f>IF($A104="","", INDEX(CS!$B$1:$B$12828,MATCH($A104,CS!$B:$B,0)+COLUMN(A$1),1))</f>
        <v/>
      </c>
      <c r="AY104" t="str">
        <f>IF($A104="","", INDEX(CS!$B$1:$B$12828,MATCH($A104,CS!$B:$B,0)+COLUMN(B$1),1))</f>
        <v/>
      </c>
      <c r="AZ104" t="str">
        <f>IF($A104="","", INDEX(CS!$B$1:$B$12828,MATCH($A104,CS!$B:$B,0)+COLUMN(C$1),1))</f>
        <v/>
      </c>
      <c r="BA104" t="str">
        <f>IF($A104="","", INDEX(CS!$B$1:$B$12828,MATCH($A104,CS!$B:$B,0)+COLUMN(D$1),1))</f>
        <v/>
      </c>
      <c r="BB104" t="str">
        <f>IF($A104="","", INDEX(CS!$B$1:$B$12828,MATCH($A104,CS!$B:$B,0)+COLUMN(E$1),1))</f>
        <v/>
      </c>
      <c r="BC104" t="str">
        <f>IF($A104="","", INDEX(CS!$B$1:$B$12828,MATCH($A104,CS!$B:$B,0)+COLUMN(F$1),1))</f>
        <v/>
      </c>
      <c r="BD104" t="str">
        <f>IF($A104="","", INDEX(CS!$B$1:$B$12828,MATCH($A104,CS!$B:$B,0)+COLUMN(I$1),1))</f>
        <v/>
      </c>
      <c r="BE104" t="str">
        <f>IF($A104="","", INDEX(CS!$B$1:$B$12828,MATCH($A104,CS!$B:$B,0)+COLUMN(J$1),1))</f>
        <v/>
      </c>
      <c r="BF104" t="str">
        <f>IF($A104="","", INDEX(CS!$B$1:$B$12828,MATCH($A104,CS!$B:$B,0)+COLUMN(K$1),1))</f>
        <v/>
      </c>
      <c r="BG104" t="str">
        <f>IF($A104="","", INDEX(CS!$B$1:$B$12828,MATCH($A104,CS!$B:$B,0)+COLUMN(L$1),1))</f>
        <v/>
      </c>
    </row>
    <row r="105" spans="3:59" x14ac:dyDescent="0.4">
      <c r="C105" t="s">
        <v>194</v>
      </c>
      <c r="D105" t="str">
        <f t="shared" si="8"/>
        <v>0/0/0</v>
      </c>
      <c r="E105">
        <v>1</v>
      </c>
      <c r="AX105" t="str">
        <f>IF($A105="","", INDEX(CS!$B$1:$B$12828,MATCH($A105,CS!$B:$B,0)+COLUMN(A$1),1))</f>
        <v/>
      </c>
      <c r="AY105" t="str">
        <f>IF($A105="","", INDEX(CS!$B$1:$B$12828,MATCH($A105,CS!$B:$B,0)+COLUMN(B$1),1))</f>
        <v/>
      </c>
      <c r="AZ105" t="str">
        <f>IF($A105="","", INDEX(CS!$B$1:$B$12828,MATCH($A105,CS!$B:$B,0)+COLUMN(C$1),1))</f>
        <v/>
      </c>
      <c r="BA105" t="str">
        <f>IF($A105="","", INDEX(CS!$B$1:$B$12828,MATCH($A105,CS!$B:$B,0)+COLUMN(D$1),1))</f>
        <v/>
      </c>
      <c r="BB105" t="str">
        <f>IF($A105="","", INDEX(CS!$B$1:$B$12828,MATCH($A105,CS!$B:$B,0)+COLUMN(E$1),1))</f>
        <v/>
      </c>
      <c r="BC105" t="str">
        <f>IF($A105="","", INDEX(CS!$B$1:$B$12828,MATCH($A105,CS!$B:$B,0)+COLUMN(F$1),1))</f>
        <v/>
      </c>
      <c r="BD105" t="str">
        <f>IF($A105="","", INDEX(CS!$B$1:$B$12828,MATCH($A105,CS!$B:$B,0)+COLUMN(I$1),1))</f>
        <v/>
      </c>
      <c r="BE105" t="str">
        <f>IF($A105="","", INDEX(CS!$B$1:$B$12828,MATCH($A105,CS!$B:$B,0)+COLUMN(J$1),1))</f>
        <v/>
      </c>
      <c r="BF105" t="str">
        <f>IF($A105="","", INDEX(CS!$B$1:$B$12828,MATCH($A105,CS!$B:$B,0)+COLUMN(K$1),1))</f>
        <v/>
      </c>
      <c r="BG105" t="str">
        <f>IF($A105="","", INDEX(CS!$B$1:$B$12828,MATCH($A105,CS!$B:$B,0)+COLUMN(L$1),1))</f>
        <v/>
      </c>
    </row>
    <row r="106" spans="3:59" x14ac:dyDescent="0.4">
      <c r="C106" t="s">
        <v>194</v>
      </c>
      <c r="D106" t="str">
        <f t="shared" si="8"/>
        <v>0/0/0</v>
      </c>
      <c r="E106">
        <v>1</v>
      </c>
      <c r="AX106" t="str">
        <f>IF($A106="","", INDEX(CS!$B$1:$B$12828,MATCH($A106,CS!$B:$B,0)+COLUMN(A$1),1))</f>
        <v/>
      </c>
      <c r="AY106" t="str">
        <f>IF($A106="","", INDEX(CS!$B$1:$B$12828,MATCH($A106,CS!$B:$B,0)+COLUMN(B$1),1))</f>
        <v/>
      </c>
      <c r="AZ106" t="str">
        <f>IF($A106="","", INDEX(CS!$B$1:$B$12828,MATCH($A106,CS!$B:$B,0)+COLUMN(C$1),1))</f>
        <v/>
      </c>
      <c r="BA106" t="str">
        <f>IF($A106="","", INDEX(CS!$B$1:$B$12828,MATCH($A106,CS!$B:$B,0)+COLUMN(D$1),1))</f>
        <v/>
      </c>
      <c r="BB106" t="str">
        <f>IF($A106="","", INDEX(CS!$B$1:$B$12828,MATCH($A106,CS!$B:$B,0)+COLUMN(E$1),1))</f>
        <v/>
      </c>
      <c r="BC106" t="str">
        <f>IF($A106="","", INDEX(CS!$B$1:$B$12828,MATCH($A106,CS!$B:$B,0)+COLUMN(F$1),1))</f>
        <v/>
      </c>
      <c r="BD106" t="str">
        <f>IF($A106="","", INDEX(CS!$B$1:$B$12828,MATCH($A106,CS!$B:$B,0)+COLUMN(I$1),1))</f>
        <v/>
      </c>
      <c r="BE106" t="str">
        <f>IF($A106="","", INDEX(CS!$B$1:$B$12828,MATCH($A106,CS!$B:$B,0)+COLUMN(J$1),1))</f>
        <v/>
      </c>
      <c r="BF106" t="str">
        <f>IF($A106="","", INDEX(CS!$B$1:$B$12828,MATCH($A106,CS!$B:$B,0)+COLUMN(K$1),1))</f>
        <v/>
      </c>
      <c r="BG106" t="str">
        <f>IF($A106="","", INDEX(CS!$B$1:$B$12828,MATCH($A106,CS!$B:$B,0)+COLUMN(L$1),1))</f>
        <v/>
      </c>
    </row>
    <row r="107" spans="3:59" x14ac:dyDescent="0.4">
      <c r="C107" t="s">
        <v>194</v>
      </c>
      <c r="D107" t="str">
        <f t="shared" si="8"/>
        <v>0/0/0</v>
      </c>
      <c r="E107">
        <v>1</v>
      </c>
      <c r="AX107" t="str">
        <f>IF($A107="","", INDEX(CS!$B$1:$B$12828,MATCH($A107,CS!$B:$B,0)+COLUMN(A$1),1))</f>
        <v/>
      </c>
      <c r="AY107" t="str">
        <f>IF($A107="","", INDEX(CS!$B$1:$B$12828,MATCH($A107,CS!$B:$B,0)+COLUMN(B$1),1))</f>
        <v/>
      </c>
      <c r="AZ107" t="str">
        <f>IF($A107="","", INDEX(CS!$B$1:$B$12828,MATCH($A107,CS!$B:$B,0)+COLUMN(C$1),1))</f>
        <v/>
      </c>
      <c r="BA107" t="str">
        <f>IF($A107="","", INDEX(CS!$B$1:$B$12828,MATCH($A107,CS!$B:$B,0)+COLUMN(D$1),1))</f>
        <v/>
      </c>
      <c r="BB107" t="str">
        <f>IF($A107="","", INDEX(CS!$B$1:$B$12828,MATCH($A107,CS!$B:$B,0)+COLUMN(E$1),1))</f>
        <v/>
      </c>
      <c r="BC107" t="str">
        <f>IF($A107="","", INDEX(CS!$B$1:$B$12828,MATCH($A107,CS!$B:$B,0)+COLUMN(F$1),1))</f>
        <v/>
      </c>
      <c r="BD107" t="str">
        <f>IF($A107="","", INDEX(CS!$B$1:$B$12828,MATCH($A107,CS!$B:$B,0)+COLUMN(I$1),1))</f>
        <v/>
      </c>
      <c r="BE107" t="str">
        <f>IF($A107="","", INDEX(CS!$B$1:$B$12828,MATCH($A107,CS!$B:$B,0)+COLUMN(J$1),1))</f>
        <v/>
      </c>
      <c r="BF107" t="str">
        <f>IF($A107="","", INDEX(CS!$B$1:$B$12828,MATCH($A107,CS!$B:$B,0)+COLUMN(K$1),1))</f>
        <v/>
      </c>
      <c r="BG107" t="str">
        <f>IF($A107="","", INDEX(CS!$B$1:$B$12828,MATCH($A107,CS!$B:$B,0)+COLUMN(L$1),1))</f>
        <v/>
      </c>
    </row>
    <row r="108" spans="3:59" x14ac:dyDescent="0.4">
      <c r="C108" t="s">
        <v>194</v>
      </c>
      <c r="D108" t="str">
        <f t="shared" si="8"/>
        <v>0/0/0</v>
      </c>
      <c r="E108">
        <v>1</v>
      </c>
      <c r="AX108" t="str">
        <f>IF($A108="","", INDEX(CS!$B$1:$B$12828,MATCH($A108,CS!$B:$B,0)+COLUMN(A$1),1))</f>
        <v/>
      </c>
      <c r="AY108" t="str">
        <f>IF($A108="","", INDEX(CS!$B$1:$B$12828,MATCH($A108,CS!$B:$B,0)+COLUMN(B$1),1))</f>
        <v/>
      </c>
      <c r="AZ108" t="str">
        <f>IF($A108="","", INDEX(CS!$B$1:$B$12828,MATCH($A108,CS!$B:$B,0)+COLUMN(C$1),1))</f>
        <v/>
      </c>
      <c r="BA108" t="str">
        <f>IF($A108="","", INDEX(CS!$B$1:$B$12828,MATCH($A108,CS!$B:$B,0)+COLUMN(D$1),1))</f>
        <v/>
      </c>
      <c r="BB108" t="str">
        <f>IF($A108="","", INDEX(CS!$B$1:$B$12828,MATCH($A108,CS!$B:$B,0)+COLUMN(E$1),1))</f>
        <v/>
      </c>
      <c r="BC108" t="str">
        <f>IF($A108="","", INDEX(CS!$B$1:$B$12828,MATCH($A108,CS!$B:$B,0)+COLUMN(F$1),1))</f>
        <v/>
      </c>
      <c r="BD108" t="str">
        <f>IF($A108="","", INDEX(CS!$B$1:$B$12828,MATCH($A108,CS!$B:$B,0)+COLUMN(I$1),1))</f>
        <v/>
      </c>
      <c r="BE108" t="str">
        <f>IF($A108="","", INDEX(CS!$B$1:$B$12828,MATCH($A108,CS!$B:$B,0)+COLUMN(J$1),1))</f>
        <v/>
      </c>
      <c r="BF108" t="str">
        <f>IF($A108="","", INDEX(CS!$B$1:$B$12828,MATCH($A108,CS!$B:$B,0)+COLUMN(K$1),1))</f>
        <v/>
      </c>
      <c r="BG108" t="str">
        <f>IF($A108="","", INDEX(CS!$B$1:$B$12828,MATCH($A108,CS!$B:$B,0)+COLUMN(L$1),1))</f>
        <v/>
      </c>
    </row>
    <row r="109" spans="3:59" x14ac:dyDescent="0.4">
      <c r="C109" t="s">
        <v>194</v>
      </c>
      <c r="D109" t="str">
        <f t="shared" si="8"/>
        <v>0/0/0</v>
      </c>
      <c r="E109">
        <v>1</v>
      </c>
      <c r="AX109" t="str">
        <f>IF($A109="","", INDEX(CS!$B$1:$B$12828,MATCH($A109,CS!$B:$B,0)+COLUMN(A$1),1))</f>
        <v/>
      </c>
      <c r="AY109" t="str">
        <f>IF($A109="","", INDEX(CS!$B$1:$B$12828,MATCH($A109,CS!$B:$B,0)+COLUMN(B$1),1))</f>
        <v/>
      </c>
      <c r="AZ109" t="str">
        <f>IF($A109="","", INDEX(CS!$B$1:$B$12828,MATCH($A109,CS!$B:$B,0)+COLUMN(C$1),1))</f>
        <v/>
      </c>
      <c r="BA109" t="str">
        <f>IF($A109="","", INDEX(CS!$B$1:$B$12828,MATCH($A109,CS!$B:$B,0)+COLUMN(D$1),1))</f>
        <v/>
      </c>
      <c r="BB109" t="str">
        <f>IF($A109="","", INDEX(CS!$B$1:$B$12828,MATCH($A109,CS!$B:$B,0)+COLUMN(E$1),1))</f>
        <v/>
      </c>
      <c r="BC109" t="str">
        <f>IF($A109="","", INDEX(CS!$B$1:$B$12828,MATCH($A109,CS!$B:$B,0)+COLUMN(F$1),1))</f>
        <v/>
      </c>
      <c r="BD109" t="str">
        <f>IF($A109="","", INDEX(CS!$B$1:$B$12828,MATCH($A109,CS!$B:$B,0)+COLUMN(I$1),1))</f>
        <v/>
      </c>
      <c r="BE109" t="str">
        <f>IF($A109="","", INDEX(CS!$B$1:$B$12828,MATCH($A109,CS!$B:$B,0)+COLUMN(J$1),1))</f>
        <v/>
      </c>
      <c r="BF109" t="str">
        <f>IF($A109="","", INDEX(CS!$B$1:$B$12828,MATCH($A109,CS!$B:$B,0)+COLUMN(K$1),1))</f>
        <v/>
      </c>
      <c r="BG109" t="str">
        <f>IF($A109="","", INDEX(CS!$B$1:$B$12828,MATCH($A109,CS!$B:$B,0)+COLUMN(L$1),1))</f>
        <v/>
      </c>
    </row>
    <row r="110" spans="3:59" x14ac:dyDescent="0.4">
      <c r="C110" t="s">
        <v>194</v>
      </c>
      <c r="D110" t="str">
        <f t="shared" si="8"/>
        <v>0/0/0</v>
      </c>
      <c r="E110">
        <v>1</v>
      </c>
      <c r="AX110" t="str">
        <f>IF($A110="","", INDEX(CS!$B$1:$B$12828,MATCH($A110,CS!$B:$B,0)+COLUMN(A$1),1))</f>
        <v/>
      </c>
      <c r="AY110" t="str">
        <f>IF($A110="","", INDEX(CS!$B$1:$B$12828,MATCH($A110,CS!$B:$B,0)+COLUMN(B$1),1))</f>
        <v/>
      </c>
      <c r="AZ110" t="str">
        <f>IF($A110="","", INDEX(CS!$B$1:$B$12828,MATCH($A110,CS!$B:$B,0)+COLUMN(C$1),1))</f>
        <v/>
      </c>
      <c r="BA110" t="str">
        <f>IF($A110="","", INDEX(CS!$B$1:$B$12828,MATCH($A110,CS!$B:$B,0)+COLUMN(D$1),1))</f>
        <v/>
      </c>
      <c r="BB110" t="str">
        <f>IF($A110="","", INDEX(CS!$B$1:$B$12828,MATCH($A110,CS!$B:$B,0)+COLUMN(E$1),1))</f>
        <v/>
      </c>
      <c r="BC110" t="str">
        <f>IF($A110="","", INDEX(CS!$B$1:$B$12828,MATCH($A110,CS!$B:$B,0)+COLUMN(F$1),1))</f>
        <v/>
      </c>
      <c r="BD110" t="str">
        <f>IF($A110="","", INDEX(CS!$B$1:$B$12828,MATCH($A110,CS!$B:$B,0)+COLUMN(I$1),1))</f>
        <v/>
      </c>
      <c r="BE110" t="str">
        <f>IF($A110="","", INDEX(CS!$B$1:$B$12828,MATCH($A110,CS!$B:$B,0)+COLUMN(J$1),1))</f>
        <v/>
      </c>
      <c r="BF110" t="str">
        <f>IF($A110="","", INDEX(CS!$B$1:$B$12828,MATCH($A110,CS!$B:$B,0)+COLUMN(K$1),1))</f>
        <v/>
      </c>
      <c r="BG110" t="str">
        <f>IF($A110="","", INDEX(CS!$B$1:$B$12828,MATCH($A110,CS!$B:$B,0)+COLUMN(L$1),1))</f>
        <v/>
      </c>
    </row>
    <row r="111" spans="3:59" x14ac:dyDescent="0.4">
      <c r="C111" t="s">
        <v>194</v>
      </c>
      <c r="D111" t="str">
        <f t="shared" si="8"/>
        <v>0/0/0</v>
      </c>
      <c r="E111">
        <v>1</v>
      </c>
      <c r="AX111" t="str">
        <f>IF($A111="","", INDEX(CS!$B$1:$B$12828,MATCH($A111,CS!$B:$B,0)+COLUMN(A$1),1))</f>
        <v/>
      </c>
      <c r="AY111" t="str">
        <f>IF($A111="","", INDEX(CS!$B$1:$B$12828,MATCH($A111,CS!$B:$B,0)+COLUMN(B$1),1))</f>
        <v/>
      </c>
      <c r="AZ111" t="str">
        <f>IF($A111="","", INDEX(CS!$B$1:$B$12828,MATCH($A111,CS!$B:$B,0)+COLUMN(C$1),1))</f>
        <v/>
      </c>
      <c r="BA111" t="str">
        <f>IF($A111="","", INDEX(CS!$B$1:$B$12828,MATCH($A111,CS!$B:$B,0)+COLUMN(D$1),1))</f>
        <v/>
      </c>
      <c r="BB111" t="str">
        <f>IF($A111="","", INDEX(CS!$B$1:$B$12828,MATCH($A111,CS!$B:$B,0)+COLUMN(E$1),1))</f>
        <v/>
      </c>
      <c r="BC111" t="str">
        <f>IF($A111="","", INDEX(CS!$B$1:$B$12828,MATCH($A111,CS!$B:$B,0)+COLUMN(F$1),1))</f>
        <v/>
      </c>
      <c r="BD111" t="str">
        <f>IF($A111="","", INDEX(CS!$B$1:$B$12828,MATCH($A111,CS!$B:$B,0)+COLUMN(I$1),1))</f>
        <v/>
      </c>
      <c r="BE111" t="str">
        <f>IF($A111="","", INDEX(CS!$B$1:$B$12828,MATCH($A111,CS!$B:$B,0)+COLUMN(J$1),1))</f>
        <v/>
      </c>
      <c r="BF111" t="str">
        <f>IF($A111="","", INDEX(CS!$B$1:$B$12828,MATCH($A111,CS!$B:$B,0)+COLUMN(K$1),1))</f>
        <v/>
      </c>
      <c r="BG111" t="str">
        <f>IF($A111="","", INDEX(CS!$B$1:$B$12828,MATCH($A111,CS!$B:$B,0)+COLUMN(L$1),1))</f>
        <v/>
      </c>
    </row>
    <row r="112" spans="3:59" x14ac:dyDescent="0.4">
      <c r="C112" t="s">
        <v>194</v>
      </c>
      <c r="D112" t="str">
        <f t="shared" si="8"/>
        <v>0/0/0</v>
      </c>
      <c r="E112">
        <v>1</v>
      </c>
      <c r="AX112" t="str">
        <f>IF($A112="","", INDEX(CS!$B$1:$B$12828,MATCH($A112,CS!$B:$B,0)+COLUMN(A$1),1))</f>
        <v/>
      </c>
      <c r="AY112" t="str">
        <f>IF($A112="","", INDEX(CS!$B$1:$B$12828,MATCH($A112,CS!$B:$B,0)+COLUMN(B$1),1))</f>
        <v/>
      </c>
      <c r="AZ112" t="str">
        <f>IF($A112="","", INDEX(CS!$B$1:$B$12828,MATCH($A112,CS!$B:$B,0)+COLUMN(C$1),1))</f>
        <v/>
      </c>
      <c r="BA112" t="str">
        <f>IF($A112="","", INDEX(CS!$B$1:$B$12828,MATCH($A112,CS!$B:$B,0)+COLUMN(D$1),1))</f>
        <v/>
      </c>
      <c r="BB112" t="str">
        <f>IF($A112="","", INDEX(CS!$B$1:$B$12828,MATCH($A112,CS!$B:$B,0)+COLUMN(E$1),1))</f>
        <v/>
      </c>
      <c r="BC112" t="str">
        <f>IF($A112="","", INDEX(CS!$B$1:$B$12828,MATCH($A112,CS!$B:$B,0)+COLUMN(F$1),1))</f>
        <v/>
      </c>
      <c r="BD112" t="str">
        <f>IF($A112="","", INDEX(CS!$B$1:$B$12828,MATCH($A112,CS!$B:$B,0)+COLUMN(I$1),1))</f>
        <v/>
      </c>
      <c r="BE112" t="str">
        <f>IF($A112="","", INDEX(CS!$B$1:$B$12828,MATCH($A112,CS!$B:$B,0)+COLUMN(J$1),1))</f>
        <v/>
      </c>
      <c r="BF112" t="str">
        <f>IF($A112="","", INDEX(CS!$B$1:$B$12828,MATCH($A112,CS!$B:$B,0)+COLUMN(K$1),1))</f>
        <v/>
      </c>
      <c r="BG112" t="str">
        <f>IF($A112="","", INDEX(CS!$B$1:$B$12828,MATCH($A112,CS!$B:$B,0)+COLUMN(L$1),1))</f>
        <v/>
      </c>
    </row>
    <row r="113" spans="3:59" x14ac:dyDescent="0.4">
      <c r="C113" t="s">
        <v>194</v>
      </c>
      <c r="D113" t="str">
        <f t="shared" si="8"/>
        <v>0/0/0</v>
      </c>
      <c r="E113">
        <v>1</v>
      </c>
      <c r="AX113" t="str">
        <f>IF($A113="","", INDEX(CS!$B$1:$B$12828,MATCH($A113,CS!$B:$B,0)+COLUMN(A$1),1))</f>
        <v/>
      </c>
      <c r="AY113" t="str">
        <f>IF($A113="","", INDEX(CS!$B$1:$B$12828,MATCH($A113,CS!$B:$B,0)+COLUMN(B$1),1))</f>
        <v/>
      </c>
      <c r="AZ113" t="str">
        <f>IF($A113="","", INDEX(CS!$B$1:$B$12828,MATCH($A113,CS!$B:$B,0)+COLUMN(C$1),1))</f>
        <v/>
      </c>
      <c r="BA113" t="str">
        <f>IF($A113="","", INDEX(CS!$B$1:$B$12828,MATCH($A113,CS!$B:$B,0)+COLUMN(D$1),1))</f>
        <v/>
      </c>
      <c r="BB113" t="str">
        <f>IF($A113="","", INDEX(CS!$B$1:$B$12828,MATCH($A113,CS!$B:$B,0)+COLUMN(E$1),1))</f>
        <v/>
      </c>
      <c r="BC113" t="str">
        <f>IF($A113="","", INDEX(CS!$B$1:$B$12828,MATCH($A113,CS!$B:$B,0)+COLUMN(F$1),1))</f>
        <v/>
      </c>
      <c r="BD113" t="str">
        <f>IF($A113="","", INDEX(CS!$B$1:$B$12828,MATCH($A113,CS!$B:$B,0)+COLUMN(I$1),1))</f>
        <v/>
      </c>
      <c r="BE113" t="str">
        <f>IF($A113="","", INDEX(CS!$B$1:$B$12828,MATCH($A113,CS!$B:$B,0)+COLUMN(J$1),1))</f>
        <v/>
      </c>
      <c r="BF113" t="str">
        <f>IF($A113="","", INDEX(CS!$B$1:$B$12828,MATCH($A113,CS!$B:$B,0)+COLUMN(K$1),1))</f>
        <v/>
      </c>
      <c r="BG113" t="str">
        <f>IF($A113="","", INDEX(CS!$B$1:$B$12828,MATCH($A113,CS!$B:$B,0)+COLUMN(L$1),1))</f>
        <v/>
      </c>
    </row>
    <row r="114" spans="3:59" x14ac:dyDescent="0.4">
      <c r="C114" t="s">
        <v>194</v>
      </c>
      <c r="D114" t="str">
        <f t="shared" si="8"/>
        <v>0/0/0</v>
      </c>
      <c r="E114">
        <v>1</v>
      </c>
      <c r="AX114" t="str">
        <f>IF($A114="","", INDEX(CS!$B$1:$B$12828,MATCH($A114,CS!$B:$B,0)+COLUMN(A$1),1))</f>
        <v/>
      </c>
      <c r="AY114" t="str">
        <f>IF($A114="","", INDEX(CS!$B$1:$B$12828,MATCH($A114,CS!$B:$B,0)+COLUMN(B$1),1))</f>
        <v/>
      </c>
      <c r="AZ114" t="str">
        <f>IF($A114="","", INDEX(CS!$B$1:$B$12828,MATCH($A114,CS!$B:$B,0)+COLUMN(C$1),1))</f>
        <v/>
      </c>
      <c r="BA114" t="str">
        <f>IF($A114="","", INDEX(CS!$B$1:$B$12828,MATCH($A114,CS!$B:$B,0)+COLUMN(D$1),1))</f>
        <v/>
      </c>
      <c r="BB114" t="str">
        <f>IF($A114="","", INDEX(CS!$B$1:$B$12828,MATCH($A114,CS!$B:$B,0)+COLUMN(E$1),1))</f>
        <v/>
      </c>
      <c r="BC114" t="str">
        <f>IF($A114="","", INDEX(CS!$B$1:$B$12828,MATCH($A114,CS!$B:$B,0)+COLUMN(F$1),1))</f>
        <v/>
      </c>
      <c r="BD114" t="str">
        <f>IF($A114="","", INDEX(CS!$B$1:$B$12828,MATCH($A114,CS!$B:$B,0)+COLUMN(I$1),1))</f>
        <v/>
      </c>
      <c r="BE114" t="str">
        <f>IF($A114="","", INDEX(CS!$B$1:$B$12828,MATCH($A114,CS!$B:$B,0)+COLUMN(J$1),1))</f>
        <v/>
      </c>
      <c r="BF114" t="str">
        <f>IF($A114="","", INDEX(CS!$B$1:$B$12828,MATCH($A114,CS!$B:$B,0)+COLUMN(K$1),1))</f>
        <v/>
      </c>
      <c r="BG114" t="str">
        <f>IF($A114="","", INDEX(CS!$B$1:$B$12828,MATCH($A114,CS!$B:$B,0)+COLUMN(L$1),1))</f>
        <v/>
      </c>
    </row>
    <row r="115" spans="3:59" x14ac:dyDescent="0.4">
      <c r="C115" t="s">
        <v>194</v>
      </c>
      <c r="D115" t="str">
        <f t="shared" si="8"/>
        <v>0/0/0</v>
      </c>
      <c r="E115">
        <v>1</v>
      </c>
      <c r="AX115" t="str">
        <f>IF($A115="","", INDEX(CS!$B$1:$B$12828,MATCH($A115,CS!$B:$B,0)+COLUMN(A$1),1))</f>
        <v/>
      </c>
      <c r="AY115" t="str">
        <f>IF($A115="","", INDEX(CS!$B$1:$B$12828,MATCH($A115,CS!$B:$B,0)+COLUMN(B$1),1))</f>
        <v/>
      </c>
      <c r="AZ115" t="str">
        <f>IF($A115="","", INDEX(CS!$B$1:$B$12828,MATCH($A115,CS!$B:$B,0)+COLUMN(C$1),1))</f>
        <v/>
      </c>
      <c r="BA115" t="str">
        <f>IF($A115="","", INDEX(CS!$B$1:$B$12828,MATCH($A115,CS!$B:$B,0)+COLUMN(D$1),1))</f>
        <v/>
      </c>
      <c r="BB115" t="str">
        <f>IF($A115="","", INDEX(CS!$B$1:$B$12828,MATCH($A115,CS!$B:$B,0)+COLUMN(E$1),1))</f>
        <v/>
      </c>
      <c r="BC115" t="str">
        <f>IF($A115="","", INDEX(CS!$B$1:$B$12828,MATCH($A115,CS!$B:$B,0)+COLUMN(F$1),1))</f>
        <v/>
      </c>
      <c r="BD115" t="str">
        <f>IF($A115="","", INDEX(CS!$B$1:$B$12828,MATCH($A115,CS!$B:$B,0)+COLUMN(I$1),1))</f>
        <v/>
      </c>
      <c r="BE115" t="str">
        <f>IF($A115="","", INDEX(CS!$B$1:$B$12828,MATCH($A115,CS!$B:$B,0)+COLUMN(J$1),1))</f>
        <v/>
      </c>
      <c r="BF115" t="str">
        <f>IF($A115="","", INDEX(CS!$B$1:$B$12828,MATCH($A115,CS!$B:$B,0)+COLUMN(K$1),1))</f>
        <v/>
      </c>
      <c r="BG115" t="str">
        <f>IF($A115="","", INDEX(CS!$B$1:$B$12828,MATCH($A115,CS!$B:$B,0)+COLUMN(L$1),1))</f>
        <v/>
      </c>
    </row>
    <row r="116" spans="3:59" x14ac:dyDescent="0.4">
      <c r="C116" t="s">
        <v>194</v>
      </c>
      <c r="D116" t="str">
        <f t="shared" si="8"/>
        <v>0/0/0</v>
      </c>
      <c r="E116">
        <v>1</v>
      </c>
      <c r="AX116" t="str">
        <f>IF($A116="","", INDEX(CS!$B$1:$B$12828,MATCH($A116,CS!$B:$B,0)+COLUMN(A$1),1))</f>
        <v/>
      </c>
      <c r="AY116" t="str">
        <f>IF($A116="","", INDEX(CS!$B$1:$B$12828,MATCH($A116,CS!$B:$B,0)+COLUMN(B$1),1))</f>
        <v/>
      </c>
      <c r="AZ116" t="str">
        <f>IF($A116="","", INDEX(CS!$B$1:$B$12828,MATCH($A116,CS!$B:$B,0)+COLUMN(C$1),1))</f>
        <v/>
      </c>
      <c r="BA116" t="str">
        <f>IF($A116="","", INDEX(CS!$B$1:$B$12828,MATCH($A116,CS!$B:$B,0)+COLUMN(D$1),1))</f>
        <v/>
      </c>
      <c r="BB116" t="str">
        <f>IF($A116="","", INDEX(CS!$B$1:$B$12828,MATCH($A116,CS!$B:$B,0)+COLUMN(E$1),1))</f>
        <v/>
      </c>
      <c r="BC116" t="str">
        <f>IF($A116="","", INDEX(CS!$B$1:$B$12828,MATCH($A116,CS!$B:$B,0)+COLUMN(F$1),1))</f>
        <v/>
      </c>
      <c r="BD116" t="str">
        <f>IF($A116="","", INDEX(CS!$B$1:$B$12828,MATCH($A116,CS!$B:$B,0)+COLUMN(I$1),1))</f>
        <v/>
      </c>
      <c r="BE116" t="str">
        <f>IF($A116="","", INDEX(CS!$B$1:$B$12828,MATCH($A116,CS!$B:$B,0)+COLUMN(J$1),1))</f>
        <v/>
      </c>
      <c r="BF116" t="str">
        <f>IF($A116="","", INDEX(CS!$B$1:$B$12828,MATCH($A116,CS!$B:$B,0)+COLUMN(K$1),1))</f>
        <v/>
      </c>
      <c r="BG116" t="str">
        <f>IF($A116="","", INDEX(CS!$B$1:$B$12828,MATCH($A116,CS!$B:$B,0)+COLUMN(L$1),1))</f>
        <v/>
      </c>
    </row>
    <row r="117" spans="3:59" x14ac:dyDescent="0.4">
      <c r="C117" t="s">
        <v>194</v>
      </c>
      <c r="D117" t="str">
        <f t="shared" si="8"/>
        <v>0/0/0</v>
      </c>
      <c r="E117">
        <v>1</v>
      </c>
      <c r="AX117" t="str">
        <f>IF($A117="","", INDEX(CS!$B$1:$B$12828,MATCH($A117,CS!$B:$B,0)+COLUMN(A$1),1))</f>
        <v/>
      </c>
      <c r="AY117" t="str">
        <f>IF($A117="","", INDEX(CS!$B$1:$B$12828,MATCH($A117,CS!$B:$B,0)+COLUMN(B$1),1))</f>
        <v/>
      </c>
      <c r="AZ117" t="str">
        <f>IF($A117="","", INDEX(CS!$B$1:$B$12828,MATCH($A117,CS!$B:$B,0)+COLUMN(C$1),1))</f>
        <v/>
      </c>
      <c r="BA117" t="str">
        <f>IF($A117="","", INDEX(CS!$B$1:$B$12828,MATCH($A117,CS!$B:$B,0)+COLUMN(D$1),1))</f>
        <v/>
      </c>
      <c r="BB117" t="str">
        <f>IF($A117="","", INDEX(CS!$B$1:$B$12828,MATCH($A117,CS!$B:$B,0)+COLUMN(E$1),1))</f>
        <v/>
      </c>
      <c r="BC117" t="str">
        <f>IF($A117="","", INDEX(CS!$B$1:$B$12828,MATCH($A117,CS!$B:$B,0)+COLUMN(F$1),1))</f>
        <v/>
      </c>
      <c r="BD117" t="str">
        <f>IF($A117="","", INDEX(CS!$B$1:$B$12828,MATCH($A117,CS!$B:$B,0)+COLUMN(I$1),1))</f>
        <v/>
      </c>
      <c r="BE117" t="str">
        <f>IF($A117="","", INDEX(CS!$B$1:$B$12828,MATCH($A117,CS!$B:$B,0)+COLUMN(J$1),1))</f>
        <v/>
      </c>
      <c r="BF117" t="str">
        <f>IF($A117="","", INDEX(CS!$B$1:$B$12828,MATCH($A117,CS!$B:$B,0)+COLUMN(K$1),1))</f>
        <v/>
      </c>
      <c r="BG117" t="str">
        <f>IF($A117="","", INDEX(CS!$B$1:$B$12828,MATCH($A117,CS!$B:$B,0)+COLUMN(L$1),1))</f>
        <v/>
      </c>
    </row>
    <row r="118" spans="3:59" x14ac:dyDescent="0.4">
      <c r="C118" t="s">
        <v>194</v>
      </c>
      <c r="D118" t="str">
        <f t="shared" si="8"/>
        <v>0/0/0</v>
      </c>
      <c r="E118">
        <v>1</v>
      </c>
      <c r="AX118" t="str">
        <f>IF($A118="","", INDEX(CS!$B$1:$B$12828,MATCH($A118,CS!$B:$B,0)+COLUMN(A$1),1))</f>
        <v/>
      </c>
      <c r="AY118" t="str">
        <f>IF($A118="","", INDEX(CS!$B$1:$B$12828,MATCH($A118,CS!$B:$B,0)+COLUMN(B$1),1))</f>
        <v/>
      </c>
      <c r="AZ118" t="str">
        <f>IF($A118="","", INDEX(CS!$B$1:$B$12828,MATCH($A118,CS!$B:$B,0)+COLUMN(C$1),1))</f>
        <v/>
      </c>
      <c r="BA118" t="str">
        <f>IF($A118="","", INDEX(CS!$B$1:$B$12828,MATCH($A118,CS!$B:$B,0)+COLUMN(D$1),1))</f>
        <v/>
      </c>
      <c r="BB118" t="str">
        <f>IF($A118="","", INDEX(CS!$B$1:$B$12828,MATCH($A118,CS!$B:$B,0)+COLUMN(E$1),1))</f>
        <v/>
      </c>
      <c r="BC118" t="str">
        <f>IF($A118="","", INDEX(CS!$B$1:$B$12828,MATCH($A118,CS!$B:$B,0)+COLUMN(F$1),1))</f>
        <v/>
      </c>
      <c r="BD118" t="str">
        <f>IF($A118="","", INDEX(CS!$B$1:$B$12828,MATCH($A118,CS!$B:$B,0)+COLUMN(I$1),1))</f>
        <v/>
      </c>
      <c r="BE118" t="str">
        <f>IF($A118="","", INDEX(CS!$B$1:$B$12828,MATCH($A118,CS!$B:$B,0)+COLUMN(J$1),1))</f>
        <v/>
      </c>
      <c r="BF118" t="str">
        <f>IF($A118="","", INDEX(CS!$B$1:$B$12828,MATCH($A118,CS!$B:$B,0)+COLUMN(K$1),1))</f>
        <v/>
      </c>
      <c r="BG118" t="str">
        <f>IF($A118="","", INDEX(CS!$B$1:$B$12828,MATCH($A118,CS!$B:$B,0)+COLUMN(L$1),1))</f>
        <v/>
      </c>
    </row>
    <row r="119" spans="3:59" x14ac:dyDescent="0.4">
      <c r="C119" t="s">
        <v>194</v>
      </c>
      <c r="D119" t="str">
        <f t="shared" si="8"/>
        <v>0/0/0</v>
      </c>
      <c r="E119">
        <v>1</v>
      </c>
      <c r="AX119" t="str">
        <f>IF($A119="","", INDEX(CS!$B$1:$B$12828,MATCH($A119,CS!$B:$B,0)+COLUMN(A$1),1))</f>
        <v/>
      </c>
      <c r="AY119" t="str">
        <f>IF($A119="","", INDEX(CS!$B$1:$B$12828,MATCH($A119,CS!$B:$B,0)+COLUMN(B$1),1))</f>
        <v/>
      </c>
      <c r="AZ119" t="str">
        <f>IF($A119="","", INDEX(CS!$B$1:$B$12828,MATCH($A119,CS!$B:$B,0)+COLUMN(C$1),1))</f>
        <v/>
      </c>
      <c r="BA119" t="str">
        <f>IF($A119="","", INDEX(CS!$B$1:$B$12828,MATCH($A119,CS!$B:$B,0)+COLUMN(D$1),1))</f>
        <v/>
      </c>
      <c r="BB119" t="str">
        <f>IF($A119="","", INDEX(CS!$B$1:$B$12828,MATCH($A119,CS!$B:$B,0)+COLUMN(E$1),1))</f>
        <v/>
      </c>
      <c r="BC119" t="str">
        <f>IF($A119="","", INDEX(CS!$B$1:$B$12828,MATCH($A119,CS!$B:$B,0)+COLUMN(F$1),1))</f>
        <v/>
      </c>
      <c r="BD119" t="str">
        <f>IF($A119="","", INDEX(CS!$B$1:$B$12828,MATCH($A119,CS!$B:$B,0)+COLUMN(I$1),1))</f>
        <v/>
      </c>
      <c r="BE119" t="str">
        <f>IF($A119="","", INDEX(CS!$B$1:$B$12828,MATCH($A119,CS!$B:$B,0)+COLUMN(J$1),1))</f>
        <v/>
      </c>
      <c r="BF119" t="str">
        <f>IF($A119="","", INDEX(CS!$B$1:$B$12828,MATCH($A119,CS!$B:$B,0)+COLUMN(K$1),1))</f>
        <v/>
      </c>
      <c r="BG119" t="str">
        <f>IF($A119="","", INDEX(CS!$B$1:$B$12828,MATCH($A119,CS!$B:$B,0)+COLUMN(L$1),1))</f>
        <v/>
      </c>
    </row>
    <row r="120" spans="3:59" x14ac:dyDescent="0.4">
      <c r="C120" t="s">
        <v>194</v>
      </c>
      <c r="D120" t="str">
        <f t="shared" si="8"/>
        <v>0/0/0</v>
      </c>
      <c r="E120">
        <v>1</v>
      </c>
      <c r="AX120" t="str">
        <f>IF($A120="","", INDEX(CS!$B$1:$B$12828,MATCH($A120,CS!$B:$B,0)+COLUMN(A$1),1))</f>
        <v/>
      </c>
      <c r="AY120" t="str">
        <f>IF($A120="","", INDEX(CS!$B$1:$B$12828,MATCH($A120,CS!$B:$B,0)+COLUMN(B$1),1))</f>
        <v/>
      </c>
      <c r="AZ120" t="str">
        <f>IF($A120="","", INDEX(CS!$B$1:$B$12828,MATCH($A120,CS!$B:$B,0)+COLUMN(C$1),1))</f>
        <v/>
      </c>
      <c r="BA120" t="str">
        <f>IF($A120="","", INDEX(CS!$B$1:$B$12828,MATCH($A120,CS!$B:$B,0)+COLUMN(D$1),1))</f>
        <v/>
      </c>
      <c r="BB120" t="str">
        <f>IF($A120="","", INDEX(CS!$B$1:$B$12828,MATCH($A120,CS!$B:$B,0)+COLUMN(E$1),1))</f>
        <v/>
      </c>
      <c r="BC120" t="str">
        <f>IF($A120="","", INDEX(CS!$B$1:$B$12828,MATCH($A120,CS!$B:$B,0)+COLUMN(F$1),1))</f>
        <v/>
      </c>
      <c r="BD120" t="str">
        <f>IF($A120="","", INDEX(CS!$B$1:$B$12828,MATCH($A120,CS!$B:$B,0)+COLUMN(I$1),1))</f>
        <v/>
      </c>
      <c r="BE120" t="str">
        <f>IF($A120="","", INDEX(CS!$B$1:$B$12828,MATCH($A120,CS!$B:$B,0)+COLUMN(J$1),1))</f>
        <v/>
      </c>
      <c r="BF120" t="str">
        <f>IF($A120="","", INDEX(CS!$B$1:$B$12828,MATCH($A120,CS!$B:$B,0)+COLUMN(K$1),1))</f>
        <v/>
      </c>
      <c r="BG120" t="str">
        <f>IF($A120="","", INDEX(CS!$B$1:$B$12828,MATCH($A120,CS!$B:$B,0)+COLUMN(L$1),1))</f>
        <v/>
      </c>
    </row>
    <row r="121" spans="3:59" x14ac:dyDescent="0.4">
      <c r="C121" t="s">
        <v>194</v>
      </c>
      <c r="D121" t="str">
        <f t="shared" si="8"/>
        <v>0/0/0</v>
      </c>
      <c r="E121">
        <v>1</v>
      </c>
      <c r="AX121" t="str">
        <f>IF($A121="","", INDEX(CS!$B$1:$B$12828,MATCH($A121,CS!$B:$B,0)+COLUMN(A$1),1))</f>
        <v/>
      </c>
      <c r="AY121" t="str">
        <f>IF($A121="","", INDEX(CS!$B$1:$B$12828,MATCH($A121,CS!$B:$B,0)+COLUMN(B$1),1))</f>
        <v/>
      </c>
      <c r="AZ121" t="str">
        <f>IF($A121="","", INDEX(CS!$B$1:$B$12828,MATCH($A121,CS!$B:$B,0)+COLUMN(C$1),1))</f>
        <v/>
      </c>
      <c r="BA121" t="str">
        <f>IF($A121="","", INDEX(CS!$B$1:$B$12828,MATCH($A121,CS!$B:$B,0)+COLUMN(D$1),1))</f>
        <v/>
      </c>
      <c r="BB121" t="str">
        <f>IF($A121="","", INDEX(CS!$B$1:$B$12828,MATCH($A121,CS!$B:$B,0)+COLUMN(E$1),1))</f>
        <v/>
      </c>
      <c r="BC121" t="str">
        <f>IF($A121="","", INDEX(CS!$B$1:$B$12828,MATCH($A121,CS!$B:$B,0)+COLUMN(F$1),1))</f>
        <v/>
      </c>
      <c r="BD121" t="str">
        <f>IF($A121="","", INDEX(CS!$B$1:$B$12828,MATCH($A121,CS!$B:$B,0)+COLUMN(I$1),1))</f>
        <v/>
      </c>
      <c r="BE121" t="str">
        <f>IF($A121="","", INDEX(CS!$B$1:$B$12828,MATCH($A121,CS!$B:$B,0)+COLUMN(J$1),1))</f>
        <v/>
      </c>
      <c r="BF121" t="str">
        <f>IF($A121="","", INDEX(CS!$B$1:$B$12828,MATCH($A121,CS!$B:$B,0)+COLUMN(K$1),1))</f>
        <v/>
      </c>
      <c r="BG121" t="str">
        <f>IF($A121="","", INDEX(CS!$B$1:$B$12828,MATCH($A121,CS!$B:$B,0)+COLUMN(L$1),1))</f>
        <v/>
      </c>
    </row>
    <row r="122" spans="3:59" x14ac:dyDescent="0.4">
      <c r="C122" t="s">
        <v>194</v>
      </c>
      <c r="D122" t="str">
        <f t="shared" si="8"/>
        <v>0/0/0</v>
      </c>
      <c r="E122">
        <v>1</v>
      </c>
      <c r="AX122" t="str">
        <f>IF($A122="","", INDEX(CS!$B$1:$B$12828,MATCH($A122,CS!$B:$B,0)+COLUMN(A$1),1))</f>
        <v/>
      </c>
      <c r="AY122" t="str">
        <f>IF($A122="","", INDEX(CS!$B$1:$B$12828,MATCH($A122,CS!$B:$B,0)+COLUMN(B$1),1))</f>
        <v/>
      </c>
      <c r="AZ122" t="str">
        <f>IF($A122="","", INDEX(CS!$B$1:$B$12828,MATCH($A122,CS!$B:$B,0)+COLUMN(C$1),1))</f>
        <v/>
      </c>
      <c r="BA122" t="str">
        <f>IF($A122="","", INDEX(CS!$B$1:$B$12828,MATCH($A122,CS!$B:$B,0)+COLUMN(D$1),1))</f>
        <v/>
      </c>
      <c r="BB122" t="str">
        <f>IF($A122="","", INDEX(CS!$B$1:$B$12828,MATCH($A122,CS!$B:$B,0)+COLUMN(E$1),1))</f>
        <v/>
      </c>
      <c r="BC122" t="str">
        <f>IF($A122="","", INDEX(CS!$B$1:$B$12828,MATCH($A122,CS!$B:$B,0)+COLUMN(F$1),1))</f>
        <v/>
      </c>
      <c r="BD122" t="str">
        <f>IF($A122="","", INDEX(CS!$B$1:$B$12828,MATCH($A122,CS!$B:$B,0)+COLUMN(I$1),1))</f>
        <v/>
      </c>
      <c r="BE122" t="str">
        <f>IF($A122="","", INDEX(CS!$B$1:$B$12828,MATCH($A122,CS!$B:$B,0)+COLUMN(J$1),1))</f>
        <v/>
      </c>
      <c r="BF122" t="str">
        <f>IF($A122="","", INDEX(CS!$B$1:$B$12828,MATCH($A122,CS!$B:$B,0)+COLUMN(K$1),1))</f>
        <v/>
      </c>
      <c r="BG122" t="str">
        <f>IF($A122="","", INDEX(CS!$B$1:$B$12828,MATCH($A122,CS!$B:$B,0)+COLUMN(L$1),1))</f>
        <v/>
      </c>
    </row>
    <row r="123" spans="3:59" x14ac:dyDescent="0.4">
      <c r="C123" t="s">
        <v>194</v>
      </c>
      <c r="D123" t="str">
        <f t="shared" si="8"/>
        <v>0/0/0</v>
      </c>
      <c r="E123">
        <v>1</v>
      </c>
      <c r="AX123" t="str">
        <f>IF($A123="","", INDEX(CS!$B$1:$B$12828,MATCH($A123,CS!$B:$B,0)+COLUMN(A$1),1))</f>
        <v/>
      </c>
      <c r="AY123" t="str">
        <f>IF($A123="","", INDEX(CS!$B$1:$B$12828,MATCH($A123,CS!$B:$B,0)+COLUMN(B$1),1))</f>
        <v/>
      </c>
      <c r="AZ123" t="str">
        <f>IF($A123="","", INDEX(CS!$B$1:$B$12828,MATCH($A123,CS!$B:$B,0)+COLUMN(C$1),1))</f>
        <v/>
      </c>
      <c r="BA123" t="str">
        <f>IF($A123="","", INDEX(CS!$B$1:$B$12828,MATCH($A123,CS!$B:$B,0)+COLUMN(D$1),1))</f>
        <v/>
      </c>
      <c r="BB123" t="str">
        <f>IF($A123="","", INDEX(CS!$B$1:$B$12828,MATCH($A123,CS!$B:$B,0)+COLUMN(E$1),1))</f>
        <v/>
      </c>
      <c r="BC123" t="str">
        <f>IF($A123="","", INDEX(CS!$B$1:$B$12828,MATCH($A123,CS!$B:$B,0)+COLUMN(F$1),1))</f>
        <v/>
      </c>
      <c r="BD123" t="str">
        <f>IF($A123="","", INDEX(CS!$B$1:$B$12828,MATCH($A123,CS!$B:$B,0)+COLUMN(I$1),1))</f>
        <v/>
      </c>
      <c r="BE123" t="str">
        <f>IF($A123="","", INDEX(CS!$B$1:$B$12828,MATCH($A123,CS!$B:$B,0)+COLUMN(J$1),1))</f>
        <v/>
      </c>
      <c r="BF123" t="str">
        <f>IF($A123="","", INDEX(CS!$B$1:$B$12828,MATCH($A123,CS!$B:$B,0)+COLUMN(K$1),1))</f>
        <v/>
      </c>
      <c r="BG123" t="str">
        <f>IF($A123="","", INDEX(CS!$B$1:$B$12828,MATCH($A123,CS!$B:$B,0)+COLUMN(L$1),1))</f>
        <v/>
      </c>
    </row>
    <row r="124" spans="3:59" x14ac:dyDescent="0.4">
      <c r="C124" t="s">
        <v>194</v>
      </c>
      <c r="D124" t="str">
        <f t="shared" si="8"/>
        <v>0/0/0</v>
      </c>
      <c r="E124">
        <v>1</v>
      </c>
      <c r="AX124" t="str">
        <f>IF($A124="","", INDEX(CS!$B$1:$B$12828,MATCH($A124,CS!$B:$B,0)+COLUMN(A$1),1))</f>
        <v/>
      </c>
      <c r="AY124" t="str">
        <f>IF($A124="","", INDEX(CS!$B$1:$B$12828,MATCH($A124,CS!$B:$B,0)+COLUMN(B$1),1))</f>
        <v/>
      </c>
      <c r="AZ124" t="str">
        <f>IF($A124="","", INDEX(CS!$B$1:$B$12828,MATCH($A124,CS!$B:$B,0)+COLUMN(C$1),1))</f>
        <v/>
      </c>
      <c r="BA124" t="str">
        <f>IF($A124="","", INDEX(CS!$B$1:$B$12828,MATCH($A124,CS!$B:$B,0)+COLUMN(D$1),1))</f>
        <v/>
      </c>
      <c r="BB124" t="str">
        <f>IF($A124="","", INDEX(CS!$B$1:$B$12828,MATCH($A124,CS!$B:$B,0)+COLUMN(E$1),1))</f>
        <v/>
      </c>
      <c r="BC124" t="str">
        <f>IF($A124="","", INDEX(CS!$B$1:$B$12828,MATCH($A124,CS!$B:$B,0)+COLUMN(F$1),1))</f>
        <v/>
      </c>
      <c r="BD124" t="str">
        <f>IF($A124="","", INDEX(CS!$B$1:$B$12828,MATCH($A124,CS!$B:$B,0)+COLUMN(I$1),1))</f>
        <v/>
      </c>
      <c r="BE124" t="str">
        <f>IF($A124="","", INDEX(CS!$B$1:$B$12828,MATCH($A124,CS!$B:$B,0)+COLUMN(J$1),1))</f>
        <v/>
      </c>
      <c r="BF124" t="str">
        <f>IF($A124="","", INDEX(CS!$B$1:$B$12828,MATCH($A124,CS!$B:$B,0)+COLUMN(K$1),1))</f>
        <v/>
      </c>
      <c r="BG124" t="str">
        <f>IF($A124="","", INDEX(CS!$B$1:$B$12828,MATCH($A124,CS!$B:$B,0)+COLUMN(L$1),1))</f>
        <v/>
      </c>
    </row>
    <row r="125" spans="3:59" x14ac:dyDescent="0.4">
      <c r="C125" t="s">
        <v>194</v>
      </c>
      <c r="D125" t="str">
        <f t="shared" si="8"/>
        <v>0/0/0</v>
      </c>
      <c r="E125">
        <v>1</v>
      </c>
      <c r="AX125" t="str">
        <f>IF($A125="","", INDEX(CS!$B$1:$B$12828,MATCH($A125,CS!$B:$B,0)+COLUMN(A$1),1))</f>
        <v/>
      </c>
      <c r="AY125" t="str">
        <f>IF($A125="","", INDEX(CS!$B$1:$B$12828,MATCH($A125,CS!$B:$B,0)+COLUMN(B$1),1))</f>
        <v/>
      </c>
      <c r="AZ125" t="str">
        <f>IF($A125="","", INDEX(CS!$B$1:$B$12828,MATCH($A125,CS!$B:$B,0)+COLUMN(C$1),1))</f>
        <v/>
      </c>
      <c r="BA125" t="str">
        <f>IF($A125="","", INDEX(CS!$B$1:$B$12828,MATCH($A125,CS!$B:$B,0)+COLUMN(D$1),1))</f>
        <v/>
      </c>
      <c r="BB125" t="str">
        <f>IF($A125="","", INDEX(CS!$B$1:$B$12828,MATCH($A125,CS!$B:$B,0)+COLUMN(E$1),1))</f>
        <v/>
      </c>
      <c r="BC125" t="str">
        <f>IF($A125="","", INDEX(CS!$B$1:$B$12828,MATCH($A125,CS!$B:$B,0)+COLUMN(F$1),1))</f>
        <v/>
      </c>
      <c r="BD125" t="str">
        <f>IF($A125="","", INDEX(CS!$B$1:$B$12828,MATCH($A125,CS!$B:$B,0)+COLUMN(I$1),1))</f>
        <v/>
      </c>
      <c r="BE125" t="str">
        <f>IF($A125="","", INDEX(CS!$B$1:$B$12828,MATCH($A125,CS!$B:$B,0)+COLUMN(J$1),1))</f>
        <v/>
      </c>
      <c r="BF125" t="str">
        <f>IF($A125="","", INDEX(CS!$B$1:$B$12828,MATCH($A125,CS!$B:$B,0)+COLUMN(K$1),1))</f>
        <v/>
      </c>
      <c r="BG125" t="str">
        <f>IF($A125="","", INDEX(CS!$B$1:$B$12828,MATCH($A125,CS!$B:$B,0)+COLUMN(L$1),1))</f>
        <v/>
      </c>
    </row>
    <row r="126" spans="3:59" x14ac:dyDescent="0.4">
      <c r="C126" t="s">
        <v>194</v>
      </c>
      <c r="D126" t="str">
        <f t="shared" si="8"/>
        <v>0/0/0</v>
      </c>
      <c r="E126">
        <v>1</v>
      </c>
      <c r="AX126" t="str">
        <f>IF($A126="","", INDEX(CS!$B$1:$B$12828,MATCH($A126,CS!$B:$B,0)+COLUMN(A$1),1))</f>
        <v/>
      </c>
      <c r="AY126" t="str">
        <f>IF($A126="","", INDEX(CS!$B$1:$B$12828,MATCH($A126,CS!$B:$B,0)+COLUMN(B$1),1))</f>
        <v/>
      </c>
      <c r="AZ126" t="str">
        <f>IF($A126="","", INDEX(CS!$B$1:$B$12828,MATCH($A126,CS!$B:$B,0)+COLUMN(C$1),1))</f>
        <v/>
      </c>
      <c r="BA126" t="str">
        <f>IF($A126="","", INDEX(CS!$B$1:$B$12828,MATCH($A126,CS!$B:$B,0)+COLUMN(D$1),1))</f>
        <v/>
      </c>
      <c r="BB126" t="str">
        <f>IF($A126="","", INDEX(CS!$B$1:$B$12828,MATCH($A126,CS!$B:$B,0)+COLUMN(E$1),1))</f>
        <v/>
      </c>
      <c r="BC126" t="str">
        <f>IF($A126="","", INDEX(CS!$B$1:$B$12828,MATCH($A126,CS!$B:$B,0)+COLUMN(F$1),1))</f>
        <v/>
      </c>
      <c r="BD126" t="str">
        <f>IF($A126="","", INDEX(CS!$B$1:$B$12828,MATCH($A126,CS!$B:$B,0)+COLUMN(I$1),1))</f>
        <v/>
      </c>
      <c r="BE126" t="str">
        <f>IF($A126="","", INDEX(CS!$B$1:$B$12828,MATCH($A126,CS!$B:$B,0)+COLUMN(J$1),1))</f>
        <v/>
      </c>
      <c r="BF126" t="str">
        <f>IF($A126="","", INDEX(CS!$B$1:$B$12828,MATCH($A126,CS!$B:$B,0)+COLUMN(K$1),1))</f>
        <v/>
      </c>
      <c r="BG126" t="str">
        <f>IF($A126="","", INDEX(CS!$B$1:$B$12828,MATCH($A126,CS!$B:$B,0)+COLUMN(L$1),1))</f>
        <v/>
      </c>
    </row>
    <row r="127" spans="3:59" x14ac:dyDescent="0.4">
      <c r="C127" t="s">
        <v>194</v>
      </c>
      <c r="D127" t="str">
        <f t="shared" si="8"/>
        <v>0/0/0</v>
      </c>
      <c r="E127">
        <v>1</v>
      </c>
      <c r="AX127" t="str">
        <f>IF($A127="","", INDEX(CS!$B$1:$B$12828,MATCH($A127,CS!$B:$B,0)+COLUMN(A$1),1))</f>
        <v/>
      </c>
      <c r="AY127" t="str">
        <f>IF($A127="","", INDEX(CS!$B$1:$B$12828,MATCH($A127,CS!$B:$B,0)+COLUMN(B$1),1))</f>
        <v/>
      </c>
      <c r="AZ127" t="str">
        <f>IF($A127="","", INDEX(CS!$B$1:$B$12828,MATCH($A127,CS!$B:$B,0)+COLUMN(C$1),1))</f>
        <v/>
      </c>
      <c r="BA127" t="str">
        <f>IF($A127="","", INDEX(CS!$B$1:$B$12828,MATCH($A127,CS!$B:$B,0)+COLUMN(D$1),1))</f>
        <v/>
      </c>
      <c r="BB127" t="str">
        <f>IF($A127="","", INDEX(CS!$B$1:$B$12828,MATCH($A127,CS!$B:$B,0)+COLUMN(E$1),1))</f>
        <v/>
      </c>
      <c r="BC127" t="str">
        <f>IF($A127="","", INDEX(CS!$B$1:$B$12828,MATCH($A127,CS!$B:$B,0)+COLUMN(F$1),1))</f>
        <v/>
      </c>
      <c r="BD127" t="str">
        <f>IF($A127="","", INDEX(CS!$B$1:$B$12828,MATCH($A127,CS!$B:$B,0)+COLUMN(I$1),1))</f>
        <v/>
      </c>
      <c r="BE127" t="str">
        <f>IF($A127="","", INDEX(CS!$B$1:$B$12828,MATCH($A127,CS!$B:$B,0)+COLUMN(J$1),1))</f>
        <v/>
      </c>
      <c r="BF127" t="str">
        <f>IF($A127="","", INDEX(CS!$B$1:$B$12828,MATCH($A127,CS!$B:$B,0)+COLUMN(K$1),1))</f>
        <v/>
      </c>
      <c r="BG127" t="str">
        <f>IF($A127="","", INDEX(CS!$B$1:$B$12828,MATCH($A127,CS!$B:$B,0)+COLUMN(L$1),1))</f>
        <v/>
      </c>
    </row>
    <row r="128" spans="3:59" x14ac:dyDescent="0.4">
      <c r="C128" t="s">
        <v>194</v>
      </c>
      <c r="D128" t="str">
        <f t="shared" si="8"/>
        <v>0/0/0</v>
      </c>
      <c r="E128">
        <v>1</v>
      </c>
      <c r="AX128" t="str">
        <f>IF($A128="","", INDEX(CS!$B$1:$B$12828,MATCH($A128,CS!$B:$B,0)+COLUMN(A$1),1))</f>
        <v/>
      </c>
      <c r="AY128" t="str">
        <f>IF($A128="","", INDEX(CS!$B$1:$B$12828,MATCH($A128,CS!$B:$B,0)+COLUMN(B$1),1))</f>
        <v/>
      </c>
      <c r="AZ128" t="str">
        <f>IF($A128="","", INDEX(CS!$B$1:$B$12828,MATCH($A128,CS!$B:$B,0)+COLUMN(C$1),1))</f>
        <v/>
      </c>
      <c r="BA128" t="str">
        <f>IF($A128="","", INDEX(CS!$B$1:$B$12828,MATCH($A128,CS!$B:$B,0)+COLUMN(D$1),1))</f>
        <v/>
      </c>
      <c r="BB128" t="str">
        <f>IF($A128="","", INDEX(CS!$B$1:$B$12828,MATCH($A128,CS!$B:$B,0)+COLUMN(E$1),1))</f>
        <v/>
      </c>
      <c r="BC128" t="str">
        <f>IF($A128="","", INDEX(CS!$B$1:$B$12828,MATCH($A128,CS!$B:$B,0)+COLUMN(F$1),1))</f>
        <v/>
      </c>
      <c r="BD128" t="str">
        <f>IF($A128="","", INDEX(CS!$B$1:$B$12828,MATCH($A128,CS!$B:$B,0)+COLUMN(I$1),1))</f>
        <v/>
      </c>
      <c r="BE128" t="str">
        <f>IF($A128="","", INDEX(CS!$B$1:$B$12828,MATCH($A128,CS!$B:$B,0)+COLUMN(J$1),1))</f>
        <v/>
      </c>
      <c r="BF128" t="str">
        <f>IF($A128="","", INDEX(CS!$B$1:$B$12828,MATCH($A128,CS!$B:$B,0)+COLUMN(K$1),1))</f>
        <v/>
      </c>
      <c r="BG128" t="str">
        <f>IF($A128="","", INDEX(CS!$B$1:$B$12828,MATCH($A128,CS!$B:$B,0)+COLUMN(L$1),1))</f>
        <v/>
      </c>
    </row>
    <row r="129" spans="3:59" x14ac:dyDescent="0.4">
      <c r="C129" t="s">
        <v>194</v>
      </c>
      <c r="D129" t="str">
        <f t="shared" si="8"/>
        <v>0/0/0</v>
      </c>
      <c r="E129">
        <v>1</v>
      </c>
      <c r="AX129" t="str">
        <f>IF($A129="","", INDEX(CS!$B$1:$B$12828,MATCH($A129,CS!$B:$B,0)+COLUMN(A$1),1))</f>
        <v/>
      </c>
      <c r="AY129" t="str">
        <f>IF($A129="","", INDEX(CS!$B$1:$B$12828,MATCH($A129,CS!$B:$B,0)+COLUMN(B$1),1))</f>
        <v/>
      </c>
      <c r="AZ129" t="str">
        <f>IF($A129="","", INDEX(CS!$B$1:$B$12828,MATCH($A129,CS!$B:$B,0)+COLUMN(C$1),1))</f>
        <v/>
      </c>
      <c r="BA129" t="str">
        <f>IF($A129="","", INDEX(CS!$B$1:$B$12828,MATCH($A129,CS!$B:$B,0)+COLUMN(D$1),1))</f>
        <v/>
      </c>
      <c r="BB129" t="str">
        <f>IF($A129="","", INDEX(CS!$B$1:$B$12828,MATCH($A129,CS!$B:$B,0)+COLUMN(E$1),1))</f>
        <v/>
      </c>
      <c r="BC129" t="str">
        <f>IF($A129="","", INDEX(CS!$B$1:$B$12828,MATCH($A129,CS!$B:$B,0)+COLUMN(F$1),1))</f>
        <v/>
      </c>
      <c r="BD129" t="str">
        <f>IF($A129="","", INDEX(CS!$B$1:$B$12828,MATCH($A129,CS!$B:$B,0)+COLUMN(I$1),1))</f>
        <v/>
      </c>
      <c r="BE129" t="str">
        <f>IF($A129="","", INDEX(CS!$B$1:$B$12828,MATCH($A129,CS!$B:$B,0)+COLUMN(J$1),1))</f>
        <v/>
      </c>
      <c r="BF129" t="str">
        <f>IF($A129="","", INDEX(CS!$B$1:$B$12828,MATCH($A129,CS!$B:$B,0)+COLUMN(K$1),1))</f>
        <v/>
      </c>
      <c r="BG129" t="str">
        <f>IF($A129="","", INDEX(CS!$B$1:$B$12828,MATCH($A129,CS!$B:$B,0)+COLUMN(L$1),1))</f>
        <v/>
      </c>
    </row>
    <row r="130" spans="3:59" x14ac:dyDescent="0.4">
      <c r="C130" t="s">
        <v>194</v>
      </c>
      <c r="D130" t="str">
        <f t="shared" si="8"/>
        <v>0/0/0</v>
      </c>
      <c r="E130">
        <v>1</v>
      </c>
      <c r="AX130" t="str">
        <f>IF($A130="","", INDEX(CS!$B$1:$B$12828,MATCH($A130,CS!$B:$B,0)+COLUMN(A$1),1))</f>
        <v/>
      </c>
      <c r="AY130" t="str">
        <f>IF($A130="","", INDEX(CS!$B$1:$B$12828,MATCH($A130,CS!$B:$B,0)+COLUMN(B$1),1))</f>
        <v/>
      </c>
      <c r="AZ130" t="str">
        <f>IF($A130="","", INDEX(CS!$B$1:$B$12828,MATCH($A130,CS!$B:$B,0)+COLUMN(C$1),1))</f>
        <v/>
      </c>
      <c r="BA130" t="str">
        <f>IF($A130="","", INDEX(CS!$B$1:$B$12828,MATCH($A130,CS!$B:$B,0)+COLUMN(D$1),1))</f>
        <v/>
      </c>
      <c r="BB130" t="str">
        <f>IF($A130="","", INDEX(CS!$B$1:$B$12828,MATCH($A130,CS!$B:$B,0)+COLUMN(E$1),1))</f>
        <v/>
      </c>
      <c r="BC130" t="str">
        <f>IF($A130="","", INDEX(CS!$B$1:$B$12828,MATCH($A130,CS!$B:$B,0)+COLUMN(F$1),1))</f>
        <v/>
      </c>
      <c r="BD130" t="str">
        <f>IF($A130="","", INDEX(CS!$B$1:$B$12828,MATCH($A130,CS!$B:$B,0)+COLUMN(I$1),1))</f>
        <v/>
      </c>
      <c r="BE130" t="str">
        <f>IF($A130="","", INDEX(CS!$B$1:$B$12828,MATCH($A130,CS!$B:$B,0)+COLUMN(J$1),1))</f>
        <v/>
      </c>
      <c r="BF130" t="str">
        <f>IF($A130="","", INDEX(CS!$B$1:$B$12828,MATCH($A130,CS!$B:$B,0)+COLUMN(K$1),1))</f>
        <v/>
      </c>
      <c r="BG130" t="str">
        <f>IF($A130="","", INDEX(CS!$B$1:$B$12828,MATCH($A130,CS!$B:$B,0)+COLUMN(L$1),1))</f>
        <v/>
      </c>
    </row>
    <row r="131" spans="3:59" x14ac:dyDescent="0.4">
      <c r="C131" t="s">
        <v>194</v>
      </c>
      <c r="D131" t="str">
        <f t="shared" si="8"/>
        <v>0/0/0</v>
      </c>
      <c r="E131">
        <v>1</v>
      </c>
      <c r="AX131" t="str">
        <f>IF($A131="","", INDEX(CS!$B$1:$B$12828,MATCH($A131,CS!$B:$B,0)+COLUMN(A$1),1))</f>
        <v/>
      </c>
      <c r="AY131" t="str">
        <f>IF($A131="","", INDEX(CS!$B$1:$B$12828,MATCH($A131,CS!$B:$B,0)+COLUMN(B$1),1))</f>
        <v/>
      </c>
      <c r="AZ131" t="str">
        <f>IF($A131="","", INDEX(CS!$B$1:$B$12828,MATCH($A131,CS!$B:$B,0)+COLUMN(C$1),1))</f>
        <v/>
      </c>
      <c r="BA131" t="str">
        <f>IF($A131="","", INDEX(CS!$B$1:$B$12828,MATCH($A131,CS!$B:$B,0)+COLUMN(D$1),1))</f>
        <v/>
      </c>
      <c r="BB131" t="str">
        <f>IF($A131="","", INDEX(CS!$B$1:$B$12828,MATCH($A131,CS!$B:$B,0)+COLUMN(E$1),1))</f>
        <v/>
      </c>
      <c r="BC131" t="str">
        <f>IF($A131="","", INDEX(CS!$B$1:$B$12828,MATCH($A131,CS!$B:$B,0)+COLUMN(F$1),1))</f>
        <v/>
      </c>
      <c r="BD131" t="str">
        <f>IF($A131="","", INDEX(CS!$B$1:$B$12828,MATCH($A131,CS!$B:$B,0)+COLUMN(I$1),1))</f>
        <v/>
      </c>
      <c r="BE131" t="str">
        <f>IF($A131="","", INDEX(CS!$B$1:$B$12828,MATCH($A131,CS!$B:$B,0)+COLUMN(J$1),1))</f>
        <v/>
      </c>
      <c r="BF131" t="str">
        <f>IF($A131="","", INDEX(CS!$B$1:$B$12828,MATCH($A131,CS!$B:$B,0)+COLUMN(K$1),1))</f>
        <v/>
      </c>
      <c r="BG131" t="str">
        <f>IF($A131="","", INDEX(CS!$B$1:$B$12828,MATCH($A131,CS!$B:$B,0)+COLUMN(L$1),1))</f>
        <v/>
      </c>
    </row>
    <row r="132" spans="3:59" x14ac:dyDescent="0.4">
      <c r="C132" t="s">
        <v>194</v>
      </c>
      <c r="D132" t="str">
        <f t="shared" si="8"/>
        <v>0/0/0</v>
      </c>
      <c r="E132">
        <v>1</v>
      </c>
      <c r="AX132" t="str">
        <f>IF($A132="","", INDEX(CS!$B$1:$B$12828,MATCH($A132,CS!$B:$B,0)+COLUMN(A$1),1))</f>
        <v/>
      </c>
      <c r="AY132" t="str">
        <f>IF($A132="","", INDEX(CS!$B$1:$B$12828,MATCH($A132,CS!$B:$B,0)+COLUMN(B$1),1))</f>
        <v/>
      </c>
      <c r="AZ132" t="str">
        <f>IF($A132="","", INDEX(CS!$B$1:$B$12828,MATCH($A132,CS!$B:$B,0)+COLUMN(C$1),1))</f>
        <v/>
      </c>
      <c r="BA132" t="str">
        <f>IF($A132="","", INDEX(CS!$B$1:$B$12828,MATCH($A132,CS!$B:$B,0)+COLUMN(D$1),1))</f>
        <v/>
      </c>
      <c r="BB132" t="str">
        <f>IF($A132="","", INDEX(CS!$B$1:$B$12828,MATCH($A132,CS!$B:$B,0)+COLUMN(E$1),1))</f>
        <v/>
      </c>
      <c r="BC132" t="str">
        <f>IF($A132="","", INDEX(CS!$B$1:$B$12828,MATCH($A132,CS!$B:$B,0)+COLUMN(F$1),1))</f>
        <v/>
      </c>
      <c r="BD132" t="str">
        <f>IF($A132="","", INDEX(CS!$B$1:$B$12828,MATCH($A132,CS!$B:$B,0)+COLUMN(I$1),1))</f>
        <v/>
      </c>
      <c r="BE132" t="str">
        <f>IF($A132="","", INDEX(CS!$B$1:$B$12828,MATCH($A132,CS!$B:$B,0)+COLUMN(J$1),1))</f>
        <v/>
      </c>
      <c r="BF132" t="str">
        <f>IF($A132="","", INDEX(CS!$B$1:$B$12828,MATCH($A132,CS!$B:$B,0)+COLUMN(K$1),1))</f>
        <v/>
      </c>
      <c r="BG132" t="str">
        <f>IF($A132="","", INDEX(CS!$B$1:$B$12828,MATCH($A132,CS!$B:$B,0)+COLUMN(L$1),1))</f>
        <v/>
      </c>
    </row>
    <row r="133" spans="3:59" x14ac:dyDescent="0.4">
      <c r="C133" t="s">
        <v>194</v>
      </c>
      <c r="D133" t="str">
        <f t="shared" si="8"/>
        <v>0/0/0</v>
      </c>
      <c r="E133">
        <v>1</v>
      </c>
      <c r="AX133" t="str">
        <f>IF($A133="","", INDEX(CS!$B$1:$B$12828,MATCH($A133,CS!$B:$B,0)+COLUMN(A$1),1))</f>
        <v/>
      </c>
      <c r="AY133" t="str">
        <f>IF($A133="","", INDEX(CS!$B$1:$B$12828,MATCH($A133,CS!$B:$B,0)+COLUMN(B$1),1))</f>
        <v/>
      </c>
      <c r="AZ133" t="str">
        <f>IF($A133="","", INDEX(CS!$B$1:$B$12828,MATCH($A133,CS!$B:$B,0)+COLUMN(C$1),1))</f>
        <v/>
      </c>
      <c r="BA133" t="str">
        <f>IF($A133="","", INDEX(CS!$B$1:$B$12828,MATCH($A133,CS!$B:$B,0)+COLUMN(D$1),1))</f>
        <v/>
      </c>
      <c r="BB133" t="str">
        <f>IF($A133="","", INDEX(CS!$B$1:$B$12828,MATCH($A133,CS!$B:$B,0)+COLUMN(E$1),1))</f>
        <v/>
      </c>
      <c r="BC133" t="str">
        <f>IF($A133="","", INDEX(CS!$B$1:$B$12828,MATCH($A133,CS!$B:$B,0)+COLUMN(F$1),1))</f>
        <v/>
      </c>
      <c r="BD133" t="str">
        <f>IF($A133="","", INDEX(CS!$B$1:$B$12828,MATCH($A133,CS!$B:$B,0)+COLUMN(I$1),1))</f>
        <v/>
      </c>
      <c r="BE133" t="str">
        <f>IF($A133="","", INDEX(CS!$B$1:$B$12828,MATCH($A133,CS!$B:$B,0)+COLUMN(J$1),1))</f>
        <v/>
      </c>
      <c r="BF133" t="str">
        <f>IF($A133="","", INDEX(CS!$B$1:$B$12828,MATCH($A133,CS!$B:$B,0)+COLUMN(K$1),1))</f>
        <v/>
      </c>
      <c r="BG133" t="str">
        <f>IF($A133="","", INDEX(CS!$B$1:$B$12828,MATCH($A133,CS!$B:$B,0)+COLUMN(L$1),1))</f>
        <v/>
      </c>
    </row>
    <row r="134" spans="3:59" x14ac:dyDescent="0.4">
      <c r="C134" t="s">
        <v>194</v>
      </c>
      <c r="D134" t="str">
        <f t="shared" si="8"/>
        <v>0/0/0</v>
      </c>
      <c r="E134">
        <v>1</v>
      </c>
      <c r="AX134" t="str">
        <f>IF($A134="","", INDEX(CS!$B$1:$B$12828,MATCH($A134,CS!$B:$B,0)+COLUMN(A$1),1))</f>
        <v/>
      </c>
      <c r="AY134" t="str">
        <f>IF($A134="","", INDEX(CS!$B$1:$B$12828,MATCH($A134,CS!$B:$B,0)+COLUMN(B$1),1))</f>
        <v/>
      </c>
      <c r="AZ134" t="str">
        <f>IF($A134="","", INDEX(CS!$B$1:$B$12828,MATCH($A134,CS!$B:$B,0)+COLUMN(C$1),1))</f>
        <v/>
      </c>
      <c r="BA134" t="str">
        <f>IF($A134="","", INDEX(CS!$B$1:$B$12828,MATCH($A134,CS!$B:$B,0)+COLUMN(D$1),1))</f>
        <v/>
      </c>
      <c r="BB134" t="str">
        <f>IF($A134="","", INDEX(CS!$B$1:$B$12828,MATCH($A134,CS!$B:$B,0)+COLUMN(E$1),1))</f>
        <v/>
      </c>
      <c r="BC134" t="str">
        <f>IF($A134="","", INDEX(CS!$B$1:$B$12828,MATCH($A134,CS!$B:$B,0)+COLUMN(F$1),1))</f>
        <v/>
      </c>
      <c r="BD134" t="str">
        <f>IF($A134="","", INDEX(CS!$B$1:$B$12828,MATCH($A134,CS!$B:$B,0)+COLUMN(I$1),1))</f>
        <v/>
      </c>
      <c r="BE134" t="str">
        <f>IF($A134="","", INDEX(CS!$B$1:$B$12828,MATCH($A134,CS!$B:$B,0)+COLUMN(J$1),1))</f>
        <v/>
      </c>
      <c r="BF134" t="str">
        <f>IF($A134="","", INDEX(CS!$B$1:$B$12828,MATCH($A134,CS!$B:$B,0)+COLUMN(K$1),1))</f>
        <v/>
      </c>
      <c r="BG134" t="str">
        <f>IF($A134="","", INDEX(CS!$B$1:$B$12828,MATCH($A134,CS!$B:$B,0)+COLUMN(L$1),1))</f>
        <v/>
      </c>
    </row>
    <row r="135" spans="3:59" x14ac:dyDescent="0.4">
      <c r="C135" t="s">
        <v>194</v>
      </c>
      <c r="D135" t="str">
        <f t="shared" si="8"/>
        <v>0/0/0</v>
      </c>
      <c r="E135">
        <v>1</v>
      </c>
      <c r="AX135" t="str">
        <f>IF($A135="","", INDEX(CS!$B$1:$B$12828,MATCH($A135,CS!$B:$B,0)+COLUMN(A$1),1))</f>
        <v/>
      </c>
      <c r="AY135" t="str">
        <f>IF($A135="","", INDEX(CS!$B$1:$B$12828,MATCH($A135,CS!$B:$B,0)+COLUMN(B$1),1))</f>
        <v/>
      </c>
      <c r="AZ135" t="str">
        <f>IF($A135="","", INDEX(CS!$B$1:$B$12828,MATCH($A135,CS!$B:$B,0)+COLUMN(C$1),1))</f>
        <v/>
      </c>
      <c r="BA135" t="str">
        <f>IF($A135="","", INDEX(CS!$B$1:$B$12828,MATCH($A135,CS!$B:$B,0)+COLUMN(D$1),1))</f>
        <v/>
      </c>
      <c r="BB135" t="str">
        <f>IF($A135="","", INDEX(CS!$B$1:$B$12828,MATCH($A135,CS!$B:$B,0)+COLUMN(E$1),1))</f>
        <v/>
      </c>
      <c r="BC135" t="str">
        <f>IF($A135="","", INDEX(CS!$B$1:$B$12828,MATCH($A135,CS!$B:$B,0)+COLUMN(F$1),1))</f>
        <v/>
      </c>
      <c r="BD135" t="str">
        <f>IF($A135="","", INDEX(CS!$B$1:$B$12828,MATCH($A135,CS!$B:$B,0)+COLUMN(I$1),1))</f>
        <v/>
      </c>
      <c r="BE135" t="str">
        <f>IF($A135="","", INDEX(CS!$B$1:$B$12828,MATCH($A135,CS!$B:$B,0)+COLUMN(J$1),1))</f>
        <v/>
      </c>
      <c r="BF135" t="str">
        <f>IF($A135="","", INDEX(CS!$B$1:$B$12828,MATCH($A135,CS!$B:$B,0)+COLUMN(K$1),1))</f>
        <v/>
      </c>
      <c r="BG135" t="str">
        <f>IF($A135="","", INDEX(CS!$B$1:$B$12828,MATCH($A135,CS!$B:$B,0)+COLUMN(L$1),1))</f>
        <v/>
      </c>
    </row>
    <row r="136" spans="3:59" x14ac:dyDescent="0.4">
      <c r="C136" t="s">
        <v>194</v>
      </c>
      <c r="D136" t="str">
        <f t="shared" si="8"/>
        <v>0/0/0</v>
      </c>
      <c r="E136">
        <v>1</v>
      </c>
      <c r="AX136" t="str">
        <f>IF($A136="","", INDEX(CS!$B$1:$B$12828,MATCH($A136,CS!$B:$B,0)+COLUMN(A$1),1))</f>
        <v/>
      </c>
      <c r="AY136" t="str">
        <f>IF($A136="","", INDEX(CS!$B$1:$B$12828,MATCH($A136,CS!$B:$B,0)+COLUMN(B$1),1))</f>
        <v/>
      </c>
      <c r="AZ136" t="str">
        <f>IF($A136="","", INDEX(CS!$B$1:$B$12828,MATCH($A136,CS!$B:$B,0)+COLUMN(C$1),1))</f>
        <v/>
      </c>
      <c r="BA136" t="str">
        <f>IF($A136="","", INDEX(CS!$B$1:$B$12828,MATCH($A136,CS!$B:$B,0)+COLUMN(D$1),1))</f>
        <v/>
      </c>
      <c r="BB136" t="str">
        <f>IF($A136="","", INDEX(CS!$B$1:$B$12828,MATCH($A136,CS!$B:$B,0)+COLUMN(E$1),1))</f>
        <v/>
      </c>
      <c r="BC136" t="str">
        <f>IF($A136="","", INDEX(CS!$B$1:$B$12828,MATCH($A136,CS!$B:$B,0)+COLUMN(F$1),1))</f>
        <v/>
      </c>
      <c r="BD136" t="str">
        <f>IF($A136="","", INDEX(CS!$B$1:$B$12828,MATCH($A136,CS!$B:$B,0)+COLUMN(I$1),1))</f>
        <v/>
      </c>
      <c r="BE136" t="str">
        <f>IF($A136="","", INDEX(CS!$B$1:$B$12828,MATCH($A136,CS!$B:$B,0)+COLUMN(J$1),1))</f>
        <v/>
      </c>
      <c r="BF136" t="str">
        <f>IF($A136="","", INDEX(CS!$B$1:$B$12828,MATCH($A136,CS!$B:$B,0)+COLUMN(K$1),1))</f>
        <v/>
      </c>
      <c r="BG136" t="str">
        <f>IF($A136="","", INDEX(CS!$B$1:$B$12828,MATCH($A136,CS!$B:$B,0)+COLUMN(L$1),1))</f>
        <v/>
      </c>
    </row>
    <row r="137" spans="3:59" x14ac:dyDescent="0.4">
      <c r="C137" t="s">
        <v>194</v>
      </c>
      <c r="D137" t="str">
        <f t="shared" si="8"/>
        <v>0/0/0</v>
      </c>
      <c r="E137">
        <v>1</v>
      </c>
      <c r="AX137" t="str">
        <f>IF($A137="","", INDEX(CS!$B$1:$B$12828,MATCH($A137,CS!$B:$B,0)+COLUMN(A$1),1))</f>
        <v/>
      </c>
      <c r="AY137" t="str">
        <f>IF($A137="","", INDEX(CS!$B$1:$B$12828,MATCH($A137,CS!$B:$B,0)+COLUMN(B$1),1))</f>
        <v/>
      </c>
      <c r="AZ137" t="str">
        <f>IF($A137="","", INDEX(CS!$B$1:$B$12828,MATCH($A137,CS!$B:$B,0)+COLUMN(C$1),1))</f>
        <v/>
      </c>
      <c r="BA137" t="str">
        <f>IF($A137="","", INDEX(CS!$B$1:$B$12828,MATCH($A137,CS!$B:$B,0)+COLUMN(D$1),1))</f>
        <v/>
      </c>
      <c r="BB137" t="str">
        <f>IF($A137="","", INDEX(CS!$B$1:$B$12828,MATCH($A137,CS!$B:$B,0)+COLUMN(E$1),1))</f>
        <v/>
      </c>
      <c r="BC137" t="str">
        <f>IF($A137="","", INDEX(CS!$B$1:$B$12828,MATCH($A137,CS!$B:$B,0)+COLUMN(F$1),1))</f>
        <v/>
      </c>
      <c r="BD137" t="str">
        <f>IF($A137="","", INDEX(CS!$B$1:$B$12828,MATCH($A137,CS!$B:$B,0)+COLUMN(I$1),1))</f>
        <v/>
      </c>
      <c r="BE137" t="str">
        <f>IF($A137="","", INDEX(CS!$B$1:$B$12828,MATCH($A137,CS!$B:$B,0)+COLUMN(J$1),1))</f>
        <v/>
      </c>
      <c r="BF137" t="str">
        <f>IF($A137="","", INDEX(CS!$B$1:$B$12828,MATCH($A137,CS!$B:$B,0)+COLUMN(K$1),1))</f>
        <v/>
      </c>
      <c r="BG137" t="str">
        <f>IF($A137="","", INDEX(CS!$B$1:$B$12828,MATCH($A137,CS!$B:$B,0)+COLUMN(L$1),1))</f>
        <v/>
      </c>
    </row>
    <row r="138" spans="3:59" x14ac:dyDescent="0.4">
      <c r="C138" t="s">
        <v>194</v>
      </c>
      <c r="D138" t="str">
        <f t="shared" si="8"/>
        <v>0/0/0</v>
      </c>
      <c r="E138">
        <v>1</v>
      </c>
      <c r="AX138" t="str">
        <f>IF($A138="","", INDEX(CS!$B$1:$B$12828,MATCH($A138,CS!$B:$B,0)+COLUMN(A$1),1))</f>
        <v/>
      </c>
      <c r="AY138" t="str">
        <f>IF($A138="","", INDEX(CS!$B$1:$B$12828,MATCH($A138,CS!$B:$B,0)+COLUMN(B$1),1))</f>
        <v/>
      </c>
      <c r="AZ138" t="str">
        <f>IF($A138="","", INDEX(CS!$B$1:$B$12828,MATCH($A138,CS!$B:$B,0)+COLUMN(C$1),1))</f>
        <v/>
      </c>
      <c r="BA138" t="str">
        <f>IF($A138="","", INDEX(CS!$B$1:$B$12828,MATCH($A138,CS!$B:$B,0)+COLUMN(D$1),1))</f>
        <v/>
      </c>
      <c r="BB138" t="str">
        <f>IF($A138="","", INDEX(CS!$B$1:$B$12828,MATCH($A138,CS!$B:$B,0)+COLUMN(E$1),1))</f>
        <v/>
      </c>
      <c r="BC138" t="str">
        <f>IF($A138="","", INDEX(CS!$B$1:$B$12828,MATCH($A138,CS!$B:$B,0)+COLUMN(F$1),1))</f>
        <v/>
      </c>
      <c r="BD138" t="str">
        <f>IF($A138="","", INDEX(CS!$B$1:$B$12828,MATCH($A138,CS!$B:$B,0)+COLUMN(I$1),1))</f>
        <v/>
      </c>
      <c r="BE138" t="str">
        <f>IF($A138="","", INDEX(CS!$B$1:$B$12828,MATCH($A138,CS!$B:$B,0)+COLUMN(J$1),1))</f>
        <v/>
      </c>
      <c r="BF138" t="str">
        <f>IF($A138="","", INDEX(CS!$B$1:$B$12828,MATCH($A138,CS!$B:$B,0)+COLUMN(K$1),1))</f>
        <v/>
      </c>
      <c r="BG138" t="str">
        <f>IF($A138="","", INDEX(CS!$B$1:$B$12828,MATCH($A138,CS!$B:$B,0)+COLUMN(L$1),1))</f>
        <v/>
      </c>
    </row>
    <row r="139" spans="3:59" x14ac:dyDescent="0.4">
      <c r="C139" t="s">
        <v>194</v>
      </c>
      <c r="D139" t="str">
        <f t="shared" si="8"/>
        <v>0/0/0</v>
      </c>
      <c r="E139">
        <v>1</v>
      </c>
      <c r="AX139" t="str">
        <f>IF($A139="","", INDEX(CS!$B$1:$B$12828,MATCH($A139,CS!$B:$B,0)+COLUMN(A$1),1))</f>
        <v/>
      </c>
      <c r="AY139" t="str">
        <f>IF($A139="","", INDEX(CS!$B$1:$B$12828,MATCH($A139,CS!$B:$B,0)+COLUMN(B$1),1))</f>
        <v/>
      </c>
      <c r="AZ139" t="str">
        <f>IF($A139="","", INDEX(CS!$B$1:$B$12828,MATCH($A139,CS!$B:$B,0)+COLUMN(C$1),1))</f>
        <v/>
      </c>
      <c r="BA139" t="str">
        <f>IF($A139="","", INDEX(CS!$B$1:$B$12828,MATCH($A139,CS!$B:$B,0)+COLUMN(D$1),1))</f>
        <v/>
      </c>
      <c r="BB139" t="str">
        <f>IF($A139="","", INDEX(CS!$B$1:$B$12828,MATCH($A139,CS!$B:$B,0)+COLUMN(E$1),1))</f>
        <v/>
      </c>
      <c r="BC139" t="str">
        <f>IF($A139="","", INDEX(CS!$B$1:$B$12828,MATCH($A139,CS!$B:$B,0)+COLUMN(F$1),1))</f>
        <v/>
      </c>
      <c r="BD139" t="str">
        <f>IF($A139="","", INDEX(CS!$B$1:$B$12828,MATCH($A139,CS!$B:$B,0)+COLUMN(I$1),1))</f>
        <v/>
      </c>
      <c r="BE139" t="str">
        <f>IF($A139="","", INDEX(CS!$B$1:$B$12828,MATCH($A139,CS!$B:$B,0)+COLUMN(J$1),1))</f>
        <v/>
      </c>
      <c r="BF139" t="str">
        <f>IF($A139="","", INDEX(CS!$B$1:$B$12828,MATCH($A139,CS!$B:$B,0)+COLUMN(K$1),1))</f>
        <v/>
      </c>
      <c r="BG139" t="str">
        <f>IF($A139="","", INDEX(CS!$B$1:$B$12828,MATCH($A139,CS!$B:$B,0)+COLUMN(L$1),1))</f>
        <v/>
      </c>
    </row>
    <row r="140" spans="3:59" x14ac:dyDescent="0.4">
      <c r="C140" t="s">
        <v>194</v>
      </c>
      <c r="D140" t="str">
        <f t="shared" si="8"/>
        <v>0/0/0</v>
      </c>
      <c r="E140">
        <v>1</v>
      </c>
      <c r="AX140" t="str">
        <f>IF($A140="","", INDEX(CS!$B$1:$B$12828,MATCH($A140,CS!$B:$B,0)+COLUMN(A$1),1))</f>
        <v/>
      </c>
      <c r="AY140" t="str">
        <f>IF($A140="","", INDEX(CS!$B$1:$B$12828,MATCH($A140,CS!$B:$B,0)+COLUMN(B$1),1))</f>
        <v/>
      </c>
      <c r="AZ140" t="str">
        <f>IF($A140="","", INDEX(CS!$B$1:$B$12828,MATCH($A140,CS!$B:$B,0)+COLUMN(C$1),1))</f>
        <v/>
      </c>
      <c r="BA140" t="str">
        <f>IF($A140="","", INDEX(CS!$B$1:$B$12828,MATCH($A140,CS!$B:$B,0)+COLUMN(D$1),1))</f>
        <v/>
      </c>
      <c r="BB140" t="str">
        <f>IF($A140="","", INDEX(CS!$B$1:$B$12828,MATCH($A140,CS!$B:$B,0)+COLUMN(E$1),1))</f>
        <v/>
      </c>
      <c r="BC140" t="str">
        <f>IF($A140="","", INDEX(CS!$B$1:$B$12828,MATCH($A140,CS!$B:$B,0)+COLUMN(F$1),1))</f>
        <v/>
      </c>
      <c r="BD140" t="str">
        <f>IF($A140="","", INDEX(CS!$B$1:$B$12828,MATCH($A140,CS!$B:$B,0)+COLUMN(I$1),1))</f>
        <v/>
      </c>
      <c r="BE140" t="str">
        <f>IF($A140="","", INDEX(CS!$B$1:$B$12828,MATCH($A140,CS!$B:$B,0)+COLUMN(J$1),1))</f>
        <v/>
      </c>
      <c r="BF140" t="str">
        <f>IF($A140="","", INDEX(CS!$B$1:$B$12828,MATCH($A140,CS!$B:$B,0)+COLUMN(K$1),1))</f>
        <v/>
      </c>
      <c r="BG140" t="str">
        <f>IF($A140="","", INDEX(CS!$B$1:$B$12828,MATCH($A140,CS!$B:$B,0)+COLUMN(L$1),1))</f>
        <v/>
      </c>
    </row>
    <row r="141" spans="3:59" x14ac:dyDescent="0.4">
      <c r="C141" t="s">
        <v>194</v>
      </c>
      <c r="D141" t="str">
        <f t="shared" si="8"/>
        <v>0/0/0</v>
      </c>
      <c r="E141">
        <v>1</v>
      </c>
      <c r="AX141" t="str">
        <f>IF($A141="","", INDEX(CS!$B$1:$B$12828,MATCH($A141,CS!$B:$B,0)+COLUMN(A$1),1))</f>
        <v/>
      </c>
      <c r="AY141" t="str">
        <f>IF($A141="","", INDEX(CS!$B$1:$B$12828,MATCH($A141,CS!$B:$B,0)+COLUMN(B$1),1))</f>
        <v/>
      </c>
      <c r="AZ141" t="str">
        <f>IF($A141="","", INDEX(CS!$B$1:$B$12828,MATCH($A141,CS!$B:$B,0)+COLUMN(C$1),1))</f>
        <v/>
      </c>
      <c r="BA141" t="str">
        <f>IF($A141="","", INDEX(CS!$B$1:$B$12828,MATCH($A141,CS!$B:$B,0)+COLUMN(D$1),1))</f>
        <v/>
      </c>
      <c r="BB141" t="str">
        <f>IF($A141="","", INDEX(CS!$B$1:$B$12828,MATCH($A141,CS!$B:$B,0)+COLUMN(E$1),1))</f>
        <v/>
      </c>
      <c r="BC141" t="str">
        <f>IF($A141="","", INDEX(CS!$B$1:$B$12828,MATCH($A141,CS!$B:$B,0)+COLUMN(F$1),1))</f>
        <v/>
      </c>
      <c r="BD141" t="str">
        <f>IF($A141="","", INDEX(CS!$B$1:$B$12828,MATCH($A141,CS!$B:$B,0)+COLUMN(I$1),1))</f>
        <v/>
      </c>
      <c r="BE141" t="str">
        <f>IF($A141="","", INDEX(CS!$B$1:$B$12828,MATCH($A141,CS!$B:$B,0)+COLUMN(J$1),1))</f>
        <v/>
      </c>
      <c r="BF141" t="str">
        <f>IF($A141="","", INDEX(CS!$B$1:$B$12828,MATCH($A141,CS!$B:$B,0)+COLUMN(K$1),1))</f>
        <v/>
      </c>
      <c r="BG141" t="str">
        <f>IF($A141="","", INDEX(CS!$B$1:$B$12828,MATCH($A141,CS!$B:$B,0)+COLUMN(L$1),1))</f>
        <v/>
      </c>
    </row>
    <row r="142" spans="3:59" x14ac:dyDescent="0.4">
      <c r="C142" t="s">
        <v>194</v>
      </c>
      <c r="D142" t="str">
        <f t="shared" si="8"/>
        <v>0/0/0</v>
      </c>
      <c r="E142">
        <v>1</v>
      </c>
      <c r="AX142" t="str">
        <f>IF($A142="","", INDEX(CS!$B$1:$B$12828,MATCH($A142,CS!$B:$B,0)+COLUMN(A$1),1))</f>
        <v/>
      </c>
      <c r="AY142" t="str">
        <f>IF($A142="","", INDEX(CS!$B$1:$B$12828,MATCH($A142,CS!$B:$B,0)+COLUMN(B$1),1))</f>
        <v/>
      </c>
      <c r="AZ142" t="str">
        <f>IF($A142="","", INDEX(CS!$B$1:$B$12828,MATCH($A142,CS!$B:$B,0)+COLUMN(C$1),1))</f>
        <v/>
      </c>
      <c r="BA142" t="str">
        <f>IF($A142="","", INDEX(CS!$B$1:$B$12828,MATCH($A142,CS!$B:$B,0)+COLUMN(D$1),1))</f>
        <v/>
      </c>
      <c r="BB142" t="str">
        <f>IF($A142="","", INDEX(CS!$B$1:$B$12828,MATCH($A142,CS!$B:$B,0)+COLUMN(E$1),1))</f>
        <v/>
      </c>
      <c r="BC142" t="str">
        <f>IF($A142="","", INDEX(CS!$B$1:$B$12828,MATCH($A142,CS!$B:$B,0)+COLUMN(F$1),1))</f>
        <v/>
      </c>
      <c r="BD142" t="str">
        <f>IF($A142="","", INDEX(CS!$B$1:$B$12828,MATCH($A142,CS!$B:$B,0)+COLUMN(I$1),1))</f>
        <v/>
      </c>
      <c r="BE142" t="str">
        <f>IF($A142="","", INDEX(CS!$B$1:$B$12828,MATCH($A142,CS!$B:$B,0)+COLUMN(J$1),1))</f>
        <v/>
      </c>
      <c r="BF142" t="str">
        <f>IF($A142="","", INDEX(CS!$B$1:$B$12828,MATCH($A142,CS!$B:$B,0)+COLUMN(K$1),1))</f>
        <v/>
      </c>
      <c r="BG142" t="str">
        <f>IF($A142="","", INDEX(CS!$B$1:$B$12828,MATCH($A142,CS!$B:$B,0)+COLUMN(L$1),1))</f>
        <v/>
      </c>
    </row>
    <row r="143" spans="3:59" x14ac:dyDescent="0.4">
      <c r="C143" t="s">
        <v>194</v>
      </c>
      <c r="D143" t="str">
        <f t="shared" si="8"/>
        <v>0/0/0</v>
      </c>
      <c r="E143">
        <v>1</v>
      </c>
      <c r="AX143" t="str">
        <f>IF($A143="","", INDEX(CS!$B$1:$B$12828,MATCH($A143,CS!$B:$B,0)+COLUMN(A$1),1))</f>
        <v/>
      </c>
      <c r="AY143" t="str">
        <f>IF($A143="","", INDEX(CS!$B$1:$B$12828,MATCH($A143,CS!$B:$B,0)+COLUMN(B$1),1))</f>
        <v/>
      </c>
      <c r="AZ143" t="str">
        <f>IF($A143="","", INDEX(CS!$B$1:$B$12828,MATCH($A143,CS!$B:$B,0)+COLUMN(C$1),1))</f>
        <v/>
      </c>
      <c r="BA143" t="str">
        <f>IF($A143="","", INDEX(CS!$B$1:$B$12828,MATCH($A143,CS!$B:$B,0)+COLUMN(D$1),1))</f>
        <v/>
      </c>
      <c r="BB143" t="str">
        <f>IF($A143="","", INDEX(CS!$B$1:$B$12828,MATCH($A143,CS!$B:$B,0)+COLUMN(E$1),1))</f>
        <v/>
      </c>
      <c r="BC143" t="str">
        <f>IF($A143="","", INDEX(CS!$B$1:$B$12828,MATCH($A143,CS!$B:$B,0)+COLUMN(F$1),1))</f>
        <v/>
      </c>
      <c r="BD143" t="str">
        <f>IF($A143="","", INDEX(CS!$B$1:$B$12828,MATCH($A143,CS!$B:$B,0)+COLUMN(I$1),1))</f>
        <v/>
      </c>
      <c r="BE143" t="str">
        <f>IF($A143="","", INDEX(CS!$B$1:$B$12828,MATCH($A143,CS!$B:$B,0)+COLUMN(J$1),1))</f>
        <v/>
      </c>
      <c r="BF143" t="str">
        <f>IF($A143="","", INDEX(CS!$B$1:$B$12828,MATCH($A143,CS!$B:$B,0)+COLUMN(K$1),1))</f>
        <v/>
      </c>
      <c r="BG143" t="str">
        <f>IF($A143="","", INDEX(CS!$B$1:$B$12828,MATCH($A143,CS!$B:$B,0)+COLUMN(L$1),1))</f>
        <v/>
      </c>
    </row>
    <row r="144" spans="3:59" x14ac:dyDescent="0.4">
      <c r="C144" t="s">
        <v>194</v>
      </c>
      <c r="D144" t="str">
        <f t="shared" si="8"/>
        <v>0/0/0</v>
      </c>
      <c r="E144">
        <v>1</v>
      </c>
      <c r="AX144" t="str">
        <f>IF($A144="","", INDEX(CS!$B$1:$B$12828,MATCH($A144,CS!$B:$B,0)+COLUMN(A$1),1))</f>
        <v/>
      </c>
      <c r="AY144" t="str">
        <f>IF($A144="","", INDEX(CS!$B$1:$B$12828,MATCH($A144,CS!$B:$B,0)+COLUMN(B$1),1))</f>
        <v/>
      </c>
      <c r="AZ144" t="str">
        <f>IF($A144="","", INDEX(CS!$B$1:$B$12828,MATCH($A144,CS!$B:$B,0)+COLUMN(C$1),1))</f>
        <v/>
      </c>
      <c r="BA144" t="str">
        <f>IF($A144="","", INDEX(CS!$B$1:$B$12828,MATCH($A144,CS!$B:$B,0)+COLUMN(D$1),1))</f>
        <v/>
      </c>
      <c r="BB144" t="str">
        <f>IF($A144="","", INDEX(CS!$B$1:$B$12828,MATCH($A144,CS!$B:$B,0)+COLUMN(E$1),1))</f>
        <v/>
      </c>
      <c r="BC144" t="str">
        <f>IF($A144="","", INDEX(CS!$B$1:$B$12828,MATCH($A144,CS!$B:$B,0)+COLUMN(F$1),1))</f>
        <v/>
      </c>
      <c r="BD144" t="str">
        <f>IF($A144="","", INDEX(CS!$B$1:$B$12828,MATCH($A144,CS!$B:$B,0)+COLUMN(I$1),1))</f>
        <v/>
      </c>
      <c r="BE144" t="str">
        <f>IF($A144="","", INDEX(CS!$B$1:$B$12828,MATCH($A144,CS!$B:$B,0)+COLUMN(J$1),1))</f>
        <v/>
      </c>
      <c r="BF144" t="str">
        <f>IF($A144="","", INDEX(CS!$B$1:$B$12828,MATCH($A144,CS!$B:$B,0)+COLUMN(K$1),1))</f>
        <v/>
      </c>
      <c r="BG144" t="str">
        <f>IF($A144="","", INDEX(CS!$B$1:$B$12828,MATCH($A144,CS!$B:$B,0)+COLUMN(L$1),1))</f>
        <v/>
      </c>
    </row>
    <row r="145" spans="3:59" x14ac:dyDescent="0.4">
      <c r="C145" t="s">
        <v>194</v>
      </c>
      <c r="D145" t="str">
        <f t="shared" si="8"/>
        <v>0/0/0</v>
      </c>
      <c r="E145">
        <v>1</v>
      </c>
      <c r="AX145" t="str">
        <f>IF($A145="","", INDEX(CS!$B$1:$B$12828,MATCH($A145,CS!$B:$B,0)+COLUMN(A$1),1))</f>
        <v/>
      </c>
      <c r="AY145" t="str">
        <f>IF($A145="","", INDEX(CS!$B$1:$B$12828,MATCH($A145,CS!$B:$B,0)+COLUMN(B$1),1))</f>
        <v/>
      </c>
      <c r="AZ145" t="str">
        <f>IF($A145="","", INDEX(CS!$B$1:$B$12828,MATCH($A145,CS!$B:$B,0)+COLUMN(C$1),1))</f>
        <v/>
      </c>
      <c r="BA145" t="str">
        <f>IF($A145="","", INDEX(CS!$B$1:$B$12828,MATCH($A145,CS!$B:$B,0)+COLUMN(D$1),1))</f>
        <v/>
      </c>
      <c r="BB145" t="str">
        <f>IF($A145="","", INDEX(CS!$B$1:$B$12828,MATCH($A145,CS!$B:$B,0)+COLUMN(E$1),1))</f>
        <v/>
      </c>
      <c r="BC145" t="str">
        <f>IF($A145="","", INDEX(CS!$B$1:$B$12828,MATCH($A145,CS!$B:$B,0)+COLUMN(F$1),1))</f>
        <v/>
      </c>
      <c r="BD145" t="str">
        <f>IF($A145="","", INDEX(CS!$B$1:$B$12828,MATCH($A145,CS!$B:$B,0)+COLUMN(I$1),1))</f>
        <v/>
      </c>
      <c r="BE145" t="str">
        <f>IF($A145="","", INDEX(CS!$B$1:$B$12828,MATCH($A145,CS!$B:$B,0)+COLUMN(J$1),1))</f>
        <v/>
      </c>
      <c r="BF145" t="str">
        <f>IF($A145="","", INDEX(CS!$B$1:$B$12828,MATCH($A145,CS!$B:$B,0)+COLUMN(K$1),1))</f>
        <v/>
      </c>
      <c r="BG145" t="str">
        <f>IF($A145="","", INDEX(CS!$B$1:$B$12828,MATCH($A145,CS!$B:$B,0)+COLUMN(L$1),1))</f>
        <v/>
      </c>
    </row>
    <row r="146" spans="3:59" x14ac:dyDescent="0.4">
      <c r="C146" t="s">
        <v>194</v>
      </c>
      <c r="D146" t="str">
        <f t="shared" si="8"/>
        <v>0/0/0</v>
      </c>
      <c r="E146">
        <v>1</v>
      </c>
      <c r="AX146" t="str">
        <f>IF($A146="","", INDEX(CS!$B$1:$B$12828,MATCH($A146,CS!$B:$B,0)+COLUMN(A$1),1))</f>
        <v/>
      </c>
      <c r="AY146" t="str">
        <f>IF($A146="","", INDEX(CS!$B$1:$B$12828,MATCH($A146,CS!$B:$B,0)+COLUMN(B$1),1))</f>
        <v/>
      </c>
      <c r="AZ146" t="str">
        <f>IF($A146="","", INDEX(CS!$B$1:$B$12828,MATCH($A146,CS!$B:$B,0)+COLUMN(C$1),1))</f>
        <v/>
      </c>
      <c r="BA146" t="str">
        <f>IF($A146="","", INDEX(CS!$B$1:$B$12828,MATCH($A146,CS!$B:$B,0)+COLUMN(D$1),1))</f>
        <v/>
      </c>
      <c r="BB146" t="str">
        <f>IF($A146="","", INDEX(CS!$B$1:$B$12828,MATCH($A146,CS!$B:$B,0)+COLUMN(E$1),1))</f>
        <v/>
      </c>
      <c r="BC146" t="str">
        <f>IF($A146="","", INDEX(CS!$B$1:$B$12828,MATCH($A146,CS!$B:$B,0)+COLUMN(F$1),1))</f>
        <v/>
      </c>
      <c r="BD146" t="str">
        <f>IF($A146="","", INDEX(CS!$B$1:$B$12828,MATCH($A146,CS!$B:$B,0)+COLUMN(I$1),1))</f>
        <v/>
      </c>
      <c r="BE146" t="str">
        <f>IF($A146="","", INDEX(CS!$B$1:$B$12828,MATCH($A146,CS!$B:$B,0)+COLUMN(J$1),1))</f>
        <v/>
      </c>
      <c r="BF146" t="str">
        <f>IF($A146="","", INDEX(CS!$B$1:$B$12828,MATCH($A146,CS!$B:$B,0)+COLUMN(K$1),1))</f>
        <v/>
      </c>
      <c r="BG146" t="str">
        <f>IF($A146="","", INDEX(CS!$B$1:$B$12828,MATCH($A146,CS!$B:$B,0)+COLUMN(L$1),1))</f>
        <v/>
      </c>
    </row>
    <row r="147" spans="3:59" x14ac:dyDescent="0.4">
      <c r="C147" t="s">
        <v>194</v>
      </c>
      <c r="D147" t="str">
        <f t="shared" si="8"/>
        <v>0/0/0</v>
      </c>
      <c r="E147">
        <v>1</v>
      </c>
      <c r="AX147" t="str">
        <f>IF($A147="","", INDEX(CS!$B$1:$B$12828,MATCH($A147,CS!$B:$B,0)+COLUMN(A$1),1))</f>
        <v/>
      </c>
      <c r="AY147" t="str">
        <f>IF($A147="","", INDEX(CS!$B$1:$B$12828,MATCH($A147,CS!$B:$B,0)+COLUMN(B$1),1))</f>
        <v/>
      </c>
      <c r="AZ147" t="str">
        <f>IF($A147="","", INDEX(CS!$B$1:$B$12828,MATCH($A147,CS!$B:$B,0)+COLUMN(C$1),1))</f>
        <v/>
      </c>
      <c r="BA147" t="str">
        <f>IF($A147="","", INDEX(CS!$B$1:$B$12828,MATCH($A147,CS!$B:$B,0)+COLUMN(D$1),1))</f>
        <v/>
      </c>
      <c r="BB147" t="str">
        <f>IF($A147="","", INDEX(CS!$B$1:$B$12828,MATCH($A147,CS!$B:$B,0)+COLUMN(E$1),1))</f>
        <v/>
      </c>
      <c r="BC147" t="str">
        <f>IF($A147="","", INDEX(CS!$B$1:$B$12828,MATCH($A147,CS!$B:$B,0)+COLUMN(F$1),1))</f>
        <v/>
      </c>
      <c r="BD147" t="str">
        <f>IF($A147="","", INDEX(CS!$B$1:$B$12828,MATCH($A147,CS!$B:$B,0)+COLUMN(I$1),1))</f>
        <v/>
      </c>
      <c r="BE147" t="str">
        <f>IF($A147="","", INDEX(CS!$B$1:$B$12828,MATCH($A147,CS!$B:$B,0)+COLUMN(J$1),1))</f>
        <v/>
      </c>
      <c r="BF147" t="str">
        <f>IF($A147="","", INDEX(CS!$B$1:$B$12828,MATCH($A147,CS!$B:$B,0)+COLUMN(K$1),1))</f>
        <v/>
      </c>
      <c r="BG147" t="str">
        <f>IF($A147="","", INDEX(CS!$B$1:$B$12828,MATCH($A147,CS!$B:$B,0)+COLUMN(L$1),1))</f>
        <v/>
      </c>
    </row>
    <row r="148" spans="3:59" x14ac:dyDescent="0.4">
      <c r="C148" t="s">
        <v>194</v>
      </c>
      <c r="D148" t="str">
        <f t="shared" si="8"/>
        <v>0/0/0</v>
      </c>
      <c r="E148">
        <v>1</v>
      </c>
      <c r="AX148" t="str">
        <f>IF($A148="","", INDEX(CS!$B$1:$B$12828,MATCH($A148,CS!$B:$B,0)+COLUMN(A$1),1))</f>
        <v/>
      </c>
      <c r="AY148" t="str">
        <f>IF($A148="","", INDEX(CS!$B$1:$B$12828,MATCH($A148,CS!$B:$B,0)+COLUMN(B$1),1))</f>
        <v/>
      </c>
      <c r="AZ148" t="str">
        <f>IF($A148="","", INDEX(CS!$B$1:$B$12828,MATCH($A148,CS!$B:$B,0)+COLUMN(C$1),1))</f>
        <v/>
      </c>
      <c r="BA148" t="str">
        <f>IF($A148="","", INDEX(CS!$B$1:$B$12828,MATCH($A148,CS!$B:$B,0)+COLUMN(D$1),1))</f>
        <v/>
      </c>
      <c r="BB148" t="str">
        <f>IF($A148="","", INDEX(CS!$B$1:$B$12828,MATCH($A148,CS!$B:$B,0)+COLUMN(E$1),1))</f>
        <v/>
      </c>
      <c r="BC148" t="str">
        <f>IF($A148="","", INDEX(CS!$B$1:$B$12828,MATCH($A148,CS!$B:$B,0)+COLUMN(F$1),1))</f>
        <v/>
      </c>
      <c r="BD148" t="str">
        <f>IF($A148="","", INDEX(CS!$B$1:$B$12828,MATCH($A148,CS!$B:$B,0)+COLUMN(I$1),1))</f>
        <v/>
      </c>
      <c r="BE148" t="str">
        <f>IF($A148="","", INDEX(CS!$B$1:$B$12828,MATCH($A148,CS!$B:$B,0)+COLUMN(J$1),1))</f>
        <v/>
      </c>
      <c r="BF148" t="str">
        <f>IF($A148="","", INDEX(CS!$B$1:$B$12828,MATCH($A148,CS!$B:$B,0)+COLUMN(K$1),1))</f>
        <v/>
      </c>
      <c r="BG148" t="str">
        <f>IF($A148="","", INDEX(CS!$B$1:$B$12828,MATCH($A148,CS!$B:$B,0)+COLUMN(L$1),1))</f>
        <v/>
      </c>
    </row>
    <row r="149" spans="3:59" x14ac:dyDescent="0.4">
      <c r="C149" t="s">
        <v>194</v>
      </c>
      <c r="D149" t="str">
        <f t="shared" si="8"/>
        <v>0/0/0</v>
      </c>
      <c r="E149">
        <v>1</v>
      </c>
      <c r="AX149" t="str">
        <f>IF($A149="","", INDEX(CS!$B$1:$B$12828,MATCH($A149,CS!$B:$B,0)+COLUMN(A$1),1))</f>
        <v/>
      </c>
      <c r="AY149" t="str">
        <f>IF($A149="","", INDEX(CS!$B$1:$B$12828,MATCH($A149,CS!$B:$B,0)+COLUMN(B$1),1))</f>
        <v/>
      </c>
      <c r="AZ149" t="str">
        <f>IF($A149="","", INDEX(CS!$B$1:$B$12828,MATCH($A149,CS!$B:$B,0)+COLUMN(C$1),1))</f>
        <v/>
      </c>
      <c r="BA149" t="str">
        <f>IF($A149="","", INDEX(CS!$B$1:$B$12828,MATCH($A149,CS!$B:$B,0)+COLUMN(D$1),1))</f>
        <v/>
      </c>
      <c r="BB149" t="str">
        <f>IF($A149="","", INDEX(CS!$B$1:$B$12828,MATCH($A149,CS!$B:$B,0)+COLUMN(E$1),1))</f>
        <v/>
      </c>
      <c r="BC149" t="str">
        <f>IF($A149="","", INDEX(CS!$B$1:$B$12828,MATCH($A149,CS!$B:$B,0)+COLUMN(F$1),1))</f>
        <v/>
      </c>
      <c r="BD149" t="str">
        <f>IF($A149="","", INDEX(CS!$B$1:$B$12828,MATCH($A149,CS!$B:$B,0)+COLUMN(I$1),1))</f>
        <v/>
      </c>
      <c r="BE149" t="str">
        <f>IF($A149="","", INDEX(CS!$B$1:$B$12828,MATCH($A149,CS!$B:$B,0)+COLUMN(J$1),1))</f>
        <v/>
      </c>
      <c r="BF149" t="str">
        <f>IF($A149="","", INDEX(CS!$B$1:$B$12828,MATCH($A149,CS!$B:$B,0)+COLUMN(K$1),1))</f>
        <v/>
      </c>
      <c r="BG149" t="str">
        <f>IF($A149="","", INDEX(CS!$B$1:$B$12828,MATCH($A149,CS!$B:$B,0)+COLUMN(L$1),1))</f>
        <v/>
      </c>
    </row>
    <row r="150" spans="3:59" x14ac:dyDescent="0.4">
      <c r="C150" t="s">
        <v>194</v>
      </c>
      <c r="D150" t="str">
        <f t="shared" si="8"/>
        <v>0/0/0</v>
      </c>
      <c r="E150">
        <v>1</v>
      </c>
      <c r="AX150" t="str">
        <f>IF($A150="","", INDEX(CS!$B$1:$B$12828,MATCH($A150,CS!$B:$B,0)+COLUMN(A$1),1))</f>
        <v/>
      </c>
      <c r="AY150" t="str">
        <f>IF($A150="","", INDEX(CS!$B$1:$B$12828,MATCH($A150,CS!$B:$B,0)+COLUMN(B$1),1))</f>
        <v/>
      </c>
      <c r="AZ150" t="str">
        <f>IF($A150="","", INDEX(CS!$B$1:$B$12828,MATCH($A150,CS!$B:$B,0)+COLUMN(C$1),1))</f>
        <v/>
      </c>
      <c r="BA150" t="str">
        <f>IF($A150="","", INDEX(CS!$B$1:$B$12828,MATCH($A150,CS!$B:$B,0)+COLUMN(D$1),1))</f>
        <v/>
      </c>
      <c r="BB150" t="str">
        <f>IF($A150="","", INDEX(CS!$B$1:$B$12828,MATCH($A150,CS!$B:$B,0)+COLUMN(E$1),1))</f>
        <v/>
      </c>
      <c r="BC150" t="str">
        <f>IF($A150="","", INDEX(CS!$B$1:$B$12828,MATCH($A150,CS!$B:$B,0)+COLUMN(F$1),1))</f>
        <v/>
      </c>
      <c r="BD150" t="str">
        <f>IF($A150="","", INDEX(CS!$B$1:$B$12828,MATCH($A150,CS!$B:$B,0)+COLUMN(I$1),1))</f>
        <v/>
      </c>
      <c r="BE150" t="str">
        <f>IF($A150="","", INDEX(CS!$B$1:$B$12828,MATCH($A150,CS!$B:$B,0)+COLUMN(J$1),1))</f>
        <v/>
      </c>
      <c r="BF150" t="str">
        <f>IF($A150="","", INDEX(CS!$B$1:$B$12828,MATCH($A150,CS!$B:$B,0)+COLUMN(K$1),1))</f>
        <v/>
      </c>
      <c r="BG150" t="str">
        <f>IF($A150="","", INDEX(CS!$B$1:$B$12828,MATCH($A150,CS!$B:$B,0)+COLUMN(L$1),1))</f>
        <v/>
      </c>
    </row>
    <row r="151" spans="3:59" x14ac:dyDescent="0.4">
      <c r="C151" t="s">
        <v>194</v>
      </c>
      <c r="D151" t="str">
        <f t="shared" si="8"/>
        <v>0/0/0</v>
      </c>
      <c r="E151">
        <v>1</v>
      </c>
      <c r="AX151" t="str">
        <f>IF($A151="","", INDEX(CS!$B$1:$B$12828,MATCH($A151,CS!$B:$B,0)+COLUMN(A$1),1))</f>
        <v/>
      </c>
      <c r="AY151" t="str">
        <f>IF($A151="","", INDEX(CS!$B$1:$B$12828,MATCH($A151,CS!$B:$B,0)+COLUMN(B$1),1))</f>
        <v/>
      </c>
      <c r="AZ151" t="str">
        <f>IF($A151="","", INDEX(CS!$B$1:$B$12828,MATCH($A151,CS!$B:$B,0)+COLUMN(C$1),1))</f>
        <v/>
      </c>
      <c r="BA151" t="str">
        <f>IF($A151="","", INDEX(CS!$B$1:$B$12828,MATCH($A151,CS!$B:$B,0)+COLUMN(D$1),1))</f>
        <v/>
      </c>
      <c r="BB151" t="str">
        <f>IF($A151="","", INDEX(CS!$B$1:$B$12828,MATCH($A151,CS!$B:$B,0)+COLUMN(E$1),1))</f>
        <v/>
      </c>
      <c r="BC151" t="str">
        <f>IF($A151="","", INDEX(CS!$B$1:$B$12828,MATCH($A151,CS!$B:$B,0)+COLUMN(F$1),1))</f>
        <v/>
      </c>
      <c r="BD151" t="str">
        <f>IF($A151="","", INDEX(CS!$B$1:$B$12828,MATCH($A151,CS!$B:$B,0)+COLUMN(I$1),1))</f>
        <v/>
      </c>
      <c r="BE151" t="str">
        <f>IF($A151="","", INDEX(CS!$B$1:$B$12828,MATCH($A151,CS!$B:$B,0)+COLUMN(J$1),1))</f>
        <v/>
      </c>
      <c r="BF151" t="str">
        <f>IF($A151="","", INDEX(CS!$B$1:$B$12828,MATCH($A151,CS!$B:$B,0)+COLUMN(K$1),1))</f>
        <v/>
      </c>
      <c r="BG151" t="str">
        <f>IF($A151="","", INDEX(CS!$B$1:$B$12828,MATCH($A151,CS!$B:$B,0)+COLUMN(L$1),1))</f>
        <v/>
      </c>
    </row>
    <row r="152" spans="3:59" x14ac:dyDescent="0.4">
      <c r="C152" t="s">
        <v>194</v>
      </c>
      <c r="D152" t="str">
        <f t="shared" si="8"/>
        <v>0/0/0</v>
      </c>
      <c r="E152">
        <v>1</v>
      </c>
      <c r="AX152" t="str">
        <f>IF($A152="","", INDEX(CS!$B$1:$B$12828,MATCH($A152,CS!$B:$B,0)+COLUMN(A$1),1))</f>
        <v/>
      </c>
      <c r="AY152" t="str">
        <f>IF($A152="","", INDEX(CS!$B$1:$B$12828,MATCH($A152,CS!$B:$B,0)+COLUMN(B$1),1))</f>
        <v/>
      </c>
      <c r="AZ152" t="str">
        <f>IF($A152="","", INDEX(CS!$B$1:$B$12828,MATCH($A152,CS!$B:$B,0)+COLUMN(C$1),1))</f>
        <v/>
      </c>
      <c r="BA152" t="str">
        <f>IF($A152="","", INDEX(CS!$B$1:$B$12828,MATCH($A152,CS!$B:$B,0)+COLUMN(D$1),1))</f>
        <v/>
      </c>
      <c r="BB152" t="str">
        <f>IF($A152="","", INDEX(CS!$B$1:$B$12828,MATCH($A152,CS!$B:$B,0)+COLUMN(E$1),1))</f>
        <v/>
      </c>
      <c r="BC152" t="str">
        <f>IF($A152="","", INDEX(CS!$B$1:$B$12828,MATCH($A152,CS!$B:$B,0)+COLUMN(F$1),1))</f>
        <v/>
      </c>
      <c r="BD152" t="str">
        <f>IF($A152="","", INDEX(CS!$B$1:$B$12828,MATCH($A152,CS!$B:$B,0)+COLUMN(I$1),1))</f>
        <v/>
      </c>
      <c r="BE152" t="str">
        <f>IF($A152="","", INDEX(CS!$B$1:$B$12828,MATCH($A152,CS!$B:$B,0)+COLUMN(J$1),1))</f>
        <v/>
      </c>
      <c r="BF152" t="str">
        <f>IF($A152="","", INDEX(CS!$B$1:$B$12828,MATCH($A152,CS!$B:$B,0)+COLUMN(K$1),1))</f>
        <v/>
      </c>
      <c r="BG152" t="str">
        <f>IF($A152="","", INDEX(CS!$B$1:$B$12828,MATCH($A152,CS!$B:$B,0)+COLUMN(L$1),1))</f>
        <v/>
      </c>
    </row>
    <row r="153" spans="3:59" x14ac:dyDescent="0.4">
      <c r="C153" t="s">
        <v>194</v>
      </c>
      <c r="D153" t="str">
        <f t="shared" si="8"/>
        <v>0/0/0</v>
      </c>
      <c r="E153">
        <v>1</v>
      </c>
      <c r="AX153" t="str">
        <f>IF($A153="","", INDEX(CS!$B$1:$B$12828,MATCH($A153,CS!$B:$B,0)+COLUMN(A$1),1))</f>
        <v/>
      </c>
      <c r="AY153" t="str">
        <f>IF($A153="","", INDEX(CS!$B$1:$B$12828,MATCH($A153,CS!$B:$B,0)+COLUMN(B$1),1))</f>
        <v/>
      </c>
      <c r="AZ153" t="str">
        <f>IF($A153="","", INDEX(CS!$B$1:$B$12828,MATCH($A153,CS!$B:$B,0)+COLUMN(C$1),1))</f>
        <v/>
      </c>
      <c r="BA153" t="str">
        <f>IF($A153="","", INDEX(CS!$B$1:$B$12828,MATCH($A153,CS!$B:$B,0)+COLUMN(D$1),1))</f>
        <v/>
      </c>
      <c r="BB153" t="str">
        <f>IF($A153="","", INDEX(CS!$B$1:$B$12828,MATCH($A153,CS!$B:$B,0)+COLUMN(E$1),1))</f>
        <v/>
      </c>
      <c r="BC153" t="str">
        <f>IF($A153="","", INDEX(CS!$B$1:$B$12828,MATCH($A153,CS!$B:$B,0)+COLUMN(F$1),1))</f>
        <v/>
      </c>
      <c r="BD153" t="str">
        <f>IF($A153="","", INDEX(CS!$B$1:$B$12828,MATCH($A153,CS!$B:$B,0)+COLUMN(I$1),1))</f>
        <v/>
      </c>
      <c r="BE153" t="str">
        <f>IF($A153="","", INDEX(CS!$B$1:$B$12828,MATCH($A153,CS!$B:$B,0)+COLUMN(J$1),1))</f>
        <v/>
      </c>
      <c r="BF153" t="str">
        <f>IF($A153="","", INDEX(CS!$B$1:$B$12828,MATCH($A153,CS!$B:$B,0)+COLUMN(K$1),1))</f>
        <v/>
      </c>
      <c r="BG153" t="str">
        <f>IF($A153="","", INDEX(CS!$B$1:$B$12828,MATCH($A153,CS!$B:$B,0)+COLUMN(L$1),1))</f>
        <v/>
      </c>
    </row>
    <row r="154" spans="3:59" x14ac:dyDescent="0.4">
      <c r="C154" t="s">
        <v>194</v>
      </c>
      <c r="D154" t="str">
        <f t="shared" si="8"/>
        <v>0/0/0</v>
      </c>
      <c r="E154">
        <v>1</v>
      </c>
      <c r="AX154" t="str">
        <f>IF($A154="","", INDEX(CS!$B$1:$B$12828,MATCH($A154,CS!$B:$B,0)+COLUMN(A$1),1))</f>
        <v/>
      </c>
      <c r="AY154" t="str">
        <f>IF($A154="","", INDEX(CS!$B$1:$B$12828,MATCH($A154,CS!$B:$B,0)+COLUMN(B$1),1))</f>
        <v/>
      </c>
      <c r="AZ154" t="str">
        <f>IF($A154="","", INDEX(CS!$B$1:$B$12828,MATCH($A154,CS!$B:$B,0)+COLUMN(C$1),1))</f>
        <v/>
      </c>
      <c r="BA154" t="str">
        <f>IF($A154="","", INDEX(CS!$B$1:$B$12828,MATCH($A154,CS!$B:$B,0)+COLUMN(D$1),1))</f>
        <v/>
      </c>
      <c r="BB154" t="str">
        <f>IF($A154="","", INDEX(CS!$B$1:$B$12828,MATCH($A154,CS!$B:$B,0)+COLUMN(E$1),1))</f>
        <v/>
      </c>
      <c r="BC154" t="str">
        <f>IF($A154="","", INDEX(CS!$B$1:$B$12828,MATCH($A154,CS!$B:$B,0)+COLUMN(F$1),1))</f>
        <v/>
      </c>
      <c r="BD154" t="str">
        <f>IF($A154="","", INDEX(CS!$B$1:$B$12828,MATCH($A154,CS!$B:$B,0)+COLUMN(I$1),1))</f>
        <v/>
      </c>
      <c r="BE154" t="str">
        <f>IF($A154="","", INDEX(CS!$B$1:$B$12828,MATCH($A154,CS!$B:$B,0)+COLUMN(J$1),1))</f>
        <v/>
      </c>
      <c r="BF154" t="str">
        <f>IF($A154="","", INDEX(CS!$B$1:$B$12828,MATCH($A154,CS!$B:$B,0)+COLUMN(K$1),1))</f>
        <v/>
      </c>
      <c r="BG154" t="str">
        <f>IF($A154="","", INDEX(CS!$B$1:$B$12828,MATCH($A154,CS!$B:$B,0)+COLUMN(L$1),1))</f>
        <v/>
      </c>
    </row>
    <row r="155" spans="3:59" x14ac:dyDescent="0.4">
      <c r="C155" t="s">
        <v>194</v>
      </c>
      <c r="D155" t="str">
        <f t="shared" si="8"/>
        <v>0/0/0</v>
      </c>
      <c r="E155">
        <v>1</v>
      </c>
      <c r="AX155" t="str">
        <f>IF($A155="","", INDEX(CS!$B$1:$B$12828,MATCH($A155,CS!$B:$B,0)+COLUMN(A$1),1))</f>
        <v/>
      </c>
      <c r="AY155" t="str">
        <f>IF($A155="","", INDEX(CS!$B$1:$B$12828,MATCH($A155,CS!$B:$B,0)+COLUMN(B$1),1))</f>
        <v/>
      </c>
      <c r="AZ155" t="str">
        <f>IF($A155="","", INDEX(CS!$B$1:$B$12828,MATCH($A155,CS!$B:$B,0)+COLUMN(C$1),1))</f>
        <v/>
      </c>
      <c r="BA155" t="str">
        <f>IF($A155="","", INDEX(CS!$B$1:$B$12828,MATCH($A155,CS!$B:$B,0)+COLUMN(D$1),1))</f>
        <v/>
      </c>
      <c r="BB155" t="str">
        <f>IF($A155="","", INDEX(CS!$B$1:$B$12828,MATCH($A155,CS!$B:$B,0)+COLUMN(E$1),1))</f>
        <v/>
      </c>
      <c r="BC155" t="str">
        <f>IF($A155="","", INDEX(CS!$B$1:$B$12828,MATCH($A155,CS!$B:$B,0)+COLUMN(F$1),1))</f>
        <v/>
      </c>
      <c r="BD155" t="str">
        <f>IF($A155="","", INDEX(CS!$B$1:$B$12828,MATCH($A155,CS!$B:$B,0)+COLUMN(I$1),1))</f>
        <v/>
      </c>
      <c r="BE155" t="str">
        <f>IF($A155="","", INDEX(CS!$B$1:$B$12828,MATCH($A155,CS!$B:$B,0)+COLUMN(J$1),1))</f>
        <v/>
      </c>
      <c r="BF155" t="str">
        <f>IF($A155="","", INDEX(CS!$B$1:$B$12828,MATCH($A155,CS!$B:$B,0)+COLUMN(K$1),1))</f>
        <v/>
      </c>
      <c r="BG155" t="str">
        <f>IF($A155="","", INDEX(CS!$B$1:$B$12828,MATCH($A155,CS!$B:$B,0)+COLUMN(L$1),1))</f>
        <v/>
      </c>
    </row>
    <row r="156" spans="3:59" x14ac:dyDescent="0.4">
      <c r="C156" t="s">
        <v>194</v>
      </c>
      <c r="D156" t="str">
        <f t="shared" si="8"/>
        <v>0/0/0</v>
      </c>
      <c r="E156">
        <v>1</v>
      </c>
      <c r="AX156" t="str">
        <f>IF($A156="","", INDEX(CS!$B$1:$B$12828,MATCH($A156,CS!$B:$B,0)+COLUMN(A$1),1))</f>
        <v/>
      </c>
      <c r="AY156" t="str">
        <f>IF($A156="","", INDEX(CS!$B$1:$B$12828,MATCH($A156,CS!$B:$B,0)+COLUMN(B$1),1))</f>
        <v/>
      </c>
      <c r="AZ156" t="str">
        <f>IF($A156="","", INDEX(CS!$B$1:$B$12828,MATCH($A156,CS!$B:$B,0)+COLUMN(C$1),1))</f>
        <v/>
      </c>
      <c r="BA156" t="str">
        <f>IF($A156="","", INDEX(CS!$B$1:$B$12828,MATCH($A156,CS!$B:$B,0)+COLUMN(D$1),1))</f>
        <v/>
      </c>
      <c r="BB156" t="str">
        <f>IF($A156="","", INDEX(CS!$B$1:$B$12828,MATCH($A156,CS!$B:$B,0)+COLUMN(E$1),1))</f>
        <v/>
      </c>
      <c r="BC156" t="str">
        <f>IF($A156="","", INDEX(CS!$B$1:$B$12828,MATCH($A156,CS!$B:$B,0)+COLUMN(F$1),1))</f>
        <v/>
      </c>
      <c r="BD156" t="str">
        <f>IF($A156="","", INDEX(CS!$B$1:$B$12828,MATCH($A156,CS!$B:$B,0)+COLUMN(I$1),1))</f>
        <v/>
      </c>
      <c r="BE156" t="str">
        <f>IF($A156="","", INDEX(CS!$B$1:$B$12828,MATCH($A156,CS!$B:$B,0)+COLUMN(J$1),1))</f>
        <v/>
      </c>
      <c r="BF156" t="str">
        <f>IF($A156="","", INDEX(CS!$B$1:$B$12828,MATCH($A156,CS!$B:$B,0)+COLUMN(K$1),1))</f>
        <v/>
      </c>
      <c r="BG156" t="str">
        <f>IF($A156="","", INDEX(CS!$B$1:$B$12828,MATCH($A156,CS!$B:$B,0)+COLUMN(L$1),1))</f>
        <v/>
      </c>
    </row>
    <row r="157" spans="3:59" x14ac:dyDescent="0.4">
      <c r="C157" t="s">
        <v>194</v>
      </c>
      <c r="D157" t="str">
        <f t="shared" si="8"/>
        <v>0/0/0</v>
      </c>
      <c r="E157">
        <v>1</v>
      </c>
      <c r="AX157" t="str">
        <f>IF($A157="","", INDEX(CS!$B$1:$B$12828,MATCH($A157,CS!$B:$B,0)+COLUMN(A$1),1))</f>
        <v/>
      </c>
      <c r="AY157" t="str">
        <f>IF($A157="","", INDEX(CS!$B$1:$B$12828,MATCH($A157,CS!$B:$B,0)+COLUMN(B$1),1))</f>
        <v/>
      </c>
      <c r="AZ157" t="str">
        <f>IF($A157="","", INDEX(CS!$B$1:$B$12828,MATCH($A157,CS!$B:$B,0)+COLUMN(C$1),1))</f>
        <v/>
      </c>
      <c r="BA157" t="str">
        <f>IF($A157="","", INDEX(CS!$B$1:$B$12828,MATCH($A157,CS!$B:$B,0)+COLUMN(D$1),1))</f>
        <v/>
      </c>
      <c r="BB157" t="str">
        <f>IF($A157="","", INDEX(CS!$B$1:$B$12828,MATCH($A157,CS!$B:$B,0)+COLUMN(E$1),1))</f>
        <v/>
      </c>
      <c r="BC157" t="str">
        <f>IF($A157="","", INDEX(CS!$B$1:$B$12828,MATCH($A157,CS!$B:$B,0)+COLUMN(F$1),1))</f>
        <v/>
      </c>
      <c r="BD157" t="str">
        <f>IF($A157="","", INDEX(CS!$B$1:$B$12828,MATCH($A157,CS!$B:$B,0)+COLUMN(I$1),1))</f>
        <v/>
      </c>
      <c r="BE157" t="str">
        <f>IF($A157="","", INDEX(CS!$B$1:$B$12828,MATCH($A157,CS!$B:$B,0)+COLUMN(J$1),1))</f>
        <v/>
      </c>
      <c r="BF157" t="str">
        <f>IF($A157="","", INDEX(CS!$B$1:$B$12828,MATCH($A157,CS!$B:$B,0)+COLUMN(K$1),1))</f>
        <v/>
      </c>
      <c r="BG157" t="str">
        <f>IF($A157="","", INDEX(CS!$B$1:$B$12828,MATCH($A157,CS!$B:$B,0)+COLUMN(L$1),1))</f>
        <v/>
      </c>
    </row>
    <row r="158" spans="3:59" x14ac:dyDescent="0.4">
      <c r="C158" t="s">
        <v>194</v>
      </c>
      <c r="D158" t="str">
        <f t="shared" si="8"/>
        <v>0/0/0</v>
      </c>
      <c r="E158">
        <v>1</v>
      </c>
      <c r="AX158" t="str">
        <f>IF($A158="","", INDEX(CS!$B$1:$B$12828,MATCH($A158,CS!$B:$B,0)+COLUMN(A$1),1))</f>
        <v/>
      </c>
      <c r="AY158" t="str">
        <f>IF($A158="","", INDEX(CS!$B$1:$B$12828,MATCH($A158,CS!$B:$B,0)+COLUMN(B$1),1))</f>
        <v/>
      </c>
      <c r="AZ158" t="str">
        <f>IF($A158="","", INDEX(CS!$B$1:$B$12828,MATCH($A158,CS!$B:$B,0)+COLUMN(C$1),1))</f>
        <v/>
      </c>
      <c r="BA158" t="str">
        <f>IF($A158="","", INDEX(CS!$B$1:$B$12828,MATCH($A158,CS!$B:$B,0)+COLUMN(D$1),1))</f>
        <v/>
      </c>
      <c r="BB158" t="str">
        <f>IF($A158="","", INDEX(CS!$B$1:$B$12828,MATCH($A158,CS!$B:$B,0)+COLUMN(E$1),1))</f>
        <v/>
      </c>
      <c r="BC158" t="str">
        <f>IF($A158="","", INDEX(CS!$B$1:$B$12828,MATCH($A158,CS!$B:$B,0)+COLUMN(F$1),1))</f>
        <v/>
      </c>
      <c r="BD158" t="str">
        <f>IF($A158="","", INDEX(CS!$B$1:$B$12828,MATCH($A158,CS!$B:$B,0)+COLUMN(I$1),1))</f>
        <v/>
      </c>
      <c r="BE158" t="str">
        <f>IF($A158="","", INDEX(CS!$B$1:$B$12828,MATCH($A158,CS!$B:$B,0)+COLUMN(J$1),1))</f>
        <v/>
      </c>
      <c r="BF158" t="str">
        <f>IF($A158="","", INDEX(CS!$B$1:$B$12828,MATCH($A158,CS!$B:$B,0)+COLUMN(K$1),1))</f>
        <v/>
      </c>
      <c r="BG158" t="str">
        <f>IF($A158="","", INDEX(CS!$B$1:$B$12828,MATCH($A158,CS!$B:$B,0)+COLUMN(L$1),1))</f>
        <v/>
      </c>
    </row>
    <row r="159" spans="3:59" x14ac:dyDescent="0.4">
      <c r="C159" t="s">
        <v>194</v>
      </c>
      <c r="D159" t="str">
        <f t="shared" si="8"/>
        <v>0/0/0</v>
      </c>
      <c r="E159">
        <v>1</v>
      </c>
      <c r="AX159" t="str">
        <f>IF($A159="","", INDEX(CS!$B$1:$B$12828,MATCH($A159,CS!$B:$B,0)+COLUMN(A$1),1))</f>
        <v/>
      </c>
      <c r="AY159" t="str">
        <f>IF($A159="","", INDEX(CS!$B$1:$B$12828,MATCH($A159,CS!$B:$B,0)+COLUMN(B$1),1))</f>
        <v/>
      </c>
      <c r="AZ159" t="str">
        <f>IF($A159="","", INDEX(CS!$B$1:$B$12828,MATCH($A159,CS!$B:$B,0)+COLUMN(C$1),1))</f>
        <v/>
      </c>
      <c r="BA159" t="str">
        <f>IF($A159="","", INDEX(CS!$B$1:$B$12828,MATCH($A159,CS!$B:$B,0)+COLUMN(D$1),1))</f>
        <v/>
      </c>
      <c r="BB159" t="str">
        <f>IF($A159="","", INDEX(CS!$B$1:$B$12828,MATCH($A159,CS!$B:$B,0)+COLUMN(E$1),1))</f>
        <v/>
      </c>
      <c r="BC159" t="str">
        <f>IF($A159="","", INDEX(CS!$B$1:$B$12828,MATCH($A159,CS!$B:$B,0)+COLUMN(F$1),1))</f>
        <v/>
      </c>
      <c r="BD159" t="str">
        <f>IF($A159="","", INDEX(CS!$B$1:$B$12828,MATCH($A159,CS!$B:$B,0)+COLUMN(I$1),1))</f>
        <v/>
      </c>
      <c r="BE159" t="str">
        <f>IF($A159="","", INDEX(CS!$B$1:$B$12828,MATCH($A159,CS!$B:$B,0)+COLUMN(J$1),1))</f>
        <v/>
      </c>
      <c r="BF159" t="str">
        <f>IF($A159="","", INDEX(CS!$B$1:$B$12828,MATCH($A159,CS!$B:$B,0)+COLUMN(K$1),1))</f>
        <v/>
      </c>
      <c r="BG159" t="str">
        <f>IF($A159="","", INDEX(CS!$B$1:$B$12828,MATCH($A159,CS!$B:$B,0)+COLUMN(L$1),1))</f>
        <v/>
      </c>
    </row>
    <row r="160" spans="3:59" x14ac:dyDescent="0.4">
      <c r="C160" t="s">
        <v>194</v>
      </c>
      <c r="D160" t="str">
        <f t="shared" ref="D160:D219" si="9">SUM(AI160:AW160,F160:N160)&amp;"/"&amp;SUM(F160:N160)&amp;"/"&amp;SUM(AI160:AW160)</f>
        <v>0/0/0</v>
      </c>
      <c r="E160">
        <v>1</v>
      </c>
      <c r="AX160" t="str">
        <f>IF($A160="","", INDEX(CS!$B$1:$B$12828,MATCH($A160,CS!$B:$B,0)+COLUMN(A$1),1))</f>
        <v/>
      </c>
      <c r="AY160" t="str">
        <f>IF($A160="","", INDEX(CS!$B$1:$B$12828,MATCH($A160,CS!$B:$B,0)+COLUMN(B$1),1))</f>
        <v/>
      </c>
      <c r="AZ160" t="str">
        <f>IF($A160="","", INDEX(CS!$B$1:$B$12828,MATCH($A160,CS!$B:$B,0)+COLUMN(C$1),1))</f>
        <v/>
      </c>
      <c r="BA160" t="str">
        <f>IF($A160="","", INDEX(CS!$B$1:$B$12828,MATCH($A160,CS!$B:$B,0)+COLUMN(D$1),1))</f>
        <v/>
      </c>
      <c r="BB160" t="str">
        <f>IF($A160="","", INDEX(CS!$B$1:$B$12828,MATCH($A160,CS!$B:$B,0)+COLUMN(E$1),1))</f>
        <v/>
      </c>
      <c r="BC160" t="str">
        <f>IF($A160="","", INDEX(CS!$B$1:$B$12828,MATCH($A160,CS!$B:$B,0)+COLUMN(F$1),1))</f>
        <v/>
      </c>
      <c r="BD160" t="str">
        <f>IF($A160="","", INDEX(CS!$B$1:$B$12828,MATCH($A160,CS!$B:$B,0)+COLUMN(I$1),1))</f>
        <v/>
      </c>
      <c r="BE160" t="str">
        <f>IF($A160="","", INDEX(CS!$B$1:$B$12828,MATCH($A160,CS!$B:$B,0)+COLUMN(J$1),1))</f>
        <v/>
      </c>
      <c r="BF160" t="str">
        <f>IF($A160="","", INDEX(CS!$B$1:$B$12828,MATCH($A160,CS!$B:$B,0)+COLUMN(K$1),1))</f>
        <v/>
      </c>
      <c r="BG160" t="str">
        <f>IF($A160="","", INDEX(CS!$B$1:$B$12828,MATCH($A160,CS!$B:$B,0)+COLUMN(L$1),1))</f>
        <v/>
      </c>
    </row>
    <row r="161" spans="3:59" x14ac:dyDescent="0.4">
      <c r="C161" t="s">
        <v>194</v>
      </c>
      <c r="D161" t="str">
        <f t="shared" si="9"/>
        <v>0/0/0</v>
      </c>
      <c r="E161">
        <v>1</v>
      </c>
      <c r="AX161" t="str">
        <f>IF($A161="","", INDEX(CS!$B$1:$B$12828,MATCH($A161,CS!$B:$B,0)+COLUMN(A$1),1))</f>
        <v/>
      </c>
      <c r="AY161" t="str">
        <f>IF($A161="","", INDEX(CS!$B$1:$B$12828,MATCH($A161,CS!$B:$B,0)+COLUMN(B$1),1))</f>
        <v/>
      </c>
      <c r="AZ161" t="str">
        <f>IF($A161="","", INDEX(CS!$B$1:$B$12828,MATCH($A161,CS!$B:$B,0)+COLUMN(C$1),1))</f>
        <v/>
      </c>
      <c r="BA161" t="str">
        <f>IF($A161="","", INDEX(CS!$B$1:$B$12828,MATCH($A161,CS!$B:$B,0)+COLUMN(D$1),1))</f>
        <v/>
      </c>
      <c r="BB161" t="str">
        <f>IF($A161="","", INDEX(CS!$B$1:$B$12828,MATCH($A161,CS!$B:$B,0)+COLUMN(E$1),1))</f>
        <v/>
      </c>
      <c r="BC161" t="str">
        <f>IF($A161="","", INDEX(CS!$B$1:$B$12828,MATCH($A161,CS!$B:$B,0)+COLUMN(F$1),1))</f>
        <v/>
      </c>
      <c r="BD161" t="str">
        <f>IF($A161="","", INDEX(CS!$B$1:$B$12828,MATCH($A161,CS!$B:$B,0)+COLUMN(I$1),1))</f>
        <v/>
      </c>
      <c r="BE161" t="str">
        <f>IF($A161="","", INDEX(CS!$B$1:$B$12828,MATCH($A161,CS!$B:$B,0)+COLUMN(J$1),1))</f>
        <v/>
      </c>
      <c r="BF161" t="str">
        <f>IF($A161="","", INDEX(CS!$B$1:$B$12828,MATCH($A161,CS!$B:$B,0)+COLUMN(K$1),1))</f>
        <v/>
      </c>
      <c r="BG161" t="str">
        <f>IF($A161="","", INDEX(CS!$B$1:$B$12828,MATCH($A161,CS!$B:$B,0)+COLUMN(L$1),1))</f>
        <v/>
      </c>
    </row>
    <row r="162" spans="3:59" x14ac:dyDescent="0.4">
      <c r="C162" t="s">
        <v>194</v>
      </c>
      <c r="D162" t="str">
        <f t="shared" si="9"/>
        <v>0/0/0</v>
      </c>
      <c r="E162">
        <v>1</v>
      </c>
      <c r="AX162" t="str">
        <f>IF($A162="","", INDEX(CS!$B$1:$B$12828,MATCH($A162,CS!$B:$B,0)+COLUMN(A$1),1))</f>
        <v/>
      </c>
      <c r="AY162" t="str">
        <f>IF($A162="","", INDEX(CS!$B$1:$B$12828,MATCH($A162,CS!$B:$B,0)+COLUMN(B$1),1))</f>
        <v/>
      </c>
      <c r="AZ162" t="str">
        <f>IF($A162="","", INDEX(CS!$B$1:$B$12828,MATCH($A162,CS!$B:$B,0)+COLUMN(C$1),1))</f>
        <v/>
      </c>
      <c r="BA162" t="str">
        <f>IF($A162="","", INDEX(CS!$B$1:$B$12828,MATCH($A162,CS!$B:$B,0)+COLUMN(D$1),1))</f>
        <v/>
      </c>
      <c r="BB162" t="str">
        <f>IF($A162="","", INDEX(CS!$B$1:$B$12828,MATCH($A162,CS!$B:$B,0)+COLUMN(E$1),1))</f>
        <v/>
      </c>
      <c r="BC162" t="str">
        <f>IF($A162="","", INDEX(CS!$B$1:$B$12828,MATCH($A162,CS!$B:$B,0)+COLUMN(F$1),1))</f>
        <v/>
      </c>
      <c r="BD162" t="str">
        <f>IF($A162="","", INDEX(CS!$B$1:$B$12828,MATCH($A162,CS!$B:$B,0)+COLUMN(I$1),1))</f>
        <v/>
      </c>
      <c r="BE162" t="str">
        <f>IF($A162="","", INDEX(CS!$B$1:$B$12828,MATCH($A162,CS!$B:$B,0)+COLUMN(J$1),1))</f>
        <v/>
      </c>
      <c r="BF162" t="str">
        <f>IF($A162="","", INDEX(CS!$B$1:$B$12828,MATCH($A162,CS!$B:$B,0)+COLUMN(K$1),1))</f>
        <v/>
      </c>
      <c r="BG162" t="str">
        <f>IF($A162="","", INDEX(CS!$B$1:$B$12828,MATCH($A162,CS!$B:$B,0)+COLUMN(L$1),1))</f>
        <v/>
      </c>
    </row>
    <row r="163" spans="3:59" x14ac:dyDescent="0.4">
      <c r="C163" t="s">
        <v>194</v>
      </c>
      <c r="D163" t="str">
        <f t="shared" si="9"/>
        <v>0/0/0</v>
      </c>
      <c r="E163">
        <v>1</v>
      </c>
      <c r="AX163" t="str">
        <f>IF($A163="","", INDEX(CS!$B$1:$B$12828,MATCH($A163,CS!$B:$B,0)+COLUMN(A$1),1))</f>
        <v/>
      </c>
      <c r="AY163" t="str">
        <f>IF($A163="","", INDEX(CS!$B$1:$B$12828,MATCH($A163,CS!$B:$B,0)+COLUMN(B$1),1))</f>
        <v/>
      </c>
      <c r="AZ163" t="str">
        <f>IF($A163="","", INDEX(CS!$B$1:$B$12828,MATCH($A163,CS!$B:$B,0)+COLUMN(C$1),1))</f>
        <v/>
      </c>
      <c r="BA163" t="str">
        <f>IF($A163="","", INDEX(CS!$B$1:$B$12828,MATCH($A163,CS!$B:$B,0)+COLUMN(D$1),1))</f>
        <v/>
      </c>
      <c r="BB163" t="str">
        <f>IF($A163="","", INDEX(CS!$B$1:$B$12828,MATCH($A163,CS!$B:$B,0)+COLUMN(E$1),1))</f>
        <v/>
      </c>
      <c r="BC163" t="str">
        <f>IF($A163="","", INDEX(CS!$B$1:$B$12828,MATCH($A163,CS!$B:$B,0)+COLUMN(F$1),1))</f>
        <v/>
      </c>
      <c r="BD163" t="str">
        <f>IF($A163="","", INDEX(CS!$B$1:$B$12828,MATCH($A163,CS!$B:$B,0)+COLUMN(I$1),1))</f>
        <v/>
      </c>
      <c r="BE163" t="str">
        <f>IF($A163="","", INDEX(CS!$B$1:$B$12828,MATCH($A163,CS!$B:$B,0)+COLUMN(J$1),1))</f>
        <v/>
      </c>
      <c r="BF163" t="str">
        <f>IF($A163="","", INDEX(CS!$B$1:$B$12828,MATCH($A163,CS!$B:$B,0)+COLUMN(K$1),1))</f>
        <v/>
      </c>
      <c r="BG163" t="str">
        <f>IF($A163="","", INDEX(CS!$B$1:$B$12828,MATCH($A163,CS!$B:$B,0)+COLUMN(L$1),1))</f>
        <v/>
      </c>
    </row>
    <row r="164" spans="3:59" x14ac:dyDescent="0.4">
      <c r="C164" t="s">
        <v>194</v>
      </c>
      <c r="D164" t="str">
        <f t="shared" si="9"/>
        <v>0/0/0</v>
      </c>
      <c r="E164">
        <v>1</v>
      </c>
      <c r="AX164" t="str">
        <f>IF($A164="","", INDEX(CS!$B$1:$B$12828,MATCH($A164,CS!$B:$B,0)+COLUMN(A$1),1))</f>
        <v/>
      </c>
      <c r="AY164" t="str">
        <f>IF($A164="","", INDEX(CS!$B$1:$B$12828,MATCH($A164,CS!$B:$B,0)+COLUMN(B$1),1))</f>
        <v/>
      </c>
      <c r="AZ164" t="str">
        <f>IF($A164="","", INDEX(CS!$B$1:$B$12828,MATCH($A164,CS!$B:$B,0)+COLUMN(C$1),1))</f>
        <v/>
      </c>
      <c r="BA164" t="str">
        <f>IF($A164="","", INDEX(CS!$B$1:$B$12828,MATCH($A164,CS!$B:$B,0)+COLUMN(D$1),1))</f>
        <v/>
      </c>
      <c r="BB164" t="str">
        <f>IF($A164="","", INDEX(CS!$B$1:$B$12828,MATCH($A164,CS!$B:$B,0)+COLUMN(E$1),1))</f>
        <v/>
      </c>
      <c r="BC164" t="str">
        <f>IF($A164="","", INDEX(CS!$B$1:$B$12828,MATCH($A164,CS!$B:$B,0)+COLUMN(F$1),1))</f>
        <v/>
      </c>
      <c r="BD164" t="str">
        <f>IF($A164="","", INDEX(CS!$B$1:$B$12828,MATCH($A164,CS!$B:$B,0)+COLUMN(I$1),1))</f>
        <v/>
      </c>
      <c r="BE164" t="str">
        <f>IF($A164="","", INDEX(CS!$B$1:$B$12828,MATCH($A164,CS!$B:$B,0)+COLUMN(J$1),1))</f>
        <v/>
      </c>
      <c r="BF164" t="str">
        <f>IF($A164="","", INDEX(CS!$B$1:$B$12828,MATCH($A164,CS!$B:$B,0)+COLUMN(K$1),1))</f>
        <v/>
      </c>
      <c r="BG164" t="str">
        <f>IF($A164="","", INDEX(CS!$B$1:$B$12828,MATCH($A164,CS!$B:$B,0)+COLUMN(L$1),1))</f>
        <v/>
      </c>
    </row>
    <row r="165" spans="3:59" x14ac:dyDescent="0.4">
      <c r="C165" t="s">
        <v>194</v>
      </c>
      <c r="D165" t="str">
        <f t="shared" si="9"/>
        <v>0/0/0</v>
      </c>
      <c r="E165">
        <v>1</v>
      </c>
      <c r="AX165" t="str">
        <f>IF($A165="","", INDEX(CS!$B$1:$B$12828,MATCH($A165,CS!$B:$B,0)+COLUMN(A$1),1))</f>
        <v/>
      </c>
      <c r="AY165" t="str">
        <f>IF($A165="","", INDEX(CS!$B$1:$B$12828,MATCH($A165,CS!$B:$B,0)+COLUMN(B$1),1))</f>
        <v/>
      </c>
      <c r="AZ165" t="str">
        <f>IF($A165="","", INDEX(CS!$B$1:$B$12828,MATCH($A165,CS!$B:$B,0)+COLUMN(C$1),1))</f>
        <v/>
      </c>
      <c r="BA165" t="str">
        <f>IF($A165="","", INDEX(CS!$B$1:$B$12828,MATCH($A165,CS!$B:$B,0)+COLUMN(D$1),1))</f>
        <v/>
      </c>
      <c r="BB165" t="str">
        <f>IF($A165="","", INDEX(CS!$B$1:$B$12828,MATCH($A165,CS!$B:$B,0)+COLUMN(E$1),1))</f>
        <v/>
      </c>
      <c r="BC165" t="str">
        <f>IF($A165="","", INDEX(CS!$B$1:$B$12828,MATCH($A165,CS!$B:$B,0)+COLUMN(F$1),1))</f>
        <v/>
      </c>
      <c r="BD165" t="str">
        <f>IF($A165="","", INDEX(CS!$B$1:$B$12828,MATCH($A165,CS!$B:$B,0)+COLUMN(I$1),1))</f>
        <v/>
      </c>
      <c r="BE165" t="str">
        <f>IF($A165="","", INDEX(CS!$B$1:$B$12828,MATCH($A165,CS!$B:$B,0)+COLUMN(J$1),1))</f>
        <v/>
      </c>
      <c r="BF165" t="str">
        <f>IF($A165="","", INDEX(CS!$B$1:$B$12828,MATCH($A165,CS!$B:$B,0)+COLUMN(K$1),1))</f>
        <v/>
      </c>
      <c r="BG165" t="str">
        <f>IF($A165="","", INDEX(CS!$B$1:$B$12828,MATCH($A165,CS!$B:$B,0)+COLUMN(L$1),1))</f>
        <v/>
      </c>
    </row>
    <row r="166" spans="3:59" x14ac:dyDescent="0.4">
      <c r="C166" t="s">
        <v>194</v>
      </c>
      <c r="D166" t="str">
        <f t="shared" si="9"/>
        <v>0/0/0</v>
      </c>
      <c r="E166">
        <v>1</v>
      </c>
      <c r="AX166" t="str">
        <f>IF($A166="","", INDEX(CS!$B$1:$B$12828,MATCH($A166,CS!$B:$B,0)+COLUMN(A$1),1))</f>
        <v/>
      </c>
      <c r="AY166" t="str">
        <f>IF($A166="","", INDEX(CS!$B$1:$B$12828,MATCH($A166,CS!$B:$B,0)+COLUMN(B$1),1))</f>
        <v/>
      </c>
      <c r="AZ166" t="str">
        <f>IF($A166="","", INDEX(CS!$B$1:$B$12828,MATCH($A166,CS!$B:$B,0)+COLUMN(C$1),1))</f>
        <v/>
      </c>
      <c r="BA166" t="str">
        <f>IF($A166="","", INDEX(CS!$B$1:$B$12828,MATCH($A166,CS!$B:$B,0)+COLUMN(D$1),1))</f>
        <v/>
      </c>
      <c r="BB166" t="str">
        <f>IF($A166="","", INDEX(CS!$B$1:$B$12828,MATCH($A166,CS!$B:$B,0)+COLUMN(E$1),1))</f>
        <v/>
      </c>
      <c r="BC166" t="str">
        <f>IF($A166="","", INDEX(CS!$B$1:$B$12828,MATCH($A166,CS!$B:$B,0)+COLUMN(F$1),1))</f>
        <v/>
      </c>
      <c r="BD166" t="str">
        <f>IF($A166="","", INDEX(CS!$B$1:$B$12828,MATCH($A166,CS!$B:$B,0)+COLUMN(I$1),1))</f>
        <v/>
      </c>
      <c r="BE166" t="str">
        <f>IF($A166="","", INDEX(CS!$B$1:$B$12828,MATCH($A166,CS!$B:$B,0)+COLUMN(J$1),1))</f>
        <v/>
      </c>
      <c r="BF166" t="str">
        <f>IF($A166="","", INDEX(CS!$B$1:$B$12828,MATCH($A166,CS!$B:$B,0)+COLUMN(K$1),1))</f>
        <v/>
      </c>
      <c r="BG166" t="str">
        <f>IF($A166="","", INDEX(CS!$B$1:$B$12828,MATCH($A166,CS!$B:$B,0)+COLUMN(L$1),1))</f>
        <v/>
      </c>
    </row>
    <row r="167" spans="3:59" x14ac:dyDescent="0.4">
      <c r="C167" t="s">
        <v>194</v>
      </c>
      <c r="D167" t="str">
        <f t="shared" si="9"/>
        <v>0/0/0</v>
      </c>
      <c r="E167">
        <v>1</v>
      </c>
      <c r="AX167" t="str">
        <f>IF($A167="","", INDEX(CS!$B$1:$B$12828,MATCH($A167,CS!$B:$B,0)+COLUMN(A$1),1))</f>
        <v/>
      </c>
      <c r="AY167" t="str">
        <f>IF($A167="","", INDEX(CS!$B$1:$B$12828,MATCH($A167,CS!$B:$B,0)+COLUMN(B$1),1))</f>
        <v/>
      </c>
      <c r="AZ167" t="str">
        <f>IF($A167="","", INDEX(CS!$B$1:$B$12828,MATCH($A167,CS!$B:$B,0)+COLUMN(C$1),1))</f>
        <v/>
      </c>
      <c r="BA167" t="str">
        <f>IF($A167="","", INDEX(CS!$B$1:$B$12828,MATCH($A167,CS!$B:$B,0)+COLUMN(D$1),1))</f>
        <v/>
      </c>
      <c r="BB167" t="str">
        <f>IF($A167="","", INDEX(CS!$B$1:$B$12828,MATCH($A167,CS!$B:$B,0)+COLUMN(E$1),1))</f>
        <v/>
      </c>
      <c r="BC167" t="str">
        <f>IF($A167="","", INDEX(CS!$B$1:$B$12828,MATCH($A167,CS!$B:$B,0)+COLUMN(F$1),1))</f>
        <v/>
      </c>
      <c r="BD167" t="str">
        <f>IF($A167="","", INDEX(CS!$B$1:$B$12828,MATCH($A167,CS!$B:$B,0)+COLUMN(I$1),1))</f>
        <v/>
      </c>
      <c r="BE167" t="str">
        <f>IF($A167="","", INDEX(CS!$B$1:$B$12828,MATCH($A167,CS!$B:$B,0)+COLUMN(J$1),1))</f>
        <v/>
      </c>
      <c r="BF167" t="str">
        <f>IF($A167="","", INDEX(CS!$B$1:$B$12828,MATCH($A167,CS!$B:$B,0)+COLUMN(K$1),1))</f>
        <v/>
      </c>
      <c r="BG167" t="str">
        <f>IF($A167="","", INDEX(CS!$B$1:$B$12828,MATCH($A167,CS!$B:$B,0)+COLUMN(L$1),1))</f>
        <v/>
      </c>
    </row>
    <row r="168" spans="3:59" x14ac:dyDescent="0.4">
      <c r="C168" t="s">
        <v>194</v>
      </c>
      <c r="D168" t="str">
        <f t="shared" si="9"/>
        <v>0/0/0</v>
      </c>
      <c r="E168">
        <v>1</v>
      </c>
      <c r="AX168" t="str">
        <f>IF($A168="","", INDEX(CS!$B$1:$B$12828,MATCH($A168,CS!$B:$B,0)+COLUMN(A$1),1))</f>
        <v/>
      </c>
      <c r="AY168" t="str">
        <f>IF($A168="","", INDEX(CS!$B$1:$B$12828,MATCH($A168,CS!$B:$B,0)+COLUMN(B$1),1))</f>
        <v/>
      </c>
      <c r="AZ168" t="str">
        <f>IF($A168="","", INDEX(CS!$B$1:$B$12828,MATCH($A168,CS!$B:$B,0)+COLUMN(C$1),1))</f>
        <v/>
      </c>
      <c r="BA168" t="str">
        <f>IF($A168="","", INDEX(CS!$B$1:$B$12828,MATCH($A168,CS!$B:$B,0)+COLUMN(D$1),1))</f>
        <v/>
      </c>
      <c r="BB168" t="str">
        <f>IF($A168="","", INDEX(CS!$B$1:$B$12828,MATCH($A168,CS!$B:$B,0)+COLUMN(E$1),1))</f>
        <v/>
      </c>
      <c r="BC168" t="str">
        <f>IF($A168="","", INDEX(CS!$B$1:$B$12828,MATCH($A168,CS!$B:$B,0)+COLUMN(F$1),1))</f>
        <v/>
      </c>
      <c r="BD168" t="str">
        <f>IF($A168="","", INDEX(CS!$B$1:$B$12828,MATCH($A168,CS!$B:$B,0)+COLUMN(I$1),1))</f>
        <v/>
      </c>
      <c r="BE168" t="str">
        <f>IF($A168="","", INDEX(CS!$B$1:$B$12828,MATCH($A168,CS!$B:$B,0)+COLUMN(J$1),1))</f>
        <v/>
      </c>
      <c r="BF168" t="str">
        <f>IF($A168="","", INDEX(CS!$B$1:$B$12828,MATCH($A168,CS!$B:$B,0)+COLUMN(K$1),1))</f>
        <v/>
      </c>
      <c r="BG168" t="str">
        <f>IF($A168="","", INDEX(CS!$B$1:$B$12828,MATCH($A168,CS!$B:$B,0)+COLUMN(L$1),1))</f>
        <v/>
      </c>
    </row>
    <row r="169" spans="3:59" x14ac:dyDescent="0.4">
      <c r="C169" t="s">
        <v>194</v>
      </c>
      <c r="D169" t="str">
        <f t="shared" si="9"/>
        <v>0/0/0</v>
      </c>
      <c r="E169">
        <v>1</v>
      </c>
      <c r="AX169" t="str">
        <f>IF($A169="","", INDEX(CS!$B$1:$B$12828,MATCH($A169,CS!$B:$B,0)+COLUMN(A$1),1))</f>
        <v/>
      </c>
      <c r="AY169" t="str">
        <f>IF($A169="","", INDEX(CS!$B$1:$B$12828,MATCH($A169,CS!$B:$B,0)+COLUMN(B$1),1))</f>
        <v/>
      </c>
      <c r="AZ169" t="str">
        <f>IF($A169="","", INDEX(CS!$B$1:$B$12828,MATCH($A169,CS!$B:$B,0)+COLUMN(C$1),1))</f>
        <v/>
      </c>
      <c r="BA169" t="str">
        <f>IF($A169="","", INDEX(CS!$B$1:$B$12828,MATCH($A169,CS!$B:$B,0)+COLUMN(D$1),1))</f>
        <v/>
      </c>
      <c r="BB169" t="str">
        <f>IF($A169="","", INDEX(CS!$B$1:$B$12828,MATCH($A169,CS!$B:$B,0)+COLUMN(E$1),1))</f>
        <v/>
      </c>
      <c r="BC169" t="str">
        <f>IF($A169="","", INDEX(CS!$B$1:$B$12828,MATCH($A169,CS!$B:$B,0)+COLUMN(F$1),1))</f>
        <v/>
      </c>
      <c r="BD169" t="str">
        <f>IF($A169="","", INDEX(CS!$B$1:$B$12828,MATCH($A169,CS!$B:$B,0)+COLUMN(I$1),1))</f>
        <v/>
      </c>
      <c r="BE169" t="str">
        <f>IF($A169="","", INDEX(CS!$B$1:$B$12828,MATCH($A169,CS!$B:$B,0)+COLUMN(J$1),1))</f>
        <v/>
      </c>
      <c r="BF169" t="str">
        <f>IF($A169="","", INDEX(CS!$B$1:$B$12828,MATCH($A169,CS!$B:$B,0)+COLUMN(K$1),1))</f>
        <v/>
      </c>
      <c r="BG169" t="str">
        <f>IF($A169="","", INDEX(CS!$B$1:$B$12828,MATCH($A169,CS!$B:$B,0)+COLUMN(L$1),1))</f>
        <v/>
      </c>
    </row>
    <row r="170" spans="3:59" x14ac:dyDescent="0.4">
      <c r="C170" t="s">
        <v>194</v>
      </c>
      <c r="D170" t="str">
        <f t="shared" si="9"/>
        <v>0/0/0</v>
      </c>
      <c r="E170">
        <v>1</v>
      </c>
      <c r="AX170" t="str">
        <f>IF($A170="","", INDEX(CS!$B$1:$B$12828,MATCH($A170,CS!$B:$B,0)+COLUMN(A$1),1))</f>
        <v/>
      </c>
      <c r="AY170" t="str">
        <f>IF($A170="","", INDEX(CS!$B$1:$B$12828,MATCH($A170,CS!$B:$B,0)+COLUMN(B$1),1))</f>
        <v/>
      </c>
      <c r="AZ170" t="str">
        <f>IF($A170="","", INDEX(CS!$B$1:$B$12828,MATCH($A170,CS!$B:$B,0)+COLUMN(C$1),1))</f>
        <v/>
      </c>
      <c r="BA170" t="str">
        <f>IF($A170="","", INDEX(CS!$B$1:$B$12828,MATCH($A170,CS!$B:$B,0)+COLUMN(D$1),1))</f>
        <v/>
      </c>
      <c r="BB170" t="str">
        <f>IF($A170="","", INDEX(CS!$B$1:$B$12828,MATCH($A170,CS!$B:$B,0)+COLUMN(E$1),1))</f>
        <v/>
      </c>
      <c r="BC170" t="str">
        <f>IF($A170="","", INDEX(CS!$B$1:$B$12828,MATCH($A170,CS!$B:$B,0)+COLUMN(F$1),1))</f>
        <v/>
      </c>
      <c r="BD170" t="str">
        <f>IF($A170="","", INDEX(CS!$B$1:$B$12828,MATCH($A170,CS!$B:$B,0)+COLUMN(I$1),1))</f>
        <v/>
      </c>
      <c r="BE170" t="str">
        <f>IF($A170="","", INDEX(CS!$B$1:$B$12828,MATCH($A170,CS!$B:$B,0)+COLUMN(J$1),1))</f>
        <v/>
      </c>
      <c r="BF170" t="str">
        <f>IF($A170="","", INDEX(CS!$B$1:$B$12828,MATCH($A170,CS!$B:$B,0)+COLUMN(K$1),1))</f>
        <v/>
      </c>
      <c r="BG170" t="str">
        <f>IF($A170="","", INDEX(CS!$B$1:$B$12828,MATCH($A170,CS!$B:$B,0)+COLUMN(L$1),1))</f>
        <v/>
      </c>
    </row>
    <row r="171" spans="3:59" x14ac:dyDescent="0.4">
      <c r="C171" t="s">
        <v>194</v>
      </c>
      <c r="D171" t="str">
        <f t="shared" si="9"/>
        <v>0/0/0</v>
      </c>
      <c r="E171">
        <v>1</v>
      </c>
      <c r="AX171" t="str">
        <f>IF($A171="","", INDEX(CS!$B$1:$B$12828,MATCH($A171,CS!$B:$B,0)+COLUMN(A$1),1))</f>
        <v/>
      </c>
      <c r="AY171" t="str">
        <f>IF($A171="","", INDEX(CS!$B$1:$B$12828,MATCH($A171,CS!$B:$B,0)+COLUMN(B$1),1))</f>
        <v/>
      </c>
      <c r="AZ171" t="str">
        <f>IF($A171="","", INDEX(CS!$B$1:$B$12828,MATCH($A171,CS!$B:$B,0)+COLUMN(C$1),1))</f>
        <v/>
      </c>
      <c r="BA171" t="str">
        <f>IF($A171="","", INDEX(CS!$B$1:$B$12828,MATCH($A171,CS!$B:$B,0)+COLUMN(D$1),1))</f>
        <v/>
      </c>
      <c r="BB171" t="str">
        <f>IF($A171="","", INDEX(CS!$B$1:$B$12828,MATCH($A171,CS!$B:$B,0)+COLUMN(E$1),1))</f>
        <v/>
      </c>
      <c r="BC171" t="str">
        <f>IF($A171="","", INDEX(CS!$B$1:$B$12828,MATCH($A171,CS!$B:$B,0)+COLUMN(F$1),1))</f>
        <v/>
      </c>
      <c r="BD171" t="str">
        <f>IF($A171="","", INDEX(CS!$B$1:$B$12828,MATCH($A171,CS!$B:$B,0)+COLUMN(I$1),1))</f>
        <v/>
      </c>
      <c r="BE171" t="str">
        <f>IF($A171="","", INDEX(CS!$B$1:$B$12828,MATCH($A171,CS!$B:$B,0)+COLUMN(J$1),1))</f>
        <v/>
      </c>
      <c r="BF171" t="str">
        <f>IF($A171="","", INDEX(CS!$B$1:$B$12828,MATCH($A171,CS!$B:$B,0)+COLUMN(K$1),1))</f>
        <v/>
      </c>
      <c r="BG171" t="str">
        <f>IF($A171="","", INDEX(CS!$B$1:$B$12828,MATCH($A171,CS!$B:$B,0)+COLUMN(L$1),1))</f>
        <v/>
      </c>
    </row>
    <row r="172" spans="3:59" x14ac:dyDescent="0.4">
      <c r="C172" t="s">
        <v>194</v>
      </c>
      <c r="D172" t="str">
        <f t="shared" si="9"/>
        <v>0/0/0</v>
      </c>
      <c r="E172">
        <v>1</v>
      </c>
      <c r="AX172" t="str">
        <f>IF($A172="","", INDEX(CS!$B$1:$B$12828,MATCH($A172,CS!$B:$B,0)+COLUMN(A$1),1))</f>
        <v/>
      </c>
      <c r="AY172" t="str">
        <f>IF($A172="","", INDEX(CS!$B$1:$B$12828,MATCH($A172,CS!$B:$B,0)+COLUMN(B$1),1))</f>
        <v/>
      </c>
      <c r="AZ172" t="str">
        <f>IF($A172="","", INDEX(CS!$B$1:$B$12828,MATCH($A172,CS!$B:$B,0)+COLUMN(C$1),1))</f>
        <v/>
      </c>
      <c r="BA172" t="str">
        <f>IF($A172="","", INDEX(CS!$B$1:$B$12828,MATCH($A172,CS!$B:$B,0)+COLUMN(D$1),1))</f>
        <v/>
      </c>
      <c r="BB172" t="str">
        <f>IF($A172="","", INDEX(CS!$B$1:$B$12828,MATCH($A172,CS!$B:$B,0)+COLUMN(E$1),1))</f>
        <v/>
      </c>
      <c r="BC172" t="str">
        <f>IF($A172="","", INDEX(CS!$B$1:$B$12828,MATCH($A172,CS!$B:$B,0)+COLUMN(F$1),1))</f>
        <v/>
      </c>
      <c r="BD172" t="str">
        <f>IF($A172="","", INDEX(CS!$B$1:$B$12828,MATCH($A172,CS!$B:$B,0)+COLUMN(I$1),1))</f>
        <v/>
      </c>
      <c r="BE172" t="str">
        <f>IF($A172="","", INDEX(CS!$B$1:$B$12828,MATCH($A172,CS!$B:$B,0)+COLUMN(J$1),1))</f>
        <v/>
      </c>
      <c r="BF172" t="str">
        <f>IF($A172="","", INDEX(CS!$B$1:$B$12828,MATCH($A172,CS!$B:$B,0)+COLUMN(K$1),1))</f>
        <v/>
      </c>
      <c r="BG172" t="str">
        <f>IF($A172="","", INDEX(CS!$B$1:$B$12828,MATCH($A172,CS!$B:$B,0)+COLUMN(L$1),1))</f>
        <v/>
      </c>
    </row>
    <row r="173" spans="3:59" x14ac:dyDescent="0.4">
      <c r="C173" t="s">
        <v>194</v>
      </c>
      <c r="D173" t="str">
        <f t="shared" si="9"/>
        <v>0/0/0</v>
      </c>
      <c r="E173">
        <v>1</v>
      </c>
      <c r="AX173" t="str">
        <f>IF($A173="","", INDEX(CS!$B$1:$B$12828,MATCH($A173,CS!$B:$B,0)+COLUMN(A$1),1))</f>
        <v/>
      </c>
      <c r="AY173" t="str">
        <f>IF($A173="","", INDEX(CS!$B$1:$B$12828,MATCH($A173,CS!$B:$B,0)+COLUMN(B$1),1))</f>
        <v/>
      </c>
      <c r="AZ173" t="str">
        <f>IF($A173="","", INDEX(CS!$B$1:$B$12828,MATCH($A173,CS!$B:$B,0)+COLUMN(C$1),1))</f>
        <v/>
      </c>
      <c r="BA173" t="str">
        <f>IF($A173="","", INDEX(CS!$B$1:$B$12828,MATCH($A173,CS!$B:$B,0)+COLUMN(D$1),1))</f>
        <v/>
      </c>
      <c r="BB173" t="str">
        <f>IF($A173="","", INDEX(CS!$B$1:$B$12828,MATCH($A173,CS!$B:$B,0)+COLUMN(E$1),1))</f>
        <v/>
      </c>
      <c r="BC173" t="str">
        <f>IF($A173="","", INDEX(CS!$B$1:$B$12828,MATCH($A173,CS!$B:$B,0)+COLUMN(F$1),1))</f>
        <v/>
      </c>
      <c r="BD173" t="str">
        <f>IF($A173="","", INDEX(CS!$B$1:$B$12828,MATCH($A173,CS!$B:$B,0)+COLUMN(I$1),1))</f>
        <v/>
      </c>
      <c r="BE173" t="str">
        <f>IF($A173="","", INDEX(CS!$B$1:$B$12828,MATCH($A173,CS!$B:$B,0)+COLUMN(J$1),1))</f>
        <v/>
      </c>
      <c r="BF173" t="str">
        <f>IF($A173="","", INDEX(CS!$B$1:$B$12828,MATCH($A173,CS!$B:$B,0)+COLUMN(K$1),1))</f>
        <v/>
      </c>
      <c r="BG173" t="str">
        <f>IF($A173="","", INDEX(CS!$B$1:$B$12828,MATCH($A173,CS!$B:$B,0)+COLUMN(L$1),1))</f>
        <v/>
      </c>
    </row>
    <row r="174" spans="3:59" x14ac:dyDescent="0.4">
      <c r="C174" t="s">
        <v>194</v>
      </c>
      <c r="D174" t="str">
        <f t="shared" si="9"/>
        <v>0/0/0</v>
      </c>
      <c r="E174">
        <v>1</v>
      </c>
      <c r="AX174" t="str">
        <f>IF($A174="","", INDEX(CS!$B$1:$B$12828,MATCH($A174,CS!$B:$B,0)+COLUMN(A$1),1))</f>
        <v/>
      </c>
      <c r="AY174" t="str">
        <f>IF($A174="","", INDEX(CS!$B$1:$B$12828,MATCH($A174,CS!$B:$B,0)+COLUMN(B$1),1))</f>
        <v/>
      </c>
      <c r="AZ174" t="str">
        <f>IF($A174="","", INDEX(CS!$B$1:$B$12828,MATCH($A174,CS!$B:$B,0)+COLUMN(C$1),1))</f>
        <v/>
      </c>
      <c r="BA174" t="str">
        <f>IF($A174="","", INDEX(CS!$B$1:$B$12828,MATCH($A174,CS!$B:$B,0)+COLUMN(D$1),1))</f>
        <v/>
      </c>
      <c r="BB174" t="str">
        <f>IF($A174="","", INDEX(CS!$B$1:$B$12828,MATCH($A174,CS!$B:$B,0)+COLUMN(E$1),1))</f>
        <v/>
      </c>
      <c r="BC174" t="str">
        <f>IF($A174="","", INDEX(CS!$B$1:$B$12828,MATCH($A174,CS!$B:$B,0)+COLUMN(F$1),1))</f>
        <v/>
      </c>
      <c r="BD174" t="str">
        <f>IF($A174="","", INDEX(CS!$B$1:$B$12828,MATCH($A174,CS!$B:$B,0)+COLUMN(I$1),1))</f>
        <v/>
      </c>
      <c r="BE174" t="str">
        <f>IF($A174="","", INDEX(CS!$B$1:$B$12828,MATCH($A174,CS!$B:$B,0)+COLUMN(J$1),1))</f>
        <v/>
      </c>
      <c r="BF174" t="str">
        <f>IF($A174="","", INDEX(CS!$B$1:$B$12828,MATCH($A174,CS!$B:$B,0)+COLUMN(K$1),1))</f>
        <v/>
      </c>
      <c r="BG174" t="str">
        <f>IF($A174="","", INDEX(CS!$B$1:$B$12828,MATCH($A174,CS!$B:$B,0)+COLUMN(L$1),1))</f>
        <v/>
      </c>
    </row>
    <row r="175" spans="3:59" x14ac:dyDescent="0.4">
      <c r="C175" t="s">
        <v>194</v>
      </c>
      <c r="D175" t="str">
        <f t="shared" si="9"/>
        <v>0/0/0</v>
      </c>
      <c r="E175">
        <v>1</v>
      </c>
      <c r="AX175" t="str">
        <f>IF($A175="","", INDEX(CS!$B$1:$B$12828,MATCH($A175,CS!$B:$B,0)+COLUMN(A$1),1))</f>
        <v/>
      </c>
      <c r="AY175" t="str">
        <f>IF($A175="","", INDEX(CS!$B$1:$B$12828,MATCH($A175,CS!$B:$B,0)+COLUMN(B$1),1))</f>
        <v/>
      </c>
      <c r="AZ175" t="str">
        <f>IF($A175="","", INDEX(CS!$B$1:$B$12828,MATCH($A175,CS!$B:$B,0)+COLUMN(C$1),1))</f>
        <v/>
      </c>
      <c r="BA175" t="str">
        <f>IF($A175="","", INDEX(CS!$B$1:$B$12828,MATCH($A175,CS!$B:$B,0)+COLUMN(D$1),1))</f>
        <v/>
      </c>
      <c r="BB175" t="str">
        <f>IF($A175="","", INDEX(CS!$B$1:$B$12828,MATCH($A175,CS!$B:$B,0)+COLUMN(E$1),1))</f>
        <v/>
      </c>
      <c r="BC175" t="str">
        <f>IF($A175="","", INDEX(CS!$B$1:$B$12828,MATCH($A175,CS!$B:$B,0)+COLUMN(F$1),1))</f>
        <v/>
      </c>
      <c r="BD175" t="str">
        <f>IF($A175="","", INDEX(CS!$B$1:$B$12828,MATCH($A175,CS!$B:$B,0)+COLUMN(I$1),1))</f>
        <v/>
      </c>
      <c r="BE175" t="str">
        <f>IF($A175="","", INDEX(CS!$B$1:$B$12828,MATCH($A175,CS!$B:$B,0)+COLUMN(J$1),1))</f>
        <v/>
      </c>
      <c r="BF175" t="str">
        <f>IF($A175="","", INDEX(CS!$B$1:$B$12828,MATCH($A175,CS!$B:$B,0)+COLUMN(K$1),1))</f>
        <v/>
      </c>
      <c r="BG175" t="str">
        <f>IF($A175="","", INDEX(CS!$B$1:$B$12828,MATCH($A175,CS!$B:$B,0)+COLUMN(L$1),1))</f>
        <v/>
      </c>
    </row>
    <row r="176" spans="3:59" x14ac:dyDescent="0.4">
      <c r="C176" t="s">
        <v>194</v>
      </c>
      <c r="D176" t="str">
        <f t="shared" si="9"/>
        <v>0/0/0</v>
      </c>
      <c r="E176">
        <v>1</v>
      </c>
      <c r="AX176" t="str">
        <f>IF($A176="","", INDEX(CS!$B$1:$B$12828,MATCH($A176,CS!$B:$B,0)+COLUMN(A$1),1))</f>
        <v/>
      </c>
      <c r="AY176" t="str">
        <f>IF($A176="","", INDEX(CS!$B$1:$B$12828,MATCH($A176,CS!$B:$B,0)+COLUMN(B$1),1))</f>
        <v/>
      </c>
      <c r="AZ176" t="str">
        <f>IF($A176="","", INDEX(CS!$B$1:$B$12828,MATCH($A176,CS!$B:$B,0)+COLUMN(C$1),1))</f>
        <v/>
      </c>
      <c r="BA176" t="str">
        <f>IF($A176="","", INDEX(CS!$B$1:$B$12828,MATCH($A176,CS!$B:$B,0)+COLUMN(D$1),1))</f>
        <v/>
      </c>
      <c r="BB176" t="str">
        <f>IF($A176="","", INDEX(CS!$B$1:$B$12828,MATCH($A176,CS!$B:$B,0)+COLUMN(E$1),1))</f>
        <v/>
      </c>
      <c r="BC176" t="str">
        <f>IF($A176="","", INDEX(CS!$B$1:$B$12828,MATCH($A176,CS!$B:$B,0)+COLUMN(F$1),1))</f>
        <v/>
      </c>
      <c r="BD176" t="str">
        <f>IF($A176="","", INDEX(CS!$B$1:$B$12828,MATCH($A176,CS!$B:$B,0)+COLUMN(I$1),1))</f>
        <v/>
      </c>
      <c r="BE176" t="str">
        <f>IF($A176="","", INDEX(CS!$B$1:$B$12828,MATCH($A176,CS!$B:$B,0)+COLUMN(J$1),1))</f>
        <v/>
      </c>
      <c r="BF176" t="str">
        <f>IF($A176="","", INDEX(CS!$B$1:$B$12828,MATCH($A176,CS!$B:$B,0)+COLUMN(K$1),1))</f>
        <v/>
      </c>
      <c r="BG176" t="str">
        <f>IF($A176="","", INDEX(CS!$B$1:$B$12828,MATCH($A176,CS!$B:$B,0)+COLUMN(L$1),1))</f>
        <v/>
      </c>
    </row>
    <row r="177" spans="3:59" x14ac:dyDescent="0.4">
      <c r="C177" t="s">
        <v>194</v>
      </c>
      <c r="D177" t="str">
        <f t="shared" si="9"/>
        <v>0/0/0</v>
      </c>
      <c r="E177">
        <v>1</v>
      </c>
      <c r="AX177" t="str">
        <f>IF($A177="","", INDEX(CS!$B$1:$B$12828,MATCH($A177,CS!$B:$B,0)+COLUMN(A$1),1))</f>
        <v/>
      </c>
      <c r="AY177" t="str">
        <f>IF($A177="","", INDEX(CS!$B$1:$B$12828,MATCH($A177,CS!$B:$B,0)+COLUMN(B$1),1))</f>
        <v/>
      </c>
      <c r="AZ177" t="str">
        <f>IF($A177="","", INDEX(CS!$B$1:$B$12828,MATCH($A177,CS!$B:$B,0)+COLUMN(C$1),1))</f>
        <v/>
      </c>
      <c r="BA177" t="str">
        <f>IF($A177="","", INDEX(CS!$B$1:$B$12828,MATCH($A177,CS!$B:$B,0)+COLUMN(D$1),1))</f>
        <v/>
      </c>
      <c r="BB177" t="str">
        <f>IF($A177="","", INDEX(CS!$B$1:$B$12828,MATCH($A177,CS!$B:$B,0)+COLUMN(E$1),1))</f>
        <v/>
      </c>
      <c r="BC177" t="str">
        <f>IF($A177="","", INDEX(CS!$B$1:$B$12828,MATCH($A177,CS!$B:$B,0)+COLUMN(F$1),1))</f>
        <v/>
      </c>
      <c r="BD177" t="str">
        <f>IF($A177="","", INDEX(CS!$B$1:$B$12828,MATCH($A177,CS!$B:$B,0)+COLUMN(I$1),1))</f>
        <v/>
      </c>
      <c r="BE177" t="str">
        <f>IF($A177="","", INDEX(CS!$B$1:$B$12828,MATCH($A177,CS!$B:$B,0)+COLUMN(J$1),1))</f>
        <v/>
      </c>
      <c r="BF177" t="str">
        <f>IF($A177="","", INDEX(CS!$B$1:$B$12828,MATCH($A177,CS!$B:$B,0)+COLUMN(K$1),1))</f>
        <v/>
      </c>
      <c r="BG177" t="str">
        <f>IF($A177="","", INDEX(CS!$B$1:$B$12828,MATCH($A177,CS!$B:$B,0)+COLUMN(L$1),1))</f>
        <v/>
      </c>
    </row>
    <row r="178" spans="3:59" x14ac:dyDescent="0.4">
      <c r="C178" t="s">
        <v>194</v>
      </c>
      <c r="D178" t="str">
        <f t="shared" si="9"/>
        <v>0/0/0</v>
      </c>
      <c r="E178">
        <v>1</v>
      </c>
      <c r="AX178" t="str">
        <f>IF($A178="","", INDEX(CS!$B$1:$B$12828,MATCH($A178,CS!$B:$B,0)+COLUMN(A$1),1))</f>
        <v/>
      </c>
      <c r="AY178" t="str">
        <f>IF($A178="","", INDEX(CS!$B$1:$B$12828,MATCH($A178,CS!$B:$B,0)+COLUMN(B$1),1))</f>
        <v/>
      </c>
      <c r="AZ178" t="str">
        <f>IF($A178="","", INDEX(CS!$B$1:$B$12828,MATCH($A178,CS!$B:$B,0)+COLUMN(C$1),1))</f>
        <v/>
      </c>
      <c r="BA178" t="str">
        <f>IF($A178="","", INDEX(CS!$B$1:$B$12828,MATCH($A178,CS!$B:$B,0)+COLUMN(D$1),1))</f>
        <v/>
      </c>
      <c r="BB178" t="str">
        <f>IF($A178="","", INDEX(CS!$B$1:$B$12828,MATCH($A178,CS!$B:$B,0)+COLUMN(E$1),1))</f>
        <v/>
      </c>
      <c r="BC178" t="str">
        <f>IF($A178="","", INDEX(CS!$B$1:$B$12828,MATCH($A178,CS!$B:$B,0)+COLUMN(F$1),1))</f>
        <v/>
      </c>
      <c r="BD178" t="str">
        <f>IF($A178="","", INDEX(CS!$B$1:$B$12828,MATCH($A178,CS!$B:$B,0)+COLUMN(I$1),1))</f>
        <v/>
      </c>
      <c r="BE178" t="str">
        <f>IF($A178="","", INDEX(CS!$B$1:$B$12828,MATCH($A178,CS!$B:$B,0)+COLUMN(J$1),1))</f>
        <v/>
      </c>
      <c r="BF178" t="str">
        <f>IF($A178="","", INDEX(CS!$B$1:$B$12828,MATCH($A178,CS!$B:$B,0)+COLUMN(K$1),1))</f>
        <v/>
      </c>
      <c r="BG178" t="str">
        <f>IF($A178="","", INDEX(CS!$B$1:$B$12828,MATCH($A178,CS!$B:$B,0)+COLUMN(L$1),1))</f>
        <v/>
      </c>
    </row>
    <row r="179" spans="3:59" x14ac:dyDescent="0.4">
      <c r="C179" t="s">
        <v>194</v>
      </c>
      <c r="D179" t="str">
        <f t="shared" si="9"/>
        <v>0/0/0</v>
      </c>
      <c r="E179">
        <v>1</v>
      </c>
      <c r="AX179" t="str">
        <f>IF($A179="","", INDEX(CS!$B$1:$B$12828,MATCH($A179,CS!$B:$B,0)+COLUMN(A$1),1))</f>
        <v/>
      </c>
      <c r="AY179" t="str">
        <f>IF($A179="","", INDEX(CS!$B$1:$B$12828,MATCH($A179,CS!$B:$B,0)+COLUMN(B$1),1))</f>
        <v/>
      </c>
      <c r="AZ179" t="str">
        <f>IF($A179="","", INDEX(CS!$B$1:$B$12828,MATCH($A179,CS!$B:$B,0)+COLUMN(C$1),1))</f>
        <v/>
      </c>
      <c r="BA179" t="str">
        <f>IF($A179="","", INDEX(CS!$B$1:$B$12828,MATCH($A179,CS!$B:$B,0)+COLUMN(D$1),1))</f>
        <v/>
      </c>
      <c r="BB179" t="str">
        <f>IF($A179="","", INDEX(CS!$B$1:$B$12828,MATCH($A179,CS!$B:$B,0)+COLUMN(E$1),1))</f>
        <v/>
      </c>
      <c r="BC179" t="str">
        <f>IF($A179="","", INDEX(CS!$B$1:$B$12828,MATCH($A179,CS!$B:$B,0)+COLUMN(F$1),1))</f>
        <v/>
      </c>
      <c r="BD179" t="str">
        <f>IF($A179="","", INDEX(CS!$B$1:$B$12828,MATCH($A179,CS!$B:$B,0)+COLUMN(I$1),1))</f>
        <v/>
      </c>
      <c r="BE179" t="str">
        <f>IF($A179="","", INDEX(CS!$B$1:$B$12828,MATCH($A179,CS!$B:$B,0)+COLUMN(J$1),1))</f>
        <v/>
      </c>
      <c r="BF179" t="str">
        <f>IF($A179="","", INDEX(CS!$B$1:$B$12828,MATCH($A179,CS!$B:$B,0)+COLUMN(K$1),1))</f>
        <v/>
      </c>
      <c r="BG179" t="str">
        <f>IF($A179="","", INDEX(CS!$B$1:$B$12828,MATCH($A179,CS!$B:$B,0)+COLUMN(L$1),1))</f>
        <v/>
      </c>
    </row>
    <row r="180" spans="3:59" x14ac:dyDescent="0.4">
      <c r="C180" t="s">
        <v>194</v>
      </c>
      <c r="D180" t="str">
        <f t="shared" si="9"/>
        <v>0/0/0</v>
      </c>
      <c r="E180">
        <v>1</v>
      </c>
      <c r="AX180" t="str">
        <f>IF($A180="","", INDEX(CS!$B$1:$B$12828,MATCH($A180,CS!$B:$B,0)+COLUMN(A$1),1))</f>
        <v/>
      </c>
      <c r="AY180" t="str">
        <f>IF($A180="","", INDEX(CS!$B$1:$B$12828,MATCH($A180,CS!$B:$B,0)+COLUMN(B$1),1))</f>
        <v/>
      </c>
      <c r="AZ180" t="str">
        <f>IF($A180="","", INDEX(CS!$B$1:$B$12828,MATCH($A180,CS!$B:$B,0)+COLUMN(C$1),1))</f>
        <v/>
      </c>
      <c r="BA180" t="str">
        <f>IF($A180="","", INDEX(CS!$B$1:$B$12828,MATCH($A180,CS!$B:$B,0)+COLUMN(D$1),1))</f>
        <v/>
      </c>
      <c r="BB180" t="str">
        <f>IF($A180="","", INDEX(CS!$B$1:$B$12828,MATCH($A180,CS!$B:$B,0)+COLUMN(E$1),1))</f>
        <v/>
      </c>
      <c r="BC180" t="str">
        <f>IF($A180="","", INDEX(CS!$B$1:$B$12828,MATCH($A180,CS!$B:$B,0)+COLUMN(F$1),1))</f>
        <v/>
      </c>
      <c r="BD180" t="str">
        <f>IF($A180="","", INDEX(CS!$B$1:$B$12828,MATCH($A180,CS!$B:$B,0)+COLUMN(I$1),1))</f>
        <v/>
      </c>
      <c r="BE180" t="str">
        <f>IF($A180="","", INDEX(CS!$B$1:$B$12828,MATCH($A180,CS!$B:$B,0)+COLUMN(J$1),1))</f>
        <v/>
      </c>
      <c r="BF180" t="str">
        <f>IF($A180="","", INDEX(CS!$B$1:$B$12828,MATCH($A180,CS!$B:$B,0)+COLUMN(K$1),1))</f>
        <v/>
      </c>
      <c r="BG180" t="str">
        <f>IF($A180="","", INDEX(CS!$B$1:$B$12828,MATCH($A180,CS!$B:$B,0)+COLUMN(L$1),1))</f>
        <v/>
      </c>
    </row>
    <row r="181" spans="3:59" x14ac:dyDescent="0.4">
      <c r="C181" t="s">
        <v>194</v>
      </c>
      <c r="D181" t="str">
        <f t="shared" si="9"/>
        <v>0/0/0</v>
      </c>
      <c r="E181">
        <v>1</v>
      </c>
      <c r="AX181" t="str">
        <f>IF($A181="","", INDEX(CS!$B$1:$B$12828,MATCH($A181,CS!$B:$B,0)+COLUMN(A$1),1))</f>
        <v/>
      </c>
      <c r="AY181" t="str">
        <f>IF($A181="","", INDEX(CS!$B$1:$B$12828,MATCH($A181,CS!$B:$B,0)+COLUMN(B$1),1))</f>
        <v/>
      </c>
      <c r="AZ181" t="str">
        <f>IF($A181="","", INDEX(CS!$B$1:$B$12828,MATCH($A181,CS!$B:$B,0)+COLUMN(C$1),1))</f>
        <v/>
      </c>
      <c r="BA181" t="str">
        <f>IF($A181="","", INDEX(CS!$B$1:$B$12828,MATCH($A181,CS!$B:$B,0)+COLUMN(D$1),1))</f>
        <v/>
      </c>
      <c r="BB181" t="str">
        <f>IF($A181="","", INDEX(CS!$B$1:$B$12828,MATCH($A181,CS!$B:$B,0)+COLUMN(E$1),1))</f>
        <v/>
      </c>
      <c r="BC181" t="str">
        <f>IF($A181="","", INDEX(CS!$B$1:$B$12828,MATCH($A181,CS!$B:$B,0)+COLUMN(F$1),1))</f>
        <v/>
      </c>
      <c r="BD181" t="str">
        <f>IF($A181="","", INDEX(CS!$B$1:$B$12828,MATCH($A181,CS!$B:$B,0)+COLUMN(I$1),1))</f>
        <v/>
      </c>
      <c r="BE181" t="str">
        <f>IF($A181="","", INDEX(CS!$B$1:$B$12828,MATCH($A181,CS!$B:$B,0)+COLUMN(J$1),1))</f>
        <v/>
      </c>
      <c r="BF181" t="str">
        <f>IF($A181="","", INDEX(CS!$B$1:$B$12828,MATCH($A181,CS!$B:$B,0)+COLUMN(K$1),1))</f>
        <v/>
      </c>
      <c r="BG181" t="str">
        <f>IF($A181="","", INDEX(CS!$B$1:$B$12828,MATCH($A181,CS!$B:$B,0)+COLUMN(L$1),1))</f>
        <v/>
      </c>
    </row>
    <row r="182" spans="3:59" x14ac:dyDescent="0.4">
      <c r="C182" t="s">
        <v>194</v>
      </c>
      <c r="D182" t="str">
        <f t="shared" si="9"/>
        <v>0/0/0</v>
      </c>
      <c r="E182">
        <v>1</v>
      </c>
      <c r="AX182" t="str">
        <f>IF($A182="","", INDEX(CS!$B$1:$B$12828,MATCH($A182,CS!$B:$B,0)+COLUMN(A$1),1))</f>
        <v/>
      </c>
      <c r="AY182" t="str">
        <f>IF($A182="","", INDEX(CS!$B$1:$B$12828,MATCH($A182,CS!$B:$B,0)+COLUMN(B$1),1))</f>
        <v/>
      </c>
      <c r="AZ182" t="str">
        <f>IF($A182="","", INDEX(CS!$B$1:$B$12828,MATCH($A182,CS!$B:$B,0)+COLUMN(C$1),1))</f>
        <v/>
      </c>
      <c r="BA182" t="str">
        <f>IF($A182="","", INDEX(CS!$B$1:$B$12828,MATCH($A182,CS!$B:$B,0)+COLUMN(D$1),1))</f>
        <v/>
      </c>
      <c r="BB182" t="str">
        <f>IF($A182="","", INDEX(CS!$B$1:$B$12828,MATCH($A182,CS!$B:$B,0)+COLUMN(E$1),1))</f>
        <v/>
      </c>
      <c r="BC182" t="str">
        <f>IF($A182="","", INDEX(CS!$B$1:$B$12828,MATCH($A182,CS!$B:$B,0)+COLUMN(F$1),1))</f>
        <v/>
      </c>
      <c r="BD182" t="str">
        <f>IF($A182="","", INDEX(CS!$B$1:$B$12828,MATCH($A182,CS!$B:$B,0)+COLUMN(I$1),1))</f>
        <v/>
      </c>
      <c r="BE182" t="str">
        <f>IF($A182="","", INDEX(CS!$B$1:$B$12828,MATCH($A182,CS!$B:$B,0)+COLUMN(J$1),1))</f>
        <v/>
      </c>
      <c r="BF182" t="str">
        <f>IF($A182="","", INDEX(CS!$B$1:$B$12828,MATCH($A182,CS!$B:$B,0)+COLUMN(K$1),1))</f>
        <v/>
      </c>
      <c r="BG182" t="str">
        <f>IF($A182="","", INDEX(CS!$B$1:$B$12828,MATCH($A182,CS!$B:$B,0)+COLUMN(L$1),1))</f>
        <v/>
      </c>
    </row>
    <row r="183" spans="3:59" x14ac:dyDescent="0.4">
      <c r="C183" t="s">
        <v>194</v>
      </c>
      <c r="D183" t="str">
        <f t="shared" si="9"/>
        <v>0/0/0</v>
      </c>
      <c r="E183">
        <v>1</v>
      </c>
      <c r="AX183" t="str">
        <f>IF($A183="","", INDEX(CS!$B$1:$B$12828,MATCH($A183,CS!$B:$B,0)+COLUMN(A$1),1))</f>
        <v/>
      </c>
      <c r="AY183" t="str">
        <f>IF($A183="","", INDEX(CS!$B$1:$B$12828,MATCH($A183,CS!$B:$B,0)+COLUMN(B$1),1))</f>
        <v/>
      </c>
      <c r="AZ183" t="str">
        <f>IF($A183="","", INDEX(CS!$B$1:$B$12828,MATCH($A183,CS!$B:$B,0)+COLUMN(C$1),1))</f>
        <v/>
      </c>
      <c r="BA183" t="str">
        <f>IF($A183="","", INDEX(CS!$B$1:$B$12828,MATCH($A183,CS!$B:$B,0)+COLUMN(D$1),1))</f>
        <v/>
      </c>
      <c r="BB183" t="str">
        <f>IF($A183="","", INDEX(CS!$B$1:$B$12828,MATCH($A183,CS!$B:$B,0)+COLUMN(E$1),1))</f>
        <v/>
      </c>
      <c r="BC183" t="str">
        <f>IF($A183="","", INDEX(CS!$B$1:$B$12828,MATCH($A183,CS!$B:$B,0)+COLUMN(F$1),1))</f>
        <v/>
      </c>
      <c r="BD183" t="str">
        <f>IF($A183="","", INDEX(CS!$B$1:$B$12828,MATCH($A183,CS!$B:$B,0)+COLUMN(I$1),1))</f>
        <v/>
      </c>
      <c r="BE183" t="str">
        <f>IF($A183="","", INDEX(CS!$B$1:$B$12828,MATCH($A183,CS!$B:$B,0)+COLUMN(J$1),1))</f>
        <v/>
      </c>
      <c r="BF183" t="str">
        <f>IF($A183="","", INDEX(CS!$B$1:$B$12828,MATCH($A183,CS!$B:$B,0)+COLUMN(K$1),1))</f>
        <v/>
      </c>
      <c r="BG183" t="str">
        <f>IF($A183="","", INDEX(CS!$B$1:$B$12828,MATCH($A183,CS!$B:$B,0)+COLUMN(L$1),1))</f>
        <v/>
      </c>
    </row>
    <row r="184" spans="3:59" x14ac:dyDescent="0.4">
      <c r="C184" t="s">
        <v>194</v>
      </c>
      <c r="D184" t="str">
        <f t="shared" si="9"/>
        <v>0/0/0</v>
      </c>
      <c r="E184">
        <v>1</v>
      </c>
      <c r="AX184" t="str">
        <f>IF($A184="","", INDEX(CS!$B$1:$B$12828,MATCH($A184,CS!$B:$B,0)+COLUMN(A$1),1))</f>
        <v/>
      </c>
      <c r="AY184" t="str">
        <f>IF($A184="","", INDEX(CS!$B$1:$B$12828,MATCH($A184,CS!$B:$B,0)+COLUMN(B$1),1))</f>
        <v/>
      </c>
      <c r="AZ184" t="str">
        <f>IF($A184="","", INDEX(CS!$B$1:$B$12828,MATCH($A184,CS!$B:$B,0)+COLUMN(C$1),1))</f>
        <v/>
      </c>
      <c r="BA184" t="str">
        <f>IF($A184="","", INDEX(CS!$B$1:$B$12828,MATCH($A184,CS!$B:$B,0)+COLUMN(D$1),1))</f>
        <v/>
      </c>
      <c r="BB184" t="str">
        <f>IF($A184="","", INDEX(CS!$B$1:$B$12828,MATCH($A184,CS!$B:$B,0)+COLUMN(E$1),1))</f>
        <v/>
      </c>
      <c r="BC184" t="str">
        <f>IF($A184="","", INDEX(CS!$B$1:$B$12828,MATCH($A184,CS!$B:$B,0)+COLUMN(F$1),1))</f>
        <v/>
      </c>
      <c r="BD184" t="str">
        <f>IF($A184="","", INDEX(CS!$B$1:$B$12828,MATCH($A184,CS!$B:$B,0)+COLUMN(I$1),1))</f>
        <v/>
      </c>
      <c r="BE184" t="str">
        <f>IF($A184="","", INDEX(CS!$B$1:$B$12828,MATCH($A184,CS!$B:$B,0)+COLUMN(J$1),1))</f>
        <v/>
      </c>
      <c r="BF184" t="str">
        <f>IF($A184="","", INDEX(CS!$B$1:$B$12828,MATCH($A184,CS!$B:$B,0)+COLUMN(K$1),1))</f>
        <v/>
      </c>
      <c r="BG184" t="str">
        <f>IF($A184="","", INDEX(CS!$B$1:$B$12828,MATCH($A184,CS!$B:$B,0)+COLUMN(L$1),1))</f>
        <v/>
      </c>
    </row>
    <row r="185" spans="3:59" x14ac:dyDescent="0.4">
      <c r="C185" t="s">
        <v>194</v>
      </c>
      <c r="D185" t="str">
        <f t="shared" si="9"/>
        <v>0/0/0</v>
      </c>
      <c r="E185">
        <v>1</v>
      </c>
      <c r="AX185" t="str">
        <f>IF($A185="","", INDEX(CS!$B$1:$B$12828,MATCH($A185,CS!$B:$B,0)+COLUMN(A$1),1))</f>
        <v/>
      </c>
      <c r="AY185" t="str">
        <f>IF($A185="","", INDEX(CS!$B$1:$B$12828,MATCH($A185,CS!$B:$B,0)+COLUMN(B$1),1))</f>
        <v/>
      </c>
      <c r="AZ185" t="str">
        <f>IF($A185="","", INDEX(CS!$B$1:$B$12828,MATCH($A185,CS!$B:$B,0)+COLUMN(C$1),1))</f>
        <v/>
      </c>
      <c r="BA185" t="str">
        <f>IF($A185="","", INDEX(CS!$B$1:$B$12828,MATCH($A185,CS!$B:$B,0)+COLUMN(D$1),1))</f>
        <v/>
      </c>
      <c r="BB185" t="str">
        <f>IF($A185="","", INDEX(CS!$B$1:$B$12828,MATCH($A185,CS!$B:$B,0)+COLUMN(E$1),1))</f>
        <v/>
      </c>
      <c r="BC185" t="str">
        <f>IF($A185="","", INDEX(CS!$B$1:$B$12828,MATCH($A185,CS!$B:$B,0)+COLUMN(F$1),1))</f>
        <v/>
      </c>
      <c r="BD185" t="str">
        <f>IF($A185="","", INDEX(CS!$B$1:$B$12828,MATCH($A185,CS!$B:$B,0)+COLUMN(I$1),1))</f>
        <v/>
      </c>
      <c r="BE185" t="str">
        <f>IF($A185="","", INDEX(CS!$B$1:$B$12828,MATCH($A185,CS!$B:$B,0)+COLUMN(J$1),1))</f>
        <v/>
      </c>
      <c r="BF185" t="str">
        <f>IF($A185="","", INDEX(CS!$B$1:$B$12828,MATCH($A185,CS!$B:$B,0)+COLUMN(K$1),1))</f>
        <v/>
      </c>
      <c r="BG185" t="str">
        <f>IF($A185="","", INDEX(CS!$B$1:$B$12828,MATCH($A185,CS!$B:$B,0)+COLUMN(L$1),1))</f>
        <v/>
      </c>
    </row>
    <row r="186" spans="3:59" x14ac:dyDescent="0.4">
      <c r="C186" t="s">
        <v>194</v>
      </c>
      <c r="D186" t="str">
        <f t="shared" si="9"/>
        <v>0/0/0</v>
      </c>
      <c r="E186">
        <v>1</v>
      </c>
      <c r="AX186" t="str">
        <f>IF($A186="","", INDEX(CS!$B$1:$B$12828,MATCH($A186,CS!$B:$B,0)+COLUMN(A$1),1))</f>
        <v/>
      </c>
      <c r="AY186" t="str">
        <f>IF($A186="","", INDEX(CS!$B$1:$B$12828,MATCH($A186,CS!$B:$B,0)+COLUMN(B$1),1))</f>
        <v/>
      </c>
      <c r="AZ186" t="str">
        <f>IF($A186="","", INDEX(CS!$B$1:$B$12828,MATCH($A186,CS!$B:$B,0)+COLUMN(C$1),1))</f>
        <v/>
      </c>
      <c r="BA186" t="str">
        <f>IF($A186="","", INDEX(CS!$B$1:$B$12828,MATCH($A186,CS!$B:$B,0)+COLUMN(D$1),1))</f>
        <v/>
      </c>
      <c r="BB186" t="str">
        <f>IF($A186="","", INDEX(CS!$B$1:$B$12828,MATCH($A186,CS!$B:$B,0)+COLUMN(E$1),1))</f>
        <v/>
      </c>
      <c r="BC186" t="str">
        <f>IF($A186="","", INDEX(CS!$B$1:$B$12828,MATCH($A186,CS!$B:$B,0)+COLUMN(F$1),1))</f>
        <v/>
      </c>
      <c r="BD186" t="str">
        <f>IF($A186="","", INDEX(CS!$B$1:$B$12828,MATCH($A186,CS!$B:$B,0)+COLUMN(I$1),1))</f>
        <v/>
      </c>
      <c r="BE186" t="str">
        <f>IF($A186="","", INDEX(CS!$B$1:$B$12828,MATCH($A186,CS!$B:$B,0)+COLUMN(J$1),1))</f>
        <v/>
      </c>
      <c r="BF186" t="str">
        <f>IF($A186="","", INDEX(CS!$B$1:$B$12828,MATCH($A186,CS!$B:$B,0)+COLUMN(K$1),1))</f>
        <v/>
      </c>
      <c r="BG186" t="str">
        <f>IF($A186="","", INDEX(CS!$B$1:$B$12828,MATCH($A186,CS!$B:$B,0)+COLUMN(L$1),1))</f>
        <v/>
      </c>
    </row>
    <row r="187" spans="3:59" x14ac:dyDescent="0.4">
      <c r="C187" t="s">
        <v>194</v>
      </c>
      <c r="D187" t="str">
        <f t="shared" si="9"/>
        <v>0/0/0</v>
      </c>
      <c r="E187">
        <v>1</v>
      </c>
      <c r="AX187" t="str">
        <f>IF($A187="","", INDEX(CS!$B$1:$B$12828,MATCH($A187,CS!$B:$B,0)+COLUMN(A$1),1))</f>
        <v/>
      </c>
      <c r="AY187" t="str">
        <f>IF($A187="","", INDEX(CS!$B$1:$B$12828,MATCH($A187,CS!$B:$B,0)+COLUMN(B$1),1))</f>
        <v/>
      </c>
      <c r="AZ187" t="str">
        <f>IF($A187="","", INDEX(CS!$B$1:$B$12828,MATCH($A187,CS!$B:$B,0)+COLUMN(C$1),1))</f>
        <v/>
      </c>
      <c r="BA187" t="str">
        <f>IF($A187="","", INDEX(CS!$B$1:$B$12828,MATCH($A187,CS!$B:$B,0)+COLUMN(D$1),1))</f>
        <v/>
      </c>
      <c r="BB187" t="str">
        <f>IF($A187="","", INDEX(CS!$B$1:$B$12828,MATCH($A187,CS!$B:$B,0)+COLUMN(E$1),1))</f>
        <v/>
      </c>
      <c r="BC187" t="str">
        <f>IF($A187="","", INDEX(CS!$B$1:$B$12828,MATCH($A187,CS!$B:$B,0)+COLUMN(F$1),1))</f>
        <v/>
      </c>
      <c r="BD187" t="str">
        <f>IF($A187="","", INDEX(CS!$B$1:$B$12828,MATCH($A187,CS!$B:$B,0)+COLUMN(I$1),1))</f>
        <v/>
      </c>
      <c r="BE187" t="str">
        <f>IF($A187="","", INDEX(CS!$B$1:$B$12828,MATCH($A187,CS!$B:$B,0)+COLUMN(J$1),1))</f>
        <v/>
      </c>
      <c r="BF187" t="str">
        <f>IF($A187="","", INDEX(CS!$B$1:$B$12828,MATCH($A187,CS!$B:$B,0)+COLUMN(K$1),1))</f>
        <v/>
      </c>
      <c r="BG187" t="str">
        <f>IF($A187="","", INDEX(CS!$B$1:$B$12828,MATCH($A187,CS!$B:$B,0)+COLUMN(L$1),1))</f>
        <v/>
      </c>
    </row>
    <row r="188" spans="3:59" x14ac:dyDescent="0.4">
      <c r="C188" t="s">
        <v>194</v>
      </c>
      <c r="D188" t="str">
        <f t="shared" si="9"/>
        <v>0/0/0</v>
      </c>
      <c r="E188">
        <v>1</v>
      </c>
      <c r="AX188" t="str">
        <f>IF($A188="","", INDEX(CS!$B$1:$B$12828,MATCH($A188,CS!$B:$B,0)+COLUMN(A$1),1))</f>
        <v/>
      </c>
      <c r="AY188" t="str">
        <f>IF($A188="","", INDEX(CS!$B$1:$B$12828,MATCH($A188,CS!$B:$B,0)+COLUMN(B$1),1))</f>
        <v/>
      </c>
      <c r="AZ188" t="str">
        <f>IF($A188="","", INDEX(CS!$B$1:$B$12828,MATCH($A188,CS!$B:$B,0)+COLUMN(C$1),1))</f>
        <v/>
      </c>
      <c r="BA188" t="str">
        <f>IF($A188="","", INDEX(CS!$B$1:$B$12828,MATCH($A188,CS!$B:$B,0)+COLUMN(D$1),1))</f>
        <v/>
      </c>
      <c r="BB188" t="str">
        <f>IF($A188="","", INDEX(CS!$B$1:$B$12828,MATCH($A188,CS!$B:$B,0)+COLUMN(E$1),1))</f>
        <v/>
      </c>
      <c r="BC188" t="str">
        <f>IF($A188="","", INDEX(CS!$B$1:$B$12828,MATCH($A188,CS!$B:$B,0)+COLUMN(F$1),1))</f>
        <v/>
      </c>
      <c r="BD188" t="str">
        <f>IF($A188="","", INDEX(CS!$B$1:$B$12828,MATCH($A188,CS!$B:$B,0)+COLUMN(I$1),1))</f>
        <v/>
      </c>
      <c r="BE188" t="str">
        <f>IF($A188="","", INDEX(CS!$B$1:$B$12828,MATCH($A188,CS!$B:$B,0)+COLUMN(J$1),1))</f>
        <v/>
      </c>
      <c r="BF188" t="str">
        <f>IF($A188="","", INDEX(CS!$B$1:$B$12828,MATCH($A188,CS!$B:$B,0)+COLUMN(K$1),1))</f>
        <v/>
      </c>
      <c r="BG188" t="str">
        <f>IF($A188="","", INDEX(CS!$B$1:$B$12828,MATCH($A188,CS!$B:$B,0)+COLUMN(L$1),1))</f>
        <v/>
      </c>
    </row>
    <row r="189" spans="3:59" x14ac:dyDescent="0.4">
      <c r="C189" t="s">
        <v>194</v>
      </c>
      <c r="D189" t="str">
        <f t="shared" si="9"/>
        <v>0/0/0</v>
      </c>
      <c r="E189">
        <v>1</v>
      </c>
      <c r="AX189" t="str">
        <f>IF($A189="","", INDEX(CS!$B$1:$B$12828,MATCH($A189,CS!$B:$B,0)+COLUMN(A$1),1))</f>
        <v/>
      </c>
      <c r="AY189" t="str">
        <f>IF($A189="","", INDEX(CS!$B$1:$B$12828,MATCH($A189,CS!$B:$B,0)+COLUMN(B$1),1))</f>
        <v/>
      </c>
      <c r="AZ189" t="str">
        <f>IF($A189="","", INDEX(CS!$B$1:$B$12828,MATCH($A189,CS!$B:$B,0)+COLUMN(C$1),1))</f>
        <v/>
      </c>
      <c r="BA189" t="str">
        <f>IF($A189="","", INDEX(CS!$B$1:$B$12828,MATCH($A189,CS!$B:$B,0)+COLUMN(D$1),1))</f>
        <v/>
      </c>
      <c r="BB189" t="str">
        <f>IF($A189="","", INDEX(CS!$B$1:$B$12828,MATCH($A189,CS!$B:$B,0)+COLUMN(E$1),1))</f>
        <v/>
      </c>
      <c r="BC189" t="str">
        <f>IF($A189="","", INDEX(CS!$B$1:$B$12828,MATCH($A189,CS!$B:$B,0)+COLUMN(F$1),1))</f>
        <v/>
      </c>
      <c r="BD189" t="str">
        <f>IF($A189="","", INDEX(CS!$B$1:$B$12828,MATCH($A189,CS!$B:$B,0)+COLUMN(I$1),1))</f>
        <v/>
      </c>
      <c r="BE189" t="str">
        <f>IF($A189="","", INDEX(CS!$B$1:$B$12828,MATCH($A189,CS!$B:$B,0)+COLUMN(J$1),1))</f>
        <v/>
      </c>
      <c r="BF189" t="str">
        <f>IF($A189="","", INDEX(CS!$B$1:$B$12828,MATCH($A189,CS!$B:$B,0)+COLUMN(K$1),1))</f>
        <v/>
      </c>
      <c r="BG189" t="str">
        <f>IF($A189="","", INDEX(CS!$B$1:$B$12828,MATCH($A189,CS!$B:$B,0)+COLUMN(L$1),1))</f>
        <v/>
      </c>
    </row>
    <row r="190" spans="3:59" x14ac:dyDescent="0.4">
      <c r="C190" t="s">
        <v>194</v>
      </c>
      <c r="D190" t="str">
        <f t="shared" si="9"/>
        <v>0/0/0</v>
      </c>
      <c r="E190">
        <v>1</v>
      </c>
      <c r="AX190" t="str">
        <f>IF($A190="","", INDEX(CS!$B$1:$B$12828,MATCH($A190,CS!$B:$B,0)+COLUMN(A$1),1))</f>
        <v/>
      </c>
      <c r="AY190" t="str">
        <f>IF($A190="","", INDEX(CS!$B$1:$B$12828,MATCH($A190,CS!$B:$B,0)+COLUMN(B$1),1))</f>
        <v/>
      </c>
      <c r="AZ190" t="str">
        <f>IF($A190="","", INDEX(CS!$B$1:$B$12828,MATCH($A190,CS!$B:$B,0)+COLUMN(C$1),1))</f>
        <v/>
      </c>
      <c r="BA190" t="str">
        <f>IF($A190="","", INDEX(CS!$B$1:$B$12828,MATCH($A190,CS!$B:$B,0)+COLUMN(D$1),1))</f>
        <v/>
      </c>
      <c r="BB190" t="str">
        <f>IF($A190="","", INDEX(CS!$B$1:$B$12828,MATCH($A190,CS!$B:$B,0)+COLUMN(E$1),1))</f>
        <v/>
      </c>
      <c r="BC190" t="str">
        <f>IF($A190="","", INDEX(CS!$B$1:$B$12828,MATCH($A190,CS!$B:$B,0)+COLUMN(F$1),1))</f>
        <v/>
      </c>
      <c r="BD190" t="str">
        <f>IF($A190="","", INDEX(CS!$B$1:$B$12828,MATCH($A190,CS!$B:$B,0)+COLUMN(I$1),1))</f>
        <v/>
      </c>
      <c r="BE190" t="str">
        <f>IF($A190="","", INDEX(CS!$B$1:$B$12828,MATCH($A190,CS!$B:$B,0)+COLUMN(J$1),1))</f>
        <v/>
      </c>
      <c r="BF190" t="str">
        <f>IF($A190="","", INDEX(CS!$B$1:$B$12828,MATCH($A190,CS!$B:$B,0)+COLUMN(K$1),1))</f>
        <v/>
      </c>
      <c r="BG190" t="str">
        <f>IF($A190="","", INDEX(CS!$B$1:$B$12828,MATCH($A190,CS!$B:$B,0)+COLUMN(L$1),1))</f>
        <v/>
      </c>
    </row>
    <row r="191" spans="3:59" x14ac:dyDescent="0.4">
      <c r="C191" t="s">
        <v>194</v>
      </c>
      <c r="D191" t="str">
        <f t="shared" si="9"/>
        <v>0/0/0</v>
      </c>
      <c r="E191">
        <v>1</v>
      </c>
      <c r="AX191" t="str">
        <f>IF($A191="","", INDEX(CS!$B$1:$B$12828,MATCH($A191,CS!$B:$B,0)+COLUMN(A$1),1))</f>
        <v/>
      </c>
      <c r="AY191" t="str">
        <f>IF($A191="","", INDEX(CS!$B$1:$B$12828,MATCH($A191,CS!$B:$B,0)+COLUMN(B$1),1))</f>
        <v/>
      </c>
      <c r="AZ191" t="str">
        <f>IF($A191="","", INDEX(CS!$B$1:$B$12828,MATCH($A191,CS!$B:$B,0)+COLUMN(C$1),1))</f>
        <v/>
      </c>
      <c r="BA191" t="str">
        <f>IF($A191="","", INDEX(CS!$B$1:$B$12828,MATCH($A191,CS!$B:$B,0)+COLUMN(D$1),1))</f>
        <v/>
      </c>
      <c r="BB191" t="str">
        <f>IF($A191="","", INDEX(CS!$B$1:$B$12828,MATCH($A191,CS!$B:$B,0)+COLUMN(E$1),1))</f>
        <v/>
      </c>
      <c r="BC191" t="str">
        <f>IF($A191="","", INDEX(CS!$B$1:$B$12828,MATCH($A191,CS!$B:$B,0)+COLUMN(F$1),1))</f>
        <v/>
      </c>
      <c r="BD191" t="str">
        <f>IF($A191="","", INDEX(CS!$B$1:$B$12828,MATCH($A191,CS!$B:$B,0)+COLUMN(I$1),1))</f>
        <v/>
      </c>
      <c r="BE191" t="str">
        <f>IF($A191="","", INDEX(CS!$B$1:$B$12828,MATCH($A191,CS!$B:$B,0)+COLUMN(J$1),1))</f>
        <v/>
      </c>
      <c r="BF191" t="str">
        <f>IF($A191="","", INDEX(CS!$B$1:$B$12828,MATCH($A191,CS!$B:$B,0)+COLUMN(K$1),1))</f>
        <v/>
      </c>
      <c r="BG191" t="str">
        <f>IF($A191="","", INDEX(CS!$B$1:$B$12828,MATCH($A191,CS!$B:$B,0)+COLUMN(L$1),1))</f>
        <v/>
      </c>
    </row>
    <row r="192" spans="3:59" x14ac:dyDescent="0.4">
      <c r="C192" t="s">
        <v>194</v>
      </c>
      <c r="D192" t="str">
        <f t="shared" si="9"/>
        <v>0/0/0</v>
      </c>
      <c r="E192">
        <v>1</v>
      </c>
      <c r="AX192" t="str">
        <f>IF($A192="","", INDEX(CS!$B$1:$B$12828,MATCH($A192,CS!$B:$B,0)+COLUMN(A$1),1))</f>
        <v/>
      </c>
      <c r="AY192" t="str">
        <f>IF($A192="","", INDEX(CS!$B$1:$B$12828,MATCH($A192,CS!$B:$B,0)+COLUMN(B$1),1))</f>
        <v/>
      </c>
      <c r="AZ192" t="str">
        <f>IF($A192="","", INDEX(CS!$B$1:$B$12828,MATCH($A192,CS!$B:$B,0)+COLUMN(C$1),1))</f>
        <v/>
      </c>
      <c r="BA192" t="str">
        <f>IF($A192="","", INDEX(CS!$B$1:$B$12828,MATCH($A192,CS!$B:$B,0)+COLUMN(D$1),1))</f>
        <v/>
      </c>
      <c r="BB192" t="str">
        <f>IF($A192="","", INDEX(CS!$B$1:$B$12828,MATCH($A192,CS!$B:$B,0)+COLUMN(E$1),1))</f>
        <v/>
      </c>
      <c r="BC192" t="str">
        <f>IF($A192="","", INDEX(CS!$B$1:$B$12828,MATCH($A192,CS!$B:$B,0)+COLUMN(F$1),1))</f>
        <v/>
      </c>
      <c r="BD192" t="str">
        <f>IF($A192="","", INDEX(CS!$B$1:$B$12828,MATCH($A192,CS!$B:$B,0)+COLUMN(I$1),1))</f>
        <v/>
      </c>
      <c r="BE192" t="str">
        <f>IF($A192="","", INDEX(CS!$B$1:$B$12828,MATCH($A192,CS!$B:$B,0)+COLUMN(J$1),1))</f>
        <v/>
      </c>
      <c r="BF192" t="str">
        <f>IF($A192="","", INDEX(CS!$B$1:$B$12828,MATCH($A192,CS!$B:$B,0)+COLUMN(K$1),1))</f>
        <v/>
      </c>
      <c r="BG192" t="str">
        <f>IF($A192="","", INDEX(CS!$B$1:$B$12828,MATCH($A192,CS!$B:$B,0)+COLUMN(L$1),1))</f>
        <v/>
      </c>
    </row>
    <row r="193" spans="3:59" x14ac:dyDescent="0.4">
      <c r="C193" t="s">
        <v>194</v>
      </c>
      <c r="D193" t="str">
        <f t="shared" si="9"/>
        <v>0/0/0</v>
      </c>
      <c r="E193">
        <v>1</v>
      </c>
      <c r="AX193" t="str">
        <f>IF($A193="","", INDEX(CS!$B$1:$B$12828,MATCH($A193,CS!$B:$B,0)+COLUMN(A$1),1))</f>
        <v/>
      </c>
      <c r="AY193" t="str">
        <f>IF($A193="","", INDEX(CS!$B$1:$B$12828,MATCH($A193,CS!$B:$B,0)+COLUMN(B$1),1))</f>
        <v/>
      </c>
      <c r="AZ193" t="str">
        <f>IF($A193="","", INDEX(CS!$B$1:$B$12828,MATCH($A193,CS!$B:$B,0)+COLUMN(C$1),1))</f>
        <v/>
      </c>
      <c r="BA193" t="str">
        <f>IF($A193="","", INDEX(CS!$B$1:$B$12828,MATCH($A193,CS!$B:$B,0)+COLUMN(D$1),1))</f>
        <v/>
      </c>
      <c r="BB193" t="str">
        <f>IF($A193="","", INDEX(CS!$B$1:$B$12828,MATCH($A193,CS!$B:$B,0)+COLUMN(E$1),1))</f>
        <v/>
      </c>
      <c r="BC193" t="str">
        <f>IF($A193="","", INDEX(CS!$B$1:$B$12828,MATCH($A193,CS!$B:$B,0)+COLUMN(F$1),1))</f>
        <v/>
      </c>
      <c r="BD193" t="str">
        <f>IF($A193="","", INDEX(CS!$B$1:$B$12828,MATCH($A193,CS!$B:$B,0)+COLUMN(I$1),1))</f>
        <v/>
      </c>
      <c r="BE193" t="str">
        <f>IF($A193="","", INDEX(CS!$B$1:$B$12828,MATCH($A193,CS!$B:$B,0)+COLUMN(J$1),1))</f>
        <v/>
      </c>
      <c r="BF193" t="str">
        <f>IF($A193="","", INDEX(CS!$B$1:$B$12828,MATCH($A193,CS!$B:$B,0)+COLUMN(K$1),1))</f>
        <v/>
      </c>
      <c r="BG193" t="str">
        <f>IF($A193="","", INDEX(CS!$B$1:$B$12828,MATCH($A193,CS!$B:$B,0)+COLUMN(L$1),1))</f>
        <v/>
      </c>
    </row>
    <row r="194" spans="3:59" x14ac:dyDescent="0.4">
      <c r="C194" t="s">
        <v>194</v>
      </c>
      <c r="D194" t="str">
        <f t="shared" si="9"/>
        <v>0/0/0</v>
      </c>
      <c r="E194">
        <v>1</v>
      </c>
      <c r="AX194" t="str">
        <f>IF($A194="","", INDEX(CS!$B$1:$B$12828,MATCH($A194,CS!$B:$B,0)+COLUMN(A$1),1))</f>
        <v/>
      </c>
      <c r="AY194" t="str">
        <f>IF($A194="","", INDEX(CS!$B$1:$B$12828,MATCH($A194,CS!$B:$B,0)+COLUMN(B$1),1))</f>
        <v/>
      </c>
      <c r="AZ194" t="str">
        <f>IF($A194="","", INDEX(CS!$B$1:$B$12828,MATCH($A194,CS!$B:$B,0)+COLUMN(C$1),1))</f>
        <v/>
      </c>
      <c r="BA194" t="str">
        <f>IF($A194="","", INDEX(CS!$B$1:$B$12828,MATCH($A194,CS!$B:$B,0)+COLUMN(D$1),1))</f>
        <v/>
      </c>
      <c r="BB194" t="str">
        <f>IF($A194="","", INDEX(CS!$B$1:$B$12828,MATCH($A194,CS!$B:$B,0)+COLUMN(E$1),1))</f>
        <v/>
      </c>
      <c r="BC194" t="str">
        <f>IF($A194="","", INDEX(CS!$B$1:$B$12828,MATCH($A194,CS!$B:$B,0)+COLUMN(F$1),1))</f>
        <v/>
      </c>
      <c r="BD194" t="str">
        <f>IF($A194="","", INDEX(CS!$B$1:$B$12828,MATCH($A194,CS!$B:$B,0)+COLUMN(I$1),1))</f>
        <v/>
      </c>
      <c r="BE194" t="str">
        <f>IF($A194="","", INDEX(CS!$B$1:$B$12828,MATCH($A194,CS!$B:$B,0)+COLUMN(J$1),1))</f>
        <v/>
      </c>
      <c r="BF194" t="str">
        <f>IF($A194="","", INDEX(CS!$B$1:$B$12828,MATCH($A194,CS!$B:$B,0)+COLUMN(K$1),1))</f>
        <v/>
      </c>
      <c r="BG194" t="str">
        <f>IF($A194="","", INDEX(CS!$B$1:$B$12828,MATCH($A194,CS!$B:$B,0)+COLUMN(L$1),1))</f>
        <v/>
      </c>
    </row>
    <row r="195" spans="3:59" x14ac:dyDescent="0.4">
      <c r="C195" t="s">
        <v>194</v>
      </c>
      <c r="D195" t="str">
        <f t="shared" si="9"/>
        <v>0/0/0</v>
      </c>
      <c r="E195">
        <v>1</v>
      </c>
      <c r="AX195" t="str">
        <f>IF($A195="","", INDEX(CS!$B$1:$B$12828,MATCH($A195,CS!$B:$B,0)+COLUMN(A$1),1))</f>
        <v/>
      </c>
      <c r="AY195" t="str">
        <f>IF($A195="","", INDEX(CS!$B$1:$B$12828,MATCH($A195,CS!$B:$B,0)+COLUMN(B$1),1))</f>
        <v/>
      </c>
      <c r="AZ195" t="str">
        <f>IF($A195="","", INDEX(CS!$B$1:$B$12828,MATCH($A195,CS!$B:$B,0)+COLUMN(C$1),1))</f>
        <v/>
      </c>
      <c r="BA195" t="str">
        <f>IF($A195="","", INDEX(CS!$B$1:$B$12828,MATCH($A195,CS!$B:$B,0)+COLUMN(D$1),1))</f>
        <v/>
      </c>
      <c r="BB195" t="str">
        <f>IF($A195="","", INDEX(CS!$B$1:$B$12828,MATCH($A195,CS!$B:$B,0)+COLUMN(E$1),1))</f>
        <v/>
      </c>
      <c r="BC195" t="str">
        <f>IF($A195="","", INDEX(CS!$B$1:$B$12828,MATCH($A195,CS!$B:$B,0)+COLUMN(F$1),1))</f>
        <v/>
      </c>
      <c r="BD195" t="str">
        <f>IF($A195="","", INDEX(CS!$B$1:$B$12828,MATCH($A195,CS!$B:$B,0)+COLUMN(I$1),1))</f>
        <v/>
      </c>
      <c r="BE195" t="str">
        <f>IF($A195="","", INDEX(CS!$B$1:$B$12828,MATCH($A195,CS!$B:$B,0)+COLUMN(J$1),1))</f>
        <v/>
      </c>
      <c r="BF195" t="str">
        <f>IF($A195="","", INDEX(CS!$B$1:$B$12828,MATCH($A195,CS!$B:$B,0)+COLUMN(K$1),1))</f>
        <v/>
      </c>
      <c r="BG195" t="str">
        <f>IF($A195="","", INDEX(CS!$B$1:$B$12828,MATCH($A195,CS!$B:$B,0)+COLUMN(L$1),1))</f>
        <v/>
      </c>
    </row>
    <row r="196" spans="3:59" x14ac:dyDescent="0.4">
      <c r="C196" t="s">
        <v>194</v>
      </c>
      <c r="D196" t="str">
        <f t="shared" si="9"/>
        <v>0/0/0</v>
      </c>
      <c r="E196">
        <v>1</v>
      </c>
      <c r="AX196" t="str">
        <f>IF($A196="","", INDEX(CS!$B$1:$B$12828,MATCH($A196,CS!$B:$B,0)+COLUMN(A$1),1))</f>
        <v/>
      </c>
      <c r="AY196" t="str">
        <f>IF($A196="","", INDEX(CS!$B$1:$B$12828,MATCH($A196,CS!$B:$B,0)+COLUMN(B$1),1))</f>
        <v/>
      </c>
      <c r="AZ196" t="str">
        <f>IF($A196="","", INDEX(CS!$B$1:$B$12828,MATCH($A196,CS!$B:$B,0)+COLUMN(C$1),1))</f>
        <v/>
      </c>
      <c r="BA196" t="str">
        <f>IF($A196="","", INDEX(CS!$B$1:$B$12828,MATCH($A196,CS!$B:$B,0)+COLUMN(D$1),1))</f>
        <v/>
      </c>
      <c r="BB196" t="str">
        <f>IF($A196="","", INDEX(CS!$B$1:$B$12828,MATCH($A196,CS!$B:$B,0)+COLUMN(E$1),1))</f>
        <v/>
      </c>
      <c r="BC196" t="str">
        <f>IF($A196="","", INDEX(CS!$B$1:$B$12828,MATCH($A196,CS!$B:$B,0)+COLUMN(F$1),1))</f>
        <v/>
      </c>
      <c r="BD196" t="str">
        <f>IF($A196="","", INDEX(CS!$B$1:$B$12828,MATCH($A196,CS!$B:$B,0)+COLUMN(I$1),1))</f>
        <v/>
      </c>
      <c r="BE196" t="str">
        <f>IF($A196="","", INDEX(CS!$B$1:$B$12828,MATCH($A196,CS!$B:$B,0)+COLUMN(J$1),1))</f>
        <v/>
      </c>
      <c r="BF196" t="str">
        <f>IF($A196="","", INDEX(CS!$B$1:$B$12828,MATCH($A196,CS!$B:$B,0)+COLUMN(K$1),1))</f>
        <v/>
      </c>
      <c r="BG196" t="str">
        <f>IF($A196="","", INDEX(CS!$B$1:$B$12828,MATCH($A196,CS!$B:$B,0)+COLUMN(L$1),1))</f>
        <v/>
      </c>
    </row>
    <row r="197" spans="3:59" x14ac:dyDescent="0.4">
      <c r="C197" t="s">
        <v>194</v>
      </c>
      <c r="D197" t="str">
        <f t="shared" si="9"/>
        <v>0/0/0</v>
      </c>
      <c r="E197">
        <v>1</v>
      </c>
      <c r="AX197" t="str">
        <f>IF($A197="","", INDEX(CS!$B$1:$B$12828,MATCH($A197,CS!$B:$B,0)+COLUMN(A$1),1))</f>
        <v/>
      </c>
      <c r="AY197" t="str">
        <f>IF($A197="","", INDEX(CS!$B$1:$B$12828,MATCH($A197,CS!$B:$B,0)+COLUMN(B$1),1))</f>
        <v/>
      </c>
      <c r="AZ197" t="str">
        <f>IF($A197="","", INDEX(CS!$B$1:$B$12828,MATCH($A197,CS!$B:$B,0)+COLUMN(C$1),1))</f>
        <v/>
      </c>
      <c r="BA197" t="str">
        <f>IF($A197="","", INDEX(CS!$B$1:$B$12828,MATCH($A197,CS!$B:$B,0)+COLUMN(D$1),1))</f>
        <v/>
      </c>
      <c r="BB197" t="str">
        <f>IF($A197="","", INDEX(CS!$B$1:$B$12828,MATCH($A197,CS!$B:$B,0)+COLUMN(E$1),1))</f>
        <v/>
      </c>
      <c r="BC197" t="str">
        <f>IF($A197="","", INDEX(CS!$B$1:$B$12828,MATCH($A197,CS!$B:$B,0)+COLUMN(F$1),1))</f>
        <v/>
      </c>
      <c r="BD197" t="str">
        <f>IF($A197="","", INDEX(CS!$B$1:$B$12828,MATCH($A197,CS!$B:$B,0)+COLUMN(I$1),1))</f>
        <v/>
      </c>
      <c r="BE197" t="str">
        <f>IF($A197="","", INDEX(CS!$B$1:$B$12828,MATCH($A197,CS!$B:$B,0)+COLUMN(J$1),1))</f>
        <v/>
      </c>
      <c r="BF197" t="str">
        <f>IF($A197="","", INDEX(CS!$B$1:$B$12828,MATCH($A197,CS!$B:$B,0)+COLUMN(K$1),1))</f>
        <v/>
      </c>
      <c r="BG197" t="str">
        <f>IF($A197="","", INDEX(CS!$B$1:$B$12828,MATCH($A197,CS!$B:$B,0)+COLUMN(L$1),1))</f>
        <v/>
      </c>
    </row>
    <row r="198" spans="3:59" x14ac:dyDescent="0.4">
      <c r="C198" t="s">
        <v>194</v>
      </c>
      <c r="D198" t="str">
        <f t="shared" si="9"/>
        <v>0/0/0</v>
      </c>
      <c r="E198">
        <v>1</v>
      </c>
      <c r="AX198" t="str">
        <f>IF($A198="","", INDEX(CS!$B$1:$B$12828,MATCH($A198,CS!$B:$B,0)+COLUMN(A$1),1))</f>
        <v/>
      </c>
      <c r="AY198" t="str">
        <f>IF($A198="","", INDEX(CS!$B$1:$B$12828,MATCH($A198,CS!$B:$B,0)+COLUMN(B$1),1))</f>
        <v/>
      </c>
      <c r="AZ198" t="str">
        <f>IF($A198="","", INDEX(CS!$B$1:$B$12828,MATCH($A198,CS!$B:$B,0)+COLUMN(C$1),1))</f>
        <v/>
      </c>
      <c r="BA198" t="str">
        <f>IF($A198="","", INDEX(CS!$B$1:$B$12828,MATCH($A198,CS!$B:$B,0)+COLUMN(D$1),1))</f>
        <v/>
      </c>
      <c r="BB198" t="str">
        <f>IF($A198="","", INDEX(CS!$B$1:$B$12828,MATCH($A198,CS!$B:$B,0)+COLUMN(E$1),1))</f>
        <v/>
      </c>
      <c r="BC198" t="str">
        <f>IF($A198="","", INDEX(CS!$B$1:$B$12828,MATCH($A198,CS!$B:$B,0)+COLUMN(F$1),1))</f>
        <v/>
      </c>
      <c r="BD198" t="str">
        <f>IF($A198="","", INDEX(CS!$B$1:$B$12828,MATCH($A198,CS!$B:$B,0)+COLUMN(I$1),1))</f>
        <v/>
      </c>
      <c r="BE198" t="str">
        <f>IF($A198="","", INDEX(CS!$B$1:$B$12828,MATCH($A198,CS!$B:$B,0)+COLUMN(J$1),1))</f>
        <v/>
      </c>
      <c r="BF198" t="str">
        <f>IF($A198="","", INDEX(CS!$B$1:$B$12828,MATCH($A198,CS!$B:$B,0)+COLUMN(K$1),1))</f>
        <v/>
      </c>
      <c r="BG198" t="str">
        <f>IF($A198="","", INDEX(CS!$B$1:$B$12828,MATCH($A198,CS!$B:$B,0)+COLUMN(L$1),1))</f>
        <v/>
      </c>
    </row>
    <row r="199" spans="3:59" x14ac:dyDescent="0.4">
      <c r="C199" t="s">
        <v>194</v>
      </c>
      <c r="D199" t="str">
        <f t="shared" si="9"/>
        <v>0/0/0</v>
      </c>
      <c r="E199">
        <v>1</v>
      </c>
      <c r="AX199" t="str">
        <f>IF($A199="","", INDEX(CS!$B$1:$B$12828,MATCH($A199,CS!$B:$B,0)+COLUMN(A$1),1))</f>
        <v/>
      </c>
      <c r="AY199" t="str">
        <f>IF($A199="","", INDEX(CS!$B$1:$B$12828,MATCH($A199,CS!$B:$B,0)+COLUMN(B$1),1))</f>
        <v/>
      </c>
      <c r="AZ199" t="str">
        <f>IF($A199="","", INDEX(CS!$B$1:$B$12828,MATCH($A199,CS!$B:$B,0)+COLUMN(C$1),1))</f>
        <v/>
      </c>
      <c r="BA199" t="str">
        <f>IF($A199="","", INDEX(CS!$B$1:$B$12828,MATCH($A199,CS!$B:$B,0)+COLUMN(D$1),1))</f>
        <v/>
      </c>
      <c r="BB199" t="str">
        <f>IF($A199="","", INDEX(CS!$B$1:$B$12828,MATCH($A199,CS!$B:$B,0)+COLUMN(E$1),1))</f>
        <v/>
      </c>
      <c r="BC199" t="str">
        <f>IF($A199="","", INDEX(CS!$B$1:$B$12828,MATCH($A199,CS!$B:$B,0)+COLUMN(F$1),1))</f>
        <v/>
      </c>
      <c r="BD199" t="str">
        <f>IF($A199="","", INDEX(CS!$B$1:$B$12828,MATCH($A199,CS!$B:$B,0)+COLUMN(I$1),1))</f>
        <v/>
      </c>
      <c r="BE199" t="str">
        <f>IF($A199="","", INDEX(CS!$B$1:$B$12828,MATCH($A199,CS!$B:$B,0)+COLUMN(J$1),1))</f>
        <v/>
      </c>
      <c r="BF199" t="str">
        <f>IF($A199="","", INDEX(CS!$B$1:$B$12828,MATCH($A199,CS!$B:$B,0)+COLUMN(K$1),1))</f>
        <v/>
      </c>
      <c r="BG199" t="str">
        <f>IF($A199="","", INDEX(CS!$B$1:$B$12828,MATCH($A199,CS!$B:$B,0)+COLUMN(L$1),1))</f>
        <v/>
      </c>
    </row>
    <row r="200" spans="3:59" x14ac:dyDescent="0.4">
      <c r="C200" t="s">
        <v>194</v>
      </c>
      <c r="D200" t="str">
        <f t="shared" si="9"/>
        <v>0/0/0</v>
      </c>
      <c r="E200">
        <v>1</v>
      </c>
      <c r="AX200" t="str">
        <f>IF($A200="","", INDEX(CS!$B$1:$B$12828,MATCH($A200,CS!$B:$B,0)+COLUMN(A$1),1))</f>
        <v/>
      </c>
      <c r="AY200" t="str">
        <f>IF($A200="","", INDEX(CS!$B$1:$B$12828,MATCH($A200,CS!$B:$B,0)+COLUMN(B$1),1))</f>
        <v/>
      </c>
      <c r="AZ200" t="str">
        <f>IF($A200="","", INDEX(CS!$B$1:$B$12828,MATCH($A200,CS!$B:$B,0)+COLUMN(C$1),1))</f>
        <v/>
      </c>
      <c r="BA200" t="str">
        <f>IF($A200="","", INDEX(CS!$B$1:$B$12828,MATCH($A200,CS!$B:$B,0)+COLUMN(D$1),1))</f>
        <v/>
      </c>
      <c r="BB200" t="str">
        <f>IF($A200="","", INDEX(CS!$B$1:$B$12828,MATCH($A200,CS!$B:$B,0)+COLUMN(E$1),1))</f>
        <v/>
      </c>
      <c r="BC200" t="str">
        <f>IF($A200="","", INDEX(CS!$B$1:$B$12828,MATCH($A200,CS!$B:$B,0)+COLUMN(F$1),1))</f>
        <v/>
      </c>
      <c r="BD200" t="str">
        <f>IF($A200="","", INDEX(CS!$B$1:$B$12828,MATCH($A200,CS!$B:$B,0)+COLUMN(I$1),1))</f>
        <v/>
      </c>
      <c r="BE200" t="str">
        <f>IF($A200="","", INDEX(CS!$B$1:$B$12828,MATCH($A200,CS!$B:$B,0)+COLUMN(J$1),1))</f>
        <v/>
      </c>
      <c r="BF200" t="str">
        <f>IF($A200="","", INDEX(CS!$B$1:$B$12828,MATCH($A200,CS!$B:$B,0)+COLUMN(K$1),1))</f>
        <v/>
      </c>
      <c r="BG200" t="str">
        <f>IF($A200="","", INDEX(CS!$B$1:$B$12828,MATCH($A200,CS!$B:$B,0)+COLUMN(L$1),1))</f>
        <v/>
      </c>
    </row>
    <row r="201" spans="3:59" x14ac:dyDescent="0.4">
      <c r="C201" t="s">
        <v>194</v>
      </c>
      <c r="D201" t="str">
        <f t="shared" si="9"/>
        <v>0/0/0</v>
      </c>
      <c r="E201">
        <v>1</v>
      </c>
      <c r="AX201" t="str">
        <f>IF($A201="","", INDEX(CS!$B$1:$B$12828,MATCH($A201,CS!$B:$B,0)+COLUMN(A$1),1))</f>
        <v/>
      </c>
      <c r="AY201" t="str">
        <f>IF($A201="","", INDEX(CS!$B$1:$B$12828,MATCH($A201,CS!$B:$B,0)+COLUMN(B$1),1))</f>
        <v/>
      </c>
      <c r="AZ201" t="str">
        <f>IF($A201="","", INDEX(CS!$B$1:$B$12828,MATCH($A201,CS!$B:$B,0)+COLUMN(C$1),1))</f>
        <v/>
      </c>
      <c r="BA201" t="str">
        <f>IF($A201="","", INDEX(CS!$B$1:$B$12828,MATCH($A201,CS!$B:$B,0)+COLUMN(D$1),1))</f>
        <v/>
      </c>
      <c r="BB201" t="str">
        <f>IF($A201="","", INDEX(CS!$B$1:$B$12828,MATCH($A201,CS!$B:$B,0)+COLUMN(E$1),1))</f>
        <v/>
      </c>
      <c r="BC201" t="str">
        <f>IF($A201="","", INDEX(CS!$B$1:$B$12828,MATCH($A201,CS!$B:$B,0)+COLUMN(F$1),1))</f>
        <v/>
      </c>
      <c r="BD201" t="str">
        <f>IF($A201="","", INDEX(CS!$B$1:$B$12828,MATCH($A201,CS!$B:$B,0)+COLUMN(I$1),1))</f>
        <v/>
      </c>
      <c r="BE201" t="str">
        <f>IF($A201="","", INDEX(CS!$B$1:$B$12828,MATCH($A201,CS!$B:$B,0)+COLUMN(J$1),1))</f>
        <v/>
      </c>
      <c r="BF201" t="str">
        <f>IF($A201="","", INDEX(CS!$B$1:$B$12828,MATCH($A201,CS!$B:$B,0)+COLUMN(K$1),1))</f>
        <v/>
      </c>
      <c r="BG201" t="str">
        <f>IF($A201="","", INDEX(CS!$B$1:$B$12828,MATCH($A201,CS!$B:$B,0)+COLUMN(L$1),1))</f>
        <v/>
      </c>
    </row>
    <row r="202" spans="3:59" x14ac:dyDescent="0.4">
      <c r="C202" t="s">
        <v>194</v>
      </c>
      <c r="D202" t="str">
        <f t="shared" si="9"/>
        <v>0/0/0</v>
      </c>
      <c r="E202">
        <v>1</v>
      </c>
      <c r="AX202" t="str">
        <f>IF($A202="","", INDEX(CS!$B$1:$B$12828,MATCH($A202,CS!$B:$B,0)+COLUMN(A$1),1))</f>
        <v/>
      </c>
      <c r="AY202" t="str">
        <f>IF($A202="","", INDEX(CS!$B$1:$B$12828,MATCH($A202,CS!$B:$B,0)+COLUMN(B$1),1))</f>
        <v/>
      </c>
      <c r="AZ202" t="str">
        <f>IF($A202="","", INDEX(CS!$B$1:$B$12828,MATCH($A202,CS!$B:$B,0)+COLUMN(C$1),1))</f>
        <v/>
      </c>
      <c r="BA202" t="str">
        <f>IF($A202="","", INDEX(CS!$B$1:$B$12828,MATCH($A202,CS!$B:$B,0)+COLUMN(D$1),1))</f>
        <v/>
      </c>
      <c r="BB202" t="str">
        <f>IF($A202="","", INDEX(CS!$B$1:$B$12828,MATCH($A202,CS!$B:$B,0)+COLUMN(E$1),1))</f>
        <v/>
      </c>
      <c r="BC202" t="str">
        <f>IF($A202="","", INDEX(CS!$B$1:$B$12828,MATCH($A202,CS!$B:$B,0)+COLUMN(F$1),1))</f>
        <v/>
      </c>
      <c r="BD202" t="str">
        <f>IF($A202="","", INDEX(CS!$B$1:$B$12828,MATCH($A202,CS!$B:$B,0)+COLUMN(I$1),1))</f>
        <v/>
      </c>
      <c r="BE202" t="str">
        <f>IF($A202="","", INDEX(CS!$B$1:$B$12828,MATCH($A202,CS!$B:$B,0)+COLUMN(J$1),1))</f>
        <v/>
      </c>
      <c r="BF202" t="str">
        <f>IF($A202="","", INDEX(CS!$B$1:$B$12828,MATCH($A202,CS!$B:$B,0)+COLUMN(K$1),1))</f>
        <v/>
      </c>
      <c r="BG202" t="str">
        <f>IF($A202="","", INDEX(CS!$B$1:$B$12828,MATCH($A202,CS!$B:$B,0)+COLUMN(L$1),1))</f>
        <v/>
      </c>
    </row>
    <row r="203" spans="3:59" x14ac:dyDescent="0.4">
      <c r="C203" t="s">
        <v>194</v>
      </c>
      <c r="D203" t="str">
        <f t="shared" si="9"/>
        <v>0/0/0</v>
      </c>
      <c r="E203">
        <v>1</v>
      </c>
      <c r="AX203" t="str">
        <f>IF($A203="","", INDEX(CS!$B$1:$B$12828,MATCH($A203,CS!$B:$B,0)+COLUMN(A$1),1))</f>
        <v/>
      </c>
      <c r="AY203" t="str">
        <f>IF($A203="","", INDEX(CS!$B$1:$B$12828,MATCH($A203,CS!$B:$B,0)+COLUMN(B$1),1))</f>
        <v/>
      </c>
      <c r="AZ203" t="str">
        <f>IF($A203="","", INDEX(CS!$B$1:$B$12828,MATCH($A203,CS!$B:$B,0)+COLUMN(C$1),1))</f>
        <v/>
      </c>
      <c r="BA203" t="str">
        <f>IF($A203="","", INDEX(CS!$B$1:$B$12828,MATCH($A203,CS!$B:$B,0)+COLUMN(D$1),1))</f>
        <v/>
      </c>
      <c r="BB203" t="str">
        <f>IF($A203="","", INDEX(CS!$B$1:$B$12828,MATCH($A203,CS!$B:$B,0)+COLUMN(E$1),1))</f>
        <v/>
      </c>
      <c r="BC203" t="str">
        <f>IF($A203="","", INDEX(CS!$B$1:$B$12828,MATCH($A203,CS!$B:$B,0)+COLUMN(F$1),1))</f>
        <v/>
      </c>
      <c r="BD203" t="str">
        <f>IF($A203="","", INDEX(CS!$B$1:$B$12828,MATCH($A203,CS!$B:$B,0)+COLUMN(I$1),1))</f>
        <v/>
      </c>
      <c r="BE203" t="str">
        <f>IF($A203="","", INDEX(CS!$B$1:$B$12828,MATCH($A203,CS!$B:$B,0)+COLUMN(J$1),1))</f>
        <v/>
      </c>
      <c r="BF203" t="str">
        <f>IF($A203="","", INDEX(CS!$B$1:$B$12828,MATCH($A203,CS!$B:$B,0)+COLUMN(K$1),1))</f>
        <v/>
      </c>
      <c r="BG203" t="str">
        <f>IF($A203="","", INDEX(CS!$B$1:$B$12828,MATCH($A203,CS!$B:$B,0)+COLUMN(L$1),1))</f>
        <v/>
      </c>
    </row>
    <row r="204" spans="3:59" x14ac:dyDescent="0.4">
      <c r="C204" t="s">
        <v>194</v>
      </c>
      <c r="D204" t="str">
        <f t="shared" si="9"/>
        <v>0/0/0</v>
      </c>
      <c r="E204">
        <v>1</v>
      </c>
      <c r="AX204" t="str">
        <f>IF($A204="","", INDEX(CS!$B$1:$B$12828,MATCH($A204,CS!$B:$B,0)+COLUMN(A$1),1))</f>
        <v/>
      </c>
      <c r="AY204" t="str">
        <f>IF($A204="","", INDEX(CS!$B$1:$B$12828,MATCH($A204,CS!$B:$B,0)+COLUMN(B$1),1))</f>
        <v/>
      </c>
      <c r="AZ204" t="str">
        <f>IF($A204="","", INDEX(CS!$B$1:$B$12828,MATCH($A204,CS!$B:$B,0)+COLUMN(C$1),1))</f>
        <v/>
      </c>
      <c r="BA204" t="str">
        <f>IF($A204="","", INDEX(CS!$B$1:$B$12828,MATCH($A204,CS!$B:$B,0)+COLUMN(D$1),1))</f>
        <v/>
      </c>
      <c r="BB204" t="str">
        <f>IF($A204="","", INDEX(CS!$B$1:$B$12828,MATCH($A204,CS!$B:$B,0)+COLUMN(E$1),1))</f>
        <v/>
      </c>
      <c r="BC204" t="str">
        <f>IF($A204="","", INDEX(CS!$B$1:$B$12828,MATCH($A204,CS!$B:$B,0)+COLUMN(F$1),1))</f>
        <v/>
      </c>
      <c r="BD204" t="str">
        <f>IF($A204="","", INDEX(CS!$B$1:$B$12828,MATCH($A204,CS!$B:$B,0)+COLUMN(I$1),1))</f>
        <v/>
      </c>
      <c r="BE204" t="str">
        <f>IF($A204="","", INDEX(CS!$B$1:$B$12828,MATCH($A204,CS!$B:$B,0)+COLUMN(J$1),1))</f>
        <v/>
      </c>
      <c r="BF204" t="str">
        <f>IF($A204="","", INDEX(CS!$B$1:$B$12828,MATCH($A204,CS!$B:$B,0)+COLUMN(K$1),1))</f>
        <v/>
      </c>
      <c r="BG204" t="str">
        <f>IF($A204="","", INDEX(CS!$B$1:$B$12828,MATCH($A204,CS!$B:$B,0)+COLUMN(L$1),1))</f>
        <v/>
      </c>
    </row>
    <row r="205" spans="3:59" x14ac:dyDescent="0.4">
      <c r="C205" t="s">
        <v>194</v>
      </c>
      <c r="D205" t="str">
        <f t="shared" si="9"/>
        <v>0/0/0</v>
      </c>
      <c r="E205">
        <v>1</v>
      </c>
      <c r="AX205" t="str">
        <f>IF($A205="","", INDEX(CS!$B$1:$B$12828,MATCH($A205,CS!$B:$B,0)+COLUMN(A$1),1))</f>
        <v/>
      </c>
      <c r="AY205" t="str">
        <f>IF($A205="","", INDEX(CS!$B$1:$B$12828,MATCH($A205,CS!$B:$B,0)+COLUMN(B$1),1))</f>
        <v/>
      </c>
      <c r="AZ205" t="str">
        <f>IF($A205="","", INDEX(CS!$B$1:$B$12828,MATCH($A205,CS!$B:$B,0)+COLUMN(C$1),1))</f>
        <v/>
      </c>
      <c r="BA205" t="str">
        <f>IF($A205="","", INDEX(CS!$B$1:$B$12828,MATCH($A205,CS!$B:$B,0)+COLUMN(D$1),1))</f>
        <v/>
      </c>
      <c r="BB205" t="str">
        <f>IF($A205="","", INDEX(CS!$B$1:$B$12828,MATCH($A205,CS!$B:$B,0)+COLUMN(E$1),1))</f>
        <v/>
      </c>
      <c r="BC205" t="str">
        <f>IF($A205="","", INDEX(CS!$B$1:$B$12828,MATCH($A205,CS!$B:$B,0)+COLUMN(F$1),1))</f>
        <v/>
      </c>
      <c r="BD205" t="str">
        <f>IF($A205="","", INDEX(CS!$B$1:$B$12828,MATCH($A205,CS!$B:$B,0)+COLUMN(I$1),1))</f>
        <v/>
      </c>
      <c r="BE205" t="str">
        <f>IF($A205="","", INDEX(CS!$B$1:$B$12828,MATCH($A205,CS!$B:$B,0)+COLUMN(J$1),1))</f>
        <v/>
      </c>
      <c r="BF205" t="str">
        <f>IF($A205="","", INDEX(CS!$B$1:$B$12828,MATCH($A205,CS!$B:$B,0)+COLUMN(K$1),1))</f>
        <v/>
      </c>
      <c r="BG205" t="str">
        <f>IF($A205="","", INDEX(CS!$B$1:$B$12828,MATCH($A205,CS!$B:$B,0)+COLUMN(L$1),1))</f>
        <v/>
      </c>
    </row>
    <row r="206" spans="3:59" x14ac:dyDescent="0.4">
      <c r="C206" t="s">
        <v>194</v>
      </c>
      <c r="D206" t="str">
        <f t="shared" si="9"/>
        <v>0/0/0</v>
      </c>
      <c r="E206">
        <v>1</v>
      </c>
      <c r="AX206" t="str">
        <f>IF($A206="","", INDEX(CS!$B$1:$B$12828,MATCH($A206,CS!$B:$B,0)+COLUMN(A$1),1))</f>
        <v/>
      </c>
      <c r="AY206" t="str">
        <f>IF($A206="","", INDEX(CS!$B$1:$B$12828,MATCH($A206,CS!$B:$B,0)+COLUMN(B$1),1))</f>
        <v/>
      </c>
      <c r="AZ206" t="str">
        <f>IF($A206="","", INDEX(CS!$B$1:$B$12828,MATCH($A206,CS!$B:$B,0)+COLUMN(C$1),1))</f>
        <v/>
      </c>
      <c r="BA206" t="str">
        <f>IF($A206="","", INDEX(CS!$B$1:$B$12828,MATCH($A206,CS!$B:$B,0)+COLUMN(D$1),1))</f>
        <v/>
      </c>
      <c r="BB206" t="str">
        <f>IF($A206="","", INDEX(CS!$B$1:$B$12828,MATCH($A206,CS!$B:$B,0)+COLUMN(E$1),1))</f>
        <v/>
      </c>
      <c r="BC206" t="str">
        <f>IF($A206="","", INDEX(CS!$B$1:$B$12828,MATCH($A206,CS!$B:$B,0)+COLUMN(F$1),1))</f>
        <v/>
      </c>
      <c r="BD206" t="str">
        <f>IF($A206="","", INDEX(CS!$B$1:$B$12828,MATCH($A206,CS!$B:$B,0)+COLUMN(I$1),1))</f>
        <v/>
      </c>
      <c r="BE206" t="str">
        <f>IF($A206="","", INDEX(CS!$B$1:$B$12828,MATCH($A206,CS!$B:$B,0)+COLUMN(J$1),1))</f>
        <v/>
      </c>
      <c r="BF206" t="str">
        <f>IF($A206="","", INDEX(CS!$B$1:$B$12828,MATCH($A206,CS!$B:$B,0)+COLUMN(K$1),1))</f>
        <v/>
      </c>
      <c r="BG206" t="str">
        <f>IF($A206="","", INDEX(CS!$B$1:$B$12828,MATCH($A206,CS!$B:$B,0)+COLUMN(L$1),1))</f>
        <v/>
      </c>
    </row>
    <row r="207" spans="3:59" x14ac:dyDescent="0.4">
      <c r="C207" t="s">
        <v>194</v>
      </c>
      <c r="D207" t="str">
        <f t="shared" si="9"/>
        <v>0/0/0</v>
      </c>
      <c r="E207">
        <v>1</v>
      </c>
      <c r="AX207" t="str">
        <f>IF($A207="","", INDEX(CS!$B$1:$B$12828,MATCH($A207,CS!$B:$B,0)+COLUMN(A$1),1))</f>
        <v/>
      </c>
      <c r="AY207" t="str">
        <f>IF($A207="","", INDEX(CS!$B$1:$B$12828,MATCH($A207,CS!$B:$B,0)+COLUMN(B$1),1))</f>
        <v/>
      </c>
      <c r="AZ207" t="str">
        <f>IF($A207="","", INDEX(CS!$B$1:$B$12828,MATCH($A207,CS!$B:$B,0)+COLUMN(C$1),1))</f>
        <v/>
      </c>
      <c r="BA207" t="str">
        <f>IF($A207="","", INDEX(CS!$B$1:$B$12828,MATCH($A207,CS!$B:$B,0)+COLUMN(D$1),1))</f>
        <v/>
      </c>
      <c r="BB207" t="str">
        <f>IF($A207="","", INDEX(CS!$B$1:$B$12828,MATCH($A207,CS!$B:$B,0)+COLUMN(E$1),1))</f>
        <v/>
      </c>
      <c r="BC207" t="str">
        <f>IF($A207="","", INDEX(CS!$B$1:$B$12828,MATCH($A207,CS!$B:$B,0)+COLUMN(F$1),1))</f>
        <v/>
      </c>
      <c r="BD207" t="str">
        <f>IF($A207="","", INDEX(CS!$B$1:$B$12828,MATCH($A207,CS!$B:$B,0)+COLUMN(I$1),1))</f>
        <v/>
      </c>
      <c r="BE207" t="str">
        <f>IF($A207="","", INDEX(CS!$B$1:$B$12828,MATCH($A207,CS!$B:$B,0)+COLUMN(J$1),1))</f>
        <v/>
      </c>
      <c r="BF207" t="str">
        <f>IF($A207="","", INDEX(CS!$B$1:$B$12828,MATCH($A207,CS!$B:$B,0)+COLUMN(K$1),1))</f>
        <v/>
      </c>
      <c r="BG207" t="str">
        <f>IF($A207="","", INDEX(CS!$B$1:$B$12828,MATCH($A207,CS!$B:$B,0)+COLUMN(L$1),1))</f>
        <v/>
      </c>
    </row>
    <row r="208" spans="3:59" x14ac:dyDescent="0.4">
      <c r="C208" t="s">
        <v>194</v>
      </c>
      <c r="D208" t="str">
        <f t="shared" si="9"/>
        <v>0/0/0</v>
      </c>
      <c r="E208">
        <v>1</v>
      </c>
      <c r="AX208" t="str">
        <f>IF($A208="","", INDEX(CS!$B$1:$B$12828,MATCH($A208,CS!$B:$B,0)+COLUMN(A$1),1))</f>
        <v/>
      </c>
      <c r="AY208" t="str">
        <f>IF($A208="","", INDEX(CS!$B$1:$B$12828,MATCH($A208,CS!$B:$B,0)+COLUMN(B$1),1))</f>
        <v/>
      </c>
      <c r="AZ208" t="str">
        <f>IF($A208="","", INDEX(CS!$B$1:$B$12828,MATCH($A208,CS!$B:$B,0)+COLUMN(C$1),1))</f>
        <v/>
      </c>
      <c r="BA208" t="str">
        <f>IF($A208="","", INDEX(CS!$B$1:$B$12828,MATCH($A208,CS!$B:$B,0)+COLUMN(D$1),1))</f>
        <v/>
      </c>
      <c r="BB208" t="str">
        <f>IF($A208="","", INDEX(CS!$B$1:$B$12828,MATCH($A208,CS!$B:$B,0)+COLUMN(E$1),1))</f>
        <v/>
      </c>
      <c r="BC208" t="str">
        <f>IF($A208="","", INDEX(CS!$B$1:$B$12828,MATCH($A208,CS!$B:$B,0)+COLUMN(F$1),1))</f>
        <v/>
      </c>
      <c r="BD208" t="str">
        <f>IF($A208="","", INDEX(CS!$B$1:$B$12828,MATCH($A208,CS!$B:$B,0)+COLUMN(I$1),1))</f>
        <v/>
      </c>
      <c r="BE208" t="str">
        <f>IF($A208="","", INDEX(CS!$B$1:$B$12828,MATCH($A208,CS!$B:$B,0)+COLUMN(J$1),1))</f>
        <v/>
      </c>
      <c r="BF208" t="str">
        <f>IF($A208="","", INDEX(CS!$B$1:$B$12828,MATCH($A208,CS!$B:$B,0)+COLUMN(K$1),1))</f>
        <v/>
      </c>
      <c r="BG208" t="str">
        <f>IF($A208="","", INDEX(CS!$B$1:$B$12828,MATCH($A208,CS!$B:$B,0)+COLUMN(L$1),1))</f>
        <v/>
      </c>
    </row>
    <row r="209" spans="3:59" x14ac:dyDescent="0.4">
      <c r="C209" t="s">
        <v>194</v>
      </c>
      <c r="D209" t="str">
        <f t="shared" si="9"/>
        <v>0/0/0</v>
      </c>
      <c r="E209">
        <v>1</v>
      </c>
      <c r="AX209" t="str">
        <f>IF($A209="","", INDEX(CS!$B$1:$B$12828,MATCH($A209,CS!$B:$B,0)+COLUMN(A$1),1))</f>
        <v/>
      </c>
      <c r="AY209" t="str">
        <f>IF($A209="","", INDEX(CS!$B$1:$B$12828,MATCH($A209,CS!$B:$B,0)+COLUMN(B$1),1))</f>
        <v/>
      </c>
      <c r="AZ209" t="str">
        <f>IF($A209="","", INDEX(CS!$B$1:$B$12828,MATCH($A209,CS!$B:$B,0)+COLUMN(C$1),1))</f>
        <v/>
      </c>
      <c r="BA209" t="str">
        <f>IF($A209="","", INDEX(CS!$B$1:$B$12828,MATCH($A209,CS!$B:$B,0)+COLUMN(D$1),1))</f>
        <v/>
      </c>
      <c r="BB209" t="str">
        <f>IF($A209="","", INDEX(CS!$B$1:$B$12828,MATCH($A209,CS!$B:$B,0)+COLUMN(E$1),1))</f>
        <v/>
      </c>
      <c r="BC209" t="str">
        <f>IF($A209="","", INDEX(CS!$B$1:$B$12828,MATCH($A209,CS!$B:$B,0)+COLUMN(F$1),1))</f>
        <v/>
      </c>
      <c r="BD209" t="str">
        <f>IF($A209="","", INDEX(CS!$B$1:$B$12828,MATCH($A209,CS!$B:$B,0)+COLUMN(I$1),1))</f>
        <v/>
      </c>
      <c r="BE209" t="str">
        <f>IF($A209="","", INDEX(CS!$B$1:$B$12828,MATCH($A209,CS!$B:$B,0)+COLUMN(J$1),1))</f>
        <v/>
      </c>
      <c r="BF209" t="str">
        <f>IF($A209="","", INDEX(CS!$B$1:$B$12828,MATCH($A209,CS!$B:$B,0)+COLUMN(K$1),1))</f>
        <v/>
      </c>
      <c r="BG209" t="str">
        <f>IF($A209="","", INDEX(CS!$B$1:$B$12828,MATCH($A209,CS!$B:$B,0)+COLUMN(L$1),1))</f>
        <v/>
      </c>
    </row>
    <row r="210" spans="3:59" x14ac:dyDescent="0.4">
      <c r="C210" t="s">
        <v>194</v>
      </c>
      <c r="D210" t="str">
        <f t="shared" si="9"/>
        <v>0/0/0</v>
      </c>
      <c r="E210">
        <v>1</v>
      </c>
      <c r="AX210" t="str">
        <f>IF($A210="","", INDEX(CS!$B$1:$B$12828,MATCH($A210,CS!$B:$B,0)+COLUMN(A$1),1))</f>
        <v/>
      </c>
      <c r="AY210" t="str">
        <f>IF($A210="","", INDEX(CS!$B$1:$B$12828,MATCH($A210,CS!$B:$B,0)+COLUMN(B$1),1))</f>
        <v/>
      </c>
      <c r="AZ210" t="str">
        <f>IF($A210="","", INDEX(CS!$B$1:$B$12828,MATCH($A210,CS!$B:$B,0)+COLUMN(C$1),1))</f>
        <v/>
      </c>
      <c r="BA210" t="str">
        <f>IF($A210="","", INDEX(CS!$B$1:$B$12828,MATCH($A210,CS!$B:$B,0)+COLUMN(D$1),1))</f>
        <v/>
      </c>
      <c r="BB210" t="str">
        <f>IF($A210="","", INDEX(CS!$B$1:$B$12828,MATCH($A210,CS!$B:$B,0)+COLUMN(E$1),1))</f>
        <v/>
      </c>
      <c r="BC210" t="str">
        <f>IF($A210="","", INDEX(CS!$B$1:$B$12828,MATCH($A210,CS!$B:$B,0)+COLUMN(F$1),1))</f>
        <v/>
      </c>
      <c r="BD210" t="str">
        <f>IF($A210="","", INDEX(CS!$B$1:$B$12828,MATCH($A210,CS!$B:$B,0)+COLUMN(I$1),1))</f>
        <v/>
      </c>
      <c r="BE210" t="str">
        <f>IF($A210="","", INDEX(CS!$B$1:$B$12828,MATCH($A210,CS!$B:$B,0)+COLUMN(J$1),1))</f>
        <v/>
      </c>
      <c r="BF210" t="str">
        <f>IF($A210="","", INDEX(CS!$B$1:$B$12828,MATCH($A210,CS!$B:$B,0)+COLUMN(K$1),1))</f>
        <v/>
      </c>
      <c r="BG210" t="str">
        <f>IF($A210="","", INDEX(CS!$B$1:$B$12828,MATCH($A210,CS!$B:$B,0)+COLUMN(L$1),1))</f>
        <v/>
      </c>
    </row>
    <row r="211" spans="3:59" x14ac:dyDescent="0.4">
      <c r="C211" t="s">
        <v>194</v>
      </c>
      <c r="D211" t="str">
        <f t="shared" si="9"/>
        <v>0/0/0</v>
      </c>
      <c r="E211">
        <v>1</v>
      </c>
      <c r="AX211" t="str">
        <f>IF($A211="","", INDEX(CS!$B$1:$B$12828,MATCH($A211,CS!$B:$B,0)+COLUMN(A$1),1))</f>
        <v/>
      </c>
      <c r="AY211" t="str">
        <f>IF($A211="","", INDEX(CS!$B$1:$B$12828,MATCH($A211,CS!$B:$B,0)+COLUMN(B$1),1))</f>
        <v/>
      </c>
      <c r="AZ211" t="str">
        <f>IF($A211="","", INDEX(CS!$B$1:$B$12828,MATCH($A211,CS!$B:$B,0)+COLUMN(C$1),1))</f>
        <v/>
      </c>
      <c r="BA211" t="str">
        <f>IF($A211="","", INDEX(CS!$B$1:$B$12828,MATCH($A211,CS!$B:$B,0)+COLUMN(D$1),1))</f>
        <v/>
      </c>
      <c r="BB211" t="str">
        <f>IF($A211="","", INDEX(CS!$B$1:$B$12828,MATCH($A211,CS!$B:$B,0)+COLUMN(E$1),1))</f>
        <v/>
      </c>
      <c r="BC211" t="str">
        <f>IF($A211="","", INDEX(CS!$B$1:$B$12828,MATCH($A211,CS!$B:$B,0)+COLUMN(F$1),1))</f>
        <v/>
      </c>
      <c r="BD211" t="str">
        <f>IF($A211="","", INDEX(CS!$B$1:$B$12828,MATCH($A211,CS!$B:$B,0)+COLUMN(I$1),1))</f>
        <v/>
      </c>
      <c r="BE211" t="str">
        <f>IF($A211="","", INDEX(CS!$B$1:$B$12828,MATCH($A211,CS!$B:$B,0)+COLUMN(J$1),1))</f>
        <v/>
      </c>
      <c r="BF211" t="str">
        <f>IF($A211="","", INDEX(CS!$B$1:$B$12828,MATCH($A211,CS!$B:$B,0)+COLUMN(K$1),1))</f>
        <v/>
      </c>
      <c r="BG211" t="str">
        <f>IF($A211="","", INDEX(CS!$B$1:$B$12828,MATCH($A211,CS!$B:$B,0)+COLUMN(L$1),1))</f>
        <v/>
      </c>
    </row>
    <row r="212" spans="3:59" x14ac:dyDescent="0.4">
      <c r="C212" t="s">
        <v>194</v>
      </c>
      <c r="D212" t="str">
        <f t="shared" si="9"/>
        <v>0/0/0</v>
      </c>
      <c r="E212">
        <v>1</v>
      </c>
      <c r="AX212" t="str">
        <f>IF($A212="","", INDEX(CS!$B$1:$B$12828,MATCH($A212,CS!$B:$B,0)+COLUMN(A$1),1))</f>
        <v/>
      </c>
      <c r="AY212" t="str">
        <f>IF($A212="","", INDEX(CS!$B$1:$B$12828,MATCH($A212,CS!$B:$B,0)+COLUMN(B$1),1))</f>
        <v/>
      </c>
      <c r="AZ212" t="str">
        <f>IF($A212="","", INDEX(CS!$B$1:$B$12828,MATCH($A212,CS!$B:$B,0)+COLUMN(C$1),1))</f>
        <v/>
      </c>
      <c r="BA212" t="str">
        <f>IF($A212="","", INDEX(CS!$B$1:$B$12828,MATCH($A212,CS!$B:$B,0)+COLUMN(D$1),1))</f>
        <v/>
      </c>
      <c r="BB212" t="str">
        <f>IF($A212="","", INDEX(CS!$B$1:$B$12828,MATCH($A212,CS!$B:$B,0)+COLUMN(E$1),1))</f>
        <v/>
      </c>
      <c r="BC212" t="str">
        <f>IF($A212="","", INDEX(CS!$B$1:$B$12828,MATCH($A212,CS!$B:$B,0)+COLUMN(F$1),1))</f>
        <v/>
      </c>
      <c r="BD212" t="str">
        <f>IF($A212="","", INDEX(CS!$B$1:$B$12828,MATCH($A212,CS!$B:$B,0)+COLUMN(I$1),1))</f>
        <v/>
      </c>
      <c r="BE212" t="str">
        <f>IF($A212="","", INDEX(CS!$B$1:$B$12828,MATCH($A212,CS!$B:$B,0)+COLUMN(J$1),1))</f>
        <v/>
      </c>
      <c r="BF212" t="str">
        <f>IF($A212="","", INDEX(CS!$B$1:$B$12828,MATCH($A212,CS!$B:$B,0)+COLUMN(K$1),1))</f>
        <v/>
      </c>
      <c r="BG212" t="str">
        <f>IF($A212="","", INDEX(CS!$B$1:$B$12828,MATCH($A212,CS!$B:$B,0)+COLUMN(L$1),1))</f>
        <v/>
      </c>
    </row>
    <row r="213" spans="3:59" x14ac:dyDescent="0.4">
      <c r="C213" t="s">
        <v>194</v>
      </c>
      <c r="D213" t="str">
        <f t="shared" si="9"/>
        <v>0/0/0</v>
      </c>
      <c r="E213">
        <v>1</v>
      </c>
      <c r="AX213" t="str">
        <f>IF($A213="","", INDEX(CS!$B$1:$B$12828,MATCH($A213,CS!$B:$B,0)+COLUMN(A$1),1))</f>
        <v/>
      </c>
      <c r="AY213" t="str">
        <f>IF($A213="","", INDEX(CS!$B$1:$B$12828,MATCH($A213,CS!$B:$B,0)+COLUMN(B$1),1))</f>
        <v/>
      </c>
      <c r="AZ213" t="str">
        <f>IF($A213="","", INDEX(CS!$B$1:$B$12828,MATCH($A213,CS!$B:$B,0)+COLUMN(C$1),1))</f>
        <v/>
      </c>
      <c r="BA213" t="str">
        <f>IF($A213="","", INDEX(CS!$B$1:$B$12828,MATCH($A213,CS!$B:$B,0)+COLUMN(D$1),1))</f>
        <v/>
      </c>
      <c r="BB213" t="str">
        <f>IF($A213="","", INDEX(CS!$B$1:$B$12828,MATCH($A213,CS!$B:$B,0)+COLUMN(E$1),1))</f>
        <v/>
      </c>
      <c r="BC213" t="str">
        <f>IF($A213="","", INDEX(CS!$B$1:$B$12828,MATCH($A213,CS!$B:$B,0)+COLUMN(F$1),1))</f>
        <v/>
      </c>
      <c r="BD213" t="str">
        <f>IF($A213="","", INDEX(CS!$B$1:$B$12828,MATCH($A213,CS!$B:$B,0)+COLUMN(I$1),1))</f>
        <v/>
      </c>
      <c r="BE213" t="str">
        <f>IF($A213="","", INDEX(CS!$B$1:$B$12828,MATCH($A213,CS!$B:$B,0)+COLUMN(J$1),1))</f>
        <v/>
      </c>
      <c r="BF213" t="str">
        <f>IF($A213="","", INDEX(CS!$B$1:$B$12828,MATCH($A213,CS!$B:$B,0)+COLUMN(K$1),1))</f>
        <v/>
      </c>
      <c r="BG213" t="str">
        <f>IF($A213="","", INDEX(CS!$B$1:$B$12828,MATCH($A213,CS!$B:$B,0)+COLUMN(L$1),1))</f>
        <v/>
      </c>
    </row>
    <row r="214" spans="3:59" x14ac:dyDescent="0.4">
      <c r="C214" t="s">
        <v>194</v>
      </c>
      <c r="D214" t="str">
        <f t="shared" si="9"/>
        <v>0/0/0</v>
      </c>
      <c r="E214">
        <v>1</v>
      </c>
      <c r="AX214" t="str">
        <f>IF($A214="","", INDEX(CS!$B$1:$B$12828,MATCH($A214,CS!$B:$B,0)+COLUMN(A$1),1))</f>
        <v/>
      </c>
      <c r="AY214" t="str">
        <f>IF($A214="","", INDEX(CS!$B$1:$B$12828,MATCH($A214,CS!$B:$B,0)+COLUMN(B$1),1))</f>
        <v/>
      </c>
      <c r="AZ214" t="str">
        <f>IF($A214="","", INDEX(CS!$B$1:$B$12828,MATCH($A214,CS!$B:$B,0)+COLUMN(C$1),1))</f>
        <v/>
      </c>
      <c r="BA214" t="str">
        <f>IF($A214="","", INDEX(CS!$B$1:$B$12828,MATCH($A214,CS!$B:$B,0)+COLUMN(D$1),1))</f>
        <v/>
      </c>
      <c r="BB214" t="str">
        <f>IF($A214="","", INDEX(CS!$B$1:$B$12828,MATCH($A214,CS!$B:$B,0)+COLUMN(E$1),1))</f>
        <v/>
      </c>
      <c r="BC214" t="str">
        <f>IF($A214="","", INDEX(CS!$B$1:$B$12828,MATCH($A214,CS!$B:$B,0)+COLUMN(F$1),1))</f>
        <v/>
      </c>
      <c r="BD214" t="str">
        <f>IF($A214="","", INDEX(CS!$B$1:$B$12828,MATCH($A214,CS!$B:$B,0)+COLUMN(I$1),1))</f>
        <v/>
      </c>
      <c r="BE214" t="str">
        <f>IF($A214="","", INDEX(CS!$B$1:$B$12828,MATCH($A214,CS!$B:$B,0)+COLUMN(J$1),1))</f>
        <v/>
      </c>
      <c r="BF214" t="str">
        <f>IF($A214="","", INDEX(CS!$B$1:$B$12828,MATCH($A214,CS!$B:$B,0)+COLUMN(K$1),1))</f>
        <v/>
      </c>
      <c r="BG214" t="str">
        <f>IF($A214="","", INDEX(CS!$B$1:$B$12828,MATCH($A214,CS!$B:$B,0)+COLUMN(L$1),1))</f>
        <v/>
      </c>
    </row>
    <row r="215" spans="3:59" x14ac:dyDescent="0.4">
      <c r="C215" t="s">
        <v>194</v>
      </c>
      <c r="D215" t="str">
        <f t="shared" si="9"/>
        <v>0/0/0</v>
      </c>
      <c r="E215">
        <v>1</v>
      </c>
      <c r="AX215" t="str">
        <f>IF($A215="","", INDEX(CS!$B$1:$B$12828,MATCH($A215,CS!$B:$B,0)+COLUMN(A$1),1))</f>
        <v/>
      </c>
      <c r="AY215" t="str">
        <f>IF($A215="","", INDEX(CS!$B$1:$B$12828,MATCH($A215,CS!$B:$B,0)+COLUMN(B$1),1))</f>
        <v/>
      </c>
      <c r="AZ215" t="str">
        <f>IF($A215="","", INDEX(CS!$B$1:$B$12828,MATCH($A215,CS!$B:$B,0)+COLUMN(C$1),1))</f>
        <v/>
      </c>
      <c r="BA215" t="str">
        <f>IF($A215="","", INDEX(CS!$B$1:$B$12828,MATCH($A215,CS!$B:$B,0)+COLUMN(D$1),1))</f>
        <v/>
      </c>
      <c r="BB215" t="str">
        <f>IF($A215="","", INDEX(CS!$B$1:$B$12828,MATCH($A215,CS!$B:$B,0)+COLUMN(E$1),1))</f>
        <v/>
      </c>
      <c r="BC215" t="str">
        <f>IF($A215="","", INDEX(CS!$B$1:$B$12828,MATCH($A215,CS!$B:$B,0)+COLUMN(F$1),1))</f>
        <v/>
      </c>
      <c r="BD215" t="str">
        <f>IF($A215="","", INDEX(CS!$B$1:$B$12828,MATCH($A215,CS!$B:$B,0)+COLUMN(I$1),1))</f>
        <v/>
      </c>
      <c r="BE215" t="str">
        <f>IF($A215="","", INDEX(CS!$B$1:$B$12828,MATCH($A215,CS!$B:$B,0)+COLUMN(J$1),1))</f>
        <v/>
      </c>
      <c r="BF215" t="str">
        <f>IF($A215="","", INDEX(CS!$B$1:$B$12828,MATCH($A215,CS!$B:$B,0)+COLUMN(K$1),1))</f>
        <v/>
      </c>
      <c r="BG215" t="str">
        <f>IF($A215="","", INDEX(CS!$B$1:$B$12828,MATCH($A215,CS!$B:$B,0)+COLUMN(L$1),1))</f>
        <v/>
      </c>
    </row>
    <row r="216" spans="3:59" x14ac:dyDescent="0.4">
      <c r="C216" t="s">
        <v>194</v>
      </c>
      <c r="D216" t="str">
        <f t="shared" si="9"/>
        <v>0/0/0</v>
      </c>
      <c r="E216">
        <v>1</v>
      </c>
      <c r="AX216" t="str">
        <f>IF($A216="","", INDEX(CS!$B$1:$B$12828,MATCH($A216,CS!$B:$B,0)+COLUMN(A$1),1))</f>
        <v/>
      </c>
      <c r="AY216" t="str">
        <f>IF($A216="","", INDEX(CS!$B$1:$B$12828,MATCH($A216,CS!$B:$B,0)+COLUMN(B$1),1))</f>
        <v/>
      </c>
      <c r="AZ216" t="str">
        <f>IF($A216="","", INDEX(CS!$B$1:$B$12828,MATCH($A216,CS!$B:$B,0)+COLUMN(C$1),1))</f>
        <v/>
      </c>
      <c r="BA216" t="str">
        <f>IF($A216="","", INDEX(CS!$B$1:$B$12828,MATCH($A216,CS!$B:$B,0)+COLUMN(D$1),1))</f>
        <v/>
      </c>
      <c r="BB216" t="str">
        <f>IF($A216="","", INDEX(CS!$B$1:$B$12828,MATCH($A216,CS!$B:$B,0)+COLUMN(E$1),1))</f>
        <v/>
      </c>
      <c r="BC216" t="str">
        <f>IF($A216="","", INDEX(CS!$B$1:$B$12828,MATCH($A216,CS!$B:$B,0)+COLUMN(F$1),1))</f>
        <v/>
      </c>
      <c r="BD216" t="str">
        <f>IF($A216="","", INDEX(CS!$B$1:$B$12828,MATCH($A216,CS!$B:$B,0)+COLUMN(I$1),1))</f>
        <v/>
      </c>
      <c r="BE216" t="str">
        <f>IF($A216="","", INDEX(CS!$B$1:$B$12828,MATCH($A216,CS!$B:$B,0)+COLUMN(J$1),1))</f>
        <v/>
      </c>
      <c r="BF216" t="str">
        <f>IF($A216="","", INDEX(CS!$B$1:$B$12828,MATCH($A216,CS!$B:$B,0)+COLUMN(K$1),1))</f>
        <v/>
      </c>
      <c r="BG216" t="str">
        <f>IF($A216="","", INDEX(CS!$B$1:$B$12828,MATCH($A216,CS!$B:$B,0)+COLUMN(L$1),1))</f>
        <v/>
      </c>
    </row>
    <row r="217" spans="3:59" x14ac:dyDescent="0.4">
      <c r="C217" t="s">
        <v>194</v>
      </c>
      <c r="D217" t="str">
        <f t="shared" si="9"/>
        <v>0/0/0</v>
      </c>
      <c r="E217">
        <v>1</v>
      </c>
      <c r="AX217" t="str">
        <f>IF($A217="","", INDEX(CS!$B$1:$B$12828,MATCH($A217,CS!$B:$B,0)+COLUMN(A$1),1))</f>
        <v/>
      </c>
      <c r="AY217" t="str">
        <f>IF($A217="","", INDEX(CS!$B$1:$B$12828,MATCH($A217,CS!$B:$B,0)+COLUMN(B$1),1))</f>
        <v/>
      </c>
      <c r="AZ217" t="str">
        <f>IF($A217="","", INDEX(CS!$B$1:$B$12828,MATCH($A217,CS!$B:$B,0)+COLUMN(C$1),1))</f>
        <v/>
      </c>
      <c r="BA217" t="str">
        <f>IF($A217="","", INDEX(CS!$B$1:$B$12828,MATCH($A217,CS!$B:$B,0)+COLUMN(D$1),1))</f>
        <v/>
      </c>
      <c r="BB217" t="str">
        <f>IF($A217="","", INDEX(CS!$B$1:$B$12828,MATCH($A217,CS!$B:$B,0)+COLUMN(E$1),1))</f>
        <v/>
      </c>
      <c r="BC217" t="str">
        <f>IF($A217="","", INDEX(CS!$B$1:$B$12828,MATCH($A217,CS!$B:$B,0)+COLUMN(F$1),1))</f>
        <v/>
      </c>
      <c r="BD217" t="str">
        <f>IF($A217="","", INDEX(CS!$B$1:$B$12828,MATCH($A217,CS!$B:$B,0)+COLUMN(I$1),1))</f>
        <v/>
      </c>
      <c r="BE217" t="str">
        <f>IF($A217="","", INDEX(CS!$B$1:$B$12828,MATCH($A217,CS!$B:$B,0)+COLUMN(J$1),1))</f>
        <v/>
      </c>
      <c r="BF217" t="str">
        <f>IF($A217="","", INDEX(CS!$B$1:$B$12828,MATCH($A217,CS!$B:$B,0)+COLUMN(K$1),1))</f>
        <v/>
      </c>
      <c r="BG217" t="str">
        <f>IF($A217="","", INDEX(CS!$B$1:$B$12828,MATCH($A217,CS!$B:$B,0)+COLUMN(L$1),1))</f>
        <v/>
      </c>
    </row>
    <row r="218" spans="3:59" x14ac:dyDescent="0.4">
      <c r="C218" t="s">
        <v>194</v>
      </c>
      <c r="D218" t="str">
        <f t="shared" si="9"/>
        <v>0/0/0</v>
      </c>
      <c r="E218">
        <v>1</v>
      </c>
      <c r="AX218" t="str">
        <f>IF($A218="","", INDEX(CS!$B$1:$B$12828,MATCH($A218,CS!$B:$B,0)+COLUMN(A$1),1))</f>
        <v/>
      </c>
      <c r="AY218" t="str">
        <f>IF($A218="","", INDEX(CS!$B$1:$B$12828,MATCH($A218,CS!$B:$B,0)+COLUMN(B$1),1))</f>
        <v/>
      </c>
      <c r="AZ218" t="str">
        <f>IF($A218="","", INDEX(CS!$B$1:$B$12828,MATCH($A218,CS!$B:$B,0)+COLUMN(C$1),1))</f>
        <v/>
      </c>
      <c r="BA218" t="str">
        <f>IF($A218="","", INDEX(CS!$B$1:$B$12828,MATCH($A218,CS!$B:$B,0)+COLUMN(D$1),1))</f>
        <v/>
      </c>
      <c r="BB218" t="str">
        <f>IF($A218="","", INDEX(CS!$B$1:$B$12828,MATCH($A218,CS!$B:$B,0)+COLUMN(E$1),1))</f>
        <v/>
      </c>
      <c r="BC218" t="str">
        <f>IF($A218="","", INDEX(CS!$B$1:$B$12828,MATCH($A218,CS!$B:$B,0)+COLUMN(F$1),1))</f>
        <v/>
      </c>
      <c r="BD218" t="str">
        <f>IF($A218="","", INDEX(CS!$B$1:$B$12828,MATCH($A218,CS!$B:$B,0)+COLUMN(I$1),1))</f>
        <v/>
      </c>
      <c r="BE218" t="str">
        <f>IF($A218="","", INDEX(CS!$B$1:$B$12828,MATCH($A218,CS!$B:$B,0)+COLUMN(J$1),1))</f>
        <v/>
      </c>
      <c r="BF218" t="str">
        <f>IF($A218="","", INDEX(CS!$B$1:$B$12828,MATCH($A218,CS!$B:$B,0)+COLUMN(K$1),1))</f>
        <v/>
      </c>
      <c r="BG218" t="str">
        <f>IF($A218="","", INDEX(CS!$B$1:$B$12828,MATCH($A218,CS!$B:$B,0)+COLUMN(L$1),1))</f>
        <v/>
      </c>
    </row>
    <row r="219" spans="3:59" x14ac:dyDescent="0.4">
      <c r="C219" t="s">
        <v>194</v>
      </c>
      <c r="D219" t="str">
        <f t="shared" si="9"/>
        <v>0/0/0</v>
      </c>
      <c r="E219">
        <v>1</v>
      </c>
      <c r="AX219" t="str">
        <f>IF($A219="","", INDEX(CS!$B$1:$B$12828,MATCH($A219,CS!$B:$B,0)+COLUMN(A$1),1))</f>
        <v/>
      </c>
      <c r="AY219" t="str">
        <f>IF($A219="","", INDEX(CS!$B$1:$B$12828,MATCH($A219,CS!$B:$B,0)+COLUMN(B$1),1))</f>
        <v/>
      </c>
      <c r="AZ219" t="str">
        <f>IF($A219="","", INDEX(CS!$B$1:$B$12828,MATCH($A219,CS!$B:$B,0)+COLUMN(C$1),1))</f>
        <v/>
      </c>
      <c r="BA219" t="str">
        <f>IF($A219="","", INDEX(CS!$B$1:$B$12828,MATCH($A219,CS!$B:$B,0)+COLUMN(D$1),1))</f>
        <v/>
      </c>
      <c r="BB219" t="str">
        <f>IF($A219="","", INDEX(CS!$B$1:$B$12828,MATCH($A219,CS!$B:$B,0)+COLUMN(E$1),1))</f>
        <v/>
      </c>
      <c r="BC219" t="str">
        <f>IF($A219="","", INDEX(CS!$B$1:$B$12828,MATCH($A219,CS!$B:$B,0)+COLUMN(F$1),1))</f>
        <v/>
      </c>
      <c r="BD219" t="str">
        <f>IF($A219="","", INDEX(CS!$B$1:$B$12828,MATCH($A219,CS!$B:$B,0)+COLUMN(I$1),1))</f>
        <v/>
      </c>
      <c r="BE219" t="str">
        <f>IF($A219="","", INDEX(CS!$B$1:$B$12828,MATCH($A219,CS!$B:$B,0)+COLUMN(J$1),1))</f>
        <v/>
      </c>
      <c r="BF219" t="str">
        <f>IF($A219="","", INDEX(CS!$B$1:$B$12828,MATCH($A219,CS!$B:$B,0)+COLUMN(K$1),1))</f>
        <v/>
      </c>
      <c r="BG219" t="str">
        <f>IF($A219="","", INDEX(CS!$B$1:$B$12828,MATCH($A219,CS!$B:$B,0)+COLUMN(L$1),1))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897</v>
      </c>
      <c r="B1" t="s">
        <v>930</v>
      </c>
      <c r="C1" t="s">
        <v>939</v>
      </c>
      <c r="D1" t="s">
        <v>1025</v>
      </c>
      <c r="E1" t="s">
        <v>1221</v>
      </c>
      <c r="F1" t="s">
        <v>1068</v>
      </c>
      <c r="G1" t="s">
        <v>1024</v>
      </c>
    </row>
    <row r="2" spans="1:7" x14ac:dyDescent="0.4">
      <c r="A2" t="s">
        <v>919</v>
      </c>
      <c r="B2" t="s">
        <v>55</v>
      </c>
      <c r="C2">
        <v>50</v>
      </c>
      <c r="D2">
        <v>0</v>
      </c>
      <c r="E2" s="39">
        <v>1</v>
      </c>
      <c r="F2" s="39">
        <v>0.15</v>
      </c>
      <c r="G2" t="s">
        <v>1027</v>
      </c>
    </row>
    <row r="3" spans="1:7" x14ac:dyDescent="0.4">
      <c r="A3" t="s">
        <v>920</v>
      </c>
      <c r="B3" t="s">
        <v>57</v>
      </c>
      <c r="C3">
        <v>50</v>
      </c>
      <c r="D3">
        <v>0</v>
      </c>
      <c r="E3" s="39">
        <v>1</v>
      </c>
      <c r="F3" s="39">
        <v>0.1</v>
      </c>
      <c r="G3" t="s">
        <v>1026</v>
      </c>
    </row>
    <row r="4" spans="1:7" x14ac:dyDescent="0.4">
      <c r="A4" t="s">
        <v>921</v>
      </c>
      <c r="B4" t="s">
        <v>59</v>
      </c>
      <c r="C4">
        <v>50</v>
      </c>
      <c r="D4">
        <v>1</v>
      </c>
      <c r="E4" s="39">
        <v>1</v>
      </c>
      <c r="F4" s="39">
        <v>0.1</v>
      </c>
      <c r="G4" t="s">
        <v>1028</v>
      </c>
    </row>
    <row r="5" spans="1:7" x14ac:dyDescent="0.4">
      <c r="A5" t="s">
        <v>922</v>
      </c>
      <c r="B5" t="s">
        <v>53</v>
      </c>
      <c r="C5">
        <v>60</v>
      </c>
      <c r="D5">
        <v>1</v>
      </c>
      <c r="E5" s="39">
        <v>0.8</v>
      </c>
      <c r="F5" s="39">
        <v>0.2</v>
      </c>
      <c r="G5" t="s">
        <v>1027</v>
      </c>
    </row>
    <row r="6" spans="1:7" x14ac:dyDescent="0.4">
      <c r="A6" t="s">
        <v>923</v>
      </c>
      <c r="B6" t="s">
        <v>64</v>
      </c>
      <c r="C6">
        <v>25</v>
      </c>
      <c r="D6">
        <v>1</v>
      </c>
      <c r="E6" s="39">
        <v>1.25</v>
      </c>
      <c r="F6" s="39">
        <v>0.25</v>
      </c>
      <c r="G6" t="s">
        <v>1032</v>
      </c>
    </row>
    <row r="7" spans="1:7" x14ac:dyDescent="0.4">
      <c r="A7" t="s">
        <v>924</v>
      </c>
      <c r="B7" t="s">
        <v>42</v>
      </c>
      <c r="C7">
        <v>25</v>
      </c>
      <c r="D7">
        <v>1</v>
      </c>
      <c r="E7" s="39">
        <v>0.8</v>
      </c>
      <c r="F7" s="39">
        <v>0.35</v>
      </c>
      <c r="G7" t="s">
        <v>1029</v>
      </c>
    </row>
    <row r="8" spans="1:7" x14ac:dyDescent="0.4">
      <c r="A8" t="s">
        <v>925</v>
      </c>
      <c r="B8" t="s">
        <v>66</v>
      </c>
      <c r="C8">
        <v>15</v>
      </c>
      <c r="D8">
        <v>2</v>
      </c>
      <c r="E8" s="39">
        <v>1.2</v>
      </c>
      <c r="F8" s="39">
        <v>0.45</v>
      </c>
      <c r="G8" t="s">
        <v>1031</v>
      </c>
    </row>
    <row r="9" spans="1:7" x14ac:dyDescent="0.4">
      <c r="A9" t="s">
        <v>926</v>
      </c>
      <c r="B9" t="s">
        <v>44</v>
      </c>
      <c r="C9">
        <v>75</v>
      </c>
      <c r="D9">
        <v>0</v>
      </c>
      <c r="E9" s="39">
        <v>0.5</v>
      </c>
      <c r="F9" s="39">
        <v>0.1</v>
      </c>
      <c r="G9" t="s">
        <v>1030</v>
      </c>
    </row>
    <row r="10" spans="1:7" x14ac:dyDescent="0.4">
      <c r="A10" t="s">
        <v>927</v>
      </c>
      <c r="B10" t="s">
        <v>46</v>
      </c>
      <c r="C10">
        <v>10</v>
      </c>
      <c r="D10">
        <v>3</v>
      </c>
      <c r="E10" s="39">
        <v>1.5</v>
      </c>
      <c r="F10" s="39">
        <v>0.6</v>
      </c>
      <c r="G10" t="s">
        <v>1034</v>
      </c>
    </row>
    <row r="11" spans="1:7" x14ac:dyDescent="0.4">
      <c r="A11" t="s">
        <v>928</v>
      </c>
      <c r="B11" t="s">
        <v>48</v>
      </c>
      <c r="C11">
        <v>15</v>
      </c>
      <c r="D11">
        <v>3</v>
      </c>
      <c r="E11" s="39">
        <v>1.5</v>
      </c>
      <c r="F11" s="39">
        <v>0.6</v>
      </c>
      <c r="G11" t="s">
        <v>1033</v>
      </c>
    </row>
    <row r="12" spans="1:7" x14ac:dyDescent="0.4">
      <c r="A12" t="s">
        <v>929</v>
      </c>
      <c r="B12" t="s">
        <v>50</v>
      </c>
      <c r="C12">
        <v>10</v>
      </c>
      <c r="E12" s="39">
        <v>1.5</v>
      </c>
      <c r="F12" s="39">
        <v>0.6</v>
      </c>
      <c r="G12" t="s">
        <v>1035</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992</v>
      </c>
      <c r="B12" s="17" t="s">
        <v>243</v>
      </c>
    </row>
    <row r="13" spans="1:2" ht="37.5" x14ac:dyDescent="0.4">
      <c r="A13" t="s">
        <v>231</v>
      </c>
      <c r="B13" s="17" t="s">
        <v>244</v>
      </c>
    </row>
    <row r="14" spans="1:2" ht="37.5" x14ac:dyDescent="0.4">
      <c r="A14" t="s">
        <v>5</v>
      </c>
      <c r="B14" s="17" t="s">
        <v>245</v>
      </c>
    </row>
    <row r="15" spans="1:2" ht="37.5" x14ac:dyDescent="0.4">
      <c r="A15" t="s">
        <v>1044</v>
      </c>
      <c r="B15" s="17" t="s">
        <v>989</v>
      </c>
    </row>
    <row r="16" spans="1:2" ht="37.5" x14ac:dyDescent="0.4">
      <c r="A16" t="s">
        <v>6</v>
      </c>
      <c r="B16" s="17" t="s">
        <v>988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K100"/>
  <sheetViews>
    <sheetView workbookViewId="0">
      <pane xSplit="7" ySplit="3" topLeftCell="R4" activePane="bottomRight" state="frozen"/>
      <selection pane="topRight" activeCell="H1" sqref="H1"/>
      <selection pane="bottomLeft" activeCell="A4" sqref="A4"/>
      <selection pane="bottomRight" activeCell="AJ1" sqref="AI1:AJ104857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36" width="4.5" customWidth="1" outlineLevel="1"/>
    <col min="37" max="42" width="5.25" customWidth="1" outlineLevel="1"/>
    <col min="43" max="43" width="4.25" customWidth="1" outlineLevel="1"/>
    <col min="44" max="44" width="5.25" bestFit="1" customWidth="1"/>
    <col min="45" max="58" width="5.25" hidden="1" customWidth="1" outlineLevel="1"/>
    <col min="59" max="59" width="4.875" style="17" customWidth="1" collapsed="1"/>
    <col min="60" max="69" width="4.875" style="17" customWidth="1" outlineLevel="1"/>
    <col min="70" max="76" width="4.875" customWidth="1" outlineLevel="1"/>
    <col min="77" max="77" width="5" customWidth="1" outlineLevel="1"/>
    <col min="78" max="78" width="6.625" customWidth="1" outlineLevel="1"/>
    <col min="79" max="89" width="4.875" customWidth="1"/>
  </cols>
  <sheetData>
    <row r="1" spans="1:89"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706</v>
      </c>
      <c r="Q1" s="37" t="s">
        <v>1286</v>
      </c>
      <c r="R1" s="37" t="s">
        <v>1287</v>
      </c>
      <c r="S1" s="37" t="s">
        <v>1288</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1289</v>
      </c>
      <c r="AJ1" s="22" t="s">
        <v>1290</v>
      </c>
      <c r="AK1" s="22" t="s">
        <v>13</v>
      </c>
      <c r="AL1" s="22" t="s">
        <v>15</v>
      </c>
      <c r="AM1" s="22" t="s">
        <v>17</v>
      </c>
      <c r="AN1" s="22" t="s">
        <v>18</v>
      </c>
      <c r="AO1" s="22" t="s">
        <v>20</v>
      </c>
      <c r="AP1" s="22" t="s">
        <v>22</v>
      </c>
      <c r="AQ1" s="22" t="s">
        <v>29</v>
      </c>
      <c r="AR1" s="26" t="s">
        <v>248</v>
      </c>
      <c r="AS1" s="26" t="s">
        <v>1</v>
      </c>
      <c r="AT1" s="26" t="s">
        <v>2</v>
      </c>
      <c r="AU1" s="26" t="s">
        <v>106</v>
      </c>
      <c r="AV1" s="26" t="s">
        <v>105</v>
      </c>
      <c r="AW1" s="27" t="s">
        <v>4</v>
      </c>
      <c r="AX1" s="27" t="s">
        <v>3</v>
      </c>
      <c r="AY1" s="28" t="s">
        <v>227</v>
      </c>
      <c r="AZ1" s="28" t="s">
        <v>228</v>
      </c>
      <c r="BA1" s="28" t="s">
        <v>229</v>
      </c>
      <c r="BB1" s="28" t="s">
        <v>230</v>
      </c>
      <c r="BC1" s="29" t="s">
        <v>231</v>
      </c>
      <c r="BD1" s="29" t="s">
        <v>5</v>
      </c>
      <c r="BE1" s="29" t="s">
        <v>1044</v>
      </c>
      <c r="BF1" s="29" t="s">
        <v>6</v>
      </c>
      <c r="BG1" s="20" t="s">
        <v>146</v>
      </c>
      <c r="BH1" s="20" t="s">
        <v>178</v>
      </c>
      <c r="BI1" s="20" t="s">
        <v>707</v>
      </c>
      <c r="BJ1" s="20" t="s">
        <v>1283</v>
      </c>
      <c r="BK1" s="20" t="s">
        <v>1284</v>
      </c>
      <c r="BL1" s="20" t="s">
        <v>1285</v>
      </c>
      <c r="BM1" s="20" t="s">
        <v>133</v>
      </c>
      <c r="BN1" s="20" t="s">
        <v>134</v>
      </c>
      <c r="BO1" s="20" t="s">
        <v>135</v>
      </c>
      <c r="BP1" s="20" t="s">
        <v>136</v>
      </c>
      <c r="BQ1" s="20" t="s">
        <v>138</v>
      </c>
      <c r="BR1" s="20" t="s">
        <v>139</v>
      </c>
      <c r="BS1" s="20" t="s">
        <v>141</v>
      </c>
      <c r="BT1" s="20" t="s">
        <v>323</v>
      </c>
      <c r="BU1" s="20" t="s">
        <v>142</v>
      </c>
      <c r="BV1" s="20" t="s">
        <v>143</v>
      </c>
      <c r="BW1" s="20" t="s">
        <v>144</v>
      </c>
      <c r="BX1" s="20" t="s">
        <v>145</v>
      </c>
      <c r="BY1" s="20" t="s">
        <v>157</v>
      </c>
      <c r="BZ1" s="20" t="s">
        <v>158</v>
      </c>
      <c r="CA1" s="23" t="s">
        <v>162</v>
      </c>
      <c r="CB1" s="23" t="s">
        <v>163</v>
      </c>
      <c r="CC1" s="23" t="s">
        <v>164</v>
      </c>
      <c r="CD1" s="23" t="s">
        <v>165</v>
      </c>
      <c r="CE1" s="23" t="s">
        <v>166</v>
      </c>
      <c r="CF1" s="23" t="s">
        <v>167</v>
      </c>
      <c r="CG1" s="23" t="s">
        <v>168</v>
      </c>
      <c r="CH1" s="23" t="s">
        <v>169</v>
      </c>
      <c r="CI1" s="23" t="s">
        <v>170</v>
      </c>
      <c r="CJ1" s="23" t="s">
        <v>171</v>
      </c>
      <c r="CK1" s="23" t="s">
        <v>861</v>
      </c>
    </row>
    <row r="2" spans="1:89" outlineLevel="1" x14ac:dyDescent="0.4">
      <c r="B2">
        <v>2</v>
      </c>
      <c r="C2">
        <v>3</v>
      </c>
      <c r="D2">
        <v>4</v>
      </c>
      <c r="E2">
        <v>5</v>
      </c>
      <c r="F2">
        <v>6</v>
      </c>
      <c r="G2">
        <v>7</v>
      </c>
      <c r="K2"/>
      <c r="L2"/>
      <c r="M2"/>
      <c r="N2"/>
      <c r="O2"/>
      <c r="P2"/>
      <c r="Q2"/>
      <c r="R2"/>
      <c r="S2"/>
      <c r="T2"/>
      <c r="U2"/>
      <c r="V2"/>
      <c r="W2"/>
      <c r="X2"/>
      <c r="BG2"/>
      <c r="BH2"/>
      <c r="BI2"/>
      <c r="BJ2"/>
      <c r="BK2"/>
      <c r="BL2"/>
      <c r="BM2"/>
      <c r="BN2"/>
      <c r="BO2"/>
      <c r="BP2"/>
      <c r="BQ2"/>
    </row>
    <row r="3" spans="1:89"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9"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H4" t="s">
        <v>12</v>
      </c>
    </row>
    <row r="5" spans="1:89"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H5" t="s">
        <v>12</v>
      </c>
    </row>
    <row r="6" spans="1:89"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E6">
        <v>2</v>
      </c>
      <c r="CH6" t="s">
        <v>12</v>
      </c>
    </row>
    <row r="7" spans="1:89"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H7" t="s">
        <v>12</v>
      </c>
    </row>
    <row r="8" spans="1:89"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H8" t="s">
        <v>12</v>
      </c>
    </row>
    <row r="9" spans="1:89"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H9" t="s">
        <v>12</v>
      </c>
    </row>
    <row r="10" spans="1:89"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E10">
        <v>2</v>
      </c>
      <c r="CH10" t="s">
        <v>12</v>
      </c>
    </row>
    <row r="11" spans="1:89"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H11" t="s">
        <v>12</v>
      </c>
    </row>
    <row r="12" spans="1:89"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P12">
        <v>10</v>
      </c>
    </row>
    <row r="13" spans="1:89"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H13" t="s">
        <v>14</v>
      </c>
    </row>
    <row r="14" spans="1:89"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K14">
        <v>15</v>
      </c>
      <c r="BS14">
        <v>10</v>
      </c>
      <c r="CI14" t="s">
        <v>327</v>
      </c>
    </row>
    <row r="15" spans="1:89"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P15">
        <v>5</v>
      </c>
    </row>
    <row r="16" spans="1:89"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P16">
        <v>25</v>
      </c>
      <c r="CH16" t="s">
        <v>12</v>
      </c>
    </row>
    <row r="17" spans="1:87"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7"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P18">
        <v>5</v>
      </c>
    </row>
    <row r="19" spans="1:87"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O19">
        <v>25</v>
      </c>
      <c r="CH19" t="s">
        <v>19</v>
      </c>
    </row>
    <row r="20" spans="1:87"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H20" t="s">
        <v>21</v>
      </c>
    </row>
    <row r="21" spans="1:87"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7"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H22" t="s">
        <v>21</v>
      </c>
    </row>
    <row r="23" spans="1:87"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7"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P24">
        <v>20</v>
      </c>
      <c r="CI24" t="s">
        <v>327</v>
      </c>
    </row>
    <row r="25" spans="1:87"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H25" t="s">
        <v>12</v>
      </c>
    </row>
    <row r="26" spans="1:87"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D26" t="s">
        <v>278</v>
      </c>
    </row>
    <row r="27" spans="1:87"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M27">
        <v>30</v>
      </c>
    </row>
    <row r="28" spans="1:87"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K28">
        <v>30</v>
      </c>
    </row>
    <row r="29" spans="1:87"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CA29">
        <v>2</v>
      </c>
      <c r="CB29" t="s">
        <v>320</v>
      </c>
    </row>
    <row r="30" spans="1:87"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H30" t="s">
        <v>12</v>
      </c>
    </row>
    <row r="31" spans="1:87"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M31">
        <v>30</v>
      </c>
    </row>
    <row r="32" spans="1:87"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K32">
        <v>30</v>
      </c>
    </row>
    <row r="33" spans="1:86"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CA33">
        <v>2</v>
      </c>
      <c r="CB33" t="s">
        <v>320</v>
      </c>
    </row>
    <row r="34" spans="1:86"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H34" t="s">
        <v>12</v>
      </c>
    </row>
    <row r="35" spans="1:86"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M35">
        <v>30</v>
      </c>
    </row>
    <row r="36" spans="1:86"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K36">
        <v>30</v>
      </c>
    </row>
    <row r="37" spans="1:86"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CA37">
        <v>2</v>
      </c>
      <c r="CB37" t="s">
        <v>320</v>
      </c>
    </row>
    <row r="38" spans="1:86"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H38" t="s">
        <v>12</v>
      </c>
    </row>
    <row r="39" spans="1:86"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M39">
        <v>30</v>
      </c>
    </row>
    <row r="40" spans="1:86"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K40">
        <v>30</v>
      </c>
    </row>
    <row r="41" spans="1:86"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CA41">
        <v>2</v>
      </c>
      <c r="CB41" t="s">
        <v>320</v>
      </c>
    </row>
    <row r="42" spans="1:86"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CA42">
        <v>1</v>
      </c>
      <c r="CH42" t="s">
        <v>16</v>
      </c>
    </row>
    <row r="43" spans="1:86"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CA43">
        <v>1</v>
      </c>
      <c r="CG43" t="s">
        <v>16</v>
      </c>
    </row>
    <row r="44" spans="1:86"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CA44">
        <v>2</v>
      </c>
      <c r="CH44" t="s">
        <v>16</v>
      </c>
    </row>
    <row r="45" spans="1:86"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6"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6"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6"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K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2" sqref="A2:A9"/>
    </sheetView>
  </sheetViews>
  <sheetFormatPr defaultRowHeight="18.75" x14ac:dyDescent="0.4"/>
  <cols>
    <col min="2" max="2" width="41.375" style="17" customWidth="1"/>
  </cols>
  <sheetData>
    <row r="1" spans="1:2" x14ac:dyDescent="0.4">
      <c r="A1" t="s">
        <v>342</v>
      </c>
      <c r="B1" s="17" t="s">
        <v>81</v>
      </c>
    </row>
    <row r="2" spans="1:2" x14ac:dyDescent="0.4">
      <c r="A2" t="s">
        <v>331</v>
      </c>
      <c r="B2" s="17" t="s">
        <v>343</v>
      </c>
    </row>
    <row r="3" spans="1:2" x14ac:dyDescent="0.4">
      <c r="A3" t="s">
        <v>332</v>
      </c>
      <c r="B3" s="17" t="s">
        <v>344</v>
      </c>
    </row>
    <row r="4" spans="1:2" x14ac:dyDescent="0.4">
      <c r="A4" t="s">
        <v>333</v>
      </c>
      <c r="B4" s="17" t="s">
        <v>345</v>
      </c>
    </row>
    <row r="5" spans="1:2" x14ac:dyDescent="0.4">
      <c r="A5" t="s">
        <v>334</v>
      </c>
      <c r="B5" s="17" t="s">
        <v>348</v>
      </c>
    </row>
    <row r="6" spans="1:2" ht="37.5" x14ac:dyDescent="0.4">
      <c r="A6" t="s">
        <v>335</v>
      </c>
      <c r="B6" s="17" t="s">
        <v>349</v>
      </c>
    </row>
    <row r="7" spans="1:2" x14ac:dyDescent="0.4">
      <c r="A7" t="s">
        <v>336</v>
      </c>
      <c r="B7" s="17" t="s">
        <v>350</v>
      </c>
    </row>
    <row r="8" spans="1:2" x14ac:dyDescent="0.4">
      <c r="A8" t="s">
        <v>351</v>
      </c>
      <c r="B8" s="17" t="s">
        <v>352</v>
      </c>
    </row>
    <row r="9" spans="1:2" x14ac:dyDescent="0.4">
      <c r="A9" t="s">
        <v>1291</v>
      </c>
      <c r="B9" s="17" t="s">
        <v>347</v>
      </c>
    </row>
    <row r="11" spans="1:2" x14ac:dyDescent="0.4">
      <c r="A11" t="s">
        <v>338</v>
      </c>
    </row>
    <row r="12" spans="1:2" x14ac:dyDescent="0.4">
      <c r="A12" t="s">
        <v>339</v>
      </c>
    </row>
    <row r="13" spans="1:2" x14ac:dyDescent="0.4">
      <c r="A13" t="s">
        <v>340</v>
      </c>
    </row>
    <row r="14" spans="1:2" x14ac:dyDescent="0.4">
      <c r="A14" t="s">
        <v>341</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377</v>
      </c>
      <c r="B1" s="17" t="s">
        <v>81</v>
      </c>
    </row>
    <row r="2" spans="1:2" ht="37.5" x14ac:dyDescent="0.4">
      <c r="A2" t="s">
        <v>337</v>
      </c>
      <c r="B2" s="17" t="s">
        <v>346</v>
      </c>
    </row>
    <row r="3" spans="1:2" ht="37.5" x14ac:dyDescent="0.4">
      <c r="A3" t="s">
        <v>374</v>
      </c>
      <c r="B3" s="17" t="s">
        <v>378</v>
      </c>
    </row>
    <row r="4" spans="1:2" x14ac:dyDescent="0.4">
      <c r="A4" t="s">
        <v>353</v>
      </c>
      <c r="B4" s="17" t="s">
        <v>379</v>
      </c>
    </row>
    <row r="5" spans="1:2" ht="37.5" x14ac:dyDescent="0.4">
      <c r="A5" t="s">
        <v>376</v>
      </c>
      <c r="B5" s="17" t="s">
        <v>380</v>
      </c>
    </row>
    <row r="6" spans="1:2" x14ac:dyDescent="0.4">
      <c r="A6" t="s">
        <v>373</v>
      </c>
      <c r="B6" s="17" t="s">
        <v>381</v>
      </c>
    </row>
    <row r="7" spans="1:2" x14ac:dyDescent="0.4">
      <c r="A7" t="s">
        <v>354</v>
      </c>
      <c r="B7" s="17" t="s">
        <v>382</v>
      </c>
    </row>
    <row r="8" spans="1:2" x14ac:dyDescent="0.4">
      <c r="A8" t="s">
        <v>355</v>
      </c>
      <c r="B8" s="17" t="s">
        <v>383</v>
      </c>
    </row>
    <row r="9" spans="1:2" x14ac:dyDescent="0.4">
      <c r="A9" t="s">
        <v>356</v>
      </c>
      <c r="B9" s="17" t="s">
        <v>384</v>
      </c>
    </row>
    <row r="10" spans="1:2" x14ac:dyDescent="0.4">
      <c r="A10" t="s">
        <v>357</v>
      </c>
      <c r="B10" s="17" t="s">
        <v>385</v>
      </c>
    </row>
    <row r="11" spans="1:2" x14ac:dyDescent="0.4">
      <c r="A11" t="s">
        <v>358</v>
      </c>
      <c r="B11" s="17" t="s">
        <v>386</v>
      </c>
    </row>
    <row r="12" spans="1:2" x14ac:dyDescent="0.4">
      <c r="A12" t="s">
        <v>359</v>
      </c>
      <c r="B12" s="17" t="s">
        <v>387</v>
      </c>
    </row>
    <row r="13" spans="1:2" x14ac:dyDescent="0.4">
      <c r="A13" t="s">
        <v>360</v>
      </c>
      <c r="B13" s="17" t="s">
        <v>388</v>
      </c>
    </row>
    <row r="14" spans="1:2" x14ac:dyDescent="0.4">
      <c r="A14" t="s">
        <v>361</v>
      </c>
      <c r="B14" s="17" t="s">
        <v>389</v>
      </c>
    </row>
    <row r="15" spans="1:2" x14ac:dyDescent="0.4">
      <c r="A15" t="s">
        <v>362</v>
      </c>
      <c r="B15" s="17" t="s">
        <v>397</v>
      </c>
    </row>
    <row r="16" spans="1:2" x14ac:dyDescent="0.4">
      <c r="A16" t="s">
        <v>101</v>
      </c>
      <c r="B16" s="17" t="s">
        <v>394</v>
      </c>
    </row>
    <row r="17" spans="1:2" x14ac:dyDescent="0.4">
      <c r="A17" t="s">
        <v>363</v>
      </c>
      <c r="B17" s="17" t="s">
        <v>395</v>
      </c>
    </row>
    <row r="18" spans="1:2" x14ac:dyDescent="0.4">
      <c r="A18" t="s">
        <v>365</v>
      </c>
      <c r="B18" s="17" t="s">
        <v>396</v>
      </c>
    </row>
    <row r="19" spans="1:2" x14ac:dyDescent="0.4">
      <c r="A19" t="s">
        <v>364</v>
      </c>
      <c r="B19" s="17" t="s">
        <v>390</v>
      </c>
    </row>
    <row r="20" spans="1:2" x14ac:dyDescent="0.4">
      <c r="A20" t="s">
        <v>366</v>
      </c>
      <c r="B20" s="17" t="s">
        <v>398</v>
      </c>
    </row>
    <row r="21" spans="1:2" x14ac:dyDescent="0.4">
      <c r="A21" t="s">
        <v>367</v>
      </c>
      <c r="B21" s="17" t="s">
        <v>399</v>
      </c>
    </row>
    <row r="22" spans="1:2" ht="56.25" x14ac:dyDescent="0.4">
      <c r="A22" t="s">
        <v>368</v>
      </c>
      <c r="B22" s="17" t="s">
        <v>400</v>
      </c>
    </row>
    <row r="23" spans="1:2" ht="37.5" x14ac:dyDescent="0.4">
      <c r="A23" t="s">
        <v>369</v>
      </c>
      <c r="B23" s="17" t="s">
        <v>391</v>
      </c>
    </row>
    <row r="24" spans="1:2" x14ac:dyDescent="0.4">
      <c r="A24" t="s">
        <v>124</v>
      </c>
      <c r="B24" s="17" t="s">
        <v>401</v>
      </c>
    </row>
    <row r="25" spans="1:2" ht="37.5" x14ac:dyDescent="0.4">
      <c r="A25" t="s">
        <v>370</v>
      </c>
      <c r="B25" s="17" t="s">
        <v>402</v>
      </c>
    </row>
    <row r="26" spans="1:2" x14ac:dyDescent="0.4">
      <c r="A26" t="s">
        <v>371</v>
      </c>
      <c r="B26" s="17" t="s">
        <v>392</v>
      </c>
    </row>
    <row r="27" spans="1:2" ht="37.5" x14ac:dyDescent="0.4">
      <c r="A27" t="s">
        <v>372</v>
      </c>
      <c r="B27" s="17" t="s">
        <v>403</v>
      </c>
    </row>
    <row r="28" spans="1:2" x14ac:dyDescent="0.4">
      <c r="A28" t="s">
        <v>375</v>
      </c>
      <c r="B28" s="17" t="s">
        <v>393</v>
      </c>
    </row>
    <row r="30" spans="1:2" x14ac:dyDescent="0.4">
      <c r="A30" t="s">
        <v>424</v>
      </c>
      <c r="B30" s="17" t="s">
        <v>404</v>
      </c>
    </row>
    <row r="31" spans="1:2" x14ac:dyDescent="0.4">
      <c r="A31" t="s">
        <v>405</v>
      </c>
      <c r="B31" s="17" t="s">
        <v>406</v>
      </c>
    </row>
    <row r="32" spans="1:2" x14ac:dyDescent="0.4">
      <c r="A32" t="s">
        <v>407</v>
      </c>
      <c r="B32" s="17" t="s">
        <v>408</v>
      </c>
    </row>
    <row r="33" spans="1:2" x14ac:dyDescent="0.4">
      <c r="A33" t="s">
        <v>409</v>
      </c>
      <c r="B33" s="17" t="s">
        <v>410</v>
      </c>
    </row>
    <row r="34" spans="1:2" x14ac:dyDescent="0.4">
      <c r="A34" t="s">
        <v>278</v>
      </c>
      <c r="B34" s="17" t="s">
        <v>411</v>
      </c>
    </row>
    <row r="35" spans="1:2" x14ac:dyDescent="0.4">
      <c r="A35" t="s">
        <v>412</v>
      </c>
      <c r="B35" s="17" t="s">
        <v>413</v>
      </c>
    </row>
    <row r="37" spans="1:2" x14ac:dyDescent="0.4">
      <c r="A37" t="s">
        <v>416</v>
      </c>
      <c r="B37" s="17" t="s">
        <v>417</v>
      </c>
    </row>
    <row r="38" spans="1:2" x14ac:dyDescent="0.4">
      <c r="A38" t="s">
        <v>414</v>
      </c>
      <c r="B38" s="17" t="s">
        <v>415</v>
      </c>
    </row>
    <row r="39" spans="1:2" x14ac:dyDescent="0.4">
      <c r="A39" t="s">
        <v>418</v>
      </c>
      <c r="B39" s="17" t="s">
        <v>419</v>
      </c>
    </row>
    <row r="41" spans="1:2" ht="37.5" x14ac:dyDescent="0.4">
      <c r="A41" t="s">
        <v>420</v>
      </c>
      <c r="B41" s="17" t="s">
        <v>421</v>
      </c>
    </row>
    <row r="42" spans="1:2" x14ac:dyDescent="0.4">
      <c r="A42" t="s">
        <v>422</v>
      </c>
      <c r="B42" s="17" t="s">
        <v>423</v>
      </c>
    </row>
    <row r="46" spans="1:2" x14ac:dyDescent="0.4">
      <c r="A46" t="s">
        <v>426</v>
      </c>
      <c r="B46" s="17" t="s">
        <v>427</v>
      </c>
    </row>
    <row r="47" spans="1:2" x14ac:dyDescent="0.4">
      <c r="A47" t="s">
        <v>425</v>
      </c>
      <c r="B47" s="17" t="s">
        <v>428</v>
      </c>
    </row>
    <row r="48" spans="1:2" ht="37.5" x14ac:dyDescent="0.4">
      <c r="A48" t="s">
        <v>429</v>
      </c>
      <c r="B48" s="17" t="s">
        <v>430</v>
      </c>
    </row>
    <row r="49" spans="1:2" x14ac:dyDescent="0.4">
      <c r="A49" t="s">
        <v>431</v>
      </c>
      <c r="B49" s="17" t="s">
        <v>432</v>
      </c>
    </row>
    <row r="50" spans="1:2" x14ac:dyDescent="0.4">
      <c r="A50" t="s">
        <v>433</v>
      </c>
      <c r="B50" s="17" t="s">
        <v>434</v>
      </c>
    </row>
    <row r="51" spans="1:2" x14ac:dyDescent="0.4">
      <c r="A51" t="s">
        <v>435</v>
      </c>
      <c r="B51" s="17" t="s">
        <v>436</v>
      </c>
    </row>
    <row r="52" spans="1:2" x14ac:dyDescent="0.4">
      <c r="A52" t="s">
        <v>437</v>
      </c>
      <c r="B52" s="17" t="s">
        <v>438</v>
      </c>
    </row>
    <row r="53" spans="1:2" ht="37.5" x14ac:dyDescent="0.4">
      <c r="A53" t="s">
        <v>439</v>
      </c>
      <c r="B53" s="17" t="s">
        <v>440</v>
      </c>
    </row>
    <row r="54" spans="1:2" ht="37.5" x14ac:dyDescent="0.4">
      <c r="A54" t="s">
        <v>441</v>
      </c>
      <c r="B54" s="17" t="s">
        <v>442</v>
      </c>
    </row>
    <row r="55" spans="1:2" x14ac:dyDescent="0.4">
      <c r="A55" t="s">
        <v>443</v>
      </c>
      <c r="B55" s="17" t="s">
        <v>444</v>
      </c>
    </row>
    <row r="56" spans="1:2" x14ac:dyDescent="0.4">
      <c r="A56" t="s">
        <v>445</v>
      </c>
      <c r="B56" s="17" t="s">
        <v>446</v>
      </c>
    </row>
    <row r="57" spans="1:2" x14ac:dyDescent="0.4">
      <c r="A57" t="s">
        <v>447</v>
      </c>
      <c r="B57" s="17" t="s">
        <v>448</v>
      </c>
    </row>
    <row r="58" spans="1:2" x14ac:dyDescent="0.4">
      <c r="A58" t="s">
        <v>449</v>
      </c>
      <c r="B58" s="17" t="s">
        <v>450</v>
      </c>
    </row>
    <row r="59" spans="1:2" x14ac:dyDescent="0.4">
      <c r="A59" t="s">
        <v>451</v>
      </c>
      <c r="B59" s="17" t="s">
        <v>452</v>
      </c>
    </row>
    <row r="60" spans="1:2" x14ac:dyDescent="0.4">
      <c r="A60" t="s">
        <v>453</v>
      </c>
      <c r="B60" s="17" t="s">
        <v>454</v>
      </c>
    </row>
    <row r="61" spans="1:2" x14ac:dyDescent="0.4">
      <c r="A61" t="s">
        <v>455</v>
      </c>
      <c r="B61" s="17" t="s">
        <v>456</v>
      </c>
    </row>
    <row r="62" spans="1:2" x14ac:dyDescent="0.4">
      <c r="A62" t="s">
        <v>457</v>
      </c>
      <c r="B62" s="17" t="s">
        <v>458</v>
      </c>
    </row>
    <row r="63" spans="1:2" x14ac:dyDescent="0.4">
      <c r="A63" t="s">
        <v>459</v>
      </c>
      <c r="B63" s="17" t="s">
        <v>460</v>
      </c>
    </row>
    <row r="64" spans="1:2" x14ac:dyDescent="0.4">
      <c r="A64" t="s">
        <v>470</v>
      </c>
      <c r="B64" s="17" t="s">
        <v>461</v>
      </c>
    </row>
    <row r="65" spans="1:2" x14ac:dyDescent="0.4">
      <c r="A65" t="s">
        <v>462</v>
      </c>
      <c r="B65" s="17" t="s">
        <v>463</v>
      </c>
    </row>
    <row r="66" spans="1:2" x14ac:dyDescent="0.4">
      <c r="A66" t="s">
        <v>464</v>
      </c>
      <c r="B66" s="17" t="s">
        <v>465</v>
      </c>
    </row>
    <row r="67" spans="1:2" x14ac:dyDescent="0.4">
      <c r="A67" t="s">
        <v>466</v>
      </c>
      <c r="B67" s="17" t="s">
        <v>467</v>
      </c>
    </row>
    <row r="68" spans="1:2" x14ac:dyDescent="0.4">
      <c r="A68" t="s">
        <v>468</v>
      </c>
      <c r="B68" s="17" t="s">
        <v>469</v>
      </c>
    </row>
    <row r="70" spans="1:2" x14ac:dyDescent="0.4">
      <c r="A70" t="s">
        <v>471</v>
      </c>
      <c r="B70" s="17" t="s">
        <v>472</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G29"/>
  <sheetViews>
    <sheetView tabSelected="1" workbookViewId="0">
      <pane xSplit="2" ySplit="1" topLeftCell="Q2" activePane="bottomRight" state="frozen"/>
      <selection pane="topRight" activeCell="C1" sqref="C1"/>
      <selection pane="bottomLeft" activeCell="A2" sqref="A2"/>
      <selection pane="bottomRight" activeCell="AC1" sqref="AC1"/>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29" width="4.875" customWidth="1" outlineLevel="2"/>
    <col min="30" max="37" width="4.75" customWidth="1" outlineLevel="2"/>
    <col min="38" max="38" width="4.75" customWidth="1" outlineLevel="1"/>
    <col min="39" max="42" width="4.75" customWidth="1" outlineLevel="2"/>
    <col min="43" max="43" width="4.75" customWidth="1" outlineLevel="1"/>
    <col min="44" max="44" width="4.75" customWidth="1" outlineLevel="2"/>
    <col min="45" max="45" width="4.75" customWidth="1" outlineLevel="1"/>
    <col min="46" max="48" width="4.75" customWidth="1" outlineLevel="2"/>
    <col min="49" max="49" width="4.75" customWidth="1" outlineLevel="1"/>
    <col min="50" max="52" width="4.75" customWidth="1" outlineLevel="2"/>
    <col min="53" max="53" width="4.75" customWidth="1"/>
    <col min="54" max="54" width="6.625" customWidth="1" outlineLevel="1"/>
    <col min="55" max="55" width="4.75" customWidth="1" outlineLevel="1"/>
    <col min="56" max="56" width="5.125" customWidth="1"/>
    <col min="57" max="57" width="3.75" customWidth="1"/>
  </cols>
  <sheetData>
    <row r="1" spans="1:59" s="47" customFormat="1" ht="34.5" customHeight="1" x14ac:dyDescent="0.4">
      <c r="A1" s="46" t="s">
        <v>478</v>
      </c>
      <c r="B1" s="46" t="s">
        <v>665</v>
      </c>
      <c r="C1" s="47" t="s">
        <v>1022</v>
      </c>
      <c r="D1" s="47" t="s">
        <v>480</v>
      </c>
      <c r="E1" s="47" t="s">
        <v>481</v>
      </c>
      <c r="F1" s="47" t="s">
        <v>482</v>
      </c>
      <c r="G1" s="47" t="s">
        <v>483</v>
      </c>
      <c r="H1" s="47" t="s">
        <v>484</v>
      </c>
      <c r="I1" s="47" t="s">
        <v>485</v>
      </c>
      <c r="J1" s="47" t="s">
        <v>486</v>
      </c>
      <c r="K1" s="47" t="s">
        <v>487</v>
      </c>
      <c r="L1" s="47" t="s">
        <v>488</v>
      </c>
      <c r="M1" s="47" t="s">
        <v>489</v>
      </c>
      <c r="N1" s="47" t="s">
        <v>490</v>
      </c>
      <c r="O1" s="47" t="s">
        <v>491</v>
      </c>
      <c r="P1" s="47" t="s">
        <v>492</v>
      </c>
      <c r="Q1" s="47" t="s">
        <v>493</v>
      </c>
      <c r="R1" s="47" t="s">
        <v>494</v>
      </c>
      <c r="S1" s="47" t="s">
        <v>495</v>
      </c>
      <c r="T1" s="47" t="s">
        <v>496</v>
      </c>
      <c r="U1" s="47" t="s">
        <v>497</v>
      </c>
      <c r="V1" s="47" t="s">
        <v>498</v>
      </c>
      <c r="W1" s="47" t="s">
        <v>499</v>
      </c>
      <c r="X1" s="47" t="s">
        <v>500</v>
      </c>
      <c r="Y1" s="47" t="s">
        <v>501</v>
      </c>
      <c r="Z1" s="47" t="s">
        <v>995</v>
      </c>
      <c r="AA1" s="47" t="s">
        <v>502</v>
      </c>
      <c r="AB1" s="22" t="s">
        <v>11</v>
      </c>
      <c r="AC1" s="22" t="s">
        <v>1289</v>
      </c>
      <c r="AD1" s="22" t="s">
        <v>1290</v>
      </c>
      <c r="AE1" s="22" t="s">
        <v>13</v>
      </c>
      <c r="AF1" s="22" t="s">
        <v>15</v>
      </c>
      <c r="AG1" s="22" t="s">
        <v>17</v>
      </c>
      <c r="AH1" s="22" t="s">
        <v>18</v>
      </c>
      <c r="AI1" s="22" t="s">
        <v>20</v>
      </c>
      <c r="AJ1" s="22" t="s">
        <v>22</v>
      </c>
      <c r="AK1" s="22" t="s">
        <v>29</v>
      </c>
      <c r="AL1" s="26" t="s">
        <v>248</v>
      </c>
      <c r="AM1" s="26" t="s">
        <v>1</v>
      </c>
      <c r="AN1" s="26" t="s">
        <v>2</v>
      </c>
      <c r="AO1" s="26" t="s">
        <v>106</v>
      </c>
      <c r="AP1" s="26" t="s">
        <v>105</v>
      </c>
      <c r="AQ1" s="27" t="s">
        <v>4</v>
      </c>
      <c r="AR1" s="27" t="s">
        <v>3</v>
      </c>
      <c r="AS1" s="28" t="s">
        <v>227</v>
      </c>
      <c r="AT1" s="28" t="s">
        <v>228</v>
      </c>
      <c r="AU1" s="28" t="s">
        <v>229</v>
      </c>
      <c r="AV1" s="28" t="s">
        <v>230</v>
      </c>
      <c r="AW1" s="29" t="s">
        <v>231</v>
      </c>
      <c r="AX1" s="29" t="s">
        <v>5</v>
      </c>
      <c r="AY1" s="29" t="s">
        <v>1044</v>
      </c>
      <c r="AZ1" s="29" t="s">
        <v>6</v>
      </c>
      <c r="BB1" s="17" t="s">
        <v>1246</v>
      </c>
      <c r="BC1" s="17" t="s">
        <v>1247</v>
      </c>
      <c r="BD1" s="17" t="s">
        <v>1248</v>
      </c>
      <c r="BE1" s="17" t="s">
        <v>216</v>
      </c>
      <c r="BF1" t="s">
        <v>1221</v>
      </c>
      <c r="BG1" t="s">
        <v>1068</v>
      </c>
    </row>
    <row r="2" spans="1:59" ht="27" x14ac:dyDescent="0.4">
      <c r="A2" s="48" t="s">
        <v>503</v>
      </c>
      <c r="B2" s="46" t="s">
        <v>792</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I2" s="17"/>
      <c r="AJ2" s="17"/>
    </row>
    <row r="3" spans="1:59" ht="27" x14ac:dyDescent="0.4">
      <c r="A3" s="48" t="s">
        <v>504</v>
      </c>
      <c r="B3" s="46" t="s">
        <v>990</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I3" s="17">
        <v>-10</v>
      </c>
      <c r="AJ3" s="17">
        <v>-5</v>
      </c>
      <c r="AQ3">
        <v>35</v>
      </c>
      <c r="AZ3">
        <v>15</v>
      </c>
    </row>
    <row r="4" spans="1:59" ht="27" x14ac:dyDescent="0.4">
      <c r="A4" s="48" t="s">
        <v>505</v>
      </c>
      <c r="B4" s="46" t="s">
        <v>807</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I4" s="17">
        <v>-15</v>
      </c>
      <c r="AJ4" s="17">
        <v>-10</v>
      </c>
      <c r="AZ4">
        <v>25</v>
      </c>
    </row>
    <row r="5" spans="1:59" ht="27" x14ac:dyDescent="0.4">
      <c r="A5" s="48" t="s">
        <v>506</v>
      </c>
      <c r="B5" s="46" t="s">
        <v>808</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I5" s="17"/>
      <c r="AJ5" s="17"/>
      <c r="AQ5">
        <v>-10</v>
      </c>
    </row>
    <row r="6" spans="1:59" ht="27" x14ac:dyDescent="0.4">
      <c r="A6" s="48" t="s">
        <v>507</v>
      </c>
      <c r="B6" s="46" t="s">
        <v>793</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I6" s="17"/>
      <c r="AJ6" s="17"/>
    </row>
    <row r="7" spans="1:59" ht="27" x14ac:dyDescent="0.4">
      <c r="A7" s="48" t="s">
        <v>508</v>
      </c>
      <c r="B7" s="46" t="s">
        <v>794</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I7" s="17"/>
      <c r="AJ7" s="17"/>
      <c r="AZ7">
        <v>35</v>
      </c>
    </row>
    <row r="8" spans="1:59" ht="27" x14ac:dyDescent="0.4">
      <c r="A8" s="48" t="s">
        <v>509</v>
      </c>
      <c r="B8" s="46" t="s">
        <v>795</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I8" s="17"/>
      <c r="AJ8" s="17"/>
    </row>
    <row r="9" spans="1:59" ht="27" x14ac:dyDescent="0.4">
      <c r="A9" s="48" t="s">
        <v>510</v>
      </c>
      <c r="B9" s="46" t="s">
        <v>796</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I9" s="17">
        <v>-10</v>
      </c>
      <c r="AJ9" s="17">
        <v>-10</v>
      </c>
      <c r="AQ9">
        <v>-10</v>
      </c>
    </row>
    <row r="10" spans="1:59" ht="27" x14ac:dyDescent="0.4">
      <c r="A10" s="48" t="s">
        <v>1292</v>
      </c>
      <c r="B10" s="46" t="s">
        <v>1293</v>
      </c>
      <c r="C10">
        <v>15</v>
      </c>
      <c r="D10">
        <v>15</v>
      </c>
      <c r="E10">
        <v>20</v>
      </c>
      <c r="F10">
        <v>0</v>
      </c>
      <c r="G10">
        <v>0</v>
      </c>
      <c r="H10">
        <v>0</v>
      </c>
      <c r="I10">
        <v>0</v>
      </c>
      <c r="J10">
        <v>100</v>
      </c>
      <c r="K10">
        <v>45</v>
      </c>
      <c r="L10">
        <v>15</v>
      </c>
      <c r="M10">
        <v>0</v>
      </c>
      <c r="N10">
        <v>0</v>
      </c>
      <c r="O10">
        <v>5</v>
      </c>
      <c r="P10">
        <v>25</v>
      </c>
      <c r="Q10">
        <v>15</v>
      </c>
      <c r="R10" s="39">
        <v>0</v>
      </c>
      <c r="S10" s="39">
        <v>0.1</v>
      </c>
      <c r="T10" s="39">
        <v>0</v>
      </c>
      <c r="U10" s="39">
        <v>0</v>
      </c>
      <c r="V10" s="39">
        <v>0.1</v>
      </c>
      <c r="W10" s="39">
        <v>0</v>
      </c>
      <c r="X10" s="39">
        <v>0.1</v>
      </c>
      <c r="Y10" s="39">
        <v>0</v>
      </c>
      <c r="Z10" s="39">
        <v>0.3</v>
      </c>
      <c r="AA10">
        <v>1</v>
      </c>
      <c r="AI10" s="17"/>
      <c r="AJ10" s="17"/>
    </row>
    <row r="11" spans="1:59" ht="27" x14ac:dyDescent="0.4">
      <c r="A11" s="48" t="s">
        <v>511</v>
      </c>
      <c r="B11" s="46" t="s">
        <v>797</v>
      </c>
      <c r="C11">
        <v>20</v>
      </c>
      <c r="D11">
        <v>45</v>
      </c>
      <c r="E11">
        <v>20</v>
      </c>
      <c r="F11">
        <v>50</v>
      </c>
      <c r="G11">
        <v>20</v>
      </c>
      <c r="H11">
        <v>5</v>
      </c>
      <c r="I11">
        <v>0</v>
      </c>
      <c r="J11">
        <v>5</v>
      </c>
      <c r="K11">
        <v>0</v>
      </c>
      <c r="L11">
        <v>0</v>
      </c>
      <c r="M11">
        <v>0</v>
      </c>
      <c r="N11">
        <v>0</v>
      </c>
      <c r="O11">
        <v>0</v>
      </c>
      <c r="P11">
        <v>5</v>
      </c>
      <c r="Q11">
        <v>5</v>
      </c>
      <c r="R11" s="39">
        <v>0.1</v>
      </c>
      <c r="S11" s="39">
        <v>0</v>
      </c>
      <c r="T11" s="39">
        <v>0</v>
      </c>
      <c r="U11" s="39">
        <v>0</v>
      </c>
      <c r="V11" s="39">
        <v>0</v>
      </c>
      <c r="W11" s="39">
        <v>0.3</v>
      </c>
      <c r="X11" s="39">
        <v>0</v>
      </c>
      <c r="Y11" s="39">
        <v>0.1</v>
      </c>
      <c r="Z11" s="39">
        <v>0.65</v>
      </c>
      <c r="AA11">
        <v>4</v>
      </c>
      <c r="AI11" s="17">
        <v>-25</v>
      </c>
      <c r="AJ11" s="17">
        <v>-15</v>
      </c>
      <c r="AQ11">
        <v>10</v>
      </c>
    </row>
    <row r="12" spans="1:59" ht="27" x14ac:dyDescent="0.4">
      <c r="A12" s="48" t="s">
        <v>1043</v>
      </c>
      <c r="B12" s="46" t="s">
        <v>798</v>
      </c>
      <c r="C12">
        <v>5</v>
      </c>
      <c r="D12">
        <v>5</v>
      </c>
      <c r="E12">
        <v>15</v>
      </c>
      <c r="F12">
        <v>0</v>
      </c>
      <c r="G12">
        <v>5</v>
      </c>
      <c r="H12">
        <v>0</v>
      </c>
      <c r="I12">
        <v>0</v>
      </c>
      <c r="J12">
        <v>160</v>
      </c>
      <c r="K12">
        <v>120</v>
      </c>
      <c r="L12">
        <v>60</v>
      </c>
      <c r="M12">
        <v>40</v>
      </c>
      <c r="N12">
        <v>25</v>
      </c>
      <c r="O12">
        <v>20</v>
      </c>
      <c r="P12">
        <v>35</v>
      </c>
      <c r="Q12">
        <v>25</v>
      </c>
      <c r="R12" s="39">
        <v>-0.1</v>
      </c>
      <c r="S12" s="39">
        <v>-0.05</v>
      </c>
      <c r="T12" s="39">
        <v>0.05</v>
      </c>
      <c r="U12" s="39">
        <v>0.1</v>
      </c>
      <c r="V12" s="39">
        <v>0.05</v>
      </c>
      <c r="W12" s="39">
        <v>-0.2</v>
      </c>
      <c r="X12" s="39">
        <v>0.3</v>
      </c>
      <c r="Y12" s="39">
        <v>0.05</v>
      </c>
      <c r="Z12" s="39">
        <v>0.7</v>
      </c>
      <c r="AA12">
        <v>5</v>
      </c>
      <c r="AI12" s="17"/>
      <c r="AJ12" s="17"/>
      <c r="AQ12">
        <v>15</v>
      </c>
    </row>
    <row r="13" spans="1:59" ht="27" x14ac:dyDescent="0.4">
      <c r="A13" s="48" t="s">
        <v>513</v>
      </c>
      <c r="B13" s="46" t="s">
        <v>799</v>
      </c>
      <c r="C13">
        <v>0</v>
      </c>
      <c r="D13">
        <v>0</v>
      </c>
      <c r="E13">
        <v>10</v>
      </c>
      <c r="F13">
        <v>0</v>
      </c>
      <c r="G13">
        <v>0</v>
      </c>
      <c r="H13">
        <v>0</v>
      </c>
      <c r="I13">
        <v>0</v>
      </c>
      <c r="J13">
        <v>80</v>
      </c>
      <c r="K13">
        <v>150</v>
      </c>
      <c r="L13">
        <v>120</v>
      </c>
      <c r="M13">
        <v>80</v>
      </c>
      <c r="N13">
        <v>60</v>
      </c>
      <c r="O13">
        <v>40</v>
      </c>
      <c r="P13">
        <v>80</v>
      </c>
      <c r="Q13">
        <v>120</v>
      </c>
      <c r="R13" s="39">
        <v>0</v>
      </c>
      <c r="S13" s="39">
        <v>0</v>
      </c>
      <c r="T13" s="39">
        <v>0</v>
      </c>
      <c r="U13" s="39">
        <v>0</v>
      </c>
      <c r="V13" s="39">
        <v>0</v>
      </c>
      <c r="W13" s="39">
        <v>-0.3</v>
      </c>
      <c r="X13" s="39">
        <v>0.25</v>
      </c>
      <c r="Y13" s="39">
        <v>0</v>
      </c>
      <c r="Z13" s="39">
        <v>0.9</v>
      </c>
      <c r="AA13">
        <v>6</v>
      </c>
      <c r="AI13" s="17"/>
      <c r="AJ13" s="17"/>
      <c r="AQ13" s="17">
        <v>45</v>
      </c>
    </row>
    <row r="14" spans="1:59" ht="27" x14ac:dyDescent="0.4">
      <c r="A14" s="48" t="s">
        <v>514</v>
      </c>
      <c r="B14" s="46" t="s">
        <v>800</v>
      </c>
      <c r="C14">
        <v>12</v>
      </c>
      <c r="D14">
        <v>10</v>
      </c>
      <c r="E14">
        <v>35</v>
      </c>
      <c r="F14">
        <v>5</v>
      </c>
      <c r="G14">
        <v>8</v>
      </c>
      <c r="H14">
        <v>0</v>
      </c>
      <c r="I14">
        <v>0</v>
      </c>
      <c r="J14">
        <v>70</v>
      </c>
      <c r="K14">
        <v>50</v>
      </c>
      <c r="L14">
        <v>20</v>
      </c>
      <c r="M14">
        <v>5</v>
      </c>
      <c r="N14">
        <v>0</v>
      </c>
      <c r="O14">
        <v>8</v>
      </c>
      <c r="P14">
        <v>10</v>
      </c>
      <c r="Q14">
        <v>8</v>
      </c>
      <c r="R14" s="39">
        <v>-0.05</v>
      </c>
      <c r="S14" s="39">
        <v>0.05</v>
      </c>
      <c r="T14" s="39">
        <v>0.25</v>
      </c>
      <c r="U14" s="39">
        <v>0</v>
      </c>
      <c r="V14" s="39">
        <v>0</v>
      </c>
      <c r="W14" s="39">
        <v>-0.05</v>
      </c>
      <c r="X14" s="39">
        <v>0.1</v>
      </c>
      <c r="Y14" s="39">
        <v>0.1</v>
      </c>
      <c r="Z14" s="39">
        <v>0.65</v>
      </c>
      <c r="AA14">
        <v>3</v>
      </c>
      <c r="AI14" s="17">
        <v>-15</v>
      </c>
      <c r="AJ14" s="17">
        <v>-10</v>
      </c>
    </row>
    <row r="15" spans="1:59" ht="27" x14ac:dyDescent="0.4">
      <c r="A15" s="48" t="s">
        <v>515</v>
      </c>
      <c r="B15" s="46" t="s">
        <v>801</v>
      </c>
      <c r="C15">
        <v>2</v>
      </c>
      <c r="D15">
        <v>3</v>
      </c>
      <c r="E15">
        <v>10</v>
      </c>
      <c r="F15">
        <v>0</v>
      </c>
      <c r="G15">
        <v>0</v>
      </c>
      <c r="H15">
        <v>0</v>
      </c>
      <c r="I15">
        <v>0</v>
      </c>
      <c r="J15">
        <v>180</v>
      </c>
      <c r="K15">
        <v>80</v>
      </c>
      <c r="L15">
        <v>140</v>
      </c>
      <c r="M15">
        <v>130</v>
      </c>
      <c r="N15">
        <v>170</v>
      </c>
      <c r="O15">
        <v>80</v>
      </c>
      <c r="P15">
        <v>45</v>
      </c>
      <c r="Q15">
        <v>30</v>
      </c>
      <c r="R15" s="39">
        <v>0</v>
      </c>
      <c r="S15" s="39">
        <v>0</v>
      </c>
      <c r="T15" s="39">
        <v>0</v>
      </c>
      <c r="U15" s="39">
        <v>0.4</v>
      </c>
      <c r="V15" s="39">
        <v>0.1</v>
      </c>
      <c r="W15" s="39">
        <v>-0.3</v>
      </c>
      <c r="X15" s="39">
        <v>0.3</v>
      </c>
      <c r="Y15" s="39">
        <v>0.15</v>
      </c>
      <c r="Z15" s="39">
        <v>0.95</v>
      </c>
      <c r="AA15">
        <v>6</v>
      </c>
      <c r="AI15" s="17"/>
      <c r="AJ15" s="17"/>
      <c r="AZ15">
        <v>50</v>
      </c>
    </row>
    <row r="16" spans="1:59" ht="27" x14ac:dyDescent="0.4">
      <c r="A16" s="48" t="s">
        <v>780</v>
      </c>
      <c r="B16" s="46" t="s">
        <v>1023</v>
      </c>
      <c r="C16">
        <v>-50</v>
      </c>
      <c r="D16">
        <v>-50</v>
      </c>
      <c r="E16">
        <v>-50</v>
      </c>
      <c r="F16">
        <v>-50</v>
      </c>
      <c r="G16">
        <v>-75</v>
      </c>
      <c r="H16">
        <v>-50</v>
      </c>
      <c r="I16">
        <v>-20</v>
      </c>
      <c r="J16">
        <v>25</v>
      </c>
      <c r="K16">
        <v>25</v>
      </c>
      <c r="L16">
        <v>25</v>
      </c>
      <c r="M16">
        <v>10</v>
      </c>
      <c r="N16">
        <v>15</v>
      </c>
      <c r="O16">
        <v>10</v>
      </c>
      <c r="P16">
        <v>15</v>
      </c>
      <c r="Q16">
        <v>10</v>
      </c>
      <c r="R16" s="39">
        <v>0</v>
      </c>
      <c r="S16" s="39">
        <v>0</v>
      </c>
      <c r="T16" s="39">
        <v>0</v>
      </c>
      <c r="U16" s="39">
        <v>0</v>
      </c>
      <c r="V16" s="39">
        <v>0</v>
      </c>
      <c r="W16" s="39">
        <v>0</v>
      </c>
      <c r="X16" s="39">
        <v>0</v>
      </c>
      <c r="Y16" s="39">
        <v>0</v>
      </c>
      <c r="Z16" s="39">
        <v>0.9</v>
      </c>
      <c r="AA16">
        <v>3</v>
      </c>
      <c r="AI16" s="17">
        <v>-30</v>
      </c>
      <c r="AJ16" s="17">
        <v>-30</v>
      </c>
    </row>
    <row r="17" spans="1:57" ht="54" x14ac:dyDescent="0.4">
      <c r="A17" s="48" t="s">
        <v>917</v>
      </c>
      <c r="B17" s="46" t="s">
        <v>918</v>
      </c>
      <c r="C17">
        <v>-50</v>
      </c>
      <c r="D17">
        <v>-50</v>
      </c>
      <c r="E17">
        <v>-50</v>
      </c>
      <c r="F17">
        <v>-50</v>
      </c>
      <c r="G17">
        <v>-75</v>
      </c>
      <c r="H17">
        <v>-50</v>
      </c>
      <c r="I17">
        <v>-20</v>
      </c>
      <c r="J17">
        <v>0</v>
      </c>
      <c r="K17">
        <v>0</v>
      </c>
      <c r="L17">
        <v>0</v>
      </c>
      <c r="M17">
        <v>0</v>
      </c>
      <c r="N17">
        <v>0</v>
      </c>
      <c r="O17">
        <v>0</v>
      </c>
      <c r="P17">
        <v>0</v>
      </c>
      <c r="Q17">
        <v>0</v>
      </c>
      <c r="R17" s="39">
        <v>0</v>
      </c>
      <c r="S17" s="39">
        <v>0</v>
      </c>
      <c r="T17" s="39">
        <v>0</v>
      </c>
      <c r="U17" s="39">
        <v>0</v>
      </c>
      <c r="V17" s="39">
        <v>0</v>
      </c>
      <c r="W17" s="39">
        <v>0</v>
      </c>
      <c r="X17" s="39">
        <v>0</v>
      </c>
      <c r="Y17" s="39">
        <v>0</v>
      </c>
      <c r="Z17" s="39">
        <v>0.9</v>
      </c>
      <c r="AA17">
        <v>4</v>
      </c>
      <c r="AI17" s="17"/>
      <c r="AJ17" s="17">
        <v>-15</v>
      </c>
      <c r="AQ17" s="17">
        <v>20</v>
      </c>
      <c r="BD17">
        <v>50</v>
      </c>
    </row>
    <row r="18" spans="1:57" x14ac:dyDescent="0.4">
      <c r="A18" s="48"/>
      <c r="B18" s="46"/>
      <c r="R18" s="39"/>
      <c r="S18" s="39"/>
      <c r="T18" s="39"/>
      <c r="U18" s="39"/>
      <c r="V18" s="39"/>
      <c r="W18" s="39"/>
      <c r="X18" s="39"/>
      <c r="Y18" s="39"/>
      <c r="Z18" s="39"/>
      <c r="AI18" s="17"/>
      <c r="AJ18" s="17"/>
      <c r="AQ18" s="17"/>
    </row>
    <row r="19" spans="1:57" x14ac:dyDescent="0.4">
      <c r="A19" s="48" t="s">
        <v>1258</v>
      </c>
      <c r="B19" s="46"/>
      <c r="C19">
        <v>15</v>
      </c>
      <c r="D19">
        <v>15</v>
      </c>
      <c r="R19" s="39"/>
      <c r="S19" s="39"/>
      <c r="T19" s="39"/>
      <c r="U19" s="39"/>
      <c r="V19" s="39"/>
      <c r="W19" s="39"/>
      <c r="X19" s="39"/>
      <c r="Y19" s="39"/>
      <c r="Z19" s="39"/>
      <c r="AI19" s="17"/>
      <c r="AJ19" s="17"/>
      <c r="AQ19" s="17"/>
      <c r="BC19">
        <v>5</v>
      </c>
      <c r="BE19">
        <v>10</v>
      </c>
    </row>
    <row r="20" spans="1:57" x14ac:dyDescent="0.4">
      <c r="A20" s="48" t="s">
        <v>1259</v>
      </c>
      <c r="B20" s="46"/>
      <c r="O20">
        <v>40</v>
      </c>
      <c r="R20" s="39"/>
      <c r="S20" s="39"/>
      <c r="T20" s="39"/>
      <c r="U20" s="39"/>
      <c r="V20" s="39"/>
      <c r="W20" s="39"/>
      <c r="X20" s="39"/>
      <c r="Y20" s="39"/>
      <c r="Z20" s="39">
        <v>0.3</v>
      </c>
      <c r="AI20" s="17"/>
      <c r="AJ20" s="17"/>
      <c r="AQ20" s="17"/>
    </row>
    <row r="21" spans="1:57" x14ac:dyDescent="0.4">
      <c r="A21" s="48" t="s">
        <v>1260</v>
      </c>
      <c r="B21" s="46"/>
      <c r="P21">
        <v>40</v>
      </c>
      <c r="R21" s="39"/>
      <c r="S21" s="39"/>
      <c r="T21" s="39"/>
      <c r="U21" s="39"/>
      <c r="V21" s="39"/>
      <c r="W21" s="39"/>
      <c r="X21" s="39"/>
      <c r="Y21" s="39"/>
      <c r="Z21" s="39">
        <v>0.15</v>
      </c>
      <c r="AI21" s="17"/>
      <c r="AJ21" s="17"/>
      <c r="AQ21" s="17"/>
    </row>
    <row r="22" spans="1:57" x14ac:dyDescent="0.4">
      <c r="A22" s="48" t="s">
        <v>1261</v>
      </c>
      <c r="B22" s="46"/>
      <c r="Q22">
        <v>40</v>
      </c>
      <c r="R22" s="39"/>
      <c r="S22" s="39"/>
      <c r="T22" s="39"/>
      <c r="U22" s="39"/>
      <c r="V22" s="39"/>
      <c r="W22" s="39"/>
      <c r="X22" s="39"/>
      <c r="Y22" s="39"/>
      <c r="Z22" s="39">
        <v>0.15</v>
      </c>
      <c r="AI22" s="17"/>
      <c r="AJ22" s="17"/>
      <c r="AQ22" s="17"/>
    </row>
    <row r="23" spans="1:57" x14ac:dyDescent="0.4">
      <c r="A23" s="48" t="s">
        <v>1262</v>
      </c>
      <c r="B23" s="46"/>
      <c r="C23">
        <v>20</v>
      </c>
      <c r="F23">
        <v>10</v>
      </c>
      <c r="R23" s="39"/>
      <c r="S23" s="39"/>
      <c r="T23" s="39"/>
      <c r="U23" s="39"/>
      <c r="V23" s="39"/>
      <c r="W23" s="39">
        <v>0.25</v>
      </c>
      <c r="X23" s="39">
        <v>0.25</v>
      </c>
      <c r="Y23" s="39"/>
      <c r="Z23" s="39">
        <v>0.1</v>
      </c>
      <c r="AI23" s="17"/>
      <c r="AJ23" s="17"/>
      <c r="AQ23" s="17"/>
      <c r="BE23">
        <v>5</v>
      </c>
    </row>
    <row r="24" spans="1:57" x14ac:dyDescent="0.4">
      <c r="A24" s="48" t="s">
        <v>1263</v>
      </c>
      <c r="B24" s="46"/>
      <c r="C24">
        <v>-15</v>
      </c>
      <c r="D24">
        <v>-15</v>
      </c>
      <c r="E24">
        <v>-15</v>
      </c>
      <c r="F24">
        <v>-15</v>
      </c>
      <c r="G24">
        <v>-15</v>
      </c>
      <c r="H24">
        <v>-15</v>
      </c>
      <c r="I24">
        <v>-15</v>
      </c>
      <c r="J24">
        <v>-15</v>
      </c>
      <c r="K24">
        <v>-15</v>
      </c>
      <c r="L24">
        <v>-15</v>
      </c>
      <c r="M24">
        <v>-15</v>
      </c>
      <c r="N24">
        <v>-15</v>
      </c>
      <c r="O24">
        <v>-15</v>
      </c>
      <c r="P24">
        <v>-15</v>
      </c>
      <c r="R24" s="39"/>
      <c r="S24" s="39"/>
      <c r="T24" s="39"/>
      <c r="U24" s="39"/>
      <c r="V24" s="39"/>
      <c r="W24" s="39"/>
      <c r="X24" s="39"/>
      <c r="Y24" s="39"/>
      <c r="Z24" s="39"/>
      <c r="AI24" s="17"/>
      <c r="AJ24" s="17"/>
      <c r="AQ24" s="17"/>
      <c r="BD24">
        <v>20</v>
      </c>
    </row>
    <row r="25" spans="1:57" x14ac:dyDescent="0.4">
      <c r="A25" s="48"/>
      <c r="B25" s="46"/>
      <c r="R25" s="39"/>
      <c r="S25" s="39"/>
      <c r="T25" s="39"/>
      <c r="U25" s="39"/>
      <c r="V25" s="39"/>
      <c r="W25" s="39"/>
      <c r="X25" s="39"/>
      <c r="Y25" s="39"/>
      <c r="Z25" s="39"/>
      <c r="AI25" s="17"/>
      <c r="AJ25" s="17"/>
      <c r="AQ25" s="17"/>
    </row>
    <row r="27" spans="1:57" ht="27" x14ac:dyDescent="0.4">
      <c r="A27" s="49" t="s">
        <v>599</v>
      </c>
      <c r="B27" s="50" t="s">
        <v>802</v>
      </c>
      <c r="C27">
        <v>-10</v>
      </c>
      <c r="D27">
        <v>-10</v>
      </c>
      <c r="E27">
        <v>-10</v>
      </c>
      <c r="F27">
        <v>-10</v>
      </c>
      <c r="G27">
        <v>-10</v>
      </c>
      <c r="H27">
        <v>-10</v>
      </c>
      <c r="I27">
        <v>-10</v>
      </c>
      <c r="J27">
        <v>-10</v>
      </c>
      <c r="K27">
        <v>-10</v>
      </c>
      <c r="L27">
        <v>-10</v>
      </c>
      <c r="M27">
        <v>-10</v>
      </c>
      <c r="N27">
        <v>-10</v>
      </c>
      <c r="O27">
        <v>-10</v>
      </c>
      <c r="P27">
        <v>-10</v>
      </c>
      <c r="Q27">
        <v>-10</v>
      </c>
      <c r="R27">
        <v>0</v>
      </c>
      <c r="S27">
        <v>0</v>
      </c>
      <c r="T27">
        <v>0</v>
      </c>
      <c r="U27">
        <v>0</v>
      </c>
      <c r="V27">
        <v>0</v>
      </c>
      <c r="W27">
        <v>0</v>
      </c>
      <c r="X27">
        <v>0</v>
      </c>
      <c r="Y27">
        <v>0</v>
      </c>
      <c r="Z27">
        <v>0</v>
      </c>
      <c r="AA27">
        <v>2</v>
      </c>
      <c r="AQ27">
        <v>-30</v>
      </c>
    </row>
    <row r="28" spans="1:57" ht="27" x14ac:dyDescent="0.4">
      <c r="A28" s="48" t="s">
        <v>803</v>
      </c>
      <c r="B28" s="46" t="s">
        <v>804</v>
      </c>
      <c r="C28">
        <v>-10</v>
      </c>
      <c r="D28">
        <v>-10</v>
      </c>
      <c r="E28">
        <v>-10</v>
      </c>
      <c r="F28">
        <v>-10</v>
      </c>
      <c r="G28">
        <v>-10</v>
      </c>
      <c r="H28">
        <v>-10</v>
      </c>
      <c r="I28">
        <v>-10</v>
      </c>
      <c r="J28">
        <v>-10</v>
      </c>
      <c r="K28">
        <v>-10</v>
      </c>
      <c r="L28">
        <v>-10</v>
      </c>
      <c r="M28">
        <v>-10</v>
      </c>
      <c r="N28">
        <v>-10</v>
      </c>
      <c r="O28">
        <v>-10</v>
      </c>
      <c r="P28">
        <v>-10</v>
      </c>
      <c r="Q28">
        <v>-10</v>
      </c>
      <c r="R28">
        <v>0</v>
      </c>
      <c r="S28">
        <v>0</v>
      </c>
      <c r="T28">
        <v>0</v>
      </c>
      <c r="U28">
        <v>0</v>
      </c>
      <c r="V28">
        <v>0</v>
      </c>
      <c r="W28">
        <v>0</v>
      </c>
      <c r="X28">
        <v>0</v>
      </c>
      <c r="Y28">
        <v>0</v>
      </c>
      <c r="Z28">
        <v>0</v>
      </c>
      <c r="AA28">
        <v>3</v>
      </c>
      <c r="AQ28">
        <v>-30</v>
      </c>
    </row>
    <row r="29" spans="1:57" ht="27" x14ac:dyDescent="0.4">
      <c r="A29" s="48" t="s">
        <v>805</v>
      </c>
      <c r="B29" s="46" t="s">
        <v>806</v>
      </c>
      <c r="C29">
        <v>-10</v>
      </c>
      <c r="D29">
        <v>-10</v>
      </c>
      <c r="E29">
        <v>-10</v>
      </c>
      <c r="F29">
        <v>-10</v>
      </c>
      <c r="G29">
        <v>-10</v>
      </c>
      <c r="H29">
        <v>-10</v>
      </c>
      <c r="I29">
        <v>-10</v>
      </c>
      <c r="J29">
        <v>-10</v>
      </c>
      <c r="K29">
        <v>-10</v>
      </c>
      <c r="L29">
        <v>-10</v>
      </c>
      <c r="M29">
        <v>-10</v>
      </c>
      <c r="N29">
        <v>-10</v>
      </c>
      <c r="O29">
        <v>-10</v>
      </c>
      <c r="P29">
        <v>-10</v>
      </c>
      <c r="Q29">
        <v>-10</v>
      </c>
      <c r="R29">
        <v>0</v>
      </c>
      <c r="S29">
        <v>0</v>
      </c>
      <c r="T29">
        <v>0</v>
      </c>
      <c r="U29">
        <v>0</v>
      </c>
      <c r="V29">
        <v>0</v>
      </c>
      <c r="W29">
        <v>0</v>
      </c>
      <c r="X29">
        <v>0</v>
      </c>
      <c r="Y29">
        <v>0</v>
      </c>
      <c r="Z29">
        <v>0</v>
      </c>
      <c r="AA29">
        <v>4</v>
      </c>
      <c r="AQ29">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R176"/>
  <sheetViews>
    <sheetView workbookViewId="0">
      <pane xSplit="5" ySplit="2" topLeftCell="F3" activePane="bottomRight" state="frozen"/>
      <selection pane="topRight" activeCell="E1" sqref="E1"/>
      <selection pane="bottomLeft" activeCell="A3" sqref="A3"/>
      <selection pane="bottomRight" activeCell="C54" sqref="C54"/>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18" s="10" customFormat="1" ht="36" x14ac:dyDescent="0.4">
      <c r="A1" s="10" t="s">
        <v>781</v>
      </c>
      <c r="B1" s="10" t="s">
        <v>782</v>
      </c>
      <c r="C1" s="2" t="s">
        <v>912</v>
      </c>
      <c r="D1" s="2" t="s">
        <v>1294</v>
      </c>
      <c r="E1" s="2" t="s">
        <v>897</v>
      </c>
      <c r="F1" s="2" t="s">
        <v>852</v>
      </c>
      <c r="G1" s="51" t="s">
        <v>784</v>
      </c>
      <c r="H1" s="51" t="s">
        <v>783</v>
      </c>
      <c r="I1" s="51" t="s">
        <v>913</v>
      </c>
      <c r="J1" s="10" t="s">
        <v>785</v>
      </c>
      <c r="K1" s="10" t="s">
        <v>316</v>
      </c>
      <c r="L1" s="10" t="s">
        <v>791</v>
      </c>
      <c r="M1" s="10" t="s">
        <v>788</v>
      </c>
      <c r="N1" s="10" t="s">
        <v>789</v>
      </c>
      <c r="O1" s="10" t="s">
        <v>790</v>
      </c>
      <c r="P1" s="10" t="s">
        <v>786</v>
      </c>
      <c r="Q1" s="10" t="s">
        <v>787</v>
      </c>
      <c r="R1" s="10" t="s">
        <v>1171</v>
      </c>
    </row>
    <row r="2" spans="1:18"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18" x14ac:dyDescent="0.4">
      <c r="A3" s="2" t="s">
        <v>503</v>
      </c>
      <c r="B3" s="10" t="s">
        <v>199</v>
      </c>
      <c r="C3" t="str">
        <f>_xlfn.LET(
 _xlpm.dOK,COUNTIF(クラス!A:A,E3)&gt;0,
 _xlpm.eOK,COUNTIF(クラス!A:A,F3)&gt;0,
 IF(_xlpm.dOK,"○","×") &amp; IF(_xlpm.eOK,"○","×")
)</f>
        <v>○×</v>
      </c>
      <c r="D3" t="b">
        <v>1</v>
      </c>
      <c r="E3" t="s">
        <v>200</v>
      </c>
      <c r="G3">
        <v>5</v>
      </c>
      <c r="H3">
        <v>8</v>
      </c>
      <c r="R3" t="s">
        <v>1172</v>
      </c>
    </row>
    <row r="4" spans="1:18" outlineLevel="1" x14ac:dyDescent="0.4">
      <c r="A4" s="2" t="s">
        <v>503</v>
      </c>
      <c r="B4" s="10" t="s">
        <v>196</v>
      </c>
      <c r="C4" t="str">
        <f>_xlfn.LET(
 _xlpm.dOK,COUNTIF(クラス!A:A,E4)&gt;0,
 _xlpm.eOK,COUNTIF(クラス!A:A,F4)&gt;0,
 IF(_xlpm.dOK,"○","×") &amp; IF(_xlpm.eOK,"○","×")
)</f>
        <v>○×</v>
      </c>
      <c r="E4" t="s">
        <v>196</v>
      </c>
      <c r="G4">
        <v>4</v>
      </c>
      <c r="H4">
        <v>7</v>
      </c>
      <c r="R4" t="s">
        <v>196</v>
      </c>
    </row>
    <row r="5" spans="1:18" outlineLevel="1" x14ac:dyDescent="0.4">
      <c r="A5" s="2" t="s">
        <v>503</v>
      </c>
      <c r="B5" s="10" t="s">
        <v>809</v>
      </c>
      <c r="C5" t="str">
        <f>_xlfn.LET(
 _xlpm.dOK,COUNTIF(クラス!A:A,E5)&gt;0,
 _xlpm.eOK,COUNTIF(クラス!A:A,F5)&gt;0,
 IF(_xlpm.dOK,"○","×") &amp; IF(_xlpm.eOK,"○","×")
)</f>
        <v>××</v>
      </c>
    </row>
    <row r="6" spans="1:18" outlineLevel="1" x14ac:dyDescent="0.4">
      <c r="A6" s="2" t="s">
        <v>503</v>
      </c>
      <c r="B6" s="10" t="s">
        <v>810</v>
      </c>
      <c r="C6" t="str">
        <f>_xlfn.LET(
 _xlpm.dOK,COUNTIF(クラス!A:A,E6)&gt;0,
 _xlpm.eOK,COUNTIF(クラス!A:A,F6)&gt;0,
 IF(_xlpm.dOK,"○","×") &amp; IF(_xlpm.eOK,"○","×")
)</f>
        <v>××</v>
      </c>
    </row>
    <row r="7" spans="1:18" outlineLevel="1" x14ac:dyDescent="0.4">
      <c r="A7" s="2" t="s">
        <v>503</v>
      </c>
      <c r="B7" s="10" t="s">
        <v>811</v>
      </c>
      <c r="C7" t="str">
        <f>_xlfn.LET(
 _xlpm.dOK,COUNTIF(クラス!A:A,E7)&gt;0,
 _xlpm.eOK,COUNTIF(クラス!A:A,F7)&gt;0,
 IF(_xlpm.dOK,"○","×") &amp; IF(_xlpm.eOK,"○","×")
)</f>
        <v>○○</v>
      </c>
      <c r="D7" t="b">
        <v>1</v>
      </c>
      <c r="E7" t="s">
        <v>197</v>
      </c>
      <c r="F7" t="s">
        <v>200</v>
      </c>
      <c r="G7">
        <v>12</v>
      </c>
      <c r="H7">
        <v>15</v>
      </c>
      <c r="R7" t="s">
        <v>811</v>
      </c>
    </row>
    <row r="8" spans="1:18" ht="36" outlineLevel="1" x14ac:dyDescent="0.4">
      <c r="A8" s="2" t="s">
        <v>503</v>
      </c>
      <c r="B8" s="10" t="s">
        <v>1251</v>
      </c>
      <c r="C8" t="str">
        <f>_xlfn.LET(
 _xlpm.dOK,COUNTIF(クラス!A:A,E8)&gt;0,
 _xlpm.eOK,COUNTIF(クラス!A:A,F8)&gt;0,
 IF(_xlpm.dOK,"○","×") &amp; IF(_xlpm.eOK,"○","×")
)</f>
        <v>○○</v>
      </c>
      <c r="E8" t="s">
        <v>195</v>
      </c>
      <c r="F8" t="s">
        <v>207</v>
      </c>
      <c r="G8">
        <v>12</v>
      </c>
      <c r="H8">
        <v>15</v>
      </c>
      <c r="R8" t="s">
        <v>1281</v>
      </c>
    </row>
    <row r="9" spans="1:18" outlineLevel="1" x14ac:dyDescent="0.4">
      <c r="A9" s="2" t="s">
        <v>503</v>
      </c>
      <c r="B9" s="10" t="s">
        <v>815</v>
      </c>
      <c r="C9" t="str">
        <f>_xlfn.LET(
 _xlpm.dOK,COUNTIF(クラス!A:A,E9)&gt;0,
 _xlpm.eOK,COUNTIF(クラス!A:A,F9)&gt;0,
 IF(_xlpm.dOK,"○","×") &amp; IF(_xlpm.eOK,"○","×")
)</f>
        <v>○×</v>
      </c>
      <c r="D9" t="b">
        <v>1</v>
      </c>
      <c r="E9" t="s">
        <v>896</v>
      </c>
      <c r="G9">
        <v>15</v>
      </c>
      <c r="H9">
        <v>20</v>
      </c>
      <c r="R9" t="s">
        <v>896</v>
      </c>
    </row>
    <row r="10" spans="1:18" outlineLevel="1" x14ac:dyDescent="0.4">
      <c r="C10" t="str">
        <f>_xlfn.LET(
 _xlpm.dOK,COUNTIF(クラス!A:A,E10)&gt;0,
 _xlpm.eOK,COUNTIF(クラス!A:A,F10)&gt;0,
 IF(_xlpm.dOK,"○","×") &amp; IF(_xlpm.eOK,"○","×")
)</f>
        <v>××</v>
      </c>
    </row>
    <row r="11" spans="1:18" outlineLevel="1" x14ac:dyDescent="0.4">
      <c r="A11" s="2" t="s">
        <v>1292</v>
      </c>
      <c r="B11" s="10" t="s">
        <v>195</v>
      </c>
      <c r="C11" t="str">
        <f>_xlfn.LET(
 _xlpm.dOK,COUNTIF(クラス!A:A,E11)&gt;0,
 _xlpm.eOK,COUNTIF(クラス!A:A,F11)&gt;0,
 IF(_xlpm.dOK,"○","×") &amp; IF(_xlpm.eOK,"○","×")
)</f>
        <v>○×</v>
      </c>
      <c r="D11" t="b">
        <v>1</v>
      </c>
      <c r="E11" t="s">
        <v>200</v>
      </c>
      <c r="G11">
        <v>5</v>
      </c>
      <c r="H11">
        <v>8</v>
      </c>
      <c r="R11" t="s">
        <v>1172</v>
      </c>
    </row>
    <row r="12" spans="1:18" outlineLevel="1" x14ac:dyDescent="0.4">
      <c r="A12" s="2" t="s">
        <v>1292</v>
      </c>
      <c r="B12" s="10" t="s">
        <v>196</v>
      </c>
      <c r="C12" t="str">
        <f>_xlfn.LET(
 _xlpm.dOK,COUNTIF(クラス!A:A,E12)&gt;0,
 _xlpm.eOK,COUNTIF(クラス!A:A,F12)&gt;0,
 IF(_xlpm.dOK,"○","×") &amp; IF(_xlpm.eOK,"○","×")
)</f>
        <v>○×</v>
      </c>
      <c r="E12" t="s">
        <v>196</v>
      </c>
      <c r="G12">
        <v>4</v>
      </c>
      <c r="H12">
        <v>7</v>
      </c>
      <c r="R12" t="s">
        <v>196</v>
      </c>
    </row>
    <row r="13" spans="1:18" outlineLevel="1" x14ac:dyDescent="0.4">
      <c r="A13" s="2" t="s">
        <v>1292</v>
      </c>
      <c r="B13" s="10" t="s">
        <v>204</v>
      </c>
      <c r="C13" t="str">
        <f>_xlfn.LET(
 _xlpm.dOK,COUNTIF(クラス!A:A,E13)&gt;0,
 _xlpm.eOK,COUNTIF(クラス!A:A,F13)&gt;0,
 IF(_xlpm.dOK,"○","×") &amp; IF(_xlpm.eOK,"○","×")
)</f>
        <v>○×</v>
      </c>
      <c r="D13" t="b">
        <v>1</v>
      </c>
      <c r="E13" t="s">
        <v>203</v>
      </c>
      <c r="G13">
        <v>7</v>
      </c>
      <c r="H13">
        <v>9</v>
      </c>
    </row>
    <row r="14" spans="1:18" outlineLevel="1" x14ac:dyDescent="0.4">
      <c r="A14" s="2" t="s">
        <v>1292</v>
      </c>
      <c r="B14" s="10" t="s">
        <v>839</v>
      </c>
      <c r="C14" t="str">
        <f>_xlfn.LET(
 _xlpm.dOK,COUNTIF(クラス!A:A,E14)&gt;0,
 _xlpm.eOK,COUNTIF(クラス!A:A,F14)&gt;0,
 IF(_xlpm.dOK,"○","×") &amp; IF(_xlpm.eOK,"○","×")
)</f>
        <v>○×</v>
      </c>
      <c r="E14" t="s">
        <v>196</v>
      </c>
      <c r="G14">
        <v>8</v>
      </c>
      <c r="H14">
        <v>12</v>
      </c>
    </row>
    <row r="15" spans="1:18" outlineLevel="1" x14ac:dyDescent="0.4">
      <c r="A15" s="2" t="s">
        <v>1292</v>
      </c>
      <c r="B15" s="10" t="s">
        <v>811</v>
      </c>
      <c r="C15" t="str">
        <f>_xlfn.LET(
 _xlpm.dOK,COUNTIF(クラス!A:A,E15)&gt;0,
 _xlpm.eOK,COUNTIF(クラス!A:A,F15)&gt;0,
 IF(_xlpm.dOK,"○","×") &amp; IF(_xlpm.eOK,"○","×")
)</f>
        <v>○○</v>
      </c>
      <c r="D15" t="b">
        <v>1</v>
      </c>
      <c r="E15" t="s">
        <v>197</v>
      </c>
      <c r="F15" t="s">
        <v>200</v>
      </c>
      <c r="G15">
        <v>12</v>
      </c>
      <c r="H15">
        <v>15</v>
      </c>
      <c r="R15" t="s">
        <v>811</v>
      </c>
    </row>
    <row r="16" spans="1:18" ht="36" outlineLevel="1" x14ac:dyDescent="0.4">
      <c r="A16" s="2" t="s">
        <v>1292</v>
      </c>
      <c r="B16" s="10" t="s">
        <v>1251</v>
      </c>
      <c r="C16" t="str">
        <f>_xlfn.LET(
 _xlpm.dOK,COUNTIF(クラス!A:A,E16)&gt;0,
 _xlpm.eOK,COUNTIF(クラス!A:A,F16)&gt;0,
 IF(_xlpm.dOK,"○","×") &amp; IF(_xlpm.eOK,"○","×")
)</f>
        <v>○○</v>
      </c>
      <c r="E16" t="s">
        <v>195</v>
      </c>
      <c r="F16" t="s">
        <v>207</v>
      </c>
      <c r="G16">
        <v>12</v>
      </c>
      <c r="H16">
        <v>15</v>
      </c>
      <c r="R16" t="s">
        <v>1281</v>
      </c>
    </row>
    <row r="17" spans="1:18" outlineLevel="1" x14ac:dyDescent="0.4">
      <c r="A17" s="2" t="s">
        <v>1292</v>
      </c>
      <c r="B17" s="10" t="s">
        <v>896</v>
      </c>
      <c r="C17" t="str">
        <f>_xlfn.LET(
 _xlpm.dOK,COUNTIF(クラス!A:A,E17)&gt;0,
 _xlpm.eOK,COUNTIF(クラス!A:A,F17)&gt;0,
 IF(_xlpm.dOK,"○","×") &amp; IF(_xlpm.eOK,"○","×")
)</f>
        <v>○×</v>
      </c>
      <c r="D17" t="b">
        <v>1</v>
      </c>
      <c r="E17" t="s">
        <v>896</v>
      </c>
      <c r="G17">
        <v>15</v>
      </c>
      <c r="H17">
        <v>20</v>
      </c>
      <c r="R17" t="s">
        <v>896</v>
      </c>
    </row>
    <row r="18" spans="1:18" outlineLevel="1" x14ac:dyDescent="0.4">
      <c r="C18" t="str">
        <f>_xlfn.LET(
 _xlpm.dOK,COUNTIF(クラス!A:A,E18)&gt;0,
 _xlpm.eOK,COUNTIF(クラス!A:A,F18)&gt;0,
 IF(_xlpm.dOK,"○","×") &amp; IF(_xlpm.eOK,"○","×")
)</f>
        <v>××</v>
      </c>
    </row>
    <row r="19" spans="1:18" outlineLevel="1" x14ac:dyDescent="0.4">
      <c r="A19" s="2" t="s">
        <v>510</v>
      </c>
      <c r="B19" s="10" t="s">
        <v>832</v>
      </c>
      <c r="C19" t="str">
        <f>_xlfn.LET(
 _xlpm.dOK,COUNTIF(クラス!A:A,E19)&gt;0,
 _xlpm.eOK,COUNTIF(クラス!A:A,F19)&gt;0,
 IF(_xlpm.dOK,"○","×") &amp; IF(_xlpm.eOK,"○","×")
)</f>
        <v>××</v>
      </c>
    </row>
    <row r="20" spans="1:18" outlineLevel="1" x14ac:dyDescent="0.4">
      <c r="A20" s="2" t="s">
        <v>510</v>
      </c>
      <c r="B20" s="10" t="s">
        <v>833</v>
      </c>
      <c r="C20" t="str">
        <f>_xlfn.LET(
 _xlpm.dOK,COUNTIF(クラス!A:A,E20)&gt;0,
 _xlpm.eOK,COUNTIF(クラス!A:A,F20)&gt;0,
 IF(_xlpm.dOK,"○","×") &amp; IF(_xlpm.eOK,"○","×")
)</f>
        <v>××</v>
      </c>
    </row>
    <row r="21" spans="1:18" outlineLevel="1" x14ac:dyDescent="0.4">
      <c r="A21" s="2" t="s">
        <v>510</v>
      </c>
      <c r="B21" s="10" t="s">
        <v>834</v>
      </c>
      <c r="C21" t="str">
        <f>_xlfn.LET(
 _xlpm.dOK,COUNTIF(クラス!A:A,E21)&gt;0,
 _xlpm.eOK,COUNTIF(クラス!A:A,F21)&gt;0,
 IF(_xlpm.dOK,"○","×") &amp; IF(_xlpm.eOK,"○","×")
)</f>
        <v>××</v>
      </c>
    </row>
    <row r="22" spans="1:18" outlineLevel="1" x14ac:dyDescent="0.4">
      <c r="A22" s="2" t="s">
        <v>510</v>
      </c>
      <c r="B22" s="10" t="s">
        <v>835</v>
      </c>
      <c r="C22" t="str">
        <f>_xlfn.LET(
 _xlpm.dOK,COUNTIF(クラス!A:A,E22)&gt;0,
 _xlpm.eOK,COUNTIF(クラス!A:A,F22)&gt;0,
 IF(_xlpm.dOK,"○","×") &amp; IF(_xlpm.eOK,"○","×")
)</f>
        <v>××</v>
      </c>
      <c r="R22" t="s">
        <v>835</v>
      </c>
    </row>
    <row r="23" spans="1:18" ht="36" outlineLevel="1" x14ac:dyDescent="0.4">
      <c r="A23" s="2" t="s">
        <v>510</v>
      </c>
      <c r="B23" s="10" t="s">
        <v>836</v>
      </c>
      <c r="C23" t="str">
        <f>_xlfn.LET(
 _xlpm.dOK,COUNTIF(クラス!A:A,E23)&gt;0,
 _xlpm.eOK,COUNTIF(クラス!A:A,F23)&gt;0,
 IF(_xlpm.dOK,"○","×") &amp; IF(_xlpm.eOK,"○","×")
)</f>
        <v>××</v>
      </c>
      <c r="R23" t="s">
        <v>1282</v>
      </c>
    </row>
    <row r="24" spans="1:18" outlineLevel="1" x14ac:dyDescent="0.4">
      <c r="A24" s="2" t="s">
        <v>510</v>
      </c>
      <c r="B24" s="10" t="s">
        <v>837</v>
      </c>
      <c r="C24" t="str">
        <f>_xlfn.LET(
 _xlpm.dOK,COUNTIF(クラス!A:A,E24)&gt;0,
 _xlpm.eOK,COUNTIF(クラス!A:A,F24)&gt;0,
 IF(_xlpm.dOK,"○","×") &amp; IF(_xlpm.eOK,"○","×")
)</f>
        <v>××</v>
      </c>
    </row>
    <row r="25" spans="1:18" ht="36" outlineLevel="1" x14ac:dyDescent="0.4">
      <c r="A25" s="2" t="s">
        <v>510</v>
      </c>
      <c r="B25" s="10" t="s">
        <v>838</v>
      </c>
      <c r="C25" t="str">
        <f>_xlfn.LET(
 _xlpm.dOK,COUNTIF(クラス!A:A,E25)&gt;0,
 _xlpm.eOK,COUNTIF(クラス!A:A,F25)&gt;0,
 IF(_xlpm.dOK,"○","×") &amp; IF(_xlpm.eOK,"○","×")
)</f>
        <v>××</v>
      </c>
    </row>
    <row r="26" spans="1:18" outlineLevel="1" x14ac:dyDescent="0.4">
      <c r="A26" s="2" t="s">
        <v>510</v>
      </c>
      <c r="B26" s="10" t="s">
        <v>839</v>
      </c>
      <c r="C26" t="str">
        <f>_xlfn.LET(
 _xlpm.dOK,COUNTIF(クラス!A:A,E26)&gt;0,
 _xlpm.eOK,COUNTIF(クラス!A:A,F26)&gt;0,
 IF(_xlpm.dOK,"○","×") &amp; IF(_xlpm.eOK,"○","×")
)</f>
        <v>××</v>
      </c>
      <c r="R26" t="s">
        <v>839</v>
      </c>
    </row>
    <row r="27" spans="1:18" outlineLevel="1" x14ac:dyDescent="0.4">
      <c r="A27" s="2" t="s">
        <v>510</v>
      </c>
      <c r="B27" s="10" t="s">
        <v>840</v>
      </c>
      <c r="C27" t="str">
        <f>_xlfn.LET(
 _xlpm.dOK,COUNTIF(クラス!A:A,E27)&gt;0,
 _xlpm.eOK,COUNTIF(クラス!A:A,F27)&gt;0,
 IF(_xlpm.dOK,"○","×") &amp; IF(_xlpm.eOK,"○","×")
)</f>
        <v>××</v>
      </c>
    </row>
    <row r="28" spans="1:18" outlineLevel="1" x14ac:dyDescent="0.4">
      <c r="C28" t="str">
        <f>_xlfn.LET(
 _xlpm.dOK,COUNTIF(クラス!A:A,E28)&gt;0,
 _xlpm.eOK,COUNTIF(クラス!A:A,F28)&gt;0,
 IF(_xlpm.dOK,"○","×") &amp; IF(_xlpm.eOK,"○","×")
)</f>
        <v>××</v>
      </c>
    </row>
    <row r="29" spans="1:18" x14ac:dyDescent="0.4">
      <c r="C29" t="str">
        <f>_xlfn.LET(
 _xlpm.dOK,COUNTIF(クラス!A:A,E29)&gt;0,
 _xlpm.eOK,COUNTIF(クラス!A:A,F29)&gt;0,
 IF(_xlpm.dOK,"○","×") &amp; IF(_xlpm.eOK,"○","×")
)</f>
        <v>××</v>
      </c>
    </row>
    <row r="30" spans="1:18" x14ac:dyDescent="0.4">
      <c r="A30" s="2" t="s">
        <v>504</v>
      </c>
      <c r="B30" s="10" t="s">
        <v>816</v>
      </c>
      <c r="C30" t="str">
        <f>_xlfn.LET(
 _xlpm.dOK,COUNTIF(クラス!A:A,E30)&gt;0,
 _xlpm.eOK,COUNTIF(クラス!A:A,F30)&gt;0,
 IF(_xlpm.dOK,"○","×") &amp; IF(_xlpm.eOK,"○","×")
)</f>
        <v>××</v>
      </c>
    </row>
    <row r="31" spans="1:18" outlineLevel="1" x14ac:dyDescent="0.4">
      <c r="A31" s="2" t="s">
        <v>504</v>
      </c>
      <c r="B31" s="10" t="s">
        <v>817</v>
      </c>
      <c r="C31" t="str">
        <f>_xlfn.LET(
 _xlpm.dOK,COUNTIF(クラス!A:A,E31)&gt;0,
 _xlpm.eOK,COUNTIF(クラス!A:A,F31)&gt;0,
 IF(_xlpm.dOK,"○","×") &amp; IF(_xlpm.eOK,"○","×")
)</f>
        <v>××</v>
      </c>
      <c r="R31" t="s">
        <v>1177</v>
      </c>
    </row>
    <row r="32" spans="1:18" outlineLevel="1" x14ac:dyDescent="0.4">
      <c r="A32" s="2" t="s">
        <v>504</v>
      </c>
      <c r="B32" s="10" t="s">
        <v>1280</v>
      </c>
      <c r="C32" t="str">
        <f>_xlfn.LET(
 _xlpm.dOK,COUNTIF(クラス!A:A,E32)&gt;0,
 _xlpm.eOK,COUNTIF(クラス!A:A,F32)&gt;0,
 IF(_xlpm.dOK,"○","×") &amp; IF(_xlpm.eOK,"○","×")
)</f>
        <v>○○</v>
      </c>
      <c r="D32" t="b">
        <v>1</v>
      </c>
      <c r="E32" t="s">
        <v>202</v>
      </c>
      <c r="F32" t="s">
        <v>855</v>
      </c>
      <c r="G32">
        <v>15</v>
      </c>
      <c r="H32">
        <v>25</v>
      </c>
      <c r="R32" t="s">
        <v>818</v>
      </c>
    </row>
    <row r="33" spans="1:18" outlineLevel="1" x14ac:dyDescent="0.4">
      <c r="A33" s="2" t="s">
        <v>504</v>
      </c>
      <c r="B33" s="10" t="s">
        <v>819</v>
      </c>
      <c r="C33" t="str">
        <f>_xlfn.LET(
 _xlpm.dOK,COUNTIF(クラス!A:A,E33)&gt;0,
 _xlpm.eOK,COUNTIF(クラス!A:A,F33)&gt;0,
 IF(_xlpm.dOK,"○","×") &amp; IF(_xlpm.eOK,"○","×")
)</f>
        <v>××</v>
      </c>
    </row>
    <row r="34" spans="1:18" ht="36" outlineLevel="1" x14ac:dyDescent="0.4">
      <c r="A34" s="2" t="s">
        <v>504</v>
      </c>
      <c r="B34" s="10" t="s">
        <v>820</v>
      </c>
      <c r="C34" t="str">
        <f>_xlfn.LET(
 _xlpm.dOK,COUNTIF(クラス!A:A,E34)&gt;0,
 _xlpm.eOK,COUNTIF(クラス!A:A,F34)&gt;0,
 IF(_xlpm.dOK,"○","×") &amp; IF(_xlpm.eOK,"○","×")
)</f>
        <v>××</v>
      </c>
    </row>
    <row r="35" spans="1:18" outlineLevel="1" x14ac:dyDescent="0.4">
      <c r="A35" s="2" t="s">
        <v>504</v>
      </c>
      <c r="B35" s="10" t="s">
        <v>821</v>
      </c>
      <c r="C35" t="str">
        <f>_xlfn.LET(
 _xlpm.dOK,COUNTIF(クラス!A:A,E35)&gt;0,
 _xlpm.eOK,COUNTIF(クラス!A:A,F35)&gt;0,
 IF(_xlpm.dOK,"○","×") &amp; IF(_xlpm.eOK,"○","×")
)</f>
        <v>××</v>
      </c>
    </row>
    <row r="36" spans="1:18" outlineLevel="1" x14ac:dyDescent="0.4">
      <c r="A36" s="2" t="s">
        <v>504</v>
      </c>
      <c r="B36" s="10" t="s">
        <v>822</v>
      </c>
      <c r="C36" t="str">
        <f>_xlfn.LET(
 _xlpm.dOK,COUNTIF(クラス!A:A,E36)&gt;0,
 _xlpm.eOK,COUNTIF(クラス!A:A,F36)&gt;0,
 IF(_xlpm.dOK,"○","×") &amp; IF(_xlpm.eOK,"○","×")
)</f>
        <v>××</v>
      </c>
    </row>
    <row r="37" spans="1:18" ht="36" outlineLevel="1" x14ac:dyDescent="0.4">
      <c r="A37" s="2" t="s">
        <v>504</v>
      </c>
      <c r="B37" s="10" t="s">
        <v>823</v>
      </c>
      <c r="C37" t="str">
        <f>_xlfn.LET(
 _xlpm.dOK,COUNTIF(クラス!A:A,E37)&gt;0,
 _xlpm.eOK,COUNTIF(クラス!A:A,F37)&gt;0,
 IF(_xlpm.dOK,"○","×") &amp; IF(_xlpm.eOK,"○","×")
)</f>
        <v>××</v>
      </c>
    </row>
    <row r="38" spans="1:18" outlineLevel="1" x14ac:dyDescent="0.4">
      <c r="A38" s="2" t="s">
        <v>504</v>
      </c>
      <c r="B38" s="10" t="s">
        <v>198</v>
      </c>
      <c r="C38" t="str">
        <f>_xlfn.LET(
 _xlpm.dOK,COUNTIF(クラス!A:A,E38)&gt;0,
 _xlpm.eOK,COUNTIF(クラス!A:A,F38)&gt;0,
 IF(_xlpm.dOK,"○","×") &amp; IF(_xlpm.eOK,"○","×")
)</f>
        <v>○×</v>
      </c>
      <c r="D38" t="b">
        <v>1</v>
      </c>
      <c r="E38" t="s">
        <v>198</v>
      </c>
      <c r="G38">
        <v>9</v>
      </c>
      <c r="H38">
        <v>15</v>
      </c>
      <c r="R38" t="s">
        <v>198</v>
      </c>
    </row>
    <row r="39" spans="1:18" outlineLevel="1" x14ac:dyDescent="0.4">
      <c r="A39" s="2" t="s">
        <v>504</v>
      </c>
      <c r="B39" s="10" t="s">
        <v>195</v>
      </c>
      <c r="C39" t="str">
        <f>_xlfn.LET(
 _xlpm.dOK,COUNTIF(クラス!A:A,E39)&gt;0,
 _xlpm.eOK,COUNTIF(クラス!A:A,F39)&gt;0,
 IF(_xlpm.dOK,"○","×") &amp; IF(_xlpm.eOK,"○","×")
)</f>
        <v>○×</v>
      </c>
      <c r="E39" t="s">
        <v>195</v>
      </c>
      <c r="G39">
        <v>9</v>
      </c>
      <c r="H39">
        <v>15</v>
      </c>
      <c r="R39" t="s">
        <v>1173</v>
      </c>
    </row>
    <row r="40" spans="1:18" outlineLevel="1" x14ac:dyDescent="0.4">
      <c r="C40" t="str">
        <f>_xlfn.LET(
 _xlpm.dOK,COUNTIF(クラス!A:A,E40)&gt;0,
 _xlpm.eOK,COUNTIF(クラス!A:A,F40)&gt;0,
 IF(_xlpm.dOK,"○","×") &amp; IF(_xlpm.eOK,"○","×")
)</f>
        <v>××</v>
      </c>
    </row>
    <row r="41" spans="1:18" ht="36" outlineLevel="1" x14ac:dyDescent="0.4">
      <c r="A41" s="2" t="s">
        <v>511</v>
      </c>
      <c r="B41" s="10" t="s">
        <v>841</v>
      </c>
      <c r="C41" t="str">
        <f>_xlfn.LET(
 _xlpm.dOK,COUNTIF(クラス!A:A,E41)&gt;0,
 _xlpm.eOK,COUNTIF(クラス!A:A,F41)&gt;0,
 IF(_xlpm.dOK,"○","×") &amp; IF(_xlpm.eOK,"○","×")
)</f>
        <v>××</v>
      </c>
    </row>
    <row r="42" spans="1:18" ht="36" outlineLevel="1" x14ac:dyDescent="0.4">
      <c r="A42" s="2" t="s">
        <v>511</v>
      </c>
      <c r="B42" s="10" t="s">
        <v>1253</v>
      </c>
      <c r="C42" t="str">
        <f>_xlfn.LET(
 _xlpm.dOK,COUNTIF(クラス!A:A,E42)&gt;0,
 _xlpm.eOK,COUNTIF(クラス!A:A,F42)&gt;0,
 IF(_xlpm.dOK,"○","×") &amp; IF(_xlpm.eOK,"○","×")
)</f>
        <v>××</v>
      </c>
    </row>
    <row r="43" spans="1:18" ht="36" outlineLevel="1" x14ac:dyDescent="0.4">
      <c r="A43" s="2" t="s">
        <v>511</v>
      </c>
      <c r="B43" s="10" t="s">
        <v>1254</v>
      </c>
      <c r="C43" t="str">
        <f>_xlfn.LET(
 _xlpm.dOK,COUNTIF(クラス!A:A,E43)&gt;0,
 _xlpm.eOK,COUNTIF(クラス!A:A,F43)&gt;0,
 IF(_xlpm.dOK,"○","×") &amp; IF(_xlpm.eOK,"○","×")
)</f>
        <v>××</v>
      </c>
    </row>
    <row r="44" spans="1:18" outlineLevel="1" x14ac:dyDescent="0.4">
      <c r="A44" s="2" t="s">
        <v>511</v>
      </c>
      <c r="B44" s="10" t="s">
        <v>1255</v>
      </c>
      <c r="C44" t="str">
        <f>_xlfn.LET(
 _xlpm.dOK,COUNTIF(クラス!A:A,E44)&gt;0,
 _xlpm.eOK,COUNTIF(クラス!A:A,F44)&gt;0,
 IF(_xlpm.dOK,"○","×") &amp; IF(_xlpm.eOK,"○","×")
)</f>
        <v>××</v>
      </c>
    </row>
    <row r="45" spans="1:18" outlineLevel="1" x14ac:dyDescent="0.4">
      <c r="A45" s="2" t="s">
        <v>511</v>
      </c>
      <c r="B45" s="10" t="s">
        <v>1252</v>
      </c>
      <c r="C45" t="str">
        <f>_xlfn.LET(
 _xlpm.dOK,COUNTIF(クラス!A:A,E45)&gt;0,
 _xlpm.eOK,COUNTIF(クラス!A:A,F45)&gt;0,
 IF(_xlpm.dOK,"○","×") &amp; IF(_xlpm.eOK,"○","×")
)</f>
        <v>××</v>
      </c>
    </row>
    <row r="46" spans="1:18" outlineLevel="1" x14ac:dyDescent="0.4">
      <c r="A46" s="2" t="s">
        <v>511</v>
      </c>
      <c r="B46" s="10" t="s">
        <v>842</v>
      </c>
      <c r="C46" t="str">
        <f>_xlfn.LET(
 _xlpm.dOK,COUNTIF(クラス!A:A,E46)&gt;0,
 _xlpm.eOK,COUNTIF(クラス!A:A,F46)&gt;0,
 IF(_xlpm.dOK,"○","×") &amp; IF(_xlpm.eOK,"○","×")
)</f>
        <v>××</v>
      </c>
    </row>
    <row r="47" spans="1:18" ht="36" outlineLevel="1" x14ac:dyDescent="0.4">
      <c r="A47" s="2" t="s">
        <v>511</v>
      </c>
      <c r="B47" s="10" t="s">
        <v>843</v>
      </c>
      <c r="C47" t="str">
        <f>_xlfn.LET(
 _xlpm.dOK,COUNTIF(クラス!A:A,E47)&gt;0,
 _xlpm.eOK,COUNTIF(クラス!A:A,F47)&gt;0,
 IF(_xlpm.dOK,"○","×") &amp; IF(_xlpm.eOK,"○","×")
)</f>
        <v>××</v>
      </c>
    </row>
    <row r="48" spans="1:18" outlineLevel="1" x14ac:dyDescent="0.4">
      <c r="C48" t="str">
        <f>_xlfn.LET(
 _xlpm.dOK,COUNTIF(クラス!A:A,E48)&gt;0,
 _xlpm.eOK,COUNTIF(クラス!A:A,F48)&gt;0,
 IF(_xlpm.dOK,"○","×") &amp; IF(_xlpm.eOK,"○","×")
)</f>
        <v>××</v>
      </c>
    </row>
    <row r="49" spans="1:18" x14ac:dyDescent="0.4">
      <c r="C49" t="str">
        <f>_xlfn.LET(
 _xlpm.dOK,COUNTIF(クラス!A:A,E49)&gt;0,
 _xlpm.eOK,COUNTIF(クラス!A:A,F49)&gt;0,
 IF(_xlpm.dOK,"○","×") &amp; IF(_xlpm.eOK,"○","×")
)</f>
        <v>××</v>
      </c>
    </row>
    <row r="50" spans="1:18" x14ac:dyDescent="0.4">
      <c r="A50" s="2" t="s">
        <v>506</v>
      </c>
      <c r="B50" s="10" t="s">
        <v>813</v>
      </c>
      <c r="C50" t="str">
        <f>_xlfn.LET(
 _xlpm.dOK,COUNTIF(クラス!A:A,E50)&gt;0,
 _xlpm.eOK,COUNTIF(クラス!A:A,F50)&gt;0,
 IF(_xlpm.dOK,"○","×") &amp; IF(_xlpm.eOK,"○","×")
)</f>
        <v>○○</v>
      </c>
      <c r="D50" t="b">
        <v>1</v>
      </c>
      <c r="E50" t="s">
        <v>197</v>
      </c>
      <c r="F50" t="s">
        <v>200</v>
      </c>
      <c r="G50">
        <v>8</v>
      </c>
      <c r="H50">
        <v>12</v>
      </c>
      <c r="R50" t="s">
        <v>813</v>
      </c>
    </row>
    <row r="51" spans="1:18" outlineLevel="1" x14ac:dyDescent="0.4">
      <c r="A51" s="2" t="s">
        <v>506</v>
      </c>
      <c r="B51" s="10" t="s">
        <v>200</v>
      </c>
      <c r="C51" t="str">
        <f>_xlfn.LET(
 _xlpm.dOK,COUNTIF(クラス!A:A,E51)&gt;0,
 _xlpm.eOK,COUNTIF(クラス!A:A,F51)&gt;0,
 IF(_xlpm.dOK,"○","×") &amp; IF(_xlpm.eOK,"○","×")
)</f>
        <v>○×</v>
      </c>
      <c r="E51" t="s">
        <v>200</v>
      </c>
      <c r="G51">
        <v>10</v>
      </c>
      <c r="H51">
        <v>15</v>
      </c>
      <c r="I51" t="s">
        <v>915</v>
      </c>
      <c r="R51" t="s">
        <v>200</v>
      </c>
    </row>
    <row r="52" spans="1:18" ht="54" outlineLevel="1" x14ac:dyDescent="0.4">
      <c r="A52" s="2" t="s">
        <v>506</v>
      </c>
      <c r="B52" s="10" t="s">
        <v>75</v>
      </c>
      <c r="C52" t="str">
        <f>_xlfn.LET(
 _xlpm.dOK,COUNTIF(クラス!A:A,E52)&gt;0,
 _xlpm.eOK,COUNTIF(クラス!A:A,F52)&gt;0,
 IF(_xlpm.dOK,"○","×") &amp; IF(_xlpm.eOK,"○","×")
)</f>
        <v>○×</v>
      </c>
      <c r="D52" s="10"/>
      <c r="E52" s="10" t="s">
        <v>75</v>
      </c>
      <c r="G52">
        <v>7</v>
      </c>
      <c r="H52">
        <v>12</v>
      </c>
      <c r="R52" t="s">
        <v>1175</v>
      </c>
    </row>
    <row r="53" spans="1:18" outlineLevel="1" x14ac:dyDescent="0.4">
      <c r="A53" s="2" t="s">
        <v>506</v>
      </c>
      <c r="B53" s="10" t="s">
        <v>814</v>
      </c>
      <c r="C53" t="str">
        <f>_xlfn.LET(
 _xlpm.dOK,COUNTIF(クラス!A:A,E53)&gt;0,
 _xlpm.eOK,COUNTIF(クラス!A:A,F53)&gt;0,
 IF(_xlpm.dOK,"○","×") &amp; IF(_xlpm.eOK,"○","×")
)</f>
        <v>○○</v>
      </c>
      <c r="E53" t="s">
        <v>197</v>
      </c>
      <c r="F53" t="s">
        <v>196</v>
      </c>
      <c r="G53">
        <v>14</v>
      </c>
      <c r="H53">
        <v>18</v>
      </c>
      <c r="R53" t="s">
        <v>814</v>
      </c>
    </row>
    <row r="54" spans="1:18" outlineLevel="1" x14ac:dyDescent="0.4">
      <c r="A54" s="2" t="s">
        <v>506</v>
      </c>
      <c r="B54" s="10" t="s">
        <v>1256</v>
      </c>
      <c r="C54" t="str">
        <f>_xlfn.LET(
 _xlpm.dOK,COUNTIF(クラス!A:A,E54)&gt;0,
 _xlpm.eOK,COUNTIF(クラス!A:A,F54)&gt;0,
 IF(_xlpm.dOK,"○","×") &amp; IF(_xlpm.eOK,"○","×")
)</f>
        <v>××</v>
      </c>
    </row>
    <row r="55" spans="1:18" ht="36" outlineLevel="1" x14ac:dyDescent="0.4">
      <c r="A55" s="2" t="s">
        <v>506</v>
      </c>
      <c r="B55" s="10" t="s">
        <v>812</v>
      </c>
      <c r="C55" t="str">
        <f>_xlfn.LET(
 _xlpm.dOK,COUNTIF(クラス!A:A,E55)&gt;0,
 _xlpm.eOK,COUNTIF(クラス!A:A,F55)&gt;0,
 IF(_xlpm.dOK,"○","×") &amp; IF(_xlpm.eOK,"○","×")
)</f>
        <v>××</v>
      </c>
    </row>
    <row r="56" spans="1:18" outlineLevel="1" x14ac:dyDescent="0.4">
      <c r="A56" s="2" t="s">
        <v>506</v>
      </c>
      <c r="B56" s="10" t="s">
        <v>811</v>
      </c>
      <c r="C56" t="str">
        <f>_xlfn.LET(
 _xlpm.dOK,COUNTIF(クラス!A:A,E56)&gt;0,
 _xlpm.eOK,COUNTIF(クラス!A:A,F56)&gt;0,
 IF(_xlpm.dOK,"○","×") &amp; IF(_xlpm.eOK,"○","×")
)</f>
        <v>××</v>
      </c>
    </row>
    <row r="57" spans="1:18" outlineLevel="1" x14ac:dyDescent="0.4">
      <c r="A57" s="2" t="s">
        <v>506</v>
      </c>
      <c r="B57" s="10" t="s">
        <v>815</v>
      </c>
      <c r="C57" t="str">
        <f>_xlfn.LET(
 _xlpm.dOK,COUNTIF(クラス!A:A,E57)&gt;0,
 _xlpm.eOK,COUNTIF(クラス!A:A,F57)&gt;0,
 IF(_xlpm.dOK,"○","×") &amp; IF(_xlpm.eOK,"○","×")
)</f>
        <v>○×</v>
      </c>
      <c r="D57" t="b">
        <v>1</v>
      </c>
      <c r="E57" t="s">
        <v>896</v>
      </c>
      <c r="G57">
        <v>15</v>
      </c>
      <c r="H57">
        <v>20</v>
      </c>
      <c r="I57" t="s">
        <v>914</v>
      </c>
      <c r="R57" t="s">
        <v>896</v>
      </c>
    </row>
    <row r="58" spans="1:18" outlineLevel="1" x14ac:dyDescent="0.4">
      <c r="C58" t="str">
        <f>_xlfn.LET(
 _xlpm.dOK,COUNTIF(クラス!A:A,E58)&gt;0,
 _xlpm.eOK,COUNTIF(クラス!A:A,F58)&gt;0,
 IF(_xlpm.dOK,"○","×") &amp; IF(_xlpm.eOK,"○","×")
)</f>
        <v>××</v>
      </c>
    </row>
    <row r="59" spans="1:18" outlineLevel="1" x14ac:dyDescent="0.4">
      <c r="A59" s="2" t="s">
        <v>505</v>
      </c>
      <c r="B59" s="10" t="s">
        <v>910</v>
      </c>
      <c r="C59" t="str">
        <f>_xlfn.LET(
 _xlpm.dOK,COUNTIF(クラス!A:A,E59)&gt;0,
 _xlpm.eOK,COUNTIF(クラス!A:A,F59)&gt;0,
 IF(_xlpm.dOK,"○","×") &amp; IF(_xlpm.eOK,"○","×")
)</f>
        <v>○○</v>
      </c>
      <c r="E59" t="s">
        <v>200</v>
      </c>
      <c r="F59" t="s">
        <v>856</v>
      </c>
      <c r="G59">
        <v>15</v>
      </c>
      <c r="H59">
        <v>25</v>
      </c>
      <c r="R59" t="s">
        <v>200</v>
      </c>
    </row>
    <row r="60" spans="1:18" ht="54" outlineLevel="1" x14ac:dyDescent="0.4">
      <c r="A60" s="2" t="s">
        <v>505</v>
      </c>
      <c r="B60" s="10" t="s">
        <v>75</v>
      </c>
      <c r="C60" t="str">
        <f>_xlfn.LET(
 _xlpm.dOK,COUNTIF(クラス!A:A,E60)&gt;0,
 _xlpm.eOK,COUNTIF(クラス!A:A,F60)&gt;0,
 IF(_xlpm.dOK,"○","×") &amp; IF(_xlpm.eOK,"○","×")
)</f>
        <v>○×</v>
      </c>
      <c r="D60" s="10"/>
      <c r="E60" s="10" t="s">
        <v>75</v>
      </c>
      <c r="G60">
        <v>15</v>
      </c>
      <c r="H60">
        <v>20</v>
      </c>
      <c r="I60" t="s">
        <v>916</v>
      </c>
      <c r="R60" t="s">
        <v>1175</v>
      </c>
    </row>
    <row r="61" spans="1:18" outlineLevel="1" x14ac:dyDescent="0.4">
      <c r="A61" s="2" t="s">
        <v>505</v>
      </c>
      <c r="B61" s="10" t="s">
        <v>911</v>
      </c>
      <c r="C61" t="str">
        <f>_xlfn.LET(
 _xlpm.dOK,COUNTIF(クラス!A:A,E61)&gt;0,
 _xlpm.eOK,COUNTIF(クラス!A:A,F61)&gt;0,
 IF(_xlpm.dOK,"○","×") &amp; IF(_xlpm.eOK,"○","×")
)</f>
        <v>○○</v>
      </c>
      <c r="D61" t="b">
        <v>1</v>
      </c>
      <c r="E61" t="s">
        <v>202</v>
      </c>
      <c r="F61" t="s">
        <v>75</v>
      </c>
      <c r="G61">
        <v>25</v>
      </c>
      <c r="H61">
        <v>30</v>
      </c>
      <c r="R61" t="s">
        <v>1176</v>
      </c>
    </row>
    <row r="62" spans="1:18" ht="36" outlineLevel="1" x14ac:dyDescent="0.4">
      <c r="A62" s="2" t="s">
        <v>505</v>
      </c>
      <c r="B62" s="10" t="s">
        <v>824</v>
      </c>
      <c r="C62" t="str">
        <f>_xlfn.LET(
 _xlpm.dOK,COUNTIF(クラス!A:A,E62)&gt;0,
 _xlpm.eOK,COUNTIF(クラス!A:A,F62)&gt;0,
 IF(_xlpm.dOK,"○","×") &amp; IF(_xlpm.eOK,"○","×")
)</f>
        <v>××</v>
      </c>
    </row>
    <row r="63" spans="1:18" ht="36" outlineLevel="1" x14ac:dyDescent="0.4">
      <c r="A63" s="2" t="s">
        <v>505</v>
      </c>
      <c r="B63" s="10" t="s">
        <v>825</v>
      </c>
      <c r="C63" t="str">
        <f>_xlfn.LET(
 _xlpm.dOK,COUNTIF(クラス!A:A,E63)&gt;0,
 _xlpm.eOK,COUNTIF(クラス!A:A,F63)&gt;0,
 IF(_xlpm.dOK,"○","×") &amp; IF(_xlpm.eOK,"○","×")
)</f>
        <v>××</v>
      </c>
    </row>
    <row r="64" spans="1:18" outlineLevel="1" x14ac:dyDescent="0.4">
      <c r="A64" s="2" t="s">
        <v>505</v>
      </c>
      <c r="B64" s="10" t="s">
        <v>826</v>
      </c>
      <c r="C64" t="str">
        <f>_xlfn.LET(
 _xlpm.dOK,COUNTIF(クラス!A:A,E64)&gt;0,
 _xlpm.eOK,COUNTIF(クラス!A:A,F64)&gt;0,
 IF(_xlpm.dOK,"○","×") &amp; IF(_xlpm.eOK,"○","×")
)</f>
        <v>××</v>
      </c>
    </row>
    <row r="65" spans="1:18" outlineLevel="1" x14ac:dyDescent="0.4">
      <c r="A65" s="2" t="s">
        <v>505</v>
      </c>
      <c r="B65" s="10" t="s">
        <v>827</v>
      </c>
      <c r="C65" t="str">
        <f>_xlfn.LET(
 _xlpm.dOK,COUNTIF(クラス!A:A,E65)&gt;0,
 _xlpm.eOK,COUNTIF(クラス!A:A,F65)&gt;0,
 IF(_xlpm.dOK,"○","×") &amp; IF(_xlpm.eOK,"○","×")
)</f>
        <v>××</v>
      </c>
    </row>
    <row r="66" spans="1:18" outlineLevel="1" x14ac:dyDescent="0.4">
      <c r="A66" s="2" t="s">
        <v>505</v>
      </c>
      <c r="B66" s="10" t="s">
        <v>828</v>
      </c>
      <c r="C66" t="str">
        <f>_xlfn.LET(
 _xlpm.dOK,COUNTIF(クラス!A:A,E66)&gt;0,
 _xlpm.eOK,COUNTIF(クラス!A:A,F66)&gt;0,
 IF(_xlpm.dOK,"○","×") &amp; IF(_xlpm.eOK,"○","×")
)</f>
        <v>××</v>
      </c>
    </row>
    <row r="67" spans="1:18" outlineLevel="1" x14ac:dyDescent="0.4">
      <c r="A67" s="2" t="s">
        <v>505</v>
      </c>
      <c r="B67" s="10" t="s">
        <v>829</v>
      </c>
      <c r="C67" t="str">
        <f>_xlfn.LET(
 _xlpm.dOK,COUNTIF(クラス!A:A,E67)&gt;0,
 _xlpm.eOK,COUNTIF(クラス!A:A,F67)&gt;0,
 IF(_xlpm.dOK,"○","×") &amp; IF(_xlpm.eOK,"○","×")
)</f>
        <v>××</v>
      </c>
    </row>
    <row r="68" spans="1:18" outlineLevel="1" x14ac:dyDescent="0.4">
      <c r="C68" t="str">
        <f>_xlfn.LET(
 _xlpm.dOK,COUNTIF(クラス!A:A,E68)&gt;0,
 _xlpm.eOK,COUNTIF(クラス!A:A,F68)&gt;0,
 IF(_xlpm.dOK,"○","×") &amp; IF(_xlpm.eOK,"○","×")
)</f>
        <v>××</v>
      </c>
    </row>
    <row r="69" spans="1:18" x14ac:dyDescent="0.4">
      <c r="C69" t="str">
        <f>_xlfn.LET(
 _xlpm.dOK,COUNTIF(クラス!A:A,E69)&gt;0,
 _xlpm.eOK,COUNTIF(クラス!A:A,F69)&gt;0,
 IF(_xlpm.dOK,"○","×") &amp; IF(_xlpm.eOK,"○","×")
)</f>
        <v>××</v>
      </c>
    </row>
    <row r="70" spans="1:18" x14ac:dyDescent="0.4">
      <c r="A70" s="2" t="s">
        <v>512</v>
      </c>
      <c r="B70" s="10" t="s">
        <v>826</v>
      </c>
      <c r="C70" t="str">
        <f>_xlfn.LET(
 _xlpm.dOK,COUNTIF(クラス!A:A,E70)&gt;0,
 _xlpm.eOK,COUNTIF(クラス!A:A,F70)&gt;0,
 IF(_xlpm.dOK,"○","×") &amp; IF(_xlpm.eOK,"○","×")
)</f>
        <v>××</v>
      </c>
    </row>
    <row r="71" spans="1:18" outlineLevel="1" x14ac:dyDescent="0.4">
      <c r="A71" s="2" t="s">
        <v>512</v>
      </c>
      <c r="B71" s="10" t="s">
        <v>815</v>
      </c>
      <c r="C71" t="str">
        <f>_xlfn.LET(
 _xlpm.dOK,COUNTIF(クラス!A:A,E71)&gt;0,
 _xlpm.eOK,COUNTIF(クラス!A:A,F71)&gt;0,
 IF(_xlpm.dOK,"○","×") &amp; IF(_xlpm.eOK,"○","×")
)</f>
        <v>××</v>
      </c>
    </row>
    <row r="72" spans="1:18" outlineLevel="1" x14ac:dyDescent="0.4">
      <c r="A72" s="2" t="s">
        <v>512</v>
      </c>
      <c r="B72" s="10" t="s">
        <v>811</v>
      </c>
      <c r="C72" t="str">
        <f>_xlfn.LET(
 _xlpm.dOK,COUNTIF(クラス!A:A,E72)&gt;0,
 _xlpm.eOK,COUNTIF(クラス!A:A,F72)&gt;0,
 IF(_xlpm.dOK,"○","×") &amp; IF(_xlpm.eOK,"○","×")
)</f>
        <v>××</v>
      </c>
    </row>
    <row r="73" spans="1:18" ht="36" outlineLevel="1" x14ac:dyDescent="0.4">
      <c r="A73" s="2" t="s">
        <v>512</v>
      </c>
      <c r="B73" s="10" t="s">
        <v>824</v>
      </c>
      <c r="C73" t="str">
        <f>_xlfn.LET(
 _xlpm.dOK,COUNTIF(クラス!A:A,E73)&gt;0,
 _xlpm.eOK,COUNTIF(クラス!A:A,F73)&gt;0,
 IF(_xlpm.dOK,"○","×") &amp; IF(_xlpm.eOK,"○","×")
)</f>
        <v>××</v>
      </c>
    </row>
    <row r="74" spans="1:18" outlineLevel="1" x14ac:dyDescent="0.4">
      <c r="A74" s="2" t="s">
        <v>512</v>
      </c>
      <c r="B74" s="10" t="s">
        <v>844</v>
      </c>
      <c r="C74" t="str">
        <f>_xlfn.LET(
 _xlpm.dOK,COUNTIF(クラス!A:A,E74)&gt;0,
 _xlpm.eOK,COUNTIF(クラス!A:A,F74)&gt;0,
 IF(_xlpm.dOK,"○","×") &amp; IF(_xlpm.eOK,"○","×")
)</f>
        <v>××</v>
      </c>
    </row>
    <row r="75" spans="1:18" outlineLevel="1" x14ac:dyDescent="0.4">
      <c r="C75" t="str">
        <f>_xlfn.LET(
 _xlpm.dOK,COUNTIF(クラス!A:A,E75)&gt;0,
 _xlpm.eOK,COUNTIF(クラス!A:A,F75)&gt;0,
 IF(_xlpm.dOK,"○","×") &amp; IF(_xlpm.eOK,"○","×")
)</f>
        <v>××</v>
      </c>
    </row>
    <row r="76" spans="1:18" outlineLevel="1" x14ac:dyDescent="0.4">
      <c r="A76" s="2" t="s">
        <v>513</v>
      </c>
      <c r="B76" s="10" t="s">
        <v>1257</v>
      </c>
      <c r="C76" t="str">
        <f>_xlfn.LET(
 _xlpm.dOK,COUNTIF(クラス!A:A,E76)&gt;0,
 _xlpm.eOK,COUNTIF(クラス!A:A,F76)&gt;0,
 IF(_xlpm.dOK,"○","×") &amp; IF(_xlpm.eOK,"○","×")
)</f>
        <v>××</v>
      </c>
    </row>
    <row r="77" spans="1:18" ht="36" outlineLevel="1" x14ac:dyDescent="0.4">
      <c r="A77" s="2" t="s">
        <v>513</v>
      </c>
      <c r="B77" s="10" t="s">
        <v>845</v>
      </c>
      <c r="C77" t="str">
        <f>_xlfn.LET(
 _xlpm.dOK,COUNTIF(クラス!A:A,E77)&gt;0,
 _xlpm.eOK,COUNTIF(クラス!A:A,F77)&gt;0,
 IF(_xlpm.dOK,"○","×") &amp; IF(_xlpm.eOK,"○","×")
)</f>
        <v>××</v>
      </c>
    </row>
    <row r="78" spans="1:18" outlineLevel="1" x14ac:dyDescent="0.4">
      <c r="A78" s="2" t="s">
        <v>513</v>
      </c>
      <c r="B78" s="10" t="s">
        <v>809</v>
      </c>
      <c r="C78" t="str">
        <f>_xlfn.LET(
 _xlpm.dOK,COUNTIF(クラス!A:A,E78)&gt;0,
 _xlpm.eOK,COUNTIF(クラス!A:A,F78)&gt;0,
 IF(_xlpm.dOK,"○","×") &amp; IF(_xlpm.eOK,"○","×")
)</f>
        <v>××</v>
      </c>
    </row>
    <row r="79" spans="1:18" outlineLevel="1" x14ac:dyDescent="0.4">
      <c r="A79" s="2" t="s">
        <v>513</v>
      </c>
      <c r="B79" s="10" t="s">
        <v>826</v>
      </c>
      <c r="C79" t="str">
        <f>_xlfn.LET(
 _xlpm.dOK,COUNTIF(クラス!A:A,E79)&gt;0,
 _xlpm.eOK,COUNTIF(クラス!A:A,F79)&gt;0,
 IF(_xlpm.dOK,"○","×") &amp; IF(_xlpm.eOK,"○","×")
)</f>
        <v>××</v>
      </c>
    </row>
    <row r="80" spans="1:18" outlineLevel="1" x14ac:dyDescent="0.4">
      <c r="A80" s="2" t="s">
        <v>513</v>
      </c>
      <c r="B80" s="10" t="s">
        <v>829</v>
      </c>
      <c r="C80" t="str">
        <f>_xlfn.LET(
 _xlpm.dOK,COUNTIF(クラス!A:A,E80)&gt;0,
 _xlpm.eOK,COUNTIF(クラス!A:A,F80)&gt;0,
 IF(_xlpm.dOK,"○","×") &amp; IF(_xlpm.eOK,"○","×")
)</f>
        <v>××</v>
      </c>
      <c r="R80" t="s">
        <v>829</v>
      </c>
    </row>
    <row r="81" spans="1:18" outlineLevel="1" x14ac:dyDescent="0.4">
      <c r="A81" s="2" t="s">
        <v>513</v>
      </c>
      <c r="B81" s="10" t="s">
        <v>835</v>
      </c>
      <c r="C81" t="str">
        <f>_xlfn.LET(
 _xlpm.dOK,COUNTIF(クラス!A:A,E81)&gt;0,
 _xlpm.eOK,COUNTIF(クラス!A:A,F81)&gt;0,
 IF(_xlpm.dOK,"○","×") &amp; IF(_xlpm.eOK,"○","×")
)</f>
        <v>××</v>
      </c>
      <c r="R81" t="s">
        <v>835</v>
      </c>
    </row>
    <row r="82" spans="1:18" outlineLevel="1" x14ac:dyDescent="0.4">
      <c r="C82" t="str">
        <f>_xlfn.LET(
 _xlpm.dOK,COUNTIF(クラス!A:A,E82)&gt;0,
 _xlpm.eOK,COUNTIF(クラス!A:A,F82)&gt;0,
 IF(_xlpm.dOK,"○","×") &amp; IF(_xlpm.eOK,"○","×")
)</f>
        <v>××</v>
      </c>
    </row>
    <row r="83" spans="1:18" x14ac:dyDescent="0.4">
      <c r="C83" t="str">
        <f>_xlfn.LET(
 _xlpm.dOK,COUNTIF(クラス!A:A,E83)&gt;0,
 _xlpm.eOK,COUNTIF(クラス!A:A,F83)&gt;0,
 IF(_xlpm.dOK,"○","×") &amp; IF(_xlpm.eOK,"○","×")
)</f>
        <v>××</v>
      </c>
    </row>
    <row r="84" spans="1:18" ht="36" x14ac:dyDescent="0.4">
      <c r="A84" s="2" t="s">
        <v>507</v>
      </c>
      <c r="B84" s="10" t="s">
        <v>830</v>
      </c>
      <c r="C84" t="str">
        <f>_xlfn.LET(
 _xlpm.dOK,COUNTIF(クラス!A:A,E84)&gt;0,
 _xlpm.eOK,COUNTIF(クラス!A:A,F84)&gt;0,
 IF(_xlpm.dOK,"○","×") &amp; IF(_xlpm.eOK,"○","×")
)</f>
        <v>○×</v>
      </c>
      <c r="E84" t="s">
        <v>898</v>
      </c>
      <c r="G84">
        <v>5</v>
      </c>
      <c r="H84">
        <v>10</v>
      </c>
      <c r="R84" t="s">
        <v>906</v>
      </c>
    </row>
    <row r="85" spans="1:18" ht="36" outlineLevel="1" x14ac:dyDescent="0.4">
      <c r="A85" s="2" t="s">
        <v>507</v>
      </c>
      <c r="B85" s="10" t="s">
        <v>909</v>
      </c>
      <c r="C85" t="str">
        <f>_xlfn.LET(
 _xlpm.dOK,COUNTIF(クラス!A:A,E85)&gt;0,
 _xlpm.eOK,COUNTIF(クラス!A:A,F85)&gt;0,
 IF(_xlpm.dOK,"○","×") &amp; IF(_xlpm.eOK,"○","×")
)</f>
        <v>○○</v>
      </c>
      <c r="D85" t="b">
        <v>1</v>
      </c>
      <c r="E85" t="s">
        <v>196</v>
      </c>
      <c r="F85" t="s">
        <v>857</v>
      </c>
      <c r="G85">
        <v>7</v>
      </c>
      <c r="H85">
        <v>10</v>
      </c>
      <c r="R85" t="s">
        <v>196</v>
      </c>
    </row>
    <row r="86" spans="1:18" outlineLevel="1" x14ac:dyDescent="0.4">
      <c r="C86" t="str">
        <f>_xlfn.LET(
 _xlpm.dOK,COUNTIF(クラス!A:A,E86)&gt;0,
 _xlpm.eOK,COUNTIF(クラス!A:A,F86)&gt;0,
 IF(_xlpm.dOK,"○","×") &amp; IF(_xlpm.eOK,"○","×")
)</f>
        <v>××</v>
      </c>
    </row>
    <row r="87" spans="1:18" ht="36" outlineLevel="1" x14ac:dyDescent="0.4">
      <c r="A87" s="2" t="s">
        <v>508</v>
      </c>
      <c r="B87" s="10" t="s">
        <v>830</v>
      </c>
      <c r="C87" t="str">
        <f>_xlfn.LET(
 _xlpm.dOK,COUNTIF(クラス!A:A,E87)&gt;0,
 _xlpm.eOK,COUNTIF(クラス!A:A,F87)&gt;0,
 IF(_xlpm.dOK,"○","×") &amp; IF(_xlpm.eOK,"○","×")
)</f>
        <v>○×</v>
      </c>
      <c r="E87" t="s">
        <v>898</v>
      </c>
      <c r="G87">
        <v>15</v>
      </c>
      <c r="H87">
        <v>30</v>
      </c>
      <c r="R87" t="s">
        <v>906</v>
      </c>
    </row>
    <row r="88" spans="1:18" outlineLevel="1" x14ac:dyDescent="0.4">
      <c r="A88" s="2" t="s">
        <v>508</v>
      </c>
      <c r="B88" s="10" t="s">
        <v>831</v>
      </c>
      <c r="C88" t="str">
        <f>_xlfn.LET(
 _xlpm.dOK,COUNTIF(クラス!A:A,E88)&gt;0,
 _xlpm.eOK,COUNTIF(クラス!A:A,F88)&gt;0,
 IF(_xlpm.dOK,"○","×") &amp; IF(_xlpm.eOK,"○","×")
)</f>
        <v>○○</v>
      </c>
      <c r="D88" t="b">
        <v>1</v>
      </c>
      <c r="E88" t="s">
        <v>196</v>
      </c>
      <c r="F88" t="s">
        <v>858</v>
      </c>
      <c r="G88">
        <v>15</v>
      </c>
      <c r="H88">
        <v>20</v>
      </c>
    </row>
    <row r="89" spans="1:18" outlineLevel="1" x14ac:dyDescent="0.4">
      <c r="C89" t="str">
        <f>_xlfn.LET(
 _xlpm.dOK,COUNTIF(クラス!A:A,E89)&gt;0,
 _xlpm.eOK,COUNTIF(クラス!A:A,F89)&gt;0,
 IF(_xlpm.dOK,"○","×") &amp; IF(_xlpm.eOK,"○","×")
)</f>
        <v>××</v>
      </c>
    </row>
    <row r="90" spans="1:18" outlineLevel="1" x14ac:dyDescent="0.4">
      <c r="A90" s="2" t="s">
        <v>509</v>
      </c>
      <c r="B90" s="10" t="s">
        <v>831</v>
      </c>
      <c r="C90" t="str">
        <f>_xlfn.LET(
 _xlpm.dOK,COUNTIF(クラス!A:A,E90)&gt;0,
 _xlpm.eOK,COUNTIF(クラス!A:A,F90)&gt;0,
 IF(_xlpm.dOK,"○","×") &amp; IF(_xlpm.eOK,"○","×")
)</f>
        <v>○○</v>
      </c>
      <c r="E90" t="s">
        <v>196</v>
      </c>
      <c r="F90" t="s">
        <v>858</v>
      </c>
      <c r="G90">
        <v>5</v>
      </c>
      <c r="H90">
        <v>20</v>
      </c>
    </row>
    <row r="91" spans="1:18" ht="36" outlineLevel="1" x14ac:dyDescent="0.4">
      <c r="A91" s="2" t="s">
        <v>509</v>
      </c>
      <c r="B91" s="10" t="s">
        <v>830</v>
      </c>
      <c r="C91" t="str">
        <f>_xlfn.LET(
 _xlpm.dOK,COUNTIF(クラス!A:A,E91)&gt;0,
 _xlpm.eOK,COUNTIF(クラス!A:A,F91)&gt;0,
 IF(_xlpm.dOK,"○","×") &amp; IF(_xlpm.eOK,"○","×")
)</f>
        <v>○×</v>
      </c>
      <c r="E91" t="s">
        <v>898</v>
      </c>
      <c r="G91">
        <v>15</v>
      </c>
      <c r="H91">
        <v>30</v>
      </c>
      <c r="R91" t="s">
        <v>906</v>
      </c>
    </row>
    <row r="92" spans="1:18" outlineLevel="1" x14ac:dyDescent="0.4">
      <c r="C92" t="str">
        <f>_xlfn.LET(
 _xlpm.dOK,COUNTIF(クラス!A:A,E92)&gt;0,
 _xlpm.eOK,COUNTIF(クラス!A:A,F92)&gt;0,
 IF(_xlpm.dOK,"○","×") &amp; IF(_xlpm.eOK,"○","×")
)</f>
        <v>××</v>
      </c>
    </row>
    <row r="93" spans="1:18" x14ac:dyDescent="0.4">
      <c r="C93" t="str">
        <f>_xlfn.LET(
 _xlpm.dOK,COUNTIF(クラス!A:A,E93)&gt;0,
 _xlpm.eOK,COUNTIF(クラス!A:A,F93)&gt;0,
 IF(_xlpm.dOK,"○","×") &amp; IF(_xlpm.eOK,"○","×")
)</f>
        <v>××</v>
      </c>
    </row>
    <row r="94" spans="1:18" x14ac:dyDescent="0.4">
      <c r="A94" s="2" t="s">
        <v>515</v>
      </c>
      <c r="B94" s="10" t="s">
        <v>827</v>
      </c>
      <c r="C94" t="str">
        <f>_xlfn.LET(
 _xlpm.dOK,COUNTIF(クラス!A:A,E94)&gt;0,
 _xlpm.eOK,COUNTIF(クラス!A:A,F94)&gt;0,
 IF(_xlpm.dOK,"○","×") &amp; IF(_xlpm.eOK,"○","×")
)</f>
        <v>××</v>
      </c>
    </row>
    <row r="95" spans="1:18" ht="72" hidden="1" outlineLevel="1" x14ac:dyDescent="0.4">
      <c r="A95" s="2" t="s">
        <v>515</v>
      </c>
      <c r="B95" s="10" t="s">
        <v>847</v>
      </c>
      <c r="C95" t="str">
        <f>_xlfn.LET(
 _xlpm.dOK,COUNTIF(クラス!A:A,E95)&gt;0,
 _xlpm.eOK,COUNTIF(クラス!A:A,F95)&gt;0,
 IF(_xlpm.dOK,"○","×") &amp; IF(_xlpm.eOK,"○","×")
)</f>
        <v>○×</v>
      </c>
      <c r="D95" s="10"/>
      <c r="E95" s="10" t="s">
        <v>69</v>
      </c>
      <c r="G95">
        <v>15</v>
      </c>
      <c r="H95">
        <v>30</v>
      </c>
      <c r="R95" t="s">
        <v>1174</v>
      </c>
    </row>
    <row r="96" spans="1:18" hidden="1" outlineLevel="1" x14ac:dyDescent="0.4">
      <c r="A96" s="2" t="s">
        <v>515</v>
      </c>
      <c r="B96" s="10" t="s">
        <v>848</v>
      </c>
      <c r="C96" t="str">
        <f>_xlfn.LET(
 _xlpm.dOK,COUNTIF(クラス!A:A,E96)&gt;0,
 _xlpm.eOK,COUNTIF(クラス!A:A,F96)&gt;0,
 IF(_xlpm.dOK,"○","×") &amp; IF(_xlpm.eOK,"○","×")
)</f>
        <v>××</v>
      </c>
    </row>
    <row r="97" spans="1:18" hidden="1" outlineLevel="1" x14ac:dyDescent="0.4">
      <c r="C97" t="str">
        <f>_xlfn.LET(
 _xlpm.dOK,COUNTIF(クラス!A:A,E97)&gt;0,
 _xlpm.eOK,COUNTIF(クラス!A:A,F97)&gt;0,
 IF(_xlpm.dOK,"○","×") &amp; IF(_xlpm.eOK,"○","×")
)</f>
        <v>××</v>
      </c>
    </row>
    <row r="98" spans="1:18" hidden="1" outlineLevel="1" x14ac:dyDescent="0.4">
      <c r="C98" t="str">
        <f>_xlfn.LET(
 _xlpm.dOK,COUNTIF(クラス!A:A,E98)&gt;0,
 _xlpm.eOK,COUNTIF(クラス!A:A,F98)&gt;0,
 IF(_xlpm.dOK,"○","×") &amp; IF(_xlpm.eOK,"○","×")
)</f>
        <v>××</v>
      </c>
    </row>
    <row r="99" spans="1:18" ht="72" hidden="1" outlineLevel="1" x14ac:dyDescent="0.4">
      <c r="A99" s="2" t="s">
        <v>780</v>
      </c>
      <c r="B99" s="10" t="s">
        <v>847</v>
      </c>
      <c r="C99" t="str">
        <f>_xlfn.LET(
 _xlpm.dOK,COUNTIF(クラス!A:A,E99)&gt;0,
 _xlpm.eOK,COUNTIF(クラス!A:A,F99)&gt;0,
 IF(_xlpm.dOK,"○","×") &amp; IF(_xlpm.eOK,"○","×")
)</f>
        <v>○×</v>
      </c>
      <c r="D99" s="10"/>
      <c r="E99" s="10" t="s">
        <v>69</v>
      </c>
      <c r="G99">
        <v>10</v>
      </c>
      <c r="H99">
        <v>15</v>
      </c>
      <c r="R99" t="s">
        <v>1174</v>
      </c>
    </row>
    <row r="100" spans="1:18" ht="36" hidden="1" outlineLevel="1" x14ac:dyDescent="0.4">
      <c r="A100" s="2" t="s">
        <v>780</v>
      </c>
      <c r="B100" s="10" t="s">
        <v>849</v>
      </c>
      <c r="C100" t="str">
        <f>_xlfn.LET(
 _xlpm.dOK,COUNTIF(クラス!A:A,E100)&gt;0,
 _xlpm.eOK,COUNTIF(クラス!A:A,F100)&gt;0,
 IF(_xlpm.dOK,"○","×") &amp; IF(_xlpm.eOK,"○","×")
)</f>
        <v>××</v>
      </c>
    </row>
    <row r="101" spans="1:18" hidden="1" outlineLevel="1" x14ac:dyDescent="0.4">
      <c r="A101" s="2" t="s">
        <v>780</v>
      </c>
      <c r="B101" s="10" t="s">
        <v>850</v>
      </c>
      <c r="C101" t="str">
        <f>_xlfn.LET(
 _xlpm.dOK,COUNTIF(クラス!A:A,E101)&gt;0,
 _xlpm.eOK,COUNTIF(クラス!A:A,F101)&gt;0,
 IF(_xlpm.dOK,"○","×") &amp; IF(_xlpm.eOK,"○","×")
)</f>
        <v>××</v>
      </c>
    </row>
    <row r="102" spans="1:18" hidden="1" outlineLevel="1" x14ac:dyDescent="0.4">
      <c r="C102" t="str">
        <f>_xlfn.LET(
 _xlpm.dOK,COUNTIF(クラス!A:A,E102)&gt;0,
 _xlpm.eOK,COUNTIF(クラス!A:A,F102)&gt;0,
 IF(_xlpm.dOK,"○","×") &amp; IF(_xlpm.eOK,"○","×")
)</f>
        <v>××</v>
      </c>
    </row>
    <row r="103" spans="1:18" collapsed="1" x14ac:dyDescent="0.4">
      <c r="C103" t="str">
        <f>_xlfn.LET(
 _xlpm.dOK,COUNTIF(クラス!A:A,E103)&gt;0,
 _xlpm.eOK,COUNTIF(クラス!A:A,F103)&gt;0,
 IF(_xlpm.dOK,"○","×") &amp; IF(_xlpm.eOK,"○","×")
)</f>
        <v>××</v>
      </c>
    </row>
    <row r="104" spans="1:18" ht="36" x14ac:dyDescent="0.4">
      <c r="A104" s="2" t="s">
        <v>514</v>
      </c>
      <c r="B104" s="10" t="s">
        <v>825</v>
      </c>
      <c r="C104" t="str">
        <f>_xlfn.LET(
 _xlpm.dOK,COUNTIF(クラス!A:A,E104)&gt;0,
 _xlpm.eOK,COUNTIF(クラス!A:A,F104)&gt;0,
 IF(_xlpm.dOK,"○","×") &amp; IF(_xlpm.eOK,"○","×")
)</f>
        <v>××</v>
      </c>
    </row>
    <row r="105" spans="1:18" hidden="1" outlineLevel="1" x14ac:dyDescent="0.4">
      <c r="A105" s="2" t="s">
        <v>514</v>
      </c>
      <c r="B105" s="10" t="s">
        <v>846</v>
      </c>
      <c r="C105" t="str">
        <f>_xlfn.LET(
 _xlpm.dOK,COUNTIF(クラス!A:A,E105)&gt;0,
 _xlpm.eOK,COUNTIF(クラス!A:A,F105)&gt;0,
 IF(_xlpm.dOK,"○","×") &amp; IF(_xlpm.eOK,"○","×")
)</f>
        <v>××</v>
      </c>
    </row>
    <row r="106" spans="1:18" ht="36" hidden="1" outlineLevel="1" x14ac:dyDescent="0.4">
      <c r="A106" s="2" t="s">
        <v>514</v>
      </c>
      <c r="B106" s="10" t="s">
        <v>851</v>
      </c>
      <c r="C106" t="str">
        <f>_xlfn.LET(
 _xlpm.dOK,COUNTIF(クラス!A:A,E106)&gt;0,
 _xlpm.eOK,COUNTIF(クラス!A:A,F106)&gt;0,
 IF(_xlpm.dOK,"○","×") &amp; IF(_xlpm.eOK,"○","×")
)</f>
        <v>××</v>
      </c>
    </row>
    <row r="107" spans="1:18" ht="72" hidden="1" outlineLevel="1" x14ac:dyDescent="0.4">
      <c r="A107" s="2" t="s">
        <v>514</v>
      </c>
      <c r="B107" s="10" t="s">
        <v>71</v>
      </c>
      <c r="C107" t="str">
        <f>_xlfn.LET(
 _xlpm.dOK,COUNTIF(クラス!A:A,E107)&gt;0,
 _xlpm.eOK,COUNTIF(クラス!A:A,F107)&gt;0,
 IF(_xlpm.dOK,"○","×") &amp; IF(_xlpm.eOK,"○","×")
)</f>
        <v>○×</v>
      </c>
      <c r="D107" s="10"/>
      <c r="E107" s="10" t="s">
        <v>71</v>
      </c>
      <c r="G107">
        <v>15</v>
      </c>
      <c r="H107">
        <v>25</v>
      </c>
    </row>
    <row r="108" spans="1:18" hidden="1" outlineLevel="1" x14ac:dyDescent="0.4">
      <c r="C108" t="str">
        <f>_xlfn.LET(
 _xlpm.dOK,COUNTIF(クラス!A:A,E108)&gt;0,
 _xlpm.eOK,COUNTIF(クラス!A:A,F108)&gt;0,
 IF(_xlpm.dOK,"○","×") &amp; IF(_xlpm.eOK,"○","×")
)</f>
        <v>××</v>
      </c>
    </row>
    <row r="109" spans="1:18" hidden="1" outlineLevel="1" x14ac:dyDescent="0.4">
      <c r="C109" t="str">
        <f>_xlfn.LET(
 _xlpm.dOK,COUNTIF(クラス!A:A,E109)&gt;0,
 _xlpm.eOK,COUNTIF(クラス!A:A,F109)&gt;0,
 IF(_xlpm.dOK,"○","×") &amp; IF(_xlpm.eOK,"○","×")
)</f>
        <v>××</v>
      </c>
    </row>
    <row r="110" spans="1:18" hidden="1" outlineLevel="1" x14ac:dyDescent="0.4">
      <c r="C110" t="str">
        <f>_xlfn.LET(
 _xlpm.dOK,COUNTIF(クラス!A:A,E110)&gt;0,
 _xlpm.eOK,COUNTIF(クラス!A:A,F110)&gt;0,
 IF(_xlpm.dOK,"○","×") &amp; IF(_xlpm.eOK,"○","×")
)</f>
        <v>××</v>
      </c>
    </row>
    <row r="111" spans="1:18" hidden="1" outlineLevel="1" x14ac:dyDescent="0.4">
      <c r="C111" t="str">
        <f>_xlfn.LET(
 _xlpm.dOK,COUNTIF(クラス!A:A,E111)&gt;0,
 _xlpm.eOK,COUNTIF(クラス!A:A,F111)&gt;0,
 IF(_xlpm.dOK,"○","×") &amp; IF(_xlpm.eOK,"○","×")
)</f>
        <v>××</v>
      </c>
    </row>
    <row r="112" spans="1:18" hidden="1" outlineLevel="1" x14ac:dyDescent="0.4">
      <c r="C112" t="str">
        <f>_xlfn.LET(
 _xlpm.dOK,COUNTIF(クラス!A:A,E112)&gt;0,
 _xlpm.eOK,COUNTIF(クラス!A:A,F112)&gt;0,
 IF(_xlpm.dOK,"○","×") &amp; IF(_xlpm.eOK,"○","×")
)</f>
        <v>××</v>
      </c>
    </row>
    <row r="113" spans="3:3" hidden="1" outlineLevel="1" x14ac:dyDescent="0.4">
      <c r="C113" t="str">
        <f>_xlfn.LET(
 _xlpm.dOK,COUNTIF(クラス!A:A,E113)&gt;0,
 _xlpm.eOK,COUNTIF(クラス!A:A,F113)&gt;0,
 IF(_xlpm.dOK,"○","×") &amp; IF(_xlpm.eOK,"○","×")
)</f>
        <v>××</v>
      </c>
    </row>
    <row r="114" spans="3:3" hidden="1" outlineLevel="1" x14ac:dyDescent="0.4">
      <c r="C114" t="str">
        <f>_xlfn.LET(
 _xlpm.dOK,COUNTIF(クラス!A:A,E114)&gt;0,
 _xlpm.eOK,COUNTIF(クラス!A:A,F114)&gt;0,
 IF(_xlpm.dOK,"○","×") &amp; IF(_xlpm.eOK,"○","×")
)</f>
        <v>××</v>
      </c>
    </row>
    <row r="115" spans="3:3" collapsed="1" x14ac:dyDescent="0.4">
      <c r="C115" t="str">
        <f>_xlfn.LET(
 _xlpm.dOK,COUNTIF(クラス!A:A,E115)&gt;0,
 _xlpm.eOK,COUNTIF(クラス!A:A,F115)&gt;0,
 IF(_xlpm.dOK,"○","×") &amp; IF(_xlpm.eOK,"○","×")
)</f>
        <v>××</v>
      </c>
    </row>
    <row r="116" spans="3:3" x14ac:dyDescent="0.4">
      <c r="C116" t="str">
        <f>_xlfn.LET(
 _xlpm.dOK,COUNTIF(クラス!A:A,E116)&gt;0,
 _xlpm.eOK,COUNTIF(クラス!A:A,F116)&gt;0,
 IF(_xlpm.dOK,"○","×") &amp; IF(_xlpm.eOK,"○","×")
)</f>
        <v>××</v>
      </c>
    </row>
    <row r="117" spans="3:3" x14ac:dyDescent="0.4">
      <c r="C117" t="str">
        <f>_xlfn.LET(
 _xlpm.dOK,COUNTIF(クラス!A:A,E117)&gt;0,
 _xlpm.eOK,COUNTIF(クラス!A:A,F117)&gt;0,
 IF(_xlpm.dOK,"○","×") &amp; IF(_xlpm.eOK,"○","×")
)</f>
        <v>××</v>
      </c>
    </row>
    <row r="118" spans="3:3" x14ac:dyDescent="0.4">
      <c r="C118" t="str">
        <f>_xlfn.LET(
 _xlpm.dOK,COUNTIF(クラス!A:A,E118)&gt;0,
 _xlpm.eOK,COUNTIF(クラス!A:A,F118)&gt;0,
 IF(_xlpm.dOK,"○","×") &amp; IF(_xlpm.eOK,"○","×")
)</f>
        <v>××</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552</v>
      </c>
      <c r="B1" s="17" t="s">
        <v>165</v>
      </c>
    </row>
    <row r="2" spans="1:2" x14ac:dyDescent="0.4">
      <c r="A2" s="17" t="s">
        <v>553</v>
      </c>
      <c r="B2" s="17" t="s">
        <v>81</v>
      </c>
    </row>
    <row r="3" spans="1:2" ht="56.25" x14ac:dyDescent="0.4">
      <c r="A3" s="17" t="s">
        <v>554</v>
      </c>
      <c r="B3" s="17" t="s">
        <v>584</v>
      </c>
    </row>
    <row r="4" spans="1:2" ht="37.5" x14ac:dyDescent="0.4">
      <c r="A4" s="17" t="s">
        <v>499</v>
      </c>
      <c r="B4" s="17" t="s">
        <v>581</v>
      </c>
    </row>
    <row r="5" spans="1:2" x14ac:dyDescent="0.4">
      <c r="A5" s="17" t="s">
        <v>555</v>
      </c>
      <c r="B5" s="17" t="s">
        <v>580</v>
      </c>
    </row>
    <row r="6" spans="1:2" ht="37.5" x14ac:dyDescent="0.4">
      <c r="A6" s="17" t="s">
        <v>556</v>
      </c>
      <c r="B6" s="17" t="s">
        <v>583</v>
      </c>
    </row>
    <row r="7" spans="1:2" ht="75" x14ac:dyDescent="0.4">
      <c r="A7" s="17" t="s">
        <v>500</v>
      </c>
      <c r="B7" s="17" t="s">
        <v>579</v>
      </c>
    </row>
    <row r="8" spans="1:2" ht="37.5" x14ac:dyDescent="0.4">
      <c r="A8" s="17" t="s">
        <v>557</v>
      </c>
      <c r="B8" s="17" t="s">
        <v>582</v>
      </c>
    </row>
    <row r="9" spans="1:2" x14ac:dyDescent="0.4">
      <c r="A9" s="17" t="s">
        <v>558</v>
      </c>
      <c r="B9" s="17" t="s">
        <v>578</v>
      </c>
    </row>
    <row r="10" spans="1:2" x14ac:dyDescent="0.4">
      <c r="A10" s="17" t="s">
        <v>559</v>
      </c>
      <c r="B10" s="17" t="s">
        <v>577</v>
      </c>
    </row>
    <row r="11" spans="1:2" x14ac:dyDescent="0.4">
      <c r="A11" s="17" t="s">
        <v>560</v>
      </c>
      <c r="B11" s="17" t="s">
        <v>561</v>
      </c>
    </row>
    <row r="12" spans="1:2" x14ac:dyDescent="0.4">
      <c r="A12" s="17" t="s">
        <v>562</v>
      </c>
      <c r="B12" s="17" t="s">
        <v>563</v>
      </c>
    </row>
    <row r="15" spans="1:2" x14ac:dyDescent="0.4">
      <c r="A15" s="17" t="s">
        <v>553</v>
      </c>
      <c r="B15" s="17" t="s">
        <v>81</v>
      </c>
    </row>
    <row r="16" spans="1:2" x14ac:dyDescent="0.4">
      <c r="A16" s="17" t="s">
        <v>586</v>
      </c>
      <c r="B16" s="17" t="s">
        <v>585</v>
      </c>
    </row>
    <row r="17" spans="1:2" x14ac:dyDescent="0.4">
      <c r="A17" s="17" t="s">
        <v>564</v>
      </c>
      <c r="B17" s="17" t="s">
        <v>591</v>
      </c>
    </row>
    <row r="18" spans="1:2" x14ac:dyDescent="0.4">
      <c r="A18" s="17" t="s">
        <v>565</v>
      </c>
      <c r="B18" s="17" t="s">
        <v>590</v>
      </c>
    </row>
    <row r="19" spans="1:2" ht="37.5" x14ac:dyDescent="0.4">
      <c r="A19" s="17" t="s">
        <v>566</v>
      </c>
      <c r="B19" s="17" t="s">
        <v>592</v>
      </c>
    </row>
    <row r="20" spans="1:2" ht="56.25" x14ac:dyDescent="0.4">
      <c r="A20" s="17" t="s">
        <v>593</v>
      </c>
      <c r="B20" s="17" t="s">
        <v>594</v>
      </c>
    </row>
    <row r="21" spans="1:2" x14ac:dyDescent="0.4">
      <c r="A21" s="17" t="s">
        <v>567</v>
      </c>
      <c r="B21" s="17" t="s">
        <v>589</v>
      </c>
    </row>
    <row r="22" spans="1:2" x14ac:dyDescent="0.4">
      <c r="A22" s="17" t="s">
        <v>587</v>
      </c>
      <c r="B22" s="17" t="s">
        <v>588</v>
      </c>
    </row>
    <row r="25" spans="1:2" x14ac:dyDescent="0.4">
      <c r="A25" s="17" t="s">
        <v>553</v>
      </c>
      <c r="B25" s="17" t="s">
        <v>81</v>
      </c>
    </row>
    <row r="26" spans="1:2" x14ac:dyDescent="0.4">
      <c r="A26" s="17" t="s">
        <v>568</v>
      </c>
      <c r="B26" s="17" t="s">
        <v>600</v>
      </c>
    </row>
    <row r="27" spans="1:2" ht="56.25" x14ac:dyDescent="0.4">
      <c r="A27" s="17" t="s">
        <v>569</v>
      </c>
      <c r="B27" s="17" t="s">
        <v>601</v>
      </c>
    </row>
    <row r="28" spans="1:2" ht="37.5" x14ac:dyDescent="0.4">
      <c r="A28" s="17" t="s">
        <v>570</v>
      </c>
      <c r="B28" s="17" t="s">
        <v>595</v>
      </c>
    </row>
    <row r="29" spans="1:2" ht="37.5" x14ac:dyDescent="0.4">
      <c r="A29" s="17" t="s">
        <v>571</v>
      </c>
      <c r="B29" s="17" t="s">
        <v>596</v>
      </c>
    </row>
    <row r="30" spans="1:2" x14ac:dyDescent="0.4">
      <c r="A30" s="17" t="s">
        <v>572</v>
      </c>
      <c r="B30" s="17" t="s">
        <v>573</v>
      </c>
    </row>
    <row r="31" spans="1:2" x14ac:dyDescent="0.4">
      <c r="A31" s="17" t="s">
        <v>574</v>
      </c>
      <c r="B31" s="17" t="s">
        <v>575</v>
      </c>
    </row>
    <row r="32" spans="1:2" x14ac:dyDescent="0.4">
      <c r="A32" s="17" t="s">
        <v>597</v>
      </c>
      <c r="B32" s="17" t="s">
        <v>598</v>
      </c>
    </row>
    <row r="34" spans="1:2" x14ac:dyDescent="0.4">
      <c r="A34" s="17" t="s">
        <v>576</v>
      </c>
      <c r="B34" s="17" t="s">
        <v>602</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985</v>
      </c>
      <c r="B1" t="s">
        <v>664</v>
      </c>
      <c r="C1" s="17" t="s">
        <v>665</v>
      </c>
      <c r="D1" t="s">
        <v>1007</v>
      </c>
    </row>
    <row r="2" spans="1:4" x14ac:dyDescent="0.4">
      <c r="A2" t="s">
        <v>619</v>
      </c>
      <c r="B2" t="s">
        <v>666</v>
      </c>
      <c r="C2" s="17" t="s">
        <v>667</v>
      </c>
    </row>
    <row r="3" spans="1:4" ht="37.5" x14ac:dyDescent="0.4">
      <c r="A3" t="s">
        <v>620</v>
      </c>
      <c r="B3" t="s">
        <v>1266</v>
      </c>
      <c r="C3" s="17" t="s">
        <v>668</v>
      </c>
    </row>
    <row r="4" spans="1:4" x14ac:dyDescent="0.4">
      <c r="A4" t="s">
        <v>1003</v>
      </c>
      <c r="B4" t="s">
        <v>1265</v>
      </c>
      <c r="C4" s="17" t="s">
        <v>1008</v>
      </c>
      <c r="D4" t="s">
        <v>1278</v>
      </c>
    </row>
    <row r="5" spans="1:4" ht="37.5" x14ac:dyDescent="0.4">
      <c r="A5" t="s">
        <v>622</v>
      </c>
      <c r="B5" t="s">
        <v>1265</v>
      </c>
      <c r="C5" s="17" t="s">
        <v>669</v>
      </c>
      <c r="D5" t="s">
        <v>1044</v>
      </c>
    </row>
    <row r="6" spans="1:4" ht="37.5" x14ac:dyDescent="0.4">
      <c r="A6" t="s">
        <v>623</v>
      </c>
      <c r="B6" t="s">
        <v>1265</v>
      </c>
      <c r="C6" s="17" t="s">
        <v>670</v>
      </c>
      <c r="D6" t="s">
        <v>6</v>
      </c>
    </row>
    <row r="7" spans="1:4" ht="37.5" x14ac:dyDescent="0.4">
      <c r="A7" t="s">
        <v>621</v>
      </c>
      <c r="B7" t="s">
        <v>1265</v>
      </c>
      <c r="C7" s="17" t="s">
        <v>1005</v>
      </c>
      <c r="D7" t="s">
        <v>0</v>
      </c>
    </row>
    <row r="8" spans="1:4" ht="37.5" x14ac:dyDescent="0.4">
      <c r="A8" t="s">
        <v>1004</v>
      </c>
      <c r="B8" t="s">
        <v>1265</v>
      </c>
      <c r="C8" s="17" t="s">
        <v>1006</v>
      </c>
      <c r="D8" t="s">
        <v>231</v>
      </c>
    </row>
    <row r="9" spans="1:4" x14ac:dyDescent="0.4">
      <c r="A9" t="s">
        <v>624</v>
      </c>
      <c r="B9" t="s">
        <v>624</v>
      </c>
      <c r="C9" s="17" t="s">
        <v>671</v>
      </c>
    </row>
    <row r="10" spans="1:4" x14ac:dyDescent="0.4">
      <c r="A10" t="s">
        <v>1246</v>
      </c>
      <c r="B10" t="s">
        <v>624</v>
      </c>
      <c r="C10" s="17" t="s">
        <v>1267</v>
      </c>
    </row>
    <row r="11" spans="1:4" x14ac:dyDescent="0.4">
      <c r="A11" t="s">
        <v>625</v>
      </c>
      <c r="B11" t="s">
        <v>624</v>
      </c>
      <c r="C11" s="17" t="s">
        <v>672</v>
      </c>
    </row>
    <row r="12" spans="1:4" x14ac:dyDescent="0.4">
      <c r="A12" t="s">
        <v>626</v>
      </c>
      <c r="B12" t="s">
        <v>673</v>
      </c>
      <c r="C12" s="17" t="s">
        <v>674</v>
      </c>
    </row>
    <row r="13" spans="1:4" ht="37.5" x14ac:dyDescent="0.4">
      <c r="A13" t="s">
        <v>627</v>
      </c>
      <c r="B13" t="s">
        <v>675</v>
      </c>
      <c r="C13" s="17" t="s">
        <v>991</v>
      </c>
    </row>
    <row r="14" spans="1:4" x14ac:dyDescent="0.4">
      <c r="A14" t="s">
        <v>775</v>
      </c>
    </row>
    <row r="15" spans="1:4" x14ac:dyDescent="0.4">
      <c r="A15" t="s">
        <v>1264</v>
      </c>
      <c r="B15" t="s">
        <v>1272</v>
      </c>
      <c r="C15" s="17" t="s">
        <v>1273</v>
      </c>
    </row>
    <row r="16" spans="1:4" x14ac:dyDescent="0.4">
      <c r="A16" t="s">
        <v>1068</v>
      </c>
      <c r="B16" t="s">
        <v>1272</v>
      </c>
      <c r="C16" s="17" t="s">
        <v>1274</v>
      </c>
    </row>
    <row r="17" spans="1:3" x14ac:dyDescent="0.4">
      <c r="A17" t="s">
        <v>629</v>
      </c>
      <c r="B17" t="s">
        <v>678</v>
      </c>
      <c r="C17" s="17" t="s">
        <v>679</v>
      </c>
    </row>
    <row r="18" spans="1:3" ht="37.5" x14ac:dyDescent="0.4">
      <c r="A18" t="s">
        <v>632</v>
      </c>
      <c r="B18" t="s">
        <v>694</v>
      </c>
      <c r="C18" s="17" t="s">
        <v>986</v>
      </c>
    </row>
    <row r="19" spans="1:3" x14ac:dyDescent="0.4">
      <c r="A19" t="s">
        <v>628</v>
      </c>
      <c r="B19" t="s">
        <v>676</v>
      </c>
      <c r="C19" s="17" t="s">
        <v>677</v>
      </c>
    </row>
    <row r="20" spans="1:3" ht="37.5" x14ac:dyDescent="0.4">
      <c r="A20" t="s">
        <v>773</v>
      </c>
      <c r="B20" t="s">
        <v>676</v>
      </c>
      <c r="C20" s="17" t="s">
        <v>774</v>
      </c>
    </row>
    <row r="21" spans="1:3" x14ac:dyDescent="0.4">
      <c r="A21" t="s">
        <v>633</v>
      </c>
      <c r="B21" t="s">
        <v>695</v>
      </c>
      <c r="C21" s="17" t="s">
        <v>696</v>
      </c>
    </row>
    <row r="22" spans="1:3" x14ac:dyDescent="0.4">
      <c r="A22" t="s">
        <v>216</v>
      </c>
      <c r="B22" t="s">
        <v>1268</v>
      </c>
      <c r="C22" s="17" t="s">
        <v>1269</v>
      </c>
    </row>
    <row r="23" spans="1:3" x14ac:dyDescent="0.4">
      <c r="A23" t="s">
        <v>1247</v>
      </c>
      <c r="C23" s="17" t="s">
        <v>1271</v>
      </c>
    </row>
    <row r="24" spans="1:3" x14ac:dyDescent="0.4">
      <c r="A24" t="s">
        <v>1248</v>
      </c>
      <c r="C24" s="17" t="s">
        <v>1270</v>
      </c>
    </row>
    <row r="26" spans="1:3" x14ac:dyDescent="0.4">
      <c r="A26" t="s">
        <v>632</v>
      </c>
    </row>
    <row r="28" spans="1:3" x14ac:dyDescent="0.4">
      <c r="A28" t="s">
        <v>1245</v>
      </c>
    </row>
    <row r="29" spans="1:3" x14ac:dyDescent="0.4">
      <c r="A29" s="43" t="s">
        <v>479</v>
      </c>
      <c r="B29" t="s">
        <v>630</v>
      </c>
      <c r="C29" s="17" t="s">
        <v>680</v>
      </c>
    </row>
    <row r="30" spans="1:3" x14ac:dyDescent="0.4">
      <c r="A30" s="43" t="s">
        <v>480</v>
      </c>
      <c r="B30" t="s">
        <v>630</v>
      </c>
      <c r="C30" s="17" t="s">
        <v>681</v>
      </c>
    </row>
    <row r="31" spans="1:3" x14ac:dyDescent="0.4">
      <c r="A31" s="43" t="s">
        <v>481</v>
      </c>
      <c r="B31" t="s">
        <v>630</v>
      </c>
      <c r="C31" s="17" t="s">
        <v>682</v>
      </c>
    </row>
    <row r="32" spans="1:3" x14ac:dyDescent="0.4">
      <c r="A32" s="43" t="s">
        <v>482</v>
      </c>
      <c r="B32" t="s">
        <v>630</v>
      </c>
      <c r="C32" s="17" t="s">
        <v>683</v>
      </c>
    </row>
    <row r="33" spans="1:3" x14ac:dyDescent="0.4">
      <c r="A33" s="42" t="s">
        <v>483</v>
      </c>
      <c r="B33" t="s">
        <v>483</v>
      </c>
      <c r="C33" s="17" t="s">
        <v>684</v>
      </c>
    </row>
    <row r="34" spans="1:3" x14ac:dyDescent="0.4">
      <c r="A34" s="42" t="s">
        <v>484</v>
      </c>
      <c r="B34" t="s">
        <v>483</v>
      </c>
      <c r="C34" s="17" t="s">
        <v>685</v>
      </c>
    </row>
    <row r="35" spans="1:3" x14ac:dyDescent="0.4">
      <c r="A35" s="42" t="s">
        <v>485</v>
      </c>
      <c r="B35" t="s">
        <v>483</v>
      </c>
      <c r="C35" s="17" t="s">
        <v>686</v>
      </c>
    </row>
    <row r="36" spans="1:3" x14ac:dyDescent="0.4">
      <c r="A36" s="44" t="s">
        <v>486</v>
      </c>
      <c r="B36" t="s">
        <v>486</v>
      </c>
      <c r="C36" s="17" t="s">
        <v>687</v>
      </c>
    </row>
    <row r="37" spans="1:3" x14ac:dyDescent="0.4">
      <c r="A37" s="44" t="s">
        <v>487</v>
      </c>
      <c r="B37" t="s">
        <v>1001</v>
      </c>
      <c r="C37" s="17" t="s">
        <v>688</v>
      </c>
    </row>
    <row r="38" spans="1:3" x14ac:dyDescent="0.4">
      <c r="A38" s="44" t="s">
        <v>488</v>
      </c>
      <c r="B38" t="s">
        <v>631</v>
      </c>
      <c r="C38" s="17" t="s">
        <v>1017</v>
      </c>
    </row>
    <row r="39" spans="1:3" x14ac:dyDescent="0.4">
      <c r="A39" s="44" t="s">
        <v>489</v>
      </c>
      <c r="B39" t="s">
        <v>631</v>
      </c>
      <c r="C39" s="17" t="s">
        <v>689</v>
      </c>
    </row>
    <row r="40" spans="1:3" x14ac:dyDescent="0.4">
      <c r="A40" s="44" t="s">
        <v>490</v>
      </c>
      <c r="B40" t="s">
        <v>631</v>
      </c>
      <c r="C40" s="17" t="s">
        <v>690</v>
      </c>
    </row>
    <row r="41" spans="1:3" x14ac:dyDescent="0.4">
      <c r="A41" s="36" t="s">
        <v>491</v>
      </c>
      <c r="B41" t="s">
        <v>1000</v>
      </c>
      <c r="C41" s="17" t="s">
        <v>691</v>
      </c>
    </row>
    <row r="42" spans="1:3" x14ac:dyDescent="0.4">
      <c r="A42" s="36" t="s">
        <v>492</v>
      </c>
      <c r="B42" t="s">
        <v>634</v>
      </c>
      <c r="C42" s="17" t="s">
        <v>692</v>
      </c>
    </row>
    <row r="43" spans="1:3" x14ac:dyDescent="0.4">
      <c r="A43" s="36" t="s">
        <v>493</v>
      </c>
      <c r="B43" t="s">
        <v>493</v>
      </c>
      <c r="C43" s="17" t="s">
        <v>693</v>
      </c>
    </row>
    <row r="44" spans="1:3" x14ac:dyDescent="0.4">
      <c r="A44" s="56" t="s">
        <v>949</v>
      </c>
      <c r="B44" t="s">
        <v>1018</v>
      </c>
      <c r="C44" s="17" t="s">
        <v>1019</v>
      </c>
    </row>
    <row r="45" spans="1:3" x14ac:dyDescent="0.4">
      <c r="A45" s="56" t="s">
        <v>946</v>
      </c>
      <c r="B45" t="s">
        <v>1018</v>
      </c>
      <c r="C45" s="17" t="s">
        <v>1020</v>
      </c>
    </row>
    <row r="46" spans="1:3" x14ac:dyDescent="0.4">
      <c r="A46" t="s">
        <v>950</v>
      </c>
    </row>
    <row r="47" spans="1:3" x14ac:dyDescent="0.4">
      <c r="A47" s="36" t="s">
        <v>951</v>
      </c>
    </row>
    <row r="48" spans="1:3" x14ac:dyDescent="0.4">
      <c r="A48" s="36" t="s">
        <v>952</v>
      </c>
    </row>
    <row r="49" spans="1:1" x14ac:dyDescent="0.4">
      <c r="A49" s="36" t="s">
        <v>953</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517</v>
      </c>
      <c r="B1" s="41" t="s">
        <v>603</v>
      </c>
      <c r="C1" t="s">
        <v>518</v>
      </c>
      <c r="D1" t="s">
        <v>160</v>
      </c>
      <c r="E1" t="s">
        <v>519</v>
      </c>
      <c r="F1" t="s">
        <v>520</v>
      </c>
    </row>
    <row r="2" spans="1:6" x14ac:dyDescent="0.4">
      <c r="A2" t="s">
        <v>522</v>
      </c>
      <c r="B2" s="40" t="s">
        <v>521</v>
      </c>
      <c r="C2" t="s">
        <v>523</v>
      </c>
      <c r="D2" t="s">
        <v>615</v>
      </c>
      <c r="E2" t="s">
        <v>524</v>
      </c>
      <c r="F2" t="s">
        <v>525</v>
      </c>
    </row>
    <row r="3" spans="1:6" x14ac:dyDescent="0.4">
      <c r="A3" t="s">
        <v>526</v>
      </c>
      <c r="B3" s="40" t="s">
        <v>521</v>
      </c>
      <c r="C3" t="s">
        <v>523</v>
      </c>
      <c r="D3" t="s">
        <v>614</v>
      </c>
      <c r="E3" t="s">
        <v>524</v>
      </c>
      <c r="F3" t="s">
        <v>525</v>
      </c>
    </row>
    <row r="4" spans="1:6" x14ac:dyDescent="0.4">
      <c r="A4" t="s">
        <v>527</v>
      </c>
      <c r="B4" s="40" t="s">
        <v>521</v>
      </c>
      <c r="C4" t="s">
        <v>523</v>
      </c>
      <c r="D4" t="s">
        <v>613</v>
      </c>
      <c r="E4" t="s">
        <v>524</v>
      </c>
      <c r="F4" t="s">
        <v>525</v>
      </c>
    </row>
    <row r="5" spans="1:6" x14ac:dyDescent="0.4">
      <c r="A5" t="s">
        <v>528</v>
      </c>
      <c r="B5" s="40" t="s">
        <v>521</v>
      </c>
      <c r="C5" t="s">
        <v>523</v>
      </c>
      <c r="D5" t="s">
        <v>612</v>
      </c>
      <c r="E5" t="s">
        <v>524</v>
      </c>
      <c r="F5" t="s">
        <v>525</v>
      </c>
    </row>
    <row r="6" spans="1:6" x14ac:dyDescent="0.4">
      <c r="A6" t="s">
        <v>529</v>
      </c>
      <c r="B6" s="40" t="s">
        <v>521</v>
      </c>
      <c r="C6" t="s">
        <v>523</v>
      </c>
      <c r="D6" t="s">
        <v>611</v>
      </c>
      <c r="E6" t="s">
        <v>524</v>
      </c>
      <c r="F6" t="s">
        <v>525</v>
      </c>
    </row>
    <row r="7" spans="1:6" x14ac:dyDescent="0.4">
      <c r="A7" t="s">
        <v>530</v>
      </c>
      <c r="B7" s="40" t="s">
        <v>521</v>
      </c>
      <c r="C7" t="s">
        <v>523</v>
      </c>
      <c r="D7" t="s">
        <v>610</v>
      </c>
      <c r="E7" t="s">
        <v>524</v>
      </c>
      <c r="F7" t="s">
        <v>525</v>
      </c>
    </row>
    <row r="8" spans="1:6" x14ac:dyDescent="0.4">
      <c r="A8" t="s">
        <v>531</v>
      </c>
      <c r="B8" s="40" t="s">
        <v>521</v>
      </c>
      <c r="C8" t="s">
        <v>523</v>
      </c>
      <c r="D8" t="s">
        <v>609</v>
      </c>
      <c r="E8" t="s">
        <v>524</v>
      </c>
      <c r="F8" t="s">
        <v>525</v>
      </c>
    </row>
    <row r="9" spans="1:6" x14ac:dyDescent="0.4">
      <c r="A9" t="s">
        <v>532</v>
      </c>
      <c r="B9" s="40" t="s">
        <v>521</v>
      </c>
      <c r="C9" t="s">
        <v>523</v>
      </c>
      <c r="E9" t="s">
        <v>524</v>
      </c>
      <c r="F9" t="s">
        <v>525</v>
      </c>
    </row>
    <row r="10" spans="1:6" x14ac:dyDescent="0.4">
      <c r="A10" t="s">
        <v>533</v>
      </c>
      <c r="B10" s="40" t="s">
        <v>521</v>
      </c>
      <c r="C10" t="s">
        <v>523</v>
      </c>
      <c r="D10" t="s">
        <v>604</v>
      </c>
      <c r="E10" t="s">
        <v>524</v>
      </c>
      <c r="F10" t="s">
        <v>525</v>
      </c>
    </row>
    <row r="11" spans="1:6" x14ac:dyDescent="0.4">
      <c r="A11" t="s">
        <v>534</v>
      </c>
      <c r="B11" s="40" t="s">
        <v>521</v>
      </c>
      <c r="C11" t="s">
        <v>523</v>
      </c>
      <c r="D11" t="s">
        <v>608</v>
      </c>
      <c r="E11" t="s">
        <v>524</v>
      </c>
      <c r="F11" t="s">
        <v>525</v>
      </c>
    </row>
    <row r="12" spans="1:6" x14ac:dyDescent="0.4">
      <c r="A12" t="s">
        <v>535</v>
      </c>
      <c r="B12" s="40" t="s">
        <v>521</v>
      </c>
      <c r="C12" t="s">
        <v>523</v>
      </c>
      <c r="D12" t="s">
        <v>605</v>
      </c>
      <c r="E12" t="s">
        <v>524</v>
      </c>
      <c r="F12" t="s">
        <v>525</v>
      </c>
    </row>
    <row r="13" spans="1:6" x14ac:dyDescent="0.4">
      <c r="A13" t="s">
        <v>536</v>
      </c>
      <c r="B13" s="40" t="s">
        <v>521</v>
      </c>
      <c r="C13" t="s">
        <v>523</v>
      </c>
      <c r="E13" t="s">
        <v>524</v>
      </c>
      <c r="F13" t="s">
        <v>525</v>
      </c>
    </row>
    <row r="14" spans="1:6" x14ac:dyDescent="0.4">
      <c r="A14" t="s">
        <v>537</v>
      </c>
      <c r="B14" s="40" t="s">
        <v>521</v>
      </c>
      <c r="C14" t="s">
        <v>523</v>
      </c>
      <c r="D14" t="s">
        <v>606</v>
      </c>
      <c r="E14" t="s">
        <v>524</v>
      </c>
      <c r="F14" t="s">
        <v>525</v>
      </c>
    </row>
    <row r="15" spans="1:6" x14ac:dyDescent="0.4">
      <c r="A15" t="s">
        <v>538</v>
      </c>
      <c r="B15" s="40" t="s">
        <v>521</v>
      </c>
      <c r="C15" t="s">
        <v>523</v>
      </c>
      <c r="D15" t="s">
        <v>607</v>
      </c>
      <c r="E15" t="s">
        <v>524</v>
      </c>
      <c r="F15" t="s">
        <v>525</v>
      </c>
    </row>
    <row r="16" spans="1:6" x14ac:dyDescent="0.4">
      <c r="A16" t="s">
        <v>540</v>
      </c>
      <c r="B16" s="40" t="s">
        <v>539</v>
      </c>
      <c r="C16" t="s">
        <v>541</v>
      </c>
      <c r="E16" t="s">
        <v>542</v>
      </c>
      <c r="F16" t="s">
        <v>543</v>
      </c>
    </row>
    <row r="17" spans="1:6" x14ac:dyDescent="0.4">
      <c r="A17" t="s">
        <v>544</v>
      </c>
      <c r="B17" s="40" t="s">
        <v>539</v>
      </c>
      <c r="C17" t="s">
        <v>541</v>
      </c>
      <c r="E17" t="s">
        <v>542</v>
      </c>
      <c r="F17" t="s">
        <v>543</v>
      </c>
    </row>
    <row r="18" spans="1:6" x14ac:dyDescent="0.4">
      <c r="A18" t="s">
        <v>545</v>
      </c>
      <c r="B18" s="40" t="s">
        <v>539</v>
      </c>
      <c r="C18" t="s">
        <v>541</v>
      </c>
      <c r="E18" t="s">
        <v>542</v>
      </c>
      <c r="F18" t="s">
        <v>543</v>
      </c>
    </row>
    <row r="19" spans="1:6" x14ac:dyDescent="0.4">
      <c r="A19" t="s">
        <v>547</v>
      </c>
      <c r="B19" s="40" t="s">
        <v>546</v>
      </c>
      <c r="C19" t="s">
        <v>548</v>
      </c>
      <c r="D19" t="s">
        <v>616</v>
      </c>
      <c r="E19" t="s">
        <v>549</v>
      </c>
      <c r="F19" t="s">
        <v>525</v>
      </c>
    </row>
    <row r="20" spans="1:6" x14ac:dyDescent="0.4">
      <c r="A20" t="s">
        <v>550</v>
      </c>
      <c r="B20" s="40" t="s">
        <v>546</v>
      </c>
      <c r="C20" t="s">
        <v>548</v>
      </c>
      <c r="D20" t="s">
        <v>617</v>
      </c>
      <c r="E20" t="s">
        <v>549</v>
      </c>
      <c r="F20" t="s">
        <v>525</v>
      </c>
    </row>
    <row r="21" spans="1:6" x14ac:dyDescent="0.4">
      <c r="A21" t="s">
        <v>551</v>
      </c>
      <c r="B21" s="40" t="s">
        <v>546</v>
      </c>
      <c r="C21" t="s">
        <v>548</v>
      </c>
      <c r="D21" t="s">
        <v>618</v>
      </c>
      <c r="E21" t="s">
        <v>549</v>
      </c>
      <c r="F21" t="s">
        <v>525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516</v>
      </c>
      <c r="B1" t="s">
        <v>517</v>
      </c>
      <c r="C1" t="s">
        <v>518</v>
      </c>
      <c r="D1" t="s">
        <v>773</v>
      </c>
      <c r="E1" t="s">
        <v>777</v>
      </c>
      <c r="F1" t="s">
        <v>778</v>
      </c>
      <c r="G1" t="s">
        <v>779</v>
      </c>
      <c r="H1" t="s">
        <v>519</v>
      </c>
      <c r="I1" t="s">
        <v>520</v>
      </c>
    </row>
    <row r="2" spans="1:9" x14ac:dyDescent="0.4">
      <c r="A2" s="45" t="s">
        <v>635</v>
      </c>
      <c r="B2" t="s">
        <v>636</v>
      </c>
      <c r="C2" t="s">
        <v>637</v>
      </c>
      <c r="D2" s="39">
        <v>-0.15</v>
      </c>
      <c r="H2" t="s">
        <v>776</v>
      </c>
      <c r="I2" t="s">
        <v>525</v>
      </c>
    </row>
    <row r="3" spans="1:9" x14ac:dyDescent="0.4">
      <c r="A3" s="45" t="s">
        <v>635</v>
      </c>
      <c r="B3" t="s">
        <v>639</v>
      </c>
      <c r="C3" t="s">
        <v>637</v>
      </c>
      <c r="H3" t="s">
        <v>638</v>
      </c>
      <c r="I3" t="s">
        <v>525</v>
      </c>
    </row>
    <row r="4" spans="1:9" x14ac:dyDescent="0.4">
      <c r="A4" s="45" t="s">
        <v>635</v>
      </c>
      <c r="B4" t="s">
        <v>640</v>
      </c>
      <c r="C4" t="s">
        <v>637</v>
      </c>
      <c r="H4" t="s">
        <v>638</v>
      </c>
      <c r="I4" t="s">
        <v>525</v>
      </c>
    </row>
    <row r="5" spans="1:9" x14ac:dyDescent="0.4">
      <c r="A5" s="45" t="s">
        <v>635</v>
      </c>
      <c r="B5" t="s">
        <v>641</v>
      </c>
      <c r="C5" t="s">
        <v>637</v>
      </c>
      <c r="H5" t="s">
        <v>638</v>
      </c>
      <c r="I5" t="s">
        <v>525</v>
      </c>
    </row>
    <row r="6" spans="1:9" x14ac:dyDescent="0.4">
      <c r="A6" s="45" t="s">
        <v>635</v>
      </c>
      <c r="B6" t="s">
        <v>642</v>
      </c>
      <c r="C6" t="s">
        <v>637</v>
      </c>
      <c r="H6" t="s">
        <v>638</v>
      </c>
      <c r="I6" t="s">
        <v>525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517</v>
      </c>
      <c r="B1" t="s">
        <v>518</v>
      </c>
      <c r="C1" t="s">
        <v>519</v>
      </c>
      <c r="D1" t="s">
        <v>520</v>
      </c>
    </row>
    <row r="2" spans="1:4" x14ac:dyDescent="0.4">
      <c r="A2" t="s">
        <v>643</v>
      </c>
      <c r="B2" t="s">
        <v>644</v>
      </c>
      <c r="C2" t="s">
        <v>645</v>
      </c>
      <c r="D2" t="s">
        <v>525</v>
      </c>
    </row>
    <row r="3" spans="1:4" x14ac:dyDescent="0.4">
      <c r="A3" t="s">
        <v>646</v>
      </c>
      <c r="B3" t="s">
        <v>644</v>
      </c>
      <c r="C3" t="s">
        <v>645</v>
      </c>
      <c r="D3" t="s">
        <v>525</v>
      </c>
    </row>
    <row r="4" spans="1:4" x14ac:dyDescent="0.4">
      <c r="A4" t="s">
        <v>647</v>
      </c>
      <c r="B4" t="s">
        <v>644</v>
      </c>
      <c r="C4" t="s">
        <v>645</v>
      </c>
      <c r="D4" t="s">
        <v>525</v>
      </c>
    </row>
    <row r="5" spans="1:4" x14ac:dyDescent="0.4">
      <c r="A5" t="s">
        <v>648</v>
      </c>
      <c r="B5" t="s">
        <v>644</v>
      </c>
      <c r="C5" t="s">
        <v>645</v>
      </c>
      <c r="D5" t="s">
        <v>525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516</v>
      </c>
      <c r="B1" t="s">
        <v>517</v>
      </c>
      <c r="C1" t="s">
        <v>518</v>
      </c>
      <c r="D1" t="s">
        <v>519</v>
      </c>
      <c r="E1" t="s">
        <v>520</v>
      </c>
      <c r="F1" s="55" t="s">
        <v>1015</v>
      </c>
      <c r="G1" s="55" t="s">
        <v>622</v>
      </c>
      <c r="H1" s="55" t="s">
        <v>623</v>
      </c>
      <c r="I1" s="55" t="s">
        <v>621</v>
      </c>
      <c r="J1" s="55" t="s">
        <v>1004</v>
      </c>
      <c r="K1" s="26" t="s">
        <v>248</v>
      </c>
      <c r="L1" s="26" t="s">
        <v>1</v>
      </c>
      <c r="M1" s="26" t="s">
        <v>2</v>
      </c>
      <c r="N1" s="26" t="s">
        <v>106</v>
      </c>
      <c r="O1" s="26" t="s">
        <v>1278</v>
      </c>
      <c r="P1" s="27" t="s">
        <v>4</v>
      </c>
      <c r="Q1" s="27" t="s">
        <v>3</v>
      </c>
      <c r="R1" s="28" t="s">
        <v>227</v>
      </c>
      <c r="S1" s="28" t="s">
        <v>228</v>
      </c>
      <c r="T1" s="28" t="s">
        <v>229</v>
      </c>
      <c r="U1" s="28" t="s">
        <v>230</v>
      </c>
      <c r="V1" s="29" t="s">
        <v>231</v>
      </c>
      <c r="W1" s="29" t="s">
        <v>5</v>
      </c>
      <c r="X1" s="29" t="s">
        <v>1044</v>
      </c>
      <c r="Y1" s="29" t="s">
        <v>6</v>
      </c>
    </row>
    <row r="2" spans="1:25" x14ac:dyDescent="0.4">
      <c r="F2" s="60" t="s">
        <v>1222</v>
      </c>
      <c r="G2" s="60" t="s">
        <v>1222</v>
      </c>
      <c r="H2" s="60" t="s">
        <v>1222</v>
      </c>
      <c r="I2" s="60" t="s">
        <v>1222</v>
      </c>
      <c r="J2" s="60" t="s">
        <v>1222</v>
      </c>
      <c r="K2" s="26"/>
      <c r="L2" s="26"/>
      <c r="M2" s="26"/>
      <c r="N2" s="26"/>
      <c r="O2" s="26"/>
      <c r="P2" s="27"/>
      <c r="Q2" s="27"/>
      <c r="R2" s="28"/>
      <c r="S2" s="28"/>
      <c r="T2" s="28"/>
      <c r="U2" s="28"/>
      <c r="V2" s="29"/>
      <c r="W2" s="29"/>
      <c r="X2" s="29"/>
      <c r="Y2" s="29"/>
    </row>
    <row r="3" spans="1:25" x14ac:dyDescent="0.4">
      <c r="A3" t="s">
        <v>6</v>
      </c>
      <c r="B3" t="s">
        <v>649</v>
      </c>
      <c r="C3" t="s">
        <v>650</v>
      </c>
      <c r="D3" t="s">
        <v>651</v>
      </c>
      <c r="E3" t="s">
        <v>652</v>
      </c>
    </row>
    <row r="4" spans="1:25" x14ac:dyDescent="0.4">
      <c r="A4" t="s">
        <v>6</v>
      </c>
      <c r="B4" t="s">
        <v>653</v>
      </c>
      <c r="C4" t="s">
        <v>650</v>
      </c>
      <c r="D4" t="s">
        <v>651</v>
      </c>
      <c r="E4" t="s">
        <v>652</v>
      </c>
    </row>
    <row r="5" spans="1:25" x14ac:dyDescent="0.4">
      <c r="A5" t="s">
        <v>6</v>
      </c>
      <c r="B5" t="s">
        <v>654</v>
      </c>
      <c r="C5" t="s">
        <v>650</v>
      </c>
      <c r="D5" t="s">
        <v>651</v>
      </c>
      <c r="E5" t="s">
        <v>652</v>
      </c>
    </row>
    <row r="6" spans="1:25" x14ac:dyDescent="0.4">
      <c r="A6" t="s">
        <v>6</v>
      </c>
      <c r="B6" t="s">
        <v>655</v>
      </c>
      <c r="C6" t="s">
        <v>650</v>
      </c>
      <c r="D6" t="s">
        <v>651</v>
      </c>
      <c r="E6" t="s">
        <v>652</v>
      </c>
    </row>
    <row r="7" spans="1:25" x14ac:dyDescent="0.4">
      <c r="A7" t="s">
        <v>6</v>
      </c>
      <c r="B7" t="s">
        <v>656</v>
      </c>
      <c r="C7" t="s">
        <v>650</v>
      </c>
      <c r="D7" t="s">
        <v>651</v>
      </c>
      <c r="E7" t="s">
        <v>652</v>
      </c>
    </row>
    <row r="8" spans="1:25" x14ac:dyDescent="0.4">
      <c r="A8" t="s">
        <v>6</v>
      </c>
      <c r="B8" t="s">
        <v>657</v>
      </c>
      <c r="C8" t="s">
        <v>650</v>
      </c>
      <c r="D8" t="s">
        <v>651</v>
      </c>
      <c r="E8" t="s">
        <v>652</v>
      </c>
    </row>
    <row r="9" spans="1:25" x14ac:dyDescent="0.4">
      <c r="A9" t="s">
        <v>6</v>
      </c>
      <c r="B9" t="s">
        <v>658</v>
      </c>
      <c r="C9" t="s">
        <v>650</v>
      </c>
      <c r="D9" t="s">
        <v>651</v>
      </c>
      <c r="E9" t="s">
        <v>652</v>
      </c>
    </row>
    <row r="10" spans="1:25" x14ac:dyDescent="0.4">
      <c r="A10" t="s">
        <v>6</v>
      </c>
      <c r="B10" t="s">
        <v>659</v>
      </c>
      <c r="C10" t="s">
        <v>650</v>
      </c>
      <c r="D10" t="s">
        <v>651</v>
      </c>
      <c r="E10" t="s">
        <v>652</v>
      </c>
    </row>
    <row r="11" spans="1:25" x14ac:dyDescent="0.4">
      <c r="A11" t="s">
        <v>6</v>
      </c>
      <c r="B11" t="s">
        <v>660</v>
      </c>
      <c r="C11" t="s">
        <v>650</v>
      </c>
      <c r="D11" t="s">
        <v>651</v>
      </c>
      <c r="E11" t="s">
        <v>652</v>
      </c>
    </row>
    <row r="12" spans="1:25" x14ac:dyDescent="0.4">
      <c r="A12" t="s">
        <v>6</v>
      </c>
      <c r="B12" t="s">
        <v>661</v>
      </c>
      <c r="C12" t="s">
        <v>650</v>
      </c>
      <c r="D12" t="s">
        <v>651</v>
      </c>
      <c r="E12" t="s">
        <v>652</v>
      </c>
    </row>
    <row r="13" spans="1:25" x14ac:dyDescent="0.4">
      <c r="A13" t="s">
        <v>6</v>
      </c>
      <c r="B13" t="s">
        <v>663</v>
      </c>
      <c r="C13" t="s">
        <v>650</v>
      </c>
      <c r="D13" t="s">
        <v>651</v>
      </c>
      <c r="E13" t="s">
        <v>652</v>
      </c>
    </row>
    <row r="14" spans="1:25" x14ac:dyDescent="0.4">
      <c r="A14" t="s">
        <v>6</v>
      </c>
      <c r="B14" t="s">
        <v>662</v>
      </c>
      <c r="C14" t="s">
        <v>650</v>
      </c>
      <c r="D14" t="s">
        <v>651</v>
      </c>
      <c r="E14" t="s">
        <v>652</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741</v>
      </c>
      <c r="B1" s="17" t="s">
        <v>744</v>
      </c>
      <c r="C1" s="17" t="s">
        <v>665</v>
      </c>
      <c r="D1" s="17" t="s">
        <v>1244</v>
      </c>
      <c r="E1" s="17" t="s">
        <v>1250</v>
      </c>
      <c r="F1" s="17" t="s">
        <v>1275</v>
      </c>
      <c r="G1" s="55" t="s">
        <v>1015</v>
      </c>
      <c r="H1" s="55" t="s">
        <v>622</v>
      </c>
      <c r="I1" s="55" t="s">
        <v>623</v>
      </c>
      <c r="J1" s="55" t="s">
        <v>621</v>
      </c>
      <c r="K1" s="55" t="s">
        <v>1004</v>
      </c>
      <c r="L1" s="57" t="s">
        <v>483</v>
      </c>
      <c r="M1" s="57" t="s">
        <v>484</v>
      </c>
      <c r="N1" s="57" t="s">
        <v>485</v>
      </c>
      <c r="O1" s="58" t="s">
        <v>486</v>
      </c>
      <c r="P1" s="58" t="s">
        <v>487</v>
      </c>
      <c r="Q1" s="58" t="s">
        <v>488</v>
      </c>
      <c r="R1" s="58" t="s">
        <v>489</v>
      </c>
      <c r="S1" s="58" t="s">
        <v>490</v>
      </c>
      <c r="T1" s="36" t="s">
        <v>491</v>
      </c>
      <c r="U1" s="36" t="s">
        <v>492</v>
      </c>
      <c r="V1" s="36" t="s">
        <v>493</v>
      </c>
      <c r="W1" s="56" t="s">
        <v>949</v>
      </c>
      <c r="X1" s="56" t="s">
        <v>946</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1044</v>
      </c>
      <c r="AR1" s="29" t="s">
        <v>6</v>
      </c>
      <c r="AS1" s="17" t="s">
        <v>1245</v>
      </c>
      <c r="AT1" s="17" t="s">
        <v>1246</v>
      </c>
      <c r="AU1" s="17" t="s">
        <v>632</v>
      </c>
      <c r="AV1" s="17" t="s">
        <v>628</v>
      </c>
      <c r="AW1" s="17" t="s">
        <v>773</v>
      </c>
      <c r="AX1" s="17" t="s">
        <v>633</v>
      </c>
      <c r="AY1" s="17" t="s">
        <v>1247</v>
      </c>
      <c r="AZ1" s="17" t="s">
        <v>1248</v>
      </c>
      <c r="BA1" s="17" t="s">
        <v>216</v>
      </c>
      <c r="BB1" s="17" t="s">
        <v>995</v>
      </c>
    </row>
    <row r="2" spans="1:54" ht="13.5" customHeight="1" x14ac:dyDescent="0.4">
      <c r="A2" t="s">
        <v>1234</v>
      </c>
      <c r="B2" t="s">
        <v>1014</v>
      </c>
      <c r="C2" s="17" t="s">
        <v>1240</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1235</v>
      </c>
      <c r="B3" t="s">
        <v>1237</v>
      </c>
      <c r="C3" s="17" t="s">
        <v>1241</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1117</v>
      </c>
      <c r="B4" t="s">
        <v>1238</v>
      </c>
      <c r="C4" s="17" t="s">
        <v>1242</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1236</v>
      </c>
      <c r="B5" t="s">
        <v>1239</v>
      </c>
      <c r="C5" s="17" t="s">
        <v>1243</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724</v>
      </c>
      <c r="B6" t="s">
        <v>750</v>
      </c>
      <c r="C6" s="17" t="s">
        <v>749</v>
      </c>
      <c r="D6" s="17">
        <v>2</v>
      </c>
      <c r="F6" s="17" t="s">
        <v>1276</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994</v>
      </c>
      <c r="B7" t="s">
        <v>750</v>
      </c>
      <c r="C7" s="17" t="s">
        <v>993</v>
      </c>
      <c r="D7" s="17">
        <v>4</v>
      </c>
      <c r="F7" s="17" t="s">
        <v>1276</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725</v>
      </c>
      <c r="B8" t="s">
        <v>750</v>
      </c>
      <c r="C8" s="17" t="s">
        <v>751</v>
      </c>
      <c r="D8" s="17">
        <v>2</v>
      </c>
      <c r="F8" s="17" t="s">
        <v>1276</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726</v>
      </c>
      <c r="B9" t="s">
        <v>750</v>
      </c>
      <c r="C9" s="17" t="s">
        <v>1016</v>
      </c>
      <c r="D9" s="17">
        <v>2</v>
      </c>
      <c r="F9" s="17" t="s">
        <v>1276</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727</v>
      </c>
      <c r="B10" t="s">
        <v>750</v>
      </c>
      <c r="C10" s="17" t="s">
        <v>996</v>
      </c>
      <c r="D10" s="17">
        <v>6</v>
      </c>
      <c r="F10" s="17" t="s">
        <v>1277</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1013</v>
      </c>
      <c r="B11" t="s">
        <v>1014</v>
      </c>
      <c r="D11" s="17">
        <v>6</v>
      </c>
      <c r="F11" s="17" t="s">
        <v>1277</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728</v>
      </c>
      <c r="B12" t="s">
        <v>750</v>
      </c>
      <c r="C12" s="17" t="s">
        <v>752</v>
      </c>
      <c r="D12" s="17">
        <v>2</v>
      </c>
      <c r="F12" s="17" t="s">
        <v>1277</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729</v>
      </c>
      <c r="B13" t="s">
        <v>750</v>
      </c>
      <c r="C13" s="17" t="s">
        <v>753</v>
      </c>
      <c r="D13" s="17">
        <v>2</v>
      </c>
      <c r="F13" s="17" t="s">
        <v>1276</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742</v>
      </c>
      <c r="B14" t="s">
        <v>750</v>
      </c>
      <c r="C14" s="17" t="s">
        <v>1021</v>
      </c>
      <c r="D14" s="17">
        <v>3</v>
      </c>
      <c r="F14" s="17" t="s">
        <v>1276</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730</v>
      </c>
      <c r="B15" t="s">
        <v>750</v>
      </c>
      <c r="C15" s="17" t="s">
        <v>754</v>
      </c>
      <c r="D15" s="17">
        <v>4</v>
      </c>
      <c r="F15" s="17" t="s">
        <v>1276</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997</v>
      </c>
      <c r="B16" t="s">
        <v>750</v>
      </c>
      <c r="C16" s="17" t="s">
        <v>998</v>
      </c>
      <c r="D16" s="17">
        <v>3</v>
      </c>
      <c r="F16" s="17" t="s">
        <v>1276</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731</v>
      </c>
      <c r="B17" t="s">
        <v>750</v>
      </c>
      <c r="C17" s="17" t="s">
        <v>755</v>
      </c>
      <c r="D17" s="17">
        <v>8</v>
      </c>
      <c r="F17" s="17" t="s">
        <v>1277</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743</v>
      </c>
      <c r="B18" t="s">
        <v>750</v>
      </c>
      <c r="C18" s="17" t="s">
        <v>756</v>
      </c>
      <c r="D18" s="17">
        <v>2</v>
      </c>
      <c r="F18" s="17" t="s">
        <v>1276</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1279</v>
      </c>
      <c r="B19" t="s">
        <v>750</v>
      </c>
      <c r="C19" s="17" t="s">
        <v>757</v>
      </c>
      <c r="D19" s="17">
        <v>4</v>
      </c>
      <c r="F19" s="17" t="s">
        <v>1277</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732</v>
      </c>
      <c r="B20" t="s">
        <v>750</v>
      </c>
      <c r="C20" s="17" t="s">
        <v>758</v>
      </c>
      <c r="D20" s="17">
        <v>8</v>
      </c>
      <c r="F20" s="17" t="s">
        <v>1277</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733</v>
      </c>
      <c r="B21" t="s">
        <v>750</v>
      </c>
      <c r="C21" s="17" t="s">
        <v>759</v>
      </c>
      <c r="D21" s="17">
        <v>16</v>
      </c>
      <c r="F21" s="17" t="s">
        <v>1276</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734</v>
      </c>
      <c r="B22" t="s">
        <v>503</v>
      </c>
      <c r="C22" s="17" t="s">
        <v>760</v>
      </c>
      <c r="D22" s="17">
        <v>2</v>
      </c>
      <c r="F22" s="17" t="s">
        <v>1277</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735</v>
      </c>
      <c r="B23" t="s">
        <v>504</v>
      </c>
      <c r="C23" s="17" t="s">
        <v>761</v>
      </c>
      <c r="D23" s="17">
        <v>2</v>
      </c>
      <c r="F23" s="17" t="s">
        <v>1277</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736</v>
      </c>
      <c r="B24" t="s">
        <v>763</v>
      </c>
      <c r="C24" s="17" t="s">
        <v>762</v>
      </c>
      <c r="D24" s="17">
        <v>2</v>
      </c>
      <c r="F24" s="17" t="s">
        <v>1277</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737</v>
      </c>
      <c r="B25" t="s">
        <v>746</v>
      </c>
      <c r="C25" s="17" t="s">
        <v>764</v>
      </c>
      <c r="D25" s="17">
        <v>2</v>
      </c>
      <c r="F25" s="17" t="s">
        <v>1277</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740</v>
      </c>
      <c r="B26" t="s">
        <v>745</v>
      </c>
      <c r="C26" s="17" t="s">
        <v>765</v>
      </c>
      <c r="D26" s="17">
        <v>2</v>
      </c>
      <c r="F26" s="17" t="s">
        <v>1277</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738</v>
      </c>
      <c r="B27" t="s">
        <v>750</v>
      </c>
      <c r="C27" s="17" t="s">
        <v>766</v>
      </c>
      <c r="D27" s="17">
        <v>2</v>
      </c>
      <c r="F27" s="17" t="s">
        <v>1277</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739</v>
      </c>
      <c r="B28" t="s">
        <v>750</v>
      </c>
      <c r="C28" s="17" t="s">
        <v>767</v>
      </c>
      <c r="D28" s="17">
        <v>2</v>
      </c>
      <c r="F28" s="17" t="s">
        <v>1277</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723</v>
      </c>
      <c r="B29" t="s">
        <v>750</v>
      </c>
      <c r="C29" s="17" t="s">
        <v>768</v>
      </c>
      <c r="D29" s="17">
        <v>2</v>
      </c>
      <c r="F29" s="17" t="s">
        <v>1277</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747</v>
      </c>
      <c r="B30" t="s">
        <v>748</v>
      </c>
      <c r="C30" s="17" t="s">
        <v>769</v>
      </c>
      <c r="D30" s="17">
        <v>2</v>
      </c>
      <c r="F30" s="17" t="s">
        <v>1277</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517</v>
      </c>
      <c r="B1" t="s">
        <v>1053</v>
      </c>
      <c r="C1" t="s">
        <v>10</v>
      </c>
      <c r="D1" t="s">
        <v>665</v>
      </c>
      <c r="E1" t="s">
        <v>620</v>
      </c>
      <c r="F1" t="s">
        <v>624</v>
      </c>
      <c r="G1" t="s">
        <v>625</v>
      </c>
      <c r="H1" t="s">
        <v>626</v>
      </c>
      <c r="I1" t="s">
        <v>627</v>
      </c>
      <c r="J1" t="s">
        <v>629</v>
      </c>
      <c r="K1" t="s">
        <v>632</v>
      </c>
      <c r="L1" t="s">
        <v>628</v>
      </c>
      <c r="M1" t="s">
        <v>773</v>
      </c>
      <c r="N1" t="s">
        <v>633</v>
      </c>
      <c r="O1" t="s">
        <v>775</v>
      </c>
      <c r="P1" s="43" t="s">
        <v>479</v>
      </c>
      <c r="Q1" s="43" t="s">
        <v>480</v>
      </c>
      <c r="R1" s="43" t="s">
        <v>481</v>
      </c>
      <c r="S1" s="43" t="s">
        <v>482</v>
      </c>
      <c r="T1" s="42" t="s">
        <v>483</v>
      </c>
      <c r="U1" s="42" t="s">
        <v>484</v>
      </c>
      <c r="V1" s="42" t="s">
        <v>485</v>
      </c>
      <c r="W1" s="44" t="s">
        <v>486</v>
      </c>
      <c r="X1" s="44" t="s">
        <v>487</v>
      </c>
      <c r="Y1" s="44" t="s">
        <v>488</v>
      </c>
      <c r="Z1" s="44" t="s">
        <v>489</v>
      </c>
      <c r="AA1" s="44" t="s">
        <v>490</v>
      </c>
      <c r="AB1" s="36" t="s">
        <v>491</v>
      </c>
      <c r="AC1" s="36" t="s">
        <v>492</v>
      </c>
      <c r="AD1" s="36" t="s">
        <v>493</v>
      </c>
      <c r="AE1" s="56" t="s">
        <v>949</v>
      </c>
      <c r="AF1" s="56" t="s">
        <v>946</v>
      </c>
      <c r="AG1" t="s">
        <v>950</v>
      </c>
      <c r="AH1" s="36" t="s">
        <v>952</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row>
    <row r="2" spans="1:49" x14ac:dyDescent="0.4">
      <c r="A2" t="s">
        <v>1086</v>
      </c>
      <c r="B2" t="s">
        <v>1046</v>
      </c>
      <c r="C2">
        <v>1</v>
      </c>
      <c r="D2" t="s">
        <v>1054</v>
      </c>
    </row>
    <row r="3" spans="1:49" outlineLevel="1" x14ac:dyDescent="0.4">
      <c r="A3" t="s">
        <v>1087</v>
      </c>
      <c r="B3" t="s">
        <v>1046</v>
      </c>
      <c r="C3">
        <v>1</v>
      </c>
      <c r="D3" t="s">
        <v>1055</v>
      </c>
    </row>
    <row r="4" spans="1:49" outlineLevel="1" x14ac:dyDescent="0.4">
      <c r="A4" t="s">
        <v>1088</v>
      </c>
      <c r="B4" t="s">
        <v>1046</v>
      </c>
      <c r="C4">
        <v>1</v>
      </c>
      <c r="D4" t="s">
        <v>1056</v>
      </c>
    </row>
    <row r="5" spans="1:49" outlineLevel="1" x14ac:dyDescent="0.4">
      <c r="A5" t="s">
        <v>1089</v>
      </c>
      <c r="B5" t="s">
        <v>1046</v>
      </c>
      <c r="C5">
        <v>2</v>
      </c>
      <c r="D5" t="s">
        <v>1075</v>
      </c>
    </row>
    <row r="6" spans="1:49" outlineLevel="1" x14ac:dyDescent="0.4">
      <c r="A6" t="s">
        <v>1090</v>
      </c>
      <c r="B6" t="s">
        <v>1046</v>
      </c>
      <c r="C6">
        <v>2</v>
      </c>
      <c r="D6" t="s">
        <v>1076</v>
      </c>
    </row>
    <row r="7" spans="1:49" outlineLevel="1" x14ac:dyDescent="0.4">
      <c r="A7" t="s">
        <v>1091</v>
      </c>
      <c r="B7" t="s">
        <v>1046</v>
      </c>
      <c r="C7">
        <v>2</v>
      </c>
      <c r="D7" t="s">
        <v>1079</v>
      </c>
    </row>
    <row r="8" spans="1:49" outlineLevel="1" x14ac:dyDescent="0.4">
      <c r="A8" t="s">
        <v>1092</v>
      </c>
      <c r="B8" t="s">
        <v>1046</v>
      </c>
      <c r="C8">
        <v>3</v>
      </c>
      <c r="D8" t="s">
        <v>1077</v>
      </c>
    </row>
    <row r="9" spans="1:49" outlineLevel="1" x14ac:dyDescent="0.4">
      <c r="A9" t="s">
        <v>1080</v>
      </c>
      <c r="B9" t="s">
        <v>1046</v>
      </c>
      <c r="C9">
        <v>3</v>
      </c>
      <c r="D9" t="s">
        <v>1082</v>
      </c>
    </row>
    <row r="10" spans="1:49" outlineLevel="1" x14ac:dyDescent="0.4">
      <c r="A10" t="s">
        <v>1083</v>
      </c>
      <c r="B10" t="s">
        <v>1046</v>
      </c>
      <c r="C10">
        <v>3</v>
      </c>
      <c r="D10" t="s">
        <v>1083</v>
      </c>
    </row>
    <row r="11" spans="1:49" outlineLevel="1" x14ac:dyDescent="0.4">
      <c r="A11" t="s">
        <v>1093</v>
      </c>
      <c r="B11" t="s">
        <v>1046</v>
      </c>
      <c r="C11">
        <v>4</v>
      </c>
      <c r="D11" t="s">
        <v>1084</v>
      </c>
    </row>
    <row r="12" spans="1:49" outlineLevel="1" x14ac:dyDescent="0.4">
      <c r="A12" t="s">
        <v>1085</v>
      </c>
      <c r="B12" t="s">
        <v>1046</v>
      </c>
      <c r="C12">
        <v>4</v>
      </c>
      <c r="D12" t="s">
        <v>1078</v>
      </c>
    </row>
    <row r="13" spans="1:49" outlineLevel="1" x14ac:dyDescent="0.4">
      <c r="A13" t="s">
        <v>1094</v>
      </c>
      <c r="B13" t="s">
        <v>1046</v>
      </c>
      <c r="C13">
        <v>4</v>
      </c>
      <c r="D13" t="s">
        <v>1081</v>
      </c>
    </row>
    <row r="14" spans="1:49" outlineLevel="1" x14ac:dyDescent="0.4">
      <c r="B14" t="s">
        <v>1047</v>
      </c>
      <c r="C14">
        <f t="shared" ref="C14:C21" si="0">C11+1</f>
        <v>5</v>
      </c>
    </row>
    <row r="15" spans="1:49" outlineLevel="1" x14ac:dyDescent="0.4">
      <c r="B15" t="s">
        <v>1047</v>
      </c>
      <c r="C15">
        <f t="shared" si="0"/>
        <v>5</v>
      </c>
    </row>
    <row r="16" spans="1:49" outlineLevel="1" x14ac:dyDescent="0.4">
      <c r="B16" t="s">
        <v>1047</v>
      </c>
      <c r="C16">
        <f t="shared" si="0"/>
        <v>5</v>
      </c>
    </row>
    <row r="17" spans="1:4" outlineLevel="1" x14ac:dyDescent="0.4">
      <c r="B17" t="s">
        <v>1047</v>
      </c>
      <c r="C17">
        <f t="shared" si="0"/>
        <v>6</v>
      </c>
    </row>
    <row r="18" spans="1:4" outlineLevel="1" x14ac:dyDescent="0.4">
      <c r="B18" t="s">
        <v>1047</v>
      </c>
      <c r="C18">
        <f t="shared" si="0"/>
        <v>6</v>
      </c>
    </row>
    <row r="19" spans="1:4" outlineLevel="1" x14ac:dyDescent="0.4">
      <c r="B19" t="s">
        <v>1047</v>
      </c>
      <c r="C19">
        <f t="shared" si="0"/>
        <v>6</v>
      </c>
    </row>
    <row r="20" spans="1:4" outlineLevel="1" x14ac:dyDescent="0.4">
      <c r="B20" t="s">
        <v>1047</v>
      </c>
      <c r="C20">
        <f t="shared" si="0"/>
        <v>7</v>
      </c>
    </row>
    <row r="21" spans="1:4" outlineLevel="1" x14ac:dyDescent="0.4">
      <c r="B21" t="s">
        <v>1047</v>
      </c>
      <c r="C21">
        <f t="shared" si="0"/>
        <v>7</v>
      </c>
    </row>
    <row r="22" spans="1:4" outlineLevel="1" x14ac:dyDescent="0.4">
      <c r="A22" t="s">
        <v>517</v>
      </c>
      <c r="B22" t="s">
        <v>1053</v>
      </c>
      <c r="C22" t="s">
        <v>10</v>
      </c>
      <c r="D22" t="s">
        <v>665</v>
      </c>
    </row>
    <row r="23" spans="1:4" x14ac:dyDescent="0.4">
      <c r="A23" t="s">
        <v>1147</v>
      </c>
      <c r="B23" t="s">
        <v>104</v>
      </c>
      <c r="C23">
        <v>1</v>
      </c>
      <c r="D23" t="s">
        <v>1104</v>
      </c>
    </row>
    <row r="24" spans="1:4" outlineLevel="1" x14ac:dyDescent="0.4">
      <c r="A24" t="s">
        <v>1148</v>
      </c>
      <c r="B24" t="s">
        <v>104</v>
      </c>
      <c r="C24">
        <v>1</v>
      </c>
      <c r="D24" t="s">
        <v>1095</v>
      </c>
    </row>
    <row r="25" spans="1:4" outlineLevel="1" x14ac:dyDescent="0.4">
      <c r="A25" t="s">
        <v>1149</v>
      </c>
      <c r="B25" t="s">
        <v>104</v>
      </c>
      <c r="C25">
        <v>1</v>
      </c>
      <c r="D25" t="s">
        <v>1057</v>
      </c>
    </row>
    <row r="26" spans="1:4" outlineLevel="1" x14ac:dyDescent="0.4">
      <c r="A26" t="s">
        <v>1150</v>
      </c>
      <c r="B26" t="s">
        <v>104</v>
      </c>
      <c r="C26">
        <v>2</v>
      </c>
      <c r="D26" t="s">
        <v>1098</v>
      </c>
    </row>
    <row r="27" spans="1:4" outlineLevel="1" x14ac:dyDescent="0.4">
      <c r="A27" t="s">
        <v>1151</v>
      </c>
      <c r="B27" t="s">
        <v>104</v>
      </c>
      <c r="C27">
        <v>2</v>
      </c>
      <c r="D27" t="s">
        <v>1099</v>
      </c>
    </row>
    <row r="28" spans="1:4" outlineLevel="1" x14ac:dyDescent="0.4">
      <c r="A28" t="s">
        <v>1152</v>
      </c>
      <c r="B28" t="s">
        <v>104</v>
      </c>
      <c r="C28">
        <v>2</v>
      </c>
      <c r="D28" t="s">
        <v>1100</v>
      </c>
    </row>
    <row r="29" spans="1:4" outlineLevel="1" x14ac:dyDescent="0.4">
      <c r="A29" t="s">
        <v>1153</v>
      </c>
      <c r="B29" t="s">
        <v>104</v>
      </c>
      <c r="C29">
        <v>3</v>
      </c>
      <c r="D29" t="s">
        <v>1154</v>
      </c>
    </row>
    <row r="30" spans="1:4" outlineLevel="1" x14ac:dyDescent="0.4">
      <c r="A30" t="s">
        <v>1155</v>
      </c>
      <c r="B30" t="s">
        <v>104</v>
      </c>
      <c r="C30">
        <v>3</v>
      </c>
      <c r="D30" t="s">
        <v>1061</v>
      </c>
    </row>
    <row r="31" spans="1:4" outlineLevel="1" x14ac:dyDescent="0.4">
      <c r="A31" t="s">
        <v>1096</v>
      </c>
      <c r="B31" t="s">
        <v>104</v>
      </c>
      <c r="C31">
        <v>3</v>
      </c>
      <c r="D31" t="s">
        <v>1102</v>
      </c>
    </row>
    <row r="32" spans="1:4" outlineLevel="1" x14ac:dyDescent="0.4">
      <c r="A32" t="s">
        <v>1156</v>
      </c>
      <c r="B32" t="s">
        <v>104</v>
      </c>
      <c r="C32">
        <v>4</v>
      </c>
      <c r="D32" t="s">
        <v>1157</v>
      </c>
    </row>
    <row r="33" spans="1:4" outlineLevel="1" x14ac:dyDescent="0.4">
      <c r="A33" t="s">
        <v>1158</v>
      </c>
      <c r="B33" t="s">
        <v>104</v>
      </c>
      <c r="C33">
        <v>4</v>
      </c>
      <c r="D33" t="s">
        <v>1111</v>
      </c>
    </row>
    <row r="34" spans="1:4" outlineLevel="1" x14ac:dyDescent="0.4">
      <c r="A34" t="s">
        <v>1101</v>
      </c>
      <c r="B34" t="s">
        <v>104</v>
      </c>
      <c r="C34">
        <v>4</v>
      </c>
      <c r="D34" t="s">
        <v>1103</v>
      </c>
    </row>
    <row r="35" spans="1:4" outlineLevel="1" x14ac:dyDescent="0.4">
      <c r="B35" t="s">
        <v>1048</v>
      </c>
      <c r="C35">
        <f t="shared" ref="C35:C42" si="1">C32+1</f>
        <v>5</v>
      </c>
    </row>
    <row r="36" spans="1:4" outlineLevel="1" x14ac:dyDescent="0.4">
      <c r="B36" t="s">
        <v>1048</v>
      </c>
      <c r="C36">
        <f t="shared" si="1"/>
        <v>5</v>
      </c>
    </row>
    <row r="37" spans="1:4" outlineLevel="1" x14ac:dyDescent="0.4">
      <c r="B37" t="s">
        <v>1048</v>
      </c>
      <c r="C37">
        <f t="shared" si="1"/>
        <v>5</v>
      </c>
    </row>
    <row r="38" spans="1:4" outlineLevel="1" x14ac:dyDescent="0.4">
      <c r="B38" t="s">
        <v>1048</v>
      </c>
      <c r="C38">
        <f t="shared" si="1"/>
        <v>6</v>
      </c>
    </row>
    <row r="39" spans="1:4" outlineLevel="1" x14ac:dyDescent="0.4">
      <c r="B39" t="s">
        <v>1048</v>
      </c>
      <c r="C39">
        <f t="shared" si="1"/>
        <v>6</v>
      </c>
    </row>
    <row r="40" spans="1:4" outlineLevel="1" x14ac:dyDescent="0.4">
      <c r="B40" t="s">
        <v>1048</v>
      </c>
      <c r="C40">
        <f t="shared" si="1"/>
        <v>6</v>
      </c>
    </row>
    <row r="41" spans="1:4" outlineLevel="1" x14ac:dyDescent="0.4">
      <c r="B41" t="s">
        <v>1048</v>
      </c>
      <c r="C41">
        <f t="shared" si="1"/>
        <v>7</v>
      </c>
    </row>
    <row r="42" spans="1:4" outlineLevel="1" x14ac:dyDescent="0.4">
      <c r="B42" t="s">
        <v>1048</v>
      </c>
      <c r="C42">
        <f t="shared" si="1"/>
        <v>7</v>
      </c>
    </row>
    <row r="43" spans="1:4" outlineLevel="1" x14ac:dyDescent="0.4">
      <c r="A43" t="s">
        <v>517</v>
      </c>
      <c r="B43" t="s">
        <v>1053</v>
      </c>
      <c r="C43" t="s">
        <v>10</v>
      </c>
      <c r="D43" t="s">
        <v>665</v>
      </c>
    </row>
    <row r="44" spans="1:4" x14ac:dyDescent="0.4">
      <c r="A44" t="s">
        <v>1159</v>
      </c>
      <c r="B44" t="s">
        <v>6</v>
      </c>
      <c r="C44">
        <v>1</v>
      </c>
      <c r="D44" t="s">
        <v>1062</v>
      </c>
    </row>
    <row r="45" spans="1:4" outlineLevel="1" x14ac:dyDescent="0.4">
      <c r="A45" t="s">
        <v>1160</v>
      </c>
      <c r="B45" t="s">
        <v>6</v>
      </c>
      <c r="C45">
        <v>1</v>
      </c>
      <c r="D45" t="s">
        <v>1108</v>
      </c>
    </row>
    <row r="46" spans="1:4" outlineLevel="1" x14ac:dyDescent="0.4">
      <c r="A46" t="s">
        <v>1161</v>
      </c>
      <c r="B46" t="s">
        <v>6</v>
      </c>
      <c r="C46">
        <v>1</v>
      </c>
      <c r="D46" t="s">
        <v>1058</v>
      </c>
    </row>
    <row r="47" spans="1:4" outlineLevel="1" x14ac:dyDescent="0.4">
      <c r="A47" t="s">
        <v>1162</v>
      </c>
      <c r="B47" t="s">
        <v>6</v>
      </c>
      <c r="C47">
        <v>2</v>
      </c>
      <c r="D47" t="s">
        <v>1105</v>
      </c>
    </row>
    <row r="48" spans="1:4" outlineLevel="1" x14ac:dyDescent="0.4">
      <c r="A48" t="s">
        <v>1163</v>
      </c>
      <c r="B48" t="s">
        <v>6</v>
      </c>
      <c r="C48">
        <v>2</v>
      </c>
      <c r="D48" t="s">
        <v>1109</v>
      </c>
    </row>
    <row r="49" spans="1:4" outlineLevel="1" x14ac:dyDescent="0.4">
      <c r="A49" t="s">
        <v>1164</v>
      </c>
      <c r="B49" t="s">
        <v>6</v>
      </c>
      <c r="C49">
        <v>2</v>
      </c>
      <c r="D49" t="s">
        <v>1100</v>
      </c>
    </row>
    <row r="50" spans="1:4" outlineLevel="1" x14ac:dyDescent="0.4">
      <c r="A50" t="s">
        <v>1165</v>
      </c>
      <c r="B50" t="s">
        <v>6</v>
      </c>
      <c r="C50">
        <v>3</v>
      </c>
      <c r="D50" t="s">
        <v>1154</v>
      </c>
    </row>
    <row r="51" spans="1:4" outlineLevel="1" x14ac:dyDescent="0.4">
      <c r="A51" t="s">
        <v>1166</v>
      </c>
      <c r="B51" t="s">
        <v>6</v>
      </c>
      <c r="C51">
        <v>3</v>
      </c>
      <c r="D51" t="s">
        <v>1110</v>
      </c>
    </row>
    <row r="52" spans="1:4" outlineLevel="1" x14ac:dyDescent="0.4">
      <c r="A52" t="s">
        <v>1097</v>
      </c>
      <c r="B52" t="s">
        <v>6</v>
      </c>
      <c r="C52">
        <v>3</v>
      </c>
      <c r="D52" t="s">
        <v>1106</v>
      </c>
    </row>
    <row r="53" spans="1:4" outlineLevel="1" x14ac:dyDescent="0.4">
      <c r="A53" t="s">
        <v>1167</v>
      </c>
      <c r="B53" t="s">
        <v>6</v>
      </c>
      <c r="C53">
        <v>4</v>
      </c>
      <c r="D53" t="s">
        <v>1111</v>
      </c>
    </row>
    <row r="54" spans="1:4" outlineLevel="1" x14ac:dyDescent="0.4">
      <c r="A54" t="s">
        <v>1168</v>
      </c>
      <c r="B54" t="s">
        <v>6</v>
      </c>
      <c r="C54">
        <v>4</v>
      </c>
      <c r="D54" t="s">
        <v>1169</v>
      </c>
    </row>
    <row r="55" spans="1:4" outlineLevel="1" x14ac:dyDescent="0.4">
      <c r="A55" t="s">
        <v>1170</v>
      </c>
      <c r="B55" t="s">
        <v>6</v>
      </c>
      <c r="C55">
        <v>4</v>
      </c>
      <c r="D55" t="s">
        <v>1107</v>
      </c>
    </row>
    <row r="56" spans="1:4" outlineLevel="1" x14ac:dyDescent="0.4">
      <c r="B56" t="s">
        <v>1049</v>
      </c>
      <c r="C56">
        <f t="shared" ref="C56:C64" si="2">C53+1</f>
        <v>5</v>
      </c>
    </row>
    <row r="57" spans="1:4" outlineLevel="1" x14ac:dyDescent="0.4">
      <c r="B57" t="s">
        <v>1049</v>
      </c>
      <c r="C57">
        <f t="shared" si="2"/>
        <v>5</v>
      </c>
    </row>
    <row r="58" spans="1:4" outlineLevel="1" x14ac:dyDescent="0.4">
      <c r="B58" t="s">
        <v>1049</v>
      </c>
      <c r="C58">
        <f t="shared" si="2"/>
        <v>5</v>
      </c>
    </row>
    <row r="59" spans="1:4" outlineLevel="1" x14ac:dyDescent="0.4">
      <c r="B59" t="s">
        <v>1049</v>
      </c>
      <c r="C59">
        <f t="shared" si="2"/>
        <v>6</v>
      </c>
    </row>
    <row r="60" spans="1:4" outlineLevel="1" x14ac:dyDescent="0.4">
      <c r="B60" t="s">
        <v>1049</v>
      </c>
      <c r="C60">
        <f t="shared" si="2"/>
        <v>6</v>
      </c>
    </row>
    <row r="61" spans="1:4" outlineLevel="1" x14ac:dyDescent="0.4">
      <c r="B61" t="s">
        <v>1049</v>
      </c>
      <c r="C61">
        <f t="shared" si="2"/>
        <v>6</v>
      </c>
    </row>
    <row r="62" spans="1:4" outlineLevel="1" x14ac:dyDescent="0.4">
      <c r="B62" t="s">
        <v>1049</v>
      </c>
      <c r="C62">
        <f t="shared" si="2"/>
        <v>7</v>
      </c>
    </row>
    <row r="63" spans="1:4" outlineLevel="1" x14ac:dyDescent="0.4">
      <c r="B63" t="s">
        <v>1049</v>
      </c>
      <c r="C63">
        <f t="shared" si="2"/>
        <v>7</v>
      </c>
    </row>
    <row r="64" spans="1:4" outlineLevel="1" x14ac:dyDescent="0.4">
      <c r="B64" t="s">
        <v>1049</v>
      </c>
      <c r="C64">
        <f t="shared" si="2"/>
        <v>7</v>
      </c>
    </row>
    <row r="65" spans="1:4" x14ac:dyDescent="0.4">
      <c r="A65" t="s">
        <v>1135</v>
      </c>
      <c r="B65" t="s">
        <v>673</v>
      </c>
      <c r="C65">
        <v>1</v>
      </c>
      <c r="D65" t="s">
        <v>1063</v>
      </c>
    </row>
    <row r="66" spans="1:4" outlineLevel="1" x14ac:dyDescent="0.4">
      <c r="A66" t="s">
        <v>1136</v>
      </c>
      <c r="B66" t="s">
        <v>673</v>
      </c>
      <c r="C66">
        <v>1</v>
      </c>
      <c r="D66" t="s">
        <v>1069</v>
      </c>
    </row>
    <row r="67" spans="1:4" outlineLevel="1" x14ac:dyDescent="0.4">
      <c r="A67" t="s">
        <v>1137</v>
      </c>
      <c r="B67" t="s">
        <v>673</v>
      </c>
      <c r="C67">
        <v>1</v>
      </c>
      <c r="D67" t="s">
        <v>1059</v>
      </c>
    </row>
    <row r="68" spans="1:4" outlineLevel="1" x14ac:dyDescent="0.4">
      <c r="A68" t="s">
        <v>1138</v>
      </c>
      <c r="B68" t="s">
        <v>673</v>
      </c>
      <c r="C68">
        <v>2</v>
      </c>
      <c r="D68" t="s">
        <v>1065</v>
      </c>
    </row>
    <row r="69" spans="1:4" outlineLevel="1" x14ac:dyDescent="0.4">
      <c r="A69" t="s">
        <v>1139</v>
      </c>
      <c r="B69" t="s">
        <v>673</v>
      </c>
      <c r="C69">
        <v>2</v>
      </c>
      <c r="D69" t="s">
        <v>1066</v>
      </c>
    </row>
    <row r="70" spans="1:4" outlineLevel="1" x14ac:dyDescent="0.4">
      <c r="A70" t="s">
        <v>1140</v>
      </c>
      <c r="B70" t="s">
        <v>673</v>
      </c>
      <c r="C70">
        <v>2</v>
      </c>
      <c r="D70" t="s">
        <v>1070</v>
      </c>
    </row>
    <row r="71" spans="1:4" outlineLevel="1" x14ac:dyDescent="0.4">
      <c r="A71" t="s">
        <v>1141</v>
      </c>
      <c r="B71" t="s">
        <v>673</v>
      </c>
      <c r="C71">
        <v>3</v>
      </c>
      <c r="D71" t="s">
        <v>1069</v>
      </c>
    </row>
    <row r="72" spans="1:4" outlineLevel="1" x14ac:dyDescent="0.4">
      <c r="A72" t="s">
        <v>1142</v>
      </c>
      <c r="B72" t="s">
        <v>673</v>
      </c>
      <c r="C72">
        <v>3</v>
      </c>
      <c r="D72" t="s">
        <v>1072</v>
      </c>
    </row>
    <row r="73" spans="1:4" outlineLevel="1" x14ac:dyDescent="0.4">
      <c r="A73" t="s">
        <v>1143</v>
      </c>
      <c r="B73" t="s">
        <v>673</v>
      </c>
      <c r="C73">
        <v>3</v>
      </c>
      <c r="D73" t="s">
        <v>1067</v>
      </c>
    </row>
    <row r="74" spans="1:4" outlineLevel="1" x14ac:dyDescent="0.4">
      <c r="A74" t="s">
        <v>1144</v>
      </c>
      <c r="B74" t="s">
        <v>673</v>
      </c>
      <c r="C74">
        <v>4</v>
      </c>
      <c r="D74" t="s">
        <v>1071</v>
      </c>
    </row>
    <row r="75" spans="1:4" outlineLevel="1" x14ac:dyDescent="0.4">
      <c r="A75" t="s">
        <v>1145</v>
      </c>
      <c r="B75" t="s">
        <v>673</v>
      </c>
      <c r="C75">
        <v>4</v>
      </c>
      <c r="D75" t="s">
        <v>1074</v>
      </c>
    </row>
    <row r="76" spans="1:4" outlineLevel="1" x14ac:dyDescent="0.4">
      <c r="A76" t="s">
        <v>1146</v>
      </c>
      <c r="B76" t="s">
        <v>673</v>
      </c>
      <c r="C76">
        <v>4</v>
      </c>
      <c r="D76" t="s">
        <v>1073</v>
      </c>
    </row>
    <row r="77" spans="1:4" outlineLevel="1" x14ac:dyDescent="0.4">
      <c r="B77" t="s">
        <v>1050</v>
      </c>
      <c r="C77">
        <f t="shared" ref="C77:C85" si="3">C74+1</f>
        <v>5</v>
      </c>
    </row>
    <row r="78" spans="1:4" outlineLevel="1" x14ac:dyDescent="0.4">
      <c r="B78" t="s">
        <v>1050</v>
      </c>
      <c r="C78">
        <f t="shared" si="3"/>
        <v>5</v>
      </c>
    </row>
    <row r="79" spans="1:4" outlineLevel="1" x14ac:dyDescent="0.4">
      <c r="B79" t="s">
        <v>1050</v>
      </c>
      <c r="C79">
        <f t="shared" si="3"/>
        <v>5</v>
      </c>
    </row>
    <row r="80" spans="1:4" outlineLevel="1" x14ac:dyDescent="0.4">
      <c r="B80" t="s">
        <v>1050</v>
      </c>
      <c r="C80">
        <f t="shared" si="3"/>
        <v>6</v>
      </c>
    </row>
    <row r="81" spans="1:4" outlineLevel="1" x14ac:dyDescent="0.4">
      <c r="B81" t="s">
        <v>1050</v>
      </c>
      <c r="C81">
        <f t="shared" si="3"/>
        <v>6</v>
      </c>
    </row>
    <row r="82" spans="1:4" outlineLevel="1" x14ac:dyDescent="0.4">
      <c r="B82" t="s">
        <v>1050</v>
      </c>
      <c r="C82">
        <f t="shared" si="3"/>
        <v>6</v>
      </c>
    </row>
    <row r="83" spans="1:4" outlineLevel="1" x14ac:dyDescent="0.4">
      <c r="B83" t="s">
        <v>1050</v>
      </c>
      <c r="C83">
        <f t="shared" si="3"/>
        <v>7</v>
      </c>
    </row>
    <row r="84" spans="1:4" outlineLevel="1" x14ac:dyDescent="0.4">
      <c r="B84" t="s">
        <v>1050</v>
      </c>
      <c r="C84">
        <f t="shared" si="3"/>
        <v>7</v>
      </c>
    </row>
    <row r="85" spans="1:4" outlineLevel="1" x14ac:dyDescent="0.4">
      <c r="B85" t="s">
        <v>1050</v>
      </c>
      <c r="C85">
        <f t="shared" si="3"/>
        <v>7</v>
      </c>
    </row>
    <row r="86" spans="1:4" outlineLevel="1" x14ac:dyDescent="0.4">
      <c r="A86" t="s">
        <v>1118</v>
      </c>
      <c r="B86" t="s">
        <v>1051</v>
      </c>
      <c r="C86">
        <v>1</v>
      </c>
      <c r="D86" t="s">
        <v>1064</v>
      </c>
    </row>
    <row r="87" spans="1:4" x14ac:dyDescent="0.4">
      <c r="A87" t="s">
        <v>1119</v>
      </c>
      <c r="B87" t="s">
        <v>1051</v>
      </c>
      <c r="C87">
        <v>1</v>
      </c>
      <c r="D87" t="s">
        <v>1112</v>
      </c>
    </row>
    <row r="88" spans="1:4" outlineLevel="1" x14ac:dyDescent="0.4">
      <c r="A88" t="s">
        <v>1120</v>
      </c>
      <c r="B88" t="s">
        <v>1051</v>
      </c>
      <c r="C88">
        <v>1</v>
      </c>
      <c r="D88" t="s">
        <v>1060</v>
      </c>
    </row>
    <row r="89" spans="1:4" outlineLevel="1" x14ac:dyDescent="0.4">
      <c r="A89" t="s">
        <v>1121</v>
      </c>
      <c r="B89" t="s">
        <v>1051</v>
      </c>
      <c r="C89">
        <v>2</v>
      </c>
      <c r="D89" t="s">
        <v>1122</v>
      </c>
    </row>
    <row r="90" spans="1:4" outlineLevel="1" x14ac:dyDescent="0.4">
      <c r="A90" t="s">
        <v>1123</v>
      </c>
      <c r="B90" t="s">
        <v>1051</v>
      </c>
      <c r="C90">
        <v>2</v>
      </c>
      <c r="D90" t="s">
        <v>1114</v>
      </c>
    </row>
    <row r="91" spans="1:4" outlineLevel="1" x14ac:dyDescent="0.4">
      <c r="A91" t="s">
        <v>1124</v>
      </c>
      <c r="B91" t="s">
        <v>1051</v>
      </c>
      <c r="C91">
        <v>2</v>
      </c>
      <c r="D91" t="s">
        <v>1125</v>
      </c>
    </row>
    <row r="92" spans="1:4" outlineLevel="1" x14ac:dyDescent="0.4">
      <c r="A92" t="s">
        <v>1113</v>
      </c>
      <c r="B92" t="s">
        <v>1051</v>
      </c>
      <c r="C92">
        <v>3</v>
      </c>
      <c r="D92" t="s">
        <v>1126</v>
      </c>
    </row>
    <row r="93" spans="1:4" outlineLevel="1" x14ac:dyDescent="0.4">
      <c r="A93" t="s">
        <v>1115</v>
      </c>
      <c r="B93" t="s">
        <v>1051</v>
      </c>
      <c r="C93">
        <v>3</v>
      </c>
      <c r="D93" t="s">
        <v>1116</v>
      </c>
    </row>
    <row r="94" spans="1:4" outlineLevel="1" x14ac:dyDescent="0.4">
      <c r="A94" t="s">
        <v>1127</v>
      </c>
      <c r="B94" t="s">
        <v>1051</v>
      </c>
      <c r="C94">
        <v>3</v>
      </c>
      <c r="D94" t="s">
        <v>1128</v>
      </c>
    </row>
    <row r="95" spans="1:4" outlineLevel="1" x14ac:dyDescent="0.4">
      <c r="A95" t="s">
        <v>1129</v>
      </c>
      <c r="B95" t="s">
        <v>1051</v>
      </c>
      <c r="C95">
        <v>4</v>
      </c>
      <c r="D95" t="s">
        <v>1130</v>
      </c>
    </row>
    <row r="96" spans="1:4" outlineLevel="1" x14ac:dyDescent="0.4">
      <c r="A96" t="s">
        <v>1131</v>
      </c>
      <c r="B96" t="s">
        <v>1051</v>
      </c>
      <c r="C96">
        <v>4</v>
      </c>
      <c r="D96" t="s">
        <v>1132</v>
      </c>
    </row>
    <row r="97" spans="1:4" outlineLevel="1" x14ac:dyDescent="0.4">
      <c r="A97" t="s">
        <v>1133</v>
      </c>
      <c r="B97" t="s">
        <v>1051</v>
      </c>
      <c r="C97">
        <v>4</v>
      </c>
      <c r="D97" t="s">
        <v>1134</v>
      </c>
    </row>
    <row r="98" spans="1:4" outlineLevel="1" x14ac:dyDescent="0.4">
      <c r="B98" t="s">
        <v>1052</v>
      </c>
      <c r="C98">
        <f t="shared" ref="C98:C106" si="4">C95+1</f>
        <v>5</v>
      </c>
    </row>
    <row r="99" spans="1:4" outlineLevel="1" x14ac:dyDescent="0.4">
      <c r="B99" t="s">
        <v>1052</v>
      </c>
      <c r="C99">
        <f t="shared" si="4"/>
        <v>5</v>
      </c>
    </row>
    <row r="100" spans="1:4" outlineLevel="1" x14ac:dyDescent="0.4">
      <c r="B100" t="s">
        <v>1052</v>
      </c>
      <c r="C100">
        <f t="shared" si="4"/>
        <v>5</v>
      </c>
    </row>
    <row r="101" spans="1:4" outlineLevel="1" x14ac:dyDescent="0.4">
      <c r="B101" t="s">
        <v>1052</v>
      </c>
      <c r="C101">
        <f t="shared" si="4"/>
        <v>6</v>
      </c>
    </row>
    <row r="102" spans="1:4" outlineLevel="1" x14ac:dyDescent="0.4">
      <c r="B102" t="s">
        <v>1052</v>
      </c>
      <c r="C102">
        <f t="shared" si="4"/>
        <v>6</v>
      </c>
    </row>
    <row r="103" spans="1:4" outlineLevel="1" x14ac:dyDescent="0.4">
      <c r="B103" t="s">
        <v>1052</v>
      </c>
      <c r="C103">
        <f t="shared" si="4"/>
        <v>6</v>
      </c>
    </row>
    <row r="104" spans="1:4" outlineLevel="1" x14ac:dyDescent="0.4">
      <c r="B104" t="s">
        <v>1052</v>
      </c>
      <c r="C104">
        <f t="shared" si="4"/>
        <v>7</v>
      </c>
    </row>
    <row r="105" spans="1:4" outlineLevel="1" x14ac:dyDescent="0.4">
      <c r="B105" t="s">
        <v>1052</v>
      </c>
      <c r="C105">
        <f t="shared" si="4"/>
        <v>7</v>
      </c>
    </row>
    <row r="106" spans="1:4" outlineLevel="1" x14ac:dyDescent="0.4">
      <c r="B106" t="s">
        <v>1052</v>
      </c>
      <c r="C106">
        <f t="shared" si="4"/>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999</v>
      </c>
      <c r="B1" s="10" t="s">
        <v>9</v>
      </c>
      <c r="C1" s="3" t="s">
        <v>1185</v>
      </c>
      <c r="D1" s="4" t="s">
        <v>1186</v>
      </c>
      <c r="E1" s="4" t="s">
        <v>1009</v>
      </c>
      <c r="F1" s="5" t="s">
        <v>1003</v>
      </c>
      <c r="G1" s="18" t="s">
        <v>622</v>
      </c>
      <c r="H1" s="21" t="s">
        <v>623</v>
      </c>
      <c r="I1" s="18" t="s">
        <v>621</v>
      </c>
      <c r="J1" s="21" t="s">
        <v>1004</v>
      </c>
      <c r="K1" s="21" t="s">
        <v>1220</v>
      </c>
      <c r="L1" s="38"/>
      <c r="M1" s="37" t="s">
        <v>216</v>
      </c>
      <c r="N1" s="37" t="s">
        <v>315</v>
      </c>
      <c r="O1" s="37" t="s">
        <v>176</v>
      </c>
      <c r="P1" s="37" t="s">
        <v>147</v>
      </c>
      <c r="Q1" s="37" t="s">
        <v>177</v>
      </c>
      <c r="R1" s="37" t="s">
        <v>706</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1289</v>
      </c>
      <c r="AI1" s="22" t="s">
        <v>1290</v>
      </c>
      <c r="AJ1" s="22" t="s">
        <v>13</v>
      </c>
      <c r="AK1" s="22" t="s">
        <v>15</v>
      </c>
      <c r="AL1" s="22" t="s">
        <v>17</v>
      </c>
      <c r="AM1" s="22" t="s">
        <v>18</v>
      </c>
      <c r="AN1" s="22" t="s">
        <v>20</v>
      </c>
      <c r="AO1" s="22" t="s">
        <v>22</v>
      </c>
      <c r="AP1" s="22" t="s">
        <v>29</v>
      </c>
      <c r="AQ1" s="26" t="s">
        <v>248</v>
      </c>
      <c r="AR1" s="26" t="s">
        <v>1</v>
      </c>
      <c r="AS1" s="26" t="s">
        <v>2</v>
      </c>
      <c r="AT1" s="26" t="s">
        <v>106</v>
      </c>
      <c r="AU1" s="26" t="s">
        <v>105</v>
      </c>
      <c r="AV1" s="27" t="s">
        <v>4</v>
      </c>
      <c r="AW1" s="27" t="s">
        <v>3</v>
      </c>
      <c r="AX1" s="28" t="s">
        <v>227</v>
      </c>
      <c r="AY1" s="28" t="s">
        <v>228</v>
      </c>
      <c r="AZ1" s="28" t="s">
        <v>229</v>
      </c>
      <c r="BA1" s="28" t="s">
        <v>230</v>
      </c>
      <c r="BB1" s="29" t="s">
        <v>231</v>
      </c>
      <c r="BC1" s="29" t="s">
        <v>5</v>
      </c>
      <c r="BD1" s="29" t="s">
        <v>1044</v>
      </c>
      <c r="BE1" s="29" t="s">
        <v>6</v>
      </c>
      <c r="BF1" s="20" t="s">
        <v>146</v>
      </c>
      <c r="BG1" s="20" t="s">
        <v>178</v>
      </c>
      <c r="BH1" s="20" t="s">
        <v>707</v>
      </c>
      <c r="BI1" s="20" t="s">
        <v>1283</v>
      </c>
      <c r="BJ1" s="20" t="s">
        <v>1284</v>
      </c>
      <c r="BK1" s="20" t="s">
        <v>1285</v>
      </c>
      <c r="BL1" s="20" t="s">
        <v>133</v>
      </c>
      <c r="BM1" s="20" t="s">
        <v>134</v>
      </c>
      <c r="BN1" s="20" t="s">
        <v>135</v>
      </c>
      <c r="BO1" s="20" t="s">
        <v>136</v>
      </c>
      <c r="BP1" s="20" t="s">
        <v>138</v>
      </c>
      <c r="BQ1" s="20" t="s">
        <v>139</v>
      </c>
      <c r="BR1" s="20" t="s">
        <v>141</v>
      </c>
      <c r="BS1" s="20" t="s">
        <v>323</v>
      </c>
      <c r="BT1" s="20" t="s">
        <v>142</v>
      </c>
      <c r="BU1" s="20" t="s">
        <v>143</v>
      </c>
      <c r="BV1" s="20" t="s">
        <v>144</v>
      </c>
      <c r="BW1" s="20" t="s">
        <v>145</v>
      </c>
      <c r="BX1" s="20" t="s">
        <v>157</v>
      </c>
      <c r="BY1" s="20" t="s">
        <v>158</v>
      </c>
      <c r="BZ1" s="23" t="s">
        <v>162</v>
      </c>
      <c r="CA1" s="23" t="s">
        <v>163</v>
      </c>
      <c r="CB1" s="23" t="s">
        <v>164</v>
      </c>
      <c r="CC1" s="23" t="s">
        <v>165</v>
      </c>
      <c r="CD1" s="23" t="s">
        <v>166</v>
      </c>
      <c r="CE1" s="23" t="s">
        <v>167</v>
      </c>
      <c r="CF1" s="23" t="s">
        <v>168</v>
      </c>
      <c r="CG1" s="23" t="s">
        <v>169</v>
      </c>
      <c r="CH1" s="23" t="s">
        <v>170</v>
      </c>
      <c r="CI1" s="23" t="s">
        <v>171</v>
      </c>
      <c r="CJ1" s="23" t="s">
        <v>861</v>
      </c>
    </row>
    <row r="2" spans="1:88" s="10" customFormat="1" ht="36" x14ac:dyDescent="0.4">
      <c r="B2" s="10" t="s">
        <v>1187</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1188</v>
      </c>
      <c r="C3" t="s">
        <v>962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1189</v>
      </c>
      <c r="C4" t="s">
        <v>962</v>
      </c>
      <c r="E4">
        <f t="shared" ref="E4:E42" si="1">MAX(F4:K4)</f>
        <v>4</v>
      </c>
      <c r="G4">
        <v>4</v>
      </c>
      <c r="S4">
        <f>$G4*15</f>
        <v>60</v>
      </c>
    </row>
    <row r="5" spans="1:88" outlineLevel="1" x14ac:dyDescent="0.4">
      <c r="A5" t="str">
        <f t="shared" si="0"/>
        <v>炎付与Ⅲ</v>
      </c>
      <c r="B5" t="s">
        <v>1190</v>
      </c>
      <c r="C5" t="s">
        <v>962</v>
      </c>
      <c r="E5">
        <f t="shared" si="1"/>
        <v>6</v>
      </c>
      <c r="G5">
        <v>6</v>
      </c>
      <c r="S5">
        <f>$G5*15</f>
        <v>90</v>
      </c>
    </row>
    <row r="6" spans="1:88" outlineLevel="1" x14ac:dyDescent="0.4">
      <c r="A6" t="str">
        <f>"氷付与"&amp;B6</f>
        <v>氷付与Ⅰ</v>
      </c>
      <c r="B6" t="s">
        <v>1188</v>
      </c>
      <c r="C6" t="s">
        <v>962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1189</v>
      </c>
      <c r="C7" t="s">
        <v>962</v>
      </c>
      <c r="E7">
        <f t="shared" si="1"/>
        <v>4</v>
      </c>
      <c r="G7">
        <v>4</v>
      </c>
      <c r="T7">
        <f>$G7*15</f>
        <v>60</v>
      </c>
    </row>
    <row r="8" spans="1:88" outlineLevel="1" x14ac:dyDescent="0.4">
      <c r="A8" t="str">
        <f t="shared" si="2"/>
        <v>氷付与Ⅲ</v>
      </c>
      <c r="B8" t="s">
        <v>1190</v>
      </c>
      <c r="C8" t="s">
        <v>962</v>
      </c>
      <c r="E8">
        <f t="shared" si="1"/>
        <v>6</v>
      </c>
      <c r="G8">
        <v>6</v>
      </c>
      <c r="T8">
        <f>$G8*15</f>
        <v>90</v>
      </c>
    </row>
    <row r="9" spans="1:88" outlineLevel="1" x14ac:dyDescent="0.4">
      <c r="A9" t="str">
        <f>"雷付与"&amp;B9</f>
        <v>雷付与Ⅰ</v>
      </c>
      <c r="B9" t="s">
        <v>1188</v>
      </c>
      <c r="C9" t="s">
        <v>962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1189</v>
      </c>
      <c r="C10" t="s">
        <v>962</v>
      </c>
      <c r="E10">
        <f t="shared" si="1"/>
        <v>4</v>
      </c>
      <c r="G10">
        <v>4</v>
      </c>
      <c r="U10">
        <f>$G10*15</f>
        <v>60</v>
      </c>
    </row>
    <row r="11" spans="1:88" outlineLevel="1" x14ac:dyDescent="0.4">
      <c r="A11" t="str">
        <f t="shared" si="3"/>
        <v>雷付与Ⅲ</v>
      </c>
      <c r="B11" t="s">
        <v>1190</v>
      </c>
      <c r="C11" t="s">
        <v>962</v>
      </c>
      <c r="E11">
        <f t="shared" si="1"/>
        <v>6</v>
      </c>
      <c r="G11">
        <v>6</v>
      </c>
      <c r="U11">
        <f>$G11*15</f>
        <v>90</v>
      </c>
    </row>
    <row r="12" spans="1:88" outlineLevel="1" x14ac:dyDescent="0.4">
      <c r="A12" t="str">
        <f>"毒付与"&amp;B12</f>
        <v>毒付与Ⅰ</v>
      </c>
      <c r="B12" t="s">
        <v>1188</v>
      </c>
      <c r="C12" t="s">
        <v>962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1189</v>
      </c>
      <c r="C13" t="s">
        <v>962</v>
      </c>
      <c r="E13">
        <f t="shared" si="1"/>
        <v>4</v>
      </c>
      <c r="G13">
        <v>4</v>
      </c>
      <c r="V13">
        <f>$G13*15</f>
        <v>60</v>
      </c>
      <c r="X13" s="17"/>
    </row>
    <row r="14" spans="1:88" outlineLevel="1" x14ac:dyDescent="0.4">
      <c r="A14" t="str">
        <f t="shared" si="4"/>
        <v>毒付与Ⅲ</v>
      </c>
      <c r="B14" t="s">
        <v>1190</v>
      </c>
      <c r="C14" t="s">
        <v>962</v>
      </c>
      <c r="E14">
        <f t="shared" si="1"/>
        <v>6</v>
      </c>
      <c r="G14">
        <v>6</v>
      </c>
      <c r="V14">
        <f>$G14*15</f>
        <v>90</v>
      </c>
      <c r="X14" s="17"/>
    </row>
    <row r="15" spans="1:88" outlineLevel="1" x14ac:dyDescent="0.4">
      <c r="A15" t="str">
        <f>"光付与"&amp;B15</f>
        <v>光付与Ⅰ</v>
      </c>
      <c r="B15" t="s">
        <v>1188</v>
      </c>
      <c r="C15" t="s">
        <v>962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1189</v>
      </c>
      <c r="C16" t="s">
        <v>962</v>
      </c>
      <c r="E16">
        <f t="shared" si="1"/>
        <v>4</v>
      </c>
      <c r="H16">
        <v>4</v>
      </c>
      <c r="W16">
        <f t="shared" ref="W16:W17" si="6">$H16*15</f>
        <v>60</v>
      </c>
      <c r="X16" s="17"/>
    </row>
    <row r="17" spans="1:68" outlineLevel="1" x14ac:dyDescent="0.4">
      <c r="A17" t="str">
        <f t="shared" si="5"/>
        <v>光付与Ⅲ</v>
      </c>
      <c r="B17" t="s">
        <v>1190</v>
      </c>
      <c r="C17" t="s">
        <v>962</v>
      </c>
      <c r="E17">
        <f t="shared" si="1"/>
        <v>6</v>
      </c>
      <c r="H17">
        <v>6</v>
      </c>
      <c r="W17">
        <f t="shared" si="6"/>
        <v>90</v>
      </c>
      <c r="X17" s="17"/>
    </row>
    <row r="18" spans="1:68" outlineLevel="1" x14ac:dyDescent="0.4">
      <c r="A18" t="str">
        <f>"闇付与"&amp;B18</f>
        <v>闇付与Ⅰ</v>
      </c>
      <c r="B18" t="s">
        <v>1188</v>
      </c>
      <c r="C18" t="s">
        <v>962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1189</v>
      </c>
      <c r="C19" t="s">
        <v>962</v>
      </c>
      <c r="E19">
        <f t="shared" si="1"/>
        <v>4</v>
      </c>
      <c r="G19">
        <v>4</v>
      </c>
      <c r="X19">
        <f>$G19*15</f>
        <v>60</v>
      </c>
    </row>
    <row r="20" spans="1:68" outlineLevel="1" x14ac:dyDescent="0.4">
      <c r="A20" t="str">
        <f t="shared" si="7"/>
        <v>闇付与Ⅲ</v>
      </c>
      <c r="B20" t="s">
        <v>1190</v>
      </c>
      <c r="C20" t="s">
        <v>962</v>
      </c>
      <c r="E20">
        <f t="shared" si="1"/>
        <v>6</v>
      </c>
      <c r="G20">
        <v>6</v>
      </c>
      <c r="X20">
        <f t="shared" ref="X20" si="8">$G20*15</f>
        <v>90</v>
      </c>
    </row>
    <row r="21" spans="1:68" outlineLevel="1" x14ac:dyDescent="0.4">
      <c r="A21" s="2"/>
    </row>
    <row r="22" spans="1:68" outlineLevel="1" x14ac:dyDescent="0.4">
      <c r="A22" t="s">
        <v>1191</v>
      </c>
      <c r="C22" t="s">
        <v>1214</v>
      </c>
      <c r="E22">
        <f t="shared" si="1"/>
        <v>1</v>
      </c>
      <c r="H22" s="17">
        <v>1</v>
      </c>
      <c r="AG22">
        <v>5</v>
      </c>
    </row>
    <row r="23" spans="1:68" outlineLevel="1" x14ac:dyDescent="0.4">
      <c r="A23" t="s">
        <v>1192</v>
      </c>
      <c r="C23" t="s">
        <v>1214</v>
      </c>
      <c r="E23">
        <f t="shared" si="1"/>
        <v>3</v>
      </c>
      <c r="H23" s="17">
        <v>3</v>
      </c>
      <c r="AG23">
        <v>10</v>
      </c>
    </row>
    <row r="24" spans="1:68" outlineLevel="1" x14ac:dyDescent="0.4">
      <c r="A24" t="s">
        <v>1193</v>
      </c>
      <c r="C24" t="s">
        <v>1214</v>
      </c>
      <c r="E24">
        <f t="shared" si="1"/>
        <v>5</v>
      </c>
      <c r="H24" s="17">
        <v>5</v>
      </c>
      <c r="AG24">
        <v>15</v>
      </c>
    </row>
    <row r="25" spans="1:68" outlineLevel="1" x14ac:dyDescent="0.4">
      <c r="A25" t="s">
        <v>1194</v>
      </c>
      <c r="C25" t="s">
        <v>1215</v>
      </c>
      <c r="E25">
        <f t="shared" si="1"/>
        <v>1</v>
      </c>
      <c r="G25">
        <v>1</v>
      </c>
      <c r="AJ25">
        <v>10</v>
      </c>
    </row>
    <row r="26" spans="1:68" outlineLevel="1" x14ac:dyDescent="0.4">
      <c r="A26" t="s">
        <v>1195</v>
      </c>
      <c r="C26" t="s">
        <v>1215</v>
      </c>
      <c r="E26">
        <f t="shared" si="1"/>
        <v>3</v>
      </c>
      <c r="G26">
        <v>3</v>
      </c>
      <c r="AJ26">
        <v>30</v>
      </c>
    </row>
    <row r="27" spans="1:68" outlineLevel="1" x14ac:dyDescent="0.4">
      <c r="A27" t="s">
        <v>1196</v>
      </c>
      <c r="C27" t="s">
        <v>1215</v>
      </c>
      <c r="E27">
        <f t="shared" si="1"/>
        <v>5</v>
      </c>
      <c r="G27">
        <v>5</v>
      </c>
      <c r="AJ27">
        <v>50</v>
      </c>
    </row>
    <row r="28" spans="1:68" outlineLevel="1" x14ac:dyDescent="0.4">
      <c r="A28" t="s">
        <v>1197</v>
      </c>
      <c r="C28" t="s">
        <v>1214</v>
      </c>
      <c r="E28">
        <f t="shared" si="1"/>
        <v>1</v>
      </c>
      <c r="G28">
        <v>1</v>
      </c>
      <c r="AK28">
        <v>10</v>
      </c>
    </row>
    <row r="29" spans="1:68" outlineLevel="1" x14ac:dyDescent="0.4">
      <c r="A29" t="s">
        <v>1198</v>
      </c>
      <c r="C29" t="s">
        <v>1214</v>
      </c>
      <c r="E29">
        <f t="shared" si="1"/>
        <v>3</v>
      </c>
      <c r="G29">
        <v>3</v>
      </c>
      <c r="AK29">
        <v>30</v>
      </c>
    </row>
    <row r="30" spans="1:68" outlineLevel="1" x14ac:dyDescent="0.4">
      <c r="A30" t="s">
        <v>1199</v>
      </c>
      <c r="C30" t="s">
        <v>1214</v>
      </c>
      <c r="E30">
        <f t="shared" si="1"/>
        <v>5</v>
      </c>
      <c r="G30">
        <v>5</v>
      </c>
      <c r="AK30">
        <v>50</v>
      </c>
    </row>
    <row r="31" spans="1:68" outlineLevel="1" x14ac:dyDescent="0.4">
      <c r="A31" t="s">
        <v>1200</v>
      </c>
      <c r="C31" t="s">
        <v>1217</v>
      </c>
      <c r="E31">
        <f t="shared" si="1"/>
        <v>1</v>
      </c>
      <c r="G31">
        <v>1</v>
      </c>
      <c r="AL31">
        <v>10</v>
      </c>
    </row>
    <row r="32" spans="1:68" outlineLevel="1" x14ac:dyDescent="0.4">
      <c r="A32" t="s">
        <v>1201</v>
      </c>
      <c r="C32" t="s">
        <v>1217</v>
      </c>
      <c r="E32">
        <f t="shared" si="1"/>
        <v>3</v>
      </c>
      <c r="G32">
        <v>3</v>
      </c>
      <c r="AL32">
        <v>30</v>
      </c>
    </row>
    <row r="33" spans="1:41" ht="19.5" customHeight="1" outlineLevel="1" x14ac:dyDescent="0.4">
      <c r="A33" t="s">
        <v>1202</v>
      </c>
      <c r="C33" t="s">
        <v>1217</v>
      </c>
      <c r="E33">
        <f t="shared" si="1"/>
        <v>5</v>
      </c>
      <c r="G33">
        <v>5</v>
      </c>
      <c r="AL33">
        <v>50</v>
      </c>
    </row>
    <row r="34" spans="1:41" outlineLevel="1" x14ac:dyDescent="0.4">
      <c r="A34" t="s">
        <v>1203</v>
      </c>
      <c r="C34" t="s">
        <v>1218</v>
      </c>
      <c r="E34">
        <f t="shared" si="1"/>
        <v>1</v>
      </c>
      <c r="H34" s="17">
        <v>1</v>
      </c>
      <c r="AM34">
        <v>10</v>
      </c>
    </row>
    <row r="35" spans="1:41" outlineLevel="1" x14ac:dyDescent="0.4">
      <c r="A35" t="s">
        <v>1204</v>
      </c>
      <c r="C35" t="s">
        <v>1218</v>
      </c>
      <c r="E35">
        <f t="shared" si="1"/>
        <v>3</v>
      </c>
      <c r="H35" s="17">
        <v>3</v>
      </c>
      <c r="AM35">
        <v>30</v>
      </c>
    </row>
    <row r="36" spans="1:41" outlineLevel="1" x14ac:dyDescent="0.4">
      <c r="A36" t="s">
        <v>1205</v>
      </c>
      <c r="C36" t="s">
        <v>1218</v>
      </c>
      <c r="E36">
        <f t="shared" si="1"/>
        <v>5</v>
      </c>
      <c r="H36" s="17">
        <v>5</v>
      </c>
      <c r="AM36">
        <v>50</v>
      </c>
    </row>
    <row r="37" spans="1:41" outlineLevel="1" x14ac:dyDescent="0.4">
      <c r="A37" t="s">
        <v>1206</v>
      </c>
      <c r="C37" t="s">
        <v>1179</v>
      </c>
      <c r="E37">
        <f t="shared" si="1"/>
        <v>1</v>
      </c>
      <c r="G37">
        <v>1</v>
      </c>
      <c r="AN37">
        <v>10</v>
      </c>
    </row>
    <row r="38" spans="1:41" outlineLevel="1" x14ac:dyDescent="0.4">
      <c r="A38" t="s">
        <v>1207</v>
      </c>
      <c r="C38" t="s">
        <v>1179</v>
      </c>
      <c r="E38">
        <f t="shared" si="1"/>
        <v>3</v>
      </c>
      <c r="G38">
        <v>3</v>
      </c>
      <c r="AN38">
        <v>30</v>
      </c>
    </row>
    <row r="39" spans="1:41" outlineLevel="1" x14ac:dyDescent="0.4">
      <c r="A39" t="s">
        <v>1208</v>
      </c>
      <c r="C39" t="s">
        <v>1179</v>
      </c>
      <c r="E39">
        <f t="shared" si="1"/>
        <v>5</v>
      </c>
      <c r="G39">
        <v>5</v>
      </c>
      <c r="AN39">
        <v>50</v>
      </c>
    </row>
    <row r="40" spans="1:41" outlineLevel="1" x14ac:dyDescent="0.4">
      <c r="A40" t="s">
        <v>1209</v>
      </c>
      <c r="C40" t="s">
        <v>1212</v>
      </c>
      <c r="E40">
        <f t="shared" si="1"/>
        <v>1</v>
      </c>
      <c r="G40">
        <v>1</v>
      </c>
      <c r="AO40">
        <v>10</v>
      </c>
    </row>
    <row r="41" spans="1:41" outlineLevel="1" x14ac:dyDescent="0.4">
      <c r="A41" t="s">
        <v>1210</v>
      </c>
      <c r="C41" t="s">
        <v>1212</v>
      </c>
      <c r="E41">
        <f t="shared" si="1"/>
        <v>3</v>
      </c>
      <c r="G41">
        <v>3</v>
      </c>
      <c r="AO41">
        <v>30</v>
      </c>
    </row>
    <row r="42" spans="1:41" outlineLevel="1" x14ac:dyDescent="0.4">
      <c r="A42" t="s">
        <v>1211</v>
      </c>
      <c r="C42" t="s">
        <v>1212</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1009</v>
      </c>
      <c r="B1" s="3" t="s">
        <v>1010</v>
      </c>
      <c r="C1" s="42" t="s">
        <v>483</v>
      </c>
      <c r="D1" s="42" t="s">
        <v>484</v>
      </c>
      <c r="E1" s="42" t="s">
        <v>485</v>
      </c>
      <c r="F1" s="44" t="s">
        <v>487</v>
      </c>
      <c r="G1" s="44" t="s">
        <v>488</v>
      </c>
      <c r="H1" s="44" t="s">
        <v>489</v>
      </c>
      <c r="I1" s="44" t="s">
        <v>490</v>
      </c>
      <c r="J1" s="36" t="s">
        <v>491</v>
      </c>
      <c r="K1" s="36" t="s">
        <v>492</v>
      </c>
      <c r="L1" s="36" t="s">
        <v>493</v>
      </c>
      <c r="M1" s="36" t="s">
        <v>1011</v>
      </c>
      <c r="N1" s="56" t="s">
        <v>949</v>
      </c>
      <c r="O1" s="56" t="s">
        <v>946</v>
      </c>
      <c r="P1" s="36" t="s">
        <v>1182</v>
      </c>
      <c r="Q1" s="36" t="s">
        <v>1183</v>
      </c>
    </row>
    <row r="2" spans="1:17" x14ac:dyDescent="0.4">
      <c r="A2" s="17">
        <v>1</v>
      </c>
      <c r="B2" s="17" t="s">
        <v>1002</v>
      </c>
      <c r="C2" s="17">
        <v>10</v>
      </c>
      <c r="D2" s="17">
        <v>0</v>
      </c>
      <c r="E2" s="17">
        <v>0</v>
      </c>
      <c r="F2" s="17">
        <v>10</v>
      </c>
      <c r="P2" s="39">
        <v>1</v>
      </c>
      <c r="Q2" s="39">
        <v>0</v>
      </c>
    </row>
    <row r="3" spans="1:17" x14ac:dyDescent="0.4">
      <c r="A3" s="17">
        <v>2</v>
      </c>
      <c r="B3" s="17" t="s">
        <v>1002</v>
      </c>
      <c r="C3" s="17">
        <v>20</v>
      </c>
      <c r="D3" s="17">
        <v>0</v>
      </c>
      <c r="E3" s="17">
        <v>0</v>
      </c>
      <c r="F3" s="17">
        <v>20</v>
      </c>
      <c r="P3" s="39">
        <v>1</v>
      </c>
      <c r="Q3" s="39">
        <v>0.15</v>
      </c>
    </row>
    <row r="4" spans="1:17" x14ac:dyDescent="0.4">
      <c r="A4" s="17">
        <v>3</v>
      </c>
      <c r="B4" s="17" t="s">
        <v>1002</v>
      </c>
      <c r="C4" s="17">
        <v>10</v>
      </c>
      <c r="D4" s="17">
        <v>10</v>
      </c>
      <c r="E4" s="17"/>
      <c r="F4">
        <v>10</v>
      </c>
      <c r="G4" s="17">
        <v>10</v>
      </c>
      <c r="P4" s="39">
        <v>1</v>
      </c>
      <c r="Q4" s="39">
        <v>0.3</v>
      </c>
    </row>
    <row r="5" spans="1:17" x14ac:dyDescent="0.4">
      <c r="A5" s="17">
        <v>4</v>
      </c>
      <c r="B5" s="17" t="s">
        <v>1002</v>
      </c>
      <c r="C5" s="17">
        <v>10</v>
      </c>
      <c r="D5" s="17">
        <v>20</v>
      </c>
      <c r="E5" s="17">
        <v>10</v>
      </c>
      <c r="F5" s="17">
        <v>10</v>
      </c>
      <c r="G5" s="17">
        <v>20</v>
      </c>
      <c r="H5">
        <v>5</v>
      </c>
      <c r="I5">
        <v>5</v>
      </c>
      <c r="P5" s="39">
        <v>1</v>
      </c>
      <c r="Q5" s="39">
        <v>0.5</v>
      </c>
    </row>
    <row r="6" spans="1:17" x14ac:dyDescent="0.4">
      <c r="A6" s="17">
        <v>5</v>
      </c>
      <c r="B6" s="17" t="s">
        <v>1002</v>
      </c>
      <c r="C6" s="17">
        <v>20</v>
      </c>
      <c r="D6" s="17">
        <v>40</v>
      </c>
      <c r="E6" s="17">
        <v>20</v>
      </c>
      <c r="F6" s="17">
        <v>20</v>
      </c>
      <c r="G6" s="17">
        <v>40</v>
      </c>
      <c r="H6" s="17">
        <v>10</v>
      </c>
      <c r="I6" s="17">
        <v>10</v>
      </c>
      <c r="J6">
        <v>20</v>
      </c>
      <c r="K6">
        <v>40</v>
      </c>
      <c r="L6">
        <v>10</v>
      </c>
      <c r="M6" t="s">
        <v>1012</v>
      </c>
      <c r="P6" s="39">
        <v>1</v>
      </c>
      <c r="Q6" s="39">
        <v>0.65</v>
      </c>
    </row>
    <row r="7" spans="1:17" x14ac:dyDescent="0.4">
      <c r="A7" s="17">
        <v>6</v>
      </c>
      <c r="B7" s="17" t="s">
        <v>1002</v>
      </c>
      <c r="C7" s="17">
        <f>C6*2</f>
        <v>40</v>
      </c>
      <c r="D7" s="17">
        <f t="shared" ref="D7:I7" si="0">D6*2</f>
        <v>80</v>
      </c>
      <c r="E7" s="17">
        <f t="shared" si="0"/>
        <v>40</v>
      </c>
      <c r="F7" s="17">
        <f t="shared" si="0"/>
        <v>40</v>
      </c>
      <c r="G7" s="17">
        <f t="shared" si="0"/>
        <v>80</v>
      </c>
      <c r="H7" s="17">
        <f t="shared" si="0"/>
        <v>20</v>
      </c>
      <c r="I7" s="17">
        <f t="shared" si="0"/>
        <v>20</v>
      </c>
      <c r="J7">
        <v>40</v>
      </c>
      <c r="K7">
        <v>80</v>
      </c>
      <c r="L7">
        <v>20</v>
      </c>
      <c r="M7" t="s">
        <v>1012</v>
      </c>
      <c r="P7" s="39">
        <v>1</v>
      </c>
      <c r="Q7" s="39">
        <v>0.8</v>
      </c>
    </row>
    <row r="8" spans="1:17" x14ac:dyDescent="0.4">
      <c r="A8" s="17">
        <v>7</v>
      </c>
      <c r="B8" s="17" t="s">
        <v>1002</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1012</v>
      </c>
      <c r="P8" s="39">
        <v>1</v>
      </c>
      <c r="Q8" s="39">
        <v>1</v>
      </c>
    </row>
    <row r="9" spans="1:17" x14ac:dyDescent="0.4">
      <c r="A9" s="17">
        <v>1</v>
      </c>
      <c r="B9" t="s">
        <v>1219</v>
      </c>
      <c r="J9">
        <v>5</v>
      </c>
      <c r="K9">
        <v>10</v>
      </c>
    </row>
    <row r="10" spans="1:17" x14ac:dyDescent="0.4">
      <c r="A10" s="17">
        <v>2</v>
      </c>
      <c r="B10" t="s">
        <v>1219</v>
      </c>
      <c r="J10">
        <v>10</v>
      </c>
      <c r="K10">
        <v>20</v>
      </c>
      <c r="L10">
        <v>5</v>
      </c>
    </row>
    <row r="11" spans="1:17" x14ac:dyDescent="0.4">
      <c r="A11" s="17">
        <v>3</v>
      </c>
      <c r="B11" t="s">
        <v>1219</v>
      </c>
      <c r="J11">
        <v>20</v>
      </c>
      <c r="K11">
        <v>40</v>
      </c>
      <c r="L11">
        <v>10</v>
      </c>
    </row>
    <row r="12" spans="1:17" x14ac:dyDescent="0.4">
      <c r="A12" s="17">
        <v>4</v>
      </c>
      <c r="B12" t="s">
        <v>1219</v>
      </c>
      <c r="J12">
        <v>40</v>
      </c>
      <c r="K12">
        <v>80</v>
      </c>
      <c r="L12">
        <v>20</v>
      </c>
    </row>
    <row r="13" spans="1:17" x14ac:dyDescent="0.4">
      <c r="A13" s="17">
        <v>5</v>
      </c>
      <c r="B13" t="s">
        <v>1219</v>
      </c>
      <c r="J13">
        <v>80</v>
      </c>
      <c r="K13">
        <v>160</v>
      </c>
      <c r="L13">
        <v>40</v>
      </c>
      <c r="M13" t="s">
        <v>1012</v>
      </c>
    </row>
    <row r="14" spans="1:17" x14ac:dyDescent="0.4">
      <c r="A14" s="17">
        <v>6</v>
      </c>
      <c r="B14" t="s">
        <v>1219</v>
      </c>
      <c r="J14">
        <v>160</v>
      </c>
      <c r="K14">
        <v>320</v>
      </c>
      <c r="L14">
        <v>80</v>
      </c>
      <c r="M14" t="s">
        <v>1012</v>
      </c>
    </row>
    <row r="15" spans="1:17" x14ac:dyDescent="0.4">
      <c r="A15" s="17">
        <v>7</v>
      </c>
      <c r="B15" t="s">
        <v>1219</v>
      </c>
      <c r="J15">
        <v>320</v>
      </c>
      <c r="K15">
        <v>640</v>
      </c>
      <c r="L15">
        <v>160</v>
      </c>
      <c r="M15" t="s">
        <v>1012</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699</v>
      </c>
      <c r="B1" t="s">
        <v>961</v>
      </c>
      <c r="C1" t="s">
        <v>704</v>
      </c>
      <c r="D1" t="s">
        <v>703</v>
      </c>
      <c r="E1" t="s">
        <v>705</v>
      </c>
      <c r="F1" t="s">
        <v>176</v>
      </c>
      <c r="G1" t="s">
        <v>708</v>
      </c>
      <c r="H1" t="s">
        <v>155</v>
      </c>
      <c r="I1" t="s">
        <v>156</v>
      </c>
      <c r="J1" t="s">
        <v>162</v>
      </c>
      <c r="K1" t="s">
        <v>966</v>
      </c>
      <c r="L1" t="s">
        <v>975</v>
      </c>
      <c r="M1" t="s">
        <v>710</v>
      </c>
      <c r="N1" t="s">
        <v>711</v>
      </c>
      <c r="O1" t="s">
        <v>712</v>
      </c>
      <c r="P1" t="s">
        <v>713</v>
      </c>
      <c r="Q1" t="s">
        <v>983</v>
      </c>
      <c r="R1" s="53" t="s">
        <v>984</v>
      </c>
      <c r="S1" s="53" t="s">
        <v>483</v>
      </c>
    </row>
    <row r="2" spans="1:19" x14ac:dyDescent="0.4">
      <c r="A2" t="s">
        <v>1231</v>
      </c>
      <c r="B2" t="s">
        <v>962</v>
      </c>
      <c r="C2">
        <v>20</v>
      </c>
      <c r="D2">
        <v>40</v>
      </c>
      <c r="E2">
        <v>25</v>
      </c>
      <c r="F2">
        <v>20</v>
      </c>
      <c r="H2">
        <v>10</v>
      </c>
      <c r="I2">
        <v>135</v>
      </c>
      <c r="M2" t="s">
        <v>709</v>
      </c>
      <c r="N2" t="s">
        <v>714</v>
      </c>
      <c r="O2" t="s">
        <v>715</v>
      </c>
      <c r="Q2">
        <v>1</v>
      </c>
      <c r="R2" s="52">
        <v>0.5</v>
      </c>
      <c r="S2" s="52">
        <v>0</v>
      </c>
    </row>
    <row r="3" spans="1:19" x14ac:dyDescent="0.4">
      <c r="A3" t="s">
        <v>716</v>
      </c>
      <c r="B3" t="s">
        <v>962</v>
      </c>
      <c r="C3">
        <v>30</v>
      </c>
      <c r="D3">
        <v>50</v>
      </c>
      <c r="E3">
        <v>35</v>
      </c>
      <c r="F3">
        <v>25</v>
      </c>
      <c r="H3">
        <v>10</v>
      </c>
      <c r="I3">
        <v>135</v>
      </c>
      <c r="M3" t="s">
        <v>719</v>
      </c>
      <c r="N3" t="s">
        <v>715</v>
      </c>
      <c r="Q3">
        <v>1.25</v>
      </c>
      <c r="R3" s="52">
        <v>1</v>
      </c>
      <c r="S3" s="52">
        <v>0.1</v>
      </c>
    </row>
    <row r="4" spans="1:19" x14ac:dyDescent="0.4">
      <c r="A4" t="s">
        <v>717</v>
      </c>
      <c r="B4" t="s">
        <v>962</v>
      </c>
      <c r="C4">
        <v>40</v>
      </c>
      <c r="D4">
        <v>50</v>
      </c>
      <c r="E4">
        <v>40</v>
      </c>
      <c r="F4">
        <v>25</v>
      </c>
      <c r="H4">
        <v>10</v>
      </c>
      <c r="I4">
        <v>135</v>
      </c>
      <c r="M4" t="s">
        <v>719</v>
      </c>
      <c r="Q4">
        <v>1.5</v>
      </c>
      <c r="R4" s="52">
        <v>1.4</v>
      </c>
      <c r="S4" s="52">
        <v>0.1</v>
      </c>
    </row>
    <row r="5" spans="1:19" x14ac:dyDescent="0.4">
      <c r="A5" t="s">
        <v>1228</v>
      </c>
      <c r="B5" t="s">
        <v>962</v>
      </c>
      <c r="C5">
        <v>40</v>
      </c>
      <c r="D5">
        <v>50</v>
      </c>
      <c r="E5">
        <v>45</v>
      </c>
      <c r="F5">
        <v>25</v>
      </c>
      <c r="H5">
        <v>10</v>
      </c>
      <c r="I5">
        <v>135</v>
      </c>
      <c r="M5" t="s">
        <v>718</v>
      </c>
      <c r="N5" t="s">
        <v>1178</v>
      </c>
      <c r="Q5">
        <v>1.25</v>
      </c>
      <c r="R5" s="52">
        <v>0.6</v>
      </c>
      <c r="S5" s="52">
        <v>1.2</v>
      </c>
    </row>
    <row r="6" spans="1:19" x14ac:dyDescent="0.4">
      <c r="A6" t="s">
        <v>697</v>
      </c>
      <c r="B6" t="s">
        <v>962</v>
      </c>
      <c r="C6">
        <v>50</v>
      </c>
      <c r="D6">
        <v>50</v>
      </c>
      <c r="E6">
        <v>45</v>
      </c>
      <c r="F6">
        <v>30</v>
      </c>
      <c r="H6">
        <v>10</v>
      </c>
      <c r="I6">
        <v>125</v>
      </c>
      <c r="M6" t="s">
        <v>718</v>
      </c>
      <c r="Q6">
        <v>1.25</v>
      </c>
      <c r="R6" s="52">
        <v>1.2</v>
      </c>
      <c r="S6" s="52">
        <v>0.4</v>
      </c>
    </row>
    <row r="7" spans="1:19" x14ac:dyDescent="0.4">
      <c r="A7" t="s">
        <v>700</v>
      </c>
      <c r="B7" t="s">
        <v>962</v>
      </c>
      <c r="C7">
        <v>30</v>
      </c>
      <c r="D7">
        <v>40</v>
      </c>
      <c r="E7">
        <v>30</v>
      </c>
      <c r="F7">
        <v>20</v>
      </c>
      <c r="H7">
        <v>10</v>
      </c>
      <c r="I7">
        <v>125</v>
      </c>
      <c r="M7" t="s">
        <v>140</v>
      </c>
      <c r="Q7">
        <v>1</v>
      </c>
      <c r="R7" s="52">
        <v>0</v>
      </c>
      <c r="S7" s="52">
        <v>1</v>
      </c>
    </row>
    <row r="8" spans="1:19" x14ac:dyDescent="0.4">
      <c r="A8" t="s">
        <v>701</v>
      </c>
      <c r="B8" t="s">
        <v>962</v>
      </c>
      <c r="C8">
        <v>50</v>
      </c>
      <c r="D8">
        <v>40</v>
      </c>
      <c r="E8">
        <v>45</v>
      </c>
      <c r="F8">
        <v>25</v>
      </c>
      <c r="H8">
        <v>10</v>
      </c>
      <c r="I8">
        <v>125</v>
      </c>
      <c r="M8" t="s">
        <v>140</v>
      </c>
      <c r="Q8">
        <v>1.5</v>
      </c>
      <c r="R8" s="52">
        <v>1.6</v>
      </c>
      <c r="S8" s="52">
        <v>0.2</v>
      </c>
    </row>
    <row r="9" spans="1:19" x14ac:dyDescent="0.4">
      <c r="A9" t="s">
        <v>1232</v>
      </c>
      <c r="B9" t="s">
        <v>962</v>
      </c>
      <c r="C9">
        <v>65</v>
      </c>
      <c r="D9">
        <v>50</v>
      </c>
      <c r="E9">
        <v>25</v>
      </c>
      <c r="F9">
        <v>25</v>
      </c>
      <c r="G9">
        <v>40</v>
      </c>
      <c r="H9">
        <v>10</v>
      </c>
      <c r="I9">
        <v>135</v>
      </c>
      <c r="J9">
        <v>4</v>
      </c>
      <c r="Q9">
        <v>1.25</v>
      </c>
      <c r="R9" s="52">
        <v>0.2</v>
      </c>
      <c r="S9" s="52">
        <v>1.4</v>
      </c>
    </row>
    <row r="10" spans="1:19" x14ac:dyDescent="0.4">
      <c r="A10" t="s">
        <v>702</v>
      </c>
      <c r="B10" t="s">
        <v>962</v>
      </c>
      <c r="C10">
        <v>20</v>
      </c>
      <c r="D10">
        <v>40</v>
      </c>
      <c r="E10">
        <v>10</v>
      </c>
      <c r="F10">
        <v>25</v>
      </c>
      <c r="G10">
        <v>40</v>
      </c>
      <c r="H10">
        <v>10</v>
      </c>
      <c r="I10">
        <v>140</v>
      </c>
      <c r="J10">
        <v>4</v>
      </c>
      <c r="M10" t="s">
        <v>720</v>
      </c>
      <c r="Q10">
        <v>2</v>
      </c>
      <c r="R10" s="52">
        <v>2</v>
      </c>
      <c r="S10" s="52">
        <v>0.3</v>
      </c>
    </row>
    <row r="11" spans="1:19" x14ac:dyDescent="0.4">
      <c r="A11" t="s">
        <v>1216</v>
      </c>
      <c r="B11" t="s">
        <v>962</v>
      </c>
      <c r="C11">
        <v>0</v>
      </c>
      <c r="D11">
        <v>30</v>
      </c>
      <c r="E11">
        <v>30</v>
      </c>
      <c r="F11">
        <v>25</v>
      </c>
      <c r="H11">
        <v>10</v>
      </c>
      <c r="I11">
        <v>120</v>
      </c>
      <c r="M11" t="s">
        <v>976</v>
      </c>
      <c r="Q11">
        <v>2</v>
      </c>
      <c r="R11" s="52">
        <v>0.1</v>
      </c>
      <c r="S11" s="52">
        <v>1.3</v>
      </c>
    </row>
    <row r="13" spans="1:19" x14ac:dyDescent="0.4">
      <c r="A13" t="s">
        <v>1184</v>
      </c>
      <c r="B13" t="s">
        <v>962</v>
      </c>
      <c r="C13">
        <v>-5</v>
      </c>
      <c r="D13">
        <v>50</v>
      </c>
      <c r="E13">
        <v>15</v>
      </c>
      <c r="F13">
        <v>25</v>
      </c>
      <c r="H13">
        <v>10</v>
      </c>
      <c r="I13">
        <v>120</v>
      </c>
      <c r="Q13">
        <v>1</v>
      </c>
      <c r="R13" s="52">
        <v>0.2</v>
      </c>
      <c r="S13" s="52">
        <v>1</v>
      </c>
    </row>
    <row r="14" spans="1:19" x14ac:dyDescent="0.4">
      <c r="A14" t="s">
        <v>721</v>
      </c>
      <c r="B14" t="s">
        <v>962</v>
      </c>
      <c r="C14">
        <v>0</v>
      </c>
      <c r="D14">
        <v>60</v>
      </c>
      <c r="E14">
        <v>20</v>
      </c>
      <c r="F14">
        <v>35</v>
      </c>
      <c r="H14">
        <v>10</v>
      </c>
      <c r="I14">
        <v>120</v>
      </c>
      <c r="Q14">
        <v>1</v>
      </c>
      <c r="R14" s="52">
        <v>0.6</v>
      </c>
      <c r="S14" s="52">
        <v>0.8</v>
      </c>
    </row>
    <row r="15" spans="1:19" x14ac:dyDescent="0.4">
      <c r="A15" t="s">
        <v>722</v>
      </c>
      <c r="B15" t="s">
        <v>962</v>
      </c>
      <c r="C15">
        <v>10</v>
      </c>
      <c r="D15">
        <v>70</v>
      </c>
      <c r="E15">
        <v>25</v>
      </c>
      <c r="F15">
        <v>45</v>
      </c>
      <c r="H15">
        <v>10</v>
      </c>
      <c r="I15">
        <v>120</v>
      </c>
      <c r="Q15">
        <v>1.5</v>
      </c>
      <c r="R15" s="52">
        <v>1</v>
      </c>
      <c r="S15" s="52">
        <v>1.2</v>
      </c>
    </row>
    <row r="16" spans="1:19" x14ac:dyDescent="0.4">
      <c r="R16" s="52">
        <v>0.2</v>
      </c>
      <c r="S16" s="52">
        <v>0</v>
      </c>
    </row>
    <row r="17" spans="1:19" x14ac:dyDescent="0.4">
      <c r="A17" t="s">
        <v>964</v>
      </c>
      <c r="B17" t="s">
        <v>955</v>
      </c>
      <c r="L17">
        <v>3</v>
      </c>
      <c r="M17" t="s">
        <v>976</v>
      </c>
      <c r="Q17">
        <v>1</v>
      </c>
      <c r="R17" s="52">
        <v>0.2</v>
      </c>
      <c r="S17" s="52">
        <v>0.1</v>
      </c>
    </row>
    <row r="18" spans="1:19" x14ac:dyDescent="0.4">
      <c r="A18" t="s">
        <v>963</v>
      </c>
      <c r="B18" t="s">
        <v>955</v>
      </c>
      <c r="D18">
        <v>5</v>
      </c>
      <c r="K18">
        <v>5</v>
      </c>
      <c r="L18">
        <v>10</v>
      </c>
      <c r="Q18">
        <v>1.5</v>
      </c>
      <c r="R18" s="52">
        <v>0.7</v>
      </c>
      <c r="S18" s="52">
        <v>0.1</v>
      </c>
    </row>
    <row r="19" spans="1:19" x14ac:dyDescent="0.4">
      <c r="A19" t="s">
        <v>965</v>
      </c>
      <c r="B19" t="s">
        <v>955</v>
      </c>
      <c r="L19">
        <v>4</v>
      </c>
      <c r="Q19">
        <v>1</v>
      </c>
      <c r="R19" s="52">
        <v>0.1</v>
      </c>
      <c r="S19" s="52">
        <v>0.3</v>
      </c>
    </row>
    <row r="20" spans="1:19" x14ac:dyDescent="0.4">
      <c r="A20" t="s">
        <v>1213</v>
      </c>
      <c r="B20" t="s">
        <v>955</v>
      </c>
      <c r="L20">
        <v>0</v>
      </c>
      <c r="M20" t="s">
        <v>978</v>
      </c>
      <c r="N20" t="s">
        <v>979</v>
      </c>
      <c r="Q20">
        <v>1</v>
      </c>
      <c r="R20" s="52">
        <v>0.1</v>
      </c>
      <c r="S20" s="52">
        <v>0.3</v>
      </c>
    </row>
    <row r="22" spans="1:19" x14ac:dyDescent="0.4">
      <c r="A22" t="s">
        <v>967</v>
      </c>
      <c r="B22" t="s">
        <v>958</v>
      </c>
      <c r="D22">
        <v>10</v>
      </c>
      <c r="K22">
        <v>10</v>
      </c>
      <c r="L22">
        <v>20</v>
      </c>
      <c r="Q22">
        <v>2</v>
      </c>
      <c r="R22" s="52">
        <v>2.8</v>
      </c>
      <c r="S22" s="52">
        <v>0.25</v>
      </c>
    </row>
    <row r="23" spans="1:19" x14ac:dyDescent="0.4">
      <c r="A23" t="s">
        <v>968</v>
      </c>
      <c r="B23" t="s">
        <v>958</v>
      </c>
      <c r="L23">
        <v>10</v>
      </c>
      <c r="Q23">
        <v>1.5</v>
      </c>
      <c r="R23" s="52">
        <v>0.25</v>
      </c>
      <c r="S23" s="52">
        <v>1</v>
      </c>
    </row>
    <row r="24" spans="1:19" x14ac:dyDescent="0.4">
      <c r="A24" t="s">
        <v>969</v>
      </c>
      <c r="B24" t="s">
        <v>958</v>
      </c>
      <c r="L24">
        <v>5</v>
      </c>
      <c r="M24" t="s">
        <v>977</v>
      </c>
      <c r="Q24">
        <v>1.5</v>
      </c>
      <c r="R24" s="52">
        <v>0.25</v>
      </c>
      <c r="S24" s="52">
        <v>1</v>
      </c>
    </row>
    <row r="26" spans="1:19" x14ac:dyDescent="0.4">
      <c r="A26" t="s">
        <v>1180</v>
      </c>
      <c r="B26" t="s">
        <v>959</v>
      </c>
      <c r="D26">
        <v>5</v>
      </c>
      <c r="L26">
        <v>3</v>
      </c>
      <c r="M26" t="s">
        <v>978</v>
      </c>
    </row>
    <row r="27" spans="1:19" x14ac:dyDescent="0.4">
      <c r="A27" t="s">
        <v>1179</v>
      </c>
      <c r="B27" t="s">
        <v>959</v>
      </c>
      <c r="L27">
        <v>1</v>
      </c>
      <c r="M27" t="s">
        <v>1181</v>
      </c>
    </row>
    <row r="29" spans="1:19" x14ac:dyDescent="0.4">
      <c r="A29" t="s">
        <v>970</v>
      </c>
      <c r="B29" t="s">
        <v>974</v>
      </c>
      <c r="M29" t="s">
        <v>976</v>
      </c>
      <c r="Q29">
        <v>1</v>
      </c>
      <c r="R29" s="52">
        <v>0.15</v>
      </c>
      <c r="S29" s="52">
        <v>0.05</v>
      </c>
    </row>
    <row r="30" spans="1:19" x14ac:dyDescent="0.4">
      <c r="A30" t="s">
        <v>971</v>
      </c>
      <c r="B30" t="s">
        <v>974</v>
      </c>
      <c r="M30" t="s">
        <v>978</v>
      </c>
      <c r="N30" t="s">
        <v>979</v>
      </c>
      <c r="Q30">
        <v>1</v>
      </c>
      <c r="R30" s="52">
        <v>0.1</v>
      </c>
      <c r="S30" s="52">
        <v>0.05</v>
      </c>
    </row>
    <row r="31" spans="1:19" x14ac:dyDescent="0.4">
      <c r="A31" t="s">
        <v>972</v>
      </c>
      <c r="B31" t="s">
        <v>974</v>
      </c>
      <c r="M31" t="s">
        <v>980</v>
      </c>
      <c r="Q31">
        <v>1</v>
      </c>
      <c r="R31" s="52">
        <v>0.1</v>
      </c>
      <c r="S31" s="52">
        <v>0.05</v>
      </c>
    </row>
    <row r="32" spans="1:19" x14ac:dyDescent="0.4">
      <c r="A32" t="s">
        <v>973</v>
      </c>
      <c r="B32" t="s">
        <v>974</v>
      </c>
      <c r="M32" t="s">
        <v>981</v>
      </c>
      <c r="N32" t="s">
        <v>982</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2026-03-29T06:54:30Z</dcterms:modified>
</cp:coreProperties>
</file>