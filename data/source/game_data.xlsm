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kiku\Documents\VSCode\fantasy_Strategy\data\source\"/>
    </mc:Choice>
  </mc:AlternateContent>
  <xr:revisionPtr revIDLastSave="0" documentId="13_ncr:1_{6E5FDBDB-8B8D-4190-92A9-909FB3A4A523}" xr6:coauthVersionLast="47" xr6:coauthVersionMax="47" xr10:uidLastSave="{00000000-0000-0000-0000-000000000000}"/>
  <bookViews>
    <workbookView xWindow="270" yWindow="450" windowWidth="26520" windowHeight="14955" firstSheet="9" activeTab="16"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 name="付与" sheetId="20" r:id="rId19"/>
    <sheet name="消費量" sheetId="22" r:id="rId20"/>
  </sheets>
  <definedNames>
    <definedName name="_xlnm._FilterDatabase" localSheetId="0" hidden="1">CS!$A$4:$T$707</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15" l="1" a="1"/>
  <c r="O6" i="15" s="1"/>
  <c r="N7" i="15" a="1"/>
  <c r="N7" i="15" s="1"/>
  <c r="N8" i="15" a="1"/>
  <c r="N8" i="15" s="1"/>
  <c r="N9" i="15" a="1"/>
  <c r="N9" i="15" s="1"/>
  <c r="N10" i="15" a="1"/>
  <c r="N10" i="15" s="1"/>
  <c r="N11" i="15" a="1"/>
  <c r="N11" i="15" s="1"/>
  <c r="N12" i="15" a="1"/>
  <c r="N12" i="15" s="1"/>
  <c r="N13" i="15" a="1"/>
  <c r="N13" i="15" s="1"/>
  <c r="N14" i="15" a="1"/>
  <c r="N14" i="15" s="1"/>
  <c r="N15" i="15" a="1"/>
  <c r="N15" i="15"/>
  <c r="N16" i="15" a="1"/>
  <c r="N16" i="15"/>
  <c r="N17" i="15" a="1"/>
  <c r="N17" i="15"/>
  <c r="N18" i="15" a="1"/>
  <c r="N18" i="15"/>
  <c r="N19" i="15" a="1"/>
  <c r="N19" i="15" s="1"/>
  <c r="N20" i="15" a="1"/>
  <c r="N20" i="15" s="1"/>
  <c r="N21" i="15" a="1"/>
  <c r="N21" i="15"/>
  <c r="N22" i="15" a="1"/>
  <c r="N22" i="15"/>
  <c r="N23" i="15" a="1"/>
  <c r="N23" i="15"/>
  <c r="N24" i="15" a="1"/>
  <c r="N24" i="15"/>
  <c r="N25" i="15" a="1"/>
  <c r="N25" i="15" s="1"/>
  <c r="N26" i="15" a="1"/>
  <c r="N26" i="15" s="1"/>
  <c r="N27" i="15" a="1"/>
  <c r="N27" i="15"/>
  <c r="N28" i="15" a="1"/>
  <c r="N28" i="15"/>
  <c r="N29" i="15" a="1"/>
  <c r="N29" i="15"/>
  <c r="N30" i="15" a="1"/>
  <c r="N30" i="15"/>
  <c r="N31" i="15" a="1"/>
  <c r="N31" i="15" s="1"/>
  <c r="N32" i="15" a="1"/>
  <c r="N32" i="15" s="1"/>
  <c r="N33" i="15" a="1"/>
  <c r="N33" i="15"/>
  <c r="N34" i="15" a="1"/>
  <c r="N34" i="15"/>
  <c r="N35" i="15" a="1"/>
  <c r="N35" i="15"/>
  <c r="N36" i="15" a="1"/>
  <c r="N36" i="15"/>
  <c r="N37" i="15" a="1"/>
  <c r="N37" i="15" s="1"/>
  <c r="N38" i="15" a="1"/>
  <c r="N38" i="15" s="1"/>
  <c r="N6" i="15" a="1"/>
  <c r="N6" i="15" s="1"/>
  <c r="T5" i="15"/>
  <c r="W5" i="15" a="1"/>
  <c r="W5" i="15" s="1"/>
  <c r="S5" i="15"/>
  <c r="R5" i="15"/>
  <c r="Q5" i="15"/>
  <c r="P5" i="15"/>
  <c r="M5" i="15"/>
  <c r="L5" i="15"/>
  <c r="O3" i="15"/>
  <c r="O4" i="15" s="1"/>
  <c r="O5" i="15" s="1"/>
  <c r="N3" i="15"/>
  <c r="N4" i="15" s="1"/>
  <c r="N5" i="15" s="1"/>
  <c r="K3" i="15"/>
  <c r="K4" i="15" s="1"/>
  <c r="K5" i="15" s="1"/>
  <c r="M3" i="15" a="1"/>
  <c r="M3" i="15" s="1"/>
  <c r="K31" i="15" a="1"/>
  <c r="K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L31" i="15" a="1"/>
  <c r="L31" i="15" s="1"/>
  <c r="M31" i="15" a="1"/>
  <c r="M31" i="15" s="1"/>
  <c r="O31" i="15" a="1"/>
  <c r="O31" i="15" s="1"/>
  <c r="P31" i="15" a="1"/>
  <c r="P31" i="15" s="1"/>
  <c r="Q31" i="15" a="1"/>
  <c r="Q31" i="15" s="1"/>
  <c r="R31" i="15" a="1"/>
  <c r="R31" i="15" s="1"/>
  <c r="S31" i="15" a="1"/>
  <c r="S31" i="15" s="1"/>
  <c r="T31" i="15" a="1"/>
  <c r="T31" i="15" s="1"/>
  <c r="U31" i="15" a="1"/>
  <c r="U31" i="15" s="1"/>
  <c r="V31" i="15" a="1"/>
  <c r="V31" i="15" s="1"/>
  <c r="W31" i="15" a="1"/>
  <c r="W31" i="15" s="1"/>
  <c r="K32" i="15" a="1"/>
  <c r="K32" i="15" s="1"/>
  <c r="L32" i="15" a="1"/>
  <c r="L32" i="15" s="1"/>
  <c r="M32" i="15" a="1"/>
  <c r="M32" i="15" s="1"/>
  <c r="O32" i="15" a="1"/>
  <c r="O32" i="15" s="1"/>
  <c r="P32" i="15" a="1"/>
  <c r="P32" i="15" s="1"/>
  <c r="Q32" i="15" a="1"/>
  <c r="Q32" i="15" s="1"/>
  <c r="R32" i="15" a="1"/>
  <c r="R32" i="15" s="1"/>
  <c r="S32" i="15" a="1"/>
  <c r="S32" i="15" s="1"/>
  <c r="T32" i="15" a="1"/>
  <c r="T32" i="15" s="1"/>
  <c r="U32" i="15" a="1"/>
  <c r="U32" i="15" s="1"/>
  <c r="V32" i="15" a="1"/>
  <c r="V32" i="15" s="1"/>
  <c r="W32" i="15" a="1"/>
  <c r="W32" i="15" s="1"/>
  <c r="P2" i="15" a="1"/>
  <c r="P2" i="15" s="1"/>
  <c r="Q2" i="15" a="1"/>
  <c r="Q2" i="15" s="1"/>
  <c r="R2" i="15" a="1"/>
  <c r="R2" i="15" s="1"/>
  <c r="S2" i="15" a="1"/>
  <c r="S2" i="15" s="1"/>
  <c r="T2" i="15" a="1"/>
  <c r="T2" i="15" s="1"/>
  <c r="U2" i="15" a="1"/>
  <c r="U2" i="15" s="1"/>
  <c r="V2" i="15" a="1"/>
  <c r="V2" i="15" s="1"/>
  <c r="W2" i="15" a="1"/>
  <c r="W2" i="15" s="1"/>
  <c r="P3" i="15" a="1"/>
  <c r="P3" i="15" s="1"/>
  <c r="Q3" i="15" a="1"/>
  <c r="Q3" i="15" s="1"/>
  <c r="R3" i="15" a="1"/>
  <c r="R3" i="15" s="1"/>
  <c r="S3" i="15" a="1"/>
  <c r="S3" i="15" s="1"/>
  <c r="T3" i="15" a="1"/>
  <c r="T3" i="15" s="1"/>
  <c r="U3" i="15" a="1"/>
  <c r="U3" i="15" s="1"/>
  <c r="V3" i="15" a="1"/>
  <c r="V3" i="15" s="1"/>
  <c r="W3" i="15" a="1"/>
  <c r="W3" i="15" s="1"/>
  <c r="U4" i="15" a="1"/>
  <c r="U4" i="15" s="1"/>
  <c r="V4" i="15" a="1"/>
  <c r="V4" i="15" s="1"/>
  <c r="W4" i="15" a="1"/>
  <c r="W4" i="15" s="1"/>
  <c r="U5" i="15" a="1"/>
  <c r="U5" i="15" s="1"/>
  <c r="V5" i="15" a="1"/>
  <c r="V5" i="15" s="1"/>
  <c r="K33" i="15" a="1"/>
  <c r="K33" i="15" s="1"/>
  <c r="L33" i="15" a="1"/>
  <c r="L33" i="15" s="1"/>
  <c r="M33" i="15" a="1"/>
  <c r="M33" i="15" s="1"/>
  <c r="O33" i="15" a="1"/>
  <c r="O33" i="15" s="1"/>
  <c r="P33" i="15" a="1"/>
  <c r="P33" i="15" s="1"/>
  <c r="Q33" i="15" a="1"/>
  <c r="Q33" i="15" s="1"/>
  <c r="R33" i="15" a="1"/>
  <c r="R33" i="15" s="1"/>
  <c r="S33" i="15" a="1"/>
  <c r="S33" i="15" s="1"/>
  <c r="T33" i="15" a="1"/>
  <c r="T33" i="15" s="1"/>
  <c r="U33" i="15" a="1"/>
  <c r="U33" i="15" s="1"/>
  <c r="V33" i="15" a="1"/>
  <c r="V33" i="15" s="1"/>
  <c r="W33" i="15" a="1"/>
  <c r="W33" i="15" s="1"/>
  <c r="K34" i="15" a="1"/>
  <c r="K34" i="15" s="1"/>
  <c r="L34" i="15" a="1"/>
  <c r="L34" i="15" s="1"/>
  <c r="M34" i="15" a="1"/>
  <c r="M34" i="15" s="1"/>
  <c r="O34" i="15" a="1"/>
  <c r="O34" i="15" s="1"/>
  <c r="P34" i="15" a="1"/>
  <c r="P34" i="15" s="1"/>
  <c r="Q34" i="15" a="1"/>
  <c r="Q34" i="15" s="1"/>
  <c r="R34" i="15" a="1"/>
  <c r="R34" i="15" s="1"/>
  <c r="S34" i="15" a="1"/>
  <c r="S34" i="15" s="1"/>
  <c r="T34" i="15" a="1"/>
  <c r="T34" i="15" s="1"/>
  <c r="U34" i="15" a="1"/>
  <c r="U34" i="15" s="1"/>
  <c r="V34" i="15" a="1"/>
  <c r="V34" i="15" s="1"/>
  <c r="W34" i="15" a="1"/>
  <c r="W34" i="15" s="1"/>
  <c r="K35" i="15" a="1"/>
  <c r="K35" i="15" s="1"/>
  <c r="L35" i="15" a="1"/>
  <c r="L35" i="15" s="1"/>
  <c r="M35" i="15" a="1"/>
  <c r="M35" i="15" s="1"/>
  <c r="O35" i="15" a="1"/>
  <c r="O35" i="15" s="1"/>
  <c r="P35" i="15" a="1"/>
  <c r="P35" i="15" s="1"/>
  <c r="Q35" i="15" a="1"/>
  <c r="Q35" i="15" s="1"/>
  <c r="R35" i="15" a="1"/>
  <c r="R35" i="15" s="1"/>
  <c r="S35" i="15" a="1"/>
  <c r="S35" i="15" s="1"/>
  <c r="T35" i="15" a="1"/>
  <c r="T35" i="15" s="1"/>
  <c r="U35" i="15" a="1"/>
  <c r="U35" i="15" s="1"/>
  <c r="V35" i="15" a="1"/>
  <c r="V35" i="15" s="1"/>
  <c r="W35" i="15" a="1"/>
  <c r="W35" i="15" s="1"/>
  <c r="K36" i="15" a="1"/>
  <c r="K36" i="15" s="1"/>
  <c r="L36" i="15" a="1"/>
  <c r="L36" i="15" s="1"/>
  <c r="M36" i="15" a="1"/>
  <c r="M36" i="15" s="1"/>
  <c r="O36" i="15" a="1"/>
  <c r="O36" i="15" s="1"/>
  <c r="P36" i="15" a="1"/>
  <c r="P36" i="15" s="1"/>
  <c r="Q36" i="15" a="1"/>
  <c r="Q36" i="15" s="1"/>
  <c r="R36" i="15" a="1"/>
  <c r="R36" i="15" s="1"/>
  <c r="S36" i="15" a="1"/>
  <c r="S36" i="15" s="1"/>
  <c r="T36" i="15" a="1"/>
  <c r="T36" i="15" s="1"/>
  <c r="U36" i="15" a="1"/>
  <c r="U36" i="15" s="1"/>
  <c r="V36" i="15" a="1"/>
  <c r="V36" i="15" s="1"/>
  <c r="W36" i="15" a="1"/>
  <c r="W36" i="15" s="1"/>
  <c r="K37" i="15" a="1"/>
  <c r="K37" i="15" s="1"/>
  <c r="L37" i="15" a="1"/>
  <c r="L37" i="15" s="1"/>
  <c r="M37" i="15" a="1"/>
  <c r="M37" i="15" s="1"/>
  <c r="O37" i="15" a="1"/>
  <c r="O37" i="15" s="1"/>
  <c r="P37" i="15" a="1"/>
  <c r="P37" i="15" s="1"/>
  <c r="Q37" i="15" a="1"/>
  <c r="Q37" i="15" s="1"/>
  <c r="R37" i="15" a="1"/>
  <c r="R37" i="15" s="1"/>
  <c r="S37" i="15" a="1"/>
  <c r="S37" i="15" s="1"/>
  <c r="T37" i="15" a="1"/>
  <c r="T37" i="15" s="1"/>
  <c r="U37" i="15" a="1"/>
  <c r="U37" i="15" s="1"/>
  <c r="V37" i="15" a="1"/>
  <c r="V37" i="15" s="1"/>
  <c r="W37" i="15" a="1"/>
  <c r="W37" i="15" s="1"/>
  <c r="K38" i="15" a="1"/>
  <c r="K38" i="15" s="1"/>
  <c r="L38" i="15" a="1"/>
  <c r="L38" i="15" s="1"/>
  <c r="M38" i="15" a="1"/>
  <c r="M38" i="15" s="1"/>
  <c r="O38" i="15" a="1"/>
  <c r="O38" i="15" s="1"/>
  <c r="P38" i="15" a="1"/>
  <c r="P38" i="15" s="1"/>
  <c r="Q38" i="15" a="1"/>
  <c r="Q38" i="15" s="1"/>
  <c r="R38" i="15" a="1"/>
  <c r="R38" i="15" s="1"/>
  <c r="S38" i="15" a="1"/>
  <c r="S38" i="15" s="1"/>
  <c r="T38" i="15" a="1"/>
  <c r="T38" i="15" s="1"/>
  <c r="U38" i="15" a="1"/>
  <c r="U38" i="15" s="1"/>
  <c r="V38" i="15" a="1"/>
  <c r="V38" i="15" s="1"/>
  <c r="W38" i="15" a="1"/>
  <c r="W38" i="15" s="1"/>
  <c r="K7" i="15" a="1"/>
  <c r="K7" i="15" s="1"/>
  <c r="L7" i="15" a="1"/>
  <c r="L7" i="15" s="1"/>
  <c r="M7" i="15" a="1"/>
  <c r="M7" i="15" s="1"/>
  <c r="O7" i="15" a="1"/>
  <c r="O7" i="15" s="1"/>
  <c r="P7" i="15" a="1"/>
  <c r="P7" i="15" s="1"/>
  <c r="Q7" i="15" a="1"/>
  <c r="Q7" i="15" s="1"/>
  <c r="R7" i="15" a="1"/>
  <c r="R7" i="15" s="1"/>
  <c r="S7" i="15" a="1"/>
  <c r="S7" i="15" s="1"/>
  <c r="T7" i="15" a="1"/>
  <c r="T7" i="15" s="1"/>
  <c r="U7" i="15" a="1"/>
  <c r="U7" i="15" s="1"/>
  <c r="V7" i="15" a="1"/>
  <c r="V7" i="15" s="1"/>
  <c r="W7" i="15" a="1"/>
  <c r="W7" i="15" s="1"/>
  <c r="K8" i="15" a="1"/>
  <c r="K8" i="15" s="1"/>
  <c r="L8" i="15" a="1"/>
  <c r="L8" i="15" s="1"/>
  <c r="M8" i="15" a="1"/>
  <c r="M8" i="15" s="1"/>
  <c r="O8" i="15" a="1"/>
  <c r="O8" i="15" s="1"/>
  <c r="P8" i="15" a="1"/>
  <c r="P8" i="15" s="1"/>
  <c r="Q8" i="15" a="1"/>
  <c r="Q8" i="15" s="1"/>
  <c r="R8" i="15" a="1"/>
  <c r="R8" i="15" s="1"/>
  <c r="S8" i="15" a="1"/>
  <c r="S8" i="15" s="1"/>
  <c r="T8" i="15" a="1"/>
  <c r="T8" i="15" s="1"/>
  <c r="U8" i="15" a="1"/>
  <c r="U8" i="15" s="1"/>
  <c r="V8" i="15" a="1"/>
  <c r="V8" i="15" s="1"/>
  <c r="W8" i="15" a="1"/>
  <c r="W8" i="15" s="1"/>
  <c r="K9" i="15" a="1"/>
  <c r="K9" i="15" s="1"/>
  <c r="L9" i="15" a="1"/>
  <c r="L9" i="15" s="1"/>
  <c r="M9" i="15" a="1"/>
  <c r="M9" i="15" s="1"/>
  <c r="O9" i="15" a="1"/>
  <c r="O9" i="15" s="1"/>
  <c r="P9" i="15" a="1"/>
  <c r="P9" i="15" s="1"/>
  <c r="Q9" i="15" a="1"/>
  <c r="Q9" i="15" s="1"/>
  <c r="R9" i="15" a="1"/>
  <c r="R9" i="15" s="1"/>
  <c r="S9" i="15" a="1"/>
  <c r="S9" i="15" s="1"/>
  <c r="T9" i="15" a="1"/>
  <c r="T9" i="15" s="1"/>
  <c r="U9" i="15" a="1"/>
  <c r="U9" i="15" s="1"/>
  <c r="V9" i="15" a="1"/>
  <c r="V9" i="15" s="1"/>
  <c r="W9" i="15" a="1"/>
  <c r="W9" i="15" s="1"/>
  <c r="K10" i="15" a="1"/>
  <c r="K10" i="15" s="1"/>
  <c r="L10" i="15" a="1"/>
  <c r="L10" i="15" s="1"/>
  <c r="M10" i="15" a="1"/>
  <c r="M10" i="15" s="1"/>
  <c r="O10" i="15" a="1"/>
  <c r="O10" i="15" s="1"/>
  <c r="P10" i="15" a="1"/>
  <c r="P10" i="15" s="1"/>
  <c r="Q10" i="15" a="1"/>
  <c r="Q10" i="15" s="1"/>
  <c r="R10" i="15" a="1"/>
  <c r="R10" i="15" s="1"/>
  <c r="S10" i="15" a="1"/>
  <c r="S10" i="15" s="1"/>
  <c r="T10" i="15" a="1"/>
  <c r="T10" i="15" s="1"/>
  <c r="U10" i="15" a="1"/>
  <c r="U10" i="15" s="1"/>
  <c r="V10" i="15" a="1"/>
  <c r="V10" i="15" s="1"/>
  <c r="W10" i="15" a="1"/>
  <c r="W10" i="15" s="1"/>
  <c r="K11" i="15" a="1"/>
  <c r="K11" i="15" s="1"/>
  <c r="L11" i="15" a="1"/>
  <c r="L11" i="15" s="1"/>
  <c r="M11" i="15" a="1"/>
  <c r="M11" i="15" s="1"/>
  <c r="O11" i="15" a="1"/>
  <c r="O11" i="15" s="1"/>
  <c r="P11" i="15" a="1"/>
  <c r="P11" i="15" s="1"/>
  <c r="Q11" i="15" a="1"/>
  <c r="Q11" i="15" s="1"/>
  <c r="R11" i="15" a="1"/>
  <c r="R11" i="15" s="1"/>
  <c r="S11" i="15" a="1"/>
  <c r="S11" i="15" s="1"/>
  <c r="T11" i="15" a="1"/>
  <c r="T11" i="15" s="1"/>
  <c r="U11" i="15" a="1"/>
  <c r="U11" i="15" s="1"/>
  <c r="V11" i="15" a="1"/>
  <c r="V11" i="15" s="1"/>
  <c r="W11" i="15" a="1"/>
  <c r="W11" i="15" s="1"/>
  <c r="K12" i="15" a="1"/>
  <c r="K12" i="15" s="1"/>
  <c r="L12" i="15" a="1"/>
  <c r="L12" i="15" s="1"/>
  <c r="M12" i="15" a="1"/>
  <c r="M12" i="15" s="1"/>
  <c r="O12" i="15" a="1"/>
  <c r="O12" i="15" s="1"/>
  <c r="P12" i="15" a="1"/>
  <c r="P12" i="15" s="1"/>
  <c r="Q12" i="15" a="1"/>
  <c r="Q12" i="15" s="1"/>
  <c r="R12" i="15" a="1"/>
  <c r="R12" i="15" s="1"/>
  <c r="S12" i="15" a="1"/>
  <c r="S12" i="15" s="1"/>
  <c r="T12" i="15" a="1"/>
  <c r="T12" i="15" s="1"/>
  <c r="U12" i="15" a="1"/>
  <c r="U12" i="15" s="1"/>
  <c r="V12" i="15" a="1"/>
  <c r="V12" i="15" s="1"/>
  <c r="W12" i="15" a="1"/>
  <c r="W12" i="15" s="1"/>
  <c r="K13" i="15" a="1"/>
  <c r="K13" i="15" s="1"/>
  <c r="L13" i="15" a="1"/>
  <c r="L13" i="15" s="1"/>
  <c r="M13" i="15" a="1"/>
  <c r="M13" i="15" s="1"/>
  <c r="O13" i="15" a="1"/>
  <c r="O13" i="15" s="1"/>
  <c r="P13" i="15" a="1"/>
  <c r="P13" i="15" s="1"/>
  <c r="Q13" i="15" a="1"/>
  <c r="Q13" i="15" s="1"/>
  <c r="R13" i="15" a="1"/>
  <c r="R13" i="15" s="1"/>
  <c r="S13" i="15" a="1"/>
  <c r="S13" i="15" s="1"/>
  <c r="T13" i="15" a="1"/>
  <c r="T13" i="15" s="1"/>
  <c r="U13" i="15" a="1"/>
  <c r="U13" i="15" s="1"/>
  <c r="V13" i="15" a="1"/>
  <c r="V13" i="15" s="1"/>
  <c r="W13" i="15" a="1"/>
  <c r="W13" i="15" s="1"/>
  <c r="K14" i="15" a="1"/>
  <c r="K14" i="15" s="1"/>
  <c r="L14" i="15" a="1"/>
  <c r="L14" i="15" s="1"/>
  <c r="M14" i="15" a="1"/>
  <c r="M14" i="15" s="1"/>
  <c r="O14" i="15" a="1"/>
  <c r="O14" i="15" s="1"/>
  <c r="P14" i="15" a="1"/>
  <c r="P14" i="15" s="1"/>
  <c r="Q14" i="15" a="1"/>
  <c r="Q14" i="15" s="1"/>
  <c r="R14" i="15" a="1"/>
  <c r="R14" i="15" s="1"/>
  <c r="S14" i="15" a="1"/>
  <c r="S14" i="15" s="1"/>
  <c r="T14" i="15" a="1"/>
  <c r="T14" i="15" s="1"/>
  <c r="U14" i="15" a="1"/>
  <c r="U14" i="15" s="1"/>
  <c r="V14" i="15" a="1"/>
  <c r="V14" i="15" s="1"/>
  <c r="W14" i="15" a="1"/>
  <c r="W14" i="15" s="1"/>
  <c r="K15" i="15" a="1"/>
  <c r="K15" i="15" s="1"/>
  <c r="L15" i="15" a="1"/>
  <c r="L15" i="15" s="1"/>
  <c r="M15" i="15" a="1"/>
  <c r="M15" i="15" s="1"/>
  <c r="O15" i="15" a="1"/>
  <c r="O15" i="15" s="1"/>
  <c r="P15" i="15" a="1"/>
  <c r="P15" i="15" s="1"/>
  <c r="Q15" i="15" a="1"/>
  <c r="Q15" i="15" s="1"/>
  <c r="R15" i="15" a="1"/>
  <c r="R15" i="15" s="1"/>
  <c r="S15" i="15" a="1"/>
  <c r="S15" i="15" s="1"/>
  <c r="T15" i="15" a="1"/>
  <c r="T15" i="15" s="1"/>
  <c r="U15" i="15" a="1"/>
  <c r="U15" i="15" s="1"/>
  <c r="V15" i="15" a="1"/>
  <c r="V15" i="15" s="1"/>
  <c r="W15" i="15" a="1"/>
  <c r="W15" i="15" s="1"/>
  <c r="K16" i="15" a="1"/>
  <c r="K16" i="15" s="1"/>
  <c r="L16" i="15" a="1"/>
  <c r="L16" i="15" s="1"/>
  <c r="M16" i="15" a="1"/>
  <c r="M16" i="15" s="1"/>
  <c r="O16" i="15" a="1"/>
  <c r="O16" i="15" s="1"/>
  <c r="P16" i="15" a="1"/>
  <c r="P16" i="15" s="1"/>
  <c r="Q16" i="15" a="1"/>
  <c r="Q16" i="15" s="1"/>
  <c r="R16" i="15" a="1"/>
  <c r="R16" i="15" s="1"/>
  <c r="S16" i="15" a="1"/>
  <c r="S16" i="15" s="1"/>
  <c r="T16" i="15" a="1"/>
  <c r="T16" i="15" s="1"/>
  <c r="U16" i="15" a="1"/>
  <c r="U16" i="15" s="1"/>
  <c r="V16" i="15" a="1"/>
  <c r="V16" i="15" s="1"/>
  <c r="W16" i="15" a="1"/>
  <c r="W16" i="15" s="1"/>
  <c r="K17" i="15" a="1"/>
  <c r="K17" i="15" s="1"/>
  <c r="L17" i="15" a="1"/>
  <c r="L17" i="15" s="1"/>
  <c r="M17" i="15" a="1"/>
  <c r="M17" i="15" s="1"/>
  <c r="O17" i="15" a="1"/>
  <c r="O17" i="15" s="1"/>
  <c r="P17" i="15" a="1"/>
  <c r="P17" i="15" s="1"/>
  <c r="Q17" i="15" a="1"/>
  <c r="Q17" i="15" s="1"/>
  <c r="R17" i="15" a="1"/>
  <c r="R17" i="15" s="1"/>
  <c r="S17" i="15" a="1"/>
  <c r="S17" i="15" s="1"/>
  <c r="T17" i="15" a="1"/>
  <c r="T17" i="15" s="1"/>
  <c r="U17" i="15" a="1"/>
  <c r="U17" i="15" s="1"/>
  <c r="V17" i="15" a="1"/>
  <c r="V17" i="15" s="1"/>
  <c r="W17" i="15" a="1"/>
  <c r="W17" i="15" s="1"/>
  <c r="K18" i="15" a="1"/>
  <c r="K18" i="15" s="1"/>
  <c r="L18" i="15" a="1"/>
  <c r="L18" i="15" s="1"/>
  <c r="M18" i="15" a="1"/>
  <c r="M18" i="15" s="1"/>
  <c r="O18" i="15" a="1"/>
  <c r="O18" i="15" s="1"/>
  <c r="P18" i="15" a="1"/>
  <c r="P18" i="15" s="1"/>
  <c r="Q18" i="15" a="1"/>
  <c r="Q18" i="15" s="1"/>
  <c r="R18" i="15" a="1"/>
  <c r="R18" i="15" s="1"/>
  <c r="S18" i="15" a="1"/>
  <c r="S18" i="15" s="1"/>
  <c r="T18" i="15" a="1"/>
  <c r="T18" i="15" s="1"/>
  <c r="U18" i="15" a="1"/>
  <c r="U18" i="15" s="1"/>
  <c r="V18" i="15" a="1"/>
  <c r="V18" i="15" s="1"/>
  <c r="W18" i="15" a="1"/>
  <c r="W18" i="15" s="1"/>
  <c r="K19" i="15" a="1"/>
  <c r="K19" i="15" s="1"/>
  <c r="L19" i="15" a="1"/>
  <c r="L19" i="15" s="1"/>
  <c r="M19" i="15" a="1"/>
  <c r="M19" i="15" s="1"/>
  <c r="O19" i="15" a="1"/>
  <c r="O19" i="15" s="1"/>
  <c r="P19" i="15" a="1"/>
  <c r="P19" i="15" s="1"/>
  <c r="Q19" i="15" a="1"/>
  <c r="Q19" i="15" s="1"/>
  <c r="R19" i="15" a="1"/>
  <c r="R19" i="15" s="1"/>
  <c r="S19" i="15" a="1"/>
  <c r="S19" i="15" s="1"/>
  <c r="T19" i="15" a="1"/>
  <c r="T19" i="15" s="1"/>
  <c r="U19" i="15" a="1"/>
  <c r="U19" i="15" s="1"/>
  <c r="V19" i="15" a="1"/>
  <c r="V19" i="15" s="1"/>
  <c r="W19" i="15" a="1"/>
  <c r="W19" i="15" s="1"/>
  <c r="K20" i="15" a="1"/>
  <c r="K20" i="15" s="1"/>
  <c r="L20" i="15" a="1"/>
  <c r="L20" i="15" s="1"/>
  <c r="M20" i="15" a="1"/>
  <c r="M20" i="15" s="1"/>
  <c r="O20" i="15" a="1"/>
  <c r="O20" i="15" s="1"/>
  <c r="P20" i="15" a="1"/>
  <c r="P20" i="15" s="1"/>
  <c r="Q20" i="15" a="1"/>
  <c r="Q20" i="15" s="1"/>
  <c r="R20" i="15" a="1"/>
  <c r="R20" i="15" s="1"/>
  <c r="S20" i="15" a="1"/>
  <c r="S20" i="15" s="1"/>
  <c r="T20" i="15" a="1"/>
  <c r="T20" i="15" s="1"/>
  <c r="U20" i="15" a="1"/>
  <c r="U20" i="15" s="1"/>
  <c r="V20" i="15" a="1"/>
  <c r="V20" i="15" s="1"/>
  <c r="W20" i="15" a="1"/>
  <c r="W20" i="15" s="1"/>
  <c r="K21" i="15" a="1"/>
  <c r="K21" i="15" s="1"/>
  <c r="L21" i="15" a="1"/>
  <c r="L21" i="15" s="1"/>
  <c r="M21" i="15" a="1"/>
  <c r="M21" i="15" s="1"/>
  <c r="O21" i="15" a="1"/>
  <c r="O21" i="15" s="1"/>
  <c r="P21" i="15" a="1"/>
  <c r="P21" i="15" s="1"/>
  <c r="Q21" i="15" a="1"/>
  <c r="Q21" i="15" s="1"/>
  <c r="R21" i="15" a="1"/>
  <c r="R21" i="15" s="1"/>
  <c r="S21" i="15" a="1"/>
  <c r="S21" i="15" s="1"/>
  <c r="T21" i="15" a="1"/>
  <c r="T21" i="15" s="1"/>
  <c r="U21" i="15" a="1"/>
  <c r="U21" i="15" s="1"/>
  <c r="V21" i="15" a="1"/>
  <c r="V21" i="15" s="1"/>
  <c r="W21" i="15" a="1"/>
  <c r="W21" i="15" s="1"/>
  <c r="K22" i="15" a="1"/>
  <c r="K22" i="15" s="1"/>
  <c r="L22" i="15" a="1"/>
  <c r="L22" i="15" s="1"/>
  <c r="M22" i="15" a="1"/>
  <c r="M22" i="15" s="1"/>
  <c r="O22" i="15" a="1"/>
  <c r="O22" i="15" s="1"/>
  <c r="P22" i="15" a="1"/>
  <c r="P22" i="15" s="1"/>
  <c r="Q22" i="15" a="1"/>
  <c r="Q22" i="15" s="1"/>
  <c r="R22" i="15" a="1"/>
  <c r="R22" i="15" s="1"/>
  <c r="S22" i="15" a="1"/>
  <c r="S22" i="15" s="1"/>
  <c r="T22" i="15" a="1"/>
  <c r="T22" i="15" s="1"/>
  <c r="U22" i="15" a="1"/>
  <c r="U22" i="15" s="1"/>
  <c r="V22" i="15" a="1"/>
  <c r="V22" i="15" s="1"/>
  <c r="W22" i="15" a="1"/>
  <c r="W22" i="15" s="1"/>
  <c r="K23" i="15" a="1"/>
  <c r="K23" i="15" s="1"/>
  <c r="L23" i="15" a="1"/>
  <c r="L23" i="15" s="1"/>
  <c r="M23" i="15" a="1"/>
  <c r="M23" i="15" s="1"/>
  <c r="O23" i="15" a="1"/>
  <c r="O23" i="15" s="1"/>
  <c r="P23" i="15" a="1"/>
  <c r="P23" i="15" s="1"/>
  <c r="Q23" i="15" a="1"/>
  <c r="Q23" i="15" s="1"/>
  <c r="R23" i="15" a="1"/>
  <c r="R23" i="15" s="1"/>
  <c r="S23" i="15" a="1"/>
  <c r="S23" i="15" s="1"/>
  <c r="T23" i="15" a="1"/>
  <c r="T23" i="15" s="1"/>
  <c r="U23" i="15" a="1"/>
  <c r="U23" i="15" s="1"/>
  <c r="V23" i="15" a="1"/>
  <c r="V23" i="15" s="1"/>
  <c r="W23" i="15" a="1"/>
  <c r="W23" i="15" s="1"/>
  <c r="K24" i="15" a="1"/>
  <c r="K24" i="15" s="1"/>
  <c r="L24" i="15" a="1"/>
  <c r="L24" i="15" s="1"/>
  <c r="M24" i="15" a="1"/>
  <c r="M24" i="15" s="1"/>
  <c r="O24" i="15" a="1"/>
  <c r="O24" i="15" s="1"/>
  <c r="P24" i="15" a="1"/>
  <c r="P24" i="15" s="1"/>
  <c r="Q24" i="15" a="1"/>
  <c r="Q24" i="15" s="1"/>
  <c r="R24" i="15" a="1"/>
  <c r="R24" i="15" s="1"/>
  <c r="S24" i="15" a="1"/>
  <c r="S24" i="15" s="1"/>
  <c r="T24" i="15" a="1"/>
  <c r="T24" i="15" s="1"/>
  <c r="U24" i="15" a="1"/>
  <c r="U24" i="15" s="1"/>
  <c r="V24" i="15" a="1"/>
  <c r="V24" i="15" s="1"/>
  <c r="W24" i="15" a="1"/>
  <c r="W24" i="15" s="1"/>
  <c r="K25" i="15" a="1"/>
  <c r="K25" i="15" s="1"/>
  <c r="L25" i="15" a="1"/>
  <c r="L25" i="15" s="1"/>
  <c r="M25" i="15" a="1"/>
  <c r="M25" i="15" s="1"/>
  <c r="O25" i="15" a="1"/>
  <c r="O25" i="15" s="1"/>
  <c r="P25" i="15" a="1"/>
  <c r="P25" i="15" s="1"/>
  <c r="Q25" i="15" a="1"/>
  <c r="Q25" i="15" s="1"/>
  <c r="R25" i="15" a="1"/>
  <c r="R25" i="15" s="1"/>
  <c r="S25" i="15" a="1"/>
  <c r="S25" i="15" s="1"/>
  <c r="T25" i="15" a="1"/>
  <c r="T25" i="15" s="1"/>
  <c r="U25" i="15" a="1"/>
  <c r="U25" i="15" s="1"/>
  <c r="V25" i="15" a="1"/>
  <c r="V25" i="15" s="1"/>
  <c r="W25" i="15" a="1"/>
  <c r="W25" i="15" s="1"/>
  <c r="K26" i="15" a="1"/>
  <c r="K26" i="15" s="1"/>
  <c r="L26" i="15" a="1"/>
  <c r="L26" i="15" s="1"/>
  <c r="M26" i="15" a="1"/>
  <c r="M26" i="15" s="1"/>
  <c r="O26" i="15" a="1"/>
  <c r="O26" i="15" s="1"/>
  <c r="P26" i="15" a="1"/>
  <c r="P26" i="15" s="1"/>
  <c r="Q26" i="15" a="1"/>
  <c r="Q26" i="15" s="1"/>
  <c r="R26" i="15" a="1"/>
  <c r="R26" i="15" s="1"/>
  <c r="S26" i="15" a="1"/>
  <c r="S26" i="15" s="1"/>
  <c r="T26" i="15" a="1"/>
  <c r="T26" i="15" s="1"/>
  <c r="U26" i="15" a="1"/>
  <c r="U26" i="15" s="1"/>
  <c r="V26" i="15" a="1"/>
  <c r="V26" i="15" s="1"/>
  <c r="W26" i="15" a="1"/>
  <c r="W26" i="15" s="1"/>
  <c r="K27" i="15" a="1"/>
  <c r="K27" i="15" s="1"/>
  <c r="L27" i="15" a="1"/>
  <c r="L27" i="15" s="1"/>
  <c r="M27" i="15" a="1"/>
  <c r="M27" i="15" s="1"/>
  <c r="O27" i="15" a="1"/>
  <c r="O27" i="15" s="1"/>
  <c r="P27" i="15" a="1"/>
  <c r="P27" i="15" s="1"/>
  <c r="Q27" i="15" a="1"/>
  <c r="Q27" i="15" s="1"/>
  <c r="R27" i="15" a="1"/>
  <c r="R27" i="15" s="1"/>
  <c r="S27" i="15" a="1"/>
  <c r="S27" i="15" s="1"/>
  <c r="T27" i="15" a="1"/>
  <c r="T27" i="15" s="1"/>
  <c r="U27" i="15" a="1"/>
  <c r="U27" i="15" s="1"/>
  <c r="V27" i="15" a="1"/>
  <c r="V27" i="15" s="1"/>
  <c r="W27" i="15" a="1"/>
  <c r="W27" i="15" s="1"/>
  <c r="K28" i="15" a="1"/>
  <c r="K28" i="15" s="1"/>
  <c r="L28" i="15" a="1"/>
  <c r="L28" i="15" s="1"/>
  <c r="M28" i="15" a="1"/>
  <c r="M28" i="15" s="1"/>
  <c r="O28" i="15" a="1"/>
  <c r="O28" i="15" s="1"/>
  <c r="P28" i="15" a="1"/>
  <c r="P28" i="15" s="1"/>
  <c r="Q28" i="15" a="1"/>
  <c r="Q28" i="15" s="1"/>
  <c r="R28" i="15" a="1"/>
  <c r="R28" i="15" s="1"/>
  <c r="S28" i="15" a="1"/>
  <c r="S28" i="15" s="1"/>
  <c r="T28" i="15" a="1"/>
  <c r="T28" i="15" s="1"/>
  <c r="U28" i="15" a="1"/>
  <c r="U28" i="15" s="1"/>
  <c r="V28" i="15" a="1"/>
  <c r="V28" i="15" s="1"/>
  <c r="W28" i="15" a="1"/>
  <c r="W28" i="15" s="1"/>
  <c r="K29" i="15" a="1"/>
  <c r="K29" i="15" s="1"/>
  <c r="L29" i="15" a="1"/>
  <c r="L29" i="15" s="1"/>
  <c r="M29" i="15" a="1"/>
  <c r="M29" i="15" s="1"/>
  <c r="O29" i="15" a="1"/>
  <c r="O29" i="15" s="1"/>
  <c r="P29" i="15" a="1"/>
  <c r="P29" i="15" s="1"/>
  <c r="Q29" i="15" a="1"/>
  <c r="Q29" i="15" s="1"/>
  <c r="R29" i="15" a="1"/>
  <c r="R29" i="15" s="1"/>
  <c r="S29" i="15" a="1"/>
  <c r="S29" i="15" s="1"/>
  <c r="T29" i="15" a="1"/>
  <c r="T29" i="15" s="1"/>
  <c r="U29" i="15" a="1"/>
  <c r="U29" i="15" s="1"/>
  <c r="V29" i="15" a="1"/>
  <c r="V29" i="15" s="1"/>
  <c r="W29" i="15" a="1"/>
  <c r="W29" i="15" s="1"/>
  <c r="K30" i="15" a="1"/>
  <c r="K30" i="15" s="1"/>
  <c r="L30" i="15" a="1"/>
  <c r="L30" i="15" s="1"/>
  <c r="M30" i="15" a="1"/>
  <c r="M30" i="15" s="1"/>
  <c r="O30" i="15" a="1"/>
  <c r="O30" i="15" s="1"/>
  <c r="P30" i="15" a="1"/>
  <c r="P30" i="15" s="1"/>
  <c r="Q30" i="15" a="1"/>
  <c r="Q30" i="15" s="1"/>
  <c r="R30" i="15" a="1"/>
  <c r="R30" i="15" s="1"/>
  <c r="S30" i="15" a="1"/>
  <c r="S30" i="15" s="1"/>
  <c r="T30" i="15" a="1"/>
  <c r="T30" i="15" s="1"/>
  <c r="U30" i="15" a="1"/>
  <c r="U30" i="15" s="1"/>
  <c r="V30" i="15" a="1"/>
  <c r="V30" i="15" s="1"/>
  <c r="W30" i="15" a="1"/>
  <c r="W30" i="15" s="1"/>
  <c r="L6" i="15" a="1"/>
  <c r="L6" i="15" s="1"/>
  <c r="M6" i="15" a="1"/>
  <c r="M6" i="15" s="1"/>
  <c r="P6" i="15" a="1"/>
  <c r="P6" i="15" s="1"/>
  <c r="Q6" i="15" a="1"/>
  <c r="Q6" i="15" s="1"/>
  <c r="R6" i="15" a="1"/>
  <c r="R6" i="15" s="1"/>
  <c r="S6" i="15" a="1"/>
  <c r="S6" i="15" s="1"/>
  <c r="T6" i="15" a="1"/>
  <c r="T6" i="15" s="1"/>
  <c r="U6" i="15" a="1"/>
  <c r="U6" i="15" s="1"/>
  <c r="V6" i="15" a="1"/>
  <c r="V6" i="15" s="1"/>
  <c r="W6" i="15" a="1"/>
  <c r="W6" i="15" s="1"/>
  <c r="K6" i="15" a="1"/>
  <c r="K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A72" i="1"/>
  <c r="AZ72" i="1"/>
  <c r="AY72" i="1"/>
  <c r="AX72" i="1"/>
  <c r="AW72" i="1"/>
  <c r="AV72" i="1"/>
  <c r="AU72" i="1"/>
  <c r="AT72" i="1"/>
  <c r="AS72" i="1"/>
  <c r="AR72" i="1"/>
  <c r="D72" i="1"/>
  <c r="BA76" i="1"/>
  <c r="AZ76" i="1"/>
  <c r="AY76" i="1"/>
  <c r="AX76" i="1"/>
  <c r="AW76" i="1"/>
  <c r="AV76" i="1"/>
  <c r="AU76" i="1"/>
  <c r="AT76" i="1"/>
  <c r="AS76" i="1"/>
  <c r="AR76" i="1"/>
  <c r="D76" i="1"/>
  <c r="BA75" i="1"/>
  <c r="AZ75" i="1"/>
  <c r="AY75" i="1"/>
  <c r="AX75" i="1"/>
  <c r="AW75" i="1"/>
  <c r="AV75" i="1"/>
  <c r="AU75" i="1"/>
  <c r="AT75" i="1"/>
  <c r="AS75" i="1"/>
  <c r="AR75" i="1"/>
  <c r="D75" i="1"/>
  <c r="BA74" i="1"/>
  <c r="AZ74" i="1"/>
  <c r="AY74" i="1"/>
  <c r="AX74" i="1"/>
  <c r="AW74" i="1"/>
  <c r="AV74" i="1"/>
  <c r="AU74" i="1"/>
  <c r="AT74" i="1"/>
  <c r="AS74" i="1"/>
  <c r="AR74" i="1"/>
  <c r="D74" i="1"/>
  <c r="D73" i="1"/>
  <c r="BA71" i="1"/>
  <c r="AZ71" i="1"/>
  <c r="AY71" i="1"/>
  <c r="AX71" i="1"/>
  <c r="AW71" i="1"/>
  <c r="AV71" i="1"/>
  <c r="AU71" i="1"/>
  <c r="AT71" i="1"/>
  <c r="AS71" i="1"/>
  <c r="AR71" i="1"/>
  <c r="D71"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20" i="3"/>
  <c r="J423" i="3"/>
  <c r="J422" i="3"/>
  <c r="J421" i="3"/>
  <c r="J420" i="3"/>
  <c r="J419" i="3"/>
  <c r="J418" i="3"/>
  <c r="J417" i="3"/>
  <c r="H417" i="3"/>
  <c r="J416" i="3"/>
  <c r="J415" i="3"/>
  <c r="J414" i="3"/>
  <c r="J413" i="3"/>
  <c r="J412" i="3"/>
  <c r="J411" i="3"/>
  <c r="D43" i="1"/>
  <c r="BA218" i="1"/>
  <c r="AZ218" i="1"/>
  <c r="AY218" i="1"/>
  <c r="AX218" i="1"/>
  <c r="AW218" i="1"/>
  <c r="AV218" i="1"/>
  <c r="AU218" i="1"/>
  <c r="AT218" i="1"/>
  <c r="AS218" i="1"/>
  <c r="AR218" i="1"/>
  <c r="D218" i="1"/>
  <c r="BA217" i="1"/>
  <c r="AZ217" i="1"/>
  <c r="AY217" i="1"/>
  <c r="AX217" i="1"/>
  <c r="AW217" i="1"/>
  <c r="AV217" i="1"/>
  <c r="AU217" i="1"/>
  <c r="AT217" i="1"/>
  <c r="AS217" i="1"/>
  <c r="AR217" i="1"/>
  <c r="D217" i="1"/>
  <c r="BA216" i="1"/>
  <c r="AZ216" i="1"/>
  <c r="AY216" i="1"/>
  <c r="AX216" i="1"/>
  <c r="AW216" i="1"/>
  <c r="AV216" i="1"/>
  <c r="AU216" i="1"/>
  <c r="AT216" i="1"/>
  <c r="AS216" i="1"/>
  <c r="AR216" i="1"/>
  <c r="D216"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D95"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89" i="1"/>
  <c r="D88" i="1"/>
  <c r="D87" i="1"/>
  <c r="BA86" i="1"/>
  <c r="AZ86" i="1"/>
  <c r="AY86" i="1"/>
  <c r="AX86" i="1"/>
  <c r="AW86" i="1"/>
  <c r="AV86" i="1"/>
  <c r="AU86" i="1"/>
  <c r="AT86" i="1"/>
  <c r="AS86" i="1"/>
  <c r="AR86" i="1"/>
  <c r="D86"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R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R60" i="1"/>
  <c r="AS60" i="1"/>
  <c r="AT60" i="1"/>
  <c r="AU60" i="1"/>
  <c r="AV60" i="1"/>
  <c r="AW60" i="1"/>
  <c r="AX60" i="1"/>
  <c r="AY60" i="1"/>
  <c r="AZ60" i="1"/>
  <c r="BA60" i="1"/>
  <c r="AR61" i="1"/>
  <c r="AS61" i="1"/>
  <c r="AT61" i="1"/>
  <c r="AU61" i="1"/>
  <c r="AV61" i="1"/>
  <c r="AW61" i="1"/>
  <c r="AX61" i="1"/>
  <c r="AY61" i="1"/>
  <c r="AZ61" i="1"/>
  <c r="BA61" i="1"/>
  <c r="AR62" i="1"/>
  <c r="AS62" i="1"/>
  <c r="AT62" i="1"/>
  <c r="AU62" i="1"/>
  <c r="AV62" i="1"/>
  <c r="AW62" i="1"/>
  <c r="AX62" i="1"/>
  <c r="AY62" i="1"/>
  <c r="AZ62" i="1"/>
  <c r="BA62" i="1"/>
  <c r="AU63" i="1"/>
  <c r="BA64" i="1"/>
  <c r="AR66" i="1"/>
  <c r="AS66" i="1"/>
  <c r="AT66" i="1"/>
  <c r="AU66" i="1"/>
  <c r="AV66" i="1"/>
  <c r="AW66" i="1"/>
  <c r="AX66" i="1"/>
  <c r="AY66" i="1"/>
  <c r="AZ66" i="1"/>
  <c r="BA66" i="1"/>
  <c r="AR67" i="1"/>
  <c r="AS67" i="1"/>
  <c r="AT67" i="1"/>
  <c r="AU67" i="1"/>
  <c r="AV67" i="1"/>
  <c r="AW67" i="1"/>
  <c r="AX67" i="1"/>
  <c r="AY67" i="1"/>
  <c r="AZ67" i="1"/>
  <c r="BA67" i="1"/>
  <c r="AR68" i="1"/>
  <c r="AS68" i="1"/>
  <c r="AT68" i="1"/>
  <c r="AU68" i="1"/>
  <c r="AV68" i="1"/>
  <c r="AW68" i="1"/>
  <c r="AX68" i="1"/>
  <c r="AY68" i="1"/>
  <c r="AZ68" i="1"/>
  <c r="BA68" i="1"/>
  <c r="AR69" i="1"/>
  <c r="AS69" i="1"/>
  <c r="AT69" i="1"/>
  <c r="AU69" i="1"/>
  <c r="AV69" i="1"/>
  <c r="AW69" i="1"/>
  <c r="AX69" i="1"/>
  <c r="AY69" i="1"/>
  <c r="AZ69" i="1"/>
  <c r="BA69" i="1"/>
  <c r="AR70" i="1"/>
  <c r="AS70" i="1"/>
  <c r="AT70" i="1"/>
  <c r="AU70" i="1"/>
  <c r="AV70" i="1"/>
  <c r="AW70" i="1"/>
  <c r="AX70" i="1"/>
  <c r="AY70" i="1"/>
  <c r="AZ70" i="1"/>
  <c r="BA70"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7" i="1"/>
  <c r="AS77" i="1"/>
  <c r="AT77" i="1"/>
  <c r="AU77" i="1"/>
  <c r="AV77" i="1"/>
  <c r="AW77" i="1"/>
  <c r="AX77" i="1"/>
  <c r="AY77" i="1"/>
  <c r="AZ77" i="1"/>
  <c r="BA77" i="1"/>
  <c r="AR78" i="1"/>
  <c r="AS78" i="1"/>
  <c r="AT78" i="1"/>
  <c r="AU78" i="1"/>
  <c r="AV78" i="1"/>
  <c r="AW78" i="1"/>
  <c r="AX78" i="1"/>
  <c r="AY78" i="1"/>
  <c r="AZ78" i="1"/>
  <c r="BA78" i="1"/>
  <c r="AR85" i="1"/>
  <c r="AS85" i="1"/>
  <c r="AT85" i="1"/>
  <c r="AU85" i="1"/>
  <c r="AV85" i="1"/>
  <c r="AW85" i="1"/>
  <c r="AX85" i="1"/>
  <c r="AY85" i="1"/>
  <c r="AZ85" i="1"/>
  <c r="BA85" i="1"/>
  <c r="AR93" i="1"/>
  <c r="AS93" i="1"/>
  <c r="AT93" i="1"/>
  <c r="AU93" i="1"/>
  <c r="AV93" i="1"/>
  <c r="AW93" i="1"/>
  <c r="AX93" i="1"/>
  <c r="AY93" i="1"/>
  <c r="AZ93" i="1"/>
  <c r="BA93" i="1"/>
  <c r="AR94" i="1"/>
  <c r="AS94" i="1"/>
  <c r="AT94" i="1"/>
  <c r="AU94" i="1"/>
  <c r="AV94" i="1"/>
  <c r="AW94" i="1"/>
  <c r="AX94" i="1"/>
  <c r="AY94" i="1"/>
  <c r="AZ94" i="1"/>
  <c r="BA94" i="1"/>
  <c r="AS55" i="1"/>
  <c r="AT55" i="1"/>
  <c r="AU55" i="1"/>
  <c r="AV55" i="1"/>
  <c r="AW55" i="1"/>
  <c r="AX55" i="1"/>
  <c r="AY55" i="1"/>
  <c r="AZ55" i="1"/>
  <c r="BA55"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5" i="1"/>
  <c r="D64" i="1"/>
  <c r="D63" i="1"/>
  <c r="D62" i="1"/>
  <c r="D66" i="1"/>
  <c r="D67" i="1"/>
  <c r="D68" i="1"/>
  <c r="D69" i="1"/>
  <c r="D60" i="1"/>
  <c r="D55" i="1"/>
  <c r="D56" i="1"/>
  <c r="D57" i="1"/>
  <c r="D58" i="1"/>
  <c r="D59" i="1"/>
  <c r="D61" i="1"/>
  <c r="D70"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7" i="1"/>
  <c r="D78" i="1"/>
  <c r="D79" i="1"/>
  <c r="D80" i="1"/>
  <c r="D81" i="1"/>
  <c r="D82" i="1"/>
  <c r="D83" i="1"/>
  <c r="D84" i="1"/>
  <c r="D85" i="1"/>
  <c r="D90" i="1"/>
  <c r="D91" i="1"/>
  <c r="D92" i="1"/>
  <c r="D93" i="1"/>
  <c r="D94" i="1"/>
  <c r="M532" i="3" l="1"/>
  <c r="M443" i="3"/>
  <c r="M551" i="3"/>
  <c r="M34" i="3"/>
  <c r="M23" i="3"/>
  <c r="M702" i="3"/>
  <c r="M691" i="3"/>
  <c r="M657" i="3"/>
  <c r="M587" i="3"/>
  <c r="M576" i="3"/>
  <c r="L552" i="3"/>
  <c r="AZ41"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AW63"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AX73" i="1"/>
  <c r="AY73" i="1"/>
  <c r="AZ73" i="1"/>
  <c r="BA73" i="1"/>
  <c r="AR73" i="1"/>
  <c r="AS73" i="1"/>
  <c r="AT73" i="1"/>
  <c r="AU73" i="1"/>
  <c r="AV73" i="1"/>
  <c r="AW73" i="1"/>
  <c r="AZ43" i="1"/>
  <c r="BA43" i="1"/>
  <c r="AR95" i="1"/>
  <c r="AS95" i="1"/>
  <c r="AT95" i="1"/>
  <c r="AU95" i="1"/>
  <c r="AV95" i="1"/>
  <c r="AR43" i="1"/>
  <c r="AW95" i="1"/>
  <c r="AS43" i="1"/>
  <c r="AX95" i="1"/>
  <c r="AT43" i="1"/>
  <c r="AY95" i="1"/>
  <c r="AU43" i="1"/>
  <c r="AZ95" i="1"/>
  <c r="AV43" i="1"/>
  <c r="BA95" i="1"/>
  <c r="AW43" i="1"/>
  <c r="AX43" i="1"/>
  <c r="AY43" i="1"/>
  <c r="BA91" i="1"/>
  <c r="AU90" i="1"/>
  <c r="AR92" i="1"/>
  <c r="AV90" i="1"/>
  <c r="AT88" i="1"/>
  <c r="AY89" i="1"/>
  <c r="AU88" i="1"/>
  <c r="AZ89" i="1"/>
  <c r="AZ91" i="1"/>
  <c r="AT90" i="1"/>
  <c r="AV88" i="1"/>
  <c r="BA89" i="1"/>
  <c r="AY91" i="1"/>
  <c r="AS90" i="1"/>
  <c r="AR87" i="1"/>
  <c r="AW88" i="1"/>
  <c r="AX91" i="1"/>
  <c r="AR90" i="1"/>
  <c r="AS87" i="1"/>
  <c r="AX88" i="1"/>
  <c r="AW91" i="1"/>
  <c r="AT87" i="1"/>
  <c r="AY88" i="1"/>
  <c r="AV91" i="1"/>
  <c r="AU87" i="1"/>
  <c r="AZ88" i="1"/>
  <c r="BA92" i="1"/>
  <c r="AU91" i="1"/>
  <c r="AV87" i="1"/>
  <c r="BA88" i="1"/>
  <c r="AZ92" i="1"/>
  <c r="AT91" i="1"/>
  <c r="AW87" i="1"/>
  <c r="AY92" i="1"/>
  <c r="AS91" i="1"/>
  <c r="AX87" i="1"/>
  <c r="AR89" i="1"/>
  <c r="AX92" i="1"/>
  <c r="AR91" i="1"/>
  <c r="AY87" i="1"/>
  <c r="AS89" i="1"/>
  <c r="AW92" i="1"/>
  <c r="BA90" i="1"/>
  <c r="AZ87" i="1"/>
  <c r="AT89" i="1"/>
  <c r="AV92" i="1"/>
  <c r="AZ90" i="1"/>
  <c r="BA87" i="1"/>
  <c r="AU89" i="1"/>
  <c r="AU92" i="1"/>
  <c r="AY90" i="1"/>
  <c r="AV89" i="1"/>
  <c r="AT92" i="1"/>
  <c r="AX90" i="1"/>
  <c r="AR88" i="1"/>
  <c r="AW89" i="1"/>
  <c r="AS92" i="1"/>
  <c r="AW90" i="1"/>
  <c r="AS88" i="1"/>
  <c r="AX89"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U42" i="1"/>
  <c r="AR41" i="1"/>
  <c r="AU81" i="1"/>
  <c r="AU84" i="1"/>
  <c r="AY82" i="1"/>
  <c r="AS81" i="1"/>
  <c r="AW79" i="1"/>
  <c r="BA44" i="1"/>
  <c r="AV84" i="1"/>
  <c r="AZ82" i="1"/>
  <c r="AT81" i="1"/>
  <c r="AX79" i="1"/>
  <c r="AR45" i="1"/>
  <c r="AV42" i="1"/>
  <c r="AR65" i="1"/>
  <c r="AV63" i="1"/>
  <c r="AT84" i="1"/>
  <c r="AX82" i="1"/>
  <c r="AR81" i="1"/>
  <c r="AV79" i="1"/>
  <c r="AZ44" i="1"/>
  <c r="AT42" i="1"/>
  <c r="AZ64" i="1"/>
  <c r="AT63" i="1"/>
  <c r="AS84" i="1"/>
  <c r="AW82" i="1"/>
  <c r="BA80" i="1"/>
  <c r="AU79" i="1"/>
  <c r="AY44" i="1"/>
  <c r="AS42" i="1"/>
  <c r="AY64" i="1"/>
  <c r="AS63" i="1"/>
  <c r="AR84" i="1"/>
  <c r="AV82" i="1"/>
  <c r="AZ80" i="1"/>
  <c r="AT79" i="1"/>
  <c r="AX44" i="1"/>
  <c r="AR42" i="1"/>
  <c r="AX64" i="1"/>
  <c r="AR63" i="1"/>
  <c r="BA83" i="1"/>
  <c r="AU82" i="1"/>
  <c r="AY80" i="1"/>
  <c r="AS79" i="1"/>
  <c r="AW44" i="1"/>
  <c r="BA41" i="1"/>
  <c r="AW64" i="1"/>
  <c r="AZ83" i="1"/>
  <c r="AT82" i="1"/>
  <c r="AX80" i="1"/>
  <c r="AR79" i="1"/>
  <c r="AV44" i="1"/>
  <c r="AV64" i="1"/>
  <c r="AY83" i="1"/>
  <c r="AS82" i="1"/>
  <c r="AW80" i="1"/>
  <c r="BA45" i="1"/>
  <c r="AU44" i="1"/>
  <c r="BA65" i="1"/>
  <c r="AU64" i="1"/>
  <c r="AX83" i="1"/>
  <c r="AR82" i="1"/>
  <c r="AV80" i="1"/>
  <c r="AZ45" i="1"/>
  <c r="AT44" i="1"/>
  <c r="AZ65" i="1"/>
  <c r="AT64" i="1"/>
  <c r="AW83" i="1"/>
  <c r="BA81" i="1"/>
  <c r="AU80" i="1"/>
  <c r="AY45" i="1"/>
  <c r="AS44" i="1"/>
  <c r="AW41" i="1"/>
  <c r="AY65" i="1"/>
  <c r="AS64" i="1"/>
  <c r="AV83" i="1"/>
  <c r="AZ81" i="1"/>
  <c r="AT80" i="1"/>
  <c r="AX45" i="1"/>
  <c r="AR44" i="1"/>
  <c r="AX65" i="1"/>
  <c r="AR64" i="1"/>
  <c r="BA84" i="1"/>
  <c r="AU83" i="1"/>
  <c r="AY81" i="1"/>
  <c r="AS80" i="1"/>
  <c r="AW45" i="1"/>
  <c r="BA42" i="1"/>
  <c r="AW65" i="1"/>
  <c r="BA63" i="1"/>
  <c r="AZ84" i="1"/>
  <c r="AT83" i="1"/>
  <c r="AX81" i="1"/>
  <c r="AR80" i="1"/>
  <c r="AV45" i="1"/>
  <c r="AZ42" i="1"/>
  <c r="AV65" i="1"/>
  <c r="AZ63" i="1"/>
  <c r="AY84" i="1"/>
  <c r="AS83" i="1"/>
  <c r="AW81" i="1"/>
  <c r="BA79" i="1"/>
  <c r="AU45" i="1"/>
  <c r="AY42" i="1"/>
  <c r="AU65" i="1"/>
  <c r="AY63" i="1"/>
  <c r="AX84" i="1"/>
  <c r="AR83" i="1"/>
  <c r="AV81" i="1"/>
  <c r="AZ79" i="1"/>
  <c r="AT45" i="1"/>
  <c r="AX42" i="1"/>
  <c r="AT65" i="1"/>
  <c r="AX63" i="1"/>
  <c r="AW84" i="1"/>
  <c r="BA82" i="1"/>
  <c r="AY79" i="1"/>
  <c r="AS45" i="1"/>
  <c r="AW42" i="1"/>
  <c r="AS6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<sst xmlns="http://schemas.openxmlformats.org/spreadsheetml/2006/main" count="3507" uniqueCount="1260">
  <si>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</si>
  <si>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</si>
  <si>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</si>
  <si>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</si>
  <si>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</si>
  <si>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</si>
  <si>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</si>
  <si>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</si>
  <si>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</si>
  <si>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</si>
  <si>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</si>
  <si>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</si>
  <si>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</si>
  <si>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</si>
  <si>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</si>
  <si>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</si>
  <si>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</si>
  <si>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</si>
  <si>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</si>
  <si>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</si>
  <si>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</si>
  <si>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</si>
  <si>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</si>
  <si>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</si>
  <si>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</si>
  <si>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</si>
  <si>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</si>
  <si>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</si>
  <si>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</si>
  <si>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</si>
  <si>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</si>
  <si>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</si>
  <si>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</si>
  <si>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</si>
  <si>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</si>
  <si>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</si>
  <si>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</si>
  <si>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</si>
  <si>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</si>
  <si>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</si>
  <si>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</si>
  <si>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</si>
  <si>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</si>
  <si>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</si>
  <si>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</si>
  <si>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</si>
  <si>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</si>
  <si>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</si>
  <si>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</si>
  <si>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</si>
  <si>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</si>
  <si>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</si>
  <si>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</si>
  <si>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</si>
  <si>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</si>
  <si>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</si>
  <si>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</si>
  <si>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</si>
  <si>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</si>
  <si>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</si>
  <si>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</si>
  <si>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</si>
  <si>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</si>
  <si>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</si>
  <si>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</si>
  <si>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</si>
  <si>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</si>
  <si>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</si>
  <si>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</si>
  <si>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</si>
  <si>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</si>
  <si>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</si>
  <si>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</si>
  <si>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</si>
  <si>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</si>
  <si>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</si>
  <si>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</si>
  <si>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</si>
  <si>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</si>
  <si>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</si>
  <si>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</si>
  <si>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</si>
  <si>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</si>
  <si>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</si>
  <si>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</si>
  <si>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</si>
  <si>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</si>
  <si>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</si>
  <si>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</si>
  <si>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</si>
  <si>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</si>
  <si>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</si>
  <si>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</si>
  <si>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</si>
  <si>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</si>
  <si>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</si>
  <si>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</si>
  <si>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</si>
  <si>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</si>
  <si>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</si>
  <si>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</si>
  <si>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</si>
  <si>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</si>
  <si>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</si>
  <si>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</si>
  <si>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</si>
  <si>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</si>
  <si>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</si>
  <si>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</si>
  <si>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</si>
  <si>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</si>
  <si>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</si>
  <si>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</si>
  <si>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</si>
  <si>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</si>
  <si>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</si>
  <si>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</si>
  <si>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</si>
  <si>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</si>
  <si>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</si>
  <si>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</si>
  <si>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</si>
  <si>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</si>
  <si>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</si>
  <si>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</si>
  <si>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</si>
  <si>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</si>
  <si>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</si>
  <si>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</si>
  <si>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</si>
  <si>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</si>
  <si>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</si>
  <si>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</si>
  <si>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</si>
  <si>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</si>
  <si>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</si>
  <si>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</si>
  <si>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</si>
  <si>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</si>
  <si>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</si>
  <si>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</si>
  <si>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</si>
  <si>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</si>
  <si>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</si>
  <si>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</si>
  <si>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</si>
  <si>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</si>
  <si>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</si>
  <si>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</si>
  <si>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</si>
  <si>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</si>
  <si>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</si>
  <si>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</si>
  <si>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</si>
  <si>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</si>
  <si>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</si>
  <si>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</si>
  <si>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</si>
  <si>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</si>
  <si>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</si>
  <si>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</si>
  <si>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</si>
  <si>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</si>
  <si>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</si>
  <si>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</si>
  <si>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</si>
  <si>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</si>
  <si>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</si>
  <si>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</si>
  <si>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</si>
  <si>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</si>
  <si>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</si>
  <si>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</si>
  <si>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</si>
  <si>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</si>
  <si>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</si>
  <si>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</si>
  <si>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</si>
  <si>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</si>
  <si>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</si>
  <si>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</si>
  <si>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</si>
  <si>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</si>
  <si>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</si>
  <si>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</si>
  <si>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</si>
  <si>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</si>
  <si>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</si>
  <si>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</si>
  <si>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</si>
  <si>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</si>
  <si>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</si>
  <si>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</si>
  <si>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</si>
  <si>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</si>
  <si>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</si>
  <si>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</si>
  <si>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</si>
  <si>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</si>
  <si>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</si>
  <si>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</si>
  <si>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</si>
  <si>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</si>
  <si>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</si>
  <si>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</si>
  <si>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</si>
  <si>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</si>
  <si>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</si>
  <si>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</si>
  <si>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</si>
  <si>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</si>
  <si>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</si>
  <si>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</si>
  <si>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</si>
  <si>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</si>
  <si>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</si>
  <si>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</si>
  <si>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</si>
  <si>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</si>
  <si>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</si>
  <si>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</si>
  <si>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</si>
  <si>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</si>
  <si>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</si>
  <si>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</si>
  <si>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</si>
  <si>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</si>
  <si>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</si>
  <si>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</si>
  <si>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</si>
  <si>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</si>
  <si>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</si>
  <si>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</si>
  <si>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</si>
  <si>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</si>
  <si>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</si>
  <si>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</si>
  <si>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</si>
  <si>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</si>
  <si>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</si>
  <si>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</si>
  <si>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</si>
  <si>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</si>
  <si>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</si>
  <si>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</si>
  <si>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</si>
  <si>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</si>
  <si>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</si>
  <si>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</si>
  <si>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</si>
  <si>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</si>
  <si>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</si>
  <si>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</si>
  <si>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</si>
  <si>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</si>
  <si>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</si>
  <si>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</si>
  <si>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</si>
  <si>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</si>
  <si>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</si>
  <si>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</si>
  <si>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</si>
  <si>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</si>
  <si>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</si>
  <si>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</si>
  <si>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</si>
  <si>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</si>
  <si>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</si>
  <si>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</si>
  <si>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</si>
  <si>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</si>
  <si>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</si>
  <si>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</si>
  <si>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</si>
  <si>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</si>
  <si>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</si>
  <si>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</si>
  <si>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</si>
  <si>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</si>
  <si>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</si>
  <si>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</si>
  <si>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</si>
  <si>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</si>
  <si>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</si>
  <si>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</si>
  <si>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</si>
  <si>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</si>
  <si>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</si>
  <si>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</si>
  <si>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</si>
  <si>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</si>
  <si>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</si>
  <si>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</si>
  <si>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</si>
  <si>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</si>
  <si>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</si>
  <si>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</si>
  <si>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</si>
  <si>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</si>
  <si>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</si>
  <si>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</si>
  <si>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</si>
  <si>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</si>
  <si>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</si>
  <si>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</si>
  <si>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</si>
  <si>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</si>
  <si>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</si>
  <si>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</si>
  <si>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</si>
  <si>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</si>
  <si>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</si>
  <si>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</si>
  <si>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</si>
  <si>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</si>
  <si>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</si>
  <si>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</si>
  <si>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</si>
  <si>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</si>
  <si>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</si>
  <si>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</si>
  <si>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</si>
  <si>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</si>
  <si>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</si>
  <si>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</si>
  <si>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</si>
  <si>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</si>
  <si>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</si>
  <si>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</si>
  <si>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</si>
  <si>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</si>
  <si>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</si>
  <si>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</si>
  <si>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</si>
  <si>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</si>
  <si>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</si>
  <si>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</si>
  <si>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</si>
  <si>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</si>
  <si>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</si>
  <si>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</si>
  <si>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</si>
  <si>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</si>
  <si>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</si>
  <si>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</si>
  <si>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</si>
  <si>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</si>
  <si>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</si>
  <si>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</si>
  <si>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</si>
  <si>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</si>
  <si>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</si>
  <si>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</si>
  <si>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</si>
  <si>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</si>
  <si>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</si>
  <si>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</si>
  <si>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</si>
  <si>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</si>
  <si>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</si>
  <si>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</si>
  <si>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</si>
  <si>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</si>
  <si>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</si>
  <si>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</si>
  <si>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</si>
  <si>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</si>
  <si>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</si>
  <si>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</si>
  <si>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</si>
  <si>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</si>
  <si>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</si>
  <si>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</si>
  <si>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</si>
  <si>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</si>
  <si>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</si>
  <si>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</si>
  <si>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</si>
  <si>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</si>
  <si>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</si>
  <si>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</si>
  <si>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</si>
  <si>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</si>
  <si>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</si>
  <si>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</si>
  <si>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</si>
  <si>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</si>
  <si>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</si>
  <si>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</si>
  <si>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</si>
  <si>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</si>
  <si>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</si>
  <si>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</si>
  <si>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</si>
  <si>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</si>
  <si>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</si>
  <si>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</si>
  <si>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</si>
  <si>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</si>
  <si>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</si>
  <si>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</si>
  <si>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</si>
  <si>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</si>
  <si>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</si>
  <si>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</si>
  <si>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</si>
  <si>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</si>
  <si>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</si>
  <si>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</si>
  <si>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</si>
  <si>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</si>
  <si>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</si>
  <si>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</si>
  <si>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</si>
  <si>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</si>
  <si>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</si>
  <si>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</si>
  <si>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</si>
  <si>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</si>
  <si>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</si>
  <si>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</si>
  <si>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</si>
  <si>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</si>
  <si>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</si>
  <si>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</si>
  <si>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</si>
  <si>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</si>
  <si>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</si>
  <si>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</si>
  <si>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</si>
  <si>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</si>
  <si>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</si>
  <si>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</si>
  <si>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</si>
  <si>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</si>
  <si>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</si>
  <si>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</si>
  <si>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</si>
  <si>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</si>
  <si>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</si>
  <si>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</si>
  <si>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</si>
  <si>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</si>
  <si>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</si>
  <si>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</si>
  <si>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</si>
  <si>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</si>
  <si>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</si>
  <si>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</si>
  <si>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</si>
  <si>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</si>
  <si>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</si>
  <si>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</si>
  <si>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</si>
  <si>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</si>
  <si>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</si>
  <si>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</si>
  <si>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</si>
  <si>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</si>
  <si>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</si>
  <si>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</si>
  <si>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</si>
  <si>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</si>
  <si>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</si>
  <si>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</si>
  <si>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</si>
  <si>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</si>
  <si>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</si>
  <si>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</si>
  <si>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</si>
  <si>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</si>
  <si>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</si>
  <si>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</si>
  <si>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</si>
  <si>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</si>
  <si>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</si>
  <si>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</si>
  <si>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</si>
  <si>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</si>
  <si>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</si>
  <si>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</si>
  <si>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</si>
  <si>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</si>
  <si>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</si>
  <si>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</si>
  <si>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</si>
  <si>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</si>
  <si>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</si>
  <si>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</si>
  <si>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</si>
  <si>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</si>
  <si>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</si>
  <si>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</si>
  <si>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</si>
  <si>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</si>
  <si>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</si>
  <si>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</si>
  <si>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</si>
  <si>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</si>
  <si>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</si>
  <si>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</si>
  <si>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</si>
  <si>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</si>
  <si>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</si>
  <si>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</si>
  <si>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</si>
  <si>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</si>
  <si>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</si>
  <si>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</si>
  <si>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</si>
  <si>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</si>
  <si>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</si>
  <si>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</si>
  <si>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</si>
  <si>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</si>
  <si>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</si>
  <si>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</si>
  <si>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</si>
  <si>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</si>
  <si>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</si>
  <si>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</si>
  <si>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</si>
  <si>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</si>
  <si>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</si>
  <si>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</si>
  <si>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</si>
  <si>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</si>
  <si>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</si>
  <si>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</si>
  <si>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</si>
  <si>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</si>
  <si>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</si>
  <si>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</si>
  <si>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</si>
  <si>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</si>
  <si>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</si>
  <si>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</si>
  <si>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</si>
  <si>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</si>
  <si>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</si>
  <si>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</si>
  <si>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</si>
  <si>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</si>
  <si>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</si>
  <si>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</si>
  <si>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</si>
  <si>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</si>
  <si>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</si>
  <si>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</si>
  <si>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</si>
  <si>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</si>
  <si>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</si>
  <si>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</si>
  <si>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</si>
  <si>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</si>
  <si>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</si>
  <si>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</si>
  <si>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</si>
  <si>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</si>
  <si>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</si>
  <si>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</si>
  <si>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</si>
  <si>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</si>
  <si>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</si>
  <si>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</si>
  <si>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</si>
  <si>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</si>
  <si>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</si>
  <si>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</si>
  <si>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</si>
  <si>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</si>
  <si>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</si>
  <si>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</si>
  <si>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</si>
  <si>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</si>
  <si>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</si>
  <si>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</si>
  <si>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</si>
  <si>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</si>
  <si>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</si>
  <si>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</si>
  <si>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</si>
  <si>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</si>
  <si>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</si>
  <si>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</si>
  <si>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</si>
  <si>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</si>
  <si>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</si>
  <si>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</si>
  <si>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</si>
  <si>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</si>
  <si>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</si>
  <si>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</si>
  <si>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</si>
  <si>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</si>
  <si>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</si>
  <si>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</si>
  <si>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</si>
  <si>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</si>
  <si>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</si>
  <si>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</si>
  <si>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</si>
  <si>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</si>
  <si>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</si>
  <si>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</si>
  <si>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</si>
  <si>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</si>
  <si>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</si>
  <si>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</si>
  <si>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</si>
  <si>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</si>
  <si>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</si>
  <si>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</si>
  <si>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</si>
  <si>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</si>
  <si>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</si>
  <si>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</si>
  <si>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</si>
  <si>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</si>
  <si>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</si>
  <si>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</si>
  <si>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</si>
  <si>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</si>
  <si>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</si>
  <si>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</si>
  <si>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</si>
  <si>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</si>
  <si>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</si>
  <si>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</si>
  <si>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</si>
  <si>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</si>
  <si>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</si>
  <si>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</si>
  <si>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</si>
  <si>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</si>
  <si>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</si>
  <si>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</si>
  <si>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</si>
  <si>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</si>
  <si>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</si>
  <si>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</si>
  <si>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</si>
  <si>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</si>
  <si>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</si>
  <si>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</si>
  <si>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</si>
  <si>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</si>
  <si>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</si>
  <si>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</si>
  <si>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</si>
  <si>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</si>
  <si>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</si>
  <si>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</si>
  <si>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</si>
  <si>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</si>
  <si>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</si>
  <si>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</si>
  <si>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</si>
  <si>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</si>
  <si>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</si>
  <si>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</si>
  <si>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</si>
  <si>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</si>
  <si>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</si>
  <si>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</si>
  <si>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</si>
  <si>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</si>
  <si>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</si>
  <si>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</si>
  <si>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</si>
  <si>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</si>
  <si>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</si>
  <si>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</si>
  <si>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</si>
  <si>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</si>
  <si>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</si>
  <si>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</si>
  <si>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</si>
  <si>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</si>
  <si>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</si>
  <si>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</si>
  <si>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</si>
  <si>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</si>
  <si>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</si>
  <si>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</si>
  <si>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</si>
  <si>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</si>
  <si>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</si>
  <si>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</si>
  <si>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</si>
  <si>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</si>
  <si>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</si>
  <si>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</si>
  <si>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</si>
  <si>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</si>
  <si>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</si>
  <si>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</si>
  <si>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</si>
  <si>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</si>
  <si>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</si>
  <si>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</si>
  <si>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</si>
  <si>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</si>
  <si>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</si>
  <si>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</si>
  <si>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</si>
  <si>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</si>
  <si>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</si>
  <si>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</si>
  <si>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</si>
  <si>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</si>
  <si>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</si>
  <si>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</si>
  <si>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</si>
  <si>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</si>
  <si>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</si>
  <si>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</si>
  <si>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</si>
  <si>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</si>
  <si>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</si>
  <si>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</si>
  <si>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</si>
  <si>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</si>
  <si>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</si>
  <si>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</si>
  <si>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</si>
  <si>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</si>
  <si>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</si>
  <si>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</si>
  <si>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</si>
  <si>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</si>
  <si>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</si>
  <si>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</si>
  <si>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</si>
  <si>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</si>
  <si>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</si>
  <si>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</si>
  <si>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</si>
  <si>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</si>
  <si>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</si>
  <si>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</si>
  <si>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</si>
  <si>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</si>
  <si>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</si>
  <si>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</si>
  <si>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</si>
  <si>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</si>
  <si>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</si>
  <si>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</si>
  <si>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</si>
  <si>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</si>
  <si>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</si>
  <si>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</si>
  <si>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</si>
  <si>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</si>
  <si>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</si>
  <si>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</si>
  <si>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</si>
  <si>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</si>
  <si>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</si>
  <si>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</si>
  <si>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</si>
  <si>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</si>
  <si>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</si>
  <si>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</si>
  <si>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</si>
  <si>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</si>
  <si>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</si>
  <si>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</si>
  <si>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</si>
  <si>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</si>
  <si>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</si>
  <si>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</si>
  <si>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</si>
  <si>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</si>
  <si>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</si>
  <si>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</si>
  <si>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</si>
  <si>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</si>
  <si>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</si>
  <si>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</si>
  <si>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</si>
  <si>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</si>
  <si>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</si>
  <si>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</si>
  <si>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</si>
  <si>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</si>
  <si>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</si>
  <si>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</si>
  <si>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</si>
  <si>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</si>
  <si>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</si>
  <si>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</si>
  <si>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</si>
  <si>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</si>
  <si>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</si>
  <si>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</si>
  <si>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</si>
  <si>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</si>
  <si>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</si>
  <si>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</si>
  <si>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</si>
  <si>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</si>
  <si>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</si>
  <si>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</si>
  <si>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</si>
  <si>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</si>
  <si>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</si>
  <si>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</si>
  <si>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</si>
  <si>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</si>
  <si>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</si>
  <si>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</si>
  <si>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</si>
  <si>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</si>
  <si>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</si>
  <si>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</si>
  <si>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</si>
  <si>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</si>
  <si>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</si>
  <si>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</si>
  <si>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</si>
  <si>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</si>
  <si>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</si>
  <si>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</si>
  <si>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</si>
  <si>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</si>
  <si>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</si>
  <si>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</si>
  <si>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</si>
  <si>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</si>
  <si>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</si>
  <si>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</si>
  <si>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</si>
  <si>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</si>
  <si>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</si>
  <si>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</si>
  <si>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</si>
  <si>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</si>
  <si>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</si>
  <si>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</si>
  <si>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</si>
  <si>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</si>
  <si>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</si>
  <si>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</si>
  <si>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</si>
  <si>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</si>
  <si>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</si>
  <si>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</si>
  <si>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</si>
  <si>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</si>
  <si>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</si>
  <si>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</si>
  <si>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</si>
  <si>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</si>
  <si>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</si>
  <si>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</si>
  <si>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</si>
  <si>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</si>
  <si>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</si>
  <si>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</si>
  <si>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</si>
  <si>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</si>
  <si>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</si>
  <si>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</si>
  <si>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</si>
  <si>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</si>
  <si>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</si>
  <si>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</si>
  <si>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</si>
  <si>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</si>
  <si>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</si>
  <si>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</si>
  <si>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</si>
  <si>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</si>
  <si>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</si>
  <si>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</si>
  <si>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</si>
  <si>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</si>
  <si>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</si>
  <si>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</si>
  <si>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</si>
  <si>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</si>
  <si>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</si>
  <si>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</si>
  <si>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</si>
  <si>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</si>
  <si>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</si>
  <si>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</si>
  <si>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</si>
  <si>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</si>
  <si>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</si>
  <si>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</si>
  <si>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</si>
  <si>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</si>
  <si>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</si>
  <si>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</si>
  <si>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</si>
  <si>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</si>
  <si>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</si>
  <si>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</si>
  <si>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</si>
  <si>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</si>
  <si>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</si>
  <si>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</si>
  <si>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</si>
  <si>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</si>
  <si>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</si>
  <si>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</si>
  <si>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</si>
  <si>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</si>
  <si>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</si>
  <si>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</si>
  <si>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</si>
  <si>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</si>
  <si>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</si>
  <si>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</si>
  <si>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</si>
  <si>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</si>
  <si>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</si>
  <si>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</si>
  <si>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</si>
  <si>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</si>
  <si>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</si>
  <si>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</si>
  <si>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</si>
  <si>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</si>
  <si>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</si>
  <si>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</si>
  <si>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</si>
  <si>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</si>
  <si>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</si>
  <si>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</si>
  <si>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</si>
  <si>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</si>
  <si>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</si>
  <si>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</si>
  <si>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</si>
  <si>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</si>
  <si>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</si>
  <si>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</si>
  <si>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</si>
  <si>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</si>
  <si>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</si>
  <si>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</si>
  <si>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</si>
  <si>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</si>
  <si>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</si>
  <si>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</si>
  <si>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</si>
  <si>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</si>
  <si>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</si>
  <si>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</si>
  <si>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</si>
  <si>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</si>
  <si>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</si>
  <si>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</si>
  <si>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</si>
  <si>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</si>
  <si>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</si>
  <si>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</si>
  <si>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</si>
  <si>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</si>
  <si>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</si>
  <si>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</si>
  <si>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</si>
  <si>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</si>
  <si>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</si>
  <si>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</si>
  <si>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</si>
  <si>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</si>
  <si>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</si>
  <si>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</si>
  <si>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</si>
  <si>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</si>
  <si>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</si>
  <si>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</si>
  <si>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</si>
  <si>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</si>
  <si>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</si>
  <si>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</si>
  <si>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</si>
  <si>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</si>
  <si>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</si>
  <si>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</si>
  <si>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</si>
  <si>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</si>
  <si>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</si>
  <si>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</si>
  <si>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</si>
  <si>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</si>
  <si>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</si>
  <si>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</si>
  <si>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</si>
  <si>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</si>
  <si>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</si>
  <si>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</si>
  <si>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</si>
  <si>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</si>
  <si>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死の霧</t>
  </si>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</sst>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topLeftCell="A41" workbookViewId="0">
      <selection activeCell="H89" sqref="H89"/>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893</v>
      </c>
      <c r="J1" s="6" t="s">
        <v>895</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IF(OR(COUNTIF(クラス!$A$1:$A$1034, $B6),$B6="",COUNTIF(スキル一覧!$A$1:$A$3500, $B6)), "", "存在しない")</f>
        <v/>
      </c>
      <c r="M6" s="2" t="str">
        <f>IF(COUNTIF($B$1:$C5, $B6), "", "存在しない")</f>
        <v>存在しない</v>
      </c>
      <c r="N6" s="2" t="s">
        <v>1258</v>
      </c>
    </row>
    <row r="7" spans="1:20" x14ac:dyDescent="0.4">
      <c r="C7" s="2" t="str">
        <f>"------------基礎技 ------------"</f>
        <v>------------基礎技 ------------</v>
      </c>
      <c r="J7" s="6" t="str">
        <f>IFERROR(_xlfn.LET(_xlpm.v,
VLOOKUP($I7,効果!$A:$B,COLUMN(効果!B$1),FALSE),
IF(_xlpm.v=0,"",_xlpm.v)
),"")</f>
        <v/>
      </c>
      <c r="L7" s="15" t="str">
        <f>IF(OR(COUNTIF(クラス!$A$1:$A$1034, $B7),$B7="",COUNTIF(スキル一覧!$A$1:$A$3500, $B7)), "", "存在しない")</f>
        <v/>
      </c>
      <c r="M7" s="2" t="str">
        <f>IF(COUNTIF($B$1:$C6, $B7), "", "存在しない")</f>
        <v>存在しない</v>
      </c>
      <c r="N7" s="2" t="s">
        <v>1258</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IF(OR(COUNTIF(クラス!$A$1:$A$1034, $B8),$B8="",COUNTIF(スキル一覧!$A$1:$A$3500, $B8)), "", "存在しない")</f>
        <v>存在しない</v>
      </c>
      <c r="M8" s="2" t="str">
        <f>IF(COUNTIF($B$1:$C7, $B8), "", "存在しない")</f>
        <v>存在しない</v>
      </c>
      <c r="N8" s="2" t="s">
        <v>1258</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IF(OR(COUNTIF(クラス!$A$1:$A$1034, $B9),$B9="",COUNTIF(スキル一覧!$A$1:$A$3500, $B9)), "", "存在しない")</f>
        <v/>
      </c>
      <c r="M9" s="2" t="str">
        <f>IF(COUNTIF($B$1:$C8, $B9), "", "存在しない")</f>
        <v>存在しない</v>
      </c>
      <c r="N9" s="2" t="s">
        <v>1258</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IF(OR(COUNTIF(クラス!$A$1:$A$1034, $B10),$B10="",COUNTIF(スキル一覧!$A$1:$A$3500, $B10)), "", "存在しない")</f>
        <v/>
      </c>
      <c r="M10" s="2" t="str">
        <f>IF(COUNTIF($B$1:$C9, $B10), "", "存在しない")</f>
        <v>存在しない</v>
      </c>
      <c r="N10" s="2" t="s">
        <v>1258</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IF(OR(COUNTIF(クラス!$A$1:$A$1034, $B11),$B11="",COUNTIF(スキル一覧!$A$1:$A$3500, $B11)), "", "存在しない")</f>
        <v/>
      </c>
      <c r="M11" s="2" t="str">
        <f>IF(COUNTIF($B$1:$C10, $B11), "", "存在しない")</f>
        <v>存在しない</v>
      </c>
      <c r="N11" s="2" t="s">
        <v>1258</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IF(OR(COUNTIF(クラス!$A$1:$A$1034, $B12),$B12="",COUNTIF(スキル一覧!$A$1:$A$3500, $B12)), "", "存在しない")</f>
        <v/>
      </c>
      <c r="M12" s="2" t="str">
        <f>IF(COUNTIF($B$1:$C11, $B12), "", "存在しない")</f>
        <v>存在しない</v>
      </c>
      <c r="N12" s="2" t="s">
        <v>1258</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IF(OR(COUNTIF(クラス!$A$1:$A$1034, $B13),$B13="",COUNTIF(スキル一覧!$A$1:$A$3500, $B13)), "", "存在しない")</f>
        <v/>
      </c>
      <c r="M13" s="2" t="str">
        <f>IF(COUNTIF($B$1:$C12, $B13), "", "存在しない")</f>
        <v>存在しない</v>
      </c>
      <c r="N13" s="2" t="s">
        <v>1258</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IF(OR(COUNTIF(クラス!$A$1:$A$1034, $B14),$B14="",COUNTIF(スキル一覧!$A$1:$A$3500, $B14)), "", "存在しない")</f>
        <v/>
      </c>
      <c r="M14" s="2" t="str">
        <f>IF(COUNTIF($B$1:$C13, $B14), "", "存在しない")</f>
        <v>存在しない</v>
      </c>
      <c r="N14" s="2" t="s">
        <v>1258</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IF(OR(COUNTIF(クラス!$A$1:$A$1034, $B15),$B15="",COUNTIF(スキル一覧!$A$1:$A$3500, $B15)), "", "存在しない")</f>
        <v/>
      </c>
      <c r="M15" s="2" t="str">
        <f>IF(COUNTIF($B$1:$C14, $B15), "", "存在しない")</f>
        <v>存在しない</v>
      </c>
      <c r="N15" s="2" t="s">
        <v>1258</v>
      </c>
    </row>
    <row r="16" spans="1:20" hidden="1" outlineLevel="1" x14ac:dyDescent="0.4">
      <c r="A16" s="2">
        <v>8</v>
      </c>
      <c r="J16" s="6" t="str">
        <f>IFERROR(_xlfn.LET(_xlpm.v,
VLOOKUP($I16,効果!$A:$B,COLUMN(効果!B$1),FALSE),
IF(_xlpm.v=0,"",_xlpm.v)
),"")</f>
        <v/>
      </c>
      <c r="L16" s="15" t="str">
        <f>IF(OR(COUNTIF(クラス!$A$1:$A$1034, $B16),$B16="",COUNTIF(スキル一覧!$A$1:$A$3500, $B16)), "", "存在しない")</f>
        <v/>
      </c>
      <c r="M16" s="2" t="str">
        <f>IF(COUNTIF($B$1:$C15, $B16), "", "存在しない")</f>
        <v>存在しない</v>
      </c>
      <c r="N16" s="2" t="s">
        <v>1258</v>
      </c>
    </row>
    <row r="17" spans="1:14" hidden="1" outlineLevel="1" x14ac:dyDescent="0.4">
      <c r="A17" s="2">
        <v>9</v>
      </c>
      <c r="B17" s="2" t="s">
        <v>774</v>
      </c>
      <c r="J17" s="6" t="str">
        <f>IFERROR(_xlfn.LET(_xlpm.v,
VLOOKUP($I17,効果!$A:$B,COLUMN(効果!B$1),FALSE),
IF(_xlpm.v=0,"",_xlpm.v)
),"")</f>
        <v/>
      </c>
      <c r="L17" s="15" t="str">
        <f>IF(OR(COUNTIF(クラス!$A$1:$A$1034,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IF(OR(COUNTIF(クラス!$A$1:$A$1034, $B18),$B18="",COUNTIF(スキル一覧!$A$1:$A$3500, $B18)), "", "存在しない")</f>
        <v/>
      </c>
      <c r="M18" s="2" t="str">
        <f>IF(COUNTIF($B$1:$C17, $B18), "", "存在しない")</f>
        <v>存在しない</v>
      </c>
      <c r="N18" s="2" t="s">
        <v>1258</v>
      </c>
    </row>
    <row r="19" spans="1:14" hidden="1" outlineLevel="1" x14ac:dyDescent="0.4">
      <c r="J19" s="6" t="str">
        <f>IFERROR(_xlfn.LET(_xlpm.v,
VLOOKUP($I19,効果!$A:$B,COLUMN(効果!B$1),FALSE),
IF(_xlpm.v=0,"",_xlpm.v)
),"")</f>
        <v/>
      </c>
      <c r="L19" s="15" t="str">
        <f>IF(OR(COUNTIF(クラス!$A$1:$A$1034, $B19),$B19="",COUNTIF(スキル一覧!$A$1:$A$3500, $B19)), "", "存在しない")</f>
        <v/>
      </c>
      <c r="M19" s="2" t="str">
        <f>IF(COUNTIF($B$1:$C18, $B19), "", "存在しない")</f>
        <v>存在しない</v>
      </c>
      <c r="N19" s="2" t="s">
        <v>1258</v>
      </c>
    </row>
    <row r="20" spans="1:14" collapsed="1" x14ac:dyDescent="0.4">
      <c r="J20" s="6" t="str">
        <f>IFERROR(_xlfn.LET(_xlpm.v,
VLOOKUP($I20,効果!$A:$B,COLUMN(効果!B$1),FALSE),
IF(_xlpm.v=0,"",_xlpm.v)
),"")</f>
        <v/>
      </c>
      <c r="L20" s="15" t="str">
        <f>IF(OR(COUNTIF(クラス!$A$1:$A$1034, $B20),$B20="",COUNTIF(スキル一覧!$A$1:$A$3500, $B20)), "", "存在しない")</f>
        <v/>
      </c>
      <c r="M20" s="2" t="str">
        <f>IF(COUNTIF($B$1:$C19, $B20), "", "存在しない")</f>
        <v>存在しない</v>
      </c>
      <c r="N20" s="2" t="s">
        <v>1258</v>
      </c>
    </row>
    <row r="21" spans="1:14" collapsed="1" x14ac:dyDescent="0.4">
      <c r="B21" s="48"/>
      <c r="C21" s="2" t="str">
        <f>"------------地形 ------------"</f>
        <v>------------地形 ------------</v>
      </c>
      <c r="J21" s="6" t="str">
        <f>IFERROR(_xlfn.LET(_xlpm.v,
VLOOKUP($I21,効果!$A:$B,COLUMN(効果!B$1),FALSE),
IF(_xlpm.v=0,"",_xlpm.v)
),"")</f>
        <v/>
      </c>
      <c r="L21" s="15" t="str">
        <f>IF(OR(COUNTIF(クラス!$A$1:$A$1034, $B21),$B21="",COUNTIF(スキル一覧!$A$1:$A$3500, $B21)), "", "存在しない")</f>
        <v/>
      </c>
      <c r="M21" s="2" t="str">
        <f>IF(COUNTIF($B$1:$C19, $B21), "", "存在しない")</f>
        <v>存在しない</v>
      </c>
      <c r="N21" s="2" t="s">
        <v>1258</v>
      </c>
    </row>
    <row r="22" spans="1:14" outlineLevel="1" collapsed="1" x14ac:dyDescent="0.4">
      <c r="B22" s="54" t="s">
        <v>504</v>
      </c>
      <c r="D22" s="2" t="s">
        <v>995</v>
      </c>
      <c r="J22" s="6" t="str">
        <f>IFERROR(_xlfn.LET(_xlpm.v,
VLOOKUP($I22,効果!$A:$B,COLUMN(効果!B$1),FALSE),
IF(_xlpm.v=0,"",_xlpm.v)
),"")</f>
        <v/>
      </c>
      <c r="L22" s="15" t="str">
        <f>IF(OR(COUNTIF(クラス!$A$1:$A$1034, $B22),$B22="",COUNTIF(スキル一覧!$A$1:$A$3500, $B22)), "", "存在しない")</f>
        <v>存在しない</v>
      </c>
      <c r="M22" s="2" t="str">
        <f>IF(COUNTIF($B$1:$C20, $B22), "", "存在しない")</f>
        <v>存在しない</v>
      </c>
      <c r="N22" s="2" t="s">
        <v>1258</v>
      </c>
    </row>
    <row r="23" spans="1:14" outlineLevel="1" collapsed="1" x14ac:dyDescent="0.4">
      <c r="B23" s="48" t="s">
        <v>505</v>
      </c>
      <c r="D23" s="2" t="s">
        <v>995</v>
      </c>
      <c r="J23" s="6" t="str">
        <f>IFERROR(_xlfn.LET(_xlpm.v,
VLOOKUP($I23,効果!$A:$B,COLUMN(効果!B$1),FALSE),
IF(_xlpm.v=0,"",_xlpm.v)
),"")</f>
        <v/>
      </c>
      <c r="L23" s="15" t="str">
        <f>IF(OR(COUNTIF(クラス!$A$1:$A$1034, $B23),$B23="",COUNTIF(スキル一覧!$A$1:$A$3500, $B23)), "", "存在しない")</f>
        <v>存在しない</v>
      </c>
      <c r="M23" s="2" t="str">
        <f>IF(COUNTIF($B$1:$C21, $B23), "", "存在しない")</f>
        <v>存在しない</v>
      </c>
      <c r="N23" s="2" t="s">
        <v>1258</v>
      </c>
    </row>
    <row r="24" spans="1:14" outlineLevel="1" collapsed="1" x14ac:dyDescent="0.4">
      <c r="B24" s="48" t="s">
        <v>506</v>
      </c>
      <c r="D24" s="2" t="s">
        <v>995</v>
      </c>
      <c r="J24" s="6" t="str">
        <f>IFERROR(_xlfn.LET(_xlpm.v,
VLOOKUP($I24,効果!$A:$B,COLUMN(効果!B$1),FALSE),
IF(_xlpm.v=0,"",_xlpm.v)
),"")</f>
        <v/>
      </c>
      <c r="L24" s="15" t="str">
        <f>IF(OR(COUNTIF(クラス!$A$1:$A$1034, $B24),$B24="",COUNTIF(スキル一覧!$A$1:$A$3500, $B24)), "", "存在しない")</f>
        <v>存在しない</v>
      </c>
      <c r="M24" s="2" t="str">
        <f>IF(COUNTIF($B$1:$C22, $B24), "", "存在しない")</f>
        <v>存在しない</v>
      </c>
      <c r="N24" s="2" t="s">
        <v>1258</v>
      </c>
    </row>
    <row r="25" spans="1:14" outlineLevel="1" collapsed="1" x14ac:dyDescent="0.4">
      <c r="B25" s="48" t="s">
        <v>507</v>
      </c>
      <c r="D25" s="2" t="s">
        <v>995</v>
      </c>
      <c r="J25" s="6" t="str">
        <f>IFERROR(_xlfn.LET(_xlpm.v,
VLOOKUP($I25,効果!$A:$B,COLUMN(効果!B$1),FALSE),
IF(_xlpm.v=0,"",_xlpm.v)
),"")</f>
        <v/>
      </c>
      <c r="L25" s="15" t="str">
        <f>IF(OR(COUNTIF(クラス!$A$1:$A$1034, $B25),$B25="",COUNTIF(スキル一覧!$A$1:$A$3500, $B25)), "", "存在しない")</f>
        <v>存在しない</v>
      </c>
      <c r="M25" s="2" t="str">
        <f>IF(COUNTIF($B$1:$C23, $B25), "", "存在しない")</f>
        <v>存在しない</v>
      </c>
      <c r="N25" s="2" t="s">
        <v>1258</v>
      </c>
    </row>
    <row r="26" spans="1:14" outlineLevel="1" collapsed="1" x14ac:dyDescent="0.4">
      <c r="B26" s="48" t="s">
        <v>508</v>
      </c>
      <c r="D26" s="2" t="s">
        <v>995</v>
      </c>
      <c r="J26" s="6" t="str">
        <f>IFERROR(_xlfn.LET(_xlpm.v,
VLOOKUP($I26,効果!$A:$B,COLUMN(効果!B$1),FALSE),
IF(_xlpm.v=0,"",_xlpm.v)
),"")</f>
        <v/>
      </c>
      <c r="L26" s="15" t="str">
        <f>IF(OR(COUNTIF(クラス!$A$1:$A$1034, $B26),$B26="",COUNTIF(スキル一覧!$A$1:$A$3500, $B26)), "", "存在しない")</f>
        <v>存在しない</v>
      </c>
      <c r="M26" s="2" t="str">
        <f>IF(COUNTIF($B$1:$C24, $B26), "", "存在しない")</f>
        <v>存在しない</v>
      </c>
      <c r="N26" s="2" t="s">
        <v>1258</v>
      </c>
    </row>
    <row r="27" spans="1:14" outlineLevel="1" collapsed="1" x14ac:dyDescent="0.4">
      <c r="B27" s="48" t="s">
        <v>509</v>
      </c>
      <c r="D27" s="2" t="s">
        <v>995</v>
      </c>
      <c r="J27" s="6" t="str">
        <f>IFERROR(_xlfn.LET(_xlpm.v,
VLOOKUP($I27,効果!$A:$B,COLUMN(効果!B$1),FALSE),
IF(_xlpm.v=0,"",_xlpm.v)
),"")</f>
        <v/>
      </c>
      <c r="L27" s="15" t="str">
        <f>IF(OR(COUNTIF(クラス!$A$1:$A$1034, $B27),$B27="",COUNTIF(スキル一覧!$A$1:$A$3500, $B27)), "", "存在しない")</f>
        <v>存在しない</v>
      </c>
      <c r="M27" s="2" t="str">
        <f>IF(COUNTIF($B$1:$C25, $B27), "", "存在しない")</f>
        <v>存在しない</v>
      </c>
      <c r="N27" s="2" t="s">
        <v>1258</v>
      </c>
    </row>
    <row r="28" spans="1:14" outlineLevel="1" collapsed="1" x14ac:dyDescent="0.4">
      <c r="B28" s="48" t="s">
        <v>510</v>
      </c>
      <c r="D28" s="2" t="s">
        <v>995</v>
      </c>
      <c r="J28" s="6" t="str">
        <f>IFERROR(_xlfn.LET(_xlpm.v,
VLOOKUP($I28,効果!$A:$B,COLUMN(効果!B$1),FALSE),
IF(_xlpm.v=0,"",_xlpm.v)
),"")</f>
        <v/>
      </c>
      <c r="L28" s="15" t="str">
        <f>IF(OR(COUNTIF(クラス!$A$1:$A$1034, $B28),$B28="",COUNTIF(スキル一覧!$A$1:$A$3500, $B28)), "", "存在しない")</f>
        <v>存在しない</v>
      </c>
      <c r="M28" s="2" t="str">
        <f>IF(COUNTIF($B$1:$C26, $B28), "", "存在しない")</f>
        <v>存在しない</v>
      </c>
      <c r="N28" s="2" t="s">
        <v>1258</v>
      </c>
    </row>
    <row r="29" spans="1:14" outlineLevel="1" collapsed="1" x14ac:dyDescent="0.4">
      <c r="B29" s="48" t="s">
        <v>511</v>
      </c>
      <c r="D29" s="2" t="s">
        <v>995</v>
      </c>
      <c r="J29" s="6" t="str">
        <f>IFERROR(_xlfn.LET(_xlpm.v,
VLOOKUP($I29,効果!$A:$B,COLUMN(効果!B$1),FALSE),
IF(_xlpm.v=0,"",_xlpm.v)
),"")</f>
        <v/>
      </c>
      <c r="L29" s="15" t="str">
        <f>IF(OR(COUNTIF(クラス!$A$1:$A$1034, $B29),$B29="",COUNTIF(スキル一覧!$A$1:$A$3500, $B29)), "", "存在しない")</f>
        <v>存在しない</v>
      </c>
      <c r="M29" s="2" t="str">
        <f>IF(COUNTIF($B$1:$C27, $B29), "", "存在しない")</f>
        <v>存在しない</v>
      </c>
      <c r="N29" s="2" t="s">
        <v>1258</v>
      </c>
    </row>
    <row r="30" spans="1:14" outlineLevel="1" collapsed="1" x14ac:dyDescent="0.4">
      <c r="B30" s="48" t="s">
        <v>512</v>
      </c>
      <c r="D30" s="2" t="s">
        <v>995</v>
      </c>
      <c r="J30" s="6" t="str">
        <f>IFERROR(_xlfn.LET(_xlpm.v,
VLOOKUP($I30,効果!$A:$B,COLUMN(効果!B$1),FALSE),
IF(_xlpm.v=0,"",_xlpm.v)
),"")</f>
        <v/>
      </c>
      <c r="L30" s="15" t="str">
        <f>IF(OR(COUNTIF(クラス!$A$1:$A$1034, $B30),$B30="",COUNTIF(スキル一覧!$A$1:$A$3500, $B30)), "", "存在しない")</f>
        <v>存在しない</v>
      </c>
      <c r="M30" s="2" t="str">
        <f>IF(COUNTIF($B$1:$C28, $B30), "", "存在しない")</f>
        <v>存在しない</v>
      </c>
      <c r="N30" s="2" t="s">
        <v>1258</v>
      </c>
    </row>
    <row r="31" spans="1:14" outlineLevel="1" collapsed="1" x14ac:dyDescent="0.4">
      <c r="B31" s="48" t="s">
        <v>513</v>
      </c>
      <c r="D31" s="2" t="s">
        <v>995</v>
      </c>
      <c r="J31" s="6" t="str">
        <f>IFERROR(_xlfn.LET(_xlpm.v,
VLOOKUP($I31,効果!$A:$B,COLUMN(効果!B$1),FALSE),
IF(_xlpm.v=0,"",_xlpm.v)
),"")</f>
        <v/>
      </c>
      <c r="L31" s="15" t="str">
        <f>IF(OR(COUNTIF(クラス!$A$1:$A$1034, $B31),$B31="",COUNTIF(スキル一覧!$A$1:$A$3500, $B31)), "", "存在しない")</f>
        <v>存在しない</v>
      </c>
      <c r="M31" s="2" t="str">
        <f>IF(COUNTIF($B$1:$C29, $B31), "", "存在しない")</f>
        <v>存在しない</v>
      </c>
      <c r="N31" s="2" t="s">
        <v>1258</v>
      </c>
    </row>
    <row r="32" spans="1:14" outlineLevel="1" collapsed="1" x14ac:dyDescent="0.4">
      <c r="B32" s="48" t="s">
        <v>514</v>
      </c>
      <c r="D32" s="2" t="s">
        <v>995</v>
      </c>
      <c r="J32" s="6" t="str">
        <f>IFERROR(_xlfn.LET(_xlpm.v,
VLOOKUP($I32,効果!$A:$B,COLUMN(効果!B$1),FALSE),
IF(_xlpm.v=0,"",_xlpm.v)
),"")</f>
        <v/>
      </c>
      <c r="L32" s="15" t="str">
        <f>IF(OR(COUNTIF(クラス!$A$1:$A$1034, $B32),$B32="",COUNTIF(スキル一覧!$A$1:$A$3500, $B32)), "", "存在しない")</f>
        <v>存在しない</v>
      </c>
      <c r="M32" s="2" t="str">
        <f>IF(COUNTIF($B$1:$C30, $B32), "", "存在しない")</f>
        <v>存在しない</v>
      </c>
      <c r="N32" s="2" t="s">
        <v>1258</v>
      </c>
    </row>
    <row r="33" spans="1:14" outlineLevel="1" collapsed="1" x14ac:dyDescent="0.4">
      <c r="B33" s="48" t="s">
        <v>515</v>
      </c>
      <c r="D33" s="2" t="s">
        <v>995</v>
      </c>
      <c r="J33" s="6" t="str">
        <f>IFERROR(_xlfn.LET(_xlpm.v,
VLOOKUP($I33,効果!$A:$B,COLUMN(効果!B$1),FALSE),
IF(_xlpm.v=0,"",_xlpm.v)
),"")</f>
        <v/>
      </c>
      <c r="L33" s="15" t="str">
        <f>IF(OR(COUNTIF(クラス!$A$1:$A$1034, $B33),$B33="",COUNTIF(スキル一覧!$A$1:$A$3500, $B33)), "", "存在しない")</f>
        <v>存在しない</v>
      </c>
      <c r="M33" s="2" t="str">
        <f>IF(COUNTIF($B$1:$C31, $B33), "", "存在しない")</f>
        <v>存在しない</v>
      </c>
      <c r="N33" s="2" t="s">
        <v>1258</v>
      </c>
    </row>
    <row r="34" spans="1:14" outlineLevel="1" collapsed="1" x14ac:dyDescent="0.4">
      <c r="B34" s="48" t="s">
        <v>516</v>
      </c>
      <c r="D34" s="2" t="s">
        <v>995</v>
      </c>
      <c r="J34" s="6" t="str">
        <f>IFERROR(_xlfn.LET(_xlpm.v,
VLOOKUP($I34,効果!$A:$B,COLUMN(効果!B$1),FALSE),
IF(_xlpm.v=0,"",_xlpm.v)
),"")</f>
        <v/>
      </c>
      <c r="L34" s="15" t="str">
        <f>IF(OR(COUNTIF(クラス!$A$1:$A$1034, $B34),$B34="",COUNTIF(スキル一覧!$A$1:$A$3500, $B34)), "", "存在しない")</f>
        <v>存在しない</v>
      </c>
      <c r="M34" s="2" t="str">
        <f>IF(COUNTIF($B$1:$C32, $B34), "", "存在しない")</f>
        <v>存在しない</v>
      </c>
      <c r="N34" s="2" t="s">
        <v>1258</v>
      </c>
    </row>
    <row r="35" spans="1:14" outlineLevel="1" collapsed="1" x14ac:dyDescent="0.4">
      <c r="B35" s="48" t="s">
        <v>783</v>
      </c>
      <c r="D35" s="2" t="s">
        <v>995</v>
      </c>
      <c r="J35" s="6" t="str">
        <f>IFERROR(_xlfn.LET(_xlpm.v,
VLOOKUP($I35,効果!$A:$B,COLUMN(効果!B$1),FALSE),
IF(_xlpm.v=0,"",_xlpm.v)
),"")</f>
        <v/>
      </c>
      <c r="L35" s="15" t="str">
        <f>IF(OR(COUNTIF(クラス!$A$1:$A$1034, $B35),$B35="",COUNTIF(スキル一覧!$A$1:$A$3500, $B35)), "", "存在しない")</f>
        <v>存在しない</v>
      </c>
      <c r="M35" s="2" t="str">
        <f>IF(COUNTIF($B$1:$C33, $B35), "", "存在しない")</f>
        <v>存在しない</v>
      </c>
      <c r="N35" s="2" t="s">
        <v>1258</v>
      </c>
    </row>
    <row r="36" spans="1:14" outlineLevel="1" collapsed="1" x14ac:dyDescent="0.4">
      <c r="B36" s="48" t="s">
        <v>925</v>
      </c>
      <c r="D36" s="2" t="s">
        <v>995</v>
      </c>
      <c r="J36" s="6" t="str">
        <f>IFERROR(_xlfn.LET(_xlpm.v,
VLOOKUP($I36,効果!$A:$B,COLUMN(効果!B$1),FALSE),
IF(_xlpm.v=0,"",_xlpm.v)
),"")</f>
        <v/>
      </c>
      <c r="L36" s="15" t="str">
        <f>IF(OR(COUNTIF(クラス!$A$1:$A$1034, $B36),$B36="",COUNTIF(スキル一覧!$A$1:$A$3500, $B36)), "", "存在しない")</f>
        <v>存在しない</v>
      </c>
      <c r="M36" s="2" t="str">
        <f>IF(COUNTIF($B$1:$C34, $B36), "", "存在しない")</f>
        <v>存在しない</v>
      </c>
      <c r="N36" s="2" t="s">
        <v>1258</v>
      </c>
    </row>
    <row r="37" spans="1:14" outlineLevel="1" x14ac:dyDescent="0.4">
      <c r="B37" s="48"/>
      <c r="J37" s="6" t="str">
        <f>IFERROR(_xlfn.LET(_xlpm.v,
VLOOKUP($I37,効果!$A:$B,COLUMN(効果!B$1),FALSE),
IF(_xlpm.v=0,"",_xlpm.v)
),"")</f>
        <v/>
      </c>
      <c r="L37" s="15" t="str">
        <f>IF(OR(COUNTIF(クラス!$A$1:$A$1034, $B37),$B37="",COUNTIF(スキル一覧!$A$1:$A$3500, $B37)), "", "存在しない")</f>
        <v/>
      </c>
      <c r="M37" s="2" t="str">
        <f>IF(COUNTIF($B$1:$C35, $B37), "", "存在しない")</f>
        <v>存在しない</v>
      </c>
      <c r="N37" s="2" t="s">
        <v>1258</v>
      </c>
    </row>
    <row r="38" spans="1:14" outlineLevel="1" x14ac:dyDescent="0.4">
      <c r="B38" s="48"/>
      <c r="J38" s="6" t="str">
        <f>IFERROR(_xlfn.LET(_xlpm.v,
VLOOKUP($I38,効果!$A:$B,COLUMN(効果!B$1),FALSE),
IF(_xlpm.v=0,"",_xlpm.v)
),"")</f>
        <v/>
      </c>
      <c r="L38" s="15" t="str">
        <f>IF(OR(COUNTIF(クラス!$A$1:$A$1034, $B38),$B38="",COUNTIF(スキル一覧!$A$1:$A$3500, $B38)), "", "存在しない")</f>
        <v/>
      </c>
      <c r="M38" s="2" t="str">
        <f>IF(COUNTIF($B$1:$C36, $B38), "", "存在しない")</f>
        <v>存在しない</v>
      </c>
      <c r="N38" s="2" t="s">
        <v>1258</v>
      </c>
    </row>
    <row r="39" spans="1:14" outlineLevel="1" x14ac:dyDescent="0.4">
      <c r="B39" s="48"/>
      <c r="J39" s="6" t="str">
        <f>IFERROR(_xlfn.LET(_xlpm.v,
VLOOKUP($I39,効果!$A:$B,COLUMN(効果!B$1),FALSE),
IF(_xlpm.v=0,"",_xlpm.v)
),"")</f>
        <v/>
      </c>
      <c r="L39" s="15" t="str">
        <f>IF(OR(COUNTIF(クラス!$A$1:$A$1034, $B39),$B39="",COUNTIF(スキル一覧!$A$1:$A$3500, $B39)), "", "存在しない")</f>
        <v/>
      </c>
      <c r="M39" s="2" t="str">
        <f>IF(COUNTIF($B$1:$C37, $B39), "", "存在しない")</f>
        <v>存在しない</v>
      </c>
      <c r="N39" s="2" t="s">
        <v>1258</v>
      </c>
    </row>
    <row r="40" spans="1:14" outlineLevel="1" x14ac:dyDescent="0.4">
      <c r="B40" s="48"/>
      <c r="J40" s="6" t="str">
        <f>IFERROR(_xlfn.LET(_xlpm.v,
VLOOKUP($I40,効果!$A:$B,COLUMN(効果!B$1),FALSE),
IF(_xlpm.v=0,"",_xlpm.v)
),"")</f>
        <v/>
      </c>
      <c r="L40" s="15" t="str">
        <f>IF(OR(COUNTIF(クラス!$A$1:$A$1034, $B40),$B40="",COUNTIF(スキル一覧!$A$1:$A$3500, $B40)), "", "存在しない")</f>
        <v/>
      </c>
      <c r="M40" s="2" t="str">
        <f>IF(COUNTIF($B$1:$C38, $B40), "", "存在しない")</f>
        <v>存在しない</v>
      </c>
      <c r="N40" s="2" t="s">
        <v>1258</v>
      </c>
    </row>
    <row r="41" spans="1:14" outlineLevel="1" x14ac:dyDescent="0.4">
      <c r="B41" s="48"/>
      <c r="J41" s="6" t="str">
        <f>IFERROR(_xlfn.LET(_xlpm.v,
VLOOKUP($I41,効果!$A:$B,COLUMN(効果!B$1),FALSE),
IF(_xlpm.v=0,"",_xlpm.v)
),"")</f>
        <v/>
      </c>
      <c r="L41" s="15" t="str">
        <f>IF(OR(COUNTIF(クラス!$A$1:$A$1034, $B41),$B41="",COUNTIF(スキル一覧!$A$1:$A$3500, $B41)), "", "存在しない")</f>
        <v/>
      </c>
      <c r="M41" s="2" t="str">
        <f>IF(COUNTIF($B$1:$C39, $B41), "", "存在しない")</f>
        <v>存在しない</v>
      </c>
      <c r="N41" s="2" t="s">
        <v>1258</v>
      </c>
    </row>
    <row r="42" spans="1:14" outlineLevel="1" x14ac:dyDescent="0.4">
      <c r="B42" s="48"/>
      <c r="J42" s="6" t="str">
        <f>IFERROR(_xlfn.LET(_xlpm.v,
VLOOKUP($I42,効果!$A:$B,COLUMN(効果!B$1),FALSE),
IF(_xlpm.v=0,"",_xlpm.v)
),"")</f>
        <v/>
      </c>
      <c r="L42" s="15" t="str">
        <f>IF(OR(COUNTIF(クラス!$A$1:$A$1034, $B42),$B42="",COUNTIF(スキル一覧!$A$1:$A$3500, $B42)), "", "存在しない")</f>
        <v/>
      </c>
      <c r="M42" s="2" t="str">
        <f>IF(COUNTIF($B$1:$C40, $B42), "", "存在しない")</f>
        <v>存在しない</v>
      </c>
      <c r="N42" s="2" t="s">
        <v>1258</v>
      </c>
    </row>
    <row r="43" spans="1:14" outlineLevel="1" x14ac:dyDescent="0.4">
      <c r="B43" s="48"/>
      <c r="J43" s="6" t="str">
        <f>IFERROR(_xlfn.LET(_xlpm.v,
VLOOKUP($I43,効果!$A:$B,COLUMN(効果!B$1),FALSE),
IF(_xlpm.v=0,"",_xlpm.v)
),"")</f>
        <v/>
      </c>
      <c r="L43" s="15" t="str">
        <f>IF(OR(COUNTIF(クラス!$A$1:$A$1034, $B43),$B43="",COUNTIF(スキル一覧!$A$1:$A$3500, $B43)), "", "存在しない")</f>
        <v/>
      </c>
      <c r="M43" s="2" t="str">
        <f>IF(COUNTIF($B$1:$C41, $B43), "", "存在しない")</f>
        <v>存在しない</v>
      </c>
      <c r="N43" s="2" t="s">
        <v>1258</v>
      </c>
    </row>
    <row r="44" spans="1:14" outlineLevel="1" x14ac:dyDescent="0.4">
      <c r="J44" s="6" t="str">
        <f>IFERROR(_xlfn.LET(_xlpm.v,
VLOOKUP($I44,効果!$A:$B,COLUMN(効果!B$1),FALSE),
IF(_xlpm.v=0,"",_xlpm.v)
),"")</f>
        <v/>
      </c>
      <c r="L44" s="15" t="str">
        <f>IF(OR(COUNTIF(クラス!$A$1:$A$1034, $B44),$B44="",COUNTIF(スキル一覧!$A$1:$A$3500, $B44)), "", "存在しない")</f>
        <v/>
      </c>
      <c r="M44" s="2" t="str">
        <f>IF(COUNTIF($B$1:$C42, $B44), "", "存在しない")</f>
        <v>存在しない</v>
      </c>
      <c r="N44" s="2" t="s">
        <v>1258</v>
      </c>
    </row>
    <row r="45" spans="1:14" outlineLevel="1" x14ac:dyDescent="0.4">
      <c r="J45" s="6" t="str">
        <f>IFERROR(_xlfn.LET(_xlpm.v,
VLOOKUP($I45,効果!$A:$B,COLUMN(効果!B$1),FALSE),
IF(_xlpm.v=0,"",_xlpm.v)
),"")</f>
        <v/>
      </c>
      <c r="L45" s="15" t="str">
        <f>IF(OR(COUNTIF(クラス!$A$1:$A$1034, $B45),$B45="",COUNTIF(スキル一覧!$A$1:$A$3500, $B45)), "", "存在しない")</f>
        <v/>
      </c>
      <c r="M45" s="2" t="str">
        <f>IF(COUNTIF($B$1:$C43, $B45), "", "存在しない")</f>
        <v>存在しない</v>
      </c>
      <c r="N45" s="2" t="s">
        <v>1258</v>
      </c>
    </row>
    <row r="46" spans="1:14" x14ac:dyDescent="0.4">
      <c r="C46" s="2" t="s">
        <v>117</v>
      </c>
      <c r="J46" s="6" t="str">
        <f>IFERROR(_xlfn.LET(_xlpm.v,
VLOOKUP($I46,効果!$A:$B,COLUMN(効果!B$1),FALSE),
IF(_xlpm.v=0,"",_xlpm.v)
),"")</f>
        <v/>
      </c>
      <c r="L46" s="15" t="str">
        <f>IF(OR(COUNTIF(クラス!$A$1:$A$1034, $B46),$B46="",COUNTIF(スキル一覧!$A$1:$A$3500, $B46)), "", "存在しない")</f>
        <v/>
      </c>
      <c r="M46" s="2" t="str">
        <f>IF(COUNTIF($B$1:$C45, $B46), "", "存在しない")</f>
        <v>存在しない</v>
      </c>
      <c r="N46" s="2" t="s">
        <v>1258</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IF(OR(COUNTIF(クラス!$A$1:$A$1034, $B47),$B47="",COUNTIF(スキル一覧!$A$1:$A$3500, $B47)), "", "存在しない")</f>
        <v/>
      </c>
      <c r="M47" s="2" t="str">
        <f>IF(COUNTIF($B$1:$C46, $B47), "", "存在しない")</f>
        <v>存在しない</v>
      </c>
      <c r="N47" s="2" t="s">
        <v>1258</v>
      </c>
    </row>
    <row r="48" spans="1:14" hidden="1" outlineLevel="1" x14ac:dyDescent="0.4">
      <c r="A48" s="2">
        <v>1</v>
      </c>
      <c r="J48" s="6" t="str">
        <f>IFERROR(_xlfn.LET(_xlpm.v,
VLOOKUP($I48,効果!$A:$B,COLUMN(効果!B$1),FALSE),
IF(_xlpm.v=0,"",_xlpm.v)
),"")</f>
        <v/>
      </c>
      <c r="L48" s="15" t="str">
        <f>IF(OR(COUNTIF(クラス!$A$1:$A$1034, $B48),$B48="",COUNTIF(スキル一覧!$A$1:$A$3500, $B48)), "", "存在しない")</f>
        <v/>
      </c>
      <c r="M48" s="2" t="str">
        <f>IF(COUNTIF($B$1:$C47, $B48), "", "存在しない")</f>
        <v>存在しない</v>
      </c>
      <c r="N48" s="2" t="s">
        <v>1258</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IF(OR(COUNTIF(クラス!$A$1:$A$1034, $B49),$B49="",COUNTIF(スキル一覧!$A$1:$A$3500, $B49)), "", "存在しない")</f>
        <v/>
      </c>
      <c r="M49" s="2" t="str">
        <f>IF(COUNTIF($B$1:$C48, $B49), "", "存在しない")</f>
        <v>存在しない</v>
      </c>
      <c r="N49" s="2" t="s">
        <v>1258</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IF(OR(COUNTIF(クラス!$A$1:$A$1034, $B50),$B50="",COUNTIF(スキル一覧!$A$1:$A$3500, $B50)), "", "存在しない")</f>
        <v/>
      </c>
      <c r="M50" s="2" t="str">
        <f>IF(COUNTIF($B$1:$C49, $B50), "", "存在しない")</f>
        <v>存在しない</v>
      </c>
      <c r="N50" s="2" t="s">
        <v>1258</v>
      </c>
    </row>
    <row r="51" spans="1:14" hidden="1" outlineLevel="1" x14ac:dyDescent="0.4">
      <c r="A51" s="2">
        <v>4</v>
      </c>
      <c r="J51" s="6" t="str">
        <f>IFERROR(_xlfn.LET(_xlpm.v,
VLOOKUP($I51,効果!$A:$B,COLUMN(効果!B$1),FALSE),
IF(_xlpm.v=0,"",_xlpm.v)
),"")</f>
        <v/>
      </c>
      <c r="L51" s="15" t="str">
        <f>IF(OR(COUNTIF(クラス!$A$1:$A$1034, $B51),$B51="",COUNTIF(スキル一覧!$A$1:$A$3500, $B51)), "", "存在しない")</f>
        <v/>
      </c>
      <c r="M51" s="2" t="str">
        <f>IF(COUNTIF($B$1:$C50, $B51), "", "存在しない")</f>
        <v>存在しない</v>
      </c>
      <c r="N51" s="2" t="s">
        <v>1258</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IF(OR(COUNTIF(クラス!$A$1:$A$1034, $B52),$B52="",COUNTIF(スキル一覧!$A$1:$A$3500, $B52)), "", "存在しない")</f>
        <v/>
      </c>
      <c r="M52" s="2" t="str">
        <f>IF(COUNTIF($B$1:$C51, $B52), "", "存在しない")</f>
        <v>存在しない</v>
      </c>
      <c r="N52" s="2" t="s">
        <v>1258</v>
      </c>
    </row>
    <row r="53" spans="1:14" hidden="1" outlineLevel="1" x14ac:dyDescent="0.4">
      <c r="A53" s="2">
        <v>6</v>
      </c>
      <c r="E53" s="13" t="s">
        <v>130</v>
      </c>
      <c r="J53" s="6" t="str">
        <f>IFERROR(_xlfn.LET(_xlpm.v,
VLOOKUP($I53,効果!$A:$B,COLUMN(効果!B$1),FALSE),
IF(_xlpm.v=0,"",_xlpm.v)
),"")</f>
        <v/>
      </c>
      <c r="L53" s="15" t="str">
        <f>IF(OR(COUNTIF(クラス!$A$1:$A$1034, $B53),$B53="",COUNTIF(スキル一覧!$A$1:$A$3500, $B53)), "", "存在しない")</f>
        <v/>
      </c>
      <c r="M53" s="2" t="str">
        <f>IF(COUNTIF($B$1:$C52, $B53), "", "存在しない")</f>
        <v>存在しない</v>
      </c>
      <c r="N53" s="2" t="s">
        <v>1258</v>
      </c>
    </row>
    <row r="54" spans="1:14" hidden="1" outlineLevel="1" x14ac:dyDescent="0.4">
      <c r="A54" s="2">
        <v>7</v>
      </c>
      <c r="J54" s="6" t="str">
        <f>IFERROR(_xlfn.LET(_xlpm.v,
VLOOKUP($I54,効果!$A:$B,COLUMN(効果!B$1),FALSE),
IF(_xlpm.v=0,"",_xlpm.v)
),"")</f>
        <v/>
      </c>
      <c r="L54" s="15" t="str">
        <f>IF(OR(COUNTIF(クラス!$A$1:$A$1034, $B54),$B54="",COUNTIF(スキル一覧!$A$1:$A$3500, $B54)), "", "存在しない")</f>
        <v/>
      </c>
      <c r="M54" s="2" t="str">
        <f>IF(COUNTIF($B$1:$C53, $B54), "", "存在しない")</f>
        <v>存在しない</v>
      </c>
      <c r="N54" s="2" t="s">
        <v>1258</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IF(OR(COUNTIF(クラス!$A$1:$A$1034, $B55),$B55="",COUNTIF(スキル一覧!$A$1:$A$3500, $B55)), "", "存在しない")</f>
        <v/>
      </c>
      <c r="M55" s="2" t="str">
        <f>IF(COUNTIF($B$1:$C54, $B55), "", "存在しない")</f>
        <v>存在しない</v>
      </c>
      <c r="N55" s="2" t="s">
        <v>1258</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IF(OR(COUNTIF(クラス!$A$1:$A$1034, $B56),$B56="",COUNTIF(スキル一覧!$A$1:$A$3500, $B56)), "", "存在しない")</f>
        <v/>
      </c>
      <c r="M56" s="2" t="str">
        <f>IF(COUNTIF($B$1:$C55, $B56), "", "存在しない")</f>
        <v>存在しない</v>
      </c>
      <c r="N56" s="2" t="s">
        <v>1258</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IF(OR(COUNTIF(クラス!$A$1:$A$1034, $B57),$B57="",COUNTIF(スキル一覧!$A$1:$A$3500, $B57)), "", "存在しない")</f>
        <v/>
      </c>
      <c r="M57" s="2" t="str">
        <f>IF(COUNTIF($B$1:$C56, $B57), "", "存在しない")</f>
        <v>存在しない</v>
      </c>
      <c r="N57" s="2" t="s">
        <v>1258</v>
      </c>
    </row>
    <row r="58" spans="1:14" hidden="1" outlineLevel="1" x14ac:dyDescent="0.4">
      <c r="J58" s="6" t="str">
        <f>IFERROR(_xlfn.LET(_xlpm.v,
VLOOKUP($I58,効果!$A:$B,COLUMN(効果!B$1),FALSE),
IF(_xlpm.v=0,"",_xlpm.v)
),"")</f>
        <v/>
      </c>
      <c r="L58" s="15" t="str">
        <f>IF(OR(COUNTIF(クラス!$A$1:$A$1034, $B58),$B58="",COUNTIF(スキル一覧!$A$1:$A$3500, $B58)), "", "存在しない")</f>
        <v/>
      </c>
      <c r="M58" s="2" t="str">
        <f>IF(COUNTIF($B$1:$C57, $B58), "", "存在しない")</f>
        <v>存在しない</v>
      </c>
      <c r="N58" s="2" t="s">
        <v>1258</v>
      </c>
    </row>
    <row r="59" spans="1:14" collapsed="1" x14ac:dyDescent="0.4">
      <c r="J59" s="6" t="str">
        <f>IFERROR(_xlfn.LET(_xlpm.v,
VLOOKUP($I59,効果!$A:$B,COLUMN(効果!B$1),FALSE),
IF(_xlpm.v=0,"",_xlpm.v)
),"")</f>
        <v/>
      </c>
      <c r="L59" s="15" t="str">
        <f>IF(OR(COUNTIF(クラス!$A$1:$A$1034, $B59),$B59="",COUNTIF(スキル一覧!$A$1:$A$3500, $B59)), "", "存在しない")</f>
        <v/>
      </c>
      <c r="M59" s="2" t="str">
        <f>IF(COUNTIF($B$1:$C58, $B59), "", "存在しない")</f>
        <v>存在しない</v>
      </c>
      <c r="N59" s="2" t="s">
        <v>1258</v>
      </c>
    </row>
    <row r="60" spans="1:14" x14ac:dyDescent="0.4">
      <c r="B60" s="2" t="s">
        <v>120</v>
      </c>
      <c r="J60" s="6" t="str">
        <f>IFERROR(_xlfn.LET(_xlpm.v,
VLOOKUP($I60,効果!$A:$B,COLUMN(効果!B$1),FALSE),
IF(_xlpm.v=0,"",_xlpm.v)
),"")</f>
        <v/>
      </c>
      <c r="L60" s="15" t="str">
        <f>IF(OR(COUNTIF(クラス!$A$1:$A$1034, $B60),$B60="",COUNTIF(スキル一覧!$A$1:$A$3500, $B60)), "", "存在しない")</f>
        <v/>
      </c>
      <c r="M60" s="2" t="str">
        <f>IF(COUNTIF($B$1:$C59, $B60), "", "存在しない")</f>
        <v>存在しない</v>
      </c>
      <c r="N60" s="2" t="s">
        <v>1258</v>
      </c>
    </row>
    <row r="61" spans="1:14" hidden="1" outlineLevel="1" x14ac:dyDescent="0.4">
      <c r="A61" s="2">
        <v>1</v>
      </c>
      <c r="J61" s="6" t="str">
        <f>IFERROR(_xlfn.LET(_xlpm.v,
VLOOKUP($I61,効果!$A:$B,COLUMN(効果!B$1),FALSE),
IF(_xlpm.v=0,"",_xlpm.v)
),"")</f>
        <v/>
      </c>
      <c r="L61" s="15" t="str">
        <f>IF(OR(COUNTIF(クラス!$A$1:$A$1034, $B61),$B61="",COUNTIF(スキル一覧!$A$1:$A$3500, $B61)), "", "存在しない")</f>
        <v/>
      </c>
      <c r="M61" s="2" t="str">
        <f>IF(COUNTIF($B$1:$C60, $B61), "", "存在しない")</f>
        <v>存在しない</v>
      </c>
      <c r="N61" s="2" t="s">
        <v>1258</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IF(OR(COUNTIF(クラス!$A$1:$A$1034, $B62),$B62="",COUNTIF(スキル一覧!$A$1:$A$3500, $B62)), "", "存在しない")</f>
        <v/>
      </c>
      <c r="M62" s="2" t="str">
        <f>IF(COUNTIF($B$1:$C61, $B62), "", "存在しない")</f>
        <v/>
      </c>
      <c r="N62" s="2" t="s">
        <v>1258</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IF(OR(COUNTIF(クラス!$A$1:$A$1034, $B63),$B63="",COUNTIF(スキル一覧!$A$1:$A$3500, $B63)), "", "存在しない")</f>
        <v/>
      </c>
      <c r="M63" s="2" t="str">
        <f>IF(COUNTIF($B$1:$C62, $B63), "", "存在しない")</f>
        <v/>
      </c>
      <c r="N63" s="2" t="s">
        <v>1258</v>
      </c>
    </row>
    <row r="64" spans="1:14" hidden="1" outlineLevel="1" x14ac:dyDescent="0.4">
      <c r="A64" s="2">
        <v>4</v>
      </c>
      <c r="J64" s="6" t="str">
        <f>IFERROR(_xlfn.LET(_xlpm.v,
VLOOKUP($I64,効果!$A:$B,COLUMN(効果!B$1),FALSE),
IF(_xlpm.v=0,"",_xlpm.v)
),"")</f>
        <v/>
      </c>
      <c r="L64" s="15" t="str">
        <f>IF(OR(COUNTIF(クラス!$A$1:$A$1034, $B64),$B64="",COUNTIF(スキル一覧!$A$1:$A$3500, $B64)), "", "存在しない")</f>
        <v/>
      </c>
      <c r="M64" s="2" t="str">
        <f>IF(COUNTIF($B$1:$C63, $B64), "", "存在しない")</f>
        <v>存在しない</v>
      </c>
      <c r="N64" s="2" t="s">
        <v>1258</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IF(OR(COUNTIF(クラス!$A$1:$A$1034, $B65),$B65="",COUNTIF(スキル一覧!$A$1:$A$3500, $B65)), "", "存在しない")</f>
        <v/>
      </c>
      <c r="M65" s="2" t="str">
        <f>IF(COUNTIF($B$1:$C64, $B65), "", "存在しない")</f>
        <v/>
      </c>
      <c r="N65" s="2" t="s">
        <v>1258</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IF(OR(COUNTIF(クラス!$A$1:$A$1034, $B66),$B66="",COUNTIF(スキル一覧!$A$1:$A$3500, $B66)), "", "存在しない")</f>
        <v/>
      </c>
      <c r="M66" s="2" t="str">
        <f>IF(COUNTIF($B$1:$C65, $B66), "", "存在しない")</f>
        <v>存在しない</v>
      </c>
      <c r="N66" s="2" t="s">
        <v>1258</v>
      </c>
    </row>
    <row r="67" spans="1:14" hidden="1" outlineLevel="1" x14ac:dyDescent="0.4">
      <c r="A67" s="2">
        <v>7</v>
      </c>
      <c r="J67" s="6" t="str">
        <f>IFERROR(_xlfn.LET(_xlpm.v,
VLOOKUP($I67,効果!$A:$B,COLUMN(効果!B$1),FALSE),
IF(_xlpm.v=0,"",_xlpm.v)
),"")</f>
        <v/>
      </c>
      <c r="L67" s="15" t="str">
        <f>IF(OR(COUNTIF(クラス!$A$1:$A$1034, $B67),$B67="",COUNTIF(スキル一覧!$A$1:$A$3500, $B67)), "", "存在しない")</f>
        <v/>
      </c>
      <c r="M67" s="2" t="str">
        <f>IF(COUNTIF($B$1:$C66, $B67), "", "存在しない")</f>
        <v>存在しない</v>
      </c>
      <c r="N67" s="2" t="s">
        <v>1258</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IF(OR(COUNTIF(クラス!$A$1:$A$1034, $B68),$B68="",COUNTIF(スキル一覧!$A$1:$A$3500, $B68)), "", "存在しない")</f>
        <v/>
      </c>
      <c r="M68" s="2" t="str">
        <f>IF(COUNTIF($B$1:$C67, $B68), "", "存在しない")</f>
        <v/>
      </c>
      <c r="N68" s="2" t="s">
        <v>1258</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IF(OR(COUNTIF(クラス!$A$1:$A$1034, $B69),$B69="",COUNTIF(スキル一覧!$A$1:$A$3500, $B69)), "", "存在しない")</f>
        <v/>
      </c>
      <c r="M69" s="2" t="str">
        <f>IF(COUNTIF($B$1:$C68, $B69), "", "存在しない")</f>
        <v>存在しない</v>
      </c>
      <c r="N69" s="2" t="s">
        <v>1258</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IF(OR(COUNTIF(クラス!$A$1:$A$1034, $B70),$B70="",COUNTIF(スキル一覧!$A$1:$A$3500, $B70)), "", "存在しない")</f>
        <v/>
      </c>
      <c r="M70" s="2" t="str">
        <f>IF(COUNTIF($B$1:$C69, $B70), "", "存在しない")</f>
        <v/>
      </c>
      <c r="N70" s="2" t="s">
        <v>1258</v>
      </c>
    </row>
    <row r="71" spans="1:14" hidden="1" outlineLevel="1" x14ac:dyDescent="0.4">
      <c r="J71" s="6" t="str">
        <f>IFERROR(_xlfn.LET(_xlpm.v,
VLOOKUP($I71,効果!$A:$B,COLUMN(効果!B$1),FALSE),
IF(_xlpm.v=0,"",_xlpm.v)
),"")</f>
        <v/>
      </c>
      <c r="L71" s="15" t="str">
        <f>IF(OR(COUNTIF(クラス!$A$1:$A$1034, $B71),$B71="",COUNTIF(スキル一覧!$A$1:$A$3500, $B71)), "", "存在しない")</f>
        <v/>
      </c>
      <c r="M71" s="2" t="str">
        <f>IF(COUNTIF($B$1:$C70, $B71), "", "存在しない")</f>
        <v>存在しない</v>
      </c>
      <c r="N71" s="2" t="s">
        <v>1258</v>
      </c>
    </row>
    <row r="72" spans="1:14" collapsed="1" x14ac:dyDescent="0.4">
      <c r="J72" s="6" t="str">
        <f>IFERROR(_xlfn.LET(_xlpm.v,
VLOOKUP($I72,効果!$A:$B,COLUMN(効果!B$1),FALSE),
IF(_xlpm.v=0,"",_xlpm.v)
),"")</f>
        <v/>
      </c>
      <c r="L72" s="15" t="str">
        <f>IF(OR(COUNTIF(クラス!$A$1:$A$1034, $B72),$B72="",COUNTIF(スキル一覧!$A$1:$A$3500, $B72)), "", "存在しない")</f>
        <v/>
      </c>
      <c r="M72" s="2" t="str">
        <f>IF(COUNTIF($B$1:$C71, $B72), "", "存在しない")</f>
        <v>存在しない</v>
      </c>
      <c r="N72" s="2" t="s">
        <v>1258</v>
      </c>
    </row>
    <row r="73" spans="1:14" x14ac:dyDescent="0.4">
      <c r="B73" s="2" t="s">
        <v>121</v>
      </c>
      <c r="J73" s="6" t="str">
        <f>IFERROR(_xlfn.LET(_xlpm.v,
VLOOKUP($I73,効果!$A:$B,COLUMN(効果!B$1),FALSE),
IF(_xlpm.v=0,"",_xlpm.v)
),"")</f>
        <v/>
      </c>
      <c r="L73" s="15" t="str">
        <f>IF(OR(COUNTIF(クラス!$A$1:$A$1034, $B73),$B73="",COUNTIF(スキル一覧!$A$1:$A$3500, $B73)), "", "存在しない")</f>
        <v/>
      </c>
      <c r="M73" s="2" t="str">
        <f>IF(COUNTIF($B$1:$C72, $B73), "", "存在しない")</f>
        <v>存在しない</v>
      </c>
      <c r="N73" s="2" t="s">
        <v>1258</v>
      </c>
    </row>
    <row r="74" spans="1:14" hidden="1" outlineLevel="1" x14ac:dyDescent="0.4">
      <c r="A74" s="2">
        <v>1</v>
      </c>
      <c r="J74" s="6" t="str">
        <f>IFERROR(_xlfn.LET(_xlpm.v,
VLOOKUP($I74,効果!$A:$B,COLUMN(効果!B$1),FALSE),
IF(_xlpm.v=0,"",_xlpm.v)
),"")</f>
        <v/>
      </c>
      <c r="L74" s="15" t="str">
        <f>IF(OR(COUNTIF(クラス!$A$1:$A$1034, $B74),$B74="",COUNTIF(スキル一覧!$A$1:$A$3500, $B74)), "", "存在しない")</f>
        <v/>
      </c>
      <c r="M74" s="2" t="str">
        <f>IF(COUNTIF($B$1:$C73, $B74), "", "存在しない")</f>
        <v>存在しない</v>
      </c>
      <c r="N74" s="2" t="s">
        <v>1258</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IF(OR(COUNTIF(クラス!$A$1:$A$1034, $B75),$B75="",COUNTIF(スキル一覧!$A$1:$A$3500, $B75)), "", "存在しない")</f>
        <v/>
      </c>
      <c r="M75" s="2" t="str">
        <f>IF(COUNTIF($B$1:$C74, $B75), "", "存在しない")</f>
        <v/>
      </c>
      <c r="N75" s="2" t="s">
        <v>1258</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IF(OR(COUNTIF(クラス!$A$1:$A$1034, $B76),$B76="",COUNTIF(スキル一覧!$A$1:$A$3500, $B76)), "", "存在しない")</f>
        <v/>
      </c>
      <c r="M76" s="2" t="str">
        <f>IF(COUNTIF($B$1:$C75, $B76), "", "存在しない")</f>
        <v/>
      </c>
      <c r="N76" s="2" t="s">
        <v>1258</v>
      </c>
    </row>
    <row r="77" spans="1:14" hidden="1" outlineLevel="1" x14ac:dyDescent="0.4">
      <c r="A77" s="2">
        <v>4</v>
      </c>
      <c r="J77" s="6" t="str">
        <f>IFERROR(_xlfn.LET(_xlpm.v,
VLOOKUP($I77,効果!$A:$B,COLUMN(効果!B$1),FALSE),
IF(_xlpm.v=0,"",_xlpm.v)
),"")</f>
        <v/>
      </c>
      <c r="L77" s="15" t="str">
        <f>IF(OR(COUNTIF(クラス!$A$1:$A$1034, $B77),$B77="",COUNTIF(スキル一覧!$A$1:$A$3500, $B77)), "", "存在しない")</f>
        <v/>
      </c>
      <c r="M77" s="2" t="str">
        <f>IF(COUNTIF($B$1:$C76, $B77), "", "存在しない")</f>
        <v>存在しない</v>
      </c>
      <c r="N77" s="2" t="s">
        <v>1258</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IF(OR(COUNTIF(クラス!$A$1:$A$1034, $B78),$B78="",COUNTIF(スキル一覧!$A$1:$A$3500, $B78)), "", "存在しない")</f>
        <v/>
      </c>
      <c r="M78" s="2" t="str">
        <f>IF(COUNTIF($B$1:$C77, $B78), "", "存在しない")</f>
        <v>存在しない</v>
      </c>
      <c r="N78" s="2" t="s">
        <v>1258</v>
      </c>
    </row>
    <row r="79" spans="1:14" hidden="1" outlineLevel="1" x14ac:dyDescent="0.4">
      <c r="A79" s="2">
        <v>6</v>
      </c>
      <c r="E79" s="13" t="s">
        <v>130</v>
      </c>
      <c r="J79" s="6" t="str">
        <f>IFERROR(_xlfn.LET(_xlpm.v,
VLOOKUP($I79,効果!$A:$B,COLUMN(効果!B$1),FALSE),
IF(_xlpm.v=0,"",_xlpm.v)
),"")</f>
        <v/>
      </c>
      <c r="L79" s="15" t="str">
        <f>IF(OR(COUNTIF(クラス!$A$1:$A$1034, $B79),$B79="",COUNTIF(スキル一覧!$A$1:$A$3500, $B79)), "", "存在しない")</f>
        <v/>
      </c>
      <c r="M79" s="2" t="str">
        <f>IF(COUNTIF($B$1:$C78, $B79), "", "存在しない")</f>
        <v>存在しない</v>
      </c>
      <c r="N79" s="2" t="s">
        <v>1258</v>
      </c>
    </row>
    <row r="80" spans="1:14" hidden="1" outlineLevel="1" x14ac:dyDescent="0.4">
      <c r="A80" s="2">
        <v>7</v>
      </c>
      <c r="J80" s="6" t="str">
        <f>IFERROR(_xlfn.LET(_xlpm.v,
VLOOKUP($I80,効果!$A:$B,COLUMN(効果!B$1),FALSE),
IF(_xlpm.v=0,"",_xlpm.v)
),"")</f>
        <v/>
      </c>
      <c r="L80" s="15" t="str">
        <f>IF(OR(COUNTIF(クラス!$A$1:$A$1034, $B80),$B80="",COUNTIF(スキル一覧!$A$1:$A$3500, $B80)), "", "存在しない")</f>
        <v/>
      </c>
      <c r="M80" s="2" t="str">
        <f>IF(COUNTIF($B$1:$C79, $B80), "", "存在しない")</f>
        <v>存在しない</v>
      </c>
      <c r="N80" s="2" t="s">
        <v>1258</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IF(OR(COUNTIF(クラス!$A$1:$A$1034, $B81),$B81="",COUNTIF(スキル一覧!$A$1:$A$3500, $B81)), "", "存在しない")</f>
        <v/>
      </c>
      <c r="M81" s="2" t="str">
        <f>IF(COUNTIF($B$1:$C80, $B81), "", "存在しない")</f>
        <v/>
      </c>
      <c r="N81" s="2" t="s">
        <v>1258</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IF(OR(COUNTIF(クラス!$A$1:$A$1034, $B82),$B82="",COUNTIF(スキル一覧!$A$1:$A$3500, $B82)), "", "存在しない")</f>
        <v/>
      </c>
      <c r="M82" s="2" t="str">
        <f>IF(COUNTIF($B$1:$C81, $B82), "", "存在しない")</f>
        <v/>
      </c>
      <c r="N82" s="2" t="s">
        <v>1258</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IF(OR(COUNTIF(クラス!$A$1:$A$1034, $B83),$B83="",COUNTIF(スキル一覧!$A$1:$A$3500, $B83)), "", "存在しない")</f>
        <v/>
      </c>
      <c r="M83" s="2" t="str">
        <f>IF(COUNTIF($B$1:$C82, $B83), "", "存在しない")</f>
        <v/>
      </c>
      <c r="N83" s="2" t="s">
        <v>1258</v>
      </c>
    </row>
    <row r="84" spans="1:14" hidden="1" outlineLevel="1" x14ac:dyDescent="0.4">
      <c r="J84" s="6" t="str">
        <f>IFERROR(_xlfn.LET(_xlpm.v,
VLOOKUP($I84,効果!$A:$B,COLUMN(効果!B$1),FALSE),
IF(_xlpm.v=0,"",_xlpm.v)
),"")</f>
        <v/>
      </c>
      <c r="L84" s="15" t="str">
        <f>IF(OR(COUNTIF(クラス!$A$1:$A$1034, $B84),$B84="",COUNTIF(スキル一覧!$A$1:$A$3500, $B84)), "", "存在しない")</f>
        <v/>
      </c>
      <c r="M84" s="2" t="str">
        <f>IF(COUNTIF($B$1:$C83, $B84), "", "存在しない")</f>
        <v>存在しない</v>
      </c>
      <c r="N84" s="2" t="s">
        <v>1258</v>
      </c>
    </row>
    <row r="85" spans="1:14" collapsed="1" x14ac:dyDescent="0.4">
      <c r="J85" s="6" t="str">
        <f>IFERROR(_xlfn.LET(_xlpm.v,
VLOOKUP($I85,効果!$A:$B,COLUMN(効果!B$1),FALSE),
IF(_xlpm.v=0,"",_xlpm.v)
),"")</f>
        <v/>
      </c>
      <c r="L85" s="15" t="str">
        <f>IF(OR(COUNTIF(クラス!$A$1:$A$1034, $B85),$B85="",COUNTIF(スキル一覧!$A$1:$A$3500, $B85)), "", "存在しない")</f>
        <v/>
      </c>
      <c r="M85" s="2" t="str">
        <f>IF(COUNTIF($B$1:$C84, $B85), "", "存在しない")</f>
        <v>存在しない</v>
      </c>
      <c r="N85" s="2" t="s">
        <v>1258</v>
      </c>
    </row>
    <row r="86" spans="1:14" x14ac:dyDescent="0.4">
      <c r="B86" s="2" t="s">
        <v>1232</v>
      </c>
      <c r="C86" s="2" t="s">
        <v>1233</v>
      </c>
      <c r="J86" s="6" t="str">
        <f>IFERROR(_xlfn.LET(_xlpm.v,
VLOOKUP($I86,効果!$A:$B,COLUMN(効果!B$1),FALSE),
IF(_xlpm.v=0,"",_xlpm.v)
),"")</f>
        <v/>
      </c>
      <c r="L86" s="15" t="str">
        <f>IF(OR(COUNTIF(クラス!$A$1:$A$1034, $B86),$B86="",COUNTIF(スキル一覧!$A$1:$A$3500, $B86)), "", "存在しない")</f>
        <v>存在しない</v>
      </c>
      <c r="M86" s="2" t="str">
        <f>IF(COUNTIF($B$1:$C85, $B86), "", "存在しない")</f>
        <v>存在しない</v>
      </c>
      <c r="N86" s="2" t="s">
        <v>1258</v>
      </c>
    </row>
    <row r="87" spans="1:14" outlineLevel="1" x14ac:dyDescent="0.4">
      <c r="A87" s="2">
        <v>1</v>
      </c>
      <c r="J87" s="6" t="str">
        <f>IFERROR(_xlfn.LET(_xlpm.v,
VLOOKUP($I87,効果!$A:$B,COLUMN(効果!B$1),FALSE),
IF(_xlpm.v=0,"",_xlpm.v)
),"")</f>
        <v/>
      </c>
      <c r="L87" s="15" t="str">
        <f>IF(OR(COUNTIF(クラス!$A$1:$A$1034, $B87),$B87="",COUNTIF(スキル一覧!$A$1:$A$3500, $B87)), "", "存在しない")</f>
        <v/>
      </c>
      <c r="M87" s="2" t="str">
        <f>IF(COUNTIF($B$1:$C86, $B87), "", "存在しない")</f>
        <v>存在しない</v>
      </c>
      <c r="N87" s="2" t="s">
        <v>1258</v>
      </c>
    </row>
    <row r="88" spans="1:14" outlineLevel="1" x14ac:dyDescent="0.4">
      <c r="A88" s="2">
        <v>2</v>
      </c>
      <c r="B88" s="2" t="s">
        <v>172</v>
      </c>
      <c r="C88" s="2" t="s">
        <v>173</v>
      </c>
      <c r="E88" s="13" t="s">
        <v>129</v>
      </c>
      <c r="G88" s="19">
        <v>60</v>
      </c>
      <c r="H88" s="10" t="s">
        <v>1234</v>
      </c>
      <c r="J88" s="6" t="str">
        <f>IFERROR(_xlfn.LET(_xlpm.v,
VLOOKUP($I88,効果!$A:$B,COLUMN(効果!B$1),FALSE),
IF(_xlpm.v=0,"",_xlpm.v)
),"")</f>
        <v/>
      </c>
      <c r="L88" s="15" t="str">
        <f>IF(OR(COUNTIF(クラス!$A$1:$A$1034, $B88),$B88="",COUNTIF(スキル一覧!$A$1:$A$3500, $B88)), "", "存在しない")</f>
        <v/>
      </c>
      <c r="M88" s="2" t="str">
        <f>IF(COUNTIF($B$1:$C87, $B88), "", "存在しない")</f>
        <v/>
      </c>
      <c r="N88" s="2" t="s">
        <v>1258</v>
      </c>
    </row>
    <row r="89" spans="1:14" outlineLevel="1" x14ac:dyDescent="0.4">
      <c r="A89" s="2">
        <v>3</v>
      </c>
      <c r="B89" s="2" t="s">
        <v>1235</v>
      </c>
      <c r="E89" s="13" t="s">
        <v>130</v>
      </c>
      <c r="H89" s="10" t="s">
        <v>1236</v>
      </c>
      <c r="J89" s="6" t="str">
        <f>IFERROR(_xlfn.LET(_xlpm.v,
VLOOKUP($I89,効果!$A:$B,COLUMN(効果!B$1),FALSE),
IF(_xlpm.v=0,"",_xlpm.v)
),"")</f>
        <v/>
      </c>
      <c r="L89" s="15" t="str">
        <f>IF(OR(COUNTIF(クラス!$A$1:$A$1034,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IF(OR(COUNTIF(クラス!$A$1:$A$1034, $B90),$B90="",COUNTIF(スキル一覧!$A$1:$A$3500, $B90)), "", "存在しない")</f>
        <v/>
      </c>
      <c r="M90" s="2" t="str">
        <f>IF(COUNTIF($B$1:$C89, $B90), "", "存在しない")</f>
        <v>存在しない</v>
      </c>
      <c r="N90" s="2" t="s">
        <v>1258</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IF(OR(COUNTIF(クラス!$A$1:$A$1034, $B91),$B91="",COUNTIF(スキル一覧!$A$1:$A$3500, $B91)), "", "存在しない")</f>
        <v/>
      </c>
      <c r="M91" s="2" t="str">
        <f>IF(COUNTIF($B$1:$C90, $B91), "", "存在しない")</f>
        <v/>
      </c>
      <c r="N91" s="2" t="s">
        <v>1258</v>
      </c>
    </row>
    <row r="92" spans="1:14" outlineLevel="1" x14ac:dyDescent="0.4">
      <c r="A92" s="2">
        <v>6</v>
      </c>
      <c r="E92" s="13" t="s">
        <v>130</v>
      </c>
      <c r="J92" s="6" t="str">
        <f>IFERROR(_xlfn.LET(_xlpm.v,
VLOOKUP($I92,効果!$A:$B,COLUMN(効果!B$1),FALSE),
IF(_xlpm.v=0,"",_xlpm.v)
),"")</f>
        <v/>
      </c>
      <c r="L92" s="15" t="str">
        <f>IF(OR(COUNTIF(クラス!$A$1:$A$1034, $B92),$B92="",COUNTIF(スキル一覧!$A$1:$A$3500, $B92)), "", "存在しない")</f>
        <v/>
      </c>
      <c r="M92" s="2" t="str">
        <f>IF(COUNTIF($B$1:$C91, $B92), "", "存在しない")</f>
        <v>存在しない</v>
      </c>
      <c r="N92" s="2" t="s">
        <v>1258</v>
      </c>
    </row>
    <row r="93" spans="1:14" outlineLevel="1" x14ac:dyDescent="0.4">
      <c r="A93" s="2">
        <v>7</v>
      </c>
      <c r="J93" s="6" t="str">
        <f>IFERROR(_xlfn.LET(_xlpm.v,
VLOOKUP($I93,効果!$A:$B,COLUMN(効果!B$1),FALSE),
IF(_xlpm.v=0,"",_xlpm.v)
),"")</f>
        <v/>
      </c>
      <c r="L93" s="15" t="str">
        <f>IF(OR(COUNTIF(クラス!$A$1:$A$1034, $B93),$B93="",COUNTIF(スキル一覧!$A$1:$A$3500, $B93)), "", "存在しない")</f>
        <v/>
      </c>
      <c r="M93" s="2" t="str">
        <f>IF(COUNTIF($B$1:$C92, $B93), "", "存在しない")</f>
        <v>存在しない</v>
      </c>
      <c r="N93" s="2" t="s">
        <v>1258</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IF(OR(COUNTIF(クラス!$A$1:$A$1034, $B94),$B94="",COUNTIF(スキル一覧!$A$1:$A$3500, $B94)), "", "存在しない")</f>
        <v/>
      </c>
      <c r="M94" s="2" t="str">
        <f>IF(COUNTIF($B$1:$C93, $B94), "", "存在しない")</f>
        <v/>
      </c>
      <c r="N94" s="2" t="s">
        <v>1258</v>
      </c>
    </row>
    <row r="95" spans="1:14" outlineLevel="1" x14ac:dyDescent="0.4">
      <c r="A95" s="2">
        <v>9</v>
      </c>
      <c r="B95" s="2" t="s">
        <v>210</v>
      </c>
      <c r="E95" s="13" t="s">
        <v>130</v>
      </c>
      <c r="H95" s="10" t="s">
        <v>181</v>
      </c>
      <c r="J95" s="6" t="str">
        <f>IFERROR(_xlfn.LET(_xlpm.v,
VLOOKUP($I95,効果!$A:$B,COLUMN(効果!B$1),FALSE),
IF(_xlpm.v=0,"",_xlpm.v)
),"")</f>
        <v/>
      </c>
      <c r="L95" s="15" t="str">
        <f>IF(OR(COUNTIF(クラス!$A$1:$A$1034, $B95),$B95="",COUNTIF(スキル一覧!$A$1:$A$3500, $B95)), "", "存在しない")</f>
        <v/>
      </c>
      <c r="M95" s="2" t="str">
        <f>IF(COUNTIF($B$1:$C94, $B95), "", "存在しない")</f>
        <v/>
      </c>
      <c r="N95" s="2" t="s">
        <v>1258</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IF(OR(COUNTIF(クラス!$A$1:$A$1034, $B96),$B96="",COUNTIF(スキル一覧!$A$1:$A$3500, $B96)), "", "存在しない")</f>
        <v/>
      </c>
      <c r="M96" s="2" t="str">
        <f>IF(COUNTIF($B$1:$C95, $B96), "", "存在しない")</f>
        <v/>
      </c>
      <c r="N96" s="2" t="s">
        <v>1258</v>
      </c>
    </row>
    <row r="97" spans="1:14" outlineLevel="1" x14ac:dyDescent="0.4">
      <c r="J97" s="6" t="str">
        <f>IFERROR(_xlfn.LET(_xlpm.v,
VLOOKUP($I97,効果!$A:$B,COLUMN(効果!B$1),FALSE),
IF(_xlpm.v=0,"",_xlpm.v)
),"")</f>
        <v/>
      </c>
      <c r="L97" s="15" t="str">
        <f>IF(OR(COUNTIF(クラス!$A$1:$A$1034, $B97),$B97="",COUNTIF(スキル一覧!$A$1:$A$3500, $B97)), "", "存在しない")</f>
        <v/>
      </c>
      <c r="M97" s="2" t="str">
        <f>IF(COUNTIF($B$1:$C96, $B97), "", "存在しない")</f>
        <v>存在しない</v>
      </c>
      <c r="N97" s="2" t="s">
        <v>1258</v>
      </c>
    </row>
    <row r="98" spans="1:14" x14ac:dyDescent="0.4">
      <c r="J98" s="6" t="str">
        <f>IFERROR(_xlfn.LET(_xlpm.v,
VLOOKUP($I98,効果!$A:$B,COLUMN(効果!B$1),FALSE),
IF(_xlpm.v=0,"",_xlpm.v)
),"")</f>
        <v/>
      </c>
      <c r="L98" s="15" t="str">
        <f>IF(OR(COUNTIF(クラス!$A$1:$A$1034, $B98),$B98="",COUNTIF(スキル一覧!$A$1:$A$3500, $B98)), "", "存在しない")</f>
        <v/>
      </c>
      <c r="M98" s="2" t="str">
        <f>IF(COUNTIF($B$1:$C97, $B98), "", "存在しない")</f>
        <v>存在しない</v>
      </c>
      <c r="N98" s="2" t="s">
        <v>1258</v>
      </c>
    </row>
    <row r="99" spans="1:14" x14ac:dyDescent="0.4">
      <c r="J99" s="6" t="str">
        <f>IFERROR(_xlfn.LET(_xlpm.v,
VLOOKUP($I99,効果!$A:$B,COLUMN(効果!B$1),FALSE),
IF(_xlpm.v=0,"",_xlpm.v)
),"")</f>
        <v/>
      </c>
      <c r="L99" s="15" t="str">
        <f>IF(OR(COUNTIF(クラス!$A$1:$A$1034, $B99),$B99="",COUNTIF(スキル一覧!$A$1:$A$3500, $B99)), "", "存在しない")</f>
        <v/>
      </c>
      <c r="M99" s="2" t="str">
        <f>IF(COUNTIF($B$1:$C85, $B99), "", "存在しない")</f>
        <v>存在しない</v>
      </c>
      <c r="N99" s="2" t="s">
        <v>1258</v>
      </c>
    </row>
    <row r="100" spans="1:14" x14ac:dyDescent="0.4">
      <c r="B100" s="2" t="s">
        <v>255</v>
      </c>
      <c r="J100" s="6" t="str">
        <f>IFERROR(_xlfn.LET(_xlpm.v,
VLOOKUP($I100,効果!$A:$B,COLUMN(効果!B$1),FALSE),
IF(_xlpm.v=0,"",_xlpm.v)
),"")</f>
        <v/>
      </c>
      <c r="L100" s="15" t="str">
        <f>IF(OR(COUNTIF(クラス!$A$1:$A$1034, $B100),$B100="",COUNTIF(スキル一覧!$A$1:$A$3500, $B100)), "", "存在しない")</f>
        <v/>
      </c>
      <c r="M100" s="2" t="str">
        <f>IF(COUNTIF($B$1:$C99, $B100), "", "存在しない")</f>
        <v>存在しない</v>
      </c>
      <c r="N100" s="2" t="s">
        <v>1258</v>
      </c>
    </row>
    <row r="101" spans="1:14" hidden="1" outlineLevel="1" x14ac:dyDescent="0.4">
      <c r="A101" s="2">
        <v>1</v>
      </c>
      <c r="J101" s="6" t="str">
        <f>IFERROR(_xlfn.LET(_xlpm.v,
VLOOKUP($I101,効果!$A:$B,COLUMN(効果!B$1),FALSE),
IF(_xlpm.v=0,"",_xlpm.v)
),"")</f>
        <v/>
      </c>
      <c r="L101" s="15" t="str">
        <f>IF(OR(COUNTIF(クラス!$A$1:$A$1034, $B101),$B101="",COUNTIF(スキル一覧!$A$1:$A$3500, $B101)), "", "存在しない")</f>
        <v/>
      </c>
      <c r="M101" s="2" t="str">
        <f>IF(COUNTIF($B$1:$C100, $B101), "", "存在しない")</f>
        <v>存在しない</v>
      </c>
      <c r="N101" s="2" t="s">
        <v>1258</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IF(OR(COUNTIF(クラス!$A$1:$A$1034, $B102),$B102="",COUNTIF(スキル一覧!$A$1:$A$3500, $B102)), "", "存在しない")</f>
        <v/>
      </c>
      <c r="M102" s="2" t="str">
        <f>IF(COUNTIF($B$1:$C101, $B102), "", "存在しない")</f>
        <v>存在しない</v>
      </c>
      <c r="N102" s="2" t="s">
        <v>1258</v>
      </c>
    </row>
    <row r="103" spans="1:14" hidden="1" outlineLevel="1" x14ac:dyDescent="0.4">
      <c r="A103" s="2">
        <v>3</v>
      </c>
      <c r="B103" s="2" t="s">
        <v>226</v>
      </c>
      <c r="E103" s="13" t="s">
        <v>130</v>
      </c>
      <c r="J103" s="6" t="str">
        <f>IFERROR(_xlfn.LET(_xlpm.v,
VLOOKUP($I103,効果!$A:$B,COLUMN(効果!B$1),FALSE),
IF(_xlpm.v=0,"",_xlpm.v)
),"")</f>
        <v/>
      </c>
      <c r="L103" s="15" t="str">
        <f>IF(OR(COUNTIF(クラス!$A$1:$A$1034, $B103),$B103="",COUNTIF(スキル一覧!$A$1:$A$3500, $B103)), "", "存在しない")</f>
        <v/>
      </c>
      <c r="M103" s="2" t="str">
        <f>IF(COUNTIF($B$1:$C102, $B103), "", "存在しない")</f>
        <v>存在しない</v>
      </c>
      <c r="N103" s="2" t="s">
        <v>1258</v>
      </c>
    </row>
    <row r="104" spans="1:14" hidden="1" outlineLevel="1" x14ac:dyDescent="0.4">
      <c r="A104" s="2">
        <v>4</v>
      </c>
      <c r="J104" s="6" t="str">
        <f>IFERROR(_xlfn.LET(_xlpm.v,
VLOOKUP($I104,効果!$A:$B,COLUMN(効果!B$1),FALSE),
IF(_xlpm.v=0,"",_xlpm.v)
),"")</f>
        <v/>
      </c>
      <c r="L104" s="15" t="str">
        <f>IF(OR(COUNTIF(クラス!$A$1:$A$1034, $B104),$B104="",COUNTIF(スキル一覧!$A$1:$A$3500, $B104)), "", "存在しない")</f>
        <v/>
      </c>
      <c r="M104" s="2" t="str">
        <f>IF(COUNTIF($B$1:$C103, $B104), "", "存在しない")</f>
        <v>存在しない</v>
      </c>
      <c r="N104" s="2" t="s">
        <v>1258</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IF(OR(COUNTIF(クラス!$A$1:$A$1034, $B105),$B105="",COUNTIF(スキル一覧!$A$1:$A$3500, $B105)), "", "存在しない")</f>
        <v/>
      </c>
      <c r="M105" s="2" t="str">
        <f>IF(COUNTIF($B$1:$C104, $B105), "", "存在しない")</f>
        <v>存在しない</v>
      </c>
      <c r="N105" s="2" t="s">
        <v>1258</v>
      </c>
    </row>
    <row r="106" spans="1:14" hidden="1" outlineLevel="1" x14ac:dyDescent="0.4">
      <c r="A106" s="2">
        <v>6</v>
      </c>
      <c r="B106" s="2" t="s">
        <v>275</v>
      </c>
      <c r="E106" s="13" t="s">
        <v>130</v>
      </c>
      <c r="J106" s="6" t="str">
        <f>IFERROR(_xlfn.LET(_xlpm.v,
VLOOKUP($I106,効果!$A:$B,COLUMN(効果!B$1),FALSE),
IF(_xlpm.v=0,"",_xlpm.v)
),"")</f>
        <v/>
      </c>
      <c r="L106" s="15" t="str">
        <f>IF(OR(COUNTIF(クラス!$A$1:$A$1034, $B106),$B106="",COUNTIF(スキル一覧!$A$1:$A$3500, $B106)), "", "存在しない")</f>
        <v/>
      </c>
      <c r="M106" s="2" t="str">
        <f>IF(COUNTIF($B$1:$C105, $B106), "", "存在しない")</f>
        <v>存在しない</v>
      </c>
      <c r="N106" s="2" t="s">
        <v>1258</v>
      </c>
    </row>
    <row r="107" spans="1:14" hidden="1" outlineLevel="1" x14ac:dyDescent="0.4">
      <c r="A107" s="2">
        <v>7</v>
      </c>
      <c r="J107" s="6" t="str">
        <f>IFERROR(_xlfn.LET(_xlpm.v,
VLOOKUP($I107,効果!$A:$B,COLUMN(効果!B$1),FALSE),
IF(_xlpm.v=0,"",_xlpm.v)
),"")</f>
        <v/>
      </c>
      <c r="L107" s="15" t="str">
        <f>IF(OR(COUNTIF(クラス!$A$1:$A$1034, $B107),$B107="",COUNTIF(スキル一覧!$A$1:$A$3500, $B107)), "", "存在しない")</f>
        <v/>
      </c>
      <c r="M107" s="2" t="str">
        <f>IF(COUNTIF($B$1:$C106, $B107), "", "存在しない")</f>
        <v>存在しない</v>
      </c>
      <c r="N107" s="2" t="s">
        <v>1258</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IF(OR(COUNTIF(クラス!$A$1:$A$1034, $B108),$B108="",COUNTIF(スキル一覧!$A$1:$A$3500, $B108)), "", "存在しない")</f>
        <v/>
      </c>
      <c r="M108" s="2" t="str">
        <f>IF(COUNTIF($B$1:$C107, $B108), "", "存在しない")</f>
        <v>存在しない</v>
      </c>
      <c r="N108" s="2" t="s">
        <v>1258</v>
      </c>
    </row>
    <row r="109" spans="1:14" hidden="1" outlineLevel="1" x14ac:dyDescent="0.4">
      <c r="A109" s="2">
        <v>9</v>
      </c>
      <c r="E109" s="13" t="s">
        <v>130</v>
      </c>
      <c r="J109" s="6" t="str">
        <f>IFERROR(_xlfn.LET(_xlpm.v,
VLOOKUP($I109,効果!$A:$B,COLUMN(効果!B$1),FALSE),
IF(_xlpm.v=0,"",_xlpm.v)
),"")</f>
        <v/>
      </c>
      <c r="L109" s="15" t="str">
        <f>IF(OR(COUNTIF(クラス!$A$1:$A$1034, $B109),$B109="",COUNTIF(スキル一覧!$A$1:$A$3500, $B109)), "", "存在しない")</f>
        <v/>
      </c>
      <c r="M109" s="2" t="str">
        <f>IF(COUNTIF($B$1:$C108, $B109), "", "存在しない")</f>
        <v>存在しない</v>
      </c>
      <c r="N109" s="2" t="s">
        <v>1258</v>
      </c>
    </row>
    <row r="110" spans="1:14" hidden="1" outlineLevel="1" x14ac:dyDescent="0.4">
      <c r="A110" s="2">
        <v>10</v>
      </c>
      <c r="E110" s="13" t="s">
        <v>129</v>
      </c>
      <c r="J110" s="6" t="str">
        <f>IFERROR(_xlfn.LET(_xlpm.v,
VLOOKUP($I110,効果!$A:$B,COLUMN(効果!B$1),FALSE),
IF(_xlpm.v=0,"",_xlpm.v)
),"")</f>
        <v/>
      </c>
      <c r="L110" s="15" t="str">
        <f>IF(OR(COUNTIF(クラス!$A$1:$A$1034, $B110),$B110="",COUNTIF(スキル一覧!$A$1:$A$3500, $B110)), "", "存在しない")</f>
        <v/>
      </c>
      <c r="M110" s="2" t="str">
        <f>IF(COUNTIF($B$1:$C109, $B110), "", "存在しない")</f>
        <v>存在しない</v>
      </c>
      <c r="N110" s="2" t="s">
        <v>1258</v>
      </c>
    </row>
    <row r="111" spans="1:14" hidden="1" outlineLevel="1" x14ac:dyDescent="0.4">
      <c r="J111" s="6" t="str">
        <f>IFERROR(_xlfn.LET(_xlpm.v,
VLOOKUP($I111,効果!$A:$B,COLUMN(効果!B$1),FALSE),
IF(_xlpm.v=0,"",_xlpm.v)
),"")</f>
        <v/>
      </c>
      <c r="L111" s="15" t="str">
        <f>IF(OR(COUNTIF(クラス!$A$1:$A$1034, $B111),$B111="",COUNTIF(スキル一覧!$A$1:$A$3500, $B111)), "", "存在しない")</f>
        <v/>
      </c>
      <c r="M111" s="2" t="str">
        <f>IF(COUNTIF($B$1:$C110, $B111), "", "存在しない")</f>
        <v>存在しない</v>
      </c>
      <c r="N111" s="2" t="s">
        <v>1258</v>
      </c>
    </row>
    <row r="112" spans="1:14" collapsed="1" x14ac:dyDescent="0.4">
      <c r="J112" s="6" t="str">
        <f>IFERROR(_xlfn.LET(_xlpm.v,
VLOOKUP($I112,効果!$A:$B,COLUMN(効果!B$1),FALSE),
IF(_xlpm.v=0,"",_xlpm.v)
),"")</f>
        <v/>
      </c>
      <c r="L112" s="15" t="str">
        <f>IF(OR(COUNTIF(クラス!$A$1:$A$1034, $B112),$B112="",COUNTIF(スキル一覧!$A$1:$A$3500, $B112)), "", "存在しない")</f>
        <v/>
      </c>
      <c r="M112" s="2" t="str">
        <f>IF(COUNTIF($B$1:$C111, $B112), "", "存在しない")</f>
        <v>存在しない</v>
      </c>
      <c r="N112" s="2" t="s">
        <v>1258</v>
      </c>
    </row>
    <row r="113" spans="1:14" x14ac:dyDescent="0.4">
      <c r="B113" s="2" t="s">
        <v>31</v>
      </c>
      <c r="J113" s="6" t="str">
        <f>IFERROR(_xlfn.LET(_xlpm.v,
VLOOKUP($I113,効果!$A:$B,COLUMN(効果!B$1),FALSE),
IF(_xlpm.v=0,"",_xlpm.v)
),"")</f>
        <v/>
      </c>
      <c r="L113" s="15" t="str">
        <f>IF(OR(COUNTIF(クラス!$A$1:$A$1034, $B113),$B113="",COUNTIF(スキル一覧!$A$1:$A$3500, $B113)), "", "存在しない")</f>
        <v/>
      </c>
      <c r="M113" s="2" t="str">
        <f>IF(COUNTIF($B$1:$C112, $B113), "", "存在しない")</f>
        <v>存在しない</v>
      </c>
      <c r="N113" s="2" t="s">
        <v>1258</v>
      </c>
    </row>
    <row r="114" spans="1:14" hidden="1" outlineLevel="1" x14ac:dyDescent="0.4">
      <c r="A114" s="2">
        <v>1</v>
      </c>
      <c r="J114" s="6" t="str">
        <f>IFERROR(_xlfn.LET(_xlpm.v,
VLOOKUP($I114,効果!$A:$B,COLUMN(効果!B$1),FALSE),
IF(_xlpm.v=0,"",_xlpm.v)
),"")</f>
        <v/>
      </c>
      <c r="L114" s="15" t="str">
        <f>IF(OR(COUNTIF(クラス!$A$1:$A$1034, $B114),$B114="",COUNTIF(スキル一覧!$A$1:$A$3500, $B114)), "", "存在しない")</f>
        <v/>
      </c>
      <c r="M114" s="2" t="str">
        <f>IF(COUNTIF($B$1:$C113, $B114), "", "存在しない")</f>
        <v>存在しない</v>
      </c>
      <c r="N114" s="2" t="s">
        <v>1258</v>
      </c>
    </row>
    <row r="115" spans="1:14" hidden="1" outlineLevel="1" x14ac:dyDescent="0.4">
      <c r="A115" s="2">
        <v>2</v>
      </c>
      <c r="J115" s="6" t="str">
        <f>IFERROR(_xlfn.LET(_xlpm.v,
VLOOKUP($I115,効果!$A:$B,COLUMN(効果!B$1),FALSE),
IF(_xlpm.v=0,"",_xlpm.v)
),"")</f>
        <v/>
      </c>
      <c r="L115" s="15" t="str">
        <f>IF(OR(COUNTIF(クラス!$A$1:$A$1034, $B115),$B115="",COUNTIF(スキル一覧!$A$1:$A$3500, $B115)), "", "存在しない")</f>
        <v/>
      </c>
      <c r="M115" s="2" t="str">
        <f>IF(COUNTIF($B$1:$C114, $B115), "", "存在しない")</f>
        <v>存在しない</v>
      </c>
      <c r="N115" s="2" t="s">
        <v>1258</v>
      </c>
    </row>
    <row r="116" spans="1:14" hidden="1" outlineLevel="1" x14ac:dyDescent="0.4">
      <c r="A116" s="2">
        <v>3</v>
      </c>
      <c r="J116" s="6" t="str">
        <f>IFERROR(_xlfn.LET(_xlpm.v,
VLOOKUP($I116,効果!$A:$B,COLUMN(効果!B$1),FALSE),
IF(_xlpm.v=0,"",_xlpm.v)
),"")</f>
        <v/>
      </c>
      <c r="L116" s="15" t="str">
        <f>IF(OR(COUNTIF(クラス!$A$1:$A$1034, $B116),$B116="",COUNTIF(スキル一覧!$A$1:$A$3500, $B116)), "", "存在しない")</f>
        <v/>
      </c>
      <c r="M116" s="2" t="str">
        <f>IF(COUNTIF($B$1:$C115, $B116), "", "存在しない")</f>
        <v>存在しない</v>
      </c>
      <c r="N116" s="2" t="s">
        <v>1258</v>
      </c>
    </row>
    <row r="117" spans="1:14" hidden="1" outlineLevel="1" x14ac:dyDescent="0.4">
      <c r="A117" s="2">
        <v>4</v>
      </c>
      <c r="J117" s="6" t="str">
        <f>IFERROR(_xlfn.LET(_xlpm.v,
VLOOKUP($I117,効果!$A:$B,COLUMN(効果!B$1),FALSE),
IF(_xlpm.v=0,"",_xlpm.v)
),"")</f>
        <v/>
      </c>
      <c r="L117" s="15" t="str">
        <f>IF(OR(COUNTIF(クラス!$A$1:$A$1034, $B117),$B117="",COUNTIF(スキル一覧!$A$1:$A$3500, $B117)), "", "存在しない")</f>
        <v/>
      </c>
      <c r="M117" s="2" t="str">
        <f>IF(COUNTIF($B$1:$C116, $B117), "", "存在しない")</f>
        <v>存在しない</v>
      </c>
      <c r="N117" s="2" t="s">
        <v>1258</v>
      </c>
    </row>
    <row r="118" spans="1:14" hidden="1" outlineLevel="1" x14ac:dyDescent="0.4">
      <c r="A118" s="2">
        <v>5</v>
      </c>
      <c r="J118" s="6" t="str">
        <f>IFERROR(_xlfn.LET(_xlpm.v,
VLOOKUP($I118,効果!$A:$B,COLUMN(効果!B$1),FALSE),
IF(_xlpm.v=0,"",_xlpm.v)
),"")</f>
        <v/>
      </c>
      <c r="L118" s="15" t="str">
        <f>IF(OR(COUNTIF(クラス!$A$1:$A$1034, $B118),$B118="",COUNTIF(スキル一覧!$A$1:$A$3500, $B118)), "", "存在しない")</f>
        <v/>
      </c>
      <c r="M118" s="2" t="str">
        <f>IF(COUNTIF($B$1:$C117, $B118), "", "存在しない")</f>
        <v>存在しない</v>
      </c>
      <c r="N118" s="2" t="s">
        <v>1258</v>
      </c>
    </row>
    <row r="119" spans="1:14" hidden="1" outlineLevel="1" x14ac:dyDescent="0.4">
      <c r="A119" s="2">
        <v>6</v>
      </c>
      <c r="J119" s="6" t="str">
        <f>IFERROR(_xlfn.LET(_xlpm.v,
VLOOKUP($I119,効果!$A:$B,COLUMN(効果!B$1),FALSE),
IF(_xlpm.v=0,"",_xlpm.v)
),"")</f>
        <v/>
      </c>
      <c r="L119" s="15" t="str">
        <f>IF(OR(COUNTIF(クラス!$A$1:$A$1034, $B119),$B119="",COUNTIF(スキル一覧!$A$1:$A$3500, $B119)), "", "存在しない")</f>
        <v/>
      </c>
      <c r="M119" s="2" t="str">
        <f>IF(COUNTIF($B$1:$C118, $B119), "", "存在しない")</f>
        <v>存在しない</v>
      </c>
      <c r="N119" s="2" t="s">
        <v>1258</v>
      </c>
    </row>
    <row r="120" spans="1:14" hidden="1" outlineLevel="1" x14ac:dyDescent="0.4">
      <c r="A120" s="2">
        <v>7</v>
      </c>
      <c r="J120" s="6" t="str">
        <f>IFERROR(_xlfn.LET(_xlpm.v,
VLOOKUP($I120,効果!$A:$B,COLUMN(効果!B$1),FALSE),
IF(_xlpm.v=0,"",_xlpm.v)
),"")</f>
        <v/>
      </c>
      <c r="L120" s="15" t="str">
        <f>IF(OR(COUNTIF(クラス!$A$1:$A$1034, $B120),$B120="",COUNTIF(スキル一覧!$A$1:$A$3500, $B120)), "", "存在しない")</f>
        <v/>
      </c>
      <c r="M120" s="2" t="str">
        <f>IF(COUNTIF($B$1:$C119, $B120), "", "存在しない")</f>
        <v>存在しない</v>
      </c>
      <c r="N120" s="2" t="s">
        <v>1258</v>
      </c>
    </row>
    <row r="121" spans="1:14" hidden="1" outlineLevel="1" x14ac:dyDescent="0.4">
      <c r="A121" s="2">
        <v>8</v>
      </c>
      <c r="J121" s="6" t="str">
        <f>IFERROR(_xlfn.LET(_xlpm.v,
VLOOKUP($I121,効果!$A:$B,COLUMN(効果!B$1),FALSE),
IF(_xlpm.v=0,"",_xlpm.v)
),"")</f>
        <v/>
      </c>
      <c r="L121" s="15" t="str">
        <f>IF(OR(COUNTIF(クラス!$A$1:$A$1034, $B121),$B121="",COUNTIF(スキル一覧!$A$1:$A$3500, $B121)), "", "存在しない")</f>
        <v/>
      </c>
      <c r="M121" s="2" t="str">
        <f>IF(COUNTIF($B$1:$C120, $B121), "", "存在しない")</f>
        <v>存在しない</v>
      </c>
      <c r="N121" s="2" t="s">
        <v>1258</v>
      </c>
    </row>
    <row r="122" spans="1:14" hidden="1" outlineLevel="1" x14ac:dyDescent="0.4">
      <c r="A122" s="2">
        <v>9</v>
      </c>
      <c r="J122" s="6" t="str">
        <f>IFERROR(_xlfn.LET(_xlpm.v,
VLOOKUP($I122,効果!$A:$B,COLUMN(効果!B$1),FALSE),
IF(_xlpm.v=0,"",_xlpm.v)
),"")</f>
        <v/>
      </c>
      <c r="L122" s="15" t="str">
        <f>IF(OR(COUNTIF(クラス!$A$1:$A$1034, $B122),$B122="",COUNTIF(スキル一覧!$A$1:$A$3500, $B122)), "", "存在しない")</f>
        <v/>
      </c>
      <c r="M122" s="2" t="str">
        <f>IF(COUNTIF($B$1:$C121, $B122), "", "存在しない")</f>
        <v>存在しない</v>
      </c>
      <c r="N122" s="2" t="s">
        <v>1258</v>
      </c>
    </row>
    <row r="123" spans="1:14" hidden="1" outlineLevel="1" x14ac:dyDescent="0.4">
      <c r="A123" s="2">
        <v>10</v>
      </c>
      <c r="J123" s="6" t="str">
        <f>IFERROR(_xlfn.LET(_xlpm.v,
VLOOKUP($I123,効果!$A:$B,COLUMN(効果!B$1),FALSE),
IF(_xlpm.v=0,"",_xlpm.v)
),"")</f>
        <v/>
      </c>
      <c r="L123" s="15" t="str">
        <f>IF(OR(COUNTIF(クラス!$A$1:$A$1034, $B123),$B123="",COUNTIF(スキル一覧!$A$1:$A$3500, $B123)), "", "存在しない")</f>
        <v/>
      </c>
      <c r="M123" s="2" t="str">
        <f>IF(COUNTIF($B$1:$C122, $B123), "", "存在しない")</f>
        <v>存在しない</v>
      </c>
      <c r="N123" s="2" t="s">
        <v>1258</v>
      </c>
    </row>
    <row r="124" spans="1:14" hidden="1" outlineLevel="1" x14ac:dyDescent="0.4">
      <c r="J124" s="6" t="str">
        <f>IFERROR(_xlfn.LET(_xlpm.v,
VLOOKUP($I124,効果!$A:$B,COLUMN(効果!B$1),FALSE),
IF(_xlpm.v=0,"",_xlpm.v)
),"")</f>
        <v/>
      </c>
      <c r="L124" s="15" t="str">
        <f>IF(OR(COUNTIF(クラス!$A$1:$A$1034, $B124),$B124="",COUNTIF(スキル一覧!$A$1:$A$3500, $B124)), "", "存在しない")</f>
        <v/>
      </c>
      <c r="M124" s="2" t="str">
        <f>IF(COUNTIF($B$1:$C123, $B124), "", "存在しない")</f>
        <v>存在しない</v>
      </c>
      <c r="N124" s="2" t="s">
        <v>1258</v>
      </c>
    </row>
    <row r="125" spans="1:14" collapsed="1" x14ac:dyDescent="0.4">
      <c r="J125" s="6" t="str">
        <f>IFERROR(_xlfn.LET(_xlpm.v,
VLOOKUP($I125,効果!$A:$B,COLUMN(効果!B$1),FALSE),
IF(_xlpm.v=0,"",_xlpm.v)
),"")</f>
        <v/>
      </c>
      <c r="L125" s="15" t="str">
        <f>IF(OR(COUNTIF(クラス!$A$1:$A$1034, $B125),$B125="",COUNTIF(スキル一覧!$A$1:$A$3500, $B125)), "", "存在しない")</f>
        <v/>
      </c>
      <c r="M125" s="2" t="str">
        <f>IF(COUNTIF($B$1:$C124, $B125), "", "存在しない")</f>
        <v>存在しない</v>
      </c>
      <c r="N125" s="2" t="s">
        <v>1258</v>
      </c>
    </row>
    <row r="126" spans="1:14" x14ac:dyDescent="0.4">
      <c r="B126" s="2" t="s">
        <v>33</v>
      </c>
      <c r="J126" s="6" t="str">
        <f>IFERROR(_xlfn.LET(_xlpm.v,
VLOOKUP($I126,効果!$A:$B,COLUMN(効果!B$1),FALSE),
IF(_xlpm.v=0,"",_xlpm.v)
),"")</f>
        <v/>
      </c>
      <c r="L126" s="15" t="str">
        <f>IF(OR(COUNTIF(クラス!$A$1:$A$1034, $B126),$B126="",COUNTIF(スキル一覧!$A$1:$A$3500, $B126)), "", "存在しない")</f>
        <v/>
      </c>
      <c r="M126" s="2" t="str">
        <f>IF(COUNTIF($B$1:$C125, $B126), "", "存在しない")</f>
        <v>存在しない</v>
      </c>
      <c r="N126" s="2" t="s">
        <v>1258</v>
      </c>
    </row>
    <row r="127" spans="1:14" hidden="1" outlineLevel="1" x14ac:dyDescent="0.4">
      <c r="A127" s="2">
        <v>1</v>
      </c>
      <c r="J127" s="6" t="str">
        <f>IFERROR(_xlfn.LET(_xlpm.v,
VLOOKUP($I127,効果!$A:$B,COLUMN(効果!B$1),FALSE),
IF(_xlpm.v=0,"",_xlpm.v)
),"")</f>
        <v/>
      </c>
      <c r="L127" s="15" t="str">
        <f>IF(OR(COUNTIF(クラス!$A$1:$A$1034, $B127),$B127="",COUNTIF(スキル一覧!$A$1:$A$3500, $B127)), "", "存在しない")</f>
        <v/>
      </c>
      <c r="M127" s="2" t="str">
        <f>IF(COUNTIF($B$1:$C126, $B127), "", "存在しない")</f>
        <v>存在しない</v>
      </c>
      <c r="N127" s="2" t="s">
        <v>1258</v>
      </c>
    </row>
    <row r="128" spans="1:14" hidden="1" outlineLevel="1" x14ac:dyDescent="0.4">
      <c r="A128" s="2">
        <v>2</v>
      </c>
      <c r="J128" s="6" t="str">
        <f>IFERROR(_xlfn.LET(_xlpm.v,
VLOOKUP($I128,効果!$A:$B,COLUMN(効果!B$1),FALSE),
IF(_xlpm.v=0,"",_xlpm.v)
),"")</f>
        <v/>
      </c>
      <c r="L128" s="15" t="str">
        <f>IF(OR(COUNTIF(クラス!$A$1:$A$1034, $B128),$B128="",COUNTIF(スキル一覧!$A$1:$A$3500, $B128)), "", "存在しない")</f>
        <v/>
      </c>
      <c r="M128" s="2" t="str">
        <f>IF(COUNTIF($B$1:$C127, $B128), "", "存在しない")</f>
        <v>存在しない</v>
      </c>
      <c r="N128" s="2" t="s">
        <v>1258</v>
      </c>
    </row>
    <row r="129" spans="1:14" hidden="1" outlineLevel="1" x14ac:dyDescent="0.4">
      <c r="A129" s="2">
        <v>3</v>
      </c>
      <c r="J129" s="6" t="str">
        <f>IFERROR(_xlfn.LET(_xlpm.v,
VLOOKUP($I129,効果!$A:$B,COLUMN(効果!B$1),FALSE),
IF(_xlpm.v=0,"",_xlpm.v)
),"")</f>
        <v/>
      </c>
      <c r="L129" s="15" t="str">
        <f>IF(OR(COUNTIF(クラス!$A$1:$A$1034, $B129),$B129="",COUNTIF(スキル一覧!$A$1:$A$3500, $B129)), "", "存在しない")</f>
        <v/>
      </c>
      <c r="M129" s="2" t="str">
        <f>IF(COUNTIF($B$1:$C128, $B129), "", "存在しない")</f>
        <v>存在しない</v>
      </c>
      <c r="N129" s="2" t="s">
        <v>1258</v>
      </c>
    </row>
    <row r="130" spans="1:14" hidden="1" outlineLevel="1" x14ac:dyDescent="0.4">
      <c r="A130" s="2">
        <v>4</v>
      </c>
      <c r="J130" s="6" t="str">
        <f>IFERROR(_xlfn.LET(_xlpm.v,
VLOOKUP($I130,効果!$A:$B,COLUMN(効果!B$1),FALSE),
IF(_xlpm.v=0,"",_xlpm.v)
),"")</f>
        <v/>
      </c>
      <c r="L130" s="15" t="str">
        <f>IF(OR(COUNTIF(クラス!$A$1:$A$1034, $B130),$B130="",COUNTIF(スキル一覧!$A$1:$A$3500, $B130)), "", "存在しない")</f>
        <v/>
      </c>
      <c r="M130" s="2" t="str">
        <f>IF(COUNTIF($B$1:$C129, $B130), "", "存在しない")</f>
        <v>存在しない</v>
      </c>
      <c r="N130" s="2" t="s">
        <v>1258</v>
      </c>
    </row>
    <row r="131" spans="1:14" hidden="1" outlineLevel="1" x14ac:dyDescent="0.4">
      <c r="A131" s="2">
        <v>5</v>
      </c>
      <c r="J131" s="6" t="str">
        <f>IFERROR(_xlfn.LET(_xlpm.v,
VLOOKUP($I131,効果!$A:$B,COLUMN(効果!B$1),FALSE),
IF(_xlpm.v=0,"",_xlpm.v)
),"")</f>
        <v/>
      </c>
      <c r="L131" s="15" t="str">
        <f>IF(OR(COUNTIF(クラス!$A$1:$A$1034, $B131),$B131="",COUNTIF(スキル一覧!$A$1:$A$3500, $B131)), "", "存在しない")</f>
        <v/>
      </c>
      <c r="M131" s="2" t="str">
        <f>IF(COUNTIF($B$1:$C130, $B131), "", "存在しない")</f>
        <v>存在しない</v>
      </c>
      <c r="N131" s="2" t="s">
        <v>1258</v>
      </c>
    </row>
    <row r="132" spans="1:14" hidden="1" outlineLevel="1" x14ac:dyDescent="0.4">
      <c r="A132" s="2">
        <v>6</v>
      </c>
      <c r="J132" s="6" t="str">
        <f>IFERROR(_xlfn.LET(_xlpm.v,
VLOOKUP($I132,効果!$A:$B,COLUMN(効果!B$1),FALSE),
IF(_xlpm.v=0,"",_xlpm.v)
),"")</f>
        <v/>
      </c>
      <c r="L132" s="15" t="str">
        <f>IF(OR(COUNTIF(クラス!$A$1:$A$1034, $B132),$B132="",COUNTIF(スキル一覧!$A$1:$A$3500, $B132)), "", "存在しない")</f>
        <v/>
      </c>
      <c r="M132" s="2" t="str">
        <f>IF(COUNTIF($B$1:$C131, $B132), "", "存在しない")</f>
        <v>存在しない</v>
      </c>
      <c r="N132" s="2" t="s">
        <v>1258</v>
      </c>
    </row>
    <row r="133" spans="1:14" hidden="1" outlineLevel="1" x14ac:dyDescent="0.4">
      <c r="A133" s="2">
        <v>7</v>
      </c>
      <c r="J133" s="6" t="str">
        <f>IFERROR(_xlfn.LET(_xlpm.v,
VLOOKUP($I133,効果!$A:$B,COLUMN(効果!B$1),FALSE),
IF(_xlpm.v=0,"",_xlpm.v)
),"")</f>
        <v/>
      </c>
      <c r="L133" s="15" t="str">
        <f>IF(OR(COUNTIF(クラス!$A$1:$A$1034, $B133),$B133="",COUNTIF(スキル一覧!$A$1:$A$3500, $B133)), "", "存在しない")</f>
        <v/>
      </c>
      <c r="M133" s="2" t="str">
        <f>IF(COUNTIF($B$1:$C132, $B133), "", "存在しない")</f>
        <v>存在しない</v>
      </c>
      <c r="N133" s="2" t="s">
        <v>1258</v>
      </c>
    </row>
    <row r="134" spans="1:14" hidden="1" outlineLevel="1" x14ac:dyDescent="0.4">
      <c r="A134" s="2">
        <v>8</v>
      </c>
      <c r="J134" s="6" t="str">
        <f>IFERROR(_xlfn.LET(_xlpm.v,
VLOOKUP($I134,効果!$A:$B,COLUMN(効果!B$1),FALSE),
IF(_xlpm.v=0,"",_xlpm.v)
),"")</f>
        <v/>
      </c>
      <c r="L134" s="15" t="str">
        <f>IF(OR(COUNTIF(クラス!$A$1:$A$1034, $B134),$B134="",COUNTIF(スキル一覧!$A$1:$A$3500, $B134)), "", "存在しない")</f>
        <v/>
      </c>
      <c r="M134" s="2" t="str">
        <f>IF(COUNTIF($B$1:$C133, $B134), "", "存在しない")</f>
        <v>存在しない</v>
      </c>
      <c r="N134" s="2" t="s">
        <v>1258</v>
      </c>
    </row>
    <row r="135" spans="1:14" hidden="1" outlineLevel="1" x14ac:dyDescent="0.4">
      <c r="A135" s="2">
        <v>9</v>
      </c>
      <c r="J135" s="6" t="str">
        <f>IFERROR(_xlfn.LET(_xlpm.v,
VLOOKUP($I135,効果!$A:$B,COLUMN(効果!B$1),FALSE),
IF(_xlpm.v=0,"",_xlpm.v)
),"")</f>
        <v/>
      </c>
      <c r="L135" s="15" t="str">
        <f>IF(OR(COUNTIF(クラス!$A$1:$A$1034, $B135),$B135="",COUNTIF(スキル一覧!$A$1:$A$3500, $B135)), "", "存在しない")</f>
        <v/>
      </c>
      <c r="M135" s="2" t="str">
        <f>IF(COUNTIF($B$1:$C134, $B135), "", "存在しない")</f>
        <v>存在しない</v>
      </c>
      <c r="N135" s="2" t="s">
        <v>1258</v>
      </c>
    </row>
    <row r="136" spans="1:14" hidden="1" outlineLevel="1" x14ac:dyDescent="0.4">
      <c r="A136" s="2">
        <v>10</v>
      </c>
      <c r="J136" s="6" t="str">
        <f>IFERROR(_xlfn.LET(_xlpm.v,
VLOOKUP($I136,効果!$A:$B,COLUMN(効果!B$1),FALSE),
IF(_xlpm.v=0,"",_xlpm.v)
),"")</f>
        <v/>
      </c>
      <c r="L136" s="15" t="str">
        <f>IF(OR(COUNTIF(クラス!$A$1:$A$1034, $B136),$B136="",COUNTIF(スキル一覧!$A$1:$A$3500, $B136)), "", "存在しない")</f>
        <v/>
      </c>
      <c r="M136" s="2" t="str">
        <f>IF(COUNTIF($B$1:$C135, $B136), "", "存在しない")</f>
        <v>存在しない</v>
      </c>
      <c r="N136" s="2" t="s">
        <v>1258</v>
      </c>
    </row>
    <row r="137" spans="1:14" hidden="1" outlineLevel="1" x14ac:dyDescent="0.4">
      <c r="J137" s="6" t="str">
        <f>IFERROR(_xlfn.LET(_xlpm.v,
VLOOKUP($I137,効果!$A:$B,COLUMN(効果!B$1),FALSE),
IF(_xlpm.v=0,"",_xlpm.v)
),"")</f>
        <v/>
      </c>
      <c r="L137" s="15" t="str">
        <f>IF(OR(COUNTIF(クラス!$A$1:$A$1034, $B137),$B137="",COUNTIF(スキル一覧!$A$1:$A$3500, $B137)), "", "存在しない")</f>
        <v/>
      </c>
      <c r="M137" s="2" t="str">
        <f>IF(COUNTIF($B$1:$C136, $B137), "", "存在しない")</f>
        <v>存在しない</v>
      </c>
      <c r="N137" s="2" t="s">
        <v>1258</v>
      </c>
    </row>
    <row r="138" spans="1:14" collapsed="1" x14ac:dyDescent="0.4">
      <c r="J138" s="6" t="str">
        <f>IFERROR(_xlfn.LET(_xlpm.v,
VLOOKUP($I138,効果!$A:$B,COLUMN(効果!B$1),FALSE),
IF(_xlpm.v=0,"",_xlpm.v)
),"")</f>
        <v/>
      </c>
      <c r="L138" s="15" t="str">
        <f>IF(OR(COUNTIF(クラス!$A$1:$A$1034, $B138),$B138="",COUNTIF(スキル一覧!$A$1:$A$3500, $B138)), "", "存在しない")</f>
        <v/>
      </c>
      <c r="M138" s="2" t="str">
        <f>IF(COUNTIF($B$1:$C137, $B138), "", "存在しない")</f>
        <v>存在しない</v>
      </c>
      <c r="N138" s="2" t="s">
        <v>1258</v>
      </c>
    </row>
    <row r="139" spans="1:14" x14ac:dyDescent="0.4">
      <c r="J139" s="6" t="str">
        <f>IFERROR(_xlfn.LET(_xlpm.v,
VLOOKUP($I139,効果!$A:$B,COLUMN(効果!B$1),FALSE),
IF(_xlpm.v=0,"",_xlpm.v)
),"")</f>
        <v/>
      </c>
      <c r="L139" s="15" t="str">
        <f>IF(OR(COUNTIF(クラス!$A$1:$A$1034, $B139),$B139="",COUNTIF(スキル一覧!$A$1:$A$3500, $B139)), "", "存在しない")</f>
        <v/>
      </c>
      <c r="M139" s="2" t="str">
        <f>IF(COUNTIF($B$1:$C138, $B139), "", "存在しない")</f>
        <v>存在しない</v>
      </c>
      <c r="N139" s="2" t="s">
        <v>1258</v>
      </c>
    </row>
    <row r="140" spans="1:14" x14ac:dyDescent="0.4">
      <c r="B140" s="2" t="s">
        <v>249</v>
      </c>
      <c r="J140" s="6" t="str">
        <f>IFERROR(_xlfn.LET(_xlpm.v,
VLOOKUP($I140,効果!$A:$B,COLUMN(効果!B$1),FALSE),
IF(_xlpm.v=0,"",_xlpm.v)
),"")</f>
        <v/>
      </c>
      <c r="L140" s="15" t="str">
        <f>IF(OR(COUNTIF(クラス!$A$1:$A$1034, $B140),$B140="",COUNTIF(スキル一覧!$A$1:$A$3500, $B140)), "", "存在しない")</f>
        <v/>
      </c>
      <c r="M140" s="2" t="str">
        <f>IF(COUNTIF($B$1:$C139, $B140), "", "存在しない")</f>
        <v>存在しない</v>
      </c>
      <c r="N140" s="2" t="s">
        <v>1258</v>
      </c>
    </row>
    <row r="141" spans="1:14" hidden="1" outlineLevel="1" x14ac:dyDescent="0.4">
      <c r="A141" s="2">
        <v>1</v>
      </c>
      <c r="J141" s="6" t="str">
        <f>IFERROR(_xlfn.LET(_xlpm.v,
VLOOKUP($I141,効果!$A:$B,COLUMN(効果!B$1),FALSE),
IF(_xlpm.v=0,"",_xlpm.v)
),"")</f>
        <v/>
      </c>
      <c r="L141" s="15" t="str">
        <f>IF(OR(COUNTIF(クラス!$A$1:$A$1034, $B141),$B141="",COUNTIF(スキル一覧!$A$1:$A$3500, $B141)), "", "存在しない")</f>
        <v/>
      </c>
      <c r="M141" s="2" t="str">
        <f>IF(COUNTIF($B$1:$C140, $B141), "", "存在しない")</f>
        <v>存在しない</v>
      </c>
      <c r="N141" s="2" t="s">
        <v>1258</v>
      </c>
    </row>
    <row r="142" spans="1:14" hidden="1" outlineLevel="1" x14ac:dyDescent="0.4">
      <c r="A142" s="2">
        <v>2</v>
      </c>
      <c r="J142" s="6" t="str">
        <f>IFERROR(_xlfn.LET(_xlpm.v,
VLOOKUP($I142,効果!$A:$B,COLUMN(効果!B$1),FALSE),
IF(_xlpm.v=0,"",_xlpm.v)
),"")</f>
        <v/>
      </c>
      <c r="L142" s="15" t="str">
        <f>IF(OR(COUNTIF(クラス!$A$1:$A$1034, $B142),$B142="",COUNTIF(スキル一覧!$A$1:$A$3500, $B142)), "", "存在しない")</f>
        <v/>
      </c>
      <c r="M142" s="2" t="str">
        <f>IF(COUNTIF($B$1:$C141, $B142), "", "存在しない")</f>
        <v>存在しない</v>
      </c>
      <c r="N142" s="2" t="s">
        <v>1258</v>
      </c>
    </row>
    <row r="143" spans="1:14" hidden="1" outlineLevel="1" x14ac:dyDescent="0.4">
      <c r="A143" s="2">
        <v>3</v>
      </c>
      <c r="J143" s="6" t="str">
        <f>IFERROR(_xlfn.LET(_xlpm.v,
VLOOKUP($I143,効果!$A:$B,COLUMN(効果!B$1),FALSE),
IF(_xlpm.v=0,"",_xlpm.v)
),"")</f>
        <v/>
      </c>
      <c r="L143" s="15" t="str">
        <f>IF(OR(COUNTIF(クラス!$A$1:$A$1034, $B143),$B143="",COUNTIF(スキル一覧!$A$1:$A$3500, $B143)), "", "存在しない")</f>
        <v/>
      </c>
      <c r="M143" s="2" t="str">
        <f>IF(COUNTIF($B$1:$C142, $B143), "", "存在しない")</f>
        <v>存在しない</v>
      </c>
      <c r="N143" s="2" t="s">
        <v>1258</v>
      </c>
    </row>
    <row r="144" spans="1:14" hidden="1" outlineLevel="1" x14ac:dyDescent="0.4">
      <c r="A144" s="2">
        <v>4</v>
      </c>
      <c r="J144" s="6" t="str">
        <f>IFERROR(_xlfn.LET(_xlpm.v,
VLOOKUP($I144,効果!$A:$B,COLUMN(効果!B$1),FALSE),
IF(_xlpm.v=0,"",_xlpm.v)
),"")</f>
        <v/>
      </c>
      <c r="L144" s="15" t="str">
        <f>IF(OR(COUNTIF(クラス!$A$1:$A$1034, $B144),$B144="",COUNTIF(スキル一覧!$A$1:$A$3500, $B144)), "", "存在しない")</f>
        <v/>
      </c>
      <c r="M144" s="2" t="str">
        <f>IF(COUNTIF($B$1:$C143, $B144), "", "存在しない")</f>
        <v>存在しない</v>
      </c>
      <c r="N144" s="2" t="s">
        <v>1258</v>
      </c>
    </row>
    <row r="145" spans="1:14" hidden="1" outlineLevel="1" x14ac:dyDescent="0.4">
      <c r="A145" s="2">
        <v>5</v>
      </c>
      <c r="J145" s="6" t="str">
        <f>IFERROR(_xlfn.LET(_xlpm.v,
VLOOKUP($I145,効果!$A:$B,COLUMN(効果!B$1),FALSE),
IF(_xlpm.v=0,"",_xlpm.v)
),"")</f>
        <v/>
      </c>
      <c r="L145" s="15" t="str">
        <f>IF(OR(COUNTIF(クラス!$A$1:$A$1034, $B145),$B145="",COUNTIF(スキル一覧!$A$1:$A$3500, $B145)), "", "存在しない")</f>
        <v/>
      </c>
      <c r="M145" s="2" t="str">
        <f>IF(COUNTIF($B$1:$C144, $B145), "", "存在しない")</f>
        <v>存在しない</v>
      </c>
      <c r="N145" s="2" t="s">
        <v>1258</v>
      </c>
    </row>
    <row r="146" spans="1:14" hidden="1" outlineLevel="1" x14ac:dyDescent="0.4">
      <c r="A146" s="2">
        <v>6</v>
      </c>
      <c r="J146" s="6" t="str">
        <f>IFERROR(_xlfn.LET(_xlpm.v,
VLOOKUP($I146,効果!$A:$B,COLUMN(効果!B$1),FALSE),
IF(_xlpm.v=0,"",_xlpm.v)
),"")</f>
        <v/>
      </c>
      <c r="L146" s="15" t="str">
        <f>IF(OR(COUNTIF(クラス!$A$1:$A$1034, $B146),$B146="",COUNTIF(スキル一覧!$A$1:$A$3500, $B146)), "", "存在しない")</f>
        <v/>
      </c>
      <c r="M146" s="2" t="str">
        <f>IF(COUNTIF($B$1:$C145, $B146), "", "存在しない")</f>
        <v>存在しない</v>
      </c>
      <c r="N146" s="2" t="s">
        <v>1258</v>
      </c>
    </row>
    <row r="147" spans="1:14" hidden="1" outlineLevel="1" x14ac:dyDescent="0.4">
      <c r="A147" s="2">
        <v>7</v>
      </c>
      <c r="J147" s="6" t="str">
        <f>IFERROR(_xlfn.LET(_xlpm.v,
VLOOKUP($I147,効果!$A:$B,COLUMN(効果!B$1),FALSE),
IF(_xlpm.v=0,"",_xlpm.v)
),"")</f>
        <v/>
      </c>
      <c r="L147" s="15" t="str">
        <f>IF(OR(COUNTIF(クラス!$A$1:$A$1034, $B147),$B147="",COUNTIF(スキル一覧!$A$1:$A$3500, $B147)), "", "存在しない")</f>
        <v/>
      </c>
      <c r="M147" s="2" t="str">
        <f>IF(COUNTIF($B$1:$C146, $B147), "", "存在しない")</f>
        <v>存在しない</v>
      </c>
      <c r="N147" s="2" t="s">
        <v>1258</v>
      </c>
    </row>
    <row r="148" spans="1:14" hidden="1" outlineLevel="1" x14ac:dyDescent="0.4">
      <c r="A148" s="2">
        <v>8</v>
      </c>
      <c r="J148" s="6" t="str">
        <f>IFERROR(_xlfn.LET(_xlpm.v,
VLOOKUP($I148,効果!$A:$B,COLUMN(効果!B$1),FALSE),
IF(_xlpm.v=0,"",_xlpm.v)
),"")</f>
        <v/>
      </c>
      <c r="L148" s="15" t="str">
        <f>IF(OR(COUNTIF(クラス!$A$1:$A$1034, $B148),$B148="",COUNTIF(スキル一覧!$A$1:$A$3500, $B148)), "", "存在しない")</f>
        <v/>
      </c>
      <c r="M148" s="2" t="str">
        <f>IF(COUNTIF($B$1:$C147, $B148), "", "存在しない")</f>
        <v>存在しない</v>
      </c>
      <c r="N148" s="2" t="s">
        <v>1258</v>
      </c>
    </row>
    <row r="149" spans="1:14" hidden="1" outlineLevel="1" x14ac:dyDescent="0.4">
      <c r="A149" s="2">
        <v>9</v>
      </c>
      <c r="J149" s="6" t="str">
        <f>IFERROR(_xlfn.LET(_xlpm.v,
VLOOKUP($I149,効果!$A:$B,COLUMN(効果!B$1),FALSE),
IF(_xlpm.v=0,"",_xlpm.v)
),"")</f>
        <v/>
      </c>
      <c r="L149" s="15" t="str">
        <f>IF(OR(COUNTIF(クラス!$A$1:$A$1034, $B149),$B149="",COUNTIF(スキル一覧!$A$1:$A$3500, $B149)), "", "存在しない")</f>
        <v/>
      </c>
      <c r="M149" s="2" t="str">
        <f>IF(COUNTIF($B$1:$C148, $B149), "", "存在しない")</f>
        <v>存在しない</v>
      </c>
      <c r="N149" s="2" t="s">
        <v>1258</v>
      </c>
    </row>
    <row r="150" spans="1:14" hidden="1" outlineLevel="1" x14ac:dyDescent="0.4">
      <c r="A150" s="2">
        <v>10</v>
      </c>
      <c r="J150" s="6" t="str">
        <f>IFERROR(_xlfn.LET(_xlpm.v,
VLOOKUP($I150,効果!$A:$B,COLUMN(効果!B$1),FALSE),
IF(_xlpm.v=0,"",_xlpm.v)
),"")</f>
        <v/>
      </c>
      <c r="L150" s="15" t="str">
        <f>IF(OR(COUNTIF(クラス!$A$1:$A$1034, $B150),$B150="",COUNTIF(スキル一覧!$A$1:$A$3500, $B150)), "", "存在しない")</f>
        <v/>
      </c>
      <c r="M150" s="2" t="str">
        <f>IF(COUNTIF($B$1:$C149, $B150), "", "存在しない")</f>
        <v>存在しない</v>
      </c>
      <c r="N150" s="2" t="s">
        <v>1258</v>
      </c>
    </row>
    <row r="151" spans="1:14" hidden="1" outlineLevel="1" x14ac:dyDescent="0.4">
      <c r="J151" s="6" t="str">
        <f>IFERROR(_xlfn.LET(_xlpm.v,
VLOOKUP($I151,効果!$A:$B,COLUMN(効果!B$1),FALSE),
IF(_xlpm.v=0,"",_xlpm.v)
),"")</f>
        <v/>
      </c>
      <c r="L151" s="15" t="str">
        <f>IF(OR(COUNTIF(クラス!$A$1:$A$1034, $B151),$B151="",COUNTIF(スキル一覧!$A$1:$A$3500, $B151)), "", "存在しない")</f>
        <v/>
      </c>
      <c r="M151" s="2" t="str">
        <f>IF(COUNTIF($B$1:$C150, $B151), "", "存在しない")</f>
        <v>存在しない</v>
      </c>
      <c r="N151" s="2" t="s">
        <v>1258</v>
      </c>
    </row>
    <row r="152" spans="1:14" collapsed="1" x14ac:dyDescent="0.4">
      <c r="J152" s="6" t="str">
        <f>IFERROR(_xlfn.LET(_xlpm.v,
VLOOKUP($I152,効果!$A:$B,COLUMN(効果!B$1),FALSE),
IF(_xlpm.v=0,"",_xlpm.v)
),"")</f>
        <v/>
      </c>
      <c r="L152" s="15" t="str">
        <f>IF(OR(COUNTIF(クラス!$A$1:$A$1034, $B152),$B152="",COUNTIF(スキル一覧!$A$1:$A$3500, $B152)), "", "存在しない")</f>
        <v/>
      </c>
      <c r="M152" s="2" t="str">
        <f>IF(COUNTIF($B$1:$C151, $B152), "", "存在しない")</f>
        <v>存在しない</v>
      </c>
      <c r="N152" s="2" t="s">
        <v>1258</v>
      </c>
    </row>
    <row r="153" spans="1:14" x14ac:dyDescent="0.4">
      <c r="B153" s="2" t="s">
        <v>251</v>
      </c>
      <c r="J153" s="6" t="str">
        <f>IFERROR(_xlfn.LET(_xlpm.v,
VLOOKUP($I153,効果!$A:$B,COLUMN(効果!B$1),FALSE),
IF(_xlpm.v=0,"",_xlpm.v)
),"")</f>
        <v/>
      </c>
      <c r="L153" s="15" t="str">
        <f>IF(OR(COUNTIF(クラス!$A$1:$A$1034, $B153),$B153="",COUNTIF(スキル一覧!$A$1:$A$3500, $B153)), "", "存在しない")</f>
        <v/>
      </c>
      <c r="M153" s="2" t="str">
        <f>IF(COUNTIF($B$1:$C152, $B153), "", "存在しない")</f>
        <v>存在しない</v>
      </c>
      <c r="N153" s="2" t="s">
        <v>1258</v>
      </c>
    </row>
    <row r="154" spans="1:14" hidden="1" outlineLevel="1" x14ac:dyDescent="0.4">
      <c r="A154" s="2">
        <v>1</v>
      </c>
      <c r="J154" s="6" t="str">
        <f>IFERROR(_xlfn.LET(_xlpm.v,
VLOOKUP($I154,効果!$A:$B,COLUMN(効果!B$1),FALSE),
IF(_xlpm.v=0,"",_xlpm.v)
),"")</f>
        <v/>
      </c>
      <c r="L154" s="15" t="str">
        <f>IF(OR(COUNTIF(クラス!$A$1:$A$1034, $B154),$B154="",COUNTIF(スキル一覧!$A$1:$A$3500, $B154)), "", "存在しない")</f>
        <v/>
      </c>
      <c r="M154" s="2" t="str">
        <f>IF(COUNTIF($B$1:$C153, $B154), "", "存在しない")</f>
        <v>存在しない</v>
      </c>
      <c r="N154" s="2" t="s">
        <v>1258</v>
      </c>
    </row>
    <row r="155" spans="1:14" hidden="1" outlineLevel="1" x14ac:dyDescent="0.4">
      <c r="A155" s="2">
        <v>2</v>
      </c>
      <c r="J155" s="6" t="str">
        <f>IFERROR(_xlfn.LET(_xlpm.v,
VLOOKUP($I155,効果!$A:$B,COLUMN(効果!B$1),FALSE),
IF(_xlpm.v=0,"",_xlpm.v)
),"")</f>
        <v/>
      </c>
      <c r="L155" s="15" t="str">
        <f>IF(OR(COUNTIF(クラス!$A$1:$A$1034, $B155),$B155="",COUNTIF(スキル一覧!$A$1:$A$3500, $B155)), "", "存在しない")</f>
        <v/>
      </c>
      <c r="M155" s="2" t="str">
        <f>IF(COUNTIF($B$1:$C154, $B155), "", "存在しない")</f>
        <v>存在しない</v>
      </c>
      <c r="N155" s="2" t="s">
        <v>1258</v>
      </c>
    </row>
    <row r="156" spans="1:14" hidden="1" outlineLevel="1" x14ac:dyDescent="0.4">
      <c r="A156" s="2">
        <v>3</v>
      </c>
      <c r="J156" s="6" t="str">
        <f>IFERROR(_xlfn.LET(_xlpm.v,
VLOOKUP($I156,効果!$A:$B,COLUMN(効果!B$1),FALSE),
IF(_xlpm.v=0,"",_xlpm.v)
),"")</f>
        <v/>
      </c>
      <c r="L156" s="15" t="str">
        <f>IF(OR(COUNTIF(クラス!$A$1:$A$1034, $B156),$B156="",COUNTIF(スキル一覧!$A$1:$A$3500, $B156)), "", "存在しない")</f>
        <v/>
      </c>
      <c r="M156" s="2" t="str">
        <f>IF(COUNTIF($B$1:$C155, $B156), "", "存在しない")</f>
        <v>存在しない</v>
      </c>
      <c r="N156" s="2" t="s">
        <v>1258</v>
      </c>
    </row>
    <row r="157" spans="1:14" hidden="1" outlineLevel="1" x14ac:dyDescent="0.4">
      <c r="A157" s="2">
        <v>4</v>
      </c>
      <c r="J157" s="6" t="str">
        <f>IFERROR(_xlfn.LET(_xlpm.v,
VLOOKUP($I157,効果!$A:$B,COLUMN(効果!B$1),FALSE),
IF(_xlpm.v=0,"",_xlpm.v)
),"")</f>
        <v/>
      </c>
      <c r="L157" s="15" t="str">
        <f>IF(OR(COUNTIF(クラス!$A$1:$A$1034, $B157),$B157="",COUNTIF(スキル一覧!$A$1:$A$3500, $B157)), "", "存在しない")</f>
        <v/>
      </c>
      <c r="M157" s="2" t="str">
        <f>IF(COUNTIF($B$1:$C156, $B157), "", "存在しない")</f>
        <v>存在しない</v>
      </c>
      <c r="N157" s="2" t="s">
        <v>1258</v>
      </c>
    </row>
    <row r="158" spans="1:14" hidden="1" outlineLevel="1" x14ac:dyDescent="0.4">
      <c r="A158" s="2">
        <v>5</v>
      </c>
      <c r="J158" s="6" t="str">
        <f>IFERROR(_xlfn.LET(_xlpm.v,
VLOOKUP($I158,効果!$A:$B,COLUMN(効果!B$1),FALSE),
IF(_xlpm.v=0,"",_xlpm.v)
),"")</f>
        <v/>
      </c>
      <c r="L158" s="15" t="str">
        <f>IF(OR(COUNTIF(クラス!$A$1:$A$1034, $B158),$B158="",COUNTIF(スキル一覧!$A$1:$A$3500, $B158)), "", "存在しない")</f>
        <v/>
      </c>
      <c r="M158" s="2" t="str">
        <f>IF(COUNTIF($B$1:$C157, $B158), "", "存在しない")</f>
        <v>存在しない</v>
      </c>
      <c r="N158" s="2" t="s">
        <v>1258</v>
      </c>
    </row>
    <row r="159" spans="1:14" hidden="1" outlineLevel="1" x14ac:dyDescent="0.4">
      <c r="A159" s="2">
        <v>6</v>
      </c>
      <c r="J159" s="6" t="str">
        <f>IFERROR(_xlfn.LET(_xlpm.v,
VLOOKUP($I159,効果!$A:$B,COLUMN(効果!B$1),FALSE),
IF(_xlpm.v=0,"",_xlpm.v)
),"")</f>
        <v/>
      </c>
      <c r="L159" s="15" t="str">
        <f>IF(OR(COUNTIF(クラス!$A$1:$A$1034, $B159),$B159="",COUNTIF(スキル一覧!$A$1:$A$3500, $B159)), "", "存在しない")</f>
        <v/>
      </c>
      <c r="M159" s="2" t="str">
        <f>IF(COUNTIF($B$1:$C158, $B159), "", "存在しない")</f>
        <v>存在しない</v>
      </c>
      <c r="N159" s="2" t="s">
        <v>1258</v>
      </c>
    </row>
    <row r="160" spans="1:14" hidden="1" outlineLevel="1" x14ac:dyDescent="0.4">
      <c r="A160" s="2">
        <v>7</v>
      </c>
      <c r="J160" s="6" t="str">
        <f>IFERROR(_xlfn.LET(_xlpm.v,
VLOOKUP($I160,効果!$A:$B,COLUMN(効果!B$1),FALSE),
IF(_xlpm.v=0,"",_xlpm.v)
),"")</f>
        <v/>
      </c>
      <c r="L160" s="15" t="str">
        <f>IF(OR(COUNTIF(クラス!$A$1:$A$1034, $B160),$B160="",COUNTIF(スキル一覧!$A$1:$A$3500, $B160)), "", "存在しない")</f>
        <v/>
      </c>
      <c r="M160" s="2" t="str">
        <f>IF(COUNTIF($B$1:$C159, $B160), "", "存在しない")</f>
        <v>存在しない</v>
      </c>
      <c r="N160" s="2" t="s">
        <v>1258</v>
      </c>
    </row>
    <row r="161" spans="1:14" hidden="1" outlineLevel="1" x14ac:dyDescent="0.4">
      <c r="A161" s="2">
        <v>8</v>
      </c>
      <c r="J161" s="6" t="str">
        <f>IFERROR(_xlfn.LET(_xlpm.v,
VLOOKUP($I161,効果!$A:$B,COLUMN(効果!B$1),FALSE),
IF(_xlpm.v=0,"",_xlpm.v)
),"")</f>
        <v/>
      </c>
      <c r="L161" s="15" t="str">
        <f>IF(OR(COUNTIF(クラス!$A$1:$A$1034, $B161),$B161="",COUNTIF(スキル一覧!$A$1:$A$3500, $B161)), "", "存在しない")</f>
        <v/>
      </c>
      <c r="M161" s="2" t="str">
        <f>IF(COUNTIF($B$1:$C160, $B161), "", "存在しない")</f>
        <v>存在しない</v>
      </c>
      <c r="N161" s="2" t="s">
        <v>1258</v>
      </c>
    </row>
    <row r="162" spans="1:14" hidden="1" outlineLevel="1" x14ac:dyDescent="0.4">
      <c r="A162" s="2">
        <v>9</v>
      </c>
      <c r="J162" s="6" t="str">
        <f>IFERROR(_xlfn.LET(_xlpm.v,
VLOOKUP($I162,効果!$A:$B,COLUMN(効果!B$1),FALSE),
IF(_xlpm.v=0,"",_xlpm.v)
),"")</f>
        <v/>
      </c>
      <c r="L162" s="15" t="str">
        <f>IF(OR(COUNTIF(クラス!$A$1:$A$1034, $B162),$B162="",COUNTIF(スキル一覧!$A$1:$A$3500, $B162)), "", "存在しない")</f>
        <v/>
      </c>
      <c r="M162" s="2" t="str">
        <f>IF(COUNTIF($B$1:$C161, $B162), "", "存在しない")</f>
        <v>存在しない</v>
      </c>
      <c r="N162" s="2" t="s">
        <v>1258</v>
      </c>
    </row>
    <row r="163" spans="1:14" hidden="1" outlineLevel="1" x14ac:dyDescent="0.4">
      <c r="A163" s="2">
        <v>10</v>
      </c>
      <c r="J163" s="6" t="str">
        <f>IFERROR(_xlfn.LET(_xlpm.v,
VLOOKUP($I163,効果!$A:$B,COLUMN(効果!B$1),FALSE),
IF(_xlpm.v=0,"",_xlpm.v)
),"")</f>
        <v/>
      </c>
      <c r="L163" s="15" t="str">
        <f>IF(OR(COUNTIF(クラス!$A$1:$A$1034, $B163),$B163="",COUNTIF(スキル一覧!$A$1:$A$3500, $B163)), "", "存在しない")</f>
        <v/>
      </c>
      <c r="M163" s="2" t="str">
        <f>IF(COUNTIF($B$1:$C162, $B163), "", "存在しない")</f>
        <v>存在しない</v>
      </c>
      <c r="N163" s="2" t="s">
        <v>1258</v>
      </c>
    </row>
    <row r="164" spans="1:14" hidden="1" outlineLevel="1" x14ac:dyDescent="0.4">
      <c r="J164" s="6" t="str">
        <f>IFERROR(_xlfn.LET(_xlpm.v,
VLOOKUP($I164,効果!$A:$B,COLUMN(効果!B$1),FALSE),
IF(_xlpm.v=0,"",_xlpm.v)
),"")</f>
        <v/>
      </c>
      <c r="L164" s="15" t="str">
        <f>IF(OR(COUNTIF(クラス!$A$1:$A$1034, $B164),$B164="",COUNTIF(スキル一覧!$A$1:$A$3500, $B164)), "", "存在しない")</f>
        <v/>
      </c>
      <c r="M164" s="2" t="str">
        <f>IF(COUNTIF($B$1:$C163, $B164), "", "存在しない")</f>
        <v>存在しない</v>
      </c>
      <c r="N164" s="2" t="s">
        <v>1258</v>
      </c>
    </row>
    <row r="165" spans="1:14" collapsed="1" x14ac:dyDescent="0.4">
      <c r="J165" s="6" t="str">
        <f>IFERROR(_xlfn.LET(_xlpm.v,
VLOOKUP($I165,効果!$A:$B,COLUMN(効果!B$1),FALSE),
IF(_xlpm.v=0,"",_xlpm.v)
),"")</f>
        <v/>
      </c>
      <c r="L165" s="15" t="str">
        <f>IF(OR(COUNTIF(クラス!$A$1:$A$1034, $B165),$B165="",COUNTIF(スキル一覧!$A$1:$A$3500, $B165)), "", "存在しない")</f>
        <v/>
      </c>
      <c r="M165" s="2" t="str">
        <f>IF(COUNTIF($B$1:$C164, $B165), "", "存在しない")</f>
        <v>存在しない</v>
      </c>
      <c r="N165" s="2" t="s">
        <v>1258</v>
      </c>
    </row>
    <row r="166" spans="1:14" x14ac:dyDescent="0.4">
      <c r="B166" s="2" t="s">
        <v>250</v>
      </c>
      <c r="J166" s="6" t="str">
        <f>IFERROR(_xlfn.LET(_xlpm.v,
VLOOKUP($I166,効果!$A:$B,COLUMN(効果!B$1),FALSE),
IF(_xlpm.v=0,"",_xlpm.v)
),"")</f>
        <v/>
      </c>
      <c r="L166" s="15" t="str">
        <f>IF(OR(COUNTIF(クラス!$A$1:$A$1034, $B166),$B166="",COUNTIF(スキル一覧!$A$1:$A$3500, $B166)), "", "存在しない")</f>
        <v/>
      </c>
      <c r="M166" s="2" t="str">
        <f>IF(COUNTIF($B$1:$C165, $B166), "", "存在しない")</f>
        <v>存在しない</v>
      </c>
      <c r="N166" s="2" t="s">
        <v>1258</v>
      </c>
    </row>
    <row r="167" spans="1:14" hidden="1" outlineLevel="1" x14ac:dyDescent="0.4">
      <c r="A167" s="2">
        <v>1</v>
      </c>
      <c r="J167" s="6" t="str">
        <f>IFERROR(_xlfn.LET(_xlpm.v,
VLOOKUP($I167,効果!$A:$B,COLUMN(効果!B$1),FALSE),
IF(_xlpm.v=0,"",_xlpm.v)
),"")</f>
        <v/>
      </c>
      <c r="L167" s="15" t="str">
        <f>IF(OR(COUNTIF(クラス!$A$1:$A$1034, $B167),$B167="",COUNTIF(スキル一覧!$A$1:$A$3500, $B167)), "", "存在しない")</f>
        <v/>
      </c>
      <c r="M167" s="2" t="str">
        <f>IF(COUNTIF($B$1:$C166, $B167), "", "存在しない")</f>
        <v>存在しない</v>
      </c>
      <c r="N167" s="2" t="s">
        <v>1258</v>
      </c>
    </row>
    <row r="168" spans="1:14" hidden="1" outlineLevel="1" x14ac:dyDescent="0.4">
      <c r="A168" s="2">
        <v>2</v>
      </c>
      <c r="J168" s="6" t="str">
        <f>IFERROR(_xlfn.LET(_xlpm.v,
VLOOKUP($I168,効果!$A:$B,COLUMN(効果!B$1),FALSE),
IF(_xlpm.v=0,"",_xlpm.v)
),"")</f>
        <v/>
      </c>
      <c r="L168" s="15" t="str">
        <f>IF(OR(COUNTIF(クラス!$A$1:$A$1034, $B168),$B168="",COUNTIF(スキル一覧!$A$1:$A$3500, $B168)), "", "存在しない")</f>
        <v/>
      </c>
      <c r="M168" s="2" t="str">
        <f>IF(COUNTIF($B$1:$C167, $B168), "", "存在しない")</f>
        <v>存在しない</v>
      </c>
      <c r="N168" s="2" t="s">
        <v>1258</v>
      </c>
    </row>
    <row r="169" spans="1:14" hidden="1" outlineLevel="1" x14ac:dyDescent="0.4">
      <c r="A169" s="2">
        <v>3</v>
      </c>
      <c r="J169" s="6" t="str">
        <f>IFERROR(_xlfn.LET(_xlpm.v,
VLOOKUP($I169,効果!$A:$B,COLUMN(効果!B$1),FALSE),
IF(_xlpm.v=0,"",_xlpm.v)
),"")</f>
        <v/>
      </c>
      <c r="L169" s="15" t="str">
        <f>IF(OR(COUNTIF(クラス!$A$1:$A$1034, $B169),$B169="",COUNTIF(スキル一覧!$A$1:$A$3500, $B169)), "", "存在しない")</f>
        <v/>
      </c>
      <c r="M169" s="2" t="str">
        <f>IF(COUNTIF($B$1:$C168, $B169), "", "存在しない")</f>
        <v>存在しない</v>
      </c>
      <c r="N169" s="2" t="s">
        <v>1258</v>
      </c>
    </row>
    <row r="170" spans="1:14" hidden="1" outlineLevel="1" x14ac:dyDescent="0.4">
      <c r="A170" s="2">
        <v>4</v>
      </c>
      <c r="J170" s="6" t="str">
        <f>IFERROR(_xlfn.LET(_xlpm.v,
VLOOKUP($I170,効果!$A:$B,COLUMN(効果!B$1),FALSE),
IF(_xlpm.v=0,"",_xlpm.v)
),"")</f>
        <v/>
      </c>
      <c r="L170" s="15" t="str">
        <f>IF(OR(COUNTIF(クラス!$A$1:$A$1034, $B170),$B170="",COUNTIF(スキル一覧!$A$1:$A$3500, $B170)), "", "存在しない")</f>
        <v/>
      </c>
      <c r="M170" s="2" t="str">
        <f>IF(COUNTIF($B$1:$C169, $B170), "", "存在しない")</f>
        <v>存在しない</v>
      </c>
      <c r="N170" s="2" t="s">
        <v>1258</v>
      </c>
    </row>
    <row r="171" spans="1:14" hidden="1" outlineLevel="1" x14ac:dyDescent="0.4">
      <c r="A171" s="2">
        <v>5</v>
      </c>
      <c r="J171" s="6" t="str">
        <f>IFERROR(_xlfn.LET(_xlpm.v,
VLOOKUP($I171,効果!$A:$B,COLUMN(効果!B$1),FALSE),
IF(_xlpm.v=0,"",_xlpm.v)
),"")</f>
        <v/>
      </c>
      <c r="L171" s="15" t="str">
        <f>IF(OR(COUNTIF(クラス!$A$1:$A$1034, $B171),$B171="",COUNTIF(スキル一覧!$A$1:$A$3500, $B171)), "", "存在しない")</f>
        <v/>
      </c>
      <c r="M171" s="2" t="str">
        <f>IF(COUNTIF($B$1:$C170, $B171), "", "存在しない")</f>
        <v>存在しない</v>
      </c>
      <c r="N171" s="2" t="s">
        <v>1258</v>
      </c>
    </row>
    <row r="172" spans="1:14" hidden="1" outlineLevel="1" x14ac:dyDescent="0.4">
      <c r="A172" s="2">
        <v>6</v>
      </c>
      <c r="J172" s="6" t="str">
        <f>IFERROR(_xlfn.LET(_xlpm.v,
VLOOKUP($I172,効果!$A:$B,COLUMN(効果!B$1),FALSE),
IF(_xlpm.v=0,"",_xlpm.v)
),"")</f>
        <v/>
      </c>
      <c r="L172" s="15" t="str">
        <f>IF(OR(COUNTIF(クラス!$A$1:$A$1034, $B172),$B172="",COUNTIF(スキル一覧!$A$1:$A$3500, $B172)), "", "存在しない")</f>
        <v/>
      </c>
      <c r="M172" s="2" t="str">
        <f>IF(COUNTIF($B$1:$C171, $B172), "", "存在しない")</f>
        <v>存在しない</v>
      </c>
      <c r="N172" s="2" t="s">
        <v>1258</v>
      </c>
    </row>
    <row r="173" spans="1:14" hidden="1" outlineLevel="1" x14ac:dyDescent="0.4">
      <c r="A173" s="2">
        <v>7</v>
      </c>
      <c r="J173" s="6" t="str">
        <f>IFERROR(_xlfn.LET(_xlpm.v,
VLOOKUP($I173,効果!$A:$B,COLUMN(効果!B$1),FALSE),
IF(_xlpm.v=0,"",_xlpm.v)
),"")</f>
        <v/>
      </c>
      <c r="L173" s="15" t="str">
        <f>IF(OR(COUNTIF(クラス!$A$1:$A$1034, $B173),$B173="",COUNTIF(スキル一覧!$A$1:$A$3500, $B173)), "", "存在しない")</f>
        <v/>
      </c>
      <c r="M173" s="2" t="str">
        <f>IF(COUNTIF($B$1:$C172, $B173), "", "存在しない")</f>
        <v>存在しない</v>
      </c>
      <c r="N173" s="2" t="s">
        <v>1258</v>
      </c>
    </row>
    <row r="174" spans="1:14" hidden="1" outlineLevel="1" x14ac:dyDescent="0.4">
      <c r="A174" s="2">
        <v>8</v>
      </c>
      <c r="J174" s="6" t="str">
        <f>IFERROR(_xlfn.LET(_xlpm.v,
VLOOKUP($I174,効果!$A:$B,COLUMN(効果!B$1),FALSE),
IF(_xlpm.v=0,"",_xlpm.v)
),"")</f>
        <v/>
      </c>
      <c r="L174" s="15" t="str">
        <f>IF(OR(COUNTIF(クラス!$A$1:$A$1034, $B174),$B174="",COUNTIF(スキル一覧!$A$1:$A$3500, $B174)), "", "存在しない")</f>
        <v/>
      </c>
      <c r="M174" s="2" t="str">
        <f>IF(COUNTIF($B$1:$C173, $B174), "", "存在しない")</f>
        <v>存在しない</v>
      </c>
      <c r="N174" s="2" t="s">
        <v>1258</v>
      </c>
    </row>
    <row r="175" spans="1:14" hidden="1" outlineLevel="1" x14ac:dyDescent="0.4">
      <c r="A175" s="2">
        <v>9</v>
      </c>
      <c r="J175" s="6" t="str">
        <f>IFERROR(_xlfn.LET(_xlpm.v,
VLOOKUP($I175,効果!$A:$B,COLUMN(効果!B$1),FALSE),
IF(_xlpm.v=0,"",_xlpm.v)
),"")</f>
        <v/>
      </c>
      <c r="L175" s="15" t="str">
        <f>IF(OR(COUNTIF(クラス!$A$1:$A$1034, $B175),$B175="",COUNTIF(スキル一覧!$A$1:$A$3500, $B175)), "", "存在しない")</f>
        <v/>
      </c>
      <c r="M175" s="2" t="str">
        <f>IF(COUNTIF($B$1:$C174, $B175), "", "存在しない")</f>
        <v>存在しない</v>
      </c>
      <c r="N175" s="2" t="s">
        <v>1258</v>
      </c>
    </row>
    <row r="176" spans="1:14" hidden="1" outlineLevel="1" x14ac:dyDescent="0.4">
      <c r="A176" s="2">
        <v>10</v>
      </c>
      <c r="J176" s="6" t="str">
        <f>IFERROR(_xlfn.LET(_xlpm.v,
VLOOKUP($I176,効果!$A:$B,COLUMN(効果!B$1),FALSE),
IF(_xlpm.v=0,"",_xlpm.v)
),"")</f>
        <v/>
      </c>
      <c r="L176" s="15" t="str">
        <f>IF(OR(COUNTIF(クラス!$A$1:$A$1034, $B176),$B176="",COUNTIF(スキル一覧!$A$1:$A$3500, $B176)), "", "存在しない")</f>
        <v/>
      </c>
      <c r="M176" s="2" t="str">
        <f>IF(COUNTIF($B$1:$C175, $B176), "", "存在しない")</f>
        <v>存在しない</v>
      </c>
      <c r="N176" s="2" t="s">
        <v>1258</v>
      </c>
    </row>
    <row r="177" spans="1:14" hidden="1" outlineLevel="1" x14ac:dyDescent="0.4">
      <c r="J177" s="6" t="str">
        <f>IFERROR(_xlfn.LET(_xlpm.v,
VLOOKUP($I177,効果!$A:$B,COLUMN(効果!B$1),FALSE),
IF(_xlpm.v=0,"",_xlpm.v)
),"")</f>
        <v/>
      </c>
      <c r="L177" s="15" t="str">
        <f>IF(OR(COUNTIF(クラス!$A$1:$A$1034, $B177),$B177="",COUNTIF(スキル一覧!$A$1:$A$3500, $B177)), "", "存在しない")</f>
        <v/>
      </c>
      <c r="M177" s="2" t="str">
        <f>IF(COUNTIF($B$1:$C176, $B177), "", "存在しない")</f>
        <v>存在しない</v>
      </c>
      <c r="N177" s="2" t="s">
        <v>1258</v>
      </c>
    </row>
    <row r="178" spans="1:14" collapsed="1" x14ac:dyDescent="0.4">
      <c r="J178" s="6" t="str">
        <f>IFERROR(_xlfn.LET(_xlpm.v,
VLOOKUP($I178,効果!$A:$B,COLUMN(効果!B$1),FALSE),
IF(_xlpm.v=0,"",_xlpm.v)
),"")</f>
        <v/>
      </c>
      <c r="L178" s="15" t="str">
        <f>IF(OR(COUNTIF(クラス!$A$1:$A$1034, $B178),$B178="",COUNTIF(スキル一覧!$A$1:$A$3500, $B178)), "", "存在しない")</f>
        <v/>
      </c>
      <c r="M178" s="2" t="str">
        <f>IF(COUNTIF($B$1:$C177, $B178), "", "存在しない")</f>
        <v>存在しない</v>
      </c>
      <c r="N178" s="2" t="s">
        <v>1258</v>
      </c>
    </row>
    <row r="179" spans="1:14" x14ac:dyDescent="0.4">
      <c r="B179" s="2" t="s">
        <v>37</v>
      </c>
      <c r="J179" s="6" t="str">
        <f>IFERROR(_xlfn.LET(_xlpm.v,
VLOOKUP($I179,効果!$A:$B,COLUMN(効果!B$1),FALSE),
IF(_xlpm.v=0,"",_xlpm.v)
),"")</f>
        <v/>
      </c>
      <c r="L179" s="15" t="str">
        <f>IF(OR(COUNTIF(クラス!$A$1:$A$1034, $B179),$B179="",COUNTIF(スキル一覧!$A$1:$A$3500, $B179)), "", "存在しない")</f>
        <v/>
      </c>
      <c r="M179" s="2" t="str">
        <f>IF(COUNTIF($B$1:$C178, $B179), "", "存在しない")</f>
        <v>存在しない</v>
      </c>
      <c r="N179" s="2" t="s">
        <v>1258</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IF(OR(COUNTIF(クラス!$A$1:$A$1034, $B180),$B180="",COUNTIF(スキル一覧!$A$1:$A$3500, $B180)), "", "存在しない")</f>
        <v/>
      </c>
      <c r="M180" s="2" t="str">
        <f>IF(COUNTIF($B$1:$C179, $B180), "", "存在しない")</f>
        <v>存在しない</v>
      </c>
      <c r="N180" s="2" t="s">
        <v>1258</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IF(OR(COUNTIF(クラス!$A$1:$A$1034, $B181),$B181="",COUNTIF(スキル一覧!$A$1:$A$3500, $B181)), "", "存在しない")</f>
        <v/>
      </c>
      <c r="M181" s="2" t="str">
        <f>IF(COUNTIF($B$1:$C180, $B181), "", "存在しない")</f>
        <v>存在しない</v>
      </c>
      <c r="N181" s="2" t="s">
        <v>1258</v>
      </c>
    </row>
    <row r="182" spans="1:14" hidden="1" outlineLevel="1" x14ac:dyDescent="0.4">
      <c r="A182" s="2">
        <v>3</v>
      </c>
      <c r="J182" s="6" t="str">
        <f>IFERROR(_xlfn.LET(_xlpm.v,
VLOOKUP($I182,効果!$A:$B,COLUMN(効果!B$1),FALSE),
IF(_xlpm.v=0,"",_xlpm.v)
),"")</f>
        <v/>
      </c>
      <c r="L182" s="15" t="str">
        <f>IF(OR(COUNTIF(クラス!$A$1:$A$1034, $B182),$B182="",COUNTIF(スキル一覧!$A$1:$A$3500, $B182)), "", "存在しない")</f>
        <v/>
      </c>
      <c r="M182" s="2" t="str">
        <f>IF(COUNTIF($B$1:$C181, $B182), "", "存在しない")</f>
        <v>存在しない</v>
      </c>
      <c r="N182" s="2" t="s">
        <v>1258</v>
      </c>
    </row>
    <row r="183" spans="1:14" hidden="1" outlineLevel="1" x14ac:dyDescent="0.4">
      <c r="A183" s="2">
        <v>4</v>
      </c>
      <c r="J183" s="6" t="str">
        <f>IFERROR(_xlfn.LET(_xlpm.v,
VLOOKUP($I183,効果!$A:$B,COLUMN(効果!B$1),FALSE),
IF(_xlpm.v=0,"",_xlpm.v)
),"")</f>
        <v/>
      </c>
      <c r="L183" s="15" t="str">
        <f>IF(OR(COUNTIF(クラス!$A$1:$A$1034, $B183),$B183="",COUNTIF(スキル一覧!$A$1:$A$3500, $B183)), "", "存在しない")</f>
        <v/>
      </c>
      <c r="M183" s="2" t="str">
        <f>IF(COUNTIF($B$1:$C182, $B183), "", "存在しない")</f>
        <v>存在しない</v>
      </c>
      <c r="N183" s="2" t="s">
        <v>1258</v>
      </c>
    </row>
    <row r="184" spans="1:14" hidden="1" outlineLevel="1" x14ac:dyDescent="0.4">
      <c r="A184" s="2">
        <v>5</v>
      </c>
      <c r="J184" s="6" t="str">
        <f>IFERROR(_xlfn.LET(_xlpm.v,
VLOOKUP($I184,効果!$A:$B,COLUMN(効果!B$1),FALSE),
IF(_xlpm.v=0,"",_xlpm.v)
),"")</f>
        <v/>
      </c>
      <c r="L184" s="15" t="str">
        <f>IF(OR(COUNTIF(クラス!$A$1:$A$1034, $B184),$B184="",COUNTIF(スキル一覧!$A$1:$A$3500, $B184)), "", "存在しない")</f>
        <v/>
      </c>
      <c r="M184" s="2" t="str">
        <f>IF(COUNTIF($B$1:$C183, $B184), "", "存在しない")</f>
        <v>存在しない</v>
      </c>
      <c r="N184" s="2" t="s">
        <v>1258</v>
      </c>
    </row>
    <row r="185" spans="1:14" hidden="1" outlineLevel="1" x14ac:dyDescent="0.4">
      <c r="A185" s="2">
        <v>6</v>
      </c>
      <c r="J185" s="6" t="str">
        <f>IFERROR(_xlfn.LET(_xlpm.v,
VLOOKUP($I185,効果!$A:$B,COLUMN(効果!B$1),FALSE),
IF(_xlpm.v=0,"",_xlpm.v)
),"")</f>
        <v/>
      </c>
      <c r="L185" s="15" t="str">
        <f>IF(OR(COUNTIF(クラス!$A$1:$A$1034, $B185),$B185="",COUNTIF(スキル一覧!$A$1:$A$3500, $B185)), "", "存在しない")</f>
        <v/>
      </c>
      <c r="M185" s="2" t="str">
        <f>IF(COUNTIF($B$1:$C184, $B185), "", "存在しない")</f>
        <v>存在しない</v>
      </c>
      <c r="N185" s="2" t="s">
        <v>1258</v>
      </c>
    </row>
    <row r="186" spans="1:14" hidden="1" outlineLevel="1" x14ac:dyDescent="0.4">
      <c r="A186" s="2">
        <v>7</v>
      </c>
      <c r="J186" s="6" t="str">
        <f>IFERROR(_xlfn.LET(_xlpm.v,
VLOOKUP($I186,効果!$A:$B,COLUMN(効果!B$1),FALSE),
IF(_xlpm.v=0,"",_xlpm.v)
),"")</f>
        <v/>
      </c>
      <c r="L186" s="15" t="str">
        <f>IF(OR(COUNTIF(クラス!$A$1:$A$1034, $B186),$B186="",COUNTIF(スキル一覧!$A$1:$A$3500, $B186)), "", "存在しない")</f>
        <v/>
      </c>
      <c r="M186" s="2" t="str">
        <f>IF(COUNTIF($B$1:$C185, $B186), "", "存在しない")</f>
        <v>存在しない</v>
      </c>
      <c r="N186" s="2" t="s">
        <v>1258</v>
      </c>
    </row>
    <row r="187" spans="1:14" hidden="1" outlineLevel="1" x14ac:dyDescent="0.4">
      <c r="A187" s="2">
        <v>8</v>
      </c>
      <c r="J187" s="6" t="str">
        <f>IFERROR(_xlfn.LET(_xlpm.v,
VLOOKUP($I187,効果!$A:$B,COLUMN(効果!B$1),FALSE),
IF(_xlpm.v=0,"",_xlpm.v)
),"")</f>
        <v/>
      </c>
      <c r="L187" s="15" t="str">
        <f>IF(OR(COUNTIF(クラス!$A$1:$A$1034, $B187),$B187="",COUNTIF(スキル一覧!$A$1:$A$3500, $B187)), "", "存在しない")</f>
        <v/>
      </c>
      <c r="M187" s="2" t="str">
        <f>IF(COUNTIF($B$1:$C186, $B187), "", "存在しない")</f>
        <v>存在しない</v>
      </c>
      <c r="N187" s="2" t="s">
        <v>1258</v>
      </c>
    </row>
    <row r="188" spans="1:14" hidden="1" outlineLevel="1" x14ac:dyDescent="0.4">
      <c r="A188" s="2">
        <v>9</v>
      </c>
      <c r="J188" s="6" t="str">
        <f>IFERROR(_xlfn.LET(_xlpm.v,
VLOOKUP($I188,効果!$A:$B,COLUMN(効果!B$1),FALSE),
IF(_xlpm.v=0,"",_xlpm.v)
),"")</f>
        <v/>
      </c>
      <c r="L188" s="15" t="str">
        <f>IF(OR(COUNTIF(クラス!$A$1:$A$1034, $B188),$B188="",COUNTIF(スキル一覧!$A$1:$A$3500, $B188)), "", "存在しない")</f>
        <v/>
      </c>
      <c r="M188" s="2" t="str">
        <f>IF(COUNTIF($B$1:$C187, $B188), "", "存在しない")</f>
        <v>存在しない</v>
      </c>
      <c r="N188" s="2" t="s">
        <v>1258</v>
      </c>
    </row>
    <row r="189" spans="1:14" hidden="1" outlineLevel="1" x14ac:dyDescent="0.4">
      <c r="A189" s="2">
        <v>10</v>
      </c>
      <c r="J189" s="6" t="str">
        <f>IFERROR(_xlfn.LET(_xlpm.v,
VLOOKUP($I189,効果!$A:$B,COLUMN(効果!B$1),FALSE),
IF(_xlpm.v=0,"",_xlpm.v)
),"")</f>
        <v/>
      </c>
      <c r="L189" s="15" t="str">
        <f>IF(OR(COUNTIF(クラス!$A$1:$A$1034, $B189),$B189="",COUNTIF(スキル一覧!$A$1:$A$3500, $B189)), "", "存在しない")</f>
        <v/>
      </c>
      <c r="M189" s="2" t="str">
        <f>IF(COUNTIF($B$1:$C188, $B189), "", "存在しない")</f>
        <v>存在しない</v>
      </c>
      <c r="N189" s="2" t="s">
        <v>1258</v>
      </c>
    </row>
    <row r="190" spans="1:14" hidden="1" outlineLevel="1" x14ac:dyDescent="0.4">
      <c r="J190" s="6" t="str">
        <f>IFERROR(_xlfn.LET(_xlpm.v,
VLOOKUP($I190,効果!$A:$B,COLUMN(効果!B$1),FALSE),
IF(_xlpm.v=0,"",_xlpm.v)
),"")</f>
        <v/>
      </c>
      <c r="L190" s="15" t="str">
        <f>IF(OR(COUNTIF(クラス!$A$1:$A$1034, $B190),$B190="",COUNTIF(スキル一覧!$A$1:$A$3500, $B190)), "", "存在しない")</f>
        <v/>
      </c>
      <c r="M190" s="2" t="str">
        <f>IF(COUNTIF($B$1:$C189, $B190), "", "存在しない")</f>
        <v>存在しない</v>
      </c>
      <c r="N190" s="2" t="s">
        <v>1258</v>
      </c>
    </row>
    <row r="191" spans="1:14" collapsed="1" x14ac:dyDescent="0.4">
      <c r="J191" s="6" t="str">
        <f>IFERROR(_xlfn.LET(_xlpm.v,
VLOOKUP($I191,効果!$A:$B,COLUMN(効果!B$1),FALSE),
IF(_xlpm.v=0,"",_xlpm.v)
),"")</f>
        <v/>
      </c>
      <c r="L191" s="15" t="str">
        <f>IF(OR(COUNTIF(クラス!$A$1:$A$1034, $B191),$B191="",COUNTIF(スキル一覧!$A$1:$A$3500, $B191)), "", "存在しない")</f>
        <v/>
      </c>
      <c r="M191" s="2" t="str">
        <f>IF(COUNTIF($B$1:$C190, $B191), "", "存在しない")</f>
        <v>存在しない</v>
      </c>
      <c r="N191" s="2" t="s">
        <v>1258</v>
      </c>
    </row>
    <row r="192" spans="1:14" x14ac:dyDescent="0.4">
      <c r="B192" s="2" t="s">
        <v>39</v>
      </c>
      <c r="J192" s="6" t="str">
        <f>IFERROR(_xlfn.LET(_xlpm.v,
VLOOKUP($I192,効果!$A:$B,COLUMN(効果!B$1),FALSE),
IF(_xlpm.v=0,"",_xlpm.v)
),"")</f>
        <v/>
      </c>
      <c r="L192" s="15" t="str">
        <f>IF(OR(COUNTIF(クラス!$A$1:$A$1034, $B192),$B192="",COUNTIF(スキル一覧!$A$1:$A$3500, $B192)), "", "存在しない")</f>
        <v/>
      </c>
      <c r="M192" s="2" t="str">
        <f>IF(COUNTIF($B$1:$C191, $B192), "", "存在しない")</f>
        <v>存在しない</v>
      </c>
      <c r="N192" s="2" t="s">
        <v>1258</v>
      </c>
    </row>
    <row r="193" spans="1:14" hidden="1" outlineLevel="1" x14ac:dyDescent="0.4">
      <c r="A193" s="2">
        <v>1</v>
      </c>
      <c r="J193" s="6" t="str">
        <f>IFERROR(_xlfn.LET(_xlpm.v,
VLOOKUP($I193,効果!$A:$B,COLUMN(効果!B$1),FALSE),
IF(_xlpm.v=0,"",_xlpm.v)
),"")</f>
        <v/>
      </c>
      <c r="L193" s="15" t="str">
        <f>IF(OR(COUNTIF(クラス!$A$1:$A$1034, $B193),$B193="",COUNTIF(スキル一覧!$A$1:$A$3500, $B193)), "", "存在しない")</f>
        <v/>
      </c>
      <c r="M193" s="2" t="str">
        <f>IF(COUNTIF($B$1:$C192, $B193), "", "存在しない")</f>
        <v>存在しない</v>
      </c>
      <c r="N193" s="2" t="s">
        <v>1258</v>
      </c>
    </row>
    <row r="194" spans="1:14" hidden="1" outlineLevel="1" x14ac:dyDescent="0.4">
      <c r="A194" s="2">
        <v>2</v>
      </c>
      <c r="J194" s="6" t="str">
        <f>IFERROR(_xlfn.LET(_xlpm.v,
VLOOKUP($I194,効果!$A:$B,COLUMN(効果!B$1),FALSE),
IF(_xlpm.v=0,"",_xlpm.v)
),"")</f>
        <v/>
      </c>
      <c r="L194" s="15" t="str">
        <f>IF(OR(COUNTIF(クラス!$A$1:$A$1034, $B194),$B194="",COUNTIF(スキル一覧!$A$1:$A$3500, $B194)), "", "存在しない")</f>
        <v/>
      </c>
      <c r="M194" s="2" t="str">
        <f>IF(COUNTIF($B$1:$C193, $B194), "", "存在しない")</f>
        <v>存在しない</v>
      </c>
      <c r="N194" s="2" t="s">
        <v>1258</v>
      </c>
    </row>
    <row r="195" spans="1:14" hidden="1" outlineLevel="1" x14ac:dyDescent="0.4">
      <c r="A195" s="2">
        <v>3</v>
      </c>
      <c r="J195" s="6" t="str">
        <f>IFERROR(_xlfn.LET(_xlpm.v,
VLOOKUP($I195,効果!$A:$B,COLUMN(効果!B$1),FALSE),
IF(_xlpm.v=0,"",_xlpm.v)
),"")</f>
        <v/>
      </c>
      <c r="L195" s="15" t="str">
        <f>IF(OR(COUNTIF(クラス!$A$1:$A$1034, $B195),$B195="",COUNTIF(スキル一覧!$A$1:$A$3500, $B195)), "", "存在しない")</f>
        <v/>
      </c>
      <c r="M195" s="2" t="str">
        <f>IF(COUNTIF($B$1:$C194, $B195), "", "存在しない")</f>
        <v>存在しない</v>
      </c>
      <c r="N195" s="2" t="s">
        <v>1258</v>
      </c>
    </row>
    <row r="196" spans="1:14" hidden="1" outlineLevel="1" x14ac:dyDescent="0.4">
      <c r="A196" s="2">
        <v>4</v>
      </c>
      <c r="J196" s="6" t="str">
        <f>IFERROR(_xlfn.LET(_xlpm.v,
VLOOKUP($I196,効果!$A:$B,COLUMN(効果!B$1),FALSE),
IF(_xlpm.v=0,"",_xlpm.v)
),"")</f>
        <v/>
      </c>
      <c r="L196" s="15" t="str">
        <f>IF(OR(COUNTIF(クラス!$A$1:$A$1034, $B196),$B196="",COUNTIF(スキル一覧!$A$1:$A$3500, $B196)), "", "存在しない")</f>
        <v/>
      </c>
      <c r="M196" s="2" t="str">
        <f>IF(COUNTIF($B$1:$C195, $B196), "", "存在しない")</f>
        <v>存在しない</v>
      </c>
      <c r="N196" s="2" t="s">
        <v>1258</v>
      </c>
    </row>
    <row r="197" spans="1:14" hidden="1" outlineLevel="1" x14ac:dyDescent="0.4">
      <c r="A197" s="2">
        <v>5</v>
      </c>
      <c r="J197" s="6" t="str">
        <f>IFERROR(_xlfn.LET(_xlpm.v,
VLOOKUP($I197,効果!$A:$B,COLUMN(効果!B$1),FALSE),
IF(_xlpm.v=0,"",_xlpm.v)
),"")</f>
        <v/>
      </c>
      <c r="L197" s="15" t="str">
        <f>IF(OR(COUNTIF(クラス!$A$1:$A$1034, $B197),$B197="",COUNTIF(スキル一覧!$A$1:$A$3500, $B197)), "", "存在しない")</f>
        <v/>
      </c>
      <c r="M197" s="2" t="str">
        <f>IF(COUNTIF($B$1:$C196, $B197), "", "存在しない")</f>
        <v>存在しない</v>
      </c>
      <c r="N197" s="2" t="s">
        <v>1258</v>
      </c>
    </row>
    <row r="198" spans="1:14" hidden="1" outlineLevel="1" x14ac:dyDescent="0.4">
      <c r="A198" s="2">
        <v>6</v>
      </c>
      <c r="J198" s="6" t="str">
        <f>IFERROR(_xlfn.LET(_xlpm.v,
VLOOKUP($I198,効果!$A:$B,COLUMN(効果!B$1),FALSE),
IF(_xlpm.v=0,"",_xlpm.v)
),"")</f>
        <v/>
      </c>
      <c r="L198" s="15" t="str">
        <f>IF(OR(COUNTIF(クラス!$A$1:$A$1034, $B198),$B198="",COUNTIF(スキル一覧!$A$1:$A$3500, $B198)), "", "存在しない")</f>
        <v/>
      </c>
      <c r="M198" s="2" t="str">
        <f>IF(COUNTIF($B$1:$C197, $B198), "", "存在しない")</f>
        <v>存在しない</v>
      </c>
      <c r="N198" s="2" t="s">
        <v>1258</v>
      </c>
    </row>
    <row r="199" spans="1:14" hidden="1" outlineLevel="1" x14ac:dyDescent="0.4">
      <c r="A199" s="2">
        <v>7</v>
      </c>
      <c r="J199" s="6" t="str">
        <f>IFERROR(_xlfn.LET(_xlpm.v,
VLOOKUP($I199,効果!$A:$B,COLUMN(効果!B$1),FALSE),
IF(_xlpm.v=0,"",_xlpm.v)
),"")</f>
        <v/>
      </c>
      <c r="L199" s="15" t="str">
        <f>IF(OR(COUNTIF(クラス!$A$1:$A$1034, $B199),$B199="",COUNTIF(スキル一覧!$A$1:$A$3500, $B199)), "", "存在しない")</f>
        <v/>
      </c>
      <c r="M199" s="2" t="str">
        <f>IF(COUNTIF($B$1:$C198, $B199), "", "存在しない")</f>
        <v>存在しない</v>
      </c>
      <c r="N199" s="2" t="s">
        <v>1258</v>
      </c>
    </row>
    <row r="200" spans="1:14" hidden="1" outlineLevel="1" x14ac:dyDescent="0.4">
      <c r="A200" s="2">
        <v>8</v>
      </c>
      <c r="J200" s="6" t="str">
        <f>IFERROR(_xlfn.LET(_xlpm.v,
VLOOKUP($I200,効果!$A:$B,COLUMN(効果!B$1),FALSE),
IF(_xlpm.v=0,"",_xlpm.v)
),"")</f>
        <v/>
      </c>
      <c r="L200" s="15" t="str">
        <f>IF(OR(COUNTIF(クラス!$A$1:$A$1034, $B200),$B200="",COUNTIF(スキル一覧!$A$1:$A$3500, $B200)), "", "存在しない")</f>
        <v/>
      </c>
      <c r="M200" s="2" t="str">
        <f>IF(COUNTIF($B$1:$C199, $B200), "", "存在しない")</f>
        <v>存在しない</v>
      </c>
      <c r="N200" s="2" t="s">
        <v>1258</v>
      </c>
    </row>
    <row r="201" spans="1:14" hidden="1" outlineLevel="1" x14ac:dyDescent="0.4">
      <c r="A201" s="2">
        <v>9</v>
      </c>
      <c r="J201" s="6" t="str">
        <f>IFERROR(_xlfn.LET(_xlpm.v,
VLOOKUP($I201,効果!$A:$B,COLUMN(効果!B$1),FALSE),
IF(_xlpm.v=0,"",_xlpm.v)
),"")</f>
        <v/>
      </c>
      <c r="L201" s="15" t="str">
        <f>IF(OR(COUNTIF(クラス!$A$1:$A$1034, $B201),$B201="",COUNTIF(スキル一覧!$A$1:$A$3500, $B201)), "", "存在しない")</f>
        <v/>
      </c>
      <c r="M201" s="2" t="str">
        <f>IF(COUNTIF($B$1:$C200, $B201), "", "存在しない")</f>
        <v>存在しない</v>
      </c>
      <c r="N201" s="2" t="s">
        <v>1258</v>
      </c>
    </row>
    <row r="202" spans="1:14" hidden="1" outlineLevel="1" x14ac:dyDescent="0.4">
      <c r="A202" s="2">
        <v>10</v>
      </c>
      <c r="J202" s="6" t="str">
        <f>IFERROR(_xlfn.LET(_xlpm.v,
VLOOKUP($I202,効果!$A:$B,COLUMN(効果!B$1),FALSE),
IF(_xlpm.v=0,"",_xlpm.v)
),"")</f>
        <v/>
      </c>
      <c r="L202" s="15" t="str">
        <f>IF(OR(COUNTIF(クラス!$A$1:$A$1034, $B202),$B202="",COUNTIF(スキル一覧!$A$1:$A$3500, $B202)), "", "存在しない")</f>
        <v/>
      </c>
      <c r="M202" s="2" t="str">
        <f>IF(COUNTIF($B$1:$C201, $B202), "", "存在しない")</f>
        <v>存在しない</v>
      </c>
      <c r="N202" s="2" t="s">
        <v>1258</v>
      </c>
    </row>
    <row r="203" spans="1:14" hidden="1" outlineLevel="1" x14ac:dyDescent="0.4">
      <c r="J203" s="6" t="str">
        <f>IFERROR(_xlfn.LET(_xlpm.v,
VLOOKUP($I203,効果!$A:$B,COLUMN(効果!B$1),FALSE),
IF(_xlpm.v=0,"",_xlpm.v)
),"")</f>
        <v/>
      </c>
      <c r="L203" s="15" t="str">
        <f>IF(OR(COUNTIF(クラス!$A$1:$A$1034, $B203),$B203="",COUNTIF(スキル一覧!$A$1:$A$3500, $B203)), "", "存在しない")</f>
        <v/>
      </c>
      <c r="M203" s="2" t="str">
        <f>IF(COUNTIF($B$1:$C202, $B203), "", "存在しない")</f>
        <v>存在しない</v>
      </c>
      <c r="N203" s="2" t="s">
        <v>1258</v>
      </c>
    </row>
    <row r="204" spans="1:14" collapsed="1" x14ac:dyDescent="0.4">
      <c r="J204" s="6" t="str">
        <f>IFERROR(_xlfn.LET(_xlpm.v,
VLOOKUP($I204,効果!$A:$B,COLUMN(効果!B$1),FALSE),
IF(_xlpm.v=0,"",_xlpm.v)
),"")</f>
        <v/>
      </c>
      <c r="L204" s="15" t="str">
        <f>IF(OR(COUNTIF(クラス!$A$1:$A$1034, $B204),$B204="",COUNTIF(スキル一覧!$A$1:$A$3500, $B204)), "", "存在しない")</f>
        <v/>
      </c>
      <c r="M204" s="2" t="str">
        <f>IF(COUNTIF($B$1:$C203, $B204), "", "存在しない")</f>
        <v>存在しない</v>
      </c>
      <c r="N204" s="2" t="s">
        <v>1258</v>
      </c>
    </row>
    <row r="205" spans="1:14" x14ac:dyDescent="0.4">
      <c r="B205" s="2" t="s">
        <v>189</v>
      </c>
      <c r="J205" s="6" t="str">
        <f>IFERROR(_xlfn.LET(_xlpm.v,
VLOOKUP($I205,効果!$A:$B,COLUMN(効果!B$1),FALSE),
IF(_xlpm.v=0,"",_xlpm.v)
),"")</f>
        <v/>
      </c>
      <c r="L205" s="15" t="str">
        <f>IF(OR(COUNTIF(クラス!$A$1:$A$1034, $B205),$B205="",COUNTIF(スキル一覧!$A$1:$A$3500, $B205)), "", "存在しない")</f>
        <v/>
      </c>
      <c r="M205" s="2" t="str">
        <f>IF(COUNTIF($B$1:$C204, $B205), "", "存在しない")</f>
        <v>存在しない</v>
      </c>
      <c r="N205" s="2" t="s">
        <v>1258</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IF(OR(COUNTIF(クラス!$A$1:$A$1034, $B206),$B206="",COUNTIF(スキル一覧!$A$1:$A$3500, $B206)), "", "存在しない")</f>
        <v/>
      </c>
      <c r="M206" s="2" t="str">
        <f>IF(COUNTIF($B$1:$C205, $B206), "", "存在しない")</f>
        <v>存在しない</v>
      </c>
      <c r="N206" s="2" t="s">
        <v>1258</v>
      </c>
    </row>
    <row r="207" spans="1:14" hidden="1" outlineLevel="1" x14ac:dyDescent="0.4">
      <c r="A207" s="2">
        <v>2</v>
      </c>
      <c r="J207" s="6" t="str">
        <f>IFERROR(_xlfn.LET(_xlpm.v,
VLOOKUP($I207,効果!$A:$B,COLUMN(効果!B$1),FALSE),
IF(_xlpm.v=0,"",_xlpm.v)
),"")</f>
        <v/>
      </c>
      <c r="L207" s="15" t="str">
        <f>IF(OR(COUNTIF(クラス!$A$1:$A$1034, $B207),$B207="",COUNTIF(スキル一覧!$A$1:$A$3500, $B207)), "", "存在しない")</f>
        <v/>
      </c>
      <c r="M207" s="2" t="str">
        <f>IF(COUNTIF($B$1:$C206, $B207), "", "存在しない")</f>
        <v>存在しない</v>
      </c>
      <c r="N207" s="2" t="s">
        <v>1258</v>
      </c>
    </row>
    <row r="208" spans="1:14" hidden="1" outlineLevel="1" x14ac:dyDescent="0.4">
      <c r="A208" s="2">
        <v>3</v>
      </c>
      <c r="B208" s="2" t="s">
        <v>476</v>
      </c>
      <c r="E208" s="13" t="s">
        <v>475</v>
      </c>
      <c r="H208" s="10" t="s">
        <v>477</v>
      </c>
      <c r="J208" s="6" t="str">
        <f>IFERROR(_xlfn.LET(_xlpm.v,
VLOOKUP($I208,効果!$A:$B,COLUMN(効果!B$1),FALSE),
IF(_xlpm.v=0,"",_xlpm.v)
),"")</f>
        <v/>
      </c>
      <c r="L208" s="15" t="str">
        <f>IF(OR(COUNTIF(クラス!$A$1:$A$1034,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IF(OR(COUNTIF(クラス!$A$1:$A$1034, $B209),$B209="",COUNTIF(スキル一覧!$A$1:$A$3500, $B209)), "", "存在しない")</f>
        <v/>
      </c>
      <c r="M209" s="2" t="str">
        <f>IF(COUNTIF($B$1:$C208, $B209), "", "存在しない")</f>
        <v>存在しない</v>
      </c>
      <c r="N209" s="2" t="s">
        <v>1258</v>
      </c>
    </row>
    <row r="210" spans="1:14" hidden="1" outlineLevel="1" x14ac:dyDescent="0.4">
      <c r="A210" s="2">
        <v>5</v>
      </c>
      <c r="J210" s="6" t="str">
        <f>IFERROR(_xlfn.LET(_xlpm.v,
VLOOKUP($I210,効果!$A:$B,COLUMN(効果!B$1),FALSE),
IF(_xlpm.v=0,"",_xlpm.v)
),"")</f>
        <v/>
      </c>
      <c r="L210" s="15" t="str">
        <f>IF(OR(COUNTIF(クラス!$A$1:$A$1034, $B210),$B210="",COUNTIF(スキル一覧!$A$1:$A$3500, $B210)), "", "存在しない")</f>
        <v/>
      </c>
      <c r="M210" s="2" t="str">
        <f>IF(COUNTIF($B$1:$C209, $B210), "", "存在しない")</f>
        <v>存在しない</v>
      </c>
      <c r="N210" s="2" t="s">
        <v>1258</v>
      </c>
    </row>
    <row r="211" spans="1:14" hidden="1" outlineLevel="1" x14ac:dyDescent="0.4">
      <c r="A211" s="2">
        <v>6</v>
      </c>
      <c r="J211" s="6" t="str">
        <f>IFERROR(_xlfn.LET(_xlpm.v,
VLOOKUP($I211,効果!$A:$B,COLUMN(効果!B$1),FALSE),
IF(_xlpm.v=0,"",_xlpm.v)
),"")</f>
        <v/>
      </c>
      <c r="L211" s="15" t="str">
        <f>IF(OR(COUNTIF(クラス!$A$1:$A$1034, $B211),$B211="",COUNTIF(スキル一覧!$A$1:$A$3500, $B211)), "", "存在しない")</f>
        <v/>
      </c>
      <c r="M211" s="2" t="str">
        <f>IF(COUNTIF($B$1:$C210, $B211), "", "存在しない")</f>
        <v>存在しない</v>
      </c>
      <c r="N211" s="2" t="s">
        <v>1258</v>
      </c>
    </row>
    <row r="212" spans="1:14" hidden="1" outlineLevel="1" x14ac:dyDescent="0.4">
      <c r="A212" s="2">
        <v>7</v>
      </c>
      <c r="J212" s="6" t="str">
        <f>IFERROR(_xlfn.LET(_xlpm.v,
VLOOKUP($I212,効果!$A:$B,COLUMN(効果!B$1),FALSE),
IF(_xlpm.v=0,"",_xlpm.v)
),"")</f>
        <v/>
      </c>
      <c r="L212" s="15" t="str">
        <f>IF(OR(COUNTIF(クラス!$A$1:$A$1034, $B212),$B212="",COUNTIF(スキル一覧!$A$1:$A$3500, $B212)), "", "存在しない")</f>
        <v/>
      </c>
      <c r="M212" s="2" t="str">
        <f>IF(COUNTIF($B$1:$C211, $B212), "", "存在しない")</f>
        <v>存在しない</v>
      </c>
      <c r="N212" s="2" t="s">
        <v>1258</v>
      </c>
    </row>
    <row r="213" spans="1:14" hidden="1" outlineLevel="1" x14ac:dyDescent="0.4">
      <c r="A213" s="2">
        <v>8</v>
      </c>
      <c r="J213" s="6" t="str">
        <f>IFERROR(_xlfn.LET(_xlpm.v,
VLOOKUP($I213,効果!$A:$B,COLUMN(効果!B$1),FALSE),
IF(_xlpm.v=0,"",_xlpm.v)
),"")</f>
        <v/>
      </c>
      <c r="L213" s="15" t="str">
        <f>IF(OR(COUNTIF(クラス!$A$1:$A$1034, $B213),$B213="",COUNTIF(スキル一覧!$A$1:$A$3500, $B213)), "", "存在しない")</f>
        <v/>
      </c>
      <c r="M213" s="2" t="str">
        <f>IF(COUNTIF($B$1:$C212, $B213), "", "存在しない")</f>
        <v>存在しない</v>
      </c>
      <c r="N213" s="2" t="s">
        <v>1258</v>
      </c>
    </row>
    <row r="214" spans="1:14" hidden="1" outlineLevel="1" x14ac:dyDescent="0.4">
      <c r="A214" s="2">
        <v>9</v>
      </c>
      <c r="J214" s="6" t="str">
        <f>IFERROR(_xlfn.LET(_xlpm.v,
VLOOKUP($I214,効果!$A:$B,COLUMN(効果!B$1),FALSE),
IF(_xlpm.v=0,"",_xlpm.v)
),"")</f>
        <v/>
      </c>
      <c r="L214" s="15" t="str">
        <f>IF(OR(COUNTIF(クラス!$A$1:$A$1034, $B214),$B214="",COUNTIF(スキル一覧!$A$1:$A$3500, $B214)), "", "存在しない")</f>
        <v/>
      </c>
      <c r="M214" s="2" t="str">
        <f>IF(COUNTIF($B$1:$C213, $B214), "", "存在しない")</f>
        <v>存在しない</v>
      </c>
      <c r="N214" s="2" t="s">
        <v>1258</v>
      </c>
    </row>
    <row r="215" spans="1:14" hidden="1" outlineLevel="1" x14ac:dyDescent="0.4">
      <c r="A215" s="2">
        <v>10</v>
      </c>
      <c r="J215" s="6" t="str">
        <f>IFERROR(_xlfn.LET(_xlpm.v,
VLOOKUP($I215,効果!$A:$B,COLUMN(効果!B$1),FALSE),
IF(_xlpm.v=0,"",_xlpm.v)
),"")</f>
        <v/>
      </c>
      <c r="L215" s="15" t="str">
        <f>IF(OR(COUNTIF(クラス!$A$1:$A$1034, $B215),$B215="",COUNTIF(スキル一覧!$A$1:$A$3500, $B215)), "", "存在しない")</f>
        <v/>
      </c>
      <c r="M215" s="2" t="str">
        <f>IF(COUNTIF($B$1:$C214, $B215), "", "存在しない")</f>
        <v>存在しない</v>
      </c>
      <c r="N215" s="2" t="s">
        <v>1258</v>
      </c>
    </row>
    <row r="216" spans="1:14" hidden="1" outlineLevel="1" x14ac:dyDescent="0.4">
      <c r="J216" s="6" t="str">
        <f>IFERROR(_xlfn.LET(_xlpm.v,
VLOOKUP($I216,効果!$A:$B,COLUMN(効果!B$1),FALSE),
IF(_xlpm.v=0,"",_xlpm.v)
),"")</f>
        <v/>
      </c>
      <c r="L216" s="15" t="str">
        <f>IF(OR(COUNTIF(クラス!$A$1:$A$1034, $B216),$B216="",COUNTIF(スキル一覧!$A$1:$A$3500, $B216)), "", "存在しない")</f>
        <v/>
      </c>
      <c r="M216" s="2" t="str">
        <f>IF(COUNTIF($B$1:$C215, $B216), "", "存在しない")</f>
        <v>存在しない</v>
      </c>
      <c r="N216" s="2" t="s">
        <v>1258</v>
      </c>
    </row>
    <row r="217" spans="1:14" collapsed="1" x14ac:dyDescent="0.4">
      <c r="J217" s="6" t="str">
        <f>IFERROR(_xlfn.LET(_xlpm.v,
VLOOKUP($I217,効果!$A:$B,COLUMN(効果!B$1),FALSE),
IF(_xlpm.v=0,"",_xlpm.v)
),"")</f>
        <v/>
      </c>
      <c r="L217" s="15" t="str">
        <f>IF(OR(COUNTIF(クラス!$A$1:$A$1034, $B217),$B217="",COUNTIF(スキル一覧!$A$1:$A$3500, $B217)), "", "存在しない")</f>
        <v/>
      </c>
      <c r="M217" s="2" t="str">
        <f>IF(COUNTIF($B$1:$C216, $B217), "", "存在しない")</f>
        <v>存在しない</v>
      </c>
      <c r="N217" s="2" t="s">
        <v>1258</v>
      </c>
    </row>
    <row r="218" spans="1:14" x14ac:dyDescent="0.4">
      <c r="B218" s="2" t="s">
        <v>54</v>
      </c>
      <c r="J218" s="6" t="str">
        <f>IFERROR(_xlfn.LET(_xlpm.v,
VLOOKUP($I218,効果!$A:$B,COLUMN(効果!B$1),FALSE),
IF(_xlpm.v=0,"",_xlpm.v)
),"")</f>
        <v/>
      </c>
      <c r="L218" s="15" t="str">
        <f>IF(OR(COUNTIF(クラス!$A$1:$A$1034, $B218),$B218="",COUNTIF(スキル一覧!$A$1:$A$3500, $B218)), "", "存在しない")</f>
        <v/>
      </c>
      <c r="M218" s="2" t="str">
        <f>IF(COUNTIF($B$1:$C217, $B218), "", "存在しない")</f>
        <v>存在しない</v>
      </c>
      <c r="N218" s="2" t="s">
        <v>1258</v>
      </c>
    </row>
    <row r="219" spans="1:14" x14ac:dyDescent="0.4">
      <c r="B219" s="2" t="s">
        <v>56</v>
      </c>
      <c r="J219" s="6" t="str">
        <f>IFERROR(_xlfn.LET(_xlpm.v,
VLOOKUP($I219,効果!$A:$B,COLUMN(効果!B$1),FALSE),
IF(_xlpm.v=0,"",_xlpm.v)
),"")</f>
        <v/>
      </c>
      <c r="L219" s="15" t="str">
        <f>IF(OR(COUNTIF(クラス!$A$1:$A$1034, $B219),$B219="",COUNTIF(スキル一覧!$A$1:$A$3500, $B219)), "", "存在しない")</f>
        <v/>
      </c>
      <c r="M219" s="2" t="str">
        <f>IF(COUNTIF($B$1:$C218, $B219), "", "存在しない")</f>
        <v>存在しない</v>
      </c>
      <c r="N219" s="2" t="s">
        <v>1258</v>
      </c>
    </row>
    <row r="220" spans="1:14" x14ac:dyDescent="0.4">
      <c r="B220" s="2" t="s">
        <v>58</v>
      </c>
      <c r="J220" s="6" t="str">
        <f>IFERROR(_xlfn.LET(_xlpm.v,
VLOOKUP($I220,効果!$A:$B,COLUMN(効果!B$1),FALSE),
IF(_xlpm.v=0,"",_xlpm.v)
),"")</f>
        <v/>
      </c>
      <c r="L220" s="15" t="str">
        <f>IF(OR(COUNTIF(クラス!$A$1:$A$1034, $B220),$B220="",COUNTIF(スキル一覧!$A$1:$A$3500, $B220)), "", "存在しない")</f>
        <v/>
      </c>
      <c r="M220" s="2" t="str">
        <f>IF(COUNTIF($B$1:$C219, $B220), "", "存在しない")</f>
        <v>存在しない</v>
      </c>
      <c r="N220" s="2" t="s">
        <v>1258</v>
      </c>
    </row>
    <row r="221" spans="1:14" x14ac:dyDescent="0.4">
      <c r="J221" s="6" t="str">
        <f>IFERROR(_xlfn.LET(_xlpm.v,
VLOOKUP($I221,効果!$A:$B,COLUMN(効果!B$1),FALSE),
IF(_xlpm.v=0,"",_xlpm.v)
),"")</f>
        <v/>
      </c>
      <c r="L221" s="15" t="str">
        <f>IF(OR(COUNTIF(クラス!$A$1:$A$1034, $B221),$B221="",COUNTIF(スキル一覧!$A$1:$A$3500, $B221)), "", "存在しない")</f>
        <v/>
      </c>
      <c r="M221" s="2" t="str">
        <f>IF(COUNTIF($B$1:$C220, $B221), "", "存在しない")</f>
        <v>存在しない</v>
      </c>
      <c r="N221" s="2" t="s">
        <v>1258</v>
      </c>
    </row>
    <row r="222" spans="1:14" x14ac:dyDescent="0.4">
      <c r="B222" s="2" t="s">
        <v>52</v>
      </c>
      <c r="J222" s="6" t="str">
        <f>IFERROR(_xlfn.LET(_xlpm.v,
VLOOKUP($I222,効果!$A:$B,COLUMN(効果!B$1),FALSE),
IF(_xlpm.v=0,"",_xlpm.v)
),"")</f>
        <v/>
      </c>
      <c r="L222" s="15" t="str">
        <f>IF(OR(COUNTIF(クラス!$A$1:$A$1034, $B222),$B222="",COUNTIF(スキル一覧!$A$1:$A$3500, $B222)), "", "存在しない")</f>
        <v/>
      </c>
      <c r="M222" s="2" t="str">
        <f>IF(COUNTIF($B$1:$C221, $B222), "", "存在しない")</f>
        <v>存在しない</v>
      </c>
      <c r="N222" s="2" t="s">
        <v>1258</v>
      </c>
    </row>
    <row r="223" spans="1:14" hidden="1" outlineLevel="1" x14ac:dyDescent="0.4">
      <c r="A223" s="2">
        <v>1</v>
      </c>
      <c r="J223" s="6" t="str">
        <f>IFERROR(_xlfn.LET(_xlpm.v,
VLOOKUP($I223,効果!$A:$B,COLUMN(効果!B$1),FALSE),
IF(_xlpm.v=0,"",_xlpm.v)
),"")</f>
        <v/>
      </c>
      <c r="L223" s="15" t="str">
        <f>IF(OR(COUNTIF(クラス!$A$1:$A$1034, $B223),$B223="",COUNTIF(スキル一覧!$A$1:$A$3500, $B223)), "", "存在しない")</f>
        <v/>
      </c>
      <c r="M223" s="2" t="str">
        <f>IF(COUNTIF($B$1:$C222, $B223), "", "存在しない")</f>
        <v>存在しない</v>
      </c>
      <c r="N223" s="2" t="s">
        <v>1258</v>
      </c>
    </row>
    <row r="224" spans="1:14" hidden="1" outlineLevel="1" x14ac:dyDescent="0.4">
      <c r="A224" s="2">
        <v>2</v>
      </c>
      <c r="J224" s="6" t="str">
        <f>IFERROR(_xlfn.LET(_xlpm.v,
VLOOKUP($I224,効果!$A:$B,COLUMN(効果!B$1),FALSE),
IF(_xlpm.v=0,"",_xlpm.v)
),"")</f>
        <v/>
      </c>
      <c r="L224" s="15" t="str">
        <f>IF(OR(COUNTIF(クラス!$A$1:$A$1034, $B224),$B224="",COUNTIF(スキル一覧!$A$1:$A$3500, $B224)), "", "存在しない")</f>
        <v/>
      </c>
      <c r="M224" s="2" t="str">
        <f>IF(COUNTIF($B$1:$C223, $B224), "", "存在しない")</f>
        <v>存在しない</v>
      </c>
      <c r="N224" s="2" t="s">
        <v>1258</v>
      </c>
    </row>
    <row r="225" spans="1:14" hidden="1" outlineLevel="1" x14ac:dyDescent="0.4">
      <c r="A225" s="2">
        <v>3</v>
      </c>
      <c r="J225" s="6" t="str">
        <f>IFERROR(_xlfn.LET(_xlpm.v,
VLOOKUP($I225,効果!$A:$B,COLUMN(効果!B$1),FALSE),
IF(_xlpm.v=0,"",_xlpm.v)
),"")</f>
        <v/>
      </c>
      <c r="L225" s="15" t="str">
        <f>IF(OR(COUNTIF(クラス!$A$1:$A$1034, $B225),$B225="",COUNTIF(スキル一覧!$A$1:$A$3500, $B225)), "", "存在しない")</f>
        <v/>
      </c>
      <c r="M225" s="2" t="str">
        <f>IF(COUNTIF($B$1:$C224, $B225), "", "存在しない")</f>
        <v>存在しない</v>
      </c>
      <c r="N225" s="2" t="s">
        <v>1258</v>
      </c>
    </row>
    <row r="226" spans="1:14" hidden="1" outlineLevel="1" x14ac:dyDescent="0.4">
      <c r="A226" s="2">
        <v>4</v>
      </c>
      <c r="J226" s="6" t="str">
        <f>IFERROR(_xlfn.LET(_xlpm.v,
VLOOKUP($I226,効果!$A:$B,COLUMN(効果!B$1),FALSE),
IF(_xlpm.v=0,"",_xlpm.v)
),"")</f>
        <v/>
      </c>
      <c r="L226" s="15" t="str">
        <f>IF(OR(COUNTIF(クラス!$A$1:$A$1034, $B226),$B226="",COUNTIF(スキル一覧!$A$1:$A$3500, $B226)), "", "存在しない")</f>
        <v/>
      </c>
      <c r="M226" s="2" t="str">
        <f>IF(COUNTIF($B$1:$C225, $B226), "", "存在しない")</f>
        <v>存在しない</v>
      </c>
      <c r="N226" s="2" t="s">
        <v>1258</v>
      </c>
    </row>
    <row r="227" spans="1:14" hidden="1" outlineLevel="1" x14ac:dyDescent="0.4">
      <c r="A227" s="2">
        <v>5</v>
      </c>
      <c r="J227" s="6" t="str">
        <f>IFERROR(_xlfn.LET(_xlpm.v,
VLOOKUP($I227,効果!$A:$B,COLUMN(効果!B$1),FALSE),
IF(_xlpm.v=0,"",_xlpm.v)
),"")</f>
        <v/>
      </c>
      <c r="L227" s="15" t="str">
        <f>IF(OR(COUNTIF(クラス!$A$1:$A$1034, $B227),$B227="",COUNTIF(スキル一覧!$A$1:$A$3500, $B227)), "", "存在しない")</f>
        <v/>
      </c>
      <c r="M227" s="2" t="str">
        <f>IF(COUNTIF($B$1:$C226, $B227), "", "存在しない")</f>
        <v>存在しない</v>
      </c>
      <c r="N227" s="2" t="s">
        <v>1258</v>
      </c>
    </row>
    <row r="228" spans="1:14" hidden="1" outlineLevel="1" x14ac:dyDescent="0.4">
      <c r="A228" s="2">
        <v>6</v>
      </c>
      <c r="J228" s="6" t="str">
        <f>IFERROR(_xlfn.LET(_xlpm.v,
VLOOKUP($I228,効果!$A:$B,COLUMN(効果!B$1),FALSE),
IF(_xlpm.v=0,"",_xlpm.v)
),"")</f>
        <v/>
      </c>
      <c r="L228" s="15" t="str">
        <f>IF(OR(COUNTIF(クラス!$A$1:$A$1034, $B228),$B228="",COUNTIF(スキル一覧!$A$1:$A$3500, $B228)), "", "存在しない")</f>
        <v/>
      </c>
      <c r="M228" s="2" t="str">
        <f>IF(COUNTIF($B$1:$C227, $B228), "", "存在しない")</f>
        <v>存在しない</v>
      </c>
      <c r="N228" s="2" t="s">
        <v>1258</v>
      </c>
    </row>
    <row r="229" spans="1:14" hidden="1" outlineLevel="1" x14ac:dyDescent="0.4">
      <c r="A229" s="2">
        <v>7</v>
      </c>
      <c r="J229" s="6" t="str">
        <f>IFERROR(_xlfn.LET(_xlpm.v,
VLOOKUP($I229,効果!$A:$B,COLUMN(効果!B$1),FALSE),
IF(_xlpm.v=0,"",_xlpm.v)
),"")</f>
        <v/>
      </c>
      <c r="L229" s="15" t="str">
        <f>IF(OR(COUNTIF(クラス!$A$1:$A$1034, $B229),$B229="",COUNTIF(スキル一覧!$A$1:$A$3500, $B229)), "", "存在しない")</f>
        <v/>
      </c>
      <c r="M229" s="2" t="str">
        <f>IF(COUNTIF($B$1:$C228, $B229), "", "存在しない")</f>
        <v>存在しない</v>
      </c>
      <c r="N229" s="2" t="s">
        <v>1258</v>
      </c>
    </row>
    <row r="230" spans="1:14" hidden="1" outlineLevel="1" x14ac:dyDescent="0.4">
      <c r="A230" s="2">
        <v>8</v>
      </c>
      <c r="J230" s="6" t="str">
        <f>IFERROR(_xlfn.LET(_xlpm.v,
VLOOKUP($I230,効果!$A:$B,COLUMN(効果!B$1),FALSE),
IF(_xlpm.v=0,"",_xlpm.v)
),"")</f>
        <v/>
      </c>
      <c r="L230" s="15" t="str">
        <f>IF(OR(COUNTIF(クラス!$A$1:$A$1034, $B230),$B230="",COUNTIF(スキル一覧!$A$1:$A$3500, $B230)), "", "存在しない")</f>
        <v/>
      </c>
      <c r="M230" s="2" t="str">
        <f>IF(COUNTIF($B$1:$C229, $B230), "", "存在しない")</f>
        <v>存在しない</v>
      </c>
      <c r="N230" s="2" t="s">
        <v>1258</v>
      </c>
    </row>
    <row r="231" spans="1:14" hidden="1" outlineLevel="1" x14ac:dyDescent="0.4">
      <c r="A231" s="2">
        <v>9</v>
      </c>
      <c r="J231" s="6" t="str">
        <f>IFERROR(_xlfn.LET(_xlpm.v,
VLOOKUP($I231,効果!$A:$B,COLUMN(効果!B$1),FALSE),
IF(_xlpm.v=0,"",_xlpm.v)
),"")</f>
        <v/>
      </c>
      <c r="L231" s="15" t="str">
        <f>IF(OR(COUNTIF(クラス!$A$1:$A$1034, $B231),$B231="",COUNTIF(スキル一覧!$A$1:$A$3500, $B231)), "", "存在しない")</f>
        <v/>
      </c>
      <c r="M231" s="2" t="str">
        <f>IF(COUNTIF($B$1:$C230, $B231), "", "存在しない")</f>
        <v>存在しない</v>
      </c>
      <c r="N231" s="2" t="s">
        <v>1258</v>
      </c>
    </row>
    <row r="232" spans="1:14" hidden="1" outlineLevel="1" x14ac:dyDescent="0.4">
      <c r="A232" s="2">
        <v>10</v>
      </c>
      <c r="J232" s="6" t="str">
        <f>IFERROR(_xlfn.LET(_xlpm.v,
VLOOKUP($I232,効果!$A:$B,COLUMN(効果!B$1),FALSE),
IF(_xlpm.v=0,"",_xlpm.v)
),"")</f>
        <v/>
      </c>
      <c r="L232" s="15" t="str">
        <f>IF(OR(COUNTIF(クラス!$A$1:$A$1034, $B232),$B232="",COUNTIF(スキル一覧!$A$1:$A$3500, $B232)), "", "存在しない")</f>
        <v/>
      </c>
      <c r="M232" s="2" t="str">
        <f>IF(COUNTIF($B$1:$C231, $B232), "", "存在しない")</f>
        <v>存在しない</v>
      </c>
      <c r="N232" s="2" t="s">
        <v>1258</v>
      </c>
    </row>
    <row r="233" spans="1:14" hidden="1" outlineLevel="1" x14ac:dyDescent="0.4">
      <c r="J233" s="6" t="str">
        <f>IFERROR(_xlfn.LET(_xlpm.v,
VLOOKUP($I233,効果!$A:$B,COLUMN(効果!B$1),FALSE),
IF(_xlpm.v=0,"",_xlpm.v)
),"")</f>
        <v/>
      </c>
      <c r="L233" s="15" t="str">
        <f>IF(OR(COUNTIF(クラス!$A$1:$A$1034, $B233),$B233="",COUNTIF(スキル一覧!$A$1:$A$3500, $B233)), "", "存在しない")</f>
        <v/>
      </c>
      <c r="M233" s="2" t="str">
        <f>IF(COUNTIF($B$1:$C232, $B233), "", "存在しない")</f>
        <v>存在しない</v>
      </c>
      <c r="N233" s="2" t="s">
        <v>1258</v>
      </c>
    </row>
    <row r="234" spans="1:14" collapsed="1" x14ac:dyDescent="0.4">
      <c r="J234" s="6" t="str">
        <f>IFERROR(_xlfn.LET(_xlpm.v,
VLOOKUP($I234,効果!$A:$B,COLUMN(効果!B$1),FALSE),
IF(_xlpm.v=0,"",_xlpm.v)
),"")</f>
        <v/>
      </c>
      <c r="L234" s="15" t="str">
        <f>IF(OR(COUNTIF(クラス!$A$1:$A$1034, $B234),$B234="",COUNTIF(スキル一覧!$A$1:$A$3500, $B234)), "", "存在しない")</f>
        <v/>
      </c>
      <c r="M234" s="2" t="str">
        <f>IF(COUNTIF($B$1:$C233, $B234), "", "存在しない")</f>
        <v>存在しない</v>
      </c>
      <c r="N234" s="2" t="s">
        <v>1258</v>
      </c>
    </row>
    <row r="235" spans="1:14" x14ac:dyDescent="0.4">
      <c r="B235" s="2" t="s">
        <v>63</v>
      </c>
      <c r="J235" s="6" t="str">
        <f>IFERROR(_xlfn.LET(_xlpm.v,
VLOOKUP($I235,効果!$A:$B,COLUMN(効果!B$1),FALSE),
IF(_xlpm.v=0,"",_xlpm.v)
),"")</f>
        <v/>
      </c>
      <c r="L235" s="15" t="str">
        <f>IF(OR(COUNTIF(クラス!$A$1:$A$1034, $B235),$B235="",COUNTIF(スキル一覧!$A$1:$A$3500, $B235)), "", "存在しない")</f>
        <v/>
      </c>
      <c r="M235" s="2" t="str">
        <f>IF(COUNTIF($B$1:$C234, $B235), "", "存在しない")</f>
        <v>存在しない</v>
      </c>
      <c r="N235" s="2" t="s">
        <v>1258</v>
      </c>
    </row>
    <row r="236" spans="1:14" hidden="1" outlineLevel="1" x14ac:dyDescent="0.4">
      <c r="A236" s="2">
        <v>1</v>
      </c>
      <c r="J236" s="6" t="str">
        <f>IFERROR(_xlfn.LET(_xlpm.v,
VLOOKUP($I236,効果!$A:$B,COLUMN(効果!B$1),FALSE),
IF(_xlpm.v=0,"",_xlpm.v)
),"")</f>
        <v/>
      </c>
      <c r="L236" s="15" t="str">
        <f>IF(OR(COUNTIF(クラス!$A$1:$A$1034, $B236),$B236="",COUNTIF(スキル一覧!$A$1:$A$3500, $B236)), "", "存在しない")</f>
        <v/>
      </c>
      <c r="M236" s="2" t="str">
        <f>IF(COUNTIF($B$1:$C235, $B236), "", "存在しない")</f>
        <v>存在しない</v>
      </c>
      <c r="N236" s="2" t="s">
        <v>1258</v>
      </c>
    </row>
    <row r="237" spans="1:14" hidden="1" outlineLevel="1" x14ac:dyDescent="0.4">
      <c r="A237" s="2">
        <v>2</v>
      </c>
      <c r="J237" s="6" t="str">
        <f>IFERROR(_xlfn.LET(_xlpm.v,
VLOOKUP($I237,効果!$A:$B,COLUMN(効果!B$1),FALSE),
IF(_xlpm.v=0,"",_xlpm.v)
),"")</f>
        <v/>
      </c>
      <c r="L237" s="15" t="str">
        <f>IF(OR(COUNTIF(クラス!$A$1:$A$1034, $B237),$B237="",COUNTIF(スキル一覧!$A$1:$A$3500, $B237)), "", "存在しない")</f>
        <v/>
      </c>
      <c r="M237" s="2" t="str">
        <f>IF(COUNTIF($B$1:$C236, $B237), "", "存在しない")</f>
        <v>存在しない</v>
      </c>
      <c r="N237" s="2" t="s">
        <v>1258</v>
      </c>
    </row>
    <row r="238" spans="1:14" hidden="1" outlineLevel="1" x14ac:dyDescent="0.4">
      <c r="A238" s="2">
        <v>3</v>
      </c>
      <c r="J238" s="6" t="str">
        <f>IFERROR(_xlfn.LET(_xlpm.v,
VLOOKUP($I238,効果!$A:$B,COLUMN(効果!B$1),FALSE),
IF(_xlpm.v=0,"",_xlpm.v)
),"")</f>
        <v/>
      </c>
      <c r="L238" s="15" t="str">
        <f>IF(OR(COUNTIF(クラス!$A$1:$A$1034, $B238),$B238="",COUNTIF(スキル一覧!$A$1:$A$3500, $B238)), "", "存在しない")</f>
        <v/>
      </c>
      <c r="M238" s="2" t="str">
        <f>IF(COUNTIF($B$1:$C237, $B238), "", "存在しない")</f>
        <v>存在しない</v>
      </c>
      <c r="N238" s="2" t="s">
        <v>1258</v>
      </c>
    </row>
    <row r="239" spans="1:14" hidden="1" outlineLevel="1" x14ac:dyDescent="0.4">
      <c r="A239" s="2">
        <v>4</v>
      </c>
      <c r="J239" s="6" t="str">
        <f>IFERROR(_xlfn.LET(_xlpm.v,
VLOOKUP($I239,効果!$A:$B,COLUMN(効果!B$1),FALSE),
IF(_xlpm.v=0,"",_xlpm.v)
),"")</f>
        <v/>
      </c>
      <c r="L239" s="15" t="str">
        <f>IF(OR(COUNTIF(クラス!$A$1:$A$1034, $B239),$B239="",COUNTIF(スキル一覧!$A$1:$A$3500, $B239)), "", "存在しない")</f>
        <v/>
      </c>
      <c r="M239" s="2" t="str">
        <f>IF(COUNTIF($B$1:$C238, $B239), "", "存在しない")</f>
        <v>存在しない</v>
      </c>
      <c r="N239" s="2" t="s">
        <v>1258</v>
      </c>
    </row>
    <row r="240" spans="1:14" hidden="1" outlineLevel="1" x14ac:dyDescent="0.4">
      <c r="A240" s="2">
        <v>5</v>
      </c>
      <c r="J240" s="6" t="str">
        <f>IFERROR(_xlfn.LET(_xlpm.v,
VLOOKUP($I240,効果!$A:$B,COLUMN(効果!B$1),FALSE),
IF(_xlpm.v=0,"",_xlpm.v)
),"")</f>
        <v/>
      </c>
      <c r="L240" s="15" t="str">
        <f>IF(OR(COUNTIF(クラス!$A$1:$A$1034, $B240),$B240="",COUNTIF(スキル一覧!$A$1:$A$3500, $B240)), "", "存在しない")</f>
        <v/>
      </c>
      <c r="M240" s="2" t="str">
        <f>IF(COUNTIF($B$1:$C239, $B240), "", "存在しない")</f>
        <v>存在しない</v>
      </c>
      <c r="N240" s="2" t="s">
        <v>1258</v>
      </c>
    </row>
    <row r="241" spans="1:14" hidden="1" outlineLevel="1" x14ac:dyDescent="0.4">
      <c r="A241" s="2">
        <v>6</v>
      </c>
      <c r="J241" s="6" t="str">
        <f>IFERROR(_xlfn.LET(_xlpm.v,
VLOOKUP($I241,効果!$A:$B,COLUMN(効果!B$1),FALSE),
IF(_xlpm.v=0,"",_xlpm.v)
),"")</f>
        <v/>
      </c>
      <c r="L241" s="15" t="str">
        <f>IF(OR(COUNTIF(クラス!$A$1:$A$1034, $B241),$B241="",COUNTIF(スキル一覧!$A$1:$A$3500, $B241)), "", "存在しない")</f>
        <v/>
      </c>
      <c r="M241" s="2" t="str">
        <f>IF(COUNTIF($B$1:$C240, $B241), "", "存在しない")</f>
        <v>存在しない</v>
      </c>
      <c r="N241" s="2" t="s">
        <v>1258</v>
      </c>
    </row>
    <row r="242" spans="1:14" hidden="1" outlineLevel="1" x14ac:dyDescent="0.4">
      <c r="A242" s="2">
        <v>7</v>
      </c>
      <c r="J242" s="6" t="str">
        <f>IFERROR(_xlfn.LET(_xlpm.v,
VLOOKUP($I242,効果!$A:$B,COLUMN(効果!B$1),FALSE),
IF(_xlpm.v=0,"",_xlpm.v)
),"")</f>
        <v/>
      </c>
      <c r="L242" s="15" t="str">
        <f>IF(OR(COUNTIF(クラス!$A$1:$A$1034, $B242),$B242="",COUNTIF(スキル一覧!$A$1:$A$3500, $B242)), "", "存在しない")</f>
        <v/>
      </c>
      <c r="M242" s="2" t="str">
        <f>IF(COUNTIF($B$1:$C241, $B242), "", "存在しない")</f>
        <v>存在しない</v>
      </c>
      <c r="N242" s="2" t="s">
        <v>1258</v>
      </c>
    </row>
    <row r="243" spans="1:14" hidden="1" outlineLevel="1" x14ac:dyDescent="0.4">
      <c r="A243" s="2">
        <v>8</v>
      </c>
      <c r="J243" s="6" t="str">
        <f>IFERROR(_xlfn.LET(_xlpm.v,
VLOOKUP($I243,効果!$A:$B,COLUMN(効果!B$1),FALSE),
IF(_xlpm.v=0,"",_xlpm.v)
),"")</f>
        <v/>
      </c>
      <c r="L243" s="15" t="str">
        <f>IF(OR(COUNTIF(クラス!$A$1:$A$1034, $B243),$B243="",COUNTIF(スキル一覧!$A$1:$A$3500, $B243)), "", "存在しない")</f>
        <v/>
      </c>
      <c r="M243" s="2" t="str">
        <f>IF(COUNTIF($B$1:$C242, $B243), "", "存在しない")</f>
        <v>存在しない</v>
      </c>
      <c r="N243" s="2" t="s">
        <v>1258</v>
      </c>
    </row>
    <row r="244" spans="1:14" hidden="1" outlineLevel="1" x14ac:dyDescent="0.4">
      <c r="A244" s="2">
        <v>9</v>
      </c>
      <c r="J244" s="6" t="str">
        <f>IFERROR(_xlfn.LET(_xlpm.v,
VLOOKUP($I244,効果!$A:$B,COLUMN(効果!B$1),FALSE),
IF(_xlpm.v=0,"",_xlpm.v)
),"")</f>
        <v/>
      </c>
      <c r="L244" s="15" t="str">
        <f>IF(OR(COUNTIF(クラス!$A$1:$A$1034, $B244),$B244="",COUNTIF(スキル一覧!$A$1:$A$3500, $B244)), "", "存在しない")</f>
        <v/>
      </c>
      <c r="M244" s="2" t="str">
        <f>IF(COUNTIF($B$1:$C243, $B244), "", "存在しない")</f>
        <v>存在しない</v>
      </c>
      <c r="N244" s="2" t="s">
        <v>1258</v>
      </c>
    </row>
    <row r="245" spans="1:14" hidden="1" outlineLevel="1" x14ac:dyDescent="0.4">
      <c r="A245" s="2">
        <v>10</v>
      </c>
      <c r="J245" s="6" t="str">
        <f>IFERROR(_xlfn.LET(_xlpm.v,
VLOOKUP($I245,効果!$A:$B,COLUMN(効果!B$1),FALSE),
IF(_xlpm.v=0,"",_xlpm.v)
),"")</f>
        <v/>
      </c>
      <c r="L245" s="15" t="str">
        <f>IF(OR(COUNTIF(クラス!$A$1:$A$1034, $B245),$B245="",COUNTIF(スキル一覧!$A$1:$A$3500, $B245)), "", "存在しない")</f>
        <v/>
      </c>
      <c r="M245" s="2" t="str">
        <f>IF(COUNTIF($B$1:$C244, $B245), "", "存在しない")</f>
        <v>存在しない</v>
      </c>
      <c r="N245" s="2" t="s">
        <v>1258</v>
      </c>
    </row>
    <row r="246" spans="1:14" hidden="1" outlineLevel="1" x14ac:dyDescent="0.4">
      <c r="J246" s="6" t="str">
        <f>IFERROR(_xlfn.LET(_xlpm.v,
VLOOKUP($I246,効果!$A:$B,COLUMN(効果!B$1),FALSE),
IF(_xlpm.v=0,"",_xlpm.v)
),"")</f>
        <v/>
      </c>
      <c r="L246" s="15" t="str">
        <f>IF(OR(COUNTIF(クラス!$A$1:$A$1034, $B246),$B246="",COUNTIF(スキル一覧!$A$1:$A$3500, $B246)), "", "存在しない")</f>
        <v/>
      </c>
      <c r="M246" s="2" t="str">
        <f>IF(COUNTIF($B$1:$C245, $B246), "", "存在しない")</f>
        <v>存在しない</v>
      </c>
      <c r="N246" s="2" t="s">
        <v>1258</v>
      </c>
    </row>
    <row r="247" spans="1:14" collapsed="1" x14ac:dyDescent="0.4">
      <c r="J247" s="6" t="str">
        <f>IFERROR(_xlfn.LET(_xlpm.v,
VLOOKUP($I247,効果!$A:$B,COLUMN(効果!B$1),FALSE),
IF(_xlpm.v=0,"",_xlpm.v)
),"")</f>
        <v/>
      </c>
      <c r="L247" s="15" t="str">
        <f>IF(OR(COUNTIF(クラス!$A$1:$A$1034, $B247),$B247="",COUNTIF(スキル一覧!$A$1:$A$3500, $B247)), "", "存在しない")</f>
        <v/>
      </c>
      <c r="M247" s="2" t="str">
        <f>IF(COUNTIF($B$1:$C246, $B247), "", "存在しない")</f>
        <v>存在しない</v>
      </c>
      <c r="N247" s="2" t="s">
        <v>1258</v>
      </c>
    </row>
    <row r="248" spans="1:14" x14ac:dyDescent="0.4">
      <c r="B248" s="2" t="s">
        <v>41</v>
      </c>
      <c r="J248" s="6" t="str">
        <f>IFERROR(_xlfn.LET(_xlpm.v,
VLOOKUP($I248,効果!$A:$B,COLUMN(効果!B$1),FALSE),
IF(_xlpm.v=0,"",_xlpm.v)
),"")</f>
        <v/>
      </c>
      <c r="L248" s="15" t="str">
        <f>IF(OR(COUNTIF(クラス!$A$1:$A$1034, $B248),$B248="",COUNTIF(スキル一覧!$A$1:$A$3500, $B248)), "", "存在しない")</f>
        <v/>
      </c>
      <c r="M248" s="2" t="str">
        <f>IF(COUNTIF($B$1:$C247, $B248), "", "存在しない")</f>
        <v>存在しない</v>
      </c>
      <c r="N248" s="2" t="s">
        <v>1258</v>
      </c>
    </row>
    <row r="249" spans="1:14" hidden="1" outlineLevel="1" x14ac:dyDescent="0.4">
      <c r="A249" s="2">
        <v>1</v>
      </c>
      <c r="J249" s="6" t="str">
        <f>IFERROR(_xlfn.LET(_xlpm.v,
VLOOKUP($I249,効果!$A:$B,COLUMN(効果!B$1),FALSE),
IF(_xlpm.v=0,"",_xlpm.v)
),"")</f>
        <v/>
      </c>
      <c r="L249" s="15" t="str">
        <f>IF(OR(COUNTIF(クラス!$A$1:$A$1034, $B249),$B249="",COUNTIF(スキル一覧!$A$1:$A$3500, $B249)), "", "存在しない")</f>
        <v/>
      </c>
      <c r="M249" s="2" t="str">
        <f>IF(COUNTIF($B$1:$C248, $B249), "", "存在しない")</f>
        <v>存在しない</v>
      </c>
      <c r="N249" s="2" t="s">
        <v>1258</v>
      </c>
    </row>
    <row r="250" spans="1:14" hidden="1" outlineLevel="1" x14ac:dyDescent="0.4">
      <c r="A250" s="2">
        <v>2</v>
      </c>
      <c r="J250" s="6" t="str">
        <f>IFERROR(_xlfn.LET(_xlpm.v,
VLOOKUP($I250,効果!$A:$B,COLUMN(効果!B$1),FALSE),
IF(_xlpm.v=0,"",_xlpm.v)
),"")</f>
        <v/>
      </c>
      <c r="L250" s="15" t="str">
        <f>IF(OR(COUNTIF(クラス!$A$1:$A$1034, $B250),$B250="",COUNTIF(スキル一覧!$A$1:$A$3500, $B250)), "", "存在しない")</f>
        <v/>
      </c>
      <c r="M250" s="2" t="str">
        <f>IF(COUNTIF($B$1:$C249, $B250), "", "存在しない")</f>
        <v>存在しない</v>
      </c>
      <c r="N250" s="2" t="s">
        <v>1258</v>
      </c>
    </row>
    <row r="251" spans="1:14" hidden="1" outlineLevel="1" x14ac:dyDescent="0.4">
      <c r="A251" s="2">
        <v>3</v>
      </c>
      <c r="J251" s="6" t="str">
        <f>IFERROR(_xlfn.LET(_xlpm.v,
VLOOKUP($I251,効果!$A:$B,COLUMN(効果!B$1),FALSE),
IF(_xlpm.v=0,"",_xlpm.v)
),"")</f>
        <v/>
      </c>
      <c r="L251" s="15" t="str">
        <f>IF(OR(COUNTIF(クラス!$A$1:$A$1034, $B251),$B251="",COUNTIF(スキル一覧!$A$1:$A$3500, $B251)), "", "存在しない")</f>
        <v/>
      </c>
      <c r="M251" s="2" t="str">
        <f>IF(COUNTIF($B$1:$C250, $B251), "", "存在しない")</f>
        <v>存在しない</v>
      </c>
      <c r="N251" s="2" t="s">
        <v>1258</v>
      </c>
    </row>
    <row r="252" spans="1:14" hidden="1" outlineLevel="1" x14ac:dyDescent="0.4">
      <c r="A252" s="2">
        <v>4</v>
      </c>
      <c r="J252" s="6" t="str">
        <f>IFERROR(_xlfn.LET(_xlpm.v,
VLOOKUP($I252,効果!$A:$B,COLUMN(効果!B$1),FALSE),
IF(_xlpm.v=0,"",_xlpm.v)
),"")</f>
        <v/>
      </c>
      <c r="L252" s="15" t="str">
        <f>IF(OR(COUNTIF(クラス!$A$1:$A$1034, $B252),$B252="",COUNTIF(スキル一覧!$A$1:$A$3500, $B252)), "", "存在しない")</f>
        <v/>
      </c>
      <c r="M252" s="2" t="str">
        <f>IF(COUNTIF($B$1:$C251, $B252), "", "存在しない")</f>
        <v>存在しない</v>
      </c>
      <c r="N252" s="2" t="s">
        <v>1258</v>
      </c>
    </row>
    <row r="253" spans="1:14" hidden="1" outlineLevel="1" x14ac:dyDescent="0.4">
      <c r="A253" s="2">
        <v>5</v>
      </c>
      <c r="J253" s="6" t="str">
        <f>IFERROR(_xlfn.LET(_xlpm.v,
VLOOKUP($I253,効果!$A:$B,COLUMN(効果!B$1),FALSE),
IF(_xlpm.v=0,"",_xlpm.v)
),"")</f>
        <v/>
      </c>
      <c r="L253" s="15" t="str">
        <f>IF(OR(COUNTIF(クラス!$A$1:$A$1034, $B253),$B253="",COUNTIF(スキル一覧!$A$1:$A$3500, $B253)), "", "存在しない")</f>
        <v/>
      </c>
      <c r="M253" s="2" t="str">
        <f>IF(COUNTIF($B$1:$C252, $B253), "", "存在しない")</f>
        <v>存在しない</v>
      </c>
      <c r="N253" s="2" t="s">
        <v>1258</v>
      </c>
    </row>
    <row r="254" spans="1:14" hidden="1" outlineLevel="1" x14ac:dyDescent="0.4">
      <c r="A254" s="2">
        <v>6</v>
      </c>
      <c r="J254" s="6" t="str">
        <f>IFERROR(_xlfn.LET(_xlpm.v,
VLOOKUP($I254,効果!$A:$B,COLUMN(効果!B$1),FALSE),
IF(_xlpm.v=0,"",_xlpm.v)
),"")</f>
        <v/>
      </c>
      <c r="L254" s="15" t="str">
        <f>IF(OR(COUNTIF(クラス!$A$1:$A$1034, $B254),$B254="",COUNTIF(スキル一覧!$A$1:$A$3500, $B254)), "", "存在しない")</f>
        <v/>
      </c>
      <c r="M254" s="2" t="str">
        <f>IF(COUNTIF($B$1:$C253, $B254), "", "存在しない")</f>
        <v>存在しない</v>
      </c>
      <c r="N254" s="2" t="s">
        <v>1258</v>
      </c>
    </row>
    <row r="255" spans="1:14" hidden="1" outlineLevel="1" x14ac:dyDescent="0.4">
      <c r="A255" s="2">
        <v>7</v>
      </c>
      <c r="J255" s="6" t="str">
        <f>IFERROR(_xlfn.LET(_xlpm.v,
VLOOKUP($I255,効果!$A:$B,COLUMN(効果!B$1),FALSE),
IF(_xlpm.v=0,"",_xlpm.v)
),"")</f>
        <v/>
      </c>
      <c r="L255" s="15" t="str">
        <f>IF(OR(COUNTIF(クラス!$A$1:$A$1034, $B255),$B255="",COUNTIF(スキル一覧!$A$1:$A$3500, $B255)), "", "存在しない")</f>
        <v/>
      </c>
      <c r="M255" s="2" t="str">
        <f>IF(COUNTIF($B$1:$C254, $B255), "", "存在しない")</f>
        <v>存在しない</v>
      </c>
      <c r="N255" s="2" t="s">
        <v>1258</v>
      </c>
    </row>
    <row r="256" spans="1:14" hidden="1" outlineLevel="1" x14ac:dyDescent="0.4">
      <c r="A256" s="2">
        <v>8</v>
      </c>
      <c r="J256" s="6" t="str">
        <f>IFERROR(_xlfn.LET(_xlpm.v,
VLOOKUP($I256,効果!$A:$B,COLUMN(効果!B$1),FALSE),
IF(_xlpm.v=0,"",_xlpm.v)
),"")</f>
        <v/>
      </c>
      <c r="L256" s="15" t="str">
        <f>IF(OR(COUNTIF(クラス!$A$1:$A$1034, $B256),$B256="",COUNTIF(スキル一覧!$A$1:$A$3500, $B256)), "", "存在しない")</f>
        <v/>
      </c>
      <c r="M256" s="2" t="str">
        <f>IF(COUNTIF($B$1:$C255, $B256), "", "存在しない")</f>
        <v>存在しない</v>
      </c>
      <c r="N256" s="2" t="s">
        <v>1258</v>
      </c>
    </row>
    <row r="257" spans="1:14" hidden="1" outlineLevel="1" x14ac:dyDescent="0.4">
      <c r="A257" s="2">
        <v>9</v>
      </c>
      <c r="J257" s="6" t="str">
        <f>IFERROR(_xlfn.LET(_xlpm.v,
VLOOKUP($I257,効果!$A:$B,COLUMN(効果!B$1),FALSE),
IF(_xlpm.v=0,"",_xlpm.v)
),"")</f>
        <v/>
      </c>
      <c r="L257" s="15" t="str">
        <f>IF(OR(COUNTIF(クラス!$A$1:$A$1034, $B257),$B257="",COUNTIF(スキル一覧!$A$1:$A$3500, $B257)), "", "存在しない")</f>
        <v/>
      </c>
      <c r="M257" s="2" t="str">
        <f>IF(COUNTIF($B$1:$C256, $B257), "", "存在しない")</f>
        <v>存在しない</v>
      </c>
      <c r="N257" s="2" t="s">
        <v>1258</v>
      </c>
    </row>
    <row r="258" spans="1:14" hidden="1" outlineLevel="1" x14ac:dyDescent="0.4">
      <c r="A258" s="2">
        <v>10</v>
      </c>
      <c r="J258" s="6" t="str">
        <f>IFERROR(_xlfn.LET(_xlpm.v,
VLOOKUP($I258,効果!$A:$B,COLUMN(効果!B$1),FALSE),
IF(_xlpm.v=0,"",_xlpm.v)
),"")</f>
        <v/>
      </c>
      <c r="L258" s="15" t="str">
        <f>IF(OR(COUNTIF(クラス!$A$1:$A$1034, $B258),$B258="",COUNTIF(スキル一覧!$A$1:$A$3500, $B258)), "", "存在しない")</f>
        <v/>
      </c>
      <c r="M258" s="2" t="str">
        <f>IF(COUNTIF($B$1:$C257, $B258), "", "存在しない")</f>
        <v>存在しない</v>
      </c>
      <c r="N258" s="2" t="s">
        <v>1258</v>
      </c>
    </row>
    <row r="259" spans="1:14" hidden="1" outlineLevel="1" x14ac:dyDescent="0.4">
      <c r="J259" s="6" t="str">
        <f>IFERROR(_xlfn.LET(_xlpm.v,
VLOOKUP($I259,効果!$A:$B,COLUMN(効果!B$1),FALSE),
IF(_xlpm.v=0,"",_xlpm.v)
),"")</f>
        <v/>
      </c>
      <c r="L259" s="15" t="str">
        <f>IF(OR(COUNTIF(クラス!$A$1:$A$1034, $B259),$B259="",COUNTIF(スキル一覧!$A$1:$A$3500, $B259)), "", "存在しない")</f>
        <v/>
      </c>
      <c r="M259" s="2" t="str">
        <f>IF(COUNTIF($B$1:$C258, $B259), "", "存在しない")</f>
        <v>存在しない</v>
      </c>
      <c r="N259" s="2" t="s">
        <v>1258</v>
      </c>
    </row>
    <row r="260" spans="1:14" collapsed="1" x14ac:dyDescent="0.4">
      <c r="J260" s="6" t="str">
        <f>IFERROR(_xlfn.LET(_xlpm.v,
VLOOKUP($I260,効果!$A:$B,COLUMN(効果!B$1),FALSE),
IF(_xlpm.v=0,"",_xlpm.v)
),"")</f>
        <v/>
      </c>
      <c r="L260" s="15" t="str">
        <f>IF(OR(COUNTIF(クラス!$A$1:$A$1034, $B260),$B260="",COUNTIF(スキル一覧!$A$1:$A$3500, $B260)), "", "存在しない")</f>
        <v/>
      </c>
      <c r="M260" s="2" t="str">
        <f>IF(COUNTIF($B$1:$C259, $B260), "", "存在しない")</f>
        <v>存在しない</v>
      </c>
      <c r="N260" s="2" t="s">
        <v>1258</v>
      </c>
    </row>
    <row r="261" spans="1:14" x14ac:dyDescent="0.4">
      <c r="B261" s="2" t="s">
        <v>65</v>
      </c>
      <c r="J261" s="6" t="str">
        <f>IFERROR(_xlfn.LET(_xlpm.v,
VLOOKUP($I261,効果!$A:$B,COLUMN(効果!B$1),FALSE),
IF(_xlpm.v=0,"",_xlpm.v)
),"")</f>
        <v/>
      </c>
      <c r="L261" s="15" t="str">
        <f>IF(OR(COUNTIF(クラス!$A$1:$A$1034, $B261),$B261="",COUNTIF(スキル一覧!$A$1:$A$3500, $B261)), "", "存在しない")</f>
        <v/>
      </c>
      <c r="M261" s="2" t="str">
        <f>IF(COUNTIF($B$1:$C260, $B261), "", "存在しない")</f>
        <v>存在しない</v>
      </c>
      <c r="N261" s="2" t="s">
        <v>1258</v>
      </c>
    </row>
    <row r="262" spans="1:14" hidden="1" outlineLevel="1" x14ac:dyDescent="0.4">
      <c r="A262" s="2">
        <v>1</v>
      </c>
      <c r="J262" s="6" t="str">
        <f>IFERROR(_xlfn.LET(_xlpm.v,
VLOOKUP($I262,効果!$A:$B,COLUMN(効果!B$1),FALSE),
IF(_xlpm.v=0,"",_xlpm.v)
),"")</f>
        <v/>
      </c>
      <c r="L262" s="15" t="str">
        <f>IF(OR(COUNTIF(クラス!$A$1:$A$1034, $B262),$B262="",COUNTIF(スキル一覧!$A$1:$A$3500, $B262)), "", "存在しない")</f>
        <v/>
      </c>
      <c r="M262" s="2" t="str">
        <f>IF(COUNTIF($B$1:$C261, $B262), "", "存在しない")</f>
        <v>存在しない</v>
      </c>
      <c r="N262" s="2" t="s">
        <v>1258</v>
      </c>
    </row>
    <row r="263" spans="1:14" hidden="1" outlineLevel="1" x14ac:dyDescent="0.4">
      <c r="A263" s="2">
        <v>2</v>
      </c>
      <c r="J263" s="6" t="str">
        <f>IFERROR(_xlfn.LET(_xlpm.v,
VLOOKUP($I263,効果!$A:$B,COLUMN(効果!B$1),FALSE),
IF(_xlpm.v=0,"",_xlpm.v)
),"")</f>
        <v/>
      </c>
      <c r="L263" s="15" t="str">
        <f>IF(OR(COUNTIF(クラス!$A$1:$A$1034, $B263),$B263="",COUNTIF(スキル一覧!$A$1:$A$3500, $B263)), "", "存在しない")</f>
        <v/>
      </c>
      <c r="M263" s="2" t="str">
        <f>IF(COUNTIF($B$1:$C262, $B263), "", "存在しない")</f>
        <v>存在しない</v>
      </c>
      <c r="N263" s="2" t="s">
        <v>1258</v>
      </c>
    </row>
    <row r="264" spans="1:14" hidden="1" outlineLevel="1" x14ac:dyDescent="0.4">
      <c r="A264" s="2">
        <v>3</v>
      </c>
      <c r="J264" s="6" t="str">
        <f>IFERROR(_xlfn.LET(_xlpm.v,
VLOOKUP($I264,効果!$A:$B,COLUMN(効果!B$1),FALSE),
IF(_xlpm.v=0,"",_xlpm.v)
),"")</f>
        <v/>
      </c>
      <c r="L264" s="15" t="str">
        <f>IF(OR(COUNTIF(クラス!$A$1:$A$1034, $B264),$B264="",COUNTIF(スキル一覧!$A$1:$A$3500, $B264)), "", "存在しない")</f>
        <v/>
      </c>
      <c r="M264" s="2" t="str">
        <f>IF(COUNTIF($B$1:$C263, $B264), "", "存在しない")</f>
        <v>存在しない</v>
      </c>
      <c r="N264" s="2" t="s">
        <v>1258</v>
      </c>
    </row>
    <row r="265" spans="1:14" hidden="1" outlineLevel="1" x14ac:dyDescent="0.4">
      <c r="A265" s="2">
        <v>4</v>
      </c>
      <c r="J265" s="6" t="str">
        <f>IFERROR(_xlfn.LET(_xlpm.v,
VLOOKUP($I265,効果!$A:$B,COLUMN(効果!B$1),FALSE),
IF(_xlpm.v=0,"",_xlpm.v)
),"")</f>
        <v/>
      </c>
      <c r="L265" s="15" t="str">
        <f>IF(OR(COUNTIF(クラス!$A$1:$A$1034, $B265),$B265="",COUNTIF(スキル一覧!$A$1:$A$3500, $B265)), "", "存在しない")</f>
        <v/>
      </c>
      <c r="M265" s="2" t="str">
        <f>IF(COUNTIF($B$1:$C264, $B265), "", "存在しない")</f>
        <v>存在しない</v>
      </c>
      <c r="N265" s="2" t="s">
        <v>1258</v>
      </c>
    </row>
    <row r="266" spans="1:14" hidden="1" outlineLevel="1" x14ac:dyDescent="0.4">
      <c r="A266" s="2">
        <v>5</v>
      </c>
      <c r="J266" s="6" t="str">
        <f>IFERROR(_xlfn.LET(_xlpm.v,
VLOOKUP($I266,効果!$A:$B,COLUMN(効果!B$1),FALSE),
IF(_xlpm.v=0,"",_xlpm.v)
),"")</f>
        <v/>
      </c>
      <c r="L266" s="15" t="str">
        <f>IF(OR(COUNTIF(クラス!$A$1:$A$1034, $B266),$B266="",COUNTIF(スキル一覧!$A$1:$A$3500, $B266)), "", "存在しない")</f>
        <v/>
      </c>
      <c r="M266" s="2" t="str">
        <f>IF(COUNTIF($B$1:$C265, $B266), "", "存在しない")</f>
        <v>存在しない</v>
      </c>
      <c r="N266" s="2" t="s">
        <v>1258</v>
      </c>
    </row>
    <row r="267" spans="1:14" hidden="1" outlineLevel="1" x14ac:dyDescent="0.4">
      <c r="A267" s="2">
        <v>6</v>
      </c>
      <c r="J267" s="6" t="str">
        <f>IFERROR(_xlfn.LET(_xlpm.v,
VLOOKUP($I267,効果!$A:$B,COLUMN(効果!B$1),FALSE),
IF(_xlpm.v=0,"",_xlpm.v)
),"")</f>
        <v/>
      </c>
      <c r="L267" s="15" t="str">
        <f>IF(OR(COUNTIF(クラス!$A$1:$A$1034, $B267),$B267="",COUNTIF(スキル一覧!$A$1:$A$3500, $B267)), "", "存在しない")</f>
        <v/>
      </c>
      <c r="M267" s="2" t="str">
        <f>IF(COUNTIF($B$1:$C266, $B267), "", "存在しない")</f>
        <v>存在しない</v>
      </c>
      <c r="N267" s="2" t="s">
        <v>1258</v>
      </c>
    </row>
    <row r="268" spans="1:14" hidden="1" outlineLevel="1" x14ac:dyDescent="0.4">
      <c r="A268" s="2">
        <v>7</v>
      </c>
      <c r="J268" s="6" t="str">
        <f>IFERROR(_xlfn.LET(_xlpm.v,
VLOOKUP($I268,効果!$A:$B,COLUMN(効果!B$1),FALSE),
IF(_xlpm.v=0,"",_xlpm.v)
),"")</f>
        <v/>
      </c>
      <c r="L268" s="15" t="str">
        <f>IF(OR(COUNTIF(クラス!$A$1:$A$1034, $B268),$B268="",COUNTIF(スキル一覧!$A$1:$A$3500, $B268)), "", "存在しない")</f>
        <v/>
      </c>
      <c r="M268" s="2" t="str">
        <f>IF(COUNTIF($B$1:$C267, $B268), "", "存在しない")</f>
        <v>存在しない</v>
      </c>
      <c r="N268" s="2" t="s">
        <v>1258</v>
      </c>
    </row>
    <row r="269" spans="1:14" hidden="1" outlineLevel="1" x14ac:dyDescent="0.4">
      <c r="A269" s="2">
        <v>8</v>
      </c>
      <c r="J269" s="6" t="str">
        <f>IFERROR(_xlfn.LET(_xlpm.v,
VLOOKUP($I269,効果!$A:$B,COLUMN(効果!B$1),FALSE),
IF(_xlpm.v=0,"",_xlpm.v)
),"")</f>
        <v/>
      </c>
      <c r="L269" s="15" t="str">
        <f>IF(OR(COUNTIF(クラス!$A$1:$A$1034, $B269),$B269="",COUNTIF(スキル一覧!$A$1:$A$3500, $B269)), "", "存在しない")</f>
        <v/>
      </c>
      <c r="M269" s="2" t="str">
        <f>IF(COUNTIF($B$1:$C268, $B269), "", "存在しない")</f>
        <v>存在しない</v>
      </c>
      <c r="N269" s="2" t="s">
        <v>1258</v>
      </c>
    </row>
    <row r="270" spans="1:14" hidden="1" outlineLevel="1" x14ac:dyDescent="0.4">
      <c r="A270" s="2">
        <v>9</v>
      </c>
      <c r="J270" s="6" t="str">
        <f>IFERROR(_xlfn.LET(_xlpm.v,
VLOOKUP($I270,効果!$A:$B,COLUMN(効果!B$1),FALSE),
IF(_xlpm.v=0,"",_xlpm.v)
),"")</f>
        <v/>
      </c>
      <c r="L270" s="15" t="str">
        <f>IF(OR(COUNTIF(クラス!$A$1:$A$1034, $B270),$B270="",COUNTIF(スキル一覧!$A$1:$A$3500, $B270)), "", "存在しない")</f>
        <v/>
      </c>
      <c r="M270" s="2" t="str">
        <f>IF(COUNTIF($B$1:$C269, $B270), "", "存在しない")</f>
        <v>存在しない</v>
      </c>
      <c r="N270" s="2" t="s">
        <v>1258</v>
      </c>
    </row>
    <row r="271" spans="1:14" hidden="1" outlineLevel="1" x14ac:dyDescent="0.4">
      <c r="A271" s="2">
        <v>10</v>
      </c>
      <c r="J271" s="6" t="str">
        <f>IFERROR(_xlfn.LET(_xlpm.v,
VLOOKUP($I271,効果!$A:$B,COLUMN(効果!B$1),FALSE),
IF(_xlpm.v=0,"",_xlpm.v)
),"")</f>
        <v/>
      </c>
      <c r="L271" s="15" t="str">
        <f>IF(OR(COUNTIF(クラス!$A$1:$A$1034, $B271),$B271="",COUNTIF(スキル一覧!$A$1:$A$3500, $B271)), "", "存在しない")</f>
        <v/>
      </c>
      <c r="M271" s="2" t="str">
        <f>IF(COUNTIF($B$1:$C270, $B271), "", "存在しない")</f>
        <v>存在しない</v>
      </c>
      <c r="N271" s="2" t="s">
        <v>1258</v>
      </c>
    </row>
    <row r="272" spans="1:14" hidden="1" outlineLevel="1" x14ac:dyDescent="0.4">
      <c r="J272" s="6" t="str">
        <f>IFERROR(_xlfn.LET(_xlpm.v,
VLOOKUP($I272,効果!$A:$B,COLUMN(効果!B$1),FALSE),
IF(_xlpm.v=0,"",_xlpm.v)
),"")</f>
        <v/>
      </c>
      <c r="L272" s="15" t="str">
        <f>IF(OR(COUNTIF(クラス!$A$1:$A$1034, $B272),$B272="",COUNTIF(スキル一覧!$A$1:$A$3500, $B272)), "", "存在しない")</f>
        <v/>
      </c>
      <c r="M272" s="2" t="str">
        <f>IF(COUNTIF($B$1:$C271, $B272), "", "存在しない")</f>
        <v>存在しない</v>
      </c>
      <c r="N272" s="2" t="s">
        <v>1258</v>
      </c>
    </row>
    <row r="273" spans="1:14" collapsed="1" x14ac:dyDescent="0.4">
      <c r="J273" s="6" t="str">
        <f>IFERROR(_xlfn.LET(_xlpm.v,
VLOOKUP($I273,効果!$A:$B,COLUMN(効果!B$1),FALSE),
IF(_xlpm.v=0,"",_xlpm.v)
),"")</f>
        <v/>
      </c>
      <c r="L273" s="15" t="str">
        <f>IF(OR(COUNTIF(クラス!$A$1:$A$1034, $B273),$B273="",COUNTIF(スキル一覧!$A$1:$A$3500, $B273)), "", "存在しない")</f>
        <v/>
      </c>
      <c r="M273" s="2" t="str">
        <f>IF(COUNTIF($B$1:$C272, $B273), "", "存在しない")</f>
        <v>存在しない</v>
      </c>
      <c r="N273" s="2" t="s">
        <v>1258</v>
      </c>
    </row>
    <row r="274" spans="1:14" x14ac:dyDescent="0.4">
      <c r="B274" s="2" t="s">
        <v>43</v>
      </c>
      <c r="J274" s="6" t="str">
        <f>IFERROR(_xlfn.LET(_xlpm.v,
VLOOKUP($I274,効果!$A:$B,COLUMN(効果!B$1),FALSE),
IF(_xlpm.v=0,"",_xlpm.v)
),"")</f>
        <v/>
      </c>
      <c r="L274" s="15" t="str">
        <f>IF(OR(COUNTIF(クラス!$A$1:$A$1034, $B274),$B274="",COUNTIF(スキル一覧!$A$1:$A$3500, $B274)), "", "存在しない")</f>
        <v/>
      </c>
      <c r="M274" s="2" t="str">
        <f>IF(COUNTIF($B$1:$C273, $B274), "", "存在しない")</f>
        <v>存在しない</v>
      </c>
      <c r="N274" s="2" t="s">
        <v>1258</v>
      </c>
    </row>
    <row r="275" spans="1:14" hidden="1" outlineLevel="1" x14ac:dyDescent="0.4">
      <c r="A275" s="2">
        <v>1</v>
      </c>
      <c r="J275" s="6" t="str">
        <f>IFERROR(_xlfn.LET(_xlpm.v,
VLOOKUP($I275,効果!$A:$B,COLUMN(効果!B$1),FALSE),
IF(_xlpm.v=0,"",_xlpm.v)
),"")</f>
        <v/>
      </c>
      <c r="L275" s="15" t="str">
        <f>IF(OR(COUNTIF(クラス!$A$1:$A$1034, $B275),$B275="",COUNTIF(スキル一覧!$A$1:$A$3500, $B275)), "", "存在しない")</f>
        <v/>
      </c>
      <c r="M275" s="2" t="str">
        <f>IF(COUNTIF($B$1:$C274, $B275), "", "存在しない")</f>
        <v>存在しない</v>
      </c>
      <c r="N275" s="2" t="s">
        <v>1258</v>
      </c>
    </row>
    <row r="276" spans="1:14" hidden="1" outlineLevel="1" x14ac:dyDescent="0.4">
      <c r="A276" s="2">
        <v>2</v>
      </c>
      <c r="J276" s="6" t="str">
        <f>IFERROR(_xlfn.LET(_xlpm.v,
VLOOKUP($I276,効果!$A:$B,COLUMN(効果!B$1),FALSE),
IF(_xlpm.v=0,"",_xlpm.v)
),"")</f>
        <v/>
      </c>
      <c r="L276" s="15" t="str">
        <f>IF(OR(COUNTIF(クラス!$A$1:$A$1034, $B276),$B276="",COUNTIF(スキル一覧!$A$1:$A$3500, $B276)), "", "存在しない")</f>
        <v/>
      </c>
      <c r="M276" s="2" t="str">
        <f>IF(COUNTIF($B$1:$C275, $B276), "", "存在しない")</f>
        <v>存在しない</v>
      </c>
      <c r="N276" s="2" t="s">
        <v>1258</v>
      </c>
    </row>
    <row r="277" spans="1:14" hidden="1" outlineLevel="1" x14ac:dyDescent="0.4">
      <c r="A277" s="2">
        <v>3</v>
      </c>
      <c r="J277" s="6" t="str">
        <f>IFERROR(_xlfn.LET(_xlpm.v,
VLOOKUP($I277,効果!$A:$B,COLUMN(効果!B$1),FALSE),
IF(_xlpm.v=0,"",_xlpm.v)
),"")</f>
        <v/>
      </c>
      <c r="L277" s="15" t="str">
        <f>IF(OR(COUNTIF(クラス!$A$1:$A$1034, $B277),$B277="",COUNTIF(スキル一覧!$A$1:$A$3500, $B277)), "", "存在しない")</f>
        <v/>
      </c>
      <c r="M277" s="2" t="str">
        <f>IF(COUNTIF($B$1:$C276, $B277), "", "存在しない")</f>
        <v>存在しない</v>
      </c>
      <c r="N277" s="2" t="s">
        <v>1258</v>
      </c>
    </row>
    <row r="278" spans="1:14" hidden="1" outlineLevel="1" x14ac:dyDescent="0.4">
      <c r="A278" s="2">
        <v>4</v>
      </c>
      <c r="J278" s="6" t="str">
        <f>IFERROR(_xlfn.LET(_xlpm.v,
VLOOKUP($I278,効果!$A:$B,COLUMN(効果!B$1),FALSE),
IF(_xlpm.v=0,"",_xlpm.v)
),"")</f>
        <v/>
      </c>
      <c r="L278" s="15" t="str">
        <f>IF(OR(COUNTIF(クラス!$A$1:$A$1034, $B278),$B278="",COUNTIF(スキル一覧!$A$1:$A$3500, $B278)), "", "存在しない")</f>
        <v/>
      </c>
      <c r="M278" s="2" t="str">
        <f>IF(COUNTIF($B$1:$C277, $B278), "", "存在しない")</f>
        <v>存在しない</v>
      </c>
      <c r="N278" s="2" t="s">
        <v>1258</v>
      </c>
    </row>
    <row r="279" spans="1:14" hidden="1" outlineLevel="1" x14ac:dyDescent="0.4">
      <c r="A279" s="2">
        <v>5</v>
      </c>
      <c r="J279" s="6" t="str">
        <f>IFERROR(_xlfn.LET(_xlpm.v,
VLOOKUP($I279,効果!$A:$B,COLUMN(効果!B$1),FALSE),
IF(_xlpm.v=0,"",_xlpm.v)
),"")</f>
        <v/>
      </c>
      <c r="L279" s="15" t="str">
        <f>IF(OR(COUNTIF(クラス!$A$1:$A$1034, $B279),$B279="",COUNTIF(スキル一覧!$A$1:$A$3500, $B279)), "", "存在しない")</f>
        <v/>
      </c>
      <c r="M279" s="2" t="str">
        <f>IF(COUNTIF($B$1:$C278, $B279), "", "存在しない")</f>
        <v>存在しない</v>
      </c>
      <c r="N279" s="2" t="s">
        <v>1258</v>
      </c>
    </row>
    <row r="280" spans="1:14" hidden="1" outlineLevel="1" x14ac:dyDescent="0.4">
      <c r="A280" s="2">
        <v>6</v>
      </c>
      <c r="J280" s="6" t="str">
        <f>IFERROR(_xlfn.LET(_xlpm.v,
VLOOKUP($I280,効果!$A:$B,COLUMN(効果!B$1),FALSE),
IF(_xlpm.v=0,"",_xlpm.v)
),"")</f>
        <v/>
      </c>
      <c r="L280" s="15" t="str">
        <f>IF(OR(COUNTIF(クラス!$A$1:$A$1034, $B280),$B280="",COUNTIF(スキル一覧!$A$1:$A$3500, $B280)), "", "存在しない")</f>
        <v/>
      </c>
      <c r="M280" s="2" t="str">
        <f>IF(COUNTIF($B$1:$C279, $B280), "", "存在しない")</f>
        <v>存在しない</v>
      </c>
      <c r="N280" s="2" t="s">
        <v>1258</v>
      </c>
    </row>
    <row r="281" spans="1:14" hidden="1" outlineLevel="1" x14ac:dyDescent="0.4">
      <c r="A281" s="2">
        <v>7</v>
      </c>
      <c r="J281" s="6" t="str">
        <f>IFERROR(_xlfn.LET(_xlpm.v,
VLOOKUP($I281,効果!$A:$B,COLUMN(効果!B$1),FALSE),
IF(_xlpm.v=0,"",_xlpm.v)
),"")</f>
        <v/>
      </c>
      <c r="L281" s="15" t="str">
        <f>IF(OR(COUNTIF(クラス!$A$1:$A$1034, $B281),$B281="",COUNTIF(スキル一覧!$A$1:$A$3500, $B281)), "", "存在しない")</f>
        <v/>
      </c>
      <c r="M281" s="2" t="str">
        <f>IF(COUNTIF($B$1:$C280, $B281), "", "存在しない")</f>
        <v>存在しない</v>
      </c>
      <c r="N281" s="2" t="s">
        <v>1258</v>
      </c>
    </row>
    <row r="282" spans="1:14" hidden="1" outlineLevel="1" x14ac:dyDescent="0.4">
      <c r="A282" s="2">
        <v>8</v>
      </c>
      <c r="J282" s="6" t="str">
        <f>IFERROR(_xlfn.LET(_xlpm.v,
VLOOKUP($I282,効果!$A:$B,COLUMN(効果!B$1),FALSE),
IF(_xlpm.v=0,"",_xlpm.v)
),"")</f>
        <v/>
      </c>
      <c r="L282" s="15" t="str">
        <f>IF(OR(COUNTIF(クラス!$A$1:$A$1034, $B282),$B282="",COUNTIF(スキル一覧!$A$1:$A$3500, $B282)), "", "存在しない")</f>
        <v/>
      </c>
      <c r="M282" s="2" t="str">
        <f>IF(COUNTIF($B$1:$C281, $B282), "", "存在しない")</f>
        <v>存在しない</v>
      </c>
      <c r="N282" s="2" t="s">
        <v>1258</v>
      </c>
    </row>
    <row r="283" spans="1:14" hidden="1" outlineLevel="1" x14ac:dyDescent="0.4">
      <c r="A283" s="2">
        <v>9</v>
      </c>
      <c r="J283" s="6" t="str">
        <f>IFERROR(_xlfn.LET(_xlpm.v,
VLOOKUP($I283,効果!$A:$B,COLUMN(効果!B$1),FALSE),
IF(_xlpm.v=0,"",_xlpm.v)
),"")</f>
        <v/>
      </c>
      <c r="L283" s="15" t="str">
        <f>IF(OR(COUNTIF(クラス!$A$1:$A$1034, $B283),$B283="",COUNTIF(スキル一覧!$A$1:$A$3500, $B283)), "", "存在しない")</f>
        <v/>
      </c>
      <c r="M283" s="2" t="str">
        <f>IF(COUNTIF($B$1:$C282, $B283), "", "存在しない")</f>
        <v>存在しない</v>
      </c>
      <c r="N283" s="2" t="s">
        <v>1258</v>
      </c>
    </row>
    <row r="284" spans="1:14" hidden="1" outlineLevel="1" x14ac:dyDescent="0.4">
      <c r="A284" s="2">
        <v>10</v>
      </c>
      <c r="J284" s="6" t="str">
        <f>IFERROR(_xlfn.LET(_xlpm.v,
VLOOKUP($I284,効果!$A:$B,COLUMN(効果!B$1),FALSE),
IF(_xlpm.v=0,"",_xlpm.v)
),"")</f>
        <v/>
      </c>
      <c r="L284" s="15" t="str">
        <f>IF(OR(COUNTIF(クラス!$A$1:$A$1034, $B284),$B284="",COUNTIF(スキル一覧!$A$1:$A$3500, $B284)), "", "存在しない")</f>
        <v/>
      </c>
      <c r="M284" s="2" t="str">
        <f>IF(COUNTIF($B$1:$C283, $B284), "", "存在しない")</f>
        <v>存在しない</v>
      </c>
      <c r="N284" s="2" t="s">
        <v>1258</v>
      </c>
    </row>
    <row r="285" spans="1:14" hidden="1" outlineLevel="1" x14ac:dyDescent="0.4">
      <c r="J285" s="6" t="str">
        <f>IFERROR(_xlfn.LET(_xlpm.v,
VLOOKUP($I285,効果!$A:$B,COLUMN(効果!B$1),FALSE),
IF(_xlpm.v=0,"",_xlpm.v)
),"")</f>
        <v/>
      </c>
      <c r="L285" s="15" t="str">
        <f>IF(OR(COUNTIF(クラス!$A$1:$A$1034, $B285),$B285="",COUNTIF(スキル一覧!$A$1:$A$3500, $B285)), "", "存在しない")</f>
        <v/>
      </c>
      <c r="M285" s="2" t="str">
        <f>IF(COUNTIF($B$1:$C284, $B285), "", "存在しない")</f>
        <v>存在しない</v>
      </c>
      <c r="N285" s="2" t="s">
        <v>1258</v>
      </c>
    </row>
    <row r="286" spans="1:14" collapsed="1" x14ac:dyDescent="0.4">
      <c r="J286" s="6" t="str">
        <f>IFERROR(_xlfn.LET(_xlpm.v,
VLOOKUP($I286,効果!$A:$B,COLUMN(効果!B$1),FALSE),
IF(_xlpm.v=0,"",_xlpm.v)
),"")</f>
        <v/>
      </c>
      <c r="L286" s="15" t="str">
        <f>IF(OR(COUNTIF(クラス!$A$1:$A$1034, $B286),$B286="",COUNTIF(スキル一覧!$A$1:$A$3500, $B286)), "", "存在しない")</f>
        <v/>
      </c>
      <c r="M286" s="2" t="str">
        <f>IF(COUNTIF($B$1:$C285, $B286), "", "存在しない")</f>
        <v>存在しない</v>
      </c>
      <c r="N286" s="2" t="s">
        <v>1258</v>
      </c>
    </row>
    <row r="287" spans="1:14" x14ac:dyDescent="0.4">
      <c r="J287" s="6" t="str">
        <f>IFERROR(_xlfn.LET(_xlpm.v,
VLOOKUP($I287,効果!$A:$B,COLUMN(効果!B$1),FALSE),
IF(_xlpm.v=0,"",_xlpm.v)
),"")</f>
        <v/>
      </c>
      <c r="L287" s="15" t="str">
        <f>IF(OR(COUNTIF(クラス!$A$1:$A$1034, $B287),$B287="",COUNTIF(スキル一覧!$A$1:$A$3500, $B287)), "", "存在しない")</f>
        <v/>
      </c>
      <c r="M287" s="2" t="str">
        <f>IF(COUNTIF($B$1:$C286, $B287), "", "存在しない")</f>
        <v>存在しない</v>
      </c>
      <c r="N287" s="2" t="s">
        <v>1258</v>
      </c>
    </row>
    <row r="288" spans="1:14" x14ac:dyDescent="0.4">
      <c r="B288" s="2" t="s">
        <v>45</v>
      </c>
      <c r="J288" s="6" t="str">
        <f>IFERROR(_xlfn.LET(_xlpm.v,
VLOOKUP($I288,効果!$A:$B,COLUMN(効果!B$1),FALSE),
IF(_xlpm.v=0,"",_xlpm.v)
),"")</f>
        <v/>
      </c>
      <c r="L288" s="15" t="str">
        <f>IF(OR(COUNTIF(クラス!$A$1:$A$1034, $B288),$B288="",COUNTIF(スキル一覧!$A$1:$A$3500, $B288)), "", "存在しない")</f>
        <v/>
      </c>
      <c r="M288" s="2" t="str">
        <f>IF(COUNTIF($B$1:$C287, $B288), "", "存在しない")</f>
        <v>存在しない</v>
      </c>
      <c r="N288" s="2" t="s">
        <v>1258</v>
      </c>
    </row>
    <row r="289" spans="1:14" hidden="1" outlineLevel="1" x14ac:dyDescent="0.4">
      <c r="A289" s="2">
        <v>1</v>
      </c>
      <c r="J289" s="6" t="str">
        <f>IFERROR(_xlfn.LET(_xlpm.v,
VLOOKUP($I289,効果!$A:$B,COLUMN(効果!B$1),FALSE),
IF(_xlpm.v=0,"",_xlpm.v)
),"")</f>
        <v/>
      </c>
      <c r="L289" s="15" t="str">
        <f>IF(OR(COUNTIF(クラス!$A$1:$A$1034, $B289),$B289="",COUNTIF(スキル一覧!$A$1:$A$3500, $B289)), "", "存在しない")</f>
        <v/>
      </c>
      <c r="M289" s="2" t="str">
        <f>IF(COUNTIF($B$1:$C288, $B289), "", "存在しない")</f>
        <v>存在しない</v>
      </c>
      <c r="N289" s="2" t="s">
        <v>1258</v>
      </c>
    </row>
    <row r="290" spans="1:14" hidden="1" outlineLevel="1" x14ac:dyDescent="0.4">
      <c r="A290" s="2">
        <v>2</v>
      </c>
      <c r="J290" s="6" t="str">
        <f>IFERROR(_xlfn.LET(_xlpm.v,
VLOOKUP($I290,効果!$A:$B,COLUMN(効果!B$1),FALSE),
IF(_xlpm.v=0,"",_xlpm.v)
),"")</f>
        <v/>
      </c>
      <c r="L290" s="15" t="str">
        <f>IF(OR(COUNTIF(クラス!$A$1:$A$1034, $B290),$B290="",COUNTIF(スキル一覧!$A$1:$A$3500, $B290)), "", "存在しない")</f>
        <v/>
      </c>
      <c r="M290" s="2" t="str">
        <f>IF(COUNTIF($B$1:$C289, $B290), "", "存在しない")</f>
        <v>存在しない</v>
      </c>
      <c r="N290" s="2" t="s">
        <v>1258</v>
      </c>
    </row>
    <row r="291" spans="1:14" hidden="1" outlineLevel="1" x14ac:dyDescent="0.4">
      <c r="A291" s="2">
        <v>3</v>
      </c>
      <c r="J291" s="6" t="str">
        <f>IFERROR(_xlfn.LET(_xlpm.v,
VLOOKUP($I291,効果!$A:$B,COLUMN(効果!B$1),FALSE),
IF(_xlpm.v=0,"",_xlpm.v)
),"")</f>
        <v/>
      </c>
      <c r="L291" s="15" t="str">
        <f>IF(OR(COUNTIF(クラス!$A$1:$A$1034, $B291),$B291="",COUNTIF(スキル一覧!$A$1:$A$3500, $B291)), "", "存在しない")</f>
        <v/>
      </c>
      <c r="M291" s="2" t="str">
        <f>IF(COUNTIF($B$1:$C290, $B291), "", "存在しない")</f>
        <v>存在しない</v>
      </c>
      <c r="N291" s="2" t="s">
        <v>1258</v>
      </c>
    </row>
    <row r="292" spans="1:14" hidden="1" outlineLevel="1" x14ac:dyDescent="0.4">
      <c r="A292" s="2">
        <v>4</v>
      </c>
      <c r="J292" s="6" t="str">
        <f>IFERROR(_xlfn.LET(_xlpm.v,
VLOOKUP($I292,効果!$A:$B,COLUMN(効果!B$1),FALSE),
IF(_xlpm.v=0,"",_xlpm.v)
),"")</f>
        <v/>
      </c>
      <c r="L292" s="15" t="str">
        <f>IF(OR(COUNTIF(クラス!$A$1:$A$1034, $B292),$B292="",COUNTIF(スキル一覧!$A$1:$A$3500, $B292)), "", "存在しない")</f>
        <v/>
      </c>
      <c r="M292" s="2" t="str">
        <f>IF(COUNTIF($B$1:$C291, $B292), "", "存在しない")</f>
        <v>存在しない</v>
      </c>
      <c r="N292" s="2" t="s">
        <v>1258</v>
      </c>
    </row>
    <row r="293" spans="1:14" hidden="1" outlineLevel="1" x14ac:dyDescent="0.4">
      <c r="A293" s="2">
        <v>5</v>
      </c>
      <c r="J293" s="6" t="str">
        <f>IFERROR(_xlfn.LET(_xlpm.v,
VLOOKUP($I293,効果!$A:$B,COLUMN(効果!B$1),FALSE),
IF(_xlpm.v=0,"",_xlpm.v)
),"")</f>
        <v/>
      </c>
      <c r="L293" s="15" t="str">
        <f>IF(OR(COUNTIF(クラス!$A$1:$A$1034, $B293),$B293="",COUNTIF(スキル一覧!$A$1:$A$3500, $B293)), "", "存在しない")</f>
        <v/>
      </c>
      <c r="M293" s="2" t="str">
        <f>IF(COUNTIF($B$1:$C292, $B293), "", "存在しない")</f>
        <v>存在しない</v>
      </c>
      <c r="N293" s="2" t="s">
        <v>1258</v>
      </c>
    </row>
    <row r="294" spans="1:14" hidden="1" outlineLevel="1" x14ac:dyDescent="0.4">
      <c r="A294" s="2">
        <v>6</v>
      </c>
      <c r="J294" s="6" t="str">
        <f>IFERROR(_xlfn.LET(_xlpm.v,
VLOOKUP($I294,効果!$A:$B,COLUMN(効果!B$1),FALSE),
IF(_xlpm.v=0,"",_xlpm.v)
),"")</f>
        <v/>
      </c>
      <c r="L294" s="15" t="str">
        <f>IF(OR(COUNTIF(クラス!$A$1:$A$1034, $B294),$B294="",COUNTIF(スキル一覧!$A$1:$A$3500, $B294)), "", "存在しない")</f>
        <v/>
      </c>
      <c r="M294" s="2" t="str">
        <f>IF(COUNTIF($B$1:$C293, $B294), "", "存在しない")</f>
        <v>存在しない</v>
      </c>
      <c r="N294" s="2" t="s">
        <v>1258</v>
      </c>
    </row>
    <row r="295" spans="1:14" hidden="1" outlineLevel="1" x14ac:dyDescent="0.4">
      <c r="A295" s="2">
        <v>7</v>
      </c>
      <c r="J295" s="6" t="str">
        <f>IFERROR(_xlfn.LET(_xlpm.v,
VLOOKUP($I295,効果!$A:$B,COLUMN(効果!B$1),FALSE),
IF(_xlpm.v=0,"",_xlpm.v)
),"")</f>
        <v/>
      </c>
      <c r="L295" s="15" t="str">
        <f>IF(OR(COUNTIF(クラス!$A$1:$A$1034, $B295),$B295="",COUNTIF(スキル一覧!$A$1:$A$3500, $B295)), "", "存在しない")</f>
        <v/>
      </c>
      <c r="M295" s="2" t="str">
        <f>IF(COUNTIF($B$1:$C294, $B295), "", "存在しない")</f>
        <v>存在しない</v>
      </c>
      <c r="N295" s="2" t="s">
        <v>1258</v>
      </c>
    </row>
    <row r="296" spans="1:14" hidden="1" outlineLevel="1" x14ac:dyDescent="0.4">
      <c r="A296" s="2">
        <v>8</v>
      </c>
      <c r="J296" s="6" t="str">
        <f>IFERROR(_xlfn.LET(_xlpm.v,
VLOOKUP($I296,効果!$A:$B,COLUMN(効果!B$1),FALSE),
IF(_xlpm.v=0,"",_xlpm.v)
),"")</f>
        <v/>
      </c>
      <c r="L296" s="15" t="str">
        <f>IF(OR(COUNTIF(クラス!$A$1:$A$1034, $B296),$B296="",COUNTIF(スキル一覧!$A$1:$A$3500, $B296)), "", "存在しない")</f>
        <v/>
      </c>
      <c r="M296" s="2" t="str">
        <f>IF(COUNTIF($B$1:$C295, $B296), "", "存在しない")</f>
        <v>存在しない</v>
      </c>
      <c r="N296" s="2" t="s">
        <v>1258</v>
      </c>
    </row>
    <row r="297" spans="1:14" hidden="1" outlineLevel="1" x14ac:dyDescent="0.4">
      <c r="A297" s="2">
        <v>9</v>
      </c>
      <c r="J297" s="6" t="str">
        <f>IFERROR(_xlfn.LET(_xlpm.v,
VLOOKUP($I297,効果!$A:$B,COLUMN(効果!B$1),FALSE),
IF(_xlpm.v=0,"",_xlpm.v)
),"")</f>
        <v/>
      </c>
      <c r="L297" s="15" t="str">
        <f>IF(OR(COUNTIF(クラス!$A$1:$A$1034, $B297),$B297="",COUNTIF(スキル一覧!$A$1:$A$3500, $B297)), "", "存在しない")</f>
        <v/>
      </c>
      <c r="M297" s="2" t="str">
        <f>IF(COUNTIF($B$1:$C296, $B297), "", "存在しない")</f>
        <v>存在しない</v>
      </c>
      <c r="N297" s="2" t="s">
        <v>1258</v>
      </c>
    </row>
    <row r="298" spans="1:14" hidden="1" outlineLevel="1" x14ac:dyDescent="0.4">
      <c r="A298" s="2">
        <v>10</v>
      </c>
      <c r="J298" s="6" t="str">
        <f>IFERROR(_xlfn.LET(_xlpm.v,
VLOOKUP($I298,効果!$A:$B,COLUMN(効果!B$1),FALSE),
IF(_xlpm.v=0,"",_xlpm.v)
),"")</f>
        <v/>
      </c>
      <c r="L298" s="15" t="str">
        <f>IF(OR(COUNTIF(クラス!$A$1:$A$1034, $B298),$B298="",COUNTIF(スキル一覧!$A$1:$A$3500, $B298)), "", "存在しない")</f>
        <v/>
      </c>
      <c r="M298" s="2" t="str">
        <f>IF(COUNTIF($B$1:$C297, $B298), "", "存在しない")</f>
        <v>存在しない</v>
      </c>
      <c r="N298" s="2" t="s">
        <v>1258</v>
      </c>
    </row>
    <row r="299" spans="1:14" hidden="1" outlineLevel="1" x14ac:dyDescent="0.4">
      <c r="J299" s="6" t="str">
        <f>IFERROR(_xlfn.LET(_xlpm.v,
VLOOKUP($I299,効果!$A:$B,COLUMN(効果!B$1),FALSE),
IF(_xlpm.v=0,"",_xlpm.v)
),"")</f>
        <v/>
      </c>
      <c r="L299" s="15" t="str">
        <f>IF(OR(COUNTIF(クラス!$A$1:$A$1034, $B299),$B299="",COUNTIF(スキル一覧!$A$1:$A$3500, $B299)), "", "存在しない")</f>
        <v/>
      </c>
      <c r="M299" s="2" t="str">
        <f>IF(COUNTIF($B$1:$C298, $B299), "", "存在しない")</f>
        <v>存在しない</v>
      </c>
      <c r="N299" s="2" t="s">
        <v>1258</v>
      </c>
    </row>
    <row r="300" spans="1:14" collapsed="1" x14ac:dyDescent="0.4">
      <c r="J300" s="6" t="str">
        <f>IFERROR(_xlfn.LET(_xlpm.v,
VLOOKUP($I300,効果!$A:$B,COLUMN(効果!B$1),FALSE),
IF(_xlpm.v=0,"",_xlpm.v)
),"")</f>
        <v/>
      </c>
      <c r="L300" s="15" t="str">
        <f>IF(OR(COUNTIF(クラス!$A$1:$A$1034, $B300),$B300="",COUNTIF(スキル一覧!$A$1:$A$3500, $B300)), "", "存在しない")</f>
        <v/>
      </c>
      <c r="M300" s="2" t="str">
        <f>IF(COUNTIF($B$1:$C299, $B300), "", "存在しない")</f>
        <v>存在しない</v>
      </c>
      <c r="N300" s="2" t="s">
        <v>1258</v>
      </c>
    </row>
    <row r="301" spans="1:14" x14ac:dyDescent="0.4">
      <c r="B301" s="2" t="s">
        <v>47</v>
      </c>
      <c r="J301" s="6" t="str">
        <f>IFERROR(_xlfn.LET(_xlpm.v,
VLOOKUP($I301,効果!$A:$B,COLUMN(効果!B$1),FALSE),
IF(_xlpm.v=0,"",_xlpm.v)
),"")</f>
        <v/>
      </c>
      <c r="L301" s="15" t="str">
        <f>IF(OR(COUNTIF(クラス!$A$1:$A$1034, $B301),$B301="",COUNTIF(スキル一覧!$A$1:$A$3500, $B301)), "", "存在しない")</f>
        <v/>
      </c>
      <c r="M301" s="2" t="str">
        <f>IF(COUNTIF($B$1:$C300, $B301), "", "存在しない")</f>
        <v>存在しない</v>
      </c>
      <c r="N301" s="2" t="s">
        <v>1258</v>
      </c>
    </row>
    <row r="302" spans="1:14" hidden="1" outlineLevel="1" x14ac:dyDescent="0.4">
      <c r="A302" s="2">
        <v>1</v>
      </c>
      <c r="J302" s="6" t="str">
        <f>IFERROR(_xlfn.LET(_xlpm.v,
VLOOKUP($I302,効果!$A:$B,COLUMN(効果!B$1),FALSE),
IF(_xlpm.v=0,"",_xlpm.v)
),"")</f>
        <v/>
      </c>
      <c r="L302" s="15" t="str">
        <f>IF(OR(COUNTIF(クラス!$A$1:$A$1034, $B302),$B302="",COUNTIF(スキル一覧!$A$1:$A$3500, $B302)), "", "存在しない")</f>
        <v/>
      </c>
      <c r="M302" s="2" t="str">
        <f>IF(COUNTIF($B$1:$C301, $B302), "", "存在しない")</f>
        <v>存在しない</v>
      </c>
      <c r="N302" s="2" t="s">
        <v>1258</v>
      </c>
    </row>
    <row r="303" spans="1:14" hidden="1" outlineLevel="1" x14ac:dyDescent="0.4">
      <c r="A303" s="2">
        <v>2</v>
      </c>
      <c r="J303" s="6" t="str">
        <f>IFERROR(_xlfn.LET(_xlpm.v,
VLOOKUP($I303,効果!$A:$B,COLUMN(効果!B$1),FALSE),
IF(_xlpm.v=0,"",_xlpm.v)
),"")</f>
        <v/>
      </c>
      <c r="L303" s="15" t="str">
        <f>IF(OR(COUNTIF(クラス!$A$1:$A$1034, $B303),$B303="",COUNTIF(スキル一覧!$A$1:$A$3500, $B303)), "", "存在しない")</f>
        <v/>
      </c>
      <c r="M303" s="2" t="str">
        <f>IF(COUNTIF($B$1:$C302, $B303), "", "存在しない")</f>
        <v>存在しない</v>
      </c>
      <c r="N303" s="2" t="s">
        <v>1258</v>
      </c>
    </row>
    <row r="304" spans="1:14" hidden="1" outlineLevel="1" x14ac:dyDescent="0.4">
      <c r="A304" s="2">
        <v>3</v>
      </c>
      <c r="J304" s="6" t="str">
        <f>IFERROR(_xlfn.LET(_xlpm.v,
VLOOKUP($I304,効果!$A:$B,COLUMN(効果!B$1),FALSE),
IF(_xlpm.v=0,"",_xlpm.v)
),"")</f>
        <v/>
      </c>
      <c r="L304" s="15" t="str">
        <f>IF(OR(COUNTIF(クラス!$A$1:$A$1034, $B304),$B304="",COUNTIF(スキル一覧!$A$1:$A$3500, $B304)), "", "存在しない")</f>
        <v/>
      </c>
      <c r="M304" s="2" t="str">
        <f>IF(COUNTIF($B$1:$C303, $B304), "", "存在しない")</f>
        <v>存在しない</v>
      </c>
      <c r="N304" s="2" t="s">
        <v>1258</v>
      </c>
    </row>
    <row r="305" spans="1:14" hidden="1" outlineLevel="1" x14ac:dyDescent="0.4">
      <c r="A305" s="2">
        <v>4</v>
      </c>
      <c r="J305" s="6" t="str">
        <f>IFERROR(_xlfn.LET(_xlpm.v,
VLOOKUP($I305,効果!$A:$B,COLUMN(効果!B$1),FALSE),
IF(_xlpm.v=0,"",_xlpm.v)
),"")</f>
        <v/>
      </c>
      <c r="L305" s="15" t="str">
        <f>IF(OR(COUNTIF(クラス!$A$1:$A$1034, $B305),$B305="",COUNTIF(スキル一覧!$A$1:$A$3500, $B305)), "", "存在しない")</f>
        <v/>
      </c>
      <c r="M305" s="2" t="str">
        <f>IF(COUNTIF($B$1:$C304, $B305), "", "存在しない")</f>
        <v>存在しない</v>
      </c>
      <c r="N305" s="2" t="s">
        <v>1258</v>
      </c>
    </row>
    <row r="306" spans="1:14" hidden="1" outlineLevel="1" x14ac:dyDescent="0.4">
      <c r="A306" s="2">
        <v>5</v>
      </c>
      <c r="J306" s="6" t="str">
        <f>IFERROR(_xlfn.LET(_xlpm.v,
VLOOKUP($I306,効果!$A:$B,COLUMN(効果!B$1),FALSE),
IF(_xlpm.v=0,"",_xlpm.v)
),"")</f>
        <v/>
      </c>
      <c r="L306" s="15" t="str">
        <f>IF(OR(COUNTIF(クラス!$A$1:$A$1034, $B306),$B306="",COUNTIF(スキル一覧!$A$1:$A$3500, $B306)), "", "存在しない")</f>
        <v/>
      </c>
      <c r="M306" s="2" t="str">
        <f>IF(COUNTIF($B$1:$C305, $B306), "", "存在しない")</f>
        <v>存在しない</v>
      </c>
      <c r="N306" s="2" t="s">
        <v>1258</v>
      </c>
    </row>
    <row r="307" spans="1:14" hidden="1" outlineLevel="1" x14ac:dyDescent="0.4">
      <c r="A307" s="2">
        <v>6</v>
      </c>
      <c r="J307" s="6" t="str">
        <f>IFERROR(_xlfn.LET(_xlpm.v,
VLOOKUP($I307,効果!$A:$B,COLUMN(効果!B$1),FALSE),
IF(_xlpm.v=0,"",_xlpm.v)
),"")</f>
        <v/>
      </c>
      <c r="L307" s="15" t="str">
        <f>IF(OR(COUNTIF(クラス!$A$1:$A$1034, $B307),$B307="",COUNTIF(スキル一覧!$A$1:$A$3500, $B307)), "", "存在しない")</f>
        <v/>
      </c>
      <c r="M307" s="2" t="str">
        <f>IF(COUNTIF($B$1:$C306, $B307), "", "存在しない")</f>
        <v>存在しない</v>
      </c>
      <c r="N307" s="2" t="s">
        <v>1258</v>
      </c>
    </row>
    <row r="308" spans="1:14" hidden="1" outlineLevel="1" x14ac:dyDescent="0.4">
      <c r="A308" s="2">
        <v>7</v>
      </c>
      <c r="J308" s="6" t="str">
        <f>IFERROR(_xlfn.LET(_xlpm.v,
VLOOKUP($I308,効果!$A:$B,COLUMN(効果!B$1),FALSE),
IF(_xlpm.v=0,"",_xlpm.v)
),"")</f>
        <v/>
      </c>
      <c r="L308" s="15" t="str">
        <f>IF(OR(COUNTIF(クラス!$A$1:$A$1034, $B308),$B308="",COUNTIF(スキル一覧!$A$1:$A$3500, $B308)), "", "存在しない")</f>
        <v/>
      </c>
      <c r="M308" s="2" t="str">
        <f>IF(COUNTIF($B$1:$C307, $B308), "", "存在しない")</f>
        <v>存在しない</v>
      </c>
      <c r="N308" s="2" t="s">
        <v>1258</v>
      </c>
    </row>
    <row r="309" spans="1:14" hidden="1" outlineLevel="1" x14ac:dyDescent="0.4">
      <c r="A309" s="2">
        <v>8</v>
      </c>
      <c r="J309" s="6" t="str">
        <f>IFERROR(_xlfn.LET(_xlpm.v,
VLOOKUP($I309,効果!$A:$B,COLUMN(効果!B$1),FALSE),
IF(_xlpm.v=0,"",_xlpm.v)
),"")</f>
        <v/>
      </c>
      <c r="L309" s="15" t="str">
        <f>IF(OR(COUNTIF(クラス!$A$1:$A$1034, $B309),$B309="",COUNTIF(スキル一覧!$A$1:$A$3500, $B309)), "", "存在しない")</f>
        <v/>
      </c>
      <c r="M309" s="2" t="str">
        <f>IF(COUNTIF($B$1:$C308, $B309), "", "存在しない")</f>
        <v>存在しない</v>
      </c>
      <c r="N309" s="2" t="s">
        <v>1258</v>
      </c>
    </row>
    <row r="310" spans="1:14" hidden="1" outlineLevel="1" x14ac:dyDescent="0.4">
      <c r="A310" s="2">
        <v>9</v>
      </c>
      <c r="J310" s="6" t="str">
        <f>IFERROR(_xlfn.LET(_xlpm.v,
VLOOKUP($I310,効果!$A:$B,COLUMN(効果!B$1),FALSE),
IF(_xlpm.v=0,"",_xlpm.v)
),"")</f>
        <v/>
      </c>
      <c r="L310" s="15" t="str">
        <f>IF(OR(COUNTIF(クラス!$A$1:$A$1034, $B310),$B310="",COUNTIF(スキル一覧!$A$1:$A$3500, $B310)), "", "存在しない")</f>
        <v/>
      </c>
      <c r="M310" s="2" t="str">
        <f>IF(COUNTIF($B$1:$C309, $B310), "", "存在しない")</f>
        <v>存在しない</v>
      </c>
      <c r="N310" s="2" t="s">
        <v>1258</v>
      </c>
    </row>
    <row r="311" spans="1:14" hidden="1" outlineLevel="1" x14ac:dyDescent="0.4">
      <c r="A311" s="2">
        <v>10</v>
      </c>
      <c r="J311" s="6" t="str">
        <f>IFERROR(_xlfn.LET(_xlpm.v,
VLOOKUP($I311,効果!$A:$B,COLUMN(効果!B$1),FALSE),
IF(_xlpm.v=0,"",_xlpm.v)
),"")</f>
        <v/>
      </c>
      <c r="L311" s="15" t="str">
        <f>IF(OR(COUNTIF(クラス!$A$1:$A$1034, $B311),$B311="",COUNTIF(スキル一覧!$A$1:$A$3500, $B311)), "", "存在しない")</f>
        <v/>
      </c>
      <c r="M311" s="2" t="str">
        <f>IF(COUNTIF($B$1:$C310, $B311), "", "存在しない")</f>
        <v>存在しない</v>
      </c>
      <c r="N311" s="2" t="s">
        <v>1258</v>
      </c>
    </row>
    <row r="312" spans="1:14" hidden="1" outlineLevel="1" x14ac:dyDescent="0.4">
      <c r="J312" s="6" t="str">
        <f>IFERROR(_xlfn.LET(_xlpm.v,
VLOOKUP($I312,効果!$A:$B,COLUMN(効果!B$1),FALSE),
IF(_xlpm.v=0,"",_xlpm.v)
),"")</f>
        <v/>
      </c>
      <c r="L312" s="15" t="str">
        <f>IF(OR(COUNTIF(クラス!$A$1:$A$1034, $B312),$B312="",COUNTIF(スキル一覧!$A$1:$A$3500, $B312)), "", "存在しない")</f>
        <v/>
      </c>
      <c r="M312" s="2" t="str">
        <f>IF(COUNTIF($B$1:$C311, $B312), "", "存在しない")</f>
        <v>存在しない</v>
      </c>
      <c r="N312" s="2" t="s">
        <v>1258</v>
      </c>
    </row>
    <row r="313" spans="1:14" collapsed="1" x14ac:dyDescent="0.4">
      <c r="J313" s="6" t="str">
        <f>IFERROR(_xlfn.LET(_xlpm.v,
VLOOKUP($I313,効果!$A:$B,COLUMN(効果!B$1),FALSE),
IF(_xlpm.v=0,"",_xlpm.v)
),"")</f>
        <v/>
      </c>
      <c r="L313" s="15" t="str">
        <f>IF(OR(COUNTIF(クラス!$A$1:$A$1034, $B313),$B313="",COUNTIF(スキル一覧!$A$1:$A$3500, $B313)), "", "存在しない")</f>
        <v/>
      </c>
      <c r="M313" s="2" t="str">
        <f>IF(COUNTIF($B$1:$C312, $B313), "", "存在しない")</f>
        <v>存在しない</v>
      </c>
      <c r="N313" s="2" t="s">
        <v>1258</v>
      </c>
    </row>
    <row r="314" spans="1:14" x14ac:dyDescent="0.4">
      <c r="B314" s="2" t="s">
        <v>49</v>
      </c>
      <c r="J314" s="6" t="str">
        <f>IFERROR(_xlfn.LET(_xlpm.v,
VLOOKUP($I314,効果!$A:$B,COLUMN(効果!B$1),FALSE),
IF(_xlpm.v=0,"",_xlpm.v)
),"")</f>
        <v/>
      </c>
      <c r="L314" s="15" t="str">
        <f>IF(OR(COUNTIF(クラス!$A$1:$A$1034, $B314),$B314="",COUNTIF(スキル一覧!$A$1:$A$3500, $B314)), "", "存在しない")</f>
        <v/>
      </c>
      <c r="M314" s="2" t="str">
        <f>IF(COUNTIF($B$1:$C313, $B314), "", "存在しない")</f>
        <v>存在しない</v>
      </c>
      <c r="N314" s="2" t="s">
        <v>1258</v>
      </c>
    </row>
    <row r="315" spans="1:14" hidden="1" outlineLevel="1" x14ac:dyDescent="0.4">
      <c r="A315" s="2">
        <v>1</v>
      </c>
      <c r="J315" s="6" t="str">
        <f>IFERROR(_xlfn.LET(_xlpm.v,
VLOOKUP($I315,効果!$A:$B,COLUMN(効果!B$1),FALSE),
IF(_xlpm.v=0,"",_xlpm.v)
),"")</f>
        <v/>
      </c>
      <c r="L315" s="15" t="str">
        <f>IF(OR(COUNTIF(クラス!$A$1:$A$1034, $B315),$B315="",COUNTIF(スキル一覧!$A$1:$A$3500, $B315)), "", "存在しない")</f>
        <v/>
      </c>
      <c r="M315" s="2" t="str">
        <f>IF(COUNTIF($B$1:$C314, $B315), "", "存在しない")</f>
        <v>存在しない</v>
      </c>
      <c r="N315" s="2" t="s">
        <v>1258</v>
      </c>
    </row>
    <row r="316" spans="1:14" hidden="1" outlineLevel="1" x14ac:dyDescent="0.4">
      <c r="A316" s="2">
        <v>2</v>
      </c>
      <c r="J316" s="6" t="str">
        <f>IFERROR(_xlfn.LET(_xlpm.v,
VLOOKUP($I316,効果!$A:$B,COLUMN(効果!B$1),FALSE),
IF(_xlpm.v=0,"",_xlpm.v)
),"")</f>
        <v/>
      </c>
      <c r="L316" s="15" t="str">
        <f>IF(OR(COUNTIF(クラス!$A$1:$A$1034, $B316),$B316="",COUNTIF(スキル一覧!$A$1:$A$3500, $B316)), "", "存在しない")</f>
        <v/>
      </c>
      <c r="M316" s="2" t="str">
        <f>IF(COUNTIF($B$1:$C315, $B316), "", "存在しない")</f>
        <v>存在しない</v>
      </c>
      <c r="N316" s="2" t="s">
        <v>1258</v>
      </c>
    </row>
    <row r="317" spans="1:14" hidden="1" outlineLevel="1" x14ac:dyDescent="0.4">
      <c r="A317" s="2">
        <v>3</v>
      </c>
      <c r="J317" s="6" t="str">
        <f>IFERROR(_xlfn.LET(_xlpm.v,
VLOOKUP($I317,効果!$A:$B,COLUMN(効果!B$1),FALSE),
IF(_xlpm.v=0,"",_xlpm.v)
),"")</f>
        <v/>
      </c>
      <c r="L317" s="15" t="str">
        <f>IF(OR(COUNTIF(クラス!$A$1:$A$1034, $B317),$B317="",COUNTIF(スキル一覧!$A$1:$A$3500, $B317)), "", "存在しない")</f>
        <v/>
      </c>
      <c r="M317" s="2" t="str">
        <f>IF(COUNTIF($B$1:$C316, $B317), "", "存在しない")</f>
        <v>存在しない</v>
      </c>
      <c r="N317" s="2" t="s">
        <v>1258</v>
      </c>
    </row>
    <row r="318" spans="1:14" hidden="1" outlineLevel="1" x14ac:dyDescent="0.4">
      <c r="A318" s="2">
        <v>4</v>
      </c>
      <c r="J318" s="6" t="str">
        <f>IFERROR(_xlfn.LET(_xlpm.v,
VLOOKUP($I318,効果!$A:$B,COLUMN(効果!B$1),FALSE),
IF(_xlpm.v=0,"",_xlpm.v)
),"")</f>
        <v/>
      </c>
      <c r="L318" s="15" t="str">
        <f>IF(OR(COUNTIF(クラス!$A$1:$A$1034, $B318),$B318="",COUNTIF(スキル一覧!$A$1:$A$3500, $B318)), "", "存在しない")</f>
        <v/>
      </c>
      <c r="M318" s="2" t="str">
        <f>IF(COUNTIF($B$1:$C317, $B318), "", "存在しない")</f>
        <v>存在しない</v>
      </c>
      <c r="N318" s="2" t="s">
        <v>1258</v>
      </c>
    </row>
    <row r="319" spans="1:14" hidden="1" outlineLevel="1" x14ac:dyDescent="0.4">
      <c r="A319" s="2">
        <v>5</v>
      </c>
      <c r="J319" s="6" t="str">
        <f>IFERROR(_xlfn.LET(_xlpm.v,
VLOOKUP($I319,効果!$A:$B,COLUMN(効果!B$1),FALSE),
IF(_xlpm.v=0,"",_xlpm.v)
),"")</f>
        <v/>
      </c>
      <c r="L319" s="15" t="str">
        <f>IF(OR(COUNTIF(クラス!$A$1:$A$1034, $B319),$B319="",COUNTIF(スキル一覧!$A$1:$A$3500, $B319)), "", "存在しない")</f>
        <v/>
      </c>
      <c r="M319" s="2" t="str">
        <f>IF(COUNTIF($B$1:$C318, $B319), "", "存在しない")</f>
        <v>存在しない</v>
      </c>
      <c r="N319" s="2" t="s">
        <v>1258</v>
      </c>
    </row>
    <row r="320" spans="1:14" hidden="1" outlineLevel="1" x14ac:dyDescent="0.4">
      <c r="A320" s="2">
        <v>6</v>
      </c>
      <c r="J320" s="6" t="str">
        <f>IFERROR(_xlfn.LET(_xlpm.v,
VLOOKUP($I320,効果!$A:$B,COLUMN(効果!B$1),FALSE),
IF(_xlpm.v=0,"",_xlpm.v)
),"")</f>
        <v/>
      </c>
      <c r="L320" s="15" t="str">
        <f>IF(OR(COUNTIF(クラス!$A$1:$A$1034, $B320),$B320="",COUNTIF(スキル一覧!$A$1:$A$3500, $B320)), "", "存在しない")</f>
        <v/>
      </c>
      <c r="M320" s="2" t="str">
        <f>IF(COUNTIF($B$1:$C319, $B320), "", "存在しない")</f>
        <v>存在しない</v>
      </c>
      <c r="N320" s="2" t="s">
        <v>1258</v>
      </c>
    </row>
    <row r="321" spans="1:14" hidden="1" outlineLevel="1" x14ac:dyDescent="0.4">
      <c r="A321" s="2">
        <v>7</v>
      </c>
      <c r="J321" s="6" t="str">
        <f>IFERROR(_xlfn.LET(_xlpm.v,
VLOOKUP($I321,効果!$A:$B,COLUMN(効果!B$1),FALSE),
IF(_xlpm.v=0,"",_xlpm.v)
),"")</f>
        <v/>
      </c>
      <c r="L321" s="15" t="str">
        <f>IF(OR(COUNTIF(クラス!$A$1:$A$1034, $B321),$B321="",COUNTIF(スキル一覧!$A$1:$A$3500, $B321)), "", "存在しない")</f>
        <v/>
      </c>
      <c r="M321" s="2" t="str">
        <f>IF(COUNTIF($B$1:$C320, $B321), "", "存在しない")</f>
        <v>存在しない</v>
      </c>
      <c r="N321" s="2" t="s">
        <v>1258</v>
      </c>
    </row>
    <row r="322" spans="1:14" hidden="1" outlineLevel="1" x14ac:dyDescent="0.4">
      <c r="A322" s="2">
        <v>8</v>
      </c>
      <c r="J322" s="6" t="str">
        <f>IFERROR(_xlfn.LET(_xlpm.v,
VLOOKUP($I322,効果!$A:$B,COLUMN(効果!B$1),FALSE),
IF(_xlpm.v=0,"",_xlpm.v)
),"")</f>
        <v/>
      </c>
      <c r="L322" s="15" t="str">
        <f>IF(OR(COUNTIF(クラス!$A$1:$A$1034, $B322),$B322="",COUNTIF(スキル一覧!$A$1:$A$3500, $B322)), "", "存在しない")</f>
        <v/>
      </c>
      <c r="M322" s="2" t="str">
        <f>IF(COUNTIF($B$1:$C321, $B322), "", "存在しない")</f>
        <v>存在しない</v>
      </c>
      <c r="N322" s="2" t="s">
        <v>1258</v>
      </c>
    </row>
    <row r="323" spans="1:14" hidden="1" outlineLevel="1" x14ac:dyDescent="0.4">
      <c r="A323" s="2">
        <v>9</v>
      </c>
      <c r="J323" s="6" t="str">
        <f>IFERROR(_xlfn.LET(_xlpm.v,
VLOOKUP($I323,効果!$A:$B,COLUMN(効果!B$1),FALSE),
IF(_xlpm.v=0,"",_xlpm.v)
),"")</f>
        <v/>
      </c>
      <c r="L323" s="15" t="str">
        <f>IF(OR(COUNTIF(クラス!$A$1:$A$1034, $B323),$B323="",COUNTIF(スキル一覧!$A$1:$A$3500, $B323)), "", "存在しない")</f>
        <v/>
      </c>
      <c r="M323" s="2" t="str">
        <f>IF(COUNTIF($B$1:$C322, $B323), "", "存在しない")</f>
        <v>存在しない</v>
      </c>
      <c r="N323" s="2" t="s">
        <v>1258</v>
      </c>
    </row>
    <row r="324" spans="1:14" hidden="1" outlineLevel="1" x14ac:dyDescent="0.4">
      <c r="A324" s="2">
        <v>10</v>
      </c>
      <c r="J324" s="6" t="str">
        <f>IFERROR(_xlfn.LET(_xlpm.v,
VLOOKUP($I324,効果!$A:$B,COLUMN(効果!B$1),FALSE),
IF(_xlpm.v=0,"",_xlpm.v)
),"")</f>
        <v/>
      </c>
      <c r="L324" s="15" t="str">
        <f>IF(OR(COUNTIF(クラス!$A$1:$A$1034, $B324),$B324="",COUNTIF(スキル一覧!$A$1:$A$3500, $B324)), "", "存在しない")</f>
        <v/>
      </c>
      <c r="M324" s="2" t="str">
        <f>IF(COUNTIF($B$1:$C323, $B324), "", "存在しない")</f>
        <v>存在しない</v>
      </c>
      <c r="N324" s="2" t="s">
        <v>1258</v>
      </c>
    </row>
    <row r="325" spans="1:14" hidden="1" outlineLevel="1" x14ac:dyDescent="0.4">
      <c r="J325" s="6" t="str">
        <f>IFERROR(_xlfn.LET(_xlpm.v,
VLOOKUP($I325,効果!$A:$B,COLUMN(効果!B$1),FALSE),
IF(_xlpm.v=0,"",_xlpm.v)
),"")</f>
        <v/>
      </c>
      <c r="L325" s="15" t="str">
        <f>IF(OR(COUNTIF(クラス!$A$1:$A$1034, $B325),$B325="",COUNTIF(スキル一覧!$A$1:$A$3500, $B325)), "", "存在しない")</f>
        <v/>
      </c>
      <c r="M325" s="2" t="str">
        <f>IF(COUNTIF($B$1:$C324, $B325), "", "存在しない")</f>
        <v>存在しない</v>
      </c>
      <c r="N325" s="2" t="s">
        <v>1258</v>
      </c>
    </row>
    <row r="326" spans="1:14" collapsed="1" x14ac:dyDescent="0.4">
      <c r="J326" s="6" t="str">
        <f>IFERROR(_xlfn.LET(_xlpm.v,
VLOOKUP($I326,効果!$A:$B,COLUMN(効果!B$1),FALSE),
IF(_xlpm.v=0,"",_xlpm.v)
),"")</f>
        <v/>
      </c>
      <c r="L326" s="15" t="str">
        <f>IF(OR(COUNTIF(クラス!$A$1:$A$1034, $B326),$B326="",COUNTIF(スキル一覧!$A$1:$A$3500, $B326)), "", "存在しない")</f>
        <v/>
      </c>
      <c r="M326" s="2" t="str">
        <f>IF(COUNTIF($B$1:$C325, $B326), "", "存在しない")</f>
        <v>存在しない</v>
      </c>
      <c r="N326" s="2" t="s">
        <v>1258</v>
      </c>
    </row>
    <row r="327" spans="1:14" x14ac:dyDescent="0.4">
      <c r="J327" s="6" t="str">
        <f>IFERROR(_xlfn.LET(_xlpm.v,
VLOOKUP($I327,効果!$A:$B,COLUMN(効果!B$1),FALSE),
IF(_xlpm.v=0,"",_xlpm.v)
),"")</f>
        <v/>
      </c>
      <c r="L327" s="15" t="str">
        <f>IF(OR(COUNTIF(クラス!$A$1:$A$1034, $B327),$B327="",COUNTIF(スキル一覧!$A$1:$A$3500, $B327)), "", "存在しない")</f>
        <v/>
      </c>
      <c r="M327" s="2" t="str">
        <f>IF(COUNTIF($B$1:$C326, $B327), "", "存在しない")</f>
        <v>存在しない</v>
      </c>
      <c r="N327" s="2" t="s">
        <v>1258</v>
      </c>
    </row>
    <row r="328" spans="1:14" x14ac:dyDescent="0.4">
      <c r="B328" s="2" t="s">
        <v>122</v>
      </c>
      <c r="J328" s="6" t="str">
        <f>IFERROR(_xlfn.LET(_xlpm.v,
VLOOKUP($I328,効果!$A:$B,COLUMN(効果!B$1),FALSE),
IF(_xlpm.v=0,"",_xlpm.v)
),"")</f>
        <v/>
      </c>
      <c r="L328" s="15" t="str">
        <f>IF(OR(COUNTIF(クラス!$A$1:$A$1034, $B328),$B328="",COUNTIF(スキル一覧!$A$1:$A$3500, $B328)), "", "存在しない")</f>
        <v/>
      </c>
      <c r="M328" s="2" t="str">
        <f>IF(COUNTIF($B$1:$C327, $B328), "", "存在しない")</f>
        <v>存在しない</v>
      </c>
      <c r="N328" s="2" t="s">
        <v>1258</v>
      </c>
    </row>
    <row r="329" spans="1:14" hidden="1" outlineLevel="1" x14ac:dyDescent="0.4">
      <c r="A329" s="2">
        <v>1</v>
      </c>
      <c r="J329" s="6" t="str">
        <f>IFERROR(_xlfn.LET(_xlpm.v,
VLOOKUP($I329,効果!$A:$B,COLUMN(効果!B$1),FALSE),
IF(_xlpm.v=0,"",_xlpm.v)
),"")</f>
        <v/>
      </c>
      <c r="L329" s="15" t="str">
        <f>IF(OR(COUNTIF(クラス!$A$1:$A$1034, $B329),$B329="",COUNTIF(スキル一覧!$A$1:$A$3500, $B329)), "", "存在しない")</f>
        <v/>
      </c>
      <c r="M329" s="2" t="str">
        <f>IF(COUNTIF($B$1:$C328, $B329), "", "存在しない")</f>
        <v>存在しない</v>
      </c>
      <c r="N329" s="2" t="s">
        <v>1258</v>
      </c>
    </row>
    <row r="330" spans="1:14" hidden="1" outlineLevel="1" x14ac:dyDescent="0.4">
      <c r="A330" s="2">
        <v>2</v>
      </c>
      <c r="J330" s="6" t="str">
        <f>IFERROR(_xlfn.LET(_xlpm.v,
VLOOKUP($I330,効果!$A:$B,COLUMN(効果!B$1),FALSE),
IF(_xlpm.v=0,"",_xlpm.v)
),"")</f>
        <v/>
      </c>
      <c r="L330" s="15" t="str">
        <f>IF(OR(COUNTIF(クラス!$A$1:$A$1034, $B330),$B330="",COUNTIF(スキル一覧!$A$1:$A$3500, $B330)), "", "存在しない")</f>
        <v/>
      </c>
      <c r="M330" s="2" t="str">
        <f>IF(COUNTIF($B$1:$C329, $B330), "", "存在しない")</f>
        <v>存在しない</v>
      </c>
      <c r="N330" s="2" t="s">
        <v>1258</v>
      </c>
    </row>
    <row r="331" spans="1:14" hidden="1" outlineLevel="1" x14ac:dyDescent="0.4">
      <c r="A331" s="2">
        <v>3</v>
      </c>
      <c r="J331" s="6" t="str">
        <f>IFERROR(_xlfn.LET(_xlpm.v,
VLOOKUP($I331,効果!$A:$B,COLUMN(効果!B$1),FALSE),
IF(_xlpm.v=0,"",_xlpm.v)
),"")</f>
        <v/>
      </c>
      <c r="L331" s="15" t="str">
        <f>IF(OR(COUNTIF(クラス!$A$1:$A$1034, $B331),$B331="",COUNTIF(スキル一覧!$A$1:$A$3500, $B331)), "", "存在しない")</f>
        <v/>
      </c>
      <c r="M331" s="2" t="str">
        <f>IF(COUNTIF($B$1:$C330, $B331), "", "存在しない")</f>
        <v>存在しない</v>
      </c>
      <c r="N331" s="2" t="s">
        <v>1258</v>
      </c>
    </row>
    <row r="332" spans="1:14" hidden="1" outlineLevel="1" x14ac:dyDescent="0.4">
      <c r="A332" s="2">
        <v>4</v>
      </c>
      <c r="J332" s="6" t="str">
        <f>IFERROR(_xlfn.LET(_xlpm.v,
VLOOKUP($I332,効果!$A:$B,COLUMN(効果!B$1),FALSE),
IF(_xlpm.v=0,"",_xlpm.v)
),"")</f>
        <v/>
      </c>
      <c r="L332" s="15" t="str">
        <f>IF(OR(COUNTIF(クラス!$A$1:$A$1034, $B332),$B332="",COUNTIF(スキル一覧!$A$1:$A$3500, $B332)), "", "存在しない")</f>
        <v/>
      </c>
      <c r="M332" s="2" t="str">
        <f>IF(COUNTIF($B$1:$C331, $B332), "", "存在しない")</f>
        <v>存在しない</v>
      </c>
      <c r="N332" s="2" t="s">
        <v>1258</v>
      </c>
    </row>
    <row r="333" spans="1:14" hidden="1" outlineLevel="1" x14ac:dyDescent="0.4">
      <c r="A333" s="2">
        <v>5</v>
      </c>
      <c r="J333" s="6" t="str">
        <f>IFERROR(_xlfn.LET(_xlpm.v,
VLOOKUP($I333,効果!$A:$B,COLUMN(効果!B$1),FALSE),
IF(_xlpm.v=0,"",_xlpm.v)
),"")</f>
        <v/>
      </c>
      <c r="L333" s="15" t="str">
        <f>IF(OR(COUNTIF(クラス!$A$1:$A$1034, $B333),$B333="",COUNTIF(スキル一覧!$A$1:$A$3500, $B333)), "", "存在しない")</f>
        <v/>
      </c>
      <c r="M333" s="2" t="str">
        <f>IF(COUNTIF($B$1:$C332, $B333), "", "存在しない")</f>
        <v>存在しない</v>
      </c>
      <c r="N333" s="2" t="s">
        <v>1258</v>
      </c>
    </row>
    <row r="334" spans="1:14" hidden="1" outlineLevel="1" x14ac:dyDescent="0.4">
      <c r="A334" s="2">
        <v>6</v>
      </c>
      <c r="J334" s="6" t="str">
        <f>IFERROR(_xlfn.LET(_xlpm.v,
VLOOKUP($I334,効果!$A:$B,COLUMN(効果!B$1),FALSE),
IF(_xlpm.v=0,"",_xlpm.v)
),"")</f>
        <v/>
      </c>
      <c r="L334" s="15" t="str">
        <f>IF(OR(COUNTIF(クラス!$A$1:$A$1034, $B334),$B334="",COUNTIF(スキル一覧!$A$1:$A$3500, $B334)), "", "存在しない")</f>
        <v/>
      </c>
      <c r="M334" s="2" t="str">
        <f>IF(COUNTIF($B$1:$C333, $B334), "", "存在しない")</f>
        <v>存在しない</v>
      </c>
      <c r="N334" s="2" t="s">
        <v>1258</v>
      </c>
    </row>
    <row r="335" spans="1:14" hidden="1" outlineLevel="1" x14ac:dyDescent="0.4">
      <c r="A335" s="2">
        <v>7</v>
      </c>
      <c r="J335" s="6" t="str">
        <f>IFERROR(_xlfn.LET(_xlpm.v,
VLOOKUP($I335,効果!$A:$B,COLUMN(効果!B$1),FALSE),
IF(_xlpm.v=0,"",_xlpm.v)
),"")</f>
        <v/>
      </c>
      <c r="L335" s="15" t="str">
        <f>IF(OR(COUNTIF(クラス!$A$1:$A$1034, $B335),$B335="",COUNTIF(スキル一覧!$A$1:$A$3500, $B335)), "", "存在しない")</f>
        <v/>
      </c>
      <c r="M335" s="2" t="str">
        <f>IF(COUNTIF($B$1:$C334, $B335), "", "存在しない")</f>
        <v>存在しない</v>
      </c>
      <c r="N335" s="2" t="s">
        <v>1258</v>
      </c>
    </row>
    <row r="336" spans="1:14" hidden="1" outlineLevel="1" x14ac:dyDescent="0.4">
      <c r="A336" s="2">
        <v>8</v>
      </c>
      <c r="J336" s="6" t="str">
        <f>IFERROR(_xlfn.LET(_xlpm.v,
VLOOKUP($I336,効果!$A:$B,COLUMN(効果!B$1),FALSE),
IF(_xlpm.v=0,"",_xlpm.v)
),"")</f>
        <v/>
      </c>
      <c r="L336" s="15" t="str">
        <f>IF(OR(COUNTIF(クラス!$A$1:$A$1034, $B336),$B336="",COUNTIF(スキル一覧!$A$1:$A$3500, $B336)), "", "存在しない")</f>
        <v/>
      </c>
      <c r="M336" s="2" t="str">
        <f>IF(COUNTIF($B$1:$C335, $B336), "", "存在しない")</f>
        <v>存在しない</v>
      </c>
      <c r="N336" s="2" t="s">
        <v>1258</v>
      </c>
    </row>
    <row r="337" spans="1:14" hidden="1" outlineLevel="1" x14ac:dyDescent="0.4">
      <c r="A337" s="2">
        <v>9</v>
      </c>
      <c r="J337" s="6" t="str">
        <f>IFERROR(_xlfn.LET(_xlpm.v,
VLOOKUP($I337,効果!$A:$B,COLUMN(効果!B$1),FALSE),
IF(_xlpm.v=0,"",_xlpm.v)
),"")</f>
        <v/>
      </c>
      <c r="L337" s="15" t="str">
        <f>IF(OR(COUNTIF(クラス!$A$1:$A$1034, $B337),$B337="",COUNTIF(スキル一覧!$A$1:$A$3500, $B337)), "", "存在しない")</f>
        <v/>
      </c>
      <c r="M337" s="2" t="str">
        <f>IF(COUNTIF($B$1:$C336, $B337), "", "存在しない")</f>
        <v>存在しない</v>
      </c>
      <c r="N337" s="2" t="s">
        <v>1258</v>
      </c>
    </row>
    <row r="338" spans="1:14" hidden="1" outlineLevel="1" x14ac:dyDescent="0.4">
      <c r="A338" s="2">
        <v>10</v>
      </c>
      <c r="J338" s="6" t="str">
        <f>IFERROR(_xlfn.LET(_xlpm.v,
VLOOKUP($I338,効果!$A:$B,COLUMN(効果!B$1),FALSE),
IF(_xlpm.v=0,"",_xlpm.v)
),"")</f>
        <v/>
      </c>
      <c r="L338" s="15" t="str">
        <f>IF(OR(COUNTIF(クラス!$A$1:$A$1034, $B338),$B338="",COUNTIF(スキル一覧!$A$1:$A$3500, $B338)), "", "存在しない")</f>
        <v/>
      </c>
      <c r="M338" s="2" t="str">
        <f>IF(COUNTIF($B$1:$C337, $B338), "", "存在しない")</f>
        <v>存在しない</v>
      </c>
      <c r="N338" s="2" t="s">
        <v>1258</v>
      </c>
    </row>
    <row r="339" spans="1:14" hidden="1" outlineLevel="1" x14ac:dyDescent="0.4">
      <c r="J339" s="6" t="str">
        <f>IFERROR(_xlfn.LET(_xlpm.v,
VLOOKUP($I339,効果!$A:$B,COLUMN(効果!B$1),FALSE),
IF(_xlpm.v=0,"",_xlpm.v)
),"")</f>
        <v/>
      </c>
      <c r="L339" s="15" t="str">
        <f>IF(OR(COUNTIF(クラス!$A$1:$A$1034, $B339),$B339="",COUNTIF(スキル一覧!$A$1:$A$3500, $B339)), "", "存在しない")</f>
        <v/>
      </c>
      <c r="M339" s="2" t="str">
        <f>IF(COUNTIF($B$1:$C338, $B339), "", "存在しない")</f>
        <v>存在しない</v>
      </c>
      <c r="N339" s="2" t="s">
        <v>1258</v>
      </c>
    </row>
    <row r="340" spans="1:14" collapsed="1" x14ac:dyDescent="0.4">
      <c r="J340" s="6" t="str">
        <f>IFERROR(_xlfn.LET(_xlpm.v,
VLOOKUP($I340,効果!$A:$B,COLUMN(効果!B$1),FALSE),
IF(_xlpm.v=0,"",_xlpm.v)
),"")</f>
        <v/>
      </c>
      <c r="L340" s="15" t="str">
        <f>IF(OR(COUNTIF(クラス!$A$1:$A$1034, $B340),$B340="",COUNTIF(スキル一覧!$A$1:$A$3500, $B340)), "", "存在しない")</f>
        <v/>
      </c>
      <c r="M340" s="2" t="str">
        <f>IF(COUNTIF($B$1:$C339, $B340), "", "存在しない")</f>
        <v>存在しない</v>
      </c>
      <c r="N340" s="2" t="s">
        <v>1258</v>
      </c>
    </row>
    <row r="341" spans="1:14" x14ac:dyDescent="0.4">
      <c r="B341" s="2" t="s">
        <v>123</v>
      </c>
      <c r="J341" s="6" t="str">
        <f>IFERROR(_xlfn.LET(_xlpm.v,
VLOOKUP($I341,効果!$A:$B,COLUMN(効果!B$1),FALSE),
IF(_xlpm.v=0,"",_xlpm.v)
),"")</f>
        <v/>
      </c>
      <c r="L341" s="15" t="str">
        <f>IF(OR(COUNTIF(クラス!$A$1:$A$1034, $B341),$B341="",COUNTIF(スキル一覧!$A$1:$A$3500, $B341)), "", "存在しない")</f>
        <v/>
      </c>
      <c r="M341" s="2" t="str">
        <f>IF(COUNTIF($B$1:$C340, $B341), "", "存在しない")</f>
        <v>存在しない</v>
      </c>
      <c r="N341" s="2" t="s">
        <v>1258</v>
      </c>
    </row>
    <row r="342" spans="1:14" hidden="1" outlineLevel="1" x14ac:dyDescent="0.4">
      <c r="A342" s="2">
        <v>1</v>
      </c>
      <c r="J342" s="6" t="str">
        <f>IFERROR(_xlfn.LET(_xlpm.v,
VLOOKUP($I342,効果!$A:$B,COLUMN(効果!B$1),FALSE),
IF(_xlpm.v=0,"",_xlpm.v)
),"")</f>
        <v/>
      </c>
      <c r="L342" s="15" t="str">
        <f>IF(OR(COUNTIF(クラス!$A$1:$A$1034, $B342),$B342="",COUNTIF(スキル一覧!$A$1:$A$3500, $B342)), "", "存在しない")</f>
        <v/>
      </c>
      <c r="M342" s="2" t="str">
        <f>IF(COUNTIF($B$1:$C341, $B342), "", "存在しない")</f>
        <v>存在しない</v>
      </c>
      <c r="N342" s="2" t="s">
        <v>1258</v>
      </c>
    </row>
    <row r="343" spans="1:14" hidden="1" outlineLevel="1" x14ac:dyDescent="0.4">
      <c r="A343" s="2">
        <v>2</v>
      </c>
      <c r="J343" s="6" t="str">
        <f>IFERROR(_xlfn.LET(_xlpm.v,
VLOOKUP($I343,効果!$A:$B,COLUMN(効果!B$1),FALSE),
IF(_xlpm.v=0,"",_xlpm.v)
),"")</f>
        <v/>
      </c>
      <c r="L343" s="15" t="str">
        <f>IF(OR(COUNTIF(クラス!$A$1:$A$1034, $B343),$B343="",COUNTIF(スキル一覧!$A$1:$A$3500, $B343)), "", "存在しない")</f>
        <v/>
      </c>
      <c r="M343" s="2" t="str">
        <f>IF(COUNTIF($B$1:$C342, $B343), "", "存在しない")</f>
        <v>存在しない</v>
      </c>
      <c r="N343" s="2" t="s">
        <v>1258</v>
      </c>
    </row>
    <row r="344" spans="1:14" hidden="1" outlineLevel="1" x14ac:dyDescent="0.4">
      <c r="A344" s="2">
        <v>3</v>
      </c>
      <c r="J344" s="6" t="str">
        <f>IFERROR(_xlfn.LET(_xlpm.v,
VLOOKUP($I344,効果!$A:$B,COLUMN(効果!B$1),FALSE),
IF(_xlpm.v=0,"",_xlpm.v)
),"")</f>
        <v/>
      </c>
      <c r="L344" s="15" t="str">
        <f>IF(OR(COUNTIF(クラス!$A$1:$A$1034, $B344),$B344="",COUNTIF(スキル一覧!$A$1:$A$3500, $B344)), "", "存在しない")</f>
        <v/>
      </c>
      <c r="M344" s="2" t="str">
        <f>IF(COUNTIF($B$1:$C343, $B344), "", "存在しない")</f>
        <v>存在しない</v>
      </c>
      <c r="N344" s="2" t="s">
        <v>1258</v>
      </c>
    </row>
    <row r="345" spans="1:14" hidden="1" outlineLevel="1" x14ac:dyDescent="0.4">
      <c r="A345" s="2">
        <v>4</v>
      </c>
      <c r="J345" s="6" t="str">
        <f>IFERROR(_xlfn.LET(_xlpm.v,
VLOOKUP($I345,効果!$A:$B,COLUMN(効果!B$1),FALSE),
IF(_xlpm.v=0,"",_xlpm.v)
),"")</f>
        <v/>
      </c>
      <c r="L345" s="15" t="str">
        <f>IF(OR(COUNTIF(クラス!$A$1:$A$1034, $B345),$B345="",COUNTIF(スキル一覧!$A$1:$A$3500, $B345)), "", "存在しない")</f>
        <v/>
      </c>
      <c r="M345" s="2" t="str">
        <f>IF(COUNTIF($B$1:$C344, $B345), "", "存在しない")</f>
        <v>存在しない</v>
      </c>
      <c r="N345" s="2" t="s">
        <v>1258</v>
      </c>
    </row>
    <row r="346" spans="1:14" hidden="1" outlineLevel="1" x14ac:dyDescent="0.4">
      <c r="A346" s="2">
        <v>5</v>
      </c>
      <c r="J346" s="6" t="str">
        <f>IFERROR(_xlfn.LET(_xlpm.v,
VLOOKUP($I346,効果!$A:$B,COLUMN(効果!B$1),FALSE),
IF(_xlpm.v=0,"",_xlpm.v)
),"")</f>
        <v/>
      </c>
      <c r="L346" s="15" t="str">
        <f>IF(OR(COUNTIF(クラス!$A$1:$A$1034, $B346),$B346="",COUNTIF(スキル一覧!$A$1:$A$3500, $B346)), "", "存在しない")</f>
        <v/>
      </c>
      <c r="M346" s="2" t="str">
        <f>IF(COUNTIF($B$1:$C345, $B346), "", "存在しない")</f>
        <v>存在しない</v>
      </c>
      <c r="N346" s="2" t="s">
        <v>1258</v>
      </c>
    </row>
    <row r="347" spans="1:14" hidden="1" outlineLevel="1" x14ac:dyDescent="0.4">
      <c r="A347" s="2">
        <v>6</v>
      </c>
      <c r="J347" s="6" t="str">
        <f>IFERROR(_xlfn.LET(_xlpm.v,
VLOOKUP($I347,効果!$A:$B,COLUMN(効果!B$1),FALSE),
IF(_xlpm.v=0,"",_xlpm.v)
),"")</f>
        <v/>
      </c>
      <c r="L347" s="15" t="str">
        <f>IF(OR(COUNTIF(クラス!$A$1:$A$1034, $B347),$B347="",COUNTIF(スキル一覧!$A$1:$A$3500, $B347)), "", "存在しない")</f>
        <v/>
      </c>
      <c r="M347" s="2" t="str">
        <f>IF(COUNTIF($B$1:$C346, $B347), "", "存在しない")</f>
        <v>存在しない</v>
      </c>
      <c r="N347" s="2" t="s">
        <v>1258</v>
      </c>
    </row>
    <row r="348" spans="1:14" hidden="1" outlineLevel="1" x14ac:dyDescent="0.4">
      <c r="A348" s="2">
        <v>7</v>
      </c>
      <c r="J348" s="6" t="str">
        <f>IFERROR(_xlfn.LET(_xlpm.v,
VLOOKUP($I348,効果!$A:$B,COLUMN(効果!B$1),FALSE),
IF(_xlpm.v=0,"",_xlpm.v)
),"")</f>
        <v/>
      </c>
      <c r="L348" s="15" t="str">
        <f>IF(OR(COUNTIF(クラス!$A$1:$A$1034, $B348),$B348="",COUNTIF(スキル一覧!$A$1:$A$3500, $B348)), "", "存在しない")</f>
        <v/>
      </c>
      <c r="M348" s="2" t="str">
        <f>IF(COUNTIF($B$1:$C347, $B348), "", "存在しない")</f>
        <v>存在しない</v>
      </c>
      <c r="N348" s="2" t="s">
        <v>1258</v>
      </c>
    </row>
    <row r="349" spans="1:14" hidden="1" outlineLevel="1" x14ac:dyDescent="0.4">
      <c r="A349" s="2">
        <v>8</v>
      </c>
      <c r="J349" s="6" t="str">
        <f>IFERROR(_xlfn.LET(_xlpm.v,
VLOOKUP($I349,効果!$A:$B,COLUMN(効果!B$1),FALSE),
IF(_xlpm.v=0,"",_xlpm.v)
),"")</f>
        <v/>
      </c>
      <c r="L349" s="15" t="str">
        <f>IF(OR(COUNTIF(クラス!$A$1:$A$1034, $B349),$B349="",COUNTIF(スキル一覧!$A$1:$A$3500, $B349)), "", "存在しない")</f>
        <v/>
      </c>
      <c r="M349" s="2" t="str">
        <f>IF(COUNTIF($B$1:$C348, $B349), "", "存在しない")</f>
        <v>存在しない</v>
      </c>
      <c r="N349" s="2" t="s">
        <v>1258</v>
      </c>
    </row>
    <row r="350" spans="1:14" hidden="1" outlineLevel="1" x14ac:dyDescent="0.4">
      <c r="A350" s="2">
        <v>9</v>
      </c>
      <c r="J350" s="6" t="str">
        <f>IFERROR(_xlfn.LET(_xlpm.v,
VLOOKUP($I350,効果!$A:$B,COLUMN(効果!B$1),FALSE),
IF(_xlpm.v=0,"",_xlpm.v)
),"")</f>
        <v/>
      </c>
      <c r="L350" s="15" t="str">
        <f>IF(OR(COUNTIF(クラス!$A$1:$A$1034, $B350),$B350="",COUNTIF(スキル一覧!$A$1:$A$3500, $B350)), "", "存在しない")</f>
        <v/>
      </c>
      <c r="M350" s="2" t="str">
        <f>IF(COUNTIF($B$1:$C349, $B350), "", "存在しない")</f>
        <v>存在しない</v>
      </c>
      <c r="N350" s="2" t="s">
        <v>1258</v>
      </c>
    </row>
    <row r="351" spans="1:14" hidden="1" outlineLevel="1" x14ac:dyDescent="0.4">
      <c r="A351" s="2">
        <v>10</v>
      </c>
      <c r="J351" s="6" t="str">
        <f>IFERROR(_xlfn.LET(_xlpm.v,
VLOOKUP($I351,効果!$A:$B,COLUMN(効果!B$1),FALSE),
IF(_xlpm.v=0,"",_xlpm.v)
),"")</f>
        <v/>
      </c>
      <c r="L351" s="15" t="str">
        <f>IF(OR(COUNTIF(クラス!$A$1:$A$1034, $B351),$B351="",COUNTIF(スキル一覧!$A$1:$A$3500, $B351)), "", "存在しない")</f>
        <v/>
      </c>
      <c r="M351" s="2" t="str">
        <f>IF(COUNTIF($B$1:$C350, $B351), "", "存在しない")</f>
        <v>存在しない</v>
      </c>
      <c r="N351" s="2" t="s">
        <v>1258</v>
      </c>
    </row>
    <row r="352" spans="1:14" hidden="1" outlineLevel="1" x14ac:dyDescent="0.4">
      <c r="J352" s="6" t="str">
        <f>IFERROR(_xlfn.LET(_xlpm.v,
VLOOKUP($I352,効果!$A:$B,COLUMN(効果!B$1),FALSE),
IF(_xlpm.v=0,"",_xlpm.v)
),"")</f>
        <v/>
      </c>
      <c r="L352" s="15" t="str">
        <f>IF(OR(COUNTIF(クラス!$A$1:$A$1034, $B352),$B352="",COUNTIF(スキル一覧!$A$1:$A$3500, $B352)), "", "存在しない")</f>
        <v/>
      </c>
      <c r="M352" s="2" t="str">
        <f>IF(COUNTIF($B$1:$C351, $B352), "", "存在しない")</f>
        <v>存在しない</v>
      </c>
      <c r="N352" s="2" t="s">
        <v>1258</v>
      </c>
    </row>
    <row r="353" spans="1:14" collapsed="1" x14ac:dyDescent="0.4">
      <c r="J353" s="6" t="str">
        <f>IFERROR(_xlfn.LET(_xlpm.v,
VLOOKUP($I353,効果!$A:$B,COLUMN(効果!B$1),FALSE),
IF(_xlpm.v=0,"",_xlpm.v)
),"")</f>
        <v/>
      </c>
      <c r="L353" s="15" t="str">
        <f>IF(OR(COUNTIF(クラス!$A$1:$A$1034, $B353),$B353="",COUNTIF(スキル一覧!$A$1:$A$3500, $B353)), "", "存在しない")</f>
        <v/>
      </c>
      <c r="M353" s="2" t="str">
        <f>IF(COUNTIF($B$1:$C352, $B353), "", "存在しない")</f>
        <v>存在しない</v>
      </c>
      <c r="N353" s="2" t="s">
        <v>1258</v>
      </c>
    </row>
    <row r="354" spans="1:14" x14ac:dyDescent="0.4">
      <c r="B354" s="2" t="s">
        <v>207</v>
      </c>
      <c r="J354" s="6" t="str">
        <f>IFERROR(_xlfn.LET(_xlpm.v,
VLOOKUP($I354,効果!$A:$B,COLUMN(効果!B$1),FALSE),
IF(_xlpm.v=0,"",_xlpm.v)
),"")</f>
        <v/>
      </c>
      <c r="L354" s="15" t="str">
        <f>IF(OR(COUNTIF(クラス!$A$1:$A$1034, $B354),$B354="",COUNTIF(スキル一覧!$A$1:$A$3500, $B354)), "", "存在しない")</f>
        <v/>
      </c>
      <c r="M354" s="2" t="str">
        <f>IF(COUNTIF($B$1:$C353, $B354), "", "存在しない")</f>
        <v>存在しない</v>
      </c>
      <c r="N354" s="2" t="s">
        <v>1258</v>
      </c>
    </row>
    <row r="355" spans="1:14" hidden="1" outlineLevel="1" x14ac:dyDescent="0.4">
      <c r="A355" s="2">
        <v>1</v>
      </c>
      <c r="J355" s="6" t="str">
        <f>IFERROR(_xlfn.LET(_xlpm.v,
VLOOKUP($I355,効果!$A:$B,COLUMN(効果!B$1),FALSE),
IF(_xlpm.v=0,"",_xlpm.v)
),"")</f>
        <v/>
      </c>
      <c r="L355" s="15" t="str">
        <f>IF(OR(COUNTIF(クラス!$A$1:$A$1034, $B355),$B355="",COUNTIF(スキル一覧!$A$1:$A$3500, $B355)), "", "存在しない")</f>
        <v/>
      </c>
      <c r="M355" s="2" t="str">
        <f>IF(COUNTIF($B$1:$C354, $B355), "", "存在しない")</f>
        <v>存在しない</v>
      </c>
      <c r="N355" s="2" t="s">
        <v>1258</v>
      </c>
    </row>
    <row r="356" spans="1:14" hidden="1" outlineLevel="1" x14ac:dyDescent="0.4">
      <c r="A356" s="2">
        <v>2</v>
      </c>
      <c r="J356" s="6" t="str">
        <f>IFERROR(_xlfn.LET(_xlpm.v,
VLOOKUP($I356,効果!$A:$B,COLUMN(効果!B$1),FALSE),
IF(_xlpm.v=0,"",_xlpm.v)
),"")</f>
        <v/>
      </c>
      <c r="L356" s="15" t="str">
        <f>IF(OR(COUNTIF(クラス!$A$1:$A$1034, $B356),$B356="",COUNTIF(スキル一覧!$A$1:$A$3500, $B356)), "", "存在しない")</f>
        <v/>
      </c>
      <c r="M356" s="2" t="str">
        <f>IF(COUNTIF($B$1:$C355, $B356), "", "存在しない")</f>
        <v>存在しない</v>
      </c>
      <c r="N356" s="2" t="s">
        <v>1258</v>
      </c>
    </row>
    <row r="357" spans="1:14" hidden="1" outlineLevel="1" x14ac:dyDescent="0.4">
      <c r="A357" s="2">
        <v>3</v>
      </c>
      <c r="J357" s="6" t="str">
        <f>IFERROR(_xlfn.LET(_xlpm.v,
VLOOKUP($I357,効果!$A:$B,COLUMN(効果!B$1),FALSE),
IF(_xlpm.v=0,"",_xlpm.v)
),"")</f>
        <v/>
      </c>
      <c r="L357" s="15" t="str">
        <f>IF(OR(COUNTIF(クラス!$A$1:$A$1034, $B357),$B357="",COUNTIF(スキル一覧!$A$1:$A$3500, $B357)), "", "存在しない")</f>
        <v/>
      </c>
      <c r="M357" s="2" t="str">
        <f>IF(COUNTIF($B$1:$C356, $B357), "", "存在しない")</f>
        <v>存在しない</v>
      </c>
      <c r="N357" s="2" t="s">
        <v>1258</v>
      </c>
    </row>
    <row r="358" spans="1:14" hidden="1" outlineLevel="1" x14ac:dyDescent="0.4">
      <c r="A358" s="2">
        <v>4</v>
      </c>
      <c r="J358" s="6" t="str">
        <f>IFERROR(_xlfn.LET(_xlpm.v,
VLOOKUP($I358,効果!$A:$B,COLUMN(効果!B$1),FALSE),
IF(_xlpm.v=0,"",_xlpm.v)
),"")</f>
        <v/>
      </c>
      <c r="L358" s="15" t="str">
        <f>IF(OR(COUNTIF(クラス!$A$1:$A$1034, $B358),$B358="",COUNTIF(スキル一覧!$A$1:$A$3500, $B358)), "", "存在しない")</f>
        <v/>
      </c>
      <c r="M358" s="2" t="str">
        <f>IF(COUNTIF($B$1:$C357, $B358), "", "存在しない")</f>
        <v>存在しない</v>
      </c>
      <c r="N358" s="2" t="s">
        <v>1258</v>
      </c>
    </row>
    <row r="359" spans="1:14" hidden="1" outlineLevel="1" x14ac:dyDescent="0.4">
      <c r="A359" s="2">
        <v>5</v>
      </c>
      <c r="J359" s="6" t="str">
        <f>IFERROR(_xlfn.LET(_xlpm.v,
VLOOKUP($I359,効果!$A:$B,COLUMN(効果!B$1),FALSE),
IF(_xlpm.v=0,"",_xlpm.v)
),"")</f>
        <v/>
      </c>
      <c r="L359" s="15" t="str">
        <f>IF(OR(COUNTIF(クラス!$A$1:$A$1034, $B359),$B359="",COUNTIF(スキル一覧!$A$1:$A$3500, $B359)), "", "存在しない")</f>
        <v/>
      </c>
      <c r="M359" s="2" t="str">
        <f>IF(COUNTIF($B$1:$C358, $B359), "", "存在しない")</f>
        <v>存在しない</v>
      </c>
      <c r="N359" s="2" t="s">
        <v>1258</v>
      </c>
    </row>
    <row r="360" spans="1:14" hidden="1" outlineLevel="1" x14ac:dyDescent="0.4">
      <c r="A360" s="2">
        <v>6</v>
      </c>
      <c r="J360" s="6" t="str">
        <f>IFERROR(_xlfn.LET(_xlpm.v,
VLOOKUP($I360,効果!$A:$B,COLUMN(効果!B$1),FALSE),
IF(_xlpm.v=0,"",_xlpm.v)
),"")</f>
        <v/>
      </c>
      <c r="L360" s="15" t="str">
        <f>IF(OR(COUNTIF(クラス!$A$1:$A$1034, $B360),$B360="",COUNTIF(スキル一覧!$A$1:$A$3500, $B360)), "", "存在しない")</f>
        <v/>
      </c>
      <c r="M360" s="2" t="str">
        <f>IF(COUNTIF($B$1:$C359, $B360), "", "存在しない")</f>
        <v>存在しない</v>
      </c>
      <c r="N360" s="2" t="s">
        <v>1258</v>
      </c>
    </row>
    <row r="361" spans="1:14" hidden="1" outlineLevel="1" x14ac:dyDescent="0.4">
      <c r="A361" s="2">
        <v>7</v>
      </c>
      <c r="J361" s="6" t="str">
        <f>IFERROR(_xlfn.LET(_xlpm.v,
VLOOKUP($I361,効果!$A:$B,COLUMN(効果!B$1),FALSE),
IF(_xlpm.v=0,"",_xlpm.v)
),"")</f>
        <v/>
      </c>
      <c r="L361" s="15" t="str">
        <f>IF(OR(COUNTIF(クラス!$A$1:$A$1034, $B361),$B361="",COUNTIF(スキル一覧!$A$1:$A$3500, $B361)), "", "存在しない")</f>
        <v/>
      </c>
      <c r="M361" s="2" t="str">
        <f>IF(COUNTIF($B$1:$C360, $B361), "", "存在しない")</f>
        <v>存在しない</v>
      </c>
      <c r="N361" s="2" t="s">
        <v>1258</v>
      </c>
    </row>
    <row r="362" spans="1:14" hidden="1" outlineLevel="1" x14ac:dyDescent="0.4">
      <c r="A362" s="2">
        <v>8</v>
      </c>
      <c r="J362" s="6" t="str">
        <f>IFERROR(_xlfn.LET(_xlpm.v,
VLOOKUP($I362,効果!$A:$B,COLUMN(効果!B$1),FALSE),
IF(_xlpm.v=0,"",_xlpm.v)
),"")</f>
        <v/>
      </c>
      <c r="L362" s="15" t="str">
        <f>IF(OR(COUNTIF(クラス!$A$1:$A$1034, $B362),$B362="",COUNTIF(スキル一覧!$A$1:$A$3500, $B362)), "", "存在しない")</f>
        <v/>
      </c>
      <c r="M362" s="2" t="str">
        <f>IF(COUNTIF($B$1:$C361, $B362), "", "存在しない")</f>
        <v>存在しない</v>
      </c>
      <c r="N362" s="2" t="s">
        <v>1258</v>
      </c>
    </row>
    <row r="363" spans="1:14" hidden="1" outlineLevel="1" x14ac:dyDescent="0.4">
      <c r="A363" s="2">
        <v>9</v>
      </c>
      <c r="J363" s="6" t="str">
        <f>IFERROR(_xlfn.LET(_xlpm.v,
VLOOKUP($I363,効果!$A:$B,COLUMN(効果!B$1),FALSE),
IF(_xlpm.v=0,"",_xlpm.v)
),"")</f>
        <v/>
      </c>
      <c r="L363" s="15" t="str">
        <f>IF(OR(COUNTIF(クラス!$A$1:$A$1034, $B363),$B363="",COUNTIF(スキル一覧!$A$1:$A$3500, $B363)), "", "存在しない")</f>
        <v/>
      </c>
      <c r="M363" s="2" t="str">
        <f>IF(COUNTIF($B$1:$C362, $B363), "", "存在しない")</f>
        <v>存在しない</v>
      </c>
      <c r="N363" s="2" t="s">
        <v>1258</v>
      </c>
    </row>
    <row r="364" spans="1:14" hidden="1" outlineLevel="1" x14ac:dyDescent="0.4">
      <c r="A364" s="2">
        <v>10</v>
      </c>
      <c r="J364" s="6" t="str">
        <f>IFERROR(_xlfn.LET(_xlpm.v,
VLOOKUP($I364,効果!$A:$B,COLUMN(効果!B$1),FALSE),
IF(_xlpm.v=0,"",_xlpm.v)
),"")</f>
        <v/>
      </c>
      <c r="L364" s="15" t="str">
        <f>IF(OR(COUNTIF(クラス!$A$1:$A$1034, $B364),$B364="",COUNTIF(スキル一覧!$A$1:$A$3500, $B364)), "", "存在しない")</f>
        <v/>
      </c>
      <c r="M364" s="2" t="str">
        <f>IF(COUNTIF($B$1:$C363, $B364), "", "存在しない")</f>
        <v>存在しない</v>
      </c>
      <c r="N364" s="2" t="s">
        <v>1258</v>
      </c>
    </row>
    <row r="365" spans="1:14" hidden="1" outlineLevel="1" x14ac:dyDescent="0.4">
      <c r="J365" s="6" t="str">
        <f>IFERROR(_xlfn.LET(_xlpm.v,
VLOOKUP($I365,効果!$A:$B,COLUMN(効果!B$1),FALSE),
IF(_xlpm.v=0,"",_xlpm.v)
),"")</f>
        <v/>
      </c>
      <c r="L365" s="15" t="str">
        <f>IF(OR(COUNTIF(クラス!$A$1:$A$1034, $B365),$B365="",COUNTIF(スキル一覧!$A$1:$A$3500, $B365)), "", "存在しない")</f>
        <v/>
      </c>
      <c r="M365" s="2" t="str">
        <f>IF(COUNTIF($B$1:$C364, $B365), "", "存在しない")</f>
        <v>存在しない</v>
      </c>
      <c r="N365" s="2" t="s">
        <v>1258</v>
      </c>
    </row>
    <row r="366" spans="1:14" collapsed="1" x14ac:dyDescent="0.4">
      <c r="J366" s="6" t="str">
        <f>IFERROR(_xlfn.LET(_xlpm.v,
VLOOKUP($I366,効果!$A:$B,COLUMN(効果!B$1),FALSE),
IF(_xlpm.v=0,"",_xlpm.v)
),"")</f>
        <v/>
      </c>
      <c r="L366" s="15" t="str">
        <f>IF(OR(COUNTIF(クラス!$A$1:$A$1034, $B366),$B366="",COUNTIF(スキル一覧!$A$1:$A$3500, $B366)), "", "存在しない")</f>
        <v/>
      </c>
      <c r="M366" s="2" t="str">
        <f>IF(COUNTIF($B$1:$C365, $B366), "", "存在しない")</f>
        <v>存在しない</v>
      </c>
      <c r="N366" s="2" t="s">
        <v>1258</v>
      </c>
    </row>
    <row r="367" spans="1:14" x14ac:dyDescent="0.4">
      <c r="B367" s="2" t="s">
        <v>209</v>
      </c>
      <c r="J367" s="6" t="str">
        <f>IFERROR(_xlfn.LET(_xlpm.v,
VLOOKUP($I367,効果!$A:$B,COLUMN(効果!B$1),FALSE),
IF(_xlpm.v=0,"",_xlpm.v)
),"")</f>
        <v/>
      </c>
      <c r="L367" s="15" t="str">
        <f>IF(OR(COUNTIF(クラス!$A$1:$A$1034, $B367),$B367="",COUNTIF(スキル一覧!$A$1:$A$3500, $B367)), "", "存在しない")</f>
        <v>存在しない</v>
      </c>
      <c r="M367" s="2" t="str">
        <f>IF(COUNTIF($B$1:$C366, $B367), "", "存在しない")</f>
        <v>存在しない</v>
      </c>
      <c r="N367" s="2" t="s">
        <v>1258</v>
      </c>
    </row>
    <row r="368" spans="1:14" hidden="1" outlineLevel="1" x14ac:dyDescent="0.4">
      <c r="A368" s="2">
        <v>1</v>
      </c>
      <c r="J368" s="6" t="str">
        <f>IFERROR(_xlfn.LET(_xlpm.v,
VLOOKUP($I368,効果!$A:$B,COLUMN(効果!B$1),FALSE),
IF(_xlpm.v=0,"",_xlpm.v)
),"")</f>
        <v/>
      </c>
      <c r="L368" s="15" t="str">
        <f>IF(OR(COUNTIF(クラス!$A$1:$A$1034, $B368),$B368="",COUNTIF(スキル一覧!$A$1:$A$3500, $B368)), "", "存在しない")</f>
        <v/>
      </c>
      <c r="M368" s="2" t="str">
        <f>IF(COUNTIF($B$1:$C367, $B368), "", "存在しない")</f>
        <v>存在しない</v>
      </c>
      <c r="N368" s="2" t="s">
        <v>1258</v>
      </c>
    </row>
    <row r="369" spans="1:14" hidden="1" outlineLevel="1" x14ac:dyDescent="0.4">
      <c r="A369" s="2">
        <v>2</v>
      </c>
      <c r="J369" s="6" t="str">
        <f>IFERROR(_xlfn.LET(_xlpm.v,
VLOOKUP($I369,効果!$A:$B,COLUMN(効果!B$1),FALSE),
IF(_xlpm.v=0,"",_xlpm.v)
),"")</f>
        <v/>
      </c>
      <c r="L369" s="15" t="str">
        <f>IF(OR(COUNTIF(クラス!$A$1:$A$1034, $B369),$B369="",COUNTIF(スキル一覧!$A$1:$A$3500, $B369)), "", "存在しない")</f>
        <v/>
      </c>
      <c r="M369" s="2" t="str">
        <f>IF(COUNTIF($B$1:$C368, $B369), "", "存在しない")</f>
        <v>存在しない</v>
      </c>
      <c r="N369" s="2" t="s">
        <v>1258</v>
      </c>
    </row>
    <row r="370" spans="1:14" hidden="1" outlineLevel="1" x14ac:dyDescent="0.4">
      <c r="A370" s="2">
        <v>3</v>
      </c>
      <c r="J370" s="6" t="str">
        <f>IFERROR(_xlfn.LET(_xlpm.v,
VLOOKUP($I370,効果!$A:$B,COLUMN(効果!B$1),FALSE),
IF(_xlpm.v=0,"",_xlpm.v)
),"")</f>
        <v/>
      </c>
      <c r="L370" s="15" t="str">
        <f>IF(OR(COUNTIF(クラス!$A$1:$A$1034, $B370),$B370="",COUNTIF(スキル一覧!$A$1:$A$3500, $B370)), "", "存在しない")</f>
        <v/>
      </c>
      <c r="M370" s="2" t="str">
        <f>IF(COUNTIF($B$1:$C369, $B370), "", "存在しない")</f>
        <v>存在しない</v>
      </c>
      <c r="N370" s="2" t="s">
        <v>1258</v>
      </c>
    </row>
    <row r="371" spans="1:14" hidden="1" outlineLevel="1" x14ac:dyDescent="0.4">
      <c r="A371" s="2">
        <v>4</v>
      </c>
      <c r="J371" s="6" t="str">
        <f>IFERROR(_xlfn.LET(_xlpm.v,
VLOOKUP($I371,効果!$A:$B,COLUMN(効果!B$1),FALSE),
IF(_xlpm.v=0,"",_xlpm.v)
),"")</f>
        <v/>
      </c>
      <c r="L371" s="15" t="str">
        <f>IF(OR(COUNTIF(クラス!$A$1:$A$1034, $B371),$B371="",COUNTIF(スキル一覧!$A$1:$A$3500, $B371)), "", "存在しない")</f>
        <v/>
      </c>
      <c r="M371" s="2" t="str">
        <f>IF(COUNTIF($B$1:$C370, $B371), "", "存在しない")</f>
        <v>存在しない</v>
      </c>
      <c r="N371" s="2" t="s">
        <v>1258</v>
      </c>
    </row>
    <row r="372" spans="1:14" hidden="1" outlineLevel="1" x14ac:dyDescent="0.4">
      <c r="A372" s="2">
        <v>5</v>
      </c>
      <c r="J372" s="6" t="str">
        <f>IFERROR(_xlfn.LET(_xlpm.v,
VLOOKUP($I372,効果!$A:$B,COLUMN(効果!B$1),FALSE),
IF(_xlpm.v=0,"",_xlpm.v)
),"")</f>
        <v/>
      </c>
      <c r="L372" s="15" t="str">
        <f>IF(OR(COUNTIF(クラス!$A$1:$A$1034, $B372),$B372="",COUNTIF(スキル一覧!$A$1:$A$3500, $B372)), "", "存在しない")</f>
        <v/>
      </c>
      <c r="M372" s="2" t="str">
        <f>IF(COUNTIF($B$1:$C371, $B372), "", "存在しない")</f>
        <v>存在しない</v>
      </c>
      <c r="N372" s="2" t="s">
        <v>1258</v>
      </c>
    </row>
    <row r="373" spans="1:14" hidden="1" outlineLevel="1" x14ac:dyDescent="0.4">
      <c r="A373" s="2">
        <v>6</v>
      </c>
      <c r="J373" s="6" t="str">
        <f>IFERROR(_xlfn.LET(_xlpm.v,
VLOOKUP($I373,効果!$A:$B,COLUMN(効果!B$1),FALSE),
IF(_xlpm.v=0,"",_xlpm.v)
),"")</f>
        <v/>
      </c>
      <c r="L373" s="15" t="str">
        <f>IF(OR(COUNTIF(クラス!$A$1:$A$1034, $B373),$B373="",COUNTIF(スキル一覧!$A$1:$A$3500, $B373)), "", "存在しない")</f>
        <v/>
      </c>
      <c r="M373" s="2" t="str">
        <f>IF(COUNTIF($B$1:$C372, $B373), "", "存在しない")</f>
        <v>存在しない</v>
      </c>
      <c r="N373" s="2" t="s">
        <v>1258</v>
      </c>
    </row>
    <row r="374" spans="1:14" hidden="1" outlineLevel="1" x14ac:dyDescent="0.4">
      <c r="A374" s="2">
        <v>7</v>
      </c>
      <c r="J374" s="6" t="str">
        <f>IFERROR(_xlfn.LET(_xlpm.v,
VLOOKUP($I374,効果!$A:$B,COLUMN(効果!B$1),FALSE),
IF(_xlpm.v=0,"",_xlpm.v)
),"")</f>
        <v/>
      </c>
      <c r="L374" s="15" t="str">
        <f>IF(OR(COUNTIF(クラス!$A$1:$A$1034, $B374),$B374="",COUNTIF(スキル一覧!$A$1:$A$3500, $B374)), "", "存在しない")</f>
        <v/>
      </c>
      <c r="M374" s="2" t="str">
        <f>IF(COUNTIF($B$1:$C373, $B374), "", "存在しない")</f>
        <v>存在しない</v>
      </c>
      <c r="N374" s="2" t="s">
        <v>1258</v>
      </c>
    </row>
    <row r="375" spans="1:14" hidden="1" outlineLevel="1" x14ac:dyDescent="0.4">
      <c r="A375" s="2">
        <v>8</v>
      </c>
      <c r="J375" s="6" t="str">
        <f>IFERROR(_xlfn.LET(_xlpm.v,
VLOOKUP($I375,効果!$A:$B,COLUMN(効果!B$1),FALSE),
IF(_xlpm.v=0,"",_xlpm.v)
),"")</f>
        <v/>
      </c>
      <c r="L375" s="15" t="str">
        <f>IF(OR(COUNTIF(クラス!$A$1:$A$1034, $B375),$B375="",COUNTIF(スキル一覧!$A$1:$A$3500, $B375)), "", "存在しない")</f>
        <v/>
      </c>
      <c r="M375" s="2" t="str">
        <f>IF(COUNTIF($B$1:$C374, $B375), "", "存在しない")</f>
        <v>存在しない</v>
      </c>
      <c r="N375" s="2" t="s">
        <v>1258</v>
      </c>
    </row>
    <row r="376" spans="1:14" hidden="1" outlineLevel="1" x14ac:dyDescent="0.4">
      <c r="A376" s="2">
        <v>9</v>
      </c>
      <c r="J376" s="6" t="str">
        <f>IFERROR(_xlfn.LET(_xlpm.v,
VLOOKUP($I376,効果!$A:$B,COLUMN(効果!B$1),FALSE),
IF(_xlpm.v=0,"",_xlpm.v)
),"")</f>
        <v/>
      </c>
      <c r="L376" s="15" t="str">
        <f>IF(OR(COUNTIF(クラス!$A$1:$A$1034, $B376),$B376="",COUNTIF(スキル一覧!$A$1:$A$3500, $B376)), "", "存在しない")</f>
        <v/>
      </c>
      <c r="M376" s="2" t="str">
        <f>IF(COUNTIF($B$1:$C375, $B376), "", "存在しない")</f>
        <v>存在しない</v>
      </c>
      <c r="N376" s="2" t="s">
        <v>1258</v>
      </c>
    </row>
    <row r="377" spans="1:14" hidden="1" outlineLevel="1" x14ac:dyDescent="0.4">
      <c r="A377" s="2">
        <v>10</v>
      </c>
      <c r="J377" s="6" t="str">
        <f>IFERROR(_xlfn.LET(_xlpm.v,
VLOOKUP($I377,効果!$A:$B,COLUMN(効果!B$1),FALSE),
IF(_xlpm.v=0,"",_xlpm.v)
),"")</f>
        <v/>
      </c>
      <c r="L377" s="15" t="str">
        <f>IF(OR(COUNTIF(クラス!$A$1:$A$1034, $B377),$B377="",COUNTIF(スキル一覧!$A$1:$A$3500, $B377)), "", "存在しない")</f>
        <v/>
      </c>
      <c r="M377" s="2" t="str">
        <f>IF(COUNTIF($B$1:$C376, $B377), "", "存在しない")</f>
        <v>存在しない</v>
      </c>
      <c r="N377" s="2" t="s">
        <v>1258</v>
      </c>
    </row>
    <row r="378" spans="1:14" hidden="1" outlineLevel="1" x14ac:dyDescent="0.4">
      <c r="J378" s="6" t="str">
        <f>IFERROR(_xlfn.LET(_xlpm.v,
VLOOKUP($I378,効果!$A:$B,COLUMN(効果!B$1),FALSE),
IF(_xlpm.v=0,"",_xlpm.v)
),"")</f>
        <v/>
      </c>
      <c r="L378" s="15" t="str">
        <f>IF(OR(COUNTIF(クラス!$A$1:$A$1034, $B378),$B378="",COUNTIF(スキル一覧!$A$1:$A$3500, $B378)), "", "存在しない")</f>
        <v/>
      </c>
      <c r="M378" s="2" t="str">
        <f>IF(COUNTIF($B$1:$C377, $B378), "", "存在しない")</f>
        <v>存在しない</v>
      </c>
      <c r="N378" s="2" t="s">
        <v>1258</v>
      </c>
    </row>
    <row r="379" spans="1:14" collapsed="1" x14ac:dyDescent="0.4">
      <c r="J379" s="6" t="str">
        <f>IFERROR(_xlfn.LET(_xlpm.v,
VLOOKUP($I379,効果!$A:$B,COLUMN(効果!B$1),FALSE),
IF(_xlpm.v=0,"",_xlpm.v)
),"")</f>
        <v/>
      </c>
      <c r="L379" s="15" t="str">
        <f>IF(OR(COUNTIF(クラス!$A$1:$A$1034, $B379),$B379="",COUNTIF(スキル一覧!$A$1:$A$3500, $B379)), "", "存在しない")</f>
        <v/>
      </c>
      <c r="M379" s="2" t="str">
        <f>IF(COUNTIF($B$1:$C378, $B379), "", "存在しない")</f>
        <v>存在しない</v>
      </c>
      <c r="N379" s="2" t="s">
        <v>1258</v>
      </c>
    </row>
    <row r="380" spans="1:14" x14ac:dyDescent="0.4">
      <c r="J380" s="6" t="str">
        <f>IFERROR(_xlfn.LET(_xlpm.v,
VLOOKUP($I380,効果!$A:$B,COLUMN(効果!B$1),FALSE),
IF(_xlpm.v=0,"",_xlpm.v)
),"")</f>
        <v/>
      </c>
      <c r="L380" s="15" t="str">
        <f>IF(OR(COUNTIF(クラス!$A$1:$A$1034, $B380),$B380="",COUNTIF(スキル一覧!$A$1:$A$3500, $B380)), "", "存在しない")</f>
        <v/>
      </c>
      <c r="M380" s="2" t="str">
        <f>IF(COUNTIF($B$1:$C379, $B380), "", "存在しない")</f>
        <v>存在しない</v>
      </c>
      <c r="N380" s="2" t="s">
        <v>1258</v>
      </c>
    </row>
    <row r="381" spans="1:14" x14ac:dyDescent="0.4">
      <c r="J381" s="6" t="str">
        <f>IFERROR(_xlfn.LET(_xlpm.v,
VLOOKUP($I381,効果!$A:$B,COLUMN(効果!B$1),FALSE),
IF(_xlpm.v=0,"",_xlpm.v)
),"")</f>
        <v/>
      </c>
      <c r="L381" s="15" t="str">
        <f>IF(OR(COUNTIF(クラス!$A$1:$A$1034, $B381),$B381="",COUNTIF(スキル一覧!$A$1:$A$3500, $B381)), "", "存在しない")</f>
        <v/>
      </c>
      <c r="M381" s="2" t="str">
        <f>IF(COUNTIF($B$1:$C380, $B381), "", "存在しない")</f>
        <v>存在しない</v>
      </c>
      <c r="N381" s="2" t="s">
        <v>1258</v>
      </c>
    </row>
    <row r="382" spans="1:14" x14ac:dyDescent="0.4">
      <c r="J382" s="6" t="str">
        <f>IFERROR(_xlfn.LET(_xlpm.v,
VLOOKUP($I382,効果!$A:$B,COLUMN(効果!B$1),FALSE),
IF(_xlpm.v=0,"",_xlpm.v)
),"")</f>
        <v/>
      </c>
      <c r="L382" s="15" t="str">
        <f>IF(OR(COUNTIF(クラス!$A$1:$A$1034, $B382),$B382="",COUNTIF(スキル一覧!$A$1:$A$3500, $B382)), "", "存在しない")</f>
        <v/>
      </c>
      <c r="M382" s="2" t="str">
        <f>IF(COUNTIF($B$1:$C381, $B382), "", "存在しない")</f>
        <v>存在しない</v>
      </c>
      <c r="N382" s="2" t="s">
        <v>1258</v>
      </c>
    </row>
    <row r="383" spans="1:14" x14ac:dyDescent="0.4">
      <c r="J383" s="6" t="str">
        <f>IFERROR(_xlfn.LET(_xlpm.v,
VLOOKUP($I383,効果!$A:$B,COLUMN(効果!B$1),FALSE),
IF(_xlpm.v=0,"",_xlpm.v)
),"")</f>
        <v/>
      </c>
      <c r="L383" s="15" t="str">
        <f>IF(OR(COUNTIF(クラス!$A$1:$A$1034, $B383),$B383="",COUNTIF(スキル一覧!$A$1:$A$3500, $B383)), "", "存在しない")</f>
        <v/>
      </c>
      <c r="M383" s="2" t="str">
        <f>IF(COUNTIF($B$1:$C382, $B383), "", "存在しない")</f>
        <v>存在しない</v>
      </c>
      <c r="N383" s="2" t="s">
        <v>1258</v>
      </c>
    </row>
    <row r="384" spans="1:14" x14ac:dyDescent="0.4">
      <c r="J384" s="6" t="str">
        <f>IFERROR(_xlfn.LET(_xlpm.v,
VLOOKUP($I384,効果!$A:$B,COLUMN(効果!B$1),FALSE),
IF(_xlpm.v=0,"",_xlpm.v)
),"")</f>
        <v/>
      </c>
      <c r="L384" s="15" t="str">
        <f>IF(OR(COUNTIF(クラス!$A$1:$A$1034, $B384),$B384="",COUNTIF(スキル一覧!$A$1:$A$3500, $B384)), "", "存在しない")</f>
        <v/>
      </c>
      <c r="M384" s="2" t="str">
        <f>IF(COUNTIF($B$1:$C383, $B384), "", "存在しない")</f>
        <v>存在しない</v>
      </c>
      <c r="N384" s="2" t="s">
        <v>1258</v>
      </c>
    </row>
    <row r="385" spans="1:14" x14ac:dyDescent="0.4">
      <c r="B385" s="2" t="s">
        <v>68</v>
      </c>
      <c r="D385" s="2" t="s">
        <v>148</v>
      </c>
      <c r="J385" s="6" t="str">
        <f>IFERROR(_xlfn.LET(_xlpm.v,
VLOOKUP($I385,効果!$A:$B,COLUMN(効果!B$1),FALSE),
IF(_xlpm.v=0,"",_xlpm.v)
),"")</f>
        <v/>
      </c>
      <c r="L385" s="15" t="str">
        <f>IF(OR(COUNTIF(クラス!$A$1:$A$1034, $B385),$B385="",COUNTIF(スキル一覧!$A$1:$A$3500, $B385)), "", "存在しない")</f>
        <v/>
      </c>
      <c r="M385" s="2" t="str">
        <f>IF(COUNTIF($B$1:$C384, $B385), "", "存在しない")</f>
        <v>存在しない</v>
      </c>
      <c r="N385" s="2" t="s">
        <v>1258</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IF(OR(COUNTIF(クラス!$A$1:$A$1034, $B386),$B386="",COUNTIF(スキル一覧!$A$1:$A$3500, $B386)), "", "存在しない")</f>
        <v/>
      </c>
      <c r="M386" s="2" t="str">
        <f>IF(COUNTIF($B$1:$C385, $B386), "", "存在しない")</f>
        <v>存在しない</v>
      </c>
      <c r="N386" s="2" t="s">
        <v>1258</v>
      </c>
    </row>
    <row r="387" spans="1:14" hidden="1" outlineLevel="1" x14ac:dyDescent="0.4">
      <c r="A387" s="2">
        <v>2</v>
      </c>
      <c r="J387" s="6" t="str">
        <f>IFERROR(_xlfn.LET(_xlpm.v,
VLOOKUP($I387,効果!$A:$B,COLUMN(効果!B$1),FALSE),
IF(_xlpm.v=0,"",_xlpm.v)
),"")</f>
        <v/>
      </c>
      <c r="L387" s="15" t="str">
        <f>IF(OR(COUNTIF(クラス!$A$1:$A$1034, $B387),$B387="",COUNTIF(スキル一覧!$A$1:$A$3500, $B387)), "", "存在しない")</f>
        <v/>
      </c>
      <c r="M387" s="2" t="str">
        <f>IF(COUNTIF($B$1:$C386, $B387), "", "存在しない")</f>
        <v>存在しない</v>
      </c>
      <c r="N387" s="2" t="s">
        <v>1258</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IF(OR(COUNTIF(クラス!$A$1:$A$1034, $B388),$B388="",COUNTIF(スキル一覧!$A$1:$A$3500, $B388)), "", "存在しない")</f>
        <v/>
      </c>
      <c r="M388" s="2" t="str">
        <f>IF(COUNTIF($B$1:$C387, $B388), "", "存在しない")</f>
        <v>存在しない</v>
      </c>
      <c r="N388" s="2" t="s">
        <v>1258</v>
      </c>
    </row>
    <row r="389" spans="1:14" hidden="1" outlineLevel="1" x14ac:dyDescent="0.4">
      <c r="A389" s="2">
        <v>4</v>
      </c>
      <c r="J389" s="6" t="str">
        <f>IFERROR(_xlfn.LET(_xlpm.v,
VLOOKUP($I389,効果!$A:$B,COLUMN(効果!B$1),FALSE),
IF(_xlpm.v=0,"",_xlpm.v)
),"")</f>
        <v/>
      </c>
      <c r="L389" s="15" t="str">
        <f>IF(OR(COUNTIF(クラス!$A$1:$A$1034, $B389),$B389="",COUNTIF(スキル一覧!$A$1:$A$3500, $B389)), "", "存在しない")</f>
        <v/>
      </c>
      <c r="M389" s="2" t="str">
        <f>IF(COUNTIF($B$1:$C388, $B389), "", "存在しない")</f>
        <v>存在しない</v>
      </c>
      <c r="N389" s="2" t="s">
        <v>1258</v>
      </c>
    </row>
    <row r="390" spans="1:14" hidden="1" outlineLevel="1" x14ac:dyDescent="0.4">
      <c r="A390" s="2">
        <v>5</v>
      </c>
      <c r="J390" s="6" t="str">
        <f>IFERROR(_xlfn.LET(_xlpm.v,
VLOOKUP($I390,効果!$A:$B,COLUMN(効果!B$1),FALSE),
IF(_xlpm.v=0,"",_xlpm.v)
),"")</f>
        <v/>
      </c>
      <c r="L390" s="15" t="str">
        <f>IF(OR(COUNTIF(クラス!$A$1:$A$1034, $B390),$B390="",COUNTIF(スキル一覧!$A$1:$A$3500, $B390)), "", "存在しない")</f>
        <v/>
      </c>
      <c r="M390" s="2" t="str">
        <f>IF(COUNTIF($B$1:$C389, $B390), "", "存在しない")</f>
        <v>存在しない</v>
      </c>
      <c r="N390" s="2" t="s">
        <v>1258</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IF(OR(COUNTIF(クラス!$A$1:$A$1034, $B391),$B391="",COUNTIF(スキル一覧!$A$1:$A$3500, $B391)), "", "存在しない")</f>
        <v/>
      </c>
      <c r="M391" s="2" t="str">
        <f>IF(COUNTIF($B$1:$C390, $B391), "", "存在しない")</f>
        <v>存在しない</v>
      </c>
      <c r="N391" s="2" t="s">
        <v>1258</v>
      </c>
    </row>
    <row r="392" spans="1:14" hidden="1" outlineLevel="1" x14ac:dyDescent="0.4">
      <c r="A392" s="2">
        <v>7</v>
      </c>
      <c r="J392" s="6" t="str">
        <f>IFERROR(_xlfn.LET(_xlpm.v,
VLOOKUP($I392,効果!$A:$B,COLUMN(効果!B$1),FALSE),
IF(_xlpm.v=0,"",_xlpm.v)
),"")</f>
        <v/>
      </c>
      <c r="L392" s="15" t="str">
        <f>IF(OR(COUNTIF(クラス!$A$1:$A$1034, $B392),$B392="",COUNTIF(スキル一覧!$A$1:$A$3500, $B392)), "", "存在しない")</f>
        <v/>
      </c>
      <c r="M392" s="2" t="str">
        <f>IF(COUNTIF($B$1:$C391, $B392), "", "存在しない")</f>
        <v>存在しない</v>
      </c>
      <c r="N392" s="2" t="s">
        <v>1258</v>
      </c>
    </row>
    <row r="393" spans="1:14" hidden="1" outlineLevel="1" x14ac:dyDescent="0.4">
      <c r="A393" s="2">
        <v>8</v>
      </c>
      <c r="J393" s="6" t="str">
        <f>IFERROR(_xlfn.LET(_xlpm.v,
VLOOKUP($I393,効果!$A:$B,COLUMN(効果!B$1),FALSE),
IF(_xlpm.v=0,"",_xlpm.v)
),"")</f>
        <v/>
      </c>
      <c r="L393" s="15" t="str">
        <f>IF(OR(COUNTIF(クラス!$A$1:$A$1034, $B393),$B393="",COUNTIF(スキル一覧!$A$1:$A$3500, $B393)), "", "存在しない")</f>
        <v/>
      </c>
      <c r="M393" s="2" t="str">
        <f>IF(COUNTIF($B$1:$C392, $B393), "", "存在しない")</f>
        <v>存在しない</v>
      </c>
      <c r="N393" s="2" t="s">
        <v>1258</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IF(OR(COUNTIF(クラス!$A$1:$A$1034, $B394),$B394="",COUNTIF(スキル一覧!$A$1:$A$3500, $B394)), "", "存在しない")</f>
        <v/>
      </c>
      <c r="M394" s="2" t="str">
        <f>IF(COUNTIF($B$1:$C393, $B394), "", "存在しない")</f>
        <v>存在しない</v>
      </c>
      <c r="N394" s="2" t="s">
        <v>1258</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IF(OR(COUNTIF(クラス!$A$1:$A$1034, $B395),$B395="",COUNTIF(スキル一覧!$A$1:$A$3500, $B395)), "", "存在しない")</f>
        <v/>
      </c>
      <c r="M395" s="2" t="str">
        <f>IF(COUNTIF($B$1:$C394, $B395), "", "存在しない")</f>
        <v>存在しない</v>
      </c>
      <c r="N395" s="2" t="s">
        <v>1258</v>
      </c>
    </row>
    <row r="396" spans="1:14" hidden="1" outlineLevel="1" x14ac:dyDescent="0.4">
      <c r="J396" s="6" t="str">
        <f>IFERROR(_xlfn.LET(_xlpm.v,
VLOOKUP($I396,効果!$A:$B,COLUMN(効果!B$1),FALSE),
IF(_xlpm.v=0,"",_xlpm.v)
),"")</f>
        <v/>
      </c>
      <c r="L396" s="15" t="str">
        <f>IF(OR(COUNTIF(クラス!$A$1:$A$1034, $B396),$B396="",COUNTIF(スキル一覧!$A$1:$A$3500, $B396)), "", "存在しない")</f>
        <v/>
      </c>
      <c r="M396" s="2" t="str">
        <f>IF(COUNTIF($B$1:$C395, $B396), "", "存在しない")</f>
        <v>存在しない</v>
      </c>
      <c r="N396" s="2" t="s">
        <v>1258</v>
      </c>
    </row>
    <row r="397" spans="1:14" collapsed="1" x14ac:dyDescent="0.4">
      <c r="J397" s="6" t="str">
        <f>IFERROR(_xlfn.LET(_xlpm.v,
VLOOKUP($I397,効果!$A:$B,COLUMN(効果!B$1),FALSE),
IF(_xlpm.v=0,"",_xlpm.v)
),"")</f>
        <v/>
      </c>
      <c r="L397" s="15" t="str">
        <f>IF(OR(COUNTIF(クラス!$A$1:$A$1034, $B397),$B397="",COUNTIF(スキル一覧!$A$1:$A$3500, $B397)), "", "存在しない")</f>
        <v/>
      </c>
      <c r="M397" s="2" t="str">
        <f>IF(COUNTIF($B$1:$C396, $B397), "", "存在しない")</f>
        <v>存在しない</v>
      </c>
      <c r="N397" s="2" t="s">
        <v>1258</v>
      </c>
    </row>
    <row r="398" spans="1:14" x14ac:dyDescent="0.4">
      <c r="B398" s="2" t="s">
        <v>70</v>
      </c>
      <c r="D398" s="2" t="s">
        <v>149</v>
      </c>
      <c r="J398" s="6" t="str">
        <f>IFERROR(_xlfn.LET(_xlpm.v,
VLOOKUP($I398,効果!$A:$B,COLUMN(効果!B$1),FALSE),
IF(_xlpm.v=0,"",_xlpm.v)
),"")</f>
        <v/>
      </c>
      <c r="L398" s="15" t="str">
        <f>IF(OR(COUNTIF(クラス!$A$1:$A$1034, $B398),$B398="",COUNTIF(スキル一覧!$A$1:$A$3500, $B398)), "", "存在しない")</f>
        <v/>
      </c>
      <c r="M398" s="2" t="str">
        <f>IF(COUNTIF($B$1:$C397, $B398), "", "存在しない")</f>
        <v>存在しない</v>
      </c>
      <c r="N398" s="2" t="s">
        <v>1258</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IF(OR(COUNTIF(クラス!$A$1:$A$1034, $B399),$B399="",COUNTIF(スキル一覧!$A$1:$A$3500, $B399)), "", "存在しない")</f>
        <v/>
      </c>
      <c r="M399" s="2" t="str">
        <f>IF(COUNTIF($B$1:$C398, $B399), "", "存在しない")</f>
        <v>存在しない</v>
      </c>
      <c r="N399" s="2" t="s">
        <v>1258</v>
      </c>
    </row>
    <row r="400" spans="1:14" hidden="1" outlineLevel="1" x14ac:dyDescent="0.4">
      <c r="A400" s="2">
        <v>2</v>
      </c>
      <c r="J400" s="6" t="str">
        <f>IFERROR(_xlfn.LET(_xlpm.v,
VLOOKUP($I400,効果!$A:$B,COLUMN(効果!B$1),FALSE),
IF(_xlpm.v=0,"",_xlpm.v)
),"")</f>
        <v/>
      </c>
      <c r="L400" s="15" t="str">
        <f>IF(OR(COUNTIF(クラス!$A$1:$A$1034, $B400),$B400="",COUNTIF(スキル一覧!$A$1:$A$3500, $B400)), "", "存在しない")</f>
        <v/>
      </c>
      <c r="M400" s="2" t="str">
        <f>IF(COUNTIF($B$1:$C399, $B400), "", "存在しない")</f>
        <v>存在しない</v>
      </c>
      <c r="N400" s="2" t="s">
        <v>1258</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IF(OR(COUNTIF(クラス!$A$1:$A$1034, $B401),$B401="",COUNTIF(スキル一覧!$A$1:$A$3500, $B401)), "", "存在しない")</f>
        <v/>
      </c>
      <c r="M401" s="2" t="str">
        <f>IF(COUNTIF($B$1:$C400, $B401), "", "存在しない")</f>
        <v/>
      </c>
      <c r="N401" s="2" t="s">
        <v>1258</v>
      </c>
    </row>
    <row r="402" spans="1:14" hidden="1" outlineLevel="1" x14ac:dyDescent="0.4">
      <c r="A402" s="2">
        <v>4</v>
      </c>
      <c r="J402" s="6" t="str">
        <f>IFERROR(_xlfn.LET(_xlpm.v,
VLOOKUP($I402,効果!$A:$B,COLUMN(効果!B$1),FALSE),
IF(_xlpm.v=0,"",_xlpm.v)
),"")</f>
        <v/>
      </c>
      <c r="L402" s="15" t="str">
        <f>IF(OR(COUNTIF(クラス!$A$1:$A$1034, $B402),$B402="",COUNTIF(スキル一覧!$A$1:$A$3500, $B402)), "", "存在しない")</f>
        <v/>
      </c>
      <c r="M402" s="2" t="str">
        <f>IF(COUNTIF($B$1:$C401, $B402), "", "存在しない")</f>
        <v>存在しない</v>
      </c>
      <c r="N402" s="2" t="s">
        <v>1258</v>
      </c>
    </row>
    <row r="403" spans="1:14" hidden="1" outlineLevel="1" x14ac:dyDescent="0.4">
      <c r="A403" s="2">
        <v>5</v>
      </c>
      <c r="J403" s="6" t="str">
        <f>IFERROR(_xlfn.LET(_xlpm.v,
VLOOKUP($I403,効果!$A:$B,COLUMN(効果!B$1),FALSE),
IF(_xlpm.v=0,"",_xlpm.v)
),"")</f>
        <v/>
      </c>
      <c r="L403" s="15" t="str">
        <f>IF(OR(COUNTIF(クラス!$A$1:$A$1034, $B403),$B403="",COUNTIF(スキル一覧!$A$1:$A$3500, $B403)), "", "存在しない")</f>
        <v/>
      </c>
      <c r="M403" s="2" t="str">
        <f>IF(COUNTIF($B$1:$C402, $B403), "", "存在しない")</f>
        <v>存在しない</v>
      </c>
      <c r="N403" s="2" t="s">
        <v>1258</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IF(OR(COUNTIF(クラス!$A$1:$A$1034, $B404),$B404="",COUNTIF(スキル一覧!$A$1:$A$3500, $B404)), "", "存在しない")</f>
        <v/>
      </c>
      <c r="M404" s="2" t="str">
        <f>IF(COUNTIF($B$1:$C403, $B404), "", "存在しない")</f>
        <v>存在しない</v>
      </c>
      <c r="N404" s="2" t="s">
        <v>1258</v>
      </c>
    </row>
    <row r="405" spans="1:14" hidden="1" outlineLevel="1" x14ac:dyDescent="0.4">
      <c r="A405" s="2">
        <v>7</v>
      </c>
      <c r="J405" s="6" t="str">
        <f>IFERROR(_xlfn.LET(_xlpm.v,
VLOOKUP($I405,効果!$A:$B,COLUMN(効果!B$1),FALSE),
IF(_xlpm.v=0,"",_xlpm.v)
),"")</f>
        <v/>
      </c>
      <c r="L405" s="15" t="str">
        <f>IF(OR(COUNTIF(クラス!$A$1:$A$1034, $B405),$B405="",COUNTIF(スキル一覧!$A$1:$A$3500, $B405)), "", "存在しない")</f>
        <v/>
      </c>
      <c r="M405" s="2" t="str">
        <f>IF(COUNTIF($B$1:$C404, $B405), "", "存在しない")</f>
        <v>存在しない</v>
      </c>
      <c r="N405" s="2" t="s">
        <v>1258</v>
      </c>
    </row>
    <row r="406" spans="1:14" hidden="1" outlineLevel="1" x14ac:dyDescent="0.4">
      <c r="A406" s="2">
        <v>8</v>
      </c>
      <c r="J406" s="6" t="str">
        <f>IFERROR(_xlfn.LET(_xlpm.v,
VLOOKUP($I406,効果!$A:$B,COLUMN(効果!B$1),FALSE),
IF(_xlpm.v=0,"",_xlpm.v)
),"")</f>
        <v/>
      </c>
      <c r="L406" s="15" t="str">
        <f>IF(OR(COUNTIF(クラス!$A$1:$A$1034, $B406),$B406="",COUNTIF(スキル一覧!$A$1:$A$3500, $B406)), "", "存在しない")</f>
        <v/>
      </c>
      <c r="M406" s="2" t="str">
        <f>IF(COUNTIF($B$1:$C405, $B406), "", "存在しない")</f>
        <v>存在しない</v>
      </c>
      <c r="N406" s="2" t="s">
        <v>1258</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IF(OR(COUNTIF(クラス!$A$1:$A$1034, $B407),$B407="",COUNTIF(スキル一覧!$A$1:$A$3500, $B407)), "", "存在しない")</f>
        <v/>
      </c>
      <c r="M407" s="2" t="str">
        <f>IF(COUNTIF($B$1:$C406, $B407), "", "存在しない")</f>
        <v>存在しない</v>
      </c>
      <c r="N407" s="2" t="s">
        <v>1258</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IF(OR(COUNTIF(クラス!$A$1:$A$1034, $B408),$B408="",COUNTIF(スキル一覧!$A$1:$A$3500, $B408)), "", "存在しない")</f>
        <v/>
      </c>
      <c r="M408" s="2" t="str">
        <f>IF(COUNTIF($B$1:$C407, $B408), "", "存在しない")</f>
        <v>存在しない</v>
      </c>
      <c r="N408" s="2" t="s">
        <v>1258</v>
      </c>
    </row>
    <row r="409" spans="1:14" hidden="1" outlineLevel="1" x14ac:dyDescent="0.4">
      <c r="J409" s="6" t="str">
        <f>IFERROR(_xlfn.LET(_xlpm.v,
VLOOKUP($I409,効果!$A:$B,COLUMN(効果!B$1),FALSE),
IF(_xlpm.v=0,"",_xlpm.v)
),"")</f>
        <v/>
      </c>
      <c r="L409" s="15" t="str">
        <f>IF(OR(COUNTIF(クラス!$A$1:$A$1034, $B409),$B409="",COUNTIF(スキル一覧!$A$1:$A$3500, $B409)), "", "存在しない")</f>
        <v/>
      </c>
      <c r="M409" s="2" t="str">
        <f>IF(COUNTIF($B$1:$C408, $B409), "", "存在しない")</f>
        <v>存在しない</v>
      </c>
      <c r="N409" s="2" t="s">
        <v>1258</v>
      </c>
    </row>
    <row r="410" spans="1:14" collapsed="1" x14ac:dyDescent="0.4">
      <c r="J410" s="6" t="str">
        <f>IFERROR(_xlfn.LET(_xlpm.v,
VLOOKUP($I410,効果!$A:$B,COLUMN(効果!B$1),FALSE),
IF(_xlpm.v=0,"",_xlpm.v)
),"")</f>
        <v/>
      </c>
      <c r="L410" s="15" t="str">
        <f>IF(OR(COUNTIF(クラス!$A$1:$A$1034, $B410),$B410="",COUNTIF(スキル一覧!$A$1:$A$3500, $B410)), "", "存在しない")</f>
        <v/>
      </c>
      <c r="M410" s="2" t="str">
        <f>IF(COUNTIF($B$1:$C409, $B410), "", "存在しない")</f>
        <v>存在しない</v>
      </c>
      <c r="N410" s="2" t="s">
        <v>1258</v>
      </c>
    </row>
    <row r="411" spans="1:14" x14ac:dyDescent="0.4">
      <c r="B411" s="2" t="s">
        <v>907</v>
      </c>
      <c r="D411" s="2" t="s">
        <v>908</v>
      </c>
      <c r="J411" s="6" t="str">
        <f>IFERROR(_xlfn.LET(_xlpm.v,
VLOOKUP($I411,効果!$A:$B,COLUMN(効果!B$1),FALSE),
IF(_xlpm.v=0,"",_xlpm.v)
),"")</f>
        <v/>
      </c>
      <c r="L411" s="15" t="str">
        <f>IF(OR(COUNTIF(クラス!$A$1:$A$1034, $B411),$B411="",COUNTIF(スキル一覧!$A$1:$A$3500, $B411)), "", "存在しない")</f>
        <v/>
      </c>
      <c r="M411" s="2" t="str">
        <f>IF(COUNTIF($B$1:$C410, $B411), "", "存在しない")</f>
        <v>存在しない</v>
      </c>
      <c r="N411" s="2" t="s">
        <v>1258</v>
      </c>
    </row>
    <row r="412" spans="1:14" ht="36" hidden="1" outlineLevel="1" x14ac:dyDescent="0.4">
      <c r="A412" s="2">
        <v>1</v>
      </c>
      <c r="B412" s="2" t="s">
        <v>909</v>
      </c>
      <c r="D412" s="2" t="s">
        <v>896</v>
      </c>
      <c r="E412" s="13" t="s">
        <v>129</v>
      </c>
      <c r="G412" s="19">
        <v>60</v>
      </c>
      <c r="H412" s="10" t="s">
        <v>915</v>
      </c>
      <c r="J412" s="6" t="str">
        <f>IFERROR(_xlfn.LET(_xlpm.v,
VLOOKUP($I412,効果!$A:$B,COLUMN(効果!B$1),FALSE),
IF(_xlpm.v=0,"",_xlpm.v)
),"")</f>
        <v/>
      </c>
      <c r="L412" s="15" t="str">
        <f>IF(OR(COUNTIF(クラス!$A$1:$A$1034,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IF(OR(COUNTIF(クラス!$A$1:$A$1034, $B413),$B413="",COUNTIF(スキル一覧!$A$1:$A$3500, $B413)), "", "存在しない")</f>
        <v/>
      </c>
      <c r="M413" s="2" t="str">
        <f>IF(COUNTIF($B$1:$C412, $B413), "", "存在しない")</f>
        <v>存在しない</v>
      </c>
      <c r="N413" s="2" t="s">
        <v>1258</v>
      </c>
    </row>
    <row r="414" spans="1:14" hidden="1" outlineLevel="1" x14ac:dyDescent="0.4">
      <c r="A414" s="2">
        <v>3</v>
      </c>
      <c r="B414" s="2" t="s">
        <v>914</v>
      </c>
      <c r="E414" s="13" t="s">
        <v>130</v>
      </c>
      <c r="H414" s="10" t="s">
        <v>913</v>
      </c>
      <c r="J414" s="6" t="str">
        <f>IFERROR(_xlfn.LET(_xlpm.v,
VLOOKUP($I414,効果!$A:$B,COLUMN(効果!B$1),FALSE),
IF(_xlpm.v=0,"",_xlpm.v)
),"")</f>
        <v/>
      </c>
      <c r="L414" s="15" t="str">
        <f>IF(OR(COUNTIF(クラス!$A$1:$A$1034,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IF(OR(COUNTIF(クラス!$A$1:$A$1034, $B415),$B415="",COUNTIF(スキル一覧!$A$1:$A$3500, $B415)), "", "存在しない")</f>
        <v/>
      </c>
      <c r="M415" s="2" t="str">
        <f>IF(COUNTIF($B$1:$C414, $B415), "", "存在しない")</f>
        <v>存在しない</v>
      </c>
      <c r="N415" s="2" t="s">
        <v>1258</v>
      </c>
    </row>
    <row r="416" spans="1:14" hidden="1" outlineLevel="1" x14ac:dyDescent="0.4">
      <c r="A416" s="2">
        <v>5</v>
      </c>
      <c r="J416" s="6" t="str">
        <f>IFERROR(_xlfn.LET(_xlpm.v,
VLOOKUP($I416,効果!$A:$B,COLUMN(効果!B$1),FALSE),
IF(_xlpm.v=0,"",_xlpm.v)
),"")</f>
        <v/>
      </c>
      <c r="L416" s="15" t="str">
        <f>IF(OR(COUNTIF(クラス!$A$1:$A$1034, $B416),$B416="",COUNTIF(スキル一覧!$A$1:$A$3500, $B416)), "", "存在しない")</f>
        <v/>
      </c>
      <c r="M416" s="2" t="str">
        <f>IF(COUNTIF($B$1:$C415, $B416), "", "存在しない")</f>
        <v>存在しない</v>
      </c>
      <c r="N416" s="2" t="s">
        <v>1258</v>
      </c>
    </row>
    <row r="417" spans="1:14" hidden="1" outlineLevel="1" x14ac:dyDescent="0.4">
      <c r="A417" s="2">
        <v>6</v>
      </c>
      <c r="B417" s="2" t="s">
        <v>910</v>
      </c>
      <c r="E417" s="13" t="s">
        <v>130</v>
      </c>
      <c r="H417" s="10" t="str">
        <f>"条件系統:"&amp;D411&amp;" 魔力+30"</f>
        <v>条件系統:水 魔力+30</v>
      </c>
      <c r="J417" s="6" t="str">
        <f>IFERROR(_xlfn.LET(_xlpm.v,
VLOOKUP($I417,効果!$A:$B,COLUMN(効果!B$1),FALSE),
IF(_xlpm.v=0,"",_xlpm.v)
),"")</f>
        <v/>
      </c>
      <c r="L417" s="15" t="str">
        <f>IF(OR(COUNTIF(クラス!$A$1:$A$1034,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IF(OR(COUNTIF(クラス!$A$1:$A$1034, $B418),$B418="",COUNTIF(スキル一覧!$A$1:$A$3500, $B418)), "", "存在しない")</f>
        <v/>
      </c>
      <c r="M418" s="2" t="str">
        <f>IF(COUNTIF($B$1:$C417, $B418), "", "存在しない")</f>
        <v>存在しない</v>
      </c>
      <c r="N418" s="2" t="s">
        <v>1258</v>
      </c>
    </row>
    <row r="419" spans="1:14" hidden="1" outlineLevel="1" x14ac:dyDescent="0.4">
      <c r="A419" s="2">
        <v>8</v>
      </c>
      <c r="J419" s="6" t="str">
        <f>IFERROR(_xlfn.LET(_xlpm.v,
VLOOKUP($I419,効果!$A:$B,COLUMN(効果!B$1),FALSE),
IF(_xlpm.v=0,"",_xlpm.v)
),"")</f>
        <v/>
      </c>
      <c r="L419" s="15" t="str">
        <f>IF(OR(COUNTIF(クラス!$A$1:$A$1034, $B419),$B419="",COUNTIF(スキル一覧!$A$1:$A$3500, $B419)), "", "存在しない")</f>
        <v/>
      </c>
      <c r="M419" s="2" t="str">
        <f>IF(COUNTIF($B$1:$C418, $B419), "", "存在しない")</f>
        <v>存在しない</v>
      </c>
      <c r="N419" s="2" t="s">
        <v>1258</v>
      </c>
    </row>
    <row r="420" spans="1:14" hidden="1" outlineLevel="1" x14ac:dyDescent="0.4">
      <c r="A420" s="2">
        <v>9</v>
      </c>
      <c r="B420" s="2" t="s">
        <v>911</v>
      </c>
      <c r="E420" s="13" t="s">
        <v>130</v>
      </c>
      <c r="H420" s="10" t="str">
        <f>"条件系統:"&amp;D411&amp;" 攻撃+30"</f>
        <v>条件系統:水 攻撃+30</v>
      </c>
      <c r="J420" s="6" t="str">
        <f>IFERROR(_xlfn.LET(_xlpm.v,
VLOOKUP($I420,効果!$A:$B,COLUMN(効果!B$1),FALSE),
IF(_xlpm.v=0,"",_xlpm.v)
),"")</f>
        <v/>
      </c>
      <c r="L420" s="15" t="str">
        <f>IF(OR(COUNTIF(クラス!$A$1:$A$1034,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912</v>
      </c>
      <c r="D421" s="2" t="s">
        <v>896</v>
      </c>
      <c r="E421" s="13" t="s">
        <v>129</v>
      </c>
      <c r="G421" s="19">
        <v>80</v>
      </c>
      <c r="H421" s="10" t="s">
        <v>916</v>
      </c>
      <c r="I421" s="6" t="s">
        <v>425</v>
      </c>
      <c r="J421" s="6" t="str">
        <f>IFERROR(_xlfn.LET(_xlpm.v,
VLOOKUP($I421,効果!$A:$B,COLUMN(効果!B$1),FALSE),
IF(_xlpm.v=0,"",_xlpm.v)
),"")</f>
        <v>対象を後方へ移動させる</v>
      </c>
      <c r="L421" s="15" t="str">
        <f>IF(OR(COUNTIF(クラス!$A$1:$A$1034,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IF(OR(COUNTIF(クラス!$A$1:$A$1034, $B422),$B422="",COUNTIF(スキル一覧!$A$1:$A$3500, $B422)), "", "存在しない")</f>
        <v/>
      </c>
      <c r="M422" s="2" t="str">
        <f>IF(COUNTIF($B$1:$C421, $B422), "", "存在しない")</f>
        <v>存在しない</v>
      </c>
      <c r="N422" s="2" t="s">
        <v>1258</v>
      </c>
    </row>
    <row r="423" spans="1:14" collapsed="1" x14ac:dyDescent="0.4">
      <c r="J423" s="6" t="str">
        <f>IFERROR(_xlfn.LET(_xlpm.v,
VLOOKUP($I423,効果!$A:$B,COLUMN(効果!B$1),FALSE),
IF(_xlpm.v=0,"",_xlpm.v)
),"")</f>
        <v/>
      </c>
      <c r="L423" s="15" t="str">
        <f>IF(OR(COUNTIF(クラス!$A$1:$A$1034, $B423),$B423="",COUNTIF(スキル一覧!$A$1:$A$3500, $B423)), "", "存在しない")</f>
        <v/>
      </c>
      <c r="M423" s="2" t="str">
        <f>IF(COUNTIF($B$1:$C422, $B423), "", "存在しない")</f>
        <v>存在しない</v>
      </c>
      <c r="N423" s="2" t="s">
        <v>1258</v>
      </c>
    </row>
    <row r="424" spans="1:14" x14ac:dyDescent="0.4">
      <c r="B424" s="2" t="s">
        <v>72</v>
      </c>
      <c r="D424" s="2" t="s">
        <v>281</v>
      </c>
      <c r="E424" s="13" t="s">
        <v>140</v>
      </c>
      <c r="J424" s="6" t="str">
        <f>IFERROR(_xlfn.LET(_xlpm.v,
VLOOKUP($I424,効果!$A:$B,COLUMN(効果!B$1),FALSE),
IF(_xlpm.v=0,"",_xlpm.v)
),"")</f>
        <v/>
      </c>
      <c r="L424" s="15" t="str">
        <f>IF(OR(COUNTIF(クラス!$A$1:$A$1034, $B424),$B424="",COUNTIF(スキル一覧!$A$1:$A$3500, $B424)), "", "存在しない")</f>
        <v/>
      </c>
      <c r="M424" s="2" t="str">
        <f>IF(COUNTIF($B$1:$C423, $B424), "", "存在しない")</f>
        <v>存在しない</v>
      </c>
      <c r="N424" s="2" t="s">
        <v>1258</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IF(OR(COUNTIF(クラス!$A$1:$A$1034, $B425),$B425="",COUNTIF(スキル一覧!$A$1:$A$3500, $B425)), "", "存在しない")</f>
        <v/>
      </c>
      <c r="M425" s="2" t="str">
        <f>IF(COUNTIF($B$1:$C424, $B425), "", "存在しない")</f>
        <v>存在しない</v>
      </c>
      <c r="N425" s="2" t="s">
        <v>1258</v>
      </c>
    </row>
    <row r="426" spans="1:14" hidden="1" outlineLevel="1" x14ac:dyDescent="0.4">
      <c r="A426" s="2">
        <v>2</v>
      </c>
      <c r="J426" s="6" t="str">
        <f>IFERROR(_xlfn.LET(_xlpm.v,
VLOOKUP($I426,効果!$A:$B,COLUMN(効果!B$1),FALSE),
IF(_xlpm.v=0,"",_xlpm.v)
),"")</f>
        <v/>
      </c>
      <c r="L426" s="15" t="str">
        <f>IF(OR(COUNTIF(クラス!$A$1:$A$1034, $B426),$B426="",COUNTIF(スキル一覧!$A$1:$A$3500, $B426)), "", "存在しない")</f>
        <v/>
      </c>
      <c r="M426" s="2" t="str">
        <f>IF(COUNTIF($B$1:$C425, $B426), "", "存在しない")</f>
        <v>存在しない</v>
      </c>
      <c r="N426" s="2" t="s">
        <v>1258</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IF(OR(COUNTIF(クラス!$A$1:$A$1034, $B427),$B427="",COUNTIF(スキル一覧!$A$1:$A$3500, $B427)), "", "存在しない")</f>
        <v/>
      </c>
      <c r="M427" s="2" t="str">
        <f>IF(COUNTIF($B$1:$C426, $B427), "", "存在しない")</f>
        <v/>
      </c>
      <c r="N427" s="2" t="s">
        <v>1258</v>
      </c>
    </row>
    <row r="428" spans="1:14" hidden="1" outlineLevel="1" x14ac:dyDescent="0.4">
      <c r="A428" s="2">
        <v>4</v>
      </c>
      <c r="J428" s="6" t="str">
        <f>IFERROR(_xlfn.LET(_xlpm.v,
VLOOKUP($I428,効果!$A:$B,COLUMN(効果!B$1),FALSE),
IF(_xlpm.v=0,"",_xlpm.v)
),"")</f>
        <v/>
      </c>
      <c r="L428" s="15" t="str">
        <f>IF(OR(COUNTIF(クラス!$A$1:$A$1034, $B428),$B428="",COUNTIF(スキル一覧!$A$1:$A$3500, $B428)), "", "存在しない")</f>
        <v/>
      </c>
      <c r="M428" s="2" t="str">
        <f>IF(COUNTIF($B$1:$C427, $B428), "", "存在しない")</f>
        <v>存在しない</v>
      </c>
      <c r="N428" s="2" t="s">
        <v>1258</v>
      </c>
    </row>
    <row r="429" spans="1:14" hidden="1" outlineLevel="1" x14ac:dyDescent="0.4">
      <c r="A429" s="2">
        <v>5</v>
      </c>
      <c r="J429" s="6" t="str">
        <f>IFERROR(_xlfn.LET(_xlpm.v,
VLOOKUP($I429,効果!$A:$B,COLUMN(効果!B$1),FALSE),
IF(_xlpm.v=0,"",_xlpm.v)
),"")</f>
        <v/>
      </c>
      <c r="L429" s="15" t="str">
        <f>IF(OR(COUNTIF(クラス!$A$1:$A$1034, $B429),$B429="",COUNTIF(スキル一覧!$A$1:$A$3500, $B429)), "", "存在しない")</f>
        <v/>
      </c>
      <c r="M429" s="2" t="str">
        <f>IF(COUNTIF($B$1:$C428, $B429), "", "存在しない")</f>
        <v>存在しない</v>
      </c>
      <c r="N429" s="2" t="s">
        <v>1258</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IF(OR(COUNTIF(クラス!$A$1:$A$1034, $B430),$B430="",COUNTIF(スキル一覧!$A$1:$A$3500, $B430)), "", "存在しない")</f>
        <v/>
      </c>
      <c r="M430" s="2" t="str">
        <f>IF(COUNTIF($B$1:$C429, $B430), "", "存在しない")</f>
        <v>存在しない</v>
      </c>
      <c r="N430" s="2" t="s">
        <v>1258</v>
      </c>
    </row>
    <row r="431" spans="1:14" hidden="1" outlineLevel="1" x14ac:dyDescent="0.4">
      <c r="A431" s="2">
        <v>7</v>
      </c>
      <c r="J431" s="6" t="str">
        <f>IFERROR(_xlfn.LET(_xlpm.v,
VLOOKUP($I431,効果!$A:$B,COLUMN(効果!B$1),FALSE),
IF(_xlpm.v=0,"",_xlpm.v)
),"")</f>
        <v/>
      </c>
      <c r="L431" s="15" t="str">
        <f>IF(OR(COUNTIF(クラス!$A$1:$A$1034, $B431),$B431="",COUNTIF(スキル一覧!$A$1:$A$3500, $B431)), "", "存在しない")</f>
        <v/>
      </c>
      <c r="M431" s="2" t="str">
        <f>IF(COUNTIF($B$1:$C430, $B431), "", "存在しない")</f>
        <v>存在しない</v>
      </c>
      <c r="N431" s="2" t="s">
        <v>1258</v>
      </c>
    </row>
    <row r="432" spans="1:14" hidden="1" outlineLevel="1" x14ac:dyDescent="0.4">
      <c r="A432" s="2">
        <v>8</v>
      </c>
      <c r="J432" s="6" t="str">
        <f>IFERROR(_xlfn.LET(_xlpm.v,
VLOOKUP($I432,効果!$A:$B,COLUMN(効果!B$1),FALSE),
IF(_xlpm.v=0,"",_xlpm.v)
),"")</f>
        <v/>
      </c>
      <c r="L432" s="15" t="str">
        <f>IF(OR(COUNTIF(クラス!$A$1:$A$1034, $B432),$B432="",COUNTIF(スキル一覧!$A$1:$A$3500, $B432)), "", "存在しない")</f>
        <v/>
      </c>
      <c r="M432" s="2" t="str">
        <f>IF(COUNTIF($B$1:$C431, $B432), "", "存在しない")</f>
        <v>存在しない</v>
      </c>
      <c r="N432" s="2" t="s">
        <v>1258</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IF(OR(COUNTIF(クラス!$A$1:$A$1034, $B433),$B433="",COUNTIF(スキル一覧!$A$1:$A$3500, $B433)), "", "存在しない")</f>
        <v/>
      </c>
      <c r="M433" s="2" t="str">
        <f>IF(COUNTIF($B$1:$C432, $B433), "", "存在しない")</f>
        <v>存在しない</v>
      </c>
      <c r="N433" s="2" t="s">
        <v>1258</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IF(OR(COUNTIF(クラス!$A$1:$A$1034, $B434),$B434="",COUNTIF(スキル一覧!$A$1:$A$3500, $B434)), "", "存在しない")</f>
        <v/>
      </c>
      <c r="M434" s="2" t="str">
        <f>IF(COUNTIF($B$1:$C433, $B434), "", "存在しない")</f>
        <v>存在しない</v>
      </c>
      <c r="N434" s="2" t="s">
        <v>1258</v>
      </c>
    </row>
    <row r="435" spans="1:14" hidden="1" outlineLevel="1" x14ac:dyDescent="0.4">
      <c r="J435" s="6" t="str">
        <f>IFERROR(_xlfn.LET(_xlpm.v,
VLOOKUP($I435,効果!$A:$B,COLUMN(効果!B$1),FALSE),
IF(_xlpm.v=0,"",_xlpm.v)
),"")</f>
        <v/>
      </c>
      <c r="L435" s="15" t="str">
        <f>IF(OR(COUNTIF(クラス!$A$1:$A$1034, $B435),$B435="",COUNTIF(スキル一覧!$A$1:$A$3500, $B435)), "", "存在しない")</f>
        <v/>
      </c>
      <c r="M435" s="2" t="str">
        <f>IF(COUNTIF($B$1:$C434, $B435), "", "存在しない")</f>
        <v>存在しない</v>
      </c>
      <c r="N435" s="2" t="s">
        <v>1258</v>
      </c>
    </row>
    <row r="436" spans="1:14" collapsed="1" x14ac:dyDescent="0.4">
      <c r="J436" s="6" t="str">
        <f>IFERROR(_xlfn.LET(_xlpm.v,
VLOOKUP($I436,効果!$A:$B,COLUMN(効果!B$1),FALSE),
IF(_xlpm.v=0,"",_xlpm.v)
),"")</f>
        <v/>
      </c>
      <c r="L436" s="15" t="str">
        <f>IF(OR(COUNTIF(クラス!$A$1:$A$1034, $B436),$B436="",COUNTIF(スキル一覧!$A$1:$A$3500, $B436)), "", "存在しない")</f>
        <v/>
      </c>
      <c r="M436" s="2" t="str">
        <f>IF(COUNTIF($B$1:$C435, $B436), "", "存在しない")</f>
        <v>存在しない</v>
      </c>
      <c r="N436" s="2" t="s">
        <v>1258</v>
      </c>
    </row>
    <row r="437" spans="1:14" x14ac:dyDescent="0.4">
      <c r="B437" s="2" t="s">
        <v>74</v>
      </c>
      <c r="D437" s="2" t="s">
        <v>282</v>
      </c>
      <c r="E437" s="13" t="s">
        <v>176</v>
      </c>
      <c r="J437" s="6" t="str">
        <f>IFERROR(_xlfn.LET(_xlpm.v,
VLOOKUP($I437,効果!$A:$B,COLUMN(効果!B$1),FALSE),
IF(_xlpm.v=0,"",_xlpm.v)
),"")</f>
        <v/>
      </c>
      <c r="L437" s="15" t="str">
        <f>IF(OR(COUNTIF(クラス!$A$1:$A$1034, $B437),$B437="",COUNTIF(スキル一覧!$A$1:$A$3500, $B437)), "", "存在しない")</f>
        <v/>
      </c>
      <c r="M437" s="2" t="str">
        <f>IF(COUNTIF($B$1:$C436, $B437), "", "存在しない")</f>
        <v>存在しない</v>
      </c>
      <c r="N437" s="2" t="s">
        <v>1258</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IF(OR(COUNTIF(クラス!$A$1:$A$1034, $B438),$B438="",COUNTIF(スキル一覧!$A$1:$A$3500, $B438)), "", "存在しない")</f>
        <v/>
      </c>
      <c r="M438" s="2" t="str">
        <f>IF(COUNTIF($B$1:$C437, $B438), "", "存在しない")</f>
        <v>存在しない</v>
      </c>
      <c r="N438" s="2" t="s">
        <v>1258</v>
      </c>
    </row>
    <row r="439" spans="1:14" hidden="1" outlineLevel="1" x14ac:dyDescent="0.4">
      <c r="A439" s="2">
        <v>2</v>
      </c>
      <c r="J439" s="6" t="str">
        <f>IFERROR(_xlfn.LET(_xlpm.v,
VLOOKUP($I439,効果!$A:$B,COLUMN(効果!B$1),FALSE),
IF(_xlpm.v=0,"",_xlpm.v)
),"")</f>
        <v/>
      </c>
      <c r="L439" s="15" t="str">
        <f>IF(OR(COUNTIF(クラス!$A$1:$A$1034, $B439),$B439="",COUNTIF(スキル一覧!$A$1:$A$3500, $B439)), "", "存在しない")</f>
        <v/>
      </c>
      <c r="M439" s="2" t="str">
        <f>IF(COUNTIF($B$1:$C438, $B439), "", "存在しない")</f>
        <v>存在しない</v>
      </c>
      <c r="N439" s="2" t="s">
        <v>1258</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IF(OR(COUNTIF(クラス!$A$1:$A$1034, $B440),$B440="",COUNTIF(スキル一覧!$A$1:$A$3500, $B440)), "", "存在しない")</f>
        <v/>
      </c>
      <c r="M440" s="2" t="str">
        <f>IF(COUNTIF($B$1:$C439, $B440), "", "存在しない")</f>
        <v/>
      </c>
      <c r="N440" s="2" t="s">
        <v>1258</v>
      </c>
    </row>
    <row r="441" spans="1:14" hidden="1" outlineLevel="1" x14ac:dyDescent="0.4">
      <c r="A441" s="2">
        <v>4</v>
      </c>
      <c r="J441" s="6" t="str">
        <f>IFERROR(_xlfn.LET(_xlpm.v,
VLOOKUP($I441,効果!$A:$B,COLUMN(効果!B$1),FALSE),
IF(_xlpm.v=0,"",_xlpm.v)
),"")</f>
        <v/>
      </c>
      <c r="L441" s="15" t="str">
        <f>IF(OR(COUNTIF(クラス!$A$1:$A$1034, $B441),$B441="",COUNTIF(スキル一覧!$A$1:$A$3500, $B441)), "", "存在しない")</f>
        <v/>
      </c>
      <c r="M441" s="2" t="str">
        <f>IF(COUNTIF($B$1:$C440, $B441), "", "存在しない")</f>
        <v>存在しない</v>
      </c>
      <c r="N441" s="2" t="s">
        <v>1258</v>
      </c>
    </row>
    <row r="442" spans="1:14" hidden="1" outlineLevel="1" x14ac:dyDescent="0.4">
      <c r="A442" s="2">
        <v>5</v>
      </c>
      <c r="J442" s="6" t="str">
        <f>IFERROR(_xlfn.LET(_xlpm.v,
VLOOKUP($I442,効果!$A:$B,COLUMN(効果!B$1),FALSE),
IF(_xlpm.v=0,"",_xlpm.v)
),"")</f>
        <v/>
      </c>
      <c r="L442" s="15" t="str">
        <f>IF(OR(COUNTIF(クラス!$A$1:$A$1034, $B442),$B442="",COUNTIF(スキル一覧!$A$1:$A$3500, $B442)), "", "存在しない")</f>
        <v/>
      </c>
      <c r="M442" s="2" t="str">
        <f>IF(COUNTIF($B$1:$C441, $B442), "", "存在しない")</f>
        <v>存在しない</v>
      </c>
      <c r="N442" s="2" t="s">
        <v>1258</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IF(OR(COUNTIF(クラス!$A$1:$A$1034, $B443),$B443="",COUNTIF(スキル一覧!$A$1:$A$3500, $B443)), "", "存在しない")</f>
        <v/>
      </c>
      <c r="M443" s="2" t="str">
        <f>IF(COUNTIF($B$1:$C442, $B443), "", "存在しない")</f>
        <v>存在しない</v>
      </c>
      <c r="N443" s="2" t="s">
        <v>1258</v>
      </c>
    </row>
    <row r="444" spans="1:14" hidden="1" outlineLevel="1" x14ac:dyDescent="0.4">
      <c r="A444" s="2">
        <v>7</v>
      </c>
      <c r="J444" s="6" t="str">
        <f>IFERROR(_xlfn.LET(_xlpm.v,
VLOOKUP($I444,効果!$A:$B,COLUMN(効果!B$1),FALSE),
IF(_xlpm.v=0,"",_xlpm.v)
),"")</f>
        <v/>
      </c>
      <c r="L444" s="15" t="str">
        <f>IF(OR(COUNTIF(クラス!$A$1:$A$1034, $B444),$B444="",COUNTIF(スキル一覧!$A$1:$A$3500, $B444)), "", "存在しない")</f>
        <v/>
      </c>
      <c r="M444" s="2" t="str">
        <f>IF(COUNTIF($B$1:$C443, $B444), "", "存在しない")</f>
        <v>存在しない</v>
      </c>
      <c r="N444" s="2" t="s">
        <v>1258</v>
      </c>
    </row>
    <row r="445" spans="1:14" hidden="1" outlineLevel="1" x14ac:dyDescent="0.4">
      <c r="A445" s="2">
        <v>8</v>
      </c>
      <c r="J445" s="6" t="str">
        <f>IFERROR(_xlfn.LET(_xlpm.v,
VLOOKUP($I445,効果!$A:$B,COLUMN(効果!B$1),FALSE),
IF(_xlpm.v=0,"",_xlpm.v)
),"")</f>
        <v/>
      </c>
      <c r="L445" s="15" t="str">
        <f>IF(OR(COUNTIF(クラス!$A$1:$A$1034, $B445),$B445="",COUNTIF(スキル一覧!$A$1:$A$3500, $B445)), "", "存在しない")</f>
        <v/>
      </c>
      <c r="M445" s="2" t="str">
        <f>IF(COUNTIF($B$1:$C444, $B445), "", "存在しない")</f>
        <v>存在しない</v>
      </c>
      <c r="N445" s="2" t="s">
        <v>1258</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IF(OR(COUNTIF(クラス!$A$1:$A$1034, $B446),$B446="",COUNTIF(スキル一覧!$A$1:$A$3500, $B446)), "", "存在しない")</f>
        <v/>
      </c>
      <c r="M446" s="2" t="str">
        <f>IF(COUNTIF($B$1:$C445, $B446), "", "存在しない")</f>
        <v>存在しない</v>
      </c>
      <c r="N446" s="2" t="s">
        <v>1258</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IF(OR(COUNTIF(クラス!$A$1:$A$1034, $B447),$B447="",COUNTIF(スキル一覧!$A$1:$A$3500, $B447)), "", "存在しない")</f>
        <v/>
      </c>
      <c r="M447" s="2" t="str">
        <f>IF(COUNTIF($B$1:$C446, $B447), "", "存在しない")</f>
        <v>存在しない</v>
      </c>
      <c r="N447" s="2" t="s">
        <v>1258</v>
      </c>
    </row>
    <row r="448" spans="1:14" hidden="1" outlineLevel="1" x14ac:dyDescent="0.4">
      <c r="J448" s="6" t="str">
        <f>IFERROR(_xlfn.LET(_xlpm.v,
VLOOKUP($I448,効果!$A:$B,COLUMN(効果!B$1),FALSE),
IF(_xlpm.v=0,"",_xlpm.v)
),"")</f>
        <v/>
      </c>
      <c r="L448" s="15" t="str">
        <f>IF(OR(COUNTIF(クラス!$A$1:$A$1034, $B448),$B448="",COUNTIF(スキル一覧!$A$1:$A$3500, $B448)), "", "存在しない")</f>
        <v/>
      </c>
      <c r="M448" s="2" t="str">
        <f>IF(COUNTIF($B$1:$C447, $B448), "", "存在しない")</f>
        <v>存在しない</v>
      </c>
      <c r="N448" s="2" t="s">
        <v>1258</v>
      </c>
    </row>
    <row r="449" spans="1:14" collapsed="1" x14ac:dyDescent="0.4">
      <c r="J449" s="6" t="str">
        <f>IFERROR(_xlfn.LET(_xlpm.v,
VLOOKUP($I449,効果!$A:$B,COLUMN(効果!B$1),FALSE),
IF(_xlpm.v=0,"",_xlpm.v)
),"")</f>
        <v/>
      </c>
      <c r="L449" s="15" t="str">
        <f>IF(OR(COUNTIF(クラス!$A$1:$A$1034, $B449),$B449="",COUNTIF(スキル一覧!$A$1:$A$3500, $B449)), "", "存在しない")</f>
        <v/>
      </c>
      <c r="M449" s="2" t="str">
        <f>IF(COUNTIF($B$1:$C448, $B449), "", "存在しない")</f>
        <v>存在しない</v>
      </c>
      <c r="N449" s="2" t="s">
        <v>1258</v>
      </c>
    </row>
    <row r="450" spans="1:14" x14ac:dyDescent="0.4">
      <c r="B450" s="2" t="s">
        <v>197</v>
      </c>
      <c r="J450" s="6" t="str">
        <f>IFERROR(_xlfn.LET(_xlpm.v,
VLOOKUP($I450,効果!$A:$B,COLUMN(効果!B$1),FALSE),
IF(_xlpm.v=0,"",_xlpm.v)
),"")</f>
        <v/>
      </c>
      <c r="L450" s="15" t="str">
        <f>IF(OR(COUNTIF(クラス!$A$1:$A$1034, $B450),$B450="",COUNTIF(スキル一覧!$A$1:$A$3500, $B450)), "", "存在しない")</f>
        <v/>
      </c>
      <c r="M450" s="2" t="str">
        <f>IF(COUNTIF($B$1:$C449, $B450), "", "存在しない")</f>
        <v>存在しない</v>
      </c>
      <c r="N450" s="2" t="s">
        <v>1258</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IF(OR(COUNTIF(クラス!$A$1:$A$1034, $B451),$B451="",COUNTIF(スキル一覧!$A$1:$A$3500, $B451)), "", "存在しない")</f>
        <v/>
      </c>
      <c r="M451" s="2" t="str">
        <f>IF(COUNTIF($B$1:$C450, $B451), "", "存在しない")</f>
        <v/>
      </c>
      <c r="N451" s="2" t="s">
        <v>1258</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IF(OR(COUNTIF(クラス!$A$1:$A$1034, $B452),$B452="",COUNTIF(スキル一覧!$A$1:$A$3500, $B452)), "", "存在しない")</f>
        <v/>
      </c>
      <c r="M452" s="2" t="str">
        <f>IF(COUNTIF($B$1:$C451, $B452), "", "存在しない")</f>
        <v/>
      </c>
      <c r="N452" s="2" t="s">
        <v>1258</v>
      </c>
    </row>
    <row r="453" spans="1:14" hidden="1" outlineLevel="1" x14ac:dyDescent="0.4">
      <c r="A453" s="2">
        <v>3</v>
      </c>
      <c r="E453" s="13" t="s">
        <v>130</v>
      </c>
      <c r="J453" s="6" t="str">
        <f>IFERROR(_xlfn.LET(_xlpm.v,
VLOOKUP($I453,効果!$A:$B,COLUMN(効果!B$1),FALSE),
IF(_xlpm.v=0,"",_xlpm.v)
),"")</f>
        <v/>
      </c>
      <c r="L453" s="15" t="str">
        <f>IF(OR(COUNTIF(クラス!$A$1:$A$1034, $B453),$B453="",COUNTIF(スキル一覧!$A$1:$A$3500, $B453)), "", "存在しない")</f>
        <v/>
      </c>
      <c r="M453" s="2" t="str">
        <f>IF(COUNTIF($B$1:$C452, $B453), "", "存在しない")</f>
        <v>存在しない</v>
      </c>
      <c r="N453" s="2" t="s">
        <v>1258</v>
      </c>
    </row>
    <row r="454" spans="1:14" hidden="1" outlineLevel="1" x14ac:dyDescent="0.4">
      <c r="A454" s="2">
        <v>4</v>
      </c>
      <c r="J454" s="6" t="str">
        <f>IFERROR(_xlfn.LET(_xlpm.v,
VLOOKUP($I454,効果!$A:$B,COLUMN(効果!B$1),FALSE),
IF(_xlpm.v=0,"",_xlpm.v)
),"")</f>
        <v/>
      </c>
      <c r="L454" s="15" t="str">
        <f>IF(OR(COUNTIF(クラス!$A$1:$A$1034, $B454),$B454="",COUNTIF(スキル一覧!$A$1:$A$3500, $B454)), "", "存在しない")</f>
        <v/>
      </c>
      <c r="M454" s="2" t="str">
        <f>IF(COUNTIF($B$1:$C453, $B454), "", "存在しない")</f>
        <v>存在しない</v>
      </c>
      <c r="N454" s="2" t="s">
        <v>1258</v>
      </c>
    </row>
    <row r="455" spans="1:14" hidden="1" outlineLevel="1" x14ac:dyDescent="0.4">
      <c r="A455" s="2">
        <v>5</v>
      </c>
      <c r="J455" s="6" t="str">
        <f>IFERROR(_xlfn.LET(_xlpm.v,
VLOOKUP($I455,効果!$A:$B,COLUMN(効果!B$1),FALSE),
IF(_xlpm.v=0,"",_xlpm.v)
),"")</f>
        <v/>
      </c>
      <c r="L455" s="15" t="str">
        <f>IF(OR(COUNTIF(クラス!$A$1:$A$1034, $B455),$B455="",COUNTIF(スキル一覧!$A$1:$A$3500, $B455)), "", "存在しない")</f>
        <v/>
      </c>
      <c r="M455" s="2" t="str">
        <f>IF(COUNTIF($B$1:$C454, $B455), "", "存在しない")</f>
        <v>存在しない</v>
      </c>
      <c r="N455" s="2" t="s">
        <v>1258</v>
      </c>
    </row>
    <row r="456" spans="1:14" hidden="1" outlineLevel="1" x14ac:dyDescent="0.4">
      <c r="A456" s="2">
        <v>6</v>
      </c>
      <c r="E456" s="13" t="s">
        <v>130</v>
      </c>
      <c r="J456" s="6" t="str">
        <f>IFERROR(_xlfn.LET(_xlpm.v,
VLOOKUP($I456,効果!$A:$B,COLUMN(効果!B$1),FALSE),
IF(_xlpm.v=0,"",_xlpm.v)
),"")</f>
        <v/>
      </c>
      <c r="L456" s="15" t="str">
        <f>IF(OR(COUNTIF(クラス!$A$1:$A$1034, $B456),$B456="",COUNTIF(スキル一覧!$A$1:$A$3500, $B456)), "", "存在しない")</f>
        <v/>
      </c>
      <c r="M456" s="2" t="str">
        <f>IF(COUNTIF($B$1:$C455, $B456), "", "存在しない")</f>
        <v>存在しない</v>
      </c>
      <c r="N456" s="2" t="s">
        <v>1258</v>
      </c>
    </row>
    <row r="457" spans="1:14" hidden="1" outlineLevel="1" x14ac:dyDescent="0.4">
      <c r="A457" s="2">
        <v>7</v>
      </c>
      <c r="J457" s="6" t="str">
        <f>IFERROR(_xlfn.LET(_xlpm.v,
VLOOKUP($I457,効果!$A:$B,COLUMN(効果!B$1),FALSE),
IF(_xlpm.v=0,"",_xlpm.v)
),"")</f>
        <v/>
      </c>
      <c r="L457" s="15" t="str">
        <f>IF(OR(COUNTIF(クラス!$A$1:$A$1034, $B457),$B457="",COUNTIF(スキル一覧!$A$1:$A$3500, $B457)), "", "存在しない")</f>
        <v/>
      </c>
      <c r="M457" s="2" t="str">
        <f>IF(COUNTIF($B$1:$C456, $B457), "", "存在しない")</f>
        <v>存在しない</v>
      </c>
      <c r="N457" s="2" t="s">
        <v>1258</v>
      </c>
    </row>
    <row r="458" spans="1:14" hidden="1" outlineLevel="1" x14ac:dyDescent="0.4">
      <c r="A458" s="2">
        <v>8</v>
      </c>
      <c r="J458" s="6" t="str">
        <f>IFERROR(_xlfn.LET(_xlpm.v,
VLOOKUP($I458,効果!$A:$B,COLUMN(効果!B$1),FALSE),
IF(_xlpm.v=0,"",_xlpm.v)
),"")</f>
        <v/>
      </c>
      <c r="L458" s="15" t="str">
        <f>IF(OR(COUNTIF(クラス!$A$1:$A$1034, $B458),$B458="",COUNTIF(スキル一覧!$A$1:$A$3500, $B458)), "", "存在しない")</f>
        <v/>
      </c>
      <c r="M458" s="2" t="str">
        <f>IF(COUNTIF($B$1:$C457, $B458), "", "存在しない")</f>
        <v>存在しない</v>
      </c>
      <c r="N458" s="2" t="s">
        <v>1258</v>
      </c>
    </row>
    <row r="459" spans="1:14" hidden="1" outlineLevel="1" x14ac:dyDescent="0.4">
      <c r="A459" s="2">
        <v>9</v>
      </c>
      <c r="E459" s="13" t="s">
        <v>130</v>
      </c>
      <c r="J459" s="6" t="str">
        <f>IFERROR(_xlfn.LET(_xlpm.v,
VLOOKUP($I459,効果!$A:$B,COLUMN(効果!B$1),FALSE),
IF(_xlpm.v=0,"",_xlpm.v)
),"")</f>
        <v/>
      </c>
      <c r="L459" s="15" t="str">
        <f>IF(OR(COUNTIF(クラス!$A$1:$A$1034, $B459),$B459="",COUNTIF(スキル一覧!$A$1:$A$3500, $B459)), "", "存在しない")</f>
        <v/>
      </c>
      <c r="M459" s="2" t="str">
        <f>IF(COUNTIF($B$1:$C458, $B459), "", "存在しない")</f>
        <v>存在しない</v>
      </c>
      <c r="N459" s="2" t="s">
        <v>1258</v>
      </c>
    </row>
    <row r="460" spans="1:14" hidden="1" outlineLevel="1" x14ac:dyDescent="0.4">
      <c r="A460" s="2">
        <v>10</v>
      </c>
      <c r="J460" s="6" t="str">
        <f>IFERROR(_xlfn.LET(_xlpm.v,
VLOOKUP($I460,効果!$A:$B,COLUMN(効果!B$1),FALSE),
IF(_xlpm.v=0,"",_xlpm.v)
),"")</f>
        <v/>
      </c>
      <c r="L460" s="15" t="str">
        <f>IF(OR(COUNTIF(クラス!$A$1:$A$1034, $B460),$B460="",COUNTIF(スキル一覧!$A$1:$A$3500, $B460)), "", "存在しない")</f>
        <v/>
      </c>
      <c r="M460" s="2" t="str">
        <f>IF(COUNTIF($B$1:$C459, $B460), "", "存在しない")</f>
        <v>存在しない</v>
      </c>
      <c r="N460" s="2" t="s">
        <v>1258</v>
      </c>
    </row>
    <row r="461" spans="1:14" hidden="1" outlineLevel="1" x14ac:dyDescent="0.4">
      <c r="J461" s="6" t="str">
        <f>IFERROR(_xlfn.LET(_xlpm.v,
VLOOKUP($I461,効果!$A:$B,COLUMN(効果!B$1),FALSE),
IF(_xlpm.v=0,"",_xlpm.v)
),"")</f>
        <v/>
      </c>
      <c r="L461" s="15" t="str">
        <f>IF(OR(COUNTIF(クラス!$A$1:$A$1034, $B461),$B461="",COUNTIF(スキル一覧!$A$1:$A$3500, $B461)), "", "存在しない")</f>
        <v/>
      </c>
      <c r="M461" s="2" t="str">
        <f>IF(COUNTIF($B$1:$C460, $B461), "", "存在しない")</f>
        <v>存在しない</v>
      </c>
      <c r="N461" s="2" t="s">
        <v>1258</v>
      </c>
    </row>
    <row r="462" spans="1:14" collapsed="1" x14ac:dyDescent="0.4">
      <c r="J462" s="6" t="str">
        <f>IFERROR(_xlfn.LET(_xlpm.v,
VLOOKUP($I462,効果!$A:$B,COLUMN(効果!B$1),FALSE),
IF(_xlpm.v=0,"",_xlpm.v)
),"")</f>
        <v/>
      </c>
      <c r="L462" s="15" t="str">
        <f>IF(OR(COUNTIF(クラス!$A$1:$A$1034, $B462),$B462="",COUNTIF(スキル一覧!$A$1:$A$3500, $B462)), "", "存在しない")</f>
        <v/>
      </c>
      <c r="M462" s="2" t="str">
        <f>IF(COUNTIF($B$1:$C461, $B462), "", "存在しない")</f>
        <v>存在しない</v>
      </c>
      <c r="N462" s="2" t="s">
        <v>1258</v>
      </c>
    </row>
    <row r="463" spans="1:14" x14ac:dyDescent="0.4">
      <c r="B463" s="2" t="s">
        <v>125</v>
      </c>
      <c r="J463" s="6" t="str">
        <f>IFERROR(_xlfn.LET(_xlpm.v,
VLOOKUP($I463,効果!$A:$B,COLUMN(効果!B$1),FALSE),
IF(_xlpm.v=0,"",_xlpm.v)
),"")</f>
        <v/>
      </c>
      <c r="L463" s="15" t="str">
        <f>IF(OR(COUNTIF(クラス!$A$1:$A$1034, $B463),$B463="",COUNTIF(スキル一覧!$A$1:$A$3500, $B463)), "", "存在しない")</f>
        <v/>
      </c>
      <c r="M463" s="2" t="str">
        <f>IF(COUNTIF($B$1:$C462, $B463), "", "存在しない")</f>
        <v>存在しない</v>
      </c>
      <c r="N463" s="2" t="s">
        <v>1258</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IF(OR(COUNTIF(クラス!$A$1:$A$1034, $B464),$B464="",COUNTIF(スキル一覧!$A$1:$A$3500, $B464)), "", "存在しない")</f>
        <v/>
      </c>
      <c r="M464" s="2" t="str">
        <f>IF(COUNTIF($B$1:$C463, $B464), "", "存在しない")</f>
        <v/>
      </c>
      <c r="N464" s="2" t="s">
        <v>1258</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IF(OR(COUNTIF(クラス!$A$1:$A$1034, $B465),$B465="",COUNTIF(スキル一覧!$A$1:$A$3500, $B465)), "", "存在しない")</f>
        <v/>
      </c>
      <c r="M465" s="2" t="str">
        <f>IF(COUNTIF($B$1:$C464, $B465), "", "存在しない")</f>
        <v/>
      </c>
      <c r="N465" s="2" t="s">
        <v>1258</v>
      </c>
    </row>
    <row r="466" spans="1:14" hidden="1" outlineLevel="1" x14ac:dyDescent="0.4">
      <c r="A466" s="2">
        <v>3</v>
      </c>
      <c r="J466" s="6" t="str">
        <f>IFERROR(_xlfn.LET(_xlpm.v,
VLOOKUP($I466,効果!$A:$B,COLUMN(効果!B$1),FALSE),
IF(_xlpm.v=0,"",_xlpm.v)
),"")</f>
        <v/>
      </c>
      <c r="L466" s="15" t="str">
        <f>IF(OR(COUNTIF(クラス!$A$1:$A$1034, $B466),$B466="",COUNTIF(スキル一覧!$A$1:$A$3500, $B466)), "", "存在しない")</f>
        <v/>
      </c>
      <c r="M466" s="2" t="str">
        <f>IF(COUNTIF($B$1:$C465, $B466), "", "存在しない")</f>
        <v>存在しない</v>
      </c>
      <c r="N466" s="2" t="s">
        <v>1258</v>
      </c>
    </row>
    <row r="467" spans="1:14" hidden="1" outlineLevel="1" x14ac:dyDescent="0.4">
      <c r="A467" s="2">
        <v>4</v>
      </c>
      <c r="J467" s="6" t="str">
        <f>IFERROR(_xlfn.LET(_xlpm.v,
VLOOKUP($I467,効果!$A:$B,COLUMN(効果!B$1),FALSE),
IF(_xlpm.v=0,"",_xlpm.v)
),"")</f>
        <v/>
      </c>
      <c r="L467" s="15" t="str">
        <f>IF(OR(COUNTIF(クラス!$A$1:$A$1034, $B467),$B467="",COUNTIF(スキル一覧!$A$1:$A$3500, $B467)), "", "存在しない")</f>
        <v/>
      </c>
      <c r="M467" s="2" t="str">
        <f>IF(COUNTIF($B$1:$C466, $B467), "", "存在しない")</f>
        <v>存在しない</v>
      </c>
      <c r="N467" s="2" t="s">
        <v>1258</v>
      </c>
    </row>
    <row r="468" spans="1:14" hidden="1" outlineLevel="1" x14ac:dyDescent="0.4">
      <c r="A468" s="2">
        <v>5</v>
      </c>
      <c r="J468" s="6" t="str">
        <f>IFERROR(_xlfn.LET(_xlpm.v,
VLOOKUP($I468,効果!$A:$B,COLUMN(効果!B$1),FALSE),
IF(_xlpm.v=0,"",_xlpm.v)
),"")</f>
        <v/>
      </c>
      <c r="L468" s="15" t="str">
        <f>IF(OR(COUNTIF(クラス!$A$1:$A$1034, $B468),$B468="",COUNTIF(スキル一覧!$A$1:$A$3500, $B468)), "", "存在しない")</f>
        <v/>
      </c>
      <c r="M468" s="2" t="str">
        <f>IF(COUNTIF($B$1:$C467, $B468), "", "存在しない")</f>
        <v>存在しない</v>
      </c>
      <c r="N468" s="2" t="s">
        <v>1258</v>
      </c>
    </row>
    <row r="469" spans="1:14" hidden="1" outlineLevel="1" x14ac:dyDescent="0.4">
      <c r="A469" s="2">
        <v>6</v>
      </c>
      <c r="J469" s="6" t="str">
        <f>IFERROR(_xlfn.LET(_xlpm.v,
VLOOKUP($I469,効果!$A:$B,COLUMN(効果!B$1),FALSE),
IF(_xlpm.v=0,"",_xlpm.v)
),"")</f>
        <v/>
      </c>
      <c r="L469" s="15" t="str">
        <f>IF(OR(COUNTIF(クラス!$A$1:$A$1034, $B469),$B469="",COUNTIF(スキル一覧!$A$1:$A$3500, $B469)), "", "存在しない")</f>
        <v/>
      </c>
      <c r="M469" s="2" t="str">
        <f>IF(COUNTIF($B$1:$C468, $B469), "", "存在しない")</f>
        <v>存在しない</v>
      </c>
      <c r="N469" s="2" t="s">
        <v>1258</v>
      </c>
    </row>
    <row r="470" spans="1:14" hidden="1" outlineLevel="1" x14ac:dyDescent="0.4">
      <c r="A470" s="2">
        <v>7</v>
      </c>
      <c r="J470" s="6" t="str">
        <f>IFERROR(_xlfn.LET(_xlpm.v,
VLOOKUP($I470,効果!$A:$B,COLUMN(効果!B$1),FALSE),
IF(_xlpm.v=0,"",_xlpm.v)
),"")</f>
        <v/>
      </c>
      <c r="L470" s="15" t="str">
        <f>IF(OR(COUNTIF(クラス!$A$1:$A$1034, $B470),$B470="",COUNTIF(スキル一覧!$A$1:$A$3500, $B470)), "", "存在しない")</f>
        <v/>
      </c>
      <c r="M470" s="2" t="str">
        <f>IF(COUNTIF($B$1:$C469, $B470), "", "存在しない")</f>
        <v>存在しない</v>
      </c>
      <c r="N470" s="2" t="s">
        <v>1258</v>
      </c>
    </row>
    <row r="471" spans="1:14" hidden="1" outlineLevel="1" x14ac:dyDescent="0.4">
      <c r="A471" s="2">
        <v>8</v>
      </c>
      <c r="J471" s="6" t="str">
        <f>IFERROR(_xlfn.LET(_xlpm.v,
VLOOKUP($I471,効果!$A:$B,COLUMN(効果!B$1),FALSE),
IF(_xlpm.v=0,"",_xlpm.v)
),"")</f>
        <v/>
      </c>
      <c r="L471" s="15" t="str">
        <f>IF(OR(COUNTIF(クラス!$A$1:$A$1034, $B471),$B471="",COUNTIF(スキル一覧!$A$1:$A$3500, $B471)), "", "存在しない")</f>
        <v/>
      </c>
      <c r="M471" s="2" t="str">
        <f>IF(COUNTIF($B$1:$C470, $B471), "", "存在しない")</f>
        <v>存在しない</v>
      </c>
      <c r="N471" s="2" t="s">
        <v>1258</v>
      </c>
    </row>
    <row r="472" spans="1:14" hidden="1" outlineLevel="1" x14ac:dyDescent="0.4">
      <c r="A472" s="2">
        <v>9</v>
      </c>
      <c r="J472" s="6" t="str">
        <f>IFERROR(_xlfn.LET(_xlpm.v,
VLOOKUP($I472,効果!$A:$B,COLUMN(効果!B$1),FALSE),
IF(_xlpm.v=0,"",_xlpm.v)
),"")</f>
        <v/>
      </c>
      <c r="L472" s="15" t="str">
        <f>IF(OR(COUNTIF(クラス!$A$1:$A$1034, $B472),$B472="",COUNTIF(スキル一覧!$A$1:$A$3500, $B472)), "", "存在しない")</f>
        <v/>
      </c>
      <c r="M472" s="2" t="str">
        <f>IF(COUNTIF($B$1:$C471, $B472), "", "存在しない")</f>
        <v>存在しない</v>
      </c>
      <c r="N472" s="2" t="s">
        <v>1258</v>
      </c>
    </row>
    <row r="473" spans="1:14" hidden="1" outlineLevel="1" x14ac:dyDescent="0.4">
      <c r="A473" s="2">
        <v>10</v>
      </c>
      <c r="J473" s="6" t="str">
        <f>IFERROR(_xlfn.LET(_xlpm.v,
VLOOKUP($I473,効果!$A:$B,COLUMN(効果!B$1),FALSE),
IF(_xlpm.v=0,"",_xlpm.v)
),"")</f>
        <v/>
      </c>
      <c r="L473" s="15" t="str">
        <f>IF(OR(COUNTIF(クラス!$A$1:$A$1034, $B473),$B473="",COUNTIF(スキル一覧!$A$1:$A$3500, $B473)), "", "存在しない")</f>
        <v/>
      </c>
      <c r="M473" s="2" t="str">
        <f>IF(COUNTIF($B$1:$C472, $B473), "", "存在しない")</f>
        <v>存在しない</v>
      </c>
      <c r="N473" s="2" t="s">
        <v>1258</v>
      </c>
    </row>
    <row r="474" spans="1:14" hidden="1" outlineLevel="1" x14ac:dyDescent="0.4">
      <c r="J474" s="6" t="str">
        <f>IFERROR(_xlfn.LET(_xlpm.v,
VLOOKUP($I474,効果!$A:$B,COLUMN(効果!B$1),FALSE),
IF(_xlpm.v=0,"",_xlpm.v)
),"")</f>
        <v/>
      </c>
      <c r="L474" s="15" t="str">
        <f>IF(OR(COUNTIF(クラス!$A$1:$A$1034, $B474),$B474="",COUNTIF(スキル一覧!$A$1:$A$3500, $B474)), "", "存在しない")</f>
        <v/>
      </c>
      <c r="M474" s="2" t="str">
        <f>IF(COUNTIF($B$1:$C473, $B474), "", "存在しない")</f>
        <v>存在しない</v>
      </c>
      <c r="N474" s="2" t="s">
        <v>1258</v>
      </c>
    </row>
    <row r="475" spans="1:14" collapsed="1" x14ac:dyDescent="0.4">
      <c r="J475" s="6" t="str">
        <f>IFERROR(_xlfn.LET(_xlpm.v,
VLOOKUP($I475,効果!$A:$B,COLUMN(効果!B$1),FALSE),
IF(_xlpm.v=0,"",_xlpm.v)
),"")</f>
        <v/>
      </c>
      <c r="L475" s="15" t="str">
        <f>IF(OR(COUNTIF(クラス!$A$1:$A$1034, $B475),$B475="",COUNTIF(スキル一覧!$A$1:$A$3500, $B475)), "", "存在しない")</f>
        <v/>
      </c>
      <c r="M475" s="2" t="str">
        <f>IF(COUNTIF($B$1:$C474, $B475), "", "存在しない")</f>
        <v>存在しない</v>
      </c>
      <c r="N475" s="2" t="s">
        <v>1258</v>
      </c>
    </row>
    <row r="476" spans="1:14" x14ac:dyDescent="0.4">
      <c r="B476" s="2" t="s">
        <v>126</v>
      </c>
      <c r="J476" s="6" t="str">
        <f>IFERROR(_xlfn.LET(_xlpm.v,
VLOOKUP($I476,効果!$A:$B,COLUMN(効果!B$1),FALSE),
IF(_xlpm.v=0,"",_xlpm.v)
),"")</f>
        <v/>
      </c>
      <c r="L476" s="15" t="str">
        <f>IF(OR(COUNTIF(クラス!$A$1:$A$1034, $B476),$B476="",COUNTIF(スキル一覧!$A$1:$A$3500, $B476)), "", "存在しない")</f>
        <v/>
      </c>
      <c r="M476" s="2" t="str">
        <f>IF(COUNTIF($B$1:$C475, $B476), "", "存在しない")</f>
        <v>存在しない</v>
      </c>
      <c r="N476" s="2" t="s">
        <v>1258</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IF(OR(COUNTIF(クラス!$A$1:$A$1034, $B477),$B477="",COUNTIF(スキル一覧!$A$1:$A$3500, $B477)), "", "存在しない")</f>
        <v/>
      </c>
      <c r="M477" s="2" t="str">
        <f>IF(COUNTIF($B$1:$C476, $B477), "", "存在しない")</f>
        <v/>
      </c>
      <c r="N477" s="2" t="s">
        <v>1258</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IF(OR(COUNTIF(クラス!$A$1:$A$1034, $B478),$B478="",COUNTIF(スキル一覧!$A$1:$A$3500, $B478)), "", "存在しない")</f>
        <v/>
      </c>
      <c r="M478" s="2" t="str">
        <f>IF(COUNTIF($B$1:$C477, $B478), "", "存在しない")</f>
        <v/>
      </c>
      <c r="N478" s="2" t="s">
        <v>1258</v>
      </c>
    </row>
    <row r="479" spans="1:14" hidden="1" outlineLevel="1" x14ac:dyDescent="0.4">
      <c r="A479" s="2">
        <v>3</v>
      </c>
      <c r="B479" s="2" t="s">
        <v>290</v>
      </c>
      <c r="J479" s="6" t="str">
        <f>IFERROR(_xlfn.LET(_xlpm.v,
VLOOKUP($I479,効果!$A:$B,COLUMN(効果!B$1),FALSE),
IF(_xlpm.v=0,"",_xlpm.v)
),"")</f>
        <v/>
      </c>
      <c r="L479" s="15" t="str">
        <f>IF(OR(COUNTIF(クラス!$A$1:$A$1034, $B479),$B479="",COUNTIF(スキル一覧!$A$1:$A$3500, $B479)), "", "存在しない")</f>
        <v/>
      </c>
      <c r="M479" s="2" t="str">
        <f>IF(COUNTIF($B$1:$C478, $B479), "", "存在しない")</f>
        <v/>
      </c>
      <c r="N479" s="2" t="s">
        <v>1258</v>
      </c>
    </row>
    <row r="480" spans="1:14" hidden="1" outlineLevel="1" x14ac:dyDescent="0.4">
      <c r="A480" s="2">
        <v>4</v>
      </c>
      <c r="J480" s="6" t="str">
        <f>IFERROR(_xlfn.LET(_xlpm.v,
VLOOKUP($I480,効果!$A:$B,COLUMN(効果!B$1),FALSE),
IF(_xlpm.v=0,"",_xlpm.v)
),"")</f>
        <v/>
      </c>
      <c r="L480" s="15" t="str">
        <f>IF(OR(COUNTIF(クラス!$A$1:$A$1034, $B480),$B480="",COUNTIF(スキル一覧!$A$1:$A$3500, $B480)), "", "存在しない")</f>
        <v/>
      </c>
      <c r="M480" s="2" t="str">
        <f>IF(COUNTIF($B$1:$C479, $B480), "", "存在しない")</f>
        <v>存在しない</v>
      </c>
      <c r="N480" s="2" t="s">
        <v>1258</v>
      </c>
    </row>
    <row r="481" spans="1:14" hidden="1" outlineLevel="1" x14ac:dyDescent="0.4">
      <c r="A481" s="2">
        <v>5</v>
      </c>
      <c r="J481" s="6" t="str">
        <f>IFERROR(_xlfn.LET(_xlpm.v,
VLOOKUP($I481,効果!$A:$B,COLUMN(効果!B$1),FALSE),
IF(_xlpm.v=0,"",_xlpm.v)
),"")</f>
        <v/>
      </c>
      <c r="L481" s="15" t="str">
        <f>IF(OR(COUNTIF(クラス!$A$1:$A$1034, $B481),$B481="",COUNTIF(スキル一覧!$A$1:$A$3500, $B481)), "", "存在しない")</f>
        <v/>
      </c>
      <c r="M481" s="2" t="str">
        <f>IF(COUNTIF($B$1:$C480, $B481), "", "存在しない")</f>
        <v>存在しない</v>
      </c>
      <c r="N481" s="2" t="s">
        <v>1258</v>
      </c>
    </row>
    <row r="482" spans="1:14" hidden="1" outlineLevel="1" x14ac:dyDescent="0.4">
      <c r="A482" s="2">
        <v>6</v>
      </c>
      <c r="J482" s="6" t="str">
        <f>IFERROR(_xlfn.LET(_xlpm.v,
VLOOKUP($I482,効果!$A:$B,COLUMN(効果!B$1),FALSE),
IF(_xlpm.v=0,"",_xlpm.v)
),"")</f>
        <v/>
      </c>
      <c r="L482" s="15" t="str">
        <f>IF(OR(COUNTIF(クラス!$A$1:$A$1034, $B482),$B482="",COUNTIF(スキル一覧!$A$1:$A$3500, $B482)), "", "存在しない")</f>
        <v/>
      </c>
      <c r="M482" s="2" t="str">
        <f>IF(COUNTIF($B$1:$C481, $B482), "", "存在しない")</f>
        <v>存在しない</v>
      </c>
      <c r="N482" s="2" t="s">
        <v>1258</v>
      </c>
    </row>
    <row r="483" spans="1:14" hidden="1" outlineLevel="1" x14ac:dyDescent="0.4">
      <c r="A483" s="2">
        <v>7</v>
      </c>
      <c r="J483" s="6" t="str">
        <f>IFERROR(_xlfn.LET(_xlpm.v,
VLOOKUP($I483,効果!$A:$B,COLUMN(効果!B$1),FALSE),
IF(_xlpm.v=0,"",_xlpm.v)
),"")</f>
        <v/>
      </c>
      <c r="L483" s="15" t="str">
        <f>IF(OR(COUNTIF(クラス!$A$1:$A$1034, $B483),$B483="",COUNTIF(スキル一覧!$A$1:$A$3500, $B483)), "", "存在しない")</f>
        <v/>
      </c>
      <c r="M483" s="2" t="str">
        <f>IF(COUNTIF($B$1:$C482, $B483), "", "存在しない")</f>
        <v>存在しない</v>
      </c>
      <c r="N483" s="2" t="s">
        <v>1258</v>
      </c>
    </row>
    <row r="484" spans="1:14" hidden="1" outlineLevel="1" x14ac:dyDescent="0.4">
      <c r="A484" s="2">
        <v>8</v>
      </c>
      <c r="J484" s="6" t="str">
        <f>IFERROR(_xlfn.LET(_xlpm.v,
VLOOKUP($I484,効果!$A:$B,COLUMN(効果!B$1),FALSE),
IF(_xlpm.v=0,"",_xlpm.v)
),"")</f>
        <v/>
      </c>
      <c r="L484" s="15" t="str">
        <f>IF(OR(COUNTIF(クラス!$A$1:$A$1034, $B484),$B484="",COUNTIF(スキル一覧!$A$1:$A$3500, $B484)), "", "存在しない")</f>
        <v/>
      </c>
      <c r="M484" s="2" t="str">
        <f>IF(COUNTIF($B$1:$C483, $B484), "", "存在しない")</f>
        <v>存在しない</v>
      </c>
      <c r="N484" s="2" t="s">
        <v>1258</v>
      </c>
    </row>
    <row r="485" spans="1:14" hidden="1" outlineLevel="1" x14ac:dyDescent="0.4">
      <c r="A485" s="2">
        <v>9</v>
      </c>
      <c r="J485" s="6" t="str">
        <f>IFERROR(_xlfn.LET(_xlpm.v,
VLOOKUP($I485,効果!$A:$B,COLUMN(効果!B$1),FALSE),
IF(_xlpm.v=0,"",_xlpm.v)
),"")</f>
        <v/>
      </c>
      <c r="L485" s="15" t="str">
        <f>IF(OR(COUNTIF(クラス!$A$1:$A$1034, $B485),$B485="",COUNTIF(スキル一覧!$A$1:$A$3500, $B485)), "", "存在しない")</f>
        <v/>
      </c>
      <c r="M485" s="2" t="str">
        <f>IF(COUNTIF($B$1:$C484, $B485), "", "存在しない")</f>
        <v>存在しない</v>
      </c>
      <c r="N485" s="2" t="s">
        <v>1258</v>
      </c>
    </row>
    <row r="486" spans="1:14" hidden="1" outlineLevel="1" x14ac:dyDescent="0.4">
      <c r="A486" s="2">
        <v>10</v>
      </c>
      <c r="J486" s="6" t="str">
        <f>IFERROR(_xlfn.LET(_xlpm.v,
VLOOKUP($I486,効果!$A:$B,COLUMN(効果!B$1),FALSE),
IF(_xlpm.v=0,"",_xlpm.v)
),"")</f>
        <v/>
      </c>
      <c r="L486" s="15" t="str">
        <f>IF(OR(COUNTIF(クラス!$A$1:$A$1034, $B486),$B486="",COUNTIF(スキル一覧!$A$1:$A$3500, $B486)), "", "存在しない")</f>
        <v/>
      </c>
      <c r="M486" s="2" t="str">
        <f>IF(COUNTIF($B$1:$C485, $B486), "", "存在しない")</f>
        <v>存在しない</v>
      </c>
      <c r="N486" s="2" t="s">
        <v>1258</v>
      </c>
    </row>
    <row r="487" spans="1:14" hidden="1" outlineLevel="1" x14ac:dyDescent="0.4">
      <c r="J487" s="6" t="str">
        <f>IFERROR(_xlfn.LET(_xlpm.v,
VLOOKUP($I487,効果!$A:$B,COLUMN(効果!B$1),FALSE),
IF(_xlpm.v=0,"",_xlpm.v)
),"")</f>
        <v/>
      </c>
      <c r="L487" s="15" t="str">
        <f>IF(OR(COUNTIF(クラス!$A$1:$A$1034, $B487),$B487="",COUNTIF(スキル一覧!$A$1:$A$3500, $B487)), "", "存在しない")</f>
        <v/>
      </c>
      <c r="M487" s="2" t="str">
        <f>IF(COUNTIF($B$1:$C486, $B487), "", "存在しない")</f>
        <v>存在しない</v>
      </c>
      <c r="N487" s="2" t="s">
        <v>1258</v>
      </c>
    </row>
    <row r="488" spans="1:14" collapsed="1" x14ac:dyDescent="0.4">
      <c r="J488" s="6" t="str">
        <f>IFERROR(_xlfn.LET(_xlpm.v,
VLOOKUP($I488,効果!$A:$B,COLUMN(効果!B$1),FALSE),
IF(_xlpm.v=0,"",_xlpm.v)
),"")</f>
        <v/>
      </c>
      <c r="L488" s="15" t="str">
        <f>IF(OR(COUNTIF(クラス!$A$1:$A$1034, $B488),$B488="",COUNTIF(スキル一覧!$A$1:$A$3500, $B488)), "", "存在しない")</f>
        <v/>
      </c>
      <c r="M488" s="2" t="str">
        <f>IF(COUNTIF($B$1:$C487, $B488), "", "存在しない")</f>
        <v>存在しない</v>
      </c>
      <c r="N488" s="2" t="s">
        <v>1258</v>
      </c>
    </row>
    <row r="489" spans="1:14" x14ac:dyDescent="0.4">
      <c r="B489" s="2" t="s">
        <v>199</v>
      </c>
      <c r="J489" s="6" t="str">
        <f>IFERROR(_xlfn.LET(_xlpm.v,
VLOOKUP($I489,効果!$A:$B,COLUMN(効果!B$1),FALSE),
IF(_xlpm.v=0,"",_xlpm.v)
),"")</f>
        <v/>
      </c>
      <c r="L489" s="15" t="str">
        <f>IF(OR(COUNTIF(クラス!$A$1:$A$1034, $B489),$B489="",COUNTIF(スキル一覧!$A$1:$A$3500, $B489)), "", "存在しない")</f>
        <v/>
      </c>
      <c r="M489" s="2" t="str">
        <f>IF(COUNTIF($B$1:$C488, $B489), "", "存在しない")</f>
        <v>存在しない</v>
      </c>
      <c r="N489" s="2" t="s">
        <v>1258</v>
      </c>
    </row>
    <row r="490" spans="1:14" hidden="1" outlineLevel="1" x14ac:dyDescent="0.4">
      <c r="A490" s="2">
        <v>1</v>
      </c>
      <c r="B490" s="2" t="s">
        <v>283</v>
      </c>
      <c r="J490" s="6" t="str">
        <f>IFERROR(_xlfn.LET(_xlpm.v,
VLOOKUP($I490,効果!$A:$B,COLUMN(効果!B$1),FALSE),
IF(_xlpm.v=0,"",_xlpm.v)
),"")</f>
        <v/>
      </c>
      <c r="L490" s="15" t="str">
        <f>IF(OR(COUNTIF(クラス!$A$1:$A$1034, $B490),$B490="",COUNTIF(スキル一覧!$A$1:$A$3500, $B490)), "", "存在しない")</f>
        <v/>
      </c>
      <c r="M490" s="2" t="str">
        <f>IF(COUNTIF($B$1:$C489, $B490), "", "存在しない")</f>
        <v/>
      </c>
      <c r="N490" s="2" t="s">
        <v>1258</v>
      </c>
    </row>
    <row r="491" spans="1:14" hidden="1" outlineLevel="1" x14ac:dyDescent="0.4">
      <c r="A491" s="2">
        <v>2</v>
      </c>
      <c r="B491" s="2" t="s">
        <v>284</v>
      </c>
      <c r="J491" s="6" t="str">
        <f>IFERROR(_xlfn.LET(_xlpm.v,
VLOOKUP($I491,効果!$A:$B,COLUMN(効果!B$1),FALSE),
IF(_xlpm.v=0,"",_xlpm.v)
),"")</f>
        <v/>
      </c>
      <c r="L491" s="15" t="str">
        <f>IF(OR(COUNTIF(クラス!$A$1:$A$1034, $B491),$B491="",COUNTIF(スキル一覧!$A$1:$A$3500, $B491)), "", "存在しない")</f>
        <v/>
      </c>
      <c r="M491" s="2" t="str">
        <f>IF(COUNTIF($B$1:$C490, $B491), "", "存在しない")</f>
        <v/>
      </c>
      <c r="N491" s="2" t="s">
        <v>1258</v>
      </c>
    </row>
    <row r="492" spans="1:14" hidden="1" outlineLevel="1" x14ac:dyDescent="0.4">
      <c r="A492" s="2">
        <v>3</v>
      </c>
      <c r="J492" s="6" t="str">
        <f>IFERROR(_xlfn.LET(_xlpm.v,
VLOOKUP($I492,効果!$A:$B,COLUMN(効果!B$1),FALSE),
IF(_xlpm.v=0,"",_xlpm.v)
),"")</f>
        <v/>
      </c>
      <c r="L492" s="15" t="str">
        <f>IF(OR(COUNTIF(クラス!$A$1:$A$1034, $B492),$B492="",COUNTIF(スキル一覧!$A$1:$A$3500, $B492)), "", "存在しない")</f>
        <v/>
      </c>
      <c r="M492" s="2" t="str">
        <f>IF(COUNTIF($B$1:$C491, $B492), "", "存在しない")</f>
        <v>存在しない</v>
      </c>
      <c r="N492" s="2" t="s">
        <v>1258</v>
      </c>
    </row>
    <row r="493" spans="1:14" hidden="1" outlineLevel="1" x14ac:dyDescent="0.4">
      <c r="A493" s="2">
        <v>4</v>
      </c>
      <c r="J493" s="6" t="str">
        <f>IFERROR(_xlfn.LET(_xlpm.v,
VLOOKUP($I493,効果!$A:$B,COLUMN(効果!B$1),FALSE),
IF(_xlpm.v=0,"",_xlpm.v)
),"")</f>
        <v/>
      </c>
      <c r="L493" s="15" t="str">
        <f>IF(OR(COUNTIF(クラス!$A$1:$A$1034, $B493),$B493="",COUNTIF(スキル一覧!$A$1:$A$3500, $B493)), "", "存在しない")</f>
        <v/>
      </c>
      <c r="M493" s="2" t="str">
        <f>IF(COUNTIF($B$1:$C492, $B493), "", "存在しない")</f>
        <v>存在しない</v>
      </c>
      <c r="N493" s="2" t="s">
        <v>1258</v>
      </c>
    </row>
    <row r="494" spans="1:14" hidden="1" outlineLevel="1" x14ac:dyDescent="0.4">
      <c r="A494" s="2">
        <v>5</v>
      </c>
      <c r="J494" s="6" t="str">
        <f>IFERROR(_xlfn.LET(_xlpm.v,
VLOOKUP($I494,効果!$A:$B,COLUMN(効果!B$1),FALSE),
IF(_xlpm.v=0,"",_xlpm.v)
),"")</f>
        <v/>
      </c>
      <c r="L494" s="15" t="str">
        <f>IF(OR(COUNTIF(クラス!$A$1:$A$1034, $B494),$B494="",COUNTIF(スキル一覧!$A$1:$A$3500, $B494)), "", "存在しない")</f>
        <v/>
      </c>
      <c r="M494" s="2" t="str">
        <f>IF(COUNTIF($B$1:$C493, $B494), "", "存在しない")</f>
        <v>存在しない</v>
      </c>
      <c r="N494" s="2" t="s">
        <v>1258</v>
      </c>
    </row>
    <row r="495" spans="1:14" hidden="1" outlineLevel="1" x14ac:dyDescent="0.4">
      <c r="A495" s="2">
        <v>6</v>
      </c>
      <c r="J495" s="6" t="str">
        <f>IFERROR(_xlfn.LET(_xlpm.v,
VLOOKUP($I495,効果!$A:$B,COLUMN(効果!B$1),FALSE),
IF(_xlpm.v=0,"",_xlpm.v)
),"")</f>
        <v/>
      </c>
      <c r="L495" s="15" t="str">
        <f>IF(OR(COUNTIF(クラス!$A$1:$A$1034, $B495),$B495="",COUNTIF(スキル一覧!$A$1:$A$3500, $B495)), "", "存在しない")</f>
        <v/>
      </c>
      <c r="M495" s="2" t="str">
        <f>IF(COUNTIF($B$1:$C494, $B495), "", "存在しない")</f>
        <v>存在しない</v>
      </c>
      <c r="N495" s="2" t="s">
        <v>1258</v>
      </c>
    </row>
    <row r="496" spans="1:14" hidden="1" outlineLevel="1" x14ac:dyDescent="0.4">
      <c r="A496" s="2">
        <v>7</v>
      </c>
      <c r="J496" s="6" t="str">
        <f>IFERROR(_xlfn.LET(_xlpm.v,
VLOOKUP($I496,効果!$A:$B,COLUMN(効果!B$1),FALSE),
IF(_xlpm.v=0,"",_xlpm.v)
),"")</f>
        <v/>
      </c>
      <c r="L496" s="15" t="str">
        <f>IF(OR(COUNTIF(クラス!$A$1:$A$1034, $B496),$B496="",COUNTIF(スキル一覧!$A$1:$A$3500, $B496)), "", "存在しない")</f>
        <v/>
      </c>
      <c r="M496" s="2" t="str">
        <f>IF(COUNTIF($B$1:$C495, $B496), "", "存在しない")</f>
        <v>存在しない</v>
      </c>
      <c r="N496" s="2" t="s">
        <v>1258</v>
      </c>
    </row>
    <row r="497" spans="1:14" hidden="1" outlineLevel="1" x14ac:dyDescent="0.4">
      <c r="A497" s="2">
        <v>8</v>
      </c>
      <c r="J497" s="6" t="str">
        <f>IFERROR(_xlfn.LET(_xlpm.v,
VLOOKUP($I497,効果!$A:$B,COLUMN(効果!B$1),FALSE),
IF(_xlpm.v=0,"",_xlpm.v)
),"")</f>
        <v/>
      </c>
      <c r="L497" s="15" t="str">
        <f>IF(OR(COUNTIF(クラス!$A$1:$A$1034, $B497),$B497="",COUNTIF(スキル一覧!$A$1:$A$3500, $B497)), "", "存在しない")</f>
        <v/>
      </c>
      <c r="M497" s="2" t="str">
        <f>IF(COUNTIF($B$1:$C496, $B497), "", "存在しない")</f>
        <v>存在しない</v>
      </c>
      <c r="N497" s="2" t="s">
        <v>1258</v>
      </c>
    </row>
    <row r="498" spans="1:14" hidden="1" outlineLevel="1" x14ac:dyDescent="0.4">
      <c r="A498" s="2">
        <v>9</v>
      </c>
      <c r="J498" s="6" t="str">
        <f>IFERROR(_xlfn.LET(_xlpm.v,
VLOOKUP($I498,効果!$A:$B,COLUMN(効果!B$1),FALSE),
IF(_xlpm.v=0,"",_xlpm.v)
),"")</f>
        <v/>
      </c>
      <c r="L498" s="15" t="str">
        <f>IF(OR(COUNTIF(クラス!$A$1:$A$1034, $B498),$B498="",COUNTIF(スキル一覧!$A$1:$A$3500, $B498)), "", "存在しない")</f>
        <v/>
      </c>
      <c r="M498" s="2" t="str">
        <f>IF(COUNTIF($B$1:$C497, $B498), "", "存在しない")</f>
        <v>存在しない</v>
      </c>
      <c r="N498" s="2" t="s">
        <v>1258</v>
      </c>
    </row>
    <row r="499" spans="1:14" hidden="1" outlineLevel="1" x14ac:dyDescent="0.4">
      <c r="A499" s="2">
        <v>10</v>
      </c>
      <c r="J499" s="6" t="str">
        <f>IFERROR(_xlfn.LET(_xlpm.v,
VLOOKUP($I499,効果!$A:$B,COLUMN(効果!B$1),FALSE),
IF(_xlpm.v=0,"",_xlpm.v)
),"")</f>
        <v/>
      </c>
      <c r="L499" s="15" t="str">
        <f>IF(OR(COUNTIF(クラス!$A$1:$A$1034, $B499),$B499="",COUNTIF(スキル一覧!$A$1:$A$3500, $B499)), "", "存在しない")</f>
        <v/>
      </c>
      <c r="M499" s="2" t="str">
        <f>IF(COUNTIF($B$1:$C498, $B499), "", "存在しない")</f>
        <v>存在しない</v>
      </c>
      <c r="N499" s="2" t="s">
        <v>1258</v>
      </c>
    </row>
    <row r="500" spans="1:14" hidden="1" outlineLevel="1" x14ac:dyDescent="0.4">
      <c r="J500" s="6" t="str">
        <f>IFERROR(_xlfn.LET(_xlpm.v,
VLOOKUP($I500,効果!$A:$B,COLUMN(効果!B$1),FALSE),
IF(_xlpm.v=0,"",_xlpm.v)
),"")</f>
        <v/>
      </c>
      <c r="L500" s="15" t="str">
        <f>IF(OR(COUNTIF(クラス!$A$1:$A$1034, $B500),$B500="",COUNTIF(スキル一覧!$A$1:$A$3500, $B500)), "", "存在しない")</f>
        <v/>
      </c>
      <c r="M500" s="2" t="str">
        <f>IF(COUNTIF($B$1:$C499, $B500), "", "存在しない")</f>
        <v>存在しない</v>
      </c>
      <c r="N500" s="2" t="s">
        <v>1258</v>
      </c>
    </row>
    <row r="501" spans="1:14" collapsed="1" x14ac:dyDescent="0.4">
      <c r="J501" s="6" t="str">
        <f>IFERROR(_xlfn.LET(_xlpm.v,
VLOOKUP($I501,効果!$A:$B,COLUMN(効果!B$1),FALSE),
IF(_xlpm.v=0,"",_xlpm.v)
),"")</f>
        <v/>
      </c>
      <c r="L501" s="15" t="str">
        <f>IF(OR(COUNTIF(クラス!$A$1:$A$1034, $B501),$B501="",COUNTIF(スキル一覧!$A$1:$A$3500, $B501)), "", "存在しない")</f>
        <v/>
      </c>
      <c r="M501" s="2" t="str">
        <f>IF(COUNTIF($B$1:$C500, $B501), "", "存在しない")</f>
        <v>存在しない</v>
      </c>
      <c r="N501" s="2" t="s">
        <v>1258</v>
      </c>
    </row>
    <row r="502" spans="1:14" x14ac:dyDescent="0.4">
      <c r="B502" s="2" t="s">
        <v>201</v>
      </c>
      <c r="J502" s="6" t="str">
        <f>IFERROR(_xlfn.LET(_xlpm.v,
VLOOKUP($I502,効果!$A:$B,COLUMN(効果!B$1),FALSE),
IF(_xlpm.v=0,"",_xlpm.v)
),"")</f>
        <v/>
      </c>
      <c r="L502" s="15" t="str">
        <f>IF(OR(COUNTIF(クラス!$A$1:$A$1034, $B502),$B502="",COUNTIF(スキル一覧!$A$1:$A$3500, $B502)), "", "存在しない")</f>
        <v/>
      </c>
      <c r="M502" s="2" t="str">
        <f>IF(COUNTIF($B$1:$C501, $B502), "", "存在しない")</f>
        <v>存在しない</v>
      </c>
      <c r="N502" s="2" t="s">
        <v>1258</v>
      </c>
    </row>
    <row r="503" spans="1:14" hidden="1" outlineLevel="1" x14ac:dyDescent="0.4">
      <c r="A503" s="2">
        <v>1</v>
      </c>
      <c r="B503" s="2" t="s">
        <v>283</v>
      </c>
      <c r="J503" s="6" t="str">
        <f>IFERROR(_xlfn.LET(_xlpm.v,
VLOOKUP($I503,効果!$A:$B,COLUMN(効果!B$1),FALSE),
IF(_xlpm.v=0,"",_xlpm.v)
),"")</f>
        <v/>
      </c>
      <c r="L503" s="15" t="str">
        <f>IF(OR(COUNTIF(クラス!$A$1:$A$1034, $B503),$B503="",COUNTIF(スキル一覧!$A$1:$A$3500, $B503)), "", "存在しない")</f>
        <v/>
      </c>
      <c r="M503" s="2" t="str">
        <f>IF(COUNTIF($B$1:$C502, $B503), "", "存在しない")</f>
        <v/>
      </c>
      <c r="N503" s="2" t="s">
        <v>1258</v>
      </c>
    </row>
    <row r="504" spans="1:14" hidden="1" outlineLevel="1" x14ac:dyDescent="0.4">
      <c r="A504" s="2">
        <v>2</v>
      </c>
      <c r="B504" s="2" t="s">
        <v>284</v>
      </c>
      <c r="J504" s="6" t="str">
        <f>IFERROR(_xlfn.LET(_xlpm.v,
VLOOKUP($I504,効果!$A:$B,COLUMN(効果!B$1),FALSE),
IF(_xlpm.v=0,"",_xlpm.v)
),"")</f>
        <v/>
      </c>
      <c r="L504" s="15" t="str">
        <f>IF(OR(COUNTIF(クラス!$A$1:$A$1034, $B504),$B504="",COUNTIF(スキル一覧!$A$1:$A$3500, $B504)), "", "存在しない")</f>
        <v/>
      </c>
      <c r="M504" s="2" t="str">
        <f>IF(COUNTIF($B$1:$C503, $B504), "", "存在しない")</f>
        <v/>
      </c>
      <c r="N504" s="2" t="s">
        <v>1258</v>
      </c>
    </row>
    <row r="505" spans="1:14" hidden="1" outlineLevel="1" x14ac:dyDescent="0.4">
      <c r="A505" s="2">
        <v>3</v>
      </c>
      <c r="J505" s="6" t="str">
        <f>IFERROR(_xlfn.LET(_xlpm.v,
VLOOKUP($I505,効果!$A:$B,COLUMN(効果!B$1),FALSE),
IF(_xlpm.v=0,"",_xlpm.v)
),"")</f>
        <v/>
      </c>
      <c r="L505" s="15" t="str">
        <f>IF(OR(COUNTIF(クラス!$A$1:$A$1034, $B505),$B505="",COUNTIF(スキル一覧!$A$1:$A$3500, $B505)), "", "存在しない")</f>
        <v/>
      </c>
      <c r="M505" s="2" t="str">
        <f>IF(COUNTIF($B$1:$C504, $B505), "", "存在しない")</f>
        <v>存在しない</v>
      </c>
      <c r="N505" s="2" t="s">
        <v>1258</v>
      </c>
    </row>
    <row r="506" spans="1:14" hidden="1" outlineLevel="1" x14ac:dyDescent="0.4">
      <c r="A506" s="2">
        <v>4</v>
      </c>
      <c r="J506" s="6" t="str">
        <f>IFERROR(_xlfn.LET(_xlpm.v,
VLOOKUP($I506,効果!$A:$B,COLUMN(効果!B$1),FALSE),
IF(_xlpm.v=0,"",_xlpm.v)
),"")</f>
        <v/>
      </c>
      <c r="L506" s="15" t="str">
        <f>IF(OR(COUNTIF(クラス!$A$1:$A$1034, $B506),$B506="",COUNTIF(スキル一覧!$A$1:$A$3500, $B506)), "", "存在しない")</f>
        <v/>
      </c>
      <c r="M506" s="2" t="str">
        <f>IF(COUNTIF($B$1:$C505, $B506), "", "存在しない")</f>
        <v>存在しない</v>
      </c>
      <c r="N506" s="2" t="s">
        <v>1258</v>
      </c>
    </row>
    <row r="507" spans="1:14" hidden="1" outlineLevel="1" x14ac:dyDescent="0.4">
      <c r="A507" s="2">
        <v>5</v>
      </c>
      <c r="J507" s="6" t="str">
        <f>IFERROR(_xlfn.LET(_xlpm.v,
VLOOKUP($I507,効果!$A:$B,COLUMN(効果!B$1),FALSE),
IF(_xlpm.v=0,"",_xlpm.v)
),"")</f>
        <v/>
      </c>
      <c r="L507" s="15" t="str">
        <f>IF(OR(COUNTIF(クラス!$A$1:$A$1034, $B507),$B507="",COUNTIF(スキル一覧!$A$1:$A$3500, $B507)), "", "存在しない")</f>
        <v/>
      </c>
      <c r="M507" s="2" t="str">
        <f>IF(COUNTIF($B$1:$C506, $B507), "", "存在しない")</f>
        <v>存在しない</v>
      </c>
      <c r="N507" s="2" t="s">
        <v>1258</v>
      </c>
    </row>
    <row r="508" spans="1:14" hidden="1" outlineLevel="1" x14ac:dyDescent="0.4">
      <c r="A508" s="2">
        <v>6</v>
      </c>
      <c r="J508" s="6" t="str">
        <f>IFERROR(_xlfn.LET(_xlpm.v,
VLOOKUP($I508,効果!$A:$B,COLUMN(効果!B$1),FALSE),
IF(_xlpm.v=0,"",_xlpm.v)
),"")</f>
        <v/>
      </c>
      <c r="L508" s="15" t="str">
        <f>IF(OR(COUNTIF(クラス!$A$1:$A$1034, $B508),$B508="",COUNTIF(スキル一覧!$A$1:$A$3500, $B508)), "", "存在しない")</f>
        <v/>
      </c>
      <c r="M508" s="2" t="str">
        <f>IF(COUNTIF($B$1:$C507, $B508), "", "存在しない")</f>
        <v>存在しない</v>
      </c>
      <c r="N508" s="2" t="s">
        <v>1258</v>
      </c>
    </row>
    <row r="509" spans="1:14" hidden="1" outlineLevel="1" x14ac:dyDescent="0.4">
      <c r="A509" s="2">
        <v>7</v>
      </c>
      <c r="J509" s="6" t="str">
        <f>IFERROR(_xlfn.LET(_xlpm.v,
VLOOKUP($I509,効果!$A:$B,COLUMN(効果!B$1),FALSE),
IF(_xlpm.v=0,"",_xlpm.v)
),"")</f>
        <v/>
      </c>
      <c r="L509" s="15" t="str">
        <f>IF(OR(COUNTIF(クラス!$A$1:$A$1034, $B509),$B509="",COUNTIF(スキル一覧!$A$1:$A$3500, $B509)), "", "存在しない")</f>
        <v/>
      </c>
      <c r="M509" s="2" t="str">
        <f>IF(COUNTIF($B$1:$C508, $B509), "", "存在しない")</f>
        <v>存在しない</v>
      </c>
      <c r="N509" s="2" t="s">
        <v>1258</v>
      </c>
    </row>
    <row r="510" spans="1:14" hidden="1" outlineLevel="1" x14ac:dyDescent="0.4">
      <c r="A510" s="2">
        <v>8</v>
      </c>
      <c r="J510" s="6" t="str">
        <f>IFERROR(_xlfn.LET(_xlpm.v,
VLOOKUP($I510,効果!$A:$B,COLUMN(効果!B$1),FALSE),
IF(_xlpm.v=0,"",_xlpm.v)
),"")</f>
        <v/>
      </c>
      <c r="L510" s="15" t="str">
        <f>IF(OR(COUNTIF(クラス!$A$1:$A$1034, $B510),$B510="",COUNTIF(スキル一覧!$A$1:$A$3500, $B510)), "", "存在しない")</f>
        <v/>
      </c>
      <c r="M510" s="2" t="str">
        <f>IF(COUNTIF($B$1:$C509, $B510), "", "存在しない")</f>
        <v>存在しない</v>
      </c>
      <c r="N510" s="2" t="s">
        <v>1258</v>
      </c>
    </row>
    <row r="511" spans="1:14" hidden="1" outlineLevel="1" x14ac:dyDescent="0.4">
      <c r="A511" s="2">
        <v>9</v>
      </c>
      <c r="J511" s="6" t="str">
        <f>IFERROR(_xlfn.LET(_xlpm.v,
VLOOKUP($I511,効果!$A:$B,COLUMN(効果!B$1),FALSE),
IF(_xlpm.v=0,"",_xlpm.v)
),"")</f>
        <v/>
      </c>
      <c r="L511" s="15" t="str">
        <f>IF(OR(COUNTIF(クラス!$A$1:$A$1034, $B511),$B511="",COUNTIF(スキル一覧!$A$1:$A$3500, $B511)), "", "存在しない")</f>
        <v/>
      </c>
      <c r="M511" s="2" t="str">
        <f>IF(COUNTIF($B$1:$C510, $B511), "", "存在しない")</f>
        <v>存在しない</v>
      </c>
      <c r="N511" s="2" t="s">
        <v>1258</v>
      </c>
    </row>
    <row r="512" spans="1:14" hidden="1" outlineLevel="1" x14ac:dyDescent="0.4">
      <c r="A512" s="2">
        <v>10</v>
      </c>
      <c r="J512" s="6" t="str">
        <f>IFERROR(_xlfn.LET(_xlpm.v,
VLOOKUP($I512,効果!$A:$B,COLUMN(効果!B$1),FALSE),
IF(_xlpm.v=0,"",_xlpm.v)
),"")</f>
        <v/>
      </c>
      <c r="L512" s="15" t="str">
        <f>IF(OR(COUNTIF(クラス!$A$1:$A$1034, $B512),$B512="",COUNTIF(スキル一覧!$A$1:$A$3500, $B512)), "", "存在しない")</f>
        <v/>
      </c>
      <c r="M512" s="2" t="str">
        <f>IF(COUNTIF($B$1:$C511, $B512), "", "存在しない")</f>
        <v>存在しない</v>
      </c>
      <c r="N512" s="2" t="s">
        <v>1258</v>
      </c>
    </row>
    <row r="513" spans="1:14" hidden="1" outlineLevel="1" x14ac:dyDescent="0.4">
      <c r="J513" s="6" t="str">
        <f>IFERROR(_xlfn.LET(_xlpm.v,
VLOOKUP($I513,効果!$A:$B,COLUMN(効果!B$1),FALSE),
IF(_xlpm.v=0,"",_xlpm.v)
),"")</f>
        <v/>
      </c>
      <c r="L513" s="15" t="str">
        <f>IF(OR(COUNTIF(クラス!$A$1:$A$1034, $B513),$B513="",COUNTIF(スキル一覧!$A$1:$A$3500, $B513)), "", "存在しない")</f>
        <v/>
      </c>
      <c r="M513" s="2" t="str">
        <f>IF(COUNTIF($B$1:$C512, $B513), "", "存在しない")</f>
        <v>存在しない</v>
      </c>
      <c r="N513" s="2" t="s">
        <v>1258</v>
      </c>
    </row>
    <row r="514" spans="1:14" collapsed="1" x14ac:dyDescent="0.4">
      <c r="J514" s="6" t="str">
        <f>IFERROR(_xlfn.LET(_xlpm.v,
VLOOKUP($I514,効果!$A:$B,COLUMN(効果!B$1),FALSE),
IF(_xlpm.v=0,"",_xlpm.v)
),"")</f>
        <v/>
      </c>
      <c r="L514" s="15" t="str">
        <f>IF(OR(COUNTIF(クラス!$A$1:$A$1034, $B514),$B514="",COUNTIF(スキル一覧!$A$1:$A$3500, $B514)), "", "存在しない")</f>
        <v/>
      </c>
      <c r="M514" s="2" t="str">
        <f>IF(COUNTIF($B$1:$C513, $B514), "", "存在しない")</f>
        <v>存在しない</v>
      </c>
      <c r="N514" s="2" t="s">
        <v>1258</v>
      </c>
    </row>
    <row r="515" spans="1:14" x14ac:dyDescent="0.4">
      <c r="B515" s="2" t="s">
        <v>203</v>
      </c>
      <c r="J515" s="6" t="str">
        <f>IFERROR(_xlfn.LET(_xlpm.v,
VLOOKUP($I515,効果!$A:$B,COLUMN(効果!B$1),FALSE),
IF(_xlpm.v=0,"",_xlpm.v)
),"")</f>
        <v/>
      </c>
      <c r="L515" s="15" t="str">
        <f>IF(OR(COUNTIF(クラス!$A$1:$A$1034, $B515),$B515="",COUNTIF(スキル一覧!$A$1:$A$3500, $B515)), "", "存在しない")</f>
        <v/>
      </c>
      <c r="M515" s="2" t="str">
        <f>IF(COUNTIF($B$1:$C514, $B515), "", "存在しない")</f>
        <v>存在しない</v>
      </c>
      <c r="N515" s="2" t="s">
        <v>1258</v>
      </c>
    </row>
    <row r="516" spans="1:14" hidden="1" outlineLevel="1" x14ac:dyDescent="0.4">
      <c r="A516" s="2">
        <v>1</v>
      </c>
      <c r="B516" s="2" t="s">
        <v>284</v>
      </c>
      <c r="J516" s="6" t="str">
        <f>IFERROR(_xlfn.LET(_xlpm.v,
VLOOKUP($I516,効果!$A:$B,COLUMN(効果!B$1),FALSE),
IF(_xlpm.v=0,"",_xlpm.v)
),"")</f>
        <v/>
      </c>
      <c r="L516" s="15" t="str">
        <f>IF(OR(COUNTIF(クラス!$A$1:$A$1034, $B516),$B516="",COUNTIF(スキル一覧!$A$1:$A$3500, $B516)), "", "存在しない")</f>
        <v/>
      </c>
      <c r="M516" s="2" t="str">
        <f>IF(COUNTIF($B$1:$C515, $B516), "", "存在しない")</f>
        <v/>
      </c>
      <c r="N516" s="2" t="s">
        <v>1258</v>
      </c>
    </row>
    <row r="517" spans="1:14" hidden="1" outlineLevel="1" x14ac:dyDescent="0.4">
      <c r="A517" s="2">
        <v>2</v>
      </c>
      <c r="J517" s="6" t="str">
        <f>IFERROR(_xlfn.LET(_xlpm.v,
VLOOKUP($I517,効果!$A:$B,COLUMN(効果!B$1),FALSE),
IF(_xlpm.v=0,"",_xlpm.v)
),"")</f>
        <v/>
      </c>
      <c r="L517" s="15" t="str">
        <f>IF(OR(COUNTIF(クラス!$A$1:$A$1034, $B517),$B517="",COUNTIF(スキル一覧!$A$1:$A$3500, $B517)), "", "存在しない")</f>
        <v/>
      </c>
      <c r="M517" s="2" t="str">
        <f>IF(COUNTIF($B$1:$C516, $B517), "", "存在しない")</f>
        <v>存在しない</v>
      </c>
      <c r="N517" s="2" t="s">
        <v>1258</v>
      </c>
    </row>
    <row r="518" spans="1:14" hidden="1" outlineLevel="1" x14ac:dyDescent="0.4">
      <c r="A518" s="2">
        <v>3</v>
      </c>
      <c r="J518" s="6" t="str">
        <f>IFERROR(_xlfn.LET(_xlpm.v,
VLOOKUP($I518,効果!$A:$B,COLUMN(効果!B$1),FALSE),
IF(_xlpm.v=0,"",_xlpm.v)
),"")</f>
        <v/>
      </c>
      <c r="L518" s="15" t="str">
        <f>IF(OR(COUNTIF(クラス!$A$1:$A$1034, $B518),$B518="",COUNTIF(スキル一覧!$A$1:$A$3500, $B518)), "", "存在しない")</f>
        <v/>
      </c>
      <c r="M518" s="2" t="str">
        <f>IF(COUNTIF($B$1:$C517, $B518), "", "存在しない")</f>
        <v>存在しない</v>
      </c>
      <c r="N518" s="2" t="s">
        <v>1258</v>
      </c>
    </row>
    <row r="519" spans="1:14" hidden="1" outlineLevel="1" x14ac:dyDescent="0.4">
      <c r="A519" s="2">
        <v>4</v>
      </c>
      <c r="J519" s="6" t="str">
        <f>IFERROR(_xlfn.LET(_xlpm.v,
VLOOKUP($I519,効果!$A:$B,COLUMN(効果!B$1),FALSE),
IF(_xlpm.v=0,"",_xlpm.v)
),"")</f>
        <v/>
      </c>
      <c r="L519" s="15" t="str">
        <f>IF(OR(COUNTIF(クラス!$A$1:$A$1034, $B519),$B519="",COUNTIF(スキル一覧!$A$1:$A$3500, $B519)), "", "存在しない")</f>
        <v/>
      </c>
      <c r="M519" s="2" t="str">
        <f>IF(COUNTIF($B$1:$C518, $B519), "", "存在しない")</f>
        <v>存在しない</v>
      </c>
      <c r="N519" s="2" t="s">
        <v>1258</v>
      </c>
    </row>
    <row r="520" spans="1:14" hidden="1" outlineLevel="1" x14ac:dyDescent="0.4">
      <c r="A520" s="2">
        <v>5</v>
      </c>
      <c r="J520" s="6" t="str">
        <f>IFERROR(_xlfn.LET(_xlpm.v,
VLOOKUP($I520,効果!$A:$B,COLUMN(効果!B$1),FALSE),
IF(_xlpm.v=0,"",_xlpm.v)
),"")</f>
        <v/>
      </c>
      <c r="L520" s="15" t="str">
        <f>IF(OR(COUNTIF(クラス!$A$1:$A$1034, $B520),$B520="",COUNTIF(スキル一覧!$A$1:$A$3500, $B520)), "", "存在しない")</f>
        <v/>
      </c>
      <c r="M520" s="2" t="str">
        <f>IF(COUNTIF($B$1:$C519, $B520), "", "存在しない")</f>
        <v>存在しない</v>
      </c>
      <c r="N520" s="2" t="s">
        <v>1258</v>
      </c>
    </row>
    <row r="521" spans="1:14" hidden="1" outlineLevel="1" x14ac:dyDescent="0.4">
      <c r="A521" s="2">
        <v>6</v>
      </c>
      <c r="J521" s="6" t="str">
        <f>IFERROR(_xlfn.LET(_xlpm.v,
VLOOKUP($I521,効果!$A:$B,COLUMN(効果!B$1),FALSE),
IF(_xlpm.v=0,"",_xlpm.v)
),"")</f>
        <v/>
      </c>
      <c r="L521" s="15" t="str">
        <f>IF(OR(COUNTIF(クラス!$A$1:$A$1034, $B521),$B521="",COUNTIF(スキル一覧!$A$1:$A$3500, $B521)), "", "存在しない")</f>
        <v/>
      </c>
      <c r="M521" s="2" t="str">
        <f>IF(COUNTIF($B$1:$C520, $B521), "", "存在しない")</f>
        <v>存在しない</v>
      </c>
      <c r="N521" s="2" t="s">
        <v>1258</v>
      </c>
    </row>
    <row r="522" spans="1:14" hidden="1" outlineLevel="1" x14ac:dyDescent="0.4">
      <c r="A522" s="2">
        <v>7</v>
      </c>
      <c r="J522" s="6" t="str">
        <f>IFERROR(_xlfn.LET(_xlpm.v,
VLOOKUP($I522,効果!$A:$B,COLUMN(効果!B$1),FALSE),
IF(_xlpm.v=0,"",_xlpm.v)
),"")</f>
        <v/>
      </c>
      <c r="L522" s="15" t="str">
        <f>IF(OR(COUNTIF(クラス!$A$1:$A$1034, $B522),$B522="",COUNTIF(スキル一覧!$A$1:$A$3500, $B522)), "", "存在しない")</f>
        <v/>
      </c>
      <c r="M522" s="2" t="str">
        <f>IF(COUNTIF($B$1:$C521, $B522), "", "存在しない")</f>
        <v>存在しない</v>
      </c>
      <c r="N522" s="2" t="s">
        <v>1258</v>
      </c>
    </row>
    <row r="523" spans="1:14" hidden="1" outlineLevel="1" x14ac:dyDescent="0.4">
      <c r="A523" s="2">
        <v>8</v>
      </c>
      <c r="J523" s="6" t="str">
        <f>IFERROR(_xlfn.LET(_xlpm.v,
VLOOKUP($I523,効果!$A:$B,COLUMN(効果!B$1),FALSE),
IF(_xlpm.v=0,"",_xlpm.v)
),"")</f>
        <v/>
      </c>
      <c r="L523" s="15" t="str">
        <f>IF(OR(COUNTIF(クラス!$A$1:$A$1034, $B523),$B523="",COUNTIF(スキル一覧!$A$1:$A$3500, $B523)), "", "存在しない")</f>
        <v/>
      </c>
      <c r="M523" s="2" t="str">
        <f>IF(COUNTIF($B$1:$C522, $B523), "", "存在しない")</f>
        <v>存在しない</v>
      </c>
      <c r="N523" s="2" t="s">
        <v>1258</v>
      </c>
    </row>
    <row r="524" spans="1:14" hidden="1" outlineLevel="1" x14ac:dyDescent="0.4">
      <c r="A524" s="2">
        <v>9</v>
      </c>
      <c r="J524" s="6" t="str">
        <f>IFERROR(_xlfn.LET(_xlpm.v,
VLOOKUP($I524,効果!$A:$B,COLUMN(効果!B$1),FALSE),
IF(_xlpm.v=0,"",_xlpm.v)
),"")</f>
        <v/>
      </c>
      <c r="L524" s="15" t="str">
        <f>IF(OR(COUNTIF(クラス!$A$1:$A$1034, $B524),$B524="",COUNTIF(スキル一覧!$A$1:$A$3500, $B524)), "", "存在しない")</f>
        <v/>
      </c>
      <c r="M524" s="2" t="str">
        <f>IF(COUNTIF($B$1:$C523, $B524), "", "存在しない")</f>
        <v>存在しない</v>
      </c>
      <c r="N524" s="2" t="s">
        <v>1258</v>
      </c>
    </row>
    <row r="525" spans="1:14" hidden="1" outlineLevel="1" x14ac:dyDescent="0.4">
      <c r="A525" s="2">
        <v>10</v>
      </c>
      <c r="J525" s="6" t="str">
        <f>IFERROR(_xlfn.LET(_xlpm.v,
VLOOKUP($I525,効果!$A:$B,COLUMN(効果!B$1),FALSE),
IF(_xlpm.v=0,"",_xlpm.v)
),"")</f>
        <v/>
      </c>
      <c r="L525" s="15" t="str">
        <f>IF(OR(COUNTIF(クラス!$A$1:$A$1034, $B525),$B525="",COUNTIF(スキル一覧!$A$1:$A$3500, $B525)), "", "存在しない")</f>
        <v/>
      </c>
      <c r="M525" s="2" t="str">
        <f>IF(COUNTIF($B$1:$C524, $B525), "", "存在しない")</f>
        <v>存在しない</v>
      </c>
      <c r="N525" s="2" t="s">
        <v>1258</v>
      </c>
    </row>
    <row r="526" spans="1:14" hidden="1" outlineLevel="1" x14ac:dyDescent="0.4">
      <c r="J526" s="6" t="str">
        <f>IFERROR(_xlfn.LET(_xlpm.v,
VLOOKUP($I526,効果!$A:$B,COLUMN(効果!B$1),FALSE),
IF(_xlpm.v=0,"",_xlpm.v)
),"")</f>
        <v/>
      </c>
      <c r="L526" s="15" t="str">
        <f>IF(OR(COUNTIF(クラス!$A$1:$A$1034, $B526),$B526="",COUNTIF(スキル一覧!$A$1:$A$3500, $B526)), "", "存在しない")</f>
        <v/>
      </c>
      <c r="M526" s="2" t="str">
        <f>IF(COUNTIF($B$1:$C525, $B526), "", "存在しない")</f>
        <v>存在しない</v>
      </c>
      <c r="N526" s="2" t="s">
        <v>1258</v>
      </c>
    </row>
    <row r="527" spans="1:14" collapsed="1" x14ac:dyDescent="0.4">
      <c r="J527" s="6" t="str">
        <f>IFERROR(_xlfn.LET(_xlpm.v,
VLOOKUP($I527,効果!$A:$B,COLUMN(効果!B$1),FALSE),
IF(_xlpm.v=0,"",_xlpm.v)
),"")</f>
        <v/>
      </c>
      <c r="L527" s="15" t="str">
        <f>IF(OR(COUNTIF(クラス!$A$1:$A$1034, $B527),$B527="",COUNTIF(スキル一覧!$A$1:$A$3500, $B527)), "", "存在しない")</f>
        <v/>
      </c>
      <c r="M527" s="2" t="str">
        <f>IF(COUNTIF($B$1:$C526, $B527), "", "存在しない")</f>
        <v>存在しない</v>
      </c>
      <c r="N527" s="2" t="s">
        <v>1258</v>
      </c>
    </row>
    <row r="528" spans="1:14" x14ac:dyDescent="0.4">
      <c r="J528" s="6" t="str">
        <f>IFERROR(_xlfn.LET(_xlpm.v,
VLOOKUP($I528,効果!$A:$B,COLUMN(効果!B$1),FALSE),
IF(_xlpm.v=0,"",_xlpm.v)
),"")</f>
        <v/>
      </c>
      <c r="L528" s="15" t="str">
        <f>IF(OR(COUNTIF(クラス!$A$1:$A$1034, $B528),$B528="",COUNTIF(スキル一覧!$A$1:$A$3500, $B528)), "", "存在しない")</f>
        <v/>
      </c>
      <c r="M528" s="2" t="str">
        <f>IF(COUNTIF($B$1:$C527, $B528), "", "存在しない")</f>
        <v>存在しない</v>
      </c>
      <c r="N528" s="2" t="s">
        <v>1258</v>
      </c>
    </row>
    <row r="529" spans="1:14" ht="18.75" x14ac:dyDescent="0.4">
      <c r="B529" t="s">
        <v>861</v>
      </c>
      <c r="D529" s="7" t="s">
        <v>867</v>
      </c>
      <c r="E529" s="13" t="s">
        <v>868</v>
      </c>
      <c r="J529" s="6" t="str">
        <f>IFERROR(_xlfn.LET(_xlpm.v,
VLOOKUP($I529,効果!$A:$B,COLUMN(効果!B$1),FALSE),
IF(_xlpm.v=0,"",_xlpm.v)
),"")</f>
        <v/>
      </c>
      <c r="L529" s="15" t="str">
        <f>IF(OR(COUNTIF(クラス!$A$1:$A$1034, $B529),$B529="",COUNTIF(スキル一覧!$A$1:$A$3500, $B529)), "", "存在しない")</f>
        <v/>
      </c>
      <c r="M529" s="2" t="str">
        <f>IF(COUNTIF($B$1:$C528, $B529), "", "存在しない")</f>
        <v>存在しない</v>
      </c>
      <c r="N529" s="2" t="s">
        <v>1258</v>
      </c>
    </row>
    <row r="530" spans="1:14" hidden="1" outlineLevel="1" x14ac:dyDescent="0.4">
      <c r="A530" s="2">
        <v>1</v>
      </c>
      <c r="B530" s="2" t="str">
        <f>D529&amp;"の適用"</f>
        <v>炎の適用</v>
      </c>
      <c r="D530" s="7"/>
      <c r="E530" s="13" t="s">
        <v>475</v>
      </c>
      <c r="H530" s="10" t="str">
        <f>D529&amp;"耐性+30"</f>
        <v>炎耐性+30</v>
      </c>
      <c r="J530" s="6" t="str">
        <f>IFERROR(_xlfn.LET(_xlpm.v,
VLOOKUP($I530,効果!$A:$B,COLUMN(効果!B$1),FALSE),
IF(_xlpm.v=0,"",_xlpm.v)
),"")</f>
        <v/>
      </c>
      <c r="L530" s="15" t="str">
        <f>IF(OR(COUNTIF(クラス!$A$1:$A$1034,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IF(OR(COUNTIF(クラス!$A$1:$A$1034, $B531),$B531="",COUNTIF(スキル一覧!$A$1:$A$3500, $B531)), "", "存在しない")</f>
        <v/>
      </c>
      <c r="M531" s="2" t="str">
        <f>IF(COUNTIF($B$1:$C530, $B531), "", "存在しない")</f>
        <v>存在しない</v>
      </c>
      <c r="N531" s="2" t="s">
        <v>1258</v>
      </c>
    </row>
    <row r="532" spans="1:14" ht="36" hidden="1" outlineLevel="1" x14ac:dyDescent="0.4">
      <c r="A532" s="2">
        <v>3</v>
      </c>
      <c r="B532" s="2" t="str">
        <f>D529&amp;"の体"</f>
        <v>炎の体</v>
      </c>
      <c r="D532" s="7"/>
      <c r="E532" s="13" t="s">
        <v>775</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IF(OR(COUNTIF(クラス!$A$1:$A$1034,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IF(OR(COUNTIF(クラス!$A$1:$A$1034, $B533),$B533="",COUNTIF(スキル一覧!$A$1:$A$3500, $B533)), "", "存在しない")</f>
        <v/>
      </c>
      <c r="M533" s="2" t="str">
        <f>IF(COUNTIF($B$1:$C532, $B533), "", "存在しない")</f>
        <v>存在しない</v>
      </c>
      <c r="N533" s="2" t="s">
        <v>1258</v>
      </c>
    </row>
    <row r="534" spans="1:14" hidden="1" outlineLevel="1" x14ac:dyDescent="0.4">
      <c r="A534" s="2">
        <v>5</v>
      </c>
      <c r="D534" s="7"/>
      <c r="E534" s="13" t="s">
        <v>475</v>
      </c>
      <c r="J534" s="6" t="str">
        <f>IFERROR(_xlfn.LET(_xlpm.v,
VLOOKUP($I534,効果!$A:$B,COLUMN(効果!B$1),FALSE),
IF(_xlpm.v=0,"",_xlpm.v)
),"")</f>
        <v/>
      </c>
      <c r="L534" s="15" t="str">
        <f>IF(OR(COUNTIF(クラス!$A$1:$A$1034, $B534),$B534="",COUNTIF(スキル一覧!$A$1:$A$3500, $B534)), "", "存在しない")</f>
        <v/>
      </c>
      <c r="M534" s="2" t="str">
        <f>IF(COUNTIF($B$1:$C533, $B534), "", "存在しない")</f>
        <v>存在しない</v>
      </c>
      <c r="N534" s="2" t="s">
        <v>1258</v>
      </c>
    </row>
    <row r="535" spans="1:14" ht="36" hidden="1" outlineLevel="1" x14ac:dyDescent="0.4">
      <c r="A535" s="2">
        <v>6</v>
      </c>
      <c r="B535" s="2" t="str">
        <f>E529&amp;"突撃"</f>
        <v>火炎突撃</v>
      </c>
      <c r="D535" s="7" t="str">
        <f>D529</f>
        <v>炎</v>
      </c>
      <c r="E535" s="13" t="s">
        <v>775</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IF(OR(COUNTIF(クラス!$A$1:$A$1034,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IF(OR(COUNTIF(クラス!$A$1:$A$1034, $B536),$B536="",COUNTIF(スキル一覧!$A$1:$A$3500, $B536)), "", "存在しない")</f>
        <v/>
      </c>
      <c r="M536" s="2" t="str">
        <f>IF(COUNTIF($B$1:$C535, $B536), "", "存在しない")</f>
        <v>存在しない</v>
      </c>
      <c r="N536" s="2" t="s">
        <v>1258</v>
      </c>
    </row>
    <row r="537" spans="1:14" hidden="1" outlineLevel="1" x14ac:dyDescent="0.4">
      <c r="A537" s="2">
        <v>8</v>
      </c>
      <c r="D537" s="7"/>
      <c r="J537" s="6" t="str">
        <f>IFERROR(_xlfn.LET(_xlpm.v,
VLOOKUP($I537,効果!$A:$B,COLUMN(効果!B$1),FALSE),
IF(_xlpm.v=0,"",_xlpm.v)
),"")</f>
        <v/>
      </c>
      <c r="L537" s="15" t="str">
        <f>IF(OR(COUNTIF(クラス!$A$1:$A$1034, $B537),$B537="",COUNTIF(スキル一覧!$A$1:$A$3500, $B537)), "", "存在しない")</f>
        <v/>
      </c>
      <c r="M537" s="2" t="str">
        <f>IF(COUNTIF($B$1:$C536, $B537), "", "存在しない")</f>
        <v>存在しない</v>
      </c>
      <c r="N537" s="2" t="s">
        <v>1258</v>
      </c>
    </row>
    <row r="538" spans="1:14" hidden="1" outlineLevel="1" x14ac:dyDescent="0.4">
      <c r="A538" s="2">
        <v>9</v>
      </c>
      <c r="B538" s="2" t="str">
        <f>D529&amp;"強化"</f>
        <v>炎強化</v>
      </c>
      <c r="D538" s="7"/>
      <c r="E538" s="13" t="s">
        <v>475</v>
      </c>
      <c r="H538" s="10" t="str">
        <f>"条件系統:"&amp;D529&amp;" 全威力+10"</f>
        <v>条件系統:炎 全威力+10</v>
      </c>
      <c r="J538" s="6" t="str">
        <f>IFERROR(_xlfn.LET(_xlpm.v,
VLOOKUP($I538,効果!$A:$B,COLUMN(効果!B$1),FALSE),
IF(_xlpm.v=0,"",_xlpm.v)
),"")</f>
        <v/>
      </c>
      <c r="L538" s="15" t="str">
        <f>IF(OR(COUNTIF(クラス!$A$1:$A$1034,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775</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IF(OR(COUNTIF(クラス!$A$1:$A$1034,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IF(OR(COUNTIF(クラス!$A$1:$A$1034, $B540),$B540="",COUNTIF(スキル一覧!$A$1:$A$3500, $B540)), "", "存在しない")</f>
        <v/>
      </c>
      <c r="M540" s="2" t="str">
        <f>IF(COUNTIF($B$1:$C539, $B540), "", "存在しない")</f>
        <v>存在しない</v>
      </c>
      <c r="N540" s="2" t="s">
        <v>1258</v>
      </c>
    </row>
    <row r="541" spans="1:14" collapsed="1" x14ac:dyDescent="0.4">
      <c r="J541" s="6" t="str">
        <f>IFERROR(_xlfn.LET(_xlpm.v,
VLOOKUP($I541,効果!$A:$B,COLUMN(効果!B$1),FALSE),
IF(_xlpm.v=0,"",_xlpm.v)
),"")</f>
        <v/>
      </c>
      <c r="L541" s="15" t="str">
        <f>IF(OR(COUNTIF(クラス!$A$1:$A$1034, $B541),$B541="",COUNTIF(スキル一覧!$A$1:$A$3500, $B541)), "", "存在しない")</f>
        <v/>
      </c>
      <c r="M541" s="2" t="str">
        <f>IF(COUNTIF($B$1:$C540, $B541), "", "存在しない")</f>
        <v>存在しない</v>
      </c>
      <c r="N541" s="2" t="s">
        <v>1258</v>
      </c>
    </row>
    <row r="542" spans="1:14" ht="18.75" x14ac:dyDescent="0.4">
      <c r="B542" t="s">
        <v>862</v>
      </c>
      <c r="D542" s="2" t="s">
        <v>870</v>
      </c>
      <c r="E542" s="13" t="s">
        <v>871</v>
      </c>
      <c r="J542" s="6" t="str">
        <f>IFERROR(_xlfn.LET(_xlpm.v,
VLOOKUP($I542,効果!$A:$B,COLUMN(効果!B$1),FALSE),
IF(_xlpm.v=0,"",_xlpm.v)
),"")</f>
        <v/>
      </c>
      <c r="L542" s="15" t="str">
        <f>IF(OR(COUNTIF(クラス!$A$1:$A$1034, $B542),$B542="",COUNTIF(スキル一覧!$A$1:$A$3500, $B542)), "", "存在しない")</f>
        <v/>
      </c>
      <c r="M542" s="2" t="str">
        <f>IF(COUNTIF($B$1:$C541, $B542), "", "存在しない")</f>
        <v>存在しない</v>
      </c>
      <c r="N542" s="2" t="s">
        <v>1258</v>
      </c>
    </row>
    <row r="543" spans="1:14" hidden="1" outlineLevel="1" x14ac:dyDescent="0.4">
      <c r="A543" s="2">
        <v>1</v>
      </c>
      <c r="B543" s="2" t="str">
        <f>D542&amp;"の適用"</f>
        <v>氷の適用</v>
      </c>
      <c r="D543" s="7"/>
      <c r="E543" s="13" t="s">
        <v>475</v>
      </c>
      <c r="H543" s="10" t="str">
        <f>D542&amp;"耐性+30"</f>
        <v>氷耐性+30</v>
      </c>
      <c r="J543" s="6" t="str">
        <f>IFERROR(_xlfn.LET(_xlpm.v,
VLOOKUP($I543,効果!$A:$B,COLUMN(効果!B$1),FALSE),
IF(_xlpm.v=0,"",_xlpm.v)
),"")</f>
        <v/>
      </c>
      <c r="L543" s="15" t="str">
        <f>IF(OR(COUNTIF(クラス!$A$1:$A$1034,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IF(OR(COUNTIF(クラス!$A$1:$A$1034, $B544),$B544="",COUNTIF(スキル一覧!$A$1:$A$3500, $B544)), "", "存在しない")</f>
        <v/>
      </c>
      <c r="M544" s="2" t="str">
        <f>IF(COUNTIF($B$1:$C543, $B544), "", "存在しない")</f>
        <v>存在しない</v>
      </c>
      <c r="N544" s="2" t="s">
        <v>1258</v>
      </c>
    </row>
    <row r="545" spans="1:14" ht="36" hidden="1" outlineLevel="1" x14ac:dyDescent="0.4">
      <c r="A545" s="2">
        <v>3</v>
      </c>
      <c r="B545" s="2" t="str">
        <f>D542&amp;"の体"</f>
        <v>氷の体</v>
      </c>
      <c r="D545" s="7"/>
      <c r="E545" s="13" t="s">
        <v>775</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IF(OR(COUNTIF(クラス!$A$1:$A$1034,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IF(OR(COUNTIF(クラス!$A$1:$A$1034, $B546),$B546="",COUNTIF(スキル一覧!$A$1:$A$3500, $B546)), "", "存在しない")</f>
        <v/>
      </c>
      <c r="M546" s="2" t="str">
        <f>IF(COUNTIF($B$1:$C545, $B546), "", "存在しない")</f>
        <v>存在しない</v>
      </c>
      <c r="N546" s="2" t="s">
        <v>1258</v>
      </c>
    </row>
    <row r="547" spans="1:14" hidden="1" outlineLevel="1" x14ac:dyDescent="0.4">
      <c r="A547" s="2">
        <v>5</v>
      </c>
      <c r="D547" s="7"/>
      <c r="E547" s="13" t="s">
        <v>475</v>
      </c>
      <c r="J547" s="6" t="str">
        <f>IFERROR(_xlfn.LET(_xlpm.v,
VLOOKUP($I547,効果!$A:$B,COLUMN(効果!B$1),FALSE),
IF(_xlpm.v=0,"",_xlpm.v)
),"")</f>
        <v/>
      </c>
      <c r="L547" s="15" t="str">
        <f>IF(OR(COUNTIF(クラス!$A$1:$A$1034, $B547),$B547="",COUNTIF(スキル一覧!$A$1:$A$3500, $B547)), "", "存在しない")</f>
        <v/>
      </c>
      <c r="M547" s="2" t="str">
        <f>IF(COUNTIF($B$1:$C546, $B547), "", "存在しない")</f>
        <v>存在しない</v>
      </c>
      <c r="N547" s="2" t="s">
        <v>1258</v>
      </c>
    </row>
    <row r="548" spans="1:14" ht="36" hidden="1" outlineLevel="1" x14ac:dyDescent="0.4">
      <c r="A548" s="2">
        <v>6</v>
      </c>
      <c r="B548" s="2" t="str">
        <f>E542&amp;"突撃"</f>
        <v>氷結突撃</v>
      </c>
      <c r="D548" s="7" t="str">
        <f>D542</f>
        <v>氷</v>
      </c>
      <c r="E548" s="13" t="s">
        <v>775</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IF(OR(COUNTIF(クラス!$A$1:$A$1034,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IF(OR(COUNTIF(クラス!$A$1:$A$1034, $B549),$B549="",COUNTIF(スキル一覧!$A$1:$A$3500, $B549)), "", "存在しない")</f>
        <v/>
      </c>
      <c r="M549" s="2" t="str">
        <f>IF(COUNTIF($B$1:$C548, $B549), "", "存在しない")</f>
        <v>存在しない</v>
      </c>
      <c r="N549" s="2" t="s">
        <v>1258</v>
      </c>
    </row>
    <row r="550" spans="1:14" hidden="1" outlineLevel="1" x14ac:dyDescent="0.4">
      <c r="A550" s="2">
        <v>8</v>
      </c>
      <c r="D550" s="7"/>
      <c r="J550" s="6" t="str">
        <f>IFERROR(_xlfn.LET(_xlpm.v,
VLOOKUP($I550,効果!$A:$B,COLUMN(効果!B$1),FALSE),
IF(_xlpm.v=0,"",_xlpm.v)
),"")</f>
        <v/>
      </c>
      <c r="L550" s="15" t="str">
        <f>IF(OR(COUNTIF(クラス!$A$1:$A$1034, $B550),$B550="",COUNTIF(スキル一覧!$A$1:$A$3500, $B550)), "", "存在しない")</f>
        <v/>
      </c>
      <c r="M550" s="2" t="str">
        <f>IF(COUNTIF($B$1:$C549, $B550), "", "存在しない")</f>
        <v>存在しない</v>
      </c>
      <c r="N550" s="2" t="s">
        <v>1258</v>
      </c>
    </row>
    <row r="551" spans="1:14" hidden="1" outlineLevel="1" x14ac:dyDescent="0.4">
      <c r="A551" s="2">
        <v>9</v>
      </c>
      <c r="B551" s="2" t="str">
        <f>D542&amp;"強化"</f>
        <v>氷強化</v>
      </c>
      <c r="D551" s="7"/>
      <c r="E551" s="13" t="s">
        <v>475</v>
      </c>
      <c r="H551" s="10" t="str">
        <f>"条件系統:"&amp;D542&amp;" 全威力+10"</f>
        <v>条件系統:氷 全威力+10</v>
      </c>
      <c r="J551" s="6" t="str">
        <f>IFERROR(_xlfn.LET(_xlpm.v,
VLOOKUP($I551,効果!$A:$B,COLUMN(効果!B$1),FALSE),
IF(_xlpm.v=0,"",_xlpm.v)
),"")</f>
        <v/>
      </c>
      <c r="L551" s="15" t="str">
        <f>IF(OR(COUNTIF(クラス!$A$1:$A$1034,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775</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IF(OR(COUNTIF(クラス!$A$1:$A$1034,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IF(OR(COUNTIF(クラス!$A$1:$A$1034, $B553),$B553="",COUNTIF(スキル一覧!$A$1:$A$3500, $B553)), "", "存在しない")</f>
        <v/>
      </c>
      <c r="M553" s="2" t="str">
        <f>IF(COUNTIF($B$1:$C552, $B553), "", "存在しない")</f>
        <v>存在しない</v>
      </c>
      <c r="N553" s="2" t="s">
        <v>1258</v>
      </c>
    </row>
    <row r="554" spans="1:14" collapsed="1" x14ac:dyDescent="0.4">
      <c r="J554" s="6" t="str">
        <f>IFERROR(_xlfn.LET(_xlpm.v,
VLOOKUP($I554,効果!$A:$B,COLUMN(効果!B$1),FALSE),
IF(_xlpm.v=0,"",_xlpm.v)
),"")</f>
        <v/>
      </c>
      <c r="L554" s="15" t="str">
        <f>IF(OR(COUNTIF(クラス!$A$1:$A$1034, $B554),$B554="",COUNTIF(スキル一覧!$A$1:$A$3500, $B554)), "", "存在しない")</f>
        <v/>
      </c>
      <c r="M554" s="2" t="str">
        <f>IF(COUNTIF($B$1:$C553, $B554), "", "存在しない")</f>
        <v>存在しない</v>
      </c>
      <c r="N554" s="2" t="s">
        <v>1258</v>
      </c>
    </row>
    <row r="555" spans="1:14" ht="18.75" x14ac:dyDescent="0.4">
      <c r="B555" t="s">
        <v>863</v>
      </c>
      <c r="D555" s="2" t="s">
        <v>891</v>
      </c>
      <c r="E555" s="13" t="s">
        <v>902</v>
      </c>
      <c r="J555" s="6" t="str">
        <f>IFERROR(_xlfn.LET(_xlpm.v,
VLOOKUP($I555,効果!$A:$B,COLUMN(効果!B$1),FALSE),
IF(_xlpm.v=0,"",_xlpm.v)
),"")</f>
        <v/>
      </c>
      <c r="L555" s="15" t="str">
        <f>IF(OR(COUNTIF(クラス!$A$1:$A$1034, $B555),$B555="",COUNTIF(スキル一覧!$A$1:$A$3500, $B555)), "", "存在しない")</f>
        <v/>
      </c>
      <c r="M555" s="2" t="str">
        <f>IF(COUNTIF($B$1:$C554, $B555), "", "存在しない")</f>
        <v>存在しない</v>
      </c>
      <c r="N555" s="2" t="s">
        <v>1258</v>
      </c>
    </row>
    <row r="556" spans="1:14" hidden="1" outlineLevel="1" x14ac:dyDescent="0.4">
      <c r="A556" s="2">
        <v>1</v>
      </c>
      <c r="B556" s="2" t="s">
        <v>886</v>
      </c>
      <c r="D556" s="7"/>
      <c r="E556" s="13" t="s">
        <v>475</v>
      </c>
      <c r="H556" s="10" t="s">
        <v>890</v>
      </c>
      <c r="J556" s="6" t="str">
        <f>IFERROR(_xlfn.LET(_xlpm.v,
VLOOKUP($I556,効果!$A:$B,COLUMN(効果!B$1),FALSE),
IF(_xlpm.v=0,"",_xlpm.v)
),"")</f>
        <v/>
      </c>
      <c r="L556" s="15" t="str">
        <f>IF(OR(COUNTIF(クラス!$A$1:$A$1034,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IF(OR(COUNTIF(クラス!$A$1:$A$1034, $B557),$B557="",COUNTIF(スキル一覧!$A$1:$A$3500, $B557)), "", "存在しない")</f>
        <v/>
      </c>
      <c r="M557" s="2" t="str">
        <f>IF(COUNTIF($B$1:$C556, $B557), "", "存在しない")</f>
        <v>存在しない</v>
      </c>
      <c r="N557" s="2" t="s">
        <v>1258</v>
      </c>
    </row>
    <row r="558" spans="1:14" hidden="1" outlineLevel="1" x14ac:dyDescent="0.4">
      <c r="A558" s="2">
        <v>3</v>
      </c>
      <c r="B558" s="2" t="s">
        <v>887</v>
      </c>
      <c r="D558" s="7"/>
      <c r="E558" s="13" t="s">
        <v>775</v>
      </c>
      <c r="F558" s="14">
        <v>5</v>
      </c>
      <c r="G558" s="19">
        <v>20</v>
      </c>
      <c r="H558" s="10" t="s">
        <v>894</v>
      </c>
      <c r="I558" s="6" t="s">
        <v>278</v>
      </c>
      <c r="J558" s="6" t="str">
        <f>IFERROR(_xlfn.LET(_xlpm.v,
VLOOKUP($I558,効果!$A:$B,COLUMN(効果!B$1),FALSE),
IF(_xlpm.v=0,"",_xlpm.v)
),"")</f>
        <v>地形効果を無視する</v>
      </c>
      <c r="L558" s="15" t="str">
        <f>IF(OR(COUNTIF(クラス!$A$1:$A$1034,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IF(OR(COUNTIF(クラス!$A$1:$A$1034, $B559),$B559="",COUNTIF(スキル一覧!$A$1:$A$3500, $B559)), "", "存在しない")</f>
        <v/>
      </c>
      <c r="M559" s="2" t="str">
        <f>IF(COUNTIF($B$1:$C558, $B559), "", "存在しない")</f>
        <v>存在しない</v>
      </c>
      <c r="N559" s="2" t="s">
        <v>1258</v>
      </c>
    </row>
    <row r="560" spans="1:14" hidden="1" outlineLevel="1" x14ac:dyDescent="0.4">
      <c r="A560" s="2">
        <v>5</v>
      </c>
      <c r="D560" s="7"/>
      <c r="E560" s="13" t="s">
        <v>475</v>
      </c>
      <c r="J560" s="6" t="str">
        <f>IFERROR(_xlfn.LET(_xlpm.v,
VLOOKUP($I560,効果!$A:$B,COLUMN(効果!B$1),FALSE),
IF(_xlpm.v=0,"",_xlpm.v)
),"")</f>
        <v/>
      </c>
      <c r="L560" s="15" t="str">
        <f>IF(OR(COUNTIF(クラス!$A$1:$A$1034, $B560),$B560="",COUNTIF(スキル一覧!$A$1:$A$3500, $B560)), "", "存在しない")</f>
        <v/>
      </c>
      <c r="M560" s="2" t="str">
        <f>IF(COUNTIF($B$1:$C559, $B560), "", "存在しない")</f>
        <v>存在しない</v>
      </c>
      <c r="N560" s="2" t="s">
        <v>1258</v>
      </c>
    </row>
    <row r="561" spans="1:14" ht="36" hidden="1" outlineLevel="1" x14ac:dyDescent="0.4">
      <c r="A561" s="2">
        <v>6</v>
      </c>
      <c r="B561" s="2" t="s">
        <v>903</v>
      </c>
      <c r="D561" s="7" t="s">
        <v>885</v>
      </c>
      <c r="E561" s="13" t="s">
        <v>775</v>
      </c>
      <c r="F561" s="14">
        <v>5</v>
      </c>
      <c r="G561" s="19">
        <v>60</v>
      </c>
      <c r="H561" s="10" t="s">
        <v>892</v>
      </c>
      <c r="J561" s="6" t="str">
        <f>IFERROR(_xlfn.LET(_xlpm.v,
VLOOKUP($I561,効果!$A:$B,COLUMN(効果!B$1),FALSE),
IF(_xlpm.v=0,"",_xlpm.v)
),"")</f>
        <v/>
      </c>
      <c r="L561" s="15" t="str">
        <f>IF(OR(COUNTIF(クラス!$A$1:$A$1034,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IF(OR(COUNTIF(クラス!$A$1:$A$1034, $B562),$B562="",COUNTIF(スキル一覧!$A$1:$A$3500, $B562)), "", "存在しない")</f>
        <v/>
      </c>
      <c r="M562" s="2" t="str">
        <f>IF(COUNTIF($B$1:$C561, $B562), "", "存在しない")</f>
        <v>存在しない</v>
      </c>
      <c r="N562" s="2" t="s">
        <v>1258</v>
      </c>
    </row>
    <row r="563" spans="1:14" hidden="1" outlineLevel="1" x14ac:dyDescent="0.4">
      <c r="A563" s="2">
        <v>8</v>
      </c>
      <c r="D563" s="7"/>
      <c r="J563" s="6" t="str">
        <f>IFERROR(_xlfn.LET(_xlpm.v,
VLOOKUP($I563,効果!$A:$B,COLUMN(効果!B$1),FALSE),
IF(_xlpm.v=0,"",_xlpm.v)
),"")</f>
        <v/>
      </c>
      <c r="L563" s="15" t="str">
        <f>IF(OR(COUNTIF(クラス!$A$1:$A$1034, $B563),$B563="",COUNTIF(スキル一覧!$A$1:$A$3500, $B563)), "", "存在しない")</f>
        <v/>
      </c>
      <c r="M563" s="2" t="str">
        <f>IF(COUNTIF($B$1:$C562, $B563), "", "存在しない")</f>
        <v>存在しない</v>
      </c>
      <c r="N563" s="2" t="s">
        <v>1258</v>
      </c>
    </row>
    <row r="564" spans="1:14" hidden="1" outlineLevel="1" x14ac:dyDescent="0.4">
      <c r="A564" s="2">
        <v>9</v>
      </c>
      <c r="B564" s="2" t="s">
        <v>888</v>
      </c>
      <c r="D564" s="7"/>
      <c r="E564" s="13" t="s">
        <v>475</v>
      </c>
      <c r="H564" s="10" t="str">
        <f>"条件系統:"&amp;"風"&amp;" 全威力+10"</f>
        <v>条件系統:風 全威力+10</v>
      </c>
      <c r="J564" s="6" t="str">
        <f>IFERROR(_xlfn.LET(_xlpm.v,
VLOOKUP($I564,効果!$A:$B,COLUMN(効果!B$1),FALSE),
IF(_xlpm.v=0,"",_xlpm.v)
),"")</f>
        <v/>
      </c>
      <c r="L564" s="15" t="str">
        <f>IF(OR(COUNTIF(クラス!$A$1:$A$1034,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889</v>
      </c>
      <c r="D565" s="7" t="s">
        <v>885</v>
      </c>
      <c r="E565" s="13" t="s">
        <v>775</v>
      </c>
      <c r="G565" s="19">
        <v>25</v>
      </c>
      <c r="H565" s="10" t="str">
        <f>"攻撃手段:吐息 "&amp;D555&amp;"+30 射程:2 判定:Lv"</f>
        <v>攻撃手段:吐息 怯み+30 射程:2 判定:Lv</v>
      </c>
      <c r="I565" s="6" t="s">
        <v>425</v>
      </c>
      <c r="J565" s="6" t="str">
        <f>IFERROR(_xlfn.LET(_xlpm.v,
VLOOKUP($I565,効果!$A:$B,COLUMN(効果!B$1),FALSE),
IF(_xlpm.v=0,"",_xlpm.v)
),"")</f>
        <v>対象を後方へ移動させる</v>
      </c>
      <c r="L565" s="15" t="str">
        <f>IF(OR(COUNTIF(クラス!$A$1:$A$1034,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IF(OR(COUNTIF(クラス!$A$1:$A$1034, $B566),$B566="",COUNTIF(スキル一覧!$A$1:$A$3500, $B566)), "", "存在しない")</f>
        <v/>
      </c>
      <c r="M566" s="2" t="str">
        <f>IF(COUNTIF($B$1:$C565, $B566), "", "存在しない")</f>
        <v>存在しない</v>
      </c>
      <c r="N566" s="2" t="s">
        <v>1258</v>
      </c>
    </row>
    <row r="567" spans="1:14" collapsed="1" x14ac:dyDescent="0.4">
      <c r="J567" s="6" t="str">
        <f>IFERROR(_xlfn.LET(_xlpm.v,
VLOOKUP($I567,効果!$A:$B,COLUMN(効果!B$1),FALSE),
IF(_xlpm.v=0,"",_xlpm.v)
),"")</f>
        <v/>
      </c>
      <c r="L567" s="15" t="str">
        <f>IF(OR(COUNTIF(クラス!$A$1:$A$1034, $B567),$B567="",COUNTIF(スキル一覧!$A$1:$A$3500, $B567)), "", "存在しない")</f>
        <v/>
      </c>
      <c r="M567" s="2" t="str">
        <f>IF(COUNTIF($B$1:$C566, $B567), "", "存在しない")</f>
        <v>存在しない</v>
      </c>
      <c r="N567" s="2" t="s">
        <v>1258</v>
      </c>
    </row>
    <row r="568" spans="1:14" ht="18.75" x14ac:dyDescent="0.4">
      <c r="B568" t="s">
        <v>864</v>
      </c>
      <c r="D568" s="2" t="s">
        <v>872</v>
      </c>
      <c r="E568" s="13" t="s">
        <v>873</v>
      </c>
      <c r="J568" s="6" t="str">
        <f>IFERROR(_xlfn.LET(_xlpm.v,
VLOOKUP($I568,効果!$A:$B,COLUMN(効果!B$1),FALSE),
IF(_xlpm.v=0,"",_xlpm.v)
),"")</f>
        <v/>
      </c>
      <c r="L568" s="15" t="str">
        <f>IF(OR(COUNTIF(クラス!$A$1:$A$1034, $B568),$B568="",COUNTIF(スキル一覧!$A$1:$A$3500, $B568)), "", "存在しない")</f>
        <v/>
      </c>
      <c r="M568" s="2" t="str">
        <f>IF(COUNTIF($B$1:$C567, $B568), "", "存在しない")</f>
        <v>存在しない</v>
      </c>
      <c r="N568" s="2" t="s">
        <v>1258</v>
      </c>
    </row>
    <row r="569" spans="1:14" hidden="1" outlineLevel="1" x14ac:dyDescent="0.4">
      <c r="A569" s="2">
        <v>1</v>
      </c>
      <c r="B569" s="2" t="str">
        <f>D568&amp;"の適用"</f>
        <v>雷の適用</v>
      </c>
      <c r="D569" s="7"/>
      <c r="E569" s="13" t="s">
        <v>475</v>
      </c>
      <c r="H569" s="10" t="str">
        <f>D568&amp;"耐性+30"</f>
        <v>雷耐性+30</v>
      </c>
      <c r="J569" s="6" t="str">
        <f>IFERROR(_xlfn.LET(_xlpm.v,
VLOOKUP($I569,効果!$A:$B,COLUMN(効果!B$1),FALSE),
IF(_xlpm.v=0,"",_xlpm.v)
),"")</f>
        <v/>
      </c>
      <c r="L569" s="15" t="str">
        <f>IF(OR(COUNTIF(クラス!$A$1:$A$1034,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IF(OR(COUNTIF(クラス!$A$1:$A$1034, $B570),$B570="",COUNTIF(スキル一覧!$A$1:$A$3500, $B570)), "", "存在しない")</f>
        <v/>
      </c>
      <c r="M570" s="2" t="str">
        <f>IF(COUNTIF($B$1:$C569, $B570), "", "存在しない")</f>
        <v>存在しない</v>
      </c>
      <c r="N570" s="2" t="s">
        <v>1258</v>
      </c>
    </row>
    <row r="571" spans="1:14" ht="36" hidden="1" outlineLevel="1" x14ac:dyDescent="0.4">
      <c r="A571" s="2">
        <v>3</v>
      </c>
      <c r="B571" s="2" t="str">
        <f>D568&amp;"の体"</f>
        <v>雷の体</v>
      </c>
      <c r="D571" s="7"/>
      <c r="E571" s="13" t="s">
        <v>775</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IF(OR(COUNTIF(クラス!$A$1:$A$1034,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IF(OR(COUNTIF(クラス!$A$1:$A$1034, $B572),$B572="",COUNTIF(スキル一覧!$A$1:$A$3500, $B572)), "", "存在しない")</f>
        <v/>
      </c>
      <c r="M572" s="2" t="str">
        <f>IF(COUNTIF($B$1:$C571, $B572), "", "存在しない")</f>
        <v>存在しない</v>
      </c>
      <c r="N572" s="2" t="s">
        <v>1258</v>
      </c>
    </row>
    <row r="573" spans="1:14" hidden="1" outlineLevel="1" x14ac:dyDescent="0.4">
      <c r="A573" s="2">
        <v>5</v>
      </c>
      <c r="D573" s="7"/>
      <c r="E573" s="13" t="s">
        <v>475</v>
      </c>
      <c r="J573" s="6" t="str">
        <f>IFERROR(_xlfn.LET(_xlpm.v,
VLOOKUP($I573,効果!$A:$B,COLUMN(効果!B$1),FALSE),
IF(_xlpm.v=0,"",_xlpm.v)
),"")</f>
        <v/>
      </c>
      <c r="L573" s="15" t="str">
        <f>IF(OR(COUNTIF(クラス!$A$1:$A$1034, $B573),$B573="",COUNTIF(スキル一覧!$A$1:$A$3500, $B573)), "", "存在しない")</f>
        <v/>
      </c>
      <c r="M573" s="2" t="str">
        <f>IF(COUNTIF($B$1:$C572, $B573), "", "存在しない")</f>
        <v>存在しない</v>
      </c>
      <c r="N573" s="2" t="s">
        <v>1258</v>
      </c>
    </row>
    <row r="574" spans="1:14" ht="36" hidden="1" outlineLevel="1" x14ac:dyDescent="0.4">
      <c r="A574" s="2">
        <v>6</v>
      </c>
      <c r="B574" s="2" t="str">
        <f>E568&amp;"突撃"</f>
        <v>電撃突撃</v>
      </c>
      <c r="D574" s="7" t="str">
        <f>D568</f>
        <v>雷</v>
      </c>
      <c r="E574" s="13" t="s">
        <v>775</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IF(OR(COUNTIF(クラス!$A$1:$A$1034,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IF(OR(COUNTIF(クラス!$A$1:$A$1034, $B575),$B575="",COUNTIF(スキル一覧!$A$1:$A$3500, $B575)), "", "存在しない")</f>
        <v/>
      </c>
      <c r="M575" s="2" t="str">
        <f>IF(COUNTIF($B$1:$C574, $B575), "", "存在しない")</f>
        <v>存在しない</v>
      </c>
      <c r="N575" s="2" t="s">
        <v>1258</v>
      </c>
    </row>
    <row r="576" spans="1:14" hidden="1" outlineLevel="1" x14ac:dyDescent="0.4">
      <c r="A576" s="2">
        <v>8</v>
      </c>
      <c r="D576" s="7"/>
      <c r="J576" s="6" t="str">
        <f>IFERROR(_xlfn.LET(_xlpm.v,
VLOOKUP($I576,効果!$A:$B,COLUMN(効果!B$1),FALSE),
IF(_xlpm.v=0,"",_xlpm.v)
),"")</f>
        <v/>
      </c>
      <c r="L576" s="15" t="str">
        <f>IF(OR(COUNTIF(クラス!$A$1:$A$1034, $B576),$B576="",COUNTIF(スキル一覧!$A$1:$A$3500, $B576)), "", "存在しない")</f>
        <v/>
      </c>
      <c r="M576" s="2" t="str">
        <f>IF(COUNTIF($B$1:$C575, $B576), "", "存在しない")</f>
        <v>存在しない</v>
      </c>
      <c r="N576" s="2" t="s">
        <v>1258</v>
      </c>
    </row>
    <row r="577" spans="1:14" hidden="1" outlineLevel="1" x14ac:dyDescent="0.4">
      <c r="A577" s="2">
        <v>9</v>
      </c>
      <c r="B577" s="2" t="str">
        <f>D568&amp;"強化"</f>
        <v>雷強化</v>
      </c>
      <c r="D577" s="7"/>
      <c r="E577" s="13" t="s">
        <v>475</v>
      </c>
      <c r="H577" s="10" t="str">
        <f>"条件系統:"&amp;D568&amp;" 全威力+10"</f>
        <v>条件系統:雷 全威力+10</v>
      </c>
      <c r="J577" s="6" t="str">
        <f>IFERROR(_xlfn.LET(_xlpm.v,
VLOOKUP($I577,効果!$A:$B,COLUMN(効果!B$1),FALSE),
IF(_xlpm.v=0,"",_xlpm.v)
),"")</f>
        <v/>
      </c>
      <c r="L577" s="15" t="str">
        <f>IF(OR(COUNTIF(クラス!$A$1:$A$1034,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775</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IF(OR(COUNTIF(クラス!$A$1:$A$1034,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IF(OR(COUNTIF(クラス!$A$1:$A$1034, $B579),$B579="",COUNTIF(スキル一覧!$A$1:$A$3500, $B579)), "", "存在しない")</f>
        <v/>
      </c>
      <c r="M579" s="2" t="str">
        <f>IF(COUNTIF($B$1:$C578, $B579), "", "存在しない")</f>
        <v>存在しない</v>
      </c>
      <c r="N579" s="2" t="s">
        <v>1258</v>
      </c>
    </row>
    <row r="580" spans="1:14" collapsed="1" x14ac:dyDescent="0.4">
      <c r="J580" s="6" t="str">
        <f>IFERROR(_xlfn.LET(_xlpm.v,
VLOOKUP($I580,効果!$A:$B,COLUMN(効果!B$1),FALSE),
IF(_xlpm.v=0,"",_xlpm.v)
),"")</f>
        <v/>
      </c>
      <c r="L580" s="15" t="str">
        <f>IF(OR(COUNTIF(クラス!$A$1:$A$1034, $B580),$B580="",COUNTIF(スキル一覧!$A$1:$A$3500, $B580)), "", "存在しない")</f>
        <v/>
      </c>
      <c r="M580" s="2" t="str">
        <f>IF(COUNTIF($B$1:$C579, $B580), "", "存在しない")</f>
        <v>存在しない</v>
      </c>
      <c r="N580" s="2" t="s">
        <v>1258</v>
      </c>
    </row>
    <row r="581" spans="1:14" ht="18.75" x14ac:dyDescent="0.4">
      <c r="B581" t="s">
        <v>865</v>
      </c>
      <c r="D581" s="2" t="s">
        <v>874</v>
      </c>
      <c r="E581" s="13" t="s">
        <v>875</v>
      </c>
      <c r="J581" s="6" t="str">
        <f>IFERROR(_xlfn.LET(_xlpm.v,
VLOOKUP($I581,効果!$A:$B,COLUMN(効果!B$1),FALSE),
IF(_xlpm.v=0,"",_xlpm.v)
),"")</f>
        <v/>
      </c>
      <c r="L581" s="15" t="str">
        <f>IF(OR(COUNTIF(クラス!$A$1:$A$1034, $B581),$B581="",COUNTIF(スキル一覧!$A$1:$A$3500, $B581)), "", "存在しない")</f>
        <v/>
      </c>
      <c r="M581" s="2" t="str">
        <f>IF(COUNTIF($B$1:$C580, $B581), "", "存在しない")</f>
        <v>存在しない</v>
      </c>
      <c r="N581" s="2" t="s">
        <v>1258</v>
      </c>
    </row>
    <row r="582" spans="1:14" hidden="1" outlineLevel="1" x14ac:dyDescent="0.4">
      <c r="A582" s="2">
        <v>1</v>
      </c>
      <c r="B582" s="2" t="str">
        <f>D581&amp;"の適用"</f>
        <v>毒の適用</v>
      </c>
      <c r="D582" s="7"/>
      <c r="E582" s="13" t="s">
        <v>475</v>
      </c>
      <c r="H582" s="10" t="str">
        <f>D581&amp;"耐性+30"</f>
        <v>毒耐性+30</v>
      </c>
      <c r="J582" s="6" t="str">
        <f>IFERROR(_xlfn.LET(_xlpm.v,
VLOOKUP($I582,効果!$A:$B,COLUMN(効果!B$1),FALSE),
IF(_xlpm.v=0,"",_xlpm.v)
),"")</f>
        <v/>
      </c>
      <c r="L582" s="15" t="str">
        <f>IF(OR(COUNTIF(クラス!$A$1:$A$1034,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IF(OR(COUNTIF(クラス!$A$1:$A$1034, $B583),$B583="",COUNTIF(スキル一覧!$A$1:$A$3500, $B583)), "", "存在しない")</f>
        <v/>
      </c>
      <c r="M583" s="2" t="str">
        <f>IF(COUNTIF($B$1:$C582, $B583), "", "存在しない")</f>
        <v>存在しない</v>
      </c>
      <c r="N583" s="2" t="s">
        <v>1258</v>
      </c>
    </row>
    <row r="584" spans="1:14" ht="36" hidden="1" outlineLevel="1" x14ac:dyDescent="0.4">
      <c r="A584" s="2">
        <v>3</v>
      </c>
      <c r="B584" s="2" t="str">
        <f>D581&amp;"の体"</f>
        <v>毒の体</v>
      </c>
      <c r="D584" s="7"/>
      <c r="E584" s="13" t="s">
        <v>775</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IF(OR(COUNTIF(クラス!$A$1:$A$1034,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IF(OR(COUNTIF(クラス!$A$1:$A$1034, $B585),$B585="",COUNTIF(スキル一覧!$A$1:$A$3500, $B585)), "", "存在しない")</f>
        <v/>
      </c>
      <c r="M585" s="2" t="str">
        <f>IF(COUNTIF($B$1:$C584, $B585), "", "存在しない")</f>
        <v>存在しない</v>
      </c>
      <c r="N585" s="2" t="s">
        <v>1258</v>
      </c>
    </row>
    <row r="586" spans="1:14" hidden="1" outlineLevel="1" x14ac:dyDescent="0.4">
      <c r="A586" s="2">
        <v>5</v>
      </c>
      <c r="D586" s="7"/>
      <c r="E586" s="13" t="s">
        <v>475</v>
      </c>
      <c r="J586" s="6" t="str">
        <f>IFERROR(_xlfn.LET(_xlpm.v,
VLOOKUP($I586,効果!$A:$B,COLUMN(効果!B$1),FALSE),
IF(_xlpm.v=0,"",_xlpm.v)
),"")</f>
        <v/>
      </c>
      <c r="L586" s="15" t="str">
        <f>IF(OR(COUNTIF(クラス!$A$1:$A$1034, $B586),$B586="",COUNTIF(スキル一覧!$A$1:$A$3500, $B586)), "", "存在しない")</f>
        <v/>
      </c>
      <c r="M586" s="2" t="str">
        <f>IF(COUNTIF($B$1:$C585, $B586), "", "存在しない")</f>
        <v>存在しない</v>
      </c>
      <c r="N586" s="2" t="s">
        <v>1258</v>
      </c>
    </row>
    <row r="587" spans="1:14" ht="36" hidden="1" outlineLevel="1" x14ac:dyDescent="0.4">
      <c r="A587" s="2">
        <v>6</v>
      </c>
      <c r="B587" s="2" t="str">
        <f>E581&amp;"突撃"</f>
        <v>腐蝕突撃</v>
      </c>
      <c r="D587" s="7" t="str">
        <f>D581</f>
        <v>毒</v>
      </c>
      <c r="E587" s="13" t="s">
        <v>775</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IF(OR(COUNTIF(クラス!$A$1:$A$1034,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IF(OR(COUNTIF(クラス!$A$1:$A$1034, $B588),$B588="",COUNTIF(スキル一覧!$A$1:$A$3500, $B588)), "", "存在しない")</f>
        <v/>
      </c>
      <c r="M588" s="2" t="str">
        <f>IF(COUNTIF($B$1:$C587, $B588), "", "存在しない")</f>
        <v>存在しない</v>
      </c>
      <c r="N588" s="2" t="s">
        <v>1258</v>
      </c>
    </row>
    <row r="589" spans="1:14" hidden="1" outlineLevel="1" x14ac:dyDescent="0.4">
      <c r="A589" s="2">
        <v>8</v>
      </c>
      <c r="D589" s="7"/>
      <c r="J589" s="6" t="str">
        <f>IFERROR(_xlfn.LET(_xlpm.v,
VLOOKUP($I589,効果!$A:$B,COLUMN(効果!B$1),FALSE),
IF(_xlpm.v=0,"",_xlpm.v)
),"")</f>
        <v/>
      </c>
      <c r="L589" s="15" t="str">
        <f>IF(OR(COUNTIF(クラス!$A$1:$A$1034, $B589),$B589="",COUNTIF(スキル一覧!$A$1:$A$3500, $B589)), "", "存在しない")</f>
        <v/>
      </c>
      <c r="M589" s="2" t="str">
        <f>IF(COUNTIF($B$1:$C588, $B589), "", "存在しない")</f>
        <v>存在しない</v>
      </c>
      <c r="N589" s="2" t="s">
        <v>1258</v>
      </c>
    </row>
    <row r="590" spans="1:14" hidden="1" outlineLevel="1" x14ac:dyDescent="0.4">
      <c r="A590" s="2">
        <v>9</v>
      </c>
      <c r="B590" s="2" t="str">
        <f>D581&amp;"強化"</f>
        <v>毒強化</v>
      </c>
      <c r="D590" s="7"/>
      <c r="E590" s="13" t="s">
        <v>475</v>
      </c>
      <c r="H590" s="10" t="str">
        <f>"条件系統:"&amp;D581&amp;" 全威力+10"</f>
        <v>条件系統:毒 全威力+10</v>
      </c>
      <c r="J590" s="6" t="str">
        <f>IFERROR(_xlfn.LET(_xlpm.v,
VLOOKUP($I590,効果!$A:$B,COLUMN(効果!B$1),FALSE),
IF(_xlpm.v=0,"",_xlpm.v)
),"")</f>
        <v/>
      </c>
      <c r="L590" s="15" t="str">
        <f>IF(OR(COUNTIF(クラス!$A$1:$A$1034,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775</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IF(OR(COUNTIF(クラス!$A$1:$A$1034,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IF(OR(COUNTIF(クラス!$A$1:$A$1034, $B592),$B592="",COUNTIF(スキル一覧!$A$1:$A$3500, $B592)), "", "存在しない")</f>
        <v/>
      </c>
      <c r="M592" s="2" t="str">
        <f>IF(COUNTIF($B$1:$C591, $B592), "", "存在しない")</f>
        <v>存在しない</v>
      </c>
      <c r="N592" s="2" t="s">
        <v>1258</v>
      </c>
    </row>
    <row r="593" spans="1:14" collapsed="1" x14ac:dyDescent="0.4">
      <c r="J593" s="6" t="str">
        <f>IFERROR(_xlfn.LET(_xlpm.v,
VLOOKUP($I593,効果!$A:$B,COLUMN(効果!B$1),FALSE),
IF(_xlpm.v=0,"",_xlpm.v)
),"")</f>
        <v/>
      </c>
      <c r="L593" s="15" t="str">
        <f>IF(OR(COUNTIF(クラス!$A$1:$A$1034, $B593),$B593="",COUNTIF(スキル一覧!$A$1:$A$3500, $B593)), "", "存在しない")</f>
        <v/>
      </c>
      <c r="M593" s="2" t="str">
        <f>IF(COUNTIF($B$1:$C592, $B593), "", "存在しない")</f>
        <v>存在しない</v>
      </c>
      <c r="N593" s="2" t="s">
        <v>1258</v>
      </c>
    </row>
    <row r="594" spans="1:14" ht="18.75" x14ac:dyDescent="0.4">
      <c r="B594" t="s">
        <v>866</v>
      </c>
      <c r="D594" s="2" t="s">
        <v>901</v>
      </c>
      <c r="J594" s="6" t="str">
        <f>IFERROR(_xlfn.LET(_xlpm.v,
VLOOKUP($I594,効果!$A:$B,COLUMN(効果!B$1),FALSE),
IF(_xlpm.v=0,"",_xlpm.v)
),"")</f>
        <v/>
      </c>
      <c r="L594" s="15" t="str">
        <f>IF(OR(COUNTIF(クラス!$A$1:$A$1034, $B594),$B594="",COUNTIF(スキル一覧!$A$1:$A$3500, $B594)), "", "存在しない")</f>
        <v/>
      </c>
      <c r="M594" s="2" t="str">
        <f>IF(COUNTIF($B$1:$C593, $B594), "", "存在しない")</f>
        <v>存在しない</v>
      </c>
      <c r="N594" s="2" t="s">
        <v>1258</v>
      </c>
    </row>
    <row r="595" spans="1:14" hidden="1" outlineLevel="1" x14ac:dyDescent="0.4">
      <c r="A595" s="2">
        <v>1</v>
      </c>
      <c r="B595" s="2" t="s">
        <v>897</v>
      </c>
      <c r="D595" s="7"/>
      <c r="E595" s="13" t="s">
        <v>475</v>
      </c>
      <c r="H595" s="10" t="str">
        <f>D594&amp;"耐性+30"</f>
        <v>打撃耐性+30</v>
      </c>
      <c r="J595" s="6" t="str">
        <f>IFERROR(_xlfn.LET(_xlpm.v,
VLOOKUP($I595,効果!$A:$B,COLUMN(効果!B$1),FALSE),
IF(_xlpm.v=0,"",_xlpm.v)
),"")</f>
        <v/>
      </c>
      <c r="L595" s="15" t="str">
        <f>IF(OR(COUNTIF(クラス!$A$1:$A$1034,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IF(OR(COUNTIF(クラス!$A$1:$A$1034, $B596),$B596="",COUNTIF(スキル一覧!$A$1:$A$3500, $B596)), "", "存在しない")</f>
        <v/>
      </c>
      <c r="M596" s="2" t="str">
        <f>IF(COUNTIF($B$1:$C595, $B596), "", "存在しない")</f>
        <v>存在しない</v>
      </c>
      <c r="N596" s="2" t="s">
        <v>1258</v>
      </c>
    </row>
    <row r="597" spans="1:14" ht="36" hidden="1" outlineLevel="1" x14ac:dyDescent="0.4">
      <c r="A597" s="2">
        <v>3</v>
      </c>
      <c r="B597" s="2" t="s">
        <v>898</v>
      </c>
      <c r="D597" s="7"/>
      <c r="E597" s="13" t="s">
        <v>775</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IF(OR(COUNTIF(クラス!$A$1:$A$1034,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IF(OR(COUNTIF(クラス!$A$1:$A$1034, $B598),$B598="",COUNTIF(スキル一覧!$A$1:$A$3500, $B598)), "", "存在しない")</f>
        <v/>
      </c>
      <c r="M598" s="2" t="str">
        <f>IF(COUNTIF($B$1:$C597, $B598), "", "存在しない")</f>
        <v>存在しない</v>
      </c>
      <c r="N598" s="2" t="s">
        <v>1258</v>
      </c>
    </row>
    <row r="599" spans="1:14" hidden="1" outlineLevel="1" x14ac:dyDescent="0.4">
      <c r="A599" s="2">
        <v>5</v>
      </c>
      <c r="D599" s="7"/>
      <c r="E599" s="13" t="s">
        <v>475</v>
      </c>
      <c r="J599" s="6" t="str">
        <f>IFERROR(_xlfn.LET(_xlpm.v,
VLOOKUP($I599,効果!$A:$B,COLUMN(効果!B$1),FALSE),
IF(_xlpm.v=0,"",_xlpm.v)
),"")</f>
        <v/>
      </c>
      <c r="L599" s="15" t="str">
        <f>IF(OR(COUNTIF(クラス!$A$1:$A$1034, $B599),$B599="",COUNTIF(スキル一覧!$A$1:$A$3500, $B599)), "", "存在しない")</f>
        <v/>
      </c>
      <c r="M599" s="2" t="str">
        <f>IF(COUNTIF($B$1:$C598, $B599), "", "存在しない")</f>
        <v>存在しない</v>
      </c>
      <c r="N599" s="2" t="s">
        <v>1258</v>
      </c>
    </row>
    <row r="600" spans="1:14" ht="36" hidden="1" outlineLevel="1" x14ac:dyDescent="0.4">
      <c r="A600" s="2">
        <v>6</v>
      </c>
      <c r="B600" s="2" t="s">
        <v>773</v>
      </c>
      <c r="D600" s="7" t="s">
        <v>896</v>
      </c>
      <c r="E600" s="13" t="s">
        <v>775</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IF(OR(COUNTIF(クラス!$A$1:$A$1034, $B600),$B600="",COUNTIF(スキル一覧!$A$1:$A$3500, $B600)), "", "存在しない")</f>
        <v>存在しない</v>
      </c>
      <c r="M600" s="2" t="str">
        <f>IF(COUNTIF($B$1:$C599, $B600), "", "存在しない")</f>
        <v/>
      </c>
      <c r="N600" s="2" t="s">
        <v>1258</v>
      </c>
    </row>
    <row r="601" spans="1:14" hidden="1" outlineLevel="1" x14ac:dyDescent="0.4">
      <c r="A601" s="2">
        <v>7</v>
      </c>
      <c r="D601" s="7"/>
      <c r="J601" s="6" t="str">
        <f>IFERROR(_xlfn.LET(_xlpm.v,
VLOOKUP($I601,効果!$A:$B,COLUMN(効果!B$1),FALSE),
IF(_xlpm.v=0,"",_xlpm.v)
),"")</f>
        <v/>
      </c>
      <c r="L601" s="15" t="str">
        <f>IF(OR(COUNTIF(クラス!$A$1:$A$1034, $B601),$B601="",COUNTIF(スキル一覧!$A$1:$A$3500, $B601)), "", "存在しない")</f>
        <v/>
      </c>
      <c r="M601" s="2" t="str">
        <f>IF(COUNTIF($B$1:$C600, $B601), "", "存在しない")</f>
        <v>存在しない</v>
      </c>
      <c r="N601" s="2" t="s">
        <v>1258</v>
      </c>
    </row>
    <row r="602" spans="1:14" hidden="1" outlineLevel="1" x14ac:dyDescent="0.4">
      <c r="A602" s="2">
        <v>8</v>
      </c>
      <c r="D602" s="7"/>
      <c r="J602" s="6" t="str">
        <f>IFERROR(_xlfn.LET(_xlpm.v,
VLOOKUP($I602,効果!$A:$B,COLUMN(効果!B$1),FALSE),
IF(_xlpm.v=0,"",_xlpm.v)
),"")</f>
        <v/>
      </c>
      <c r="L602" s="15" t="str">
        <f>IF(OR(COUNTIF(クラス!$A$1:$A$1034, $B602),$B602="",COUNTIF(スキル一覧!$A$1:$A$3500, $B602)), "", "存在しない")</f>
        <v/>
      </c>
      <c r="M602" s="2" t="str">
        <f>IF(COUNTIF($B$1:$C601, $B602), "", "存在しない")</f>
        <v>存在しない</v>
      </c>
      <c r="N602" s="2" t="s">
        <v>1258</v>
      </c>
    </row>
    <row r="603" spans="1:14" hidden="1" outlineLevel="1" x14ac:dyDescent="0.4">
      <c r="A603" s="2">
        <v>9</v>
      </c>
      <c r="B603" s="2" t="s">
        <v>899</v>
      </c>
      <c r="D603" s="7"/>
      <c r="E603" s="13" t="s">
        <v>475</v>
      </c>
      <c r="H603" s="10" t="str">
        <f>"条件系統:"&amp;D594&amp;" 全威力+10"</f>
        <v>条件系統:打撃 全威力+10</v>
      </c>
      <c r="J603" s="6" t="str">
        <f>IFERROR(_xlfn.LET(_xlpm.v,
VLOOKUP($I603,効果!$A:$B,COLUMN(効果!B$1),FALSE),
IF(_xlpm.v=0,"",_xlpm.v)
),"")</f>
        <v/>
      </c>
      <c r="L603" s="15" t="str">
        <f>IF(OR(COUNTIF(クラス!$A$1:$A$1034,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900</v>
      </c>
      <c r="D604" s="7" t="s">
        <v>896</v>
      </c>
      <c r="E604" s="13" t="s">
        <v>775</v>
      </c>
      <c r="G604" s="19">
        <v>25</v>
      </c>
      <c r="H604" s="10" t="str">
        <f>"攻撃手段:吐息 "&amp;D594&amp;"+30 射程:2 判定:Lv"</f>
        <v>攻撃手段:吐息 打撃+30 射程:2 判定:Lv</v>
      </c>
      <c r="I604" s="6" t="s">
        <v>425</v>
      </c>
      <c r="J604" s="6" t="str">
        <f>IFERROR(_xlfn.LET(_xlpm.v,
VLOOKUP($I604,効果!$A:$B,COLUMN(効果!B$1),FALSE),
IF(_xlpm.v=0,"",_xlpm.v)
),"")</f>
        <v>対象を後方へ移動させる</v>
      </c>
      <c r="L604" s="15" t="str">
        <f>IF(OR(COUNTIF(クラス!$A$1:$A$1034,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IF(OR(COUNTIF(クラス!$A$1:$A$1034, $B605),$B605="",COUNTIF(スキル一覧!$A$1:$A$3500, $B605)), "", "存在しない")</f>
        <v/>
      </c>
      <c r="M605" s="2" t="str">
        <f>IF(COUNTIF($B$1:$C604, $B605), "", "存在しない")</f>
        <v>存在しない</v>
      </c>
      <c r="N605" s="2" t="s">
        <v>1258</v>
      </c>
    </row>
    <row r="606" spans="1:14" collapsed="1" x14ac:dyDescent="0.4">
      <c r="J606" s="6" t="str">
        <f>IFERROR(_xlfn.LET(_xlpm.v,
VLOOKUP($I606,効果!$A:$B,COLUMN(効果!B$1),FALSE),
IF(_xlpm.v=0,"",_xlpm.v)
),"")</f>
        <v/>
      </c>
      <c r="L606" s="15" t="str">
        <f>IF(OR(COUNTIF(クラス!$A$1:$A$1034, $B606),$B606="",COUNTIF(スキル一覧!$A$1:$A$3500, $B606)), "", "存在しない")</f>
        <v/>
      </c>
      <c r="M606" s="2" t="str">
        <f>IF(COUNTIF($B$1:$C605, $B606), "", "存在しない")</f>
        <v>存在しない</v>
      </c>
      <c r="N606" s="2" t="s">
        <v>1258</v>
      </c>
    </row>
    <row r="607" spans="1:14" x14ac:dyDescent="0.4">
      <c r="J607" s="6" t="str">
        <f>IFERROR(_xlfn.LET(_xlpm.v,
VLOOKUP($I607,効果!$A:$B,COLUMN(効果!B$1),FALSE),
IF(_xlpm.v=0,"",_xlpm.v)
),"")</f>
        <v/>
      </c>
      <c r="L607" s="15" t="str">
        <f>IF(OR(COUNTIF(クラス!$A$1:$A$1034, $B607),$B607="",COUNTIF(スキル一覧!$A$1:$A$3500, $B607)), "", "存在しない")</f>
        <v/>
      </c>
      <c r="M607" s="2" t="str">
        <f>IF(COUNTIF($B$1:$C606, $B607), "", "存在しない")</f>
        <v>存在しない</v>
      </c>
      <c r="N607" s="2" t="s">
        <v>1258</v>
      </c>
    </row>
    <row r="608" spans="1:14" x14ac:dyDescent="0.4">
      <c r="B608" s="2" t="s">
        <v>819</v>
      </c>
      <c r="J608" s="6" t="str">
        <f>IFERROR(_xlfn.LET(_xlpm.v,
VLOOKUP($I608,効果!$A:$B,COLUMN(効果!B$1),FALSE),
IF(_xlpm.v=0,"",_xlpm.v)
),"")</f>
        <v/>
      </c>
      <c r="L608" s="15" t="str">
        <f>IF(OR(COUNTIF(クラス!$A$1:$A$1034, $B608),$B608="",COUNTIF(スキル一覧!$A$1:$A$3500, $B608)), "", "存在しない")</f>
        <v/>
      </c>
      <c r="M608" s="2" t="str">
        <f>IF(COUNTIF($B$1:$C607, $B608), "", "存在しない")</f>
        <v>存在しない</v>
      </c>
      <c r="N608" s="2" t="s">
        <v>1258</v>
      </c>
    </row>
    <row r="609" spans="1:14" hidden="1" outlineLevel="1" x14ac:dyDescent="0.4">
      <c r="A609" s="2">
        <v>1</v>
      </c>
      <c r="B609" s="2" t="s">
        <v>110</v>
      </c>
      <c r="E609" s="13" t="s">
        <v>775</v>
      </c>
      <c r="J609" s="6" t="str">
        <f>IFERROR(_xlfn.LET(_xlpm.v,
VLOOKUP($I609,効果!$A:$B,COLUMN(効果!B$1),FALSE),
IF(_xlpm.v=0,"",_xlpm.v)
),"")</f>
        <v/>
      </c>
      <c r="L609" s="15" t="str">
        <f>IF(OR(COUNTIF(クラス!$A$1:$A$1034, $B609),$B609="",COUNTIF(スキル一覧!$A$1:$A$3500, $B609)), "", "存在しない")</f>
        <v/>
      </c>
      <c r="M609" s="2" t="str">
        <f>IF(COUNTIF($B$1:$C608, $B609), "", "存在しない")</f>
        <v/>
      </c>
      <c r="N609" s="2" t="s">
        <v>1258</v>
      </c>
    </row>
    <row r="610" spans="1:14" hidden="1" outlineLevel="1" x14ac:dyDescent="0.4">
      <c r="A610" s="2">
        <v>2</v>
      </c>
      <c r="J610" s="6" t="str">
        <f>IFERROR(_xlfn.LET(_xlpm.v,
VLOOKUP($I610,効果!$A:$B,COLUMN(効果!B$1),FALSE),
IF(_xlpm.v=0,"",_xlpm.v)
),"")</f>
        <v/>
      </c>
      <c r="L610" s="15" t="str">
        <f>IF(OR(COUNTIF(クラス!$A$1:$A$1034, $B610),$B610="",COUNTIF(スキル一覧!$A$1:$A$3500, $B610)), "", "存在しない")</f>
        <v/>
      </c>
      <c r="M610" s="2" t="str">
        <f>IF(COUNTIF($B$1:$C609, $B610), "", "存在しない")</f>
        <v>存在しない</v>
      </c>
      <c r="N610" s="2" t="s">
        <v>1258</v>
      </c>
    </row>
    <row r="611" spans="1:14" hidden="1" outlineLevel="1" x14ac:dyDescent="0.4">
      <c r="A611" s="2">
        <v>3</v>
      </c>
      <c r="B611" s="2" t="s">
        <v>876</v>
      </c>
      <c r="E611" s="13" t="s">
        <v>775</v>
      </c>
      <c r="J611" s="6" t="str">
        <f>IFERROR(_xlfn.LET(_xlpm.v,
VLOOKUP($I611,効果!$A:$B,COLUMN(効果!B$1),FALSE),
IF(_xlpm.v=0,"",_xlpm.v)
),"")</f>
        <v/>
      </c>
      <c r="L611" s="15" t="str">
        <f>IF(OR(COUNTIF(クラス!$A$1:$A$1034, $B611),$B611="",COUNTIF(スキル一覧!$A$1:$A$3500, $B611)), "", "存在しない")</f>
        <v/>
      </c>
      <c r="M611" s="2" t="str">
        <f>IF(COUNTIF($B$1:$C610, $B611), "", "存在しない")</f>
        <v/>
      </c>
      <c r="N611" s="2" t="s">
        <v>1258</v>
      </c>
    </row>
    <row r="612" spans="1:14" hidden="1" outlineLevel="1" x14ac:dyDescent="0.4">
      <c r="A612" s="2">
        <v>4</v>
      </c>
      <c r="J612" s="6" t="str">
        <f>IFERROR(_xlfn.LET(_xlpm.v,
VLOOKUP($I612,効果!$A:$B,COLUMN(効果!B$1),FALSE),
IF(_xlpm.v=0,"",_xlpm.v)
),"")</f>
        <v/>
      </c>
      <c r="L612" s="15" t="str">
        <f>IF(OR(COUNTIF(クラス!$A$1:$A$1034, $B612),$B612="",COUNTIF(スキル一覧!$A$1:$A$3500, $B612)), "", "存在しない")</f>
        <v/>
      </c>
      <c r="M612" s="2" t="str">
        <f>IF(COUNTIF($B$1:$C611, $B612), "", "存在しない")</f>
        <v>存在しない</v>
      </c>
      <c r="N612" s="2" t="s">
        <v>1258</v>
      </c>
    </row>
    <row r="613" spans="1:14" hidden="1" outlineLevel="1" x14ac:dyDescent="0.4">
      <c r="A613" s="2">
        <v>5</v>
      </c>
      <c r="B613" s="2" t="s">
        <v>881</v>
      </c>
      <c r="E613" s="13" t="s">
        <v>474</v>
      </c>
      <c r="H613" s="10" t="s">
        <v>882</v>
      </c>
      <c r="J613" s="6" t="str">
        <f>IFERROR(_xlfn.LET(_xlpm.v,
VLOOKUP($I613,効果!$A:$B,COLUMN(効果!B$1),FALSE),
IF(_xlpm.v=0,"",_xlpm.v)
),"")</f>
        <v/>
      </c>
      <c r="L613" s="15" t="str">
        <f>IF(OR(COUNTIF(クラス!$A$1:$A$1034, $B613),$B613="",COUNTIF(スキル一覧!$A$1:$A$3500, $B613)), "", "存在しない")</f>
        <v>存在しない</v>
      </c>
      <c r="M613" s="2" t="str">
        <f>IF(COUNTIF($B$1:$C612, $B613), "", "存在しない")</f>
        <v>存在しない</v>
      </c>
      <c r="N613" s="2" t="e">
        <v>#VALUE!</v>
      </c>
    </row>
    <row r="614" spans="1:14" hidden="1" outlineLevel="1" x14ac:dyDescent="0.4">
      <c r="A614" s="2">
        <v>6</v>
      </c>
      <c r="B614" s="2" t="s">
        <v>878</v>
      </c>
      <c r="E614" s="13" t="s">
        <v>775</v>
      </c>
      <c r="G614" s="19">
        <v>20</v>
      </c>
      <c r="H614" s="10" t="s">
        <v>880</v>
      </c>
      <c r="J614" s="6" t="str">
        <f>IFERROR(_xlfn.LET(_xlpm.v,
VLOOKUP($I614,効果!$A:$B,COLUMN(効果!B$1),FALSE),
IF(_xlpm.v=0,"",_xlpm.v)
),"")</f>
        <v/>
      </c>
      <c r="L614" s="15" t="str">
        <f>IF(OR(COUNTIF(クラス!$A$1:$A$1034, $B614),$B614="",COUNTIF(スキル一覧!$A$1:$A$3500, $B614)), "", "存在しない")</f>
        <v>存在しない</v>
      </c>
      <c r="M614" s="2" t="str">
        <f>IF(COUNTIF($B$1:$C613, $B614), "", "存在しない")</f>
        <v/>
      </c>
      <c r="N614" s="2" t="s">
        <v>1258</v>
      </c>
    </row>
    <row r="615" spans="1:14" hidden="1" outlineLevel="1" x14ac:dyDescent="0.4">
      <c r="A615" s="2">
        <v>7</v>
      </c>
      <c r="J615" s="6" t="str">
        <f>IFERROR(_xlfn.LET(_xlpm.v,
VLOOKUP($I615,効果!$A:$B,COLUMN(効果!B$1),FALSE),
IF(_xlpm.v=0,"",_xlpm.v)
),"")</f>
        <v/>
      </c>
      <c r="L615" s="15" t="str">
        <f>IF(OR(COUNTIF(クラス!$A$1:$A$1034, $B615),$B615="",COUNTIF(スキル一覧!$A$1:$A$3500, $B615)), "", "存在しない")</f>
        <v/>
      </c>
      <c r="M615" s="2" t="str">
        <f>IF(COUNTIF($B$1:$C614, $B615), "", "存在しない")</f>
        <v>存在しない</v>
      </c>
      <c r="N615" s="2" t="s">
        <v>1258</v>
      </c>
    </row>
    <row r="616" spans="1:14" ht="36" hidden="1" outlineLevel="1" x14ac:dyDescent="0.4">
      <c r="A616" s="2">
        <v>8</v>
      </c>
      <c r="B616" s="2" t="s">
        <v>877</v>
      </c>
      <c r="E616" s="13" t="s">
        <v>775</v>
      </c>
      <c r="H616" s="10" t="s">
        <v>879</v>
      </c>
      <c r="J616" s="6" t="str">
        <f>IFERROR(_xlfn.LET(_xlpm.v,
VLOOKUP($I616,効果!$A:$B,COLUMN(効果!B$1),FALSE),
IF(_xlpm.v=0,"",_xlpm.v)
),"")</f>
        <v/>
      </c>
      <c r="L616" s="15" t="str">
        <f>IF(OR(COUNTIF(クラス!$A$1:$A$1034, $B616),$B616="",COUNTIF(スキル一覧!$A$1:$A$3500, $B616)), "", "存在しない")</f>
        <v>存在しない</v>
      </c>
      <c r="M616" s="2" t="str">
        <f>IF(COUNTIF($B$1:$C615, $B616), "", "存在しない")</f>
        <v>存在しない</v>
      </c>
      <c r="N616" s="2" t="e">
        <v>#VALUE!</v>
      </c>
    </row>
    <row r="617" spans="1:14" hidden="1" outlineLevel="1" x14ac:dyDescent="0.4">
      <c r="A617" s="2">
        <v>9</v>
      </c>
      <c r="B617" s="2" t="s">
        <v>884</v>
      </c>
      <c r="E617" s="13" t="s">
        <v>474</v>
      </c>
      <c r="H617" s="10" t="s">
        <v>883</v>
      </c>
      <c r="J617" s="6" t="str">
        <f>IFERROR(_xlfn.LET(_xlpm.v,
VLOOKUP($I617,効果!$A:$B,COLUMN(効果!B$1),FALSE),
IF(_xlpm.v=0,"",_xlpm.v)
),"")</f>
        <v/>
      </c>
      <c r="L617" s="15" t="str">
        <f>IF(OR(COUNTIF(クラス!$A$1:$A$1034, $B617),$B617="",COUNTIF(スキル一覧!$A$1:$A$3500, $B617)), "", "存在しない")</f>
        <v>存在しない</v>
      </c>
      <c r="M617" s="2" t="str">
        <f>IF(COUNTIF($B$1:$C616, $B617), "", "存在しない")</f>
        <v>存在しない</v>
      </c>
      <c r="N617" s="2" t="e">
        <v>#VALUE!</v>
      </c>
    </row>
    <row r="618" spans="1:14" hidden="1" outlineLevel="1" x14ac:dyDescent="0.4">
      <c r="A618" s="2">
        <v>10</v>
      </c>
      <c r="E618" s="13" t="s">
        <v>775</v>
      </c>
      <c r="G618" s="19">
        <v>20</v>
      </c>
      <c r="J618" s="6" t="str">
        <f>IFERROR(_xlfn.LET(_xlpm.v,
VLOOKUP($I618,効果!$A:$B,COLUMN(効果!B$1),FALSE),
IF(_xlpm.v=0,"",_xlpm.v)
),"")</f>
        <v/>
      </c>
      <c r="L618" s="15" t="str">
        <f>IF(OR(COUNTIF(クラス!$A$1:$A$1034, $B618),$B618="",COUNTIF(スキル一覧!$A$1:$A$3500, $B618)), "", "存在しない")</f>
        <v/>
      </c>
      <c r="M618" s="2" t="str">
        <f>IF(COUNTIF($B$1:$C617, $B618), "", "存在しない")</f>
        <v>存在しない</v>
      </c>
      <c r="N618" s="2" t="s">
        <v>1258</v>
      </c>
    </row>
    <row r="619" spans="1:14" hidden="1" outlineLevel="1" x14ac:dyDescent="0.4">
      <c r="J619" s="6" t="str">
        <f>IFERROR(_xlfn.LET(_xlpm.v,
VLOOKUP($I619,効果!$A:$B,COLUMN(効果!B$1),FALSE),
IF(_xlpm.v=0,"",_xlpm.v)
),"")</f>
        <v/>
      </c>
      <c r="L619" s="15" t="str">
        <f>IF(OR(COUNTIF(クラス!$A$1:$A$1034, $B619),$B619="",COUNTIF(スキル一覧!$A$1:$A$3500, $B619)), "", "存在しない")</f>
        <v/>
      </c>
      <c r="M619" s="2" t="str">
        <f>IF(COUNTIF($B$1:$C618, $B619), "", "存在しない")</f>
        <v>存在しない</v>
      </c>
      <c r="N619" s="2" t="s">
        <v>1258</v>
      </c>
    </row>
    <row r="620" spans="1:14" collapsed="1" x14ac:dyDescent="0.4">
      <c r="J620" s="6" t="str">
        <f>IFERROR(_xlfn.LET(_xlpm.v,
VLOOKUP($I620,効果!$A:$B,COLUMN(効果!B$1),FALSE),
IF(_xlpm.v=0,"",_xlpm.v)
),"")</f>
        <v/>
      </c>
      <c r="L620" s="15" t="str">
        <f>IF(OR(COUNTIF(クラス!$A$1:$A$1034, $B620),$B620="",COUNTIF(スキル一覧!$A$1:$A$3500, $B620)), "", "存在しない")</f>
        <v/>
      </c>
      <c r="M620" s="2" t="str">
        <f>IF(COUNTIF($B$1:$C619, $B620), "", "存在しない")</f>
        <v>存在しない</v>
      </c>
      <c r="N620" s="2" t="s">
        <v>1258</v>
      </c>
    </row>
    <row r="621" spans="1:14" x14ac:dyDescent="0.4">
      <c r="J621" s="6" t="str">
        <f>IFERROR(_xlfn.LET(_xlpm.v,
VLOOKUP($I621,効果!$A:$B,COLUMN(効果!B$1),FALSE),
IF(_xlpm.v=0,"",_xlpm.v)
),"")</f>
        <v/>
      </c>
      <c r="L621" s="15" t="str">
        <f>IF(OR(COUNTIF(クラス!$A$1:$A$1034, $B621),$B621="",COUNTIF(スキル一覧!$A$1:$A$3500, $B621)), "", "存在しない")</f>
        <v/>
      </c>
      <c r="M621" s="2" t="str">
        <f>IF(COUNTIF($B$1:$C620, $B621), "", "存在しない")</f>
        <v>存在しない</v>
      </c>
      <c r="N621" s="2" t="s">
        <v>1258</v>
      </c>
    </row>
    <row r="622" spans="1:14" x14ac:dyDescent="0.4">
      <c r="J622" s="6" t="str">
        <f>IFERROR(_xlfn.LET(_xlpm.v,
VLOOKUP($I622,効果!$A:$B,COLUMN(効果!B$1),FALSE),
IF(_xlpm.v=0,"",_xlpm.v)
),"")</f>
        <v/>
      </c>
      <c r="L622" s="15" t="str">
        <f>IF(OR(COUNTIF(クラス!$A$1:$A$1034, $B622),$B622="",COUNTIF(スキル一覧!$A$1:$A$3500, $B622)), "", "存在しない")</f>
        <v/>
      </c>
      <c r="M622" s="2" t="str">
        <f>IF(COUNTIF($B$1:$C621, $B622), "", "存在しない")</f>
        <v>存在しない</v>
      </c>
      <c r="N622" s="2" t="s">
        <v>1258</v>
      </c>
    </row>
    <row r="623" spans="1:14" x14ac:dyDescent="0.4">
      <c r="J623" s="6" t="str">
        <f>IFERROR(_xlfn.LET(_xlpm.v,
VLOOKUP($I623,効果!$A:$B,COLUMN(効果!B$1),FALSE),
IF(_xlpm.v=0,"",_xlpm.v)
),"")</f>
        <v/>
      </c>
      <c r="L623" s="15" t="str">
        <f>IF(OR(COUNTIF(クラス!$A$1:$A$1034, $B623),$B623="",COUNTIF(スキル一覧!$A$1:$A$3500, $B623)), "", "存在しない")</f>
        <v/>
      </c>
      <c r="M623" s="2" t="str">
        <f>IF(COUNTIF($B$1:$C622, $B623), "", "存在しない")</f>
        <v>存在しない</v>
      </c>
      <c r="N623" s="2" t="s">
        <v>1258</v>
      </c>
    </row>
    <row r="624" spans="1:14" x14ac:dyDescent="0.4">
      <c r="J624" s="6" t="str">
        <f>IFERROR(_xlfn.LET(_xlpm.v,
VLOOKUP($I624,効果!$A:$B,COLUMN(効果!B$1),FALSE),
IF(_xlpm.v=0,"",_xlpm.v)
),"")</f>
        <v/>
      </c>
      <c r="L624" s="15" t="str">
        <f>IF(OR(COUNTIF(クラス!$A$1:$A$1034, $B624),$B624="",COUNTIF(スキル一覧!$A$1:$A$3500, $B624)), "", "存在しない")</f>
        <v/>
      </c>
      <c r="M624" s="2" t="str">
        <f>IF(COUNTIF($B$1:$C623, $B624), "", "存在しない")</f>
        <v>存在しない</v>
      </c>
      <c r="N624" s="2" t="s">
        <v>1258</v>
      </c>
    </row>
    <row r="625" spans="10:14" x14ac:dyDescent="0.4">
      <c r="J625" s="6" t="str">
        <f>IFERROR(_xlfn.LET(_xlpm.v,
VLOOKUP($I625,効果!$A:$B,COLUMN(効果!B$1),FALSE),
IF(_xlpm.v=0,"",_xlpm.v)
),"")</f>
        <v/>
      </c>
      <c r="L625" s="15" t="str">
        <f>IF(OR(COUNTIF(クラス!$A$1:$A$1034, $B625),$B625="",COUNTIF(スキル一覧!$A$1:$A$3500, $B625)), "", "存在しない")</f>
        <v/>
      </c>
      <c r="M625" s="2" t="str">
        <f>IF(COUNTIF($B$1:$C624, $B625), "", "存在しない")</f>
        <v>存在しない</v>
      </c>
      <c r="N625" s="2" t="s">
        <v>1258</v>
      </c>
    </row>
    <row r="626" spans="10:14" x14ac:dyDescent="0.4">
      <c r="J626" s="6" t="str">
        <f>IFERROR(_xlfn.LET(_xlpm.v,
VLOOKUP($I626,効果!$A:$B,COLUMN(効果!B$1),FALSE),
IF(_xlpm.v=0,"",_xlpm.v)
),"")</f>
        <v/>
      </c>
      <c r="L626" s="15" t="str">
        <f>IF(OR(COUNTIF(クラス!$A$1:$A$1034, $B626),$B626="",COUNTIF(スキル一覧!$A$1:$A$3500, $B626)), "", "存在しない")</f>
        <v/>
      </c>
      <c r="M626" s="2" t="str">
        <f>IF(COUNTIF($B$1:$C625, $B626), "", "存在しない")</f>
        <v>存在しない</v>
      </c>
      <c r="N626" s="2" t="s">
        <v>1258</v>
      </c>
    </row>
    <row r="627" spans="10:14" x14ac:dyDescent="0.4">
      <c r="J627" s="6" t="str">
        <f>IFERROR(_xlfn.LET(_xlpm.v,
VLOOKUP($I627,効果!$A:$B,COLUMN(効果!B$1),FALSE),
IF(_xlpm.v=0,"",_xlpm.v)
),"")</f>
        <v/>
      </c>
      <c r="L627" s="15" t="str">
        <f>IF(OR(COUNTIF(クラス!$A$1:$A$1034, $B627),$B627="",COUNTIF(スキル一覧!$A$1:$A$3500, $B627)), "", "存在しない")</f>
        <v/>
      </c>
      <c r="M627" s="2" t="str">
        <f>IF(COUNTIF($B$1:$C626, $B627), "", "存在しない")</f>
        <v>存在しない</v>
      </c>
      <c r="N627" s="2" t="s">
        <v>1258</v>
      </c>
    </row>
    <row r="628" spans="10:14" x14ac:dyDescent="0.4">
      <c r="J628" s="6" t="str">
        <f>IFERROR(_xlfn.LET(_xlpm.v,
VLOOKUP($I628,効果!$A:$B,COLUMN(効果!B$1),FALSE),
IF(_xlpm.v=0,"",_xlpm.v)
),"")</f>
        <v/>
      </c>
      <c r="L628" s="15" t="str">
        <f>IF(OR(COUNTIF(クラス!$A$1:$A$1034, $B628),$B628="",COUNTIF(スキル一覧!$A$1:$A$3500, $B628)), "", "存在しない")</f>
        <v/>
      </c>
      <c r="M628" s="2" t="str">
        <f>IF(COUNTIF($B$1:$C627, $B628), "", "存在しない")</f>
        <v>存在しない</v>
      </c>
      <c r="N628" s="2" t="s">
        <v>1258</v>
      </c>
    </row>
    <row r="629" spans="10:14" x14ac:dyDescent="0.4">
      <c r="J629" s="6" t="str">
        <f>IFERROR(_xlfn.LET(_xlpm.v,
VLOOKUP($I629,効果!$A:$B,COLUMN(効果!B$1),FALSE),
IF(_xlpm.v=0,"",_xlpm.v)
),"")</f>
        <v/>
      </c>
      <c r="L629" s="15" t="str">
        <f>IF(OR(COUNTIF(クラス!$A$1:$A$1034, $B629),$B629="",COUNTIF(スキル一覧!$A$1:$A$3500, $B629)), "", "存在しない")</f>
        <v/>
      </c>
      <c r="M629" s="2" t="str">
        <f>IF(COUNTIF($B$1:$C628, $B629), "", "存在しない")</f>
        <v>存在しない</v>
      </c>
      <c r="N629" s="2" t="s">
        <v>1258</v>
      </c>
    </row>
    <row r="630" spans="10:14" x14ac:dyDescent="0.4">
      <c r="J630" s="6" t="str">
        <f>IFERROR(_xlfn.LET(_xlpm.v,
VLOOKUP($I630,効果!$A:$B,COLUMN(効果!B$1),FALSE),
IF(_xlpm.v=0,"",_xlpm.v)
),"")</f>
        <v/>
      </c>
      <c r="L630" s="15" t="str">
        <f>IF(OR(COUNTIF(クラス!$A$1:$A$1034, $B630),$B630="",COUNTIF(スキル一覧!$A$1:$A$3500, $B630)), "", "存在しない")</f>
        <v/>
      </c>
      <c r="M630" s="2" t="str">
        <f>IF(COUNTIF($B$1:$C629, $B630), "", "存在しない")</f>
        <v>存在しない</v>
      </c>
      <c r="N630" s="2" t="s">
        <v>1258</v>
      </c>
    </row>
    <row r="631" spans="10:14" x14ac:dyDescent="0.4">
      <c r="J631" s="6" t="str">
        <f>IFERROR(_xlfn.LET(_xlpm.v,
VLOOKUP($I631,効果!$A:$B,COLUMN(効果!B$1),FALSE),
IF(_xlpm.v=0,"",_xlpm.v)
),"")</f>
        <v/>
      </c>
      <c r="L631" s="15" t="str">
        <f>IF(OR(COUNTIF(クラス!$A$1:$A$1034, $B631),$B631="",COUNTIF(スキル一覧!$A$1:$A$3500, $B631)), "", "存在しない")</f>
        <v/>
      </c>
      <c r="M631" s="2" t="str">
        <f>IF(COUNTIF($B$1:$C630, $B631), "", "存在しない")</f>
        <v>存在しない</v>
      </c>
      <c r="N631" s="2" t="s">
        <v>1258</v>
      </c>
    </row>
    <row r="632" spans="10:14" x14ac:dyDescent="0.4">
      <c r="J632" s="6" t="str">
        <f>IFERROR(_xlfn.LET(_xlpm.v,
VLOOKUP($I632,効果!$A:$B,COLUMN(効果!B$1),FALSE),
IF(_xlpm.v=0,"",_xlpm.v)
),"")</f>
        <v/>
      </c>
      <c r="L632" s="15" t="str">
        <f>IF(OR(COUNTIF(クラス!$A$1:$A$1034, $B632),$B632="",COUNTIF(スキル一覧!$A$1:$A$3500, $B632)), "", "存在しない")</f>
        <v/>
      </c>
      <c r="M632" s="2" t="str">
        <f>IF(COUNTIF($B$1:$C631, $B632), "", "存在しない")</f>
        <v>存在しない</v>
      </c>
      <c r="N632" s="2" t="s">
        <v>1258</v>
      </c>
    </row>
    <row r="633" spans="10:14" x14ac:dyDescent="0.4">
      <c r="J633" s="6" t="str">
        <f>IFERROR(_xlfn.LET(_xlpm.v,
VLOOKUP($I633,効果!$A:$B,COLUMN(効果!B$1),FALSE),
IF(_xlpm.v=0,"",_xlpm.v)
),"")</f>
        <v/>
      </c>
      <c r="L633" s="15" t="str">
        <f>IF(OR(COUNTIF(クラス!$A$1:$A$1034, $B633),$B633="",COUNTIF(スキル一覧!$A$1:$A$3500, $B633)), "", "存在しない")</f>
        <v/>
      </c>
      <c r="M633" s="2" t="str">
        <f>IF(COUNTIF($B$1:$C632, $B633), "", "存在しない")</f>
        <v>存在しない</v>
      </c>
      <c r="N633" s="2" t="s">
        <v>1258</v>
      </c>
    </row>
    <row r="634" spans="10:14" x14ac:dyDescent="0.4">
      <c r="J634" s="6" t="str">
        <f>IFERROR(_xlfn.LET(_xlpm.v,
VLOOKUP($I634,効果!$A:$B,COLUMN(効果!B$1),FALSE),
IF(_xlpm.v=0,"",_xlpm.v)
),"")</f>
        <v/>
      </c>
      <c r="L634" s="15" t="str">
        <f>IF(OR(COUNTIF(クラス!$A$1:$A$1034, $B634),$B634="",COUNTIF(スキル一覧!$A$1:$A$3500, $B634)), "", "存在しない")</f>
        <v/>
      </c>
      <c r="M634" s="2" t="str">
        <f>IF(COUNTIF($B$1:$C633, $B634), "", "存在しない")</f>
        <v>存在しない</v>
      </c>
      <c r="N634" s="2" t="s">
        <v>1258</v>
      </c>
    </row>
    <row r="635" spans="10:14" x14ac:dyDescent="0.4">
      <c r="J635" s="6" t="str">
        <f>IFERROR(_xlfn.LET(_xlpm.v,
VLOOKUP($I635,効果!$A:$B,COLUMN(効果!B$1),FALSE),
IF(_xlpm.v=0,"",_xlpm.v)
),"")</f>
        <v/>
      </c>
      <c r="L635" s="15" t="str">
        <f>IF(OR(COUNTIF(クラス!$A$1:$A$1034, $B635),$B635="",COUNTIF(スキル一覧!$A$1:$A$3500, $B635)), "", "存在しない")</f>
        <v/>
      </c>
      <c r="M635" s="2" t="str">
        <f>IF(COUNTIF($B$1:$C634, $B635), "", "存在しない")</f>
        <v>存在しない</v>
      </c>
      <c r="N635" s="2" t="s">
        <v>1258</v>
      </c>
    </row>
    <row r="636" spans="10:14" x14ac:dyDescent="0.4">
      <c r="J636" s="6" t="str">
        <f>IFERROR(_xlfn.LET(_xlpm.v,
VLOOKUP($I636,効果!$A:$B,COLUMN(効果!B$1),FALSE),
IF(_xlpm.v=0,"",_xlpm.v)
),"")</f>
        <v/>
      </c>
      <c r="L636" s="15" t="str">
        <f>IF(OR(COUNTIF(クラス!$A$1:$A$1034, $B636),$B636="",COUNTIF(スキル一覧!$A$1:$A$3500, $B636)), "", "存在しない")</f>
        <v/>
      </c>
      <c r="M636" s="2" t="str">
        <f>IF(COUNTIF($B$1:$C635, $B636), "", "存在しない")</f>
        <v>存在しない</v>
      </c>
      <c r="N636" s="2" t="s">
        <v>1258</v>
      </c>
    </row>
    <row r="637" spans="10:14" x14ac:dyDescent="0.4">
      <c r="J637" s="6" t="str">
        <f>IFERROR(_xlfn.LET(_xlpm.v,
VLOOKUP($I637,効果!$A:$B,COLUMN(効果!B$1),FALSE),
IF(_xlpm.v=0,"",_xlpm.v)
),"")</f>
        <v/>
      </c>
      <c r="L637" s="15" t="str">
        <f>IF(OR(COUNTIF(クラス!$A$1:$A$1034, $B637),$B637="",COUNTIF(スキル一覧!$A$1:$A$3500, $B637)), "", "存在しない")</f>
        <v/>
      </c>
      <c r="M637" s="2" t="str">
        <f>IF(COUNTIF($B$1:$C636, $B637), "", "存在しない")</f>
        <v>存在しない</v>
      </c>
      <c r="N637" s="2" t="s">
        <v>1258</v>
      </c>
    </row>
    <row r="638" spans="10:14" x14ac:dyDescent="0.4">
      <c r="J638" s="6" t="str">
        <f>IFERROR(_xlfn.LET(_xlpm.v,
VLOOKUP($I638,効果!$A:$B,COLUMN(効果!B$1),FALSE),
IF(_xlpm.v=0,"",_xlpm.v)
),"")</f>
        <v/>
      </c>
      <c r="L638" s="15" t="str">
        <f>IF(OR(COUNTIF(クラス!$A$1:$A$1034, $B638),$B638="",COUNTIF(スキル一覧!$A$1:$A$3500, $B638)), "", "存在しない")</f>
        <v/>
      </c>
      <c r="M638" s="2" t="str">
        <f>IF(COUNTIF($B$1:$C637, $B638), "", "存在しない")</f>
        <v>存在しない</v>
      </c>
      <c r="N638" s="2" t="s">
        <v>1258</v>
      </c>
    </row>
    <row r="639" spans="10:14" x14ac:dyDescent="0.4">
      <c r="J639" s="6" t="str">
        <f>IFERROR(_xlfn.LET(_xlpm.v,
VLOOKUP($I639,効果!$A:$B,COLUMN(効果!B$1),FALSE),
IF(_xlpm.v=0,"",_xlpm.v)
),"")</f>
        <v/>
      </c>
      <c r="L639" s="15" t="str">
        <f>IF(OR(COUNTIF(クラス!$A$1:$A$1034, $B639),$B639="",COUNTIF(スキル一覧!$A$1:$A$3500, $B639)), "", "存在しない")</f>
        <v/>
      </c>
      <c r="M639" s="2" t="str">
        <f>IF(COUNTIF($B$1:$C638, $B639), "", "存在しない")</f>
        <v>存在しない</v>
      </c>
      <c r="N639" s="2" t="s">
        <v>1258</v>
      </c>
    </row>
    <row r="640" spans="10:14" x14ac:dyDescent="0.4">
      <c r="J640" s="6" t="str">
        <f>IFERROR(_xlfn.LET(_xlpm.v,
VLOOKUP($I640,効果!$A:$B,COLUMN(効果!B$1),FALSE),
IF(_xlpm.v=0,"",_xlpm.v)
),"")</f>
        <v/>
      </c>
      <c r="L640" s="15" t="str">
        <f>IF(OR(COUNTIF(クラス!$A$1:$A$1034, $B640),$B640="",COUNTIF(スキル一覧!$A$1:$A$3500, $B640)), "", "存在しない")</f>
        <v/>
      </c>
      <c r="M640" s="2" t="str">
        <f>IF(COUNTIF($B$1:$C639, $B640), "", "存在しない")</f>
        <v>存在しない</v>
      </c>
      <c r="N640" s="2" t="s">
        <v>1258</v>
      </c>
    </row>
    <row r="641" spans="10:14" x14ac:dyDescent="0.4">
      <c r="J641" s="6" t="str">
        <f>IFERROR(_xlfn.LET(_xlpm.v,
VLOOKUP($I641,効果!$A:$B,COLUMN(効果!B$1),FALSE),
IF(_xlpm.v=0,"",_xlpm.v)
),"")</f>
        <v/>
      </c>
      <c r="L641" s="15" t="str">
        <f>IF(OR(COUNTIF(クラス!$A$1:$A$1034, $B641),$B641="",COUNTIF(スキル一覧!$A$1:$A$3500, $B641)), "", "存在しない")</f>
        <v/>
      </c>
      <c r="M641" s="2" t="str">
        <f>IF(COUNTIF($B$1:$C640, $B641), "", "存在しない")</f>
        <v>存在しない</v>
      </c>
      <c r="N641" s="2" t="s">
        <v>1258</v>
      </c>
    </row>
    <row r="642" spans="10:14" x14ac:dyDescent="0.4">
      <c r="J642" s="6" t="str">
        <f>IFERROR(_xlfn.LET(_xlpm.v,
VLOOKUP($I642,効果!$A:$B,COLUMN(効果!B$1),FALSE),
IF(_xlpm.v=0,"",_xlpm.v)
),"")</f>
        <v/>
      </c>
      <c r="L642" s="15" t="str">
        <f>IF(OR(COUNTIF(クラス!$A$1:$A$1034, $B642),$B642="",COUNTIF(スキル一覧!$A$1:$A$3500, $B642)), "", "存在しない")</f>
        <v/>
      </c>
      <c r="M642" s="2" t="str">
        <f>IF(COUNTIF($B$1:$C641, $B642), "", "存在しない")</f>
        <v>存在しない</v>
      </c>
      <c r="N642" s="2" t="s">
        <v>1258</v>
      </c>
    </row>
    <row r="643" spans="10:14" x14ac:dyDescent="0.4">
      <c r="J643" s="6" t="str">
        <f>IFERROR(_xlfn.LET(_xlpm.v,
VLOOKUP($I643,効果!$A:$B,COLUMN(効果!B$1),FALSE),
IF(_xlpm.v=0,"",_xlpm.v)
),"")</f>
        <v/>
      </c>
      <c r="L643" s="15" t="str">
        <f>IF(OR(COUNTIF(クラス!$A$1:$A$1034, $B643),$B643="",COUNTIF(スキル一覧!$A$1:$A$3500, $B643)), "", "存在しない")</f>
        <v/>
      </c>
      <c r="M643" s="2" t="str">
        <f>IF(COUNTIF($B$1:$C642, $B643), "", "存在しない")</f>
        <v>存在しない</v>
      </c>
      <c r="N643" s="2" t="s">
        <v>1258</v>
      </c>
    </row>
    <row r="644" spans="10:14" x14ac:dyDescent="0.4">
      <c r="J644" s="6" t="str">
        <f>IFERROR(_xlfn.LET(_xlpm.v,
VLOOKUP($I644,効果!$A:$B,COLUMN(効果!B$1),FALSE),
IF(_xlpm.v=0,"",_xlpm.v)
),"")</f>
        <v/>
      </c>
      <c r="L644" s="15" t="str">
        <f>IF(OR(COUNTIF(クラス!$A$1:$A$1034, $B644),$B644="",COUNTIF(スキル一覧!$A$1:$A$3500, $B644)), "", "存在しない")</f>
        <v/>
      </c>
      <c r="M644" s="2" t="str">
        <f>IF(COUNTIF($B$1:$C643, $B644), "", "存在しない")</f>
        <v>存在しない</v>
      </c>
      <c r="N644" s="2" t="s">
        <v>1258</v>
      </c>
    </row>
    <row r="645" spans="10:14" x14ac:dyDescent="0.4">
      <c r="J645" s="6" t="str">
        <f>IFERROR(_xlfn.LET(_xlpm.v,
VLOOKUP($I645,効果!$A:$B,COLUMN(効果!B$1),FALSE),
IF(_xlpm.v=0,"",_xlpm.v)
),"")</f>
        <v/>
      </c>
      <c r="L645" s="15" t="str">
        <f>IF(OR(COUNTIF(クラス!$A$1:$A$1034, $B645),$B645="",COUNTIF(スキル一覧!$A$1:$A$3500, $B645)), "", "存在しない")</f>
        <v/>
      </c>
      <c r="M645" s="2" t="str">
        <f>IF(COUNTIF($B$1:$C644, $B645), "", "存在しない")</f>
        <v>存在しない</v>
      </c>
      <c r="N645" s="2" t="s">
        <v>1258</v>
      </c>
    </row>
    <row r="646" spans="10:14" x14ac:dyDescent="0.4">
      <c r="J646" s="6" t="str">
        <f>IFERROR(_xlfn.LET(_xlpm.v,
VLOOKUP($I646,効果!$A:$B,COLUMN(効果!B$1),FALSE),
IF(_xlpm.v=0,"",_xlpm.v)
),"")</f>
        <v/>
      </c>
      <c r="L646" s="15" t="str">
        <f>IF(OR(COUNTIF(クラス!$A$1:$A$1034, $B646),$B646="",COUNTIF(スキル一覧!$A$1:$A$3500, $B646)), "", "存在しない")</f>
        <v/>
      </c>
      <c r="M646" s="2" t="str">
        <f>IF(COUNTIF($B$1:$C645, $B646), "", "存在しない")</f>
        <v>存在しない</v>
      </c>
      <c r="N646" s="2" t="s">
        <v>1258</v>
      </c>
    </row>
    <row r="647" spans="10:14" x14ac:dyDescent="0.4">
      <c r="J647" s="6" t="str">
        <f>IFERROR(_xlfn.LET(_xlpm.v,
VLOOKUP($I647,効果!$A:$B,COLUMN(効果!B$1),FALSE),
IF(_xlpm.v=0,"",_xlpm.v)
),"")</f>
        <v/>
      </c>
      <c r="L647" s="15" t="str">
        <f>IF(OR(COUNTIF(クラス!$A$1:$A$1034, $B647),$B647="",COUNTIF(スキル一覧!$A$1:$A$3500, $B647)), "", "存在しない")</f>
        <v/>
      </c>
      <c r="M647" s="2" t="str">
        <f>IF(COUNTIF($B$1:$C646, $B647), "", "存在しない")</f>
        <v>存在しない</v>
      </c>
      <c r="N647" s="2" t="s">
        <v>1258</v>
      </c>
    </row>
    <row r="648" spans="10:14" x14ac:dyDescent="0.4">
      <c r="J648" s="6" t="str">
        <f>IFERROR(_xlfn.LET(_xlpm.v,
VLOOKUP($I648,効果!$A:$B,COLUMN(効果!B$1),FALSE),
IF(_xlpm.v=0,"",_xlpm.v)
),"")</f>
        <v/>
      </c>
      <c r="L648" s="15" t="str">
        <f>IF(OR(COUNTIF(クラス!$A$1:$A$1034, $B648),$B648="",COUNTIF(スキル一覧!$A$1:$A$3500, $B648)), "", "存在しない")</f>
        <v/>
      </c>
      <c r="M648" s="2" t="str">
        <f>IF(COUNTIF($B$1:$C647, $B648), "", "存在しない")</f>
        <v>存在しない</v>
      </c>
      <c r="N648" s="2" t="s">
        <v>1258</v>
      </c>
    </row>
    <row r="649" spans="10:14" x14ac:dyDescent="0.4">
      <c r="J649" s="6" t="str">
        <f>IFERROR(_xlfn.LET(_xlpm.v,
VLOOKUP($I649,効果!$A:$B,COLUMN(効果!B$1),FALSE),
IF(_xlpm.v=0,"",_xlpm.v)
),"")</f>
        <v/>
      </c>
      <c r="L649" s="15" t="str">
        <f>IF(OR(COUNTIF(クラス!$A$1:$A$1034, $B649),$B649="",COUNTIF(スキル一覧!$A$1:$A$3500, $B649)), "", "存在しない")</f>
        <v/>
      </c>
      <c r="M649" s="2" t="str">
        <f>IF(COUNTIF($B$1:$C648, $B649), "", "存在しない")</f>
        <v>存在しない</v>
      </c>
      <c r="N649" s="2" t="s">
        <v>1258</v>
      </c>
    </row>
    <row r="650" spans="10:14" x14ac:dyDescent="0.4">
      <c r="J650" s="6" t="str">
        <f>IFERROR(_xlfn.LET(_xlpm.v,
VLOOKUP($I650,効果!$A:$B,COLUMN(効果!B$1),FALSE),
IF(_xlpm.v=0,"",_xlpm.v)
),"")</f>
        <v/>
      </c>
      <c r="L650" s="15" t="str">
        <f>IF(OR(COUNTIF(クラス!$A$1:$A$1034, $B650),$B650="",COUNTIF(スキル一覧!$A$1:$A$3500, $B650)), "", "存在しない")</f>
        <v/>
      </c>
      <c r="M650" s="2" t="str">
        <f>IF(COUNTIF($B$1:$C649, $B650), "", "存在しない")</f>
        <v>存在しない</v>
      </c>
      <c r="N650" s="2" t="s">
        <v>1258</v>
      </c>
    </row>
    <row r="651" spans="10:14" x14ac:dyDescent="0.4">
      <c r="J651" s="6" t="str">
        <f>IFERROR(_xlfn.LET(_xlpm.v,
VLOOKUP($I651,効果!$A:$B,COLUMN(効果!B$1),FALSE),
IF(_xlpm.v=0,"",_xlpm.v)
),"")</f>
        <v/>
      </c>
      <c r="L651" s="15" t="str">
        <f>IF(OR(COUNTIF(クラス!$A$1:$A$1034, $B651),$B651="",COUNTIF(スキル一覧!$A$1:$A$3500, $B651)), "", "存在しない")</f>
        <v/>
      </c>
      <c r="M651" s="2" t="str">
        <f>IF(COUNTIF($B$1:$C650, $B651), "", "存在しない")</f>
        <v>存在しない</v>
      </c>
      <c r="N651" s="2" t="s">
        <v>1258</v>
      </c>
    </row>
    <row r="652" spans="10:14" x14ac:dyDescent="0.4">
      <c r="J652" s="6" t="str">
        <f>IFERROR(_xlfn.LET(_xlpm.v,
VLOOKUP($I652,効果!$A:$B,COLUMN(効果!B$1),FALSE),
IF(_xlpm.v=0,"",_xlpm.v)
),"")</f>
        <v/>
      </c>
      <c r="L652" s="15" t="str">
        <f>IF(OR(COUNTIF(クラス!$A$1:$A$1034, $B652),$B652="",COUNTIF(スキル一覧!$A$1:$A$3500, $B652)), "", "存在しない")</f>
        <v/>
      </c>
      <c r="M652" s="2" t="str">
        <f>IF(COUNTIF($B$1:$C651, $B652), "", "存在しない")</f>
        <v>存在しない</v>
      </c>
      <c r="N652" s="2" t="s">
        <v>1258</v>
      </c>
    </row>
    <row r="653" spans="10:14" x14ac:dyDescent="0.4">
      <c r="J653" s="6" t="str">
        <f>IFERROR(_xlfn.LET(_xlpm.v,
VLOOKUP($I653,効果!$A:$B,COLUMN(効果!B$1),FALSE),
IF(_xlpm.v=0,"",_xlpm.v)
),"")</f>
        <v/>
      </c>
      <c r="L653" s="15" t="str">
        <f>IF(OR(COUNTIF(クラス!$A$1:$A$1034, $B653),$B653="",COUNTIF(スキル一覧!$A$1:$A$3500, $B653)), "", "存在しない")</f>
        <v/>
      </c>
      <c r="M653" s="2" t="str">
        <f>IF(COUNTIF($B$1:$C652, $B653), "", "存在しない")</f>
        <v>存在しない</v>
      </c>
      <c r="N653" s="2" t="s">
        <v>1258</v>
      </c>
    </row>
    <row r="654" spans="10:14" x14ac:dyDescent="0.4">
      <c r="J654" s="6" t="str">
        <f>IFERROR(_xlfn.LET(_xlpm.v,
VLOOKUP($I654,効果!$A:$B,COLUMN(効果!B$1),FALSE),
IF(_xlpm.v=0,"",_xlpm.v)
),"")</f>
        <v/>
      </c>
      <c r="L654" s="15" t="str">
        <f>IF(OR(COUNTIF(クラス!$A$1:$A$1034, $B654),$B654="",COUNTIF(スキル一覧!$A$1:$A$3500, $B654)), "", "存在しない")</f>
        <v/>
      </c>
      <c r="M654" s="2" t="str">
        <f>IF(COUNTIF($B$1:$C653, $B654), "", "存在しない")</f>
        <v>存在しない</v>
      </c>
      <c r="N654" s="2" t="s">
        <v>1258</v>
      </c>
    </row>
    <row r="655" spans="10:14" x14ac:dyDescent="0.4">
      <c r="J655" s="6" t="str">
        <f>IFERROR(_xlfn.LET(_xlpm.v,
VLOOKUP($I655,効果!$A:$B,COLUMN(効果!B$1),FALSE),
IF(_xlpm.v=0,"",_xlpm.v)
),"")</f>
        <v/>
      </c>
      <c r="L655" s="15" t="str">
        <f>IF(OR(COUNTIF(クラス!$A$1:$A$1034, $B655),$B655="",COUNTIF(スキル一覧!$A$1:$A$3500, $B655)), "", "存在しない")</f>
        <v/>
      </c>
      <c r="M655" s="2" t="str">
        <f>IF(COUNTIF($B$1:$C654, $B655), "", "存在しない")</f>
        <v>存在しない</v>
      </c>
      <c r="N655" s="2" t="s">
        <v>1258</v>
      </c>
    </row>
    <row r="656" spans="10:14" x14ac:dyDescent="0.4">
      <c r="J656" s="6" t="str">
        <f>IFERROR(_xlfn.LET(_xlpm.v,
VLOOKUP($I656,効果!$A:$B,COLUMN(効果!B$1),FALSE),
IF(_xlpm.v=0,"",_xlpm.v)
),"")</f>
        <v/>
      </c>
      <c r="L656" s="15" t="str">
        <f>IF(OR(COUNTIF(クラス!$A$1:$A$1034, $B656),$B656="",COUNTIF(スキル一覧!$A$1:$A$3500, $B656)), "", "存在しない")</f>
        <v/>
      </c>
      <c r="M656" s="2" t="str">
        <f>IF(COUNTIF($B$1:$C655, $B656), "", "存在しない")</f>
        <v>存在しない</v>
      </c>
      <c r="N656" s="2" t="s">
        <v>1258</v>
      </c>
    </row>
    <row r="657" spans="10:14" x14ac:dyDescent="0.4">
      <c r="J657" s="6" t="str">
        <f>IFERROR(_xlfn.LET(_xlpm.v,
VLOOKUP($I657,効果!$A:$B,COLUMN(効果!B$1),FALSE),
IF(_xlpm.v=0,"",_xlpm.v)
),"")</f>
        <v/>
      </c>
      <c r="L657" s="15" t="str">
        <f>IF(OR(COUNTIF(クラス!$A$1:$A$1034, $B657),$B657="",COUNTIF(スキル一覧!$A$1:$A$3500, $B657)), "", "存在しない")</f>
        <v/>
      </c>
      <c r="M657" s="2" t="str">
        <f>IF(COUNTIF($B$1:$C656, $B657), "", "存在しない")</f>
        <v>存在しない</v>
      </c>
      <c r="N657" s="2" t="s">
        <v>1258</v>
      </c>
    </row>
    <row r="658" spans="10:14" x14ac:dyDescent="0.4">
      <c r="J658" s="6" t="str">
        <f>IFERROR(_xlfn.LET(_xlpm.v,
VLOOKUP($I658,効果!$A:$B,COLUMN(効果!B$1),FALSE),
IF(_xlpm.v=0,"",_xlpm.v)
),"")</f>
        <v/>
      </c>
      <c r="L658" s="15" t="str">
        <f>IF(OR(COUNTIF(クラス!$A$1:$A$1034, $B658),$B658="",COUNTIF(スキル一覧!$A$1:$A$3500, $B658)), "", "存在しない")</f>
        <v/>
      </c>
      <c r="M658" s="2" t="str">
        <f>IF(COUNTIF($B$1:$C657, $B658), "", "存在しない")</f>
        <v>存在しない</v>
      </c>
      <c r="N658" s="2" t="s">
        <v>1258</v>
      </c>
    </row>
    <row r="659" spans="10:14" x14ac:dyDescent="0.4">
      <c r="J659" s="6" t="str">
        <f>IFERROR(_xlfn.LET(_xlpm.v,
VLOOKUP($I659,効果!$A:$B,COLUMN(効果!B$1),FALSE),
IF(_xlpm.v=0,"",_xlpm.v)
),"")</f>
        <v/>
      </c>
      <c r="L659" s="15" t="str">
        <f>IF(OR(COUNTIF(クラス!$A$1:$A$1034, $B659),$B659="",COUNTIF(スキル一覧!$A$1:$A$3500, $B659)), "", "存在しない")</f>
        <v/>
      </c>
      <c r="M659" s="2" t="str">
        <f>IF(COUNTIF($B$1:$C658, $B659), "", "存在しない")</f>
        <v>存在しない</v>
      </c>
      <c r="N659" s="2" t="s">
        <v>1258</v>
      </c>
    </row>
    <row r="660" spans="10:14" x14ac:dyDescent="0.4">
      <c r="J660" s="6" t="str">
        <f>IFERROR(_xlfn.LET(_xlpm.v,
VLOOKUP($I660,効果!$A:$B,COLUMN(効果!B$1),FALSE),
IF(_xlpm.v=0,"",_xlpm.v)
),"")</f>
        <v/>
      </c>
      <c r="L660" s="15" t="str">
        <f>IF(OR(COUNTIF(クラス!$A$1:$A$1034, $B660),$B660="",COUNTIF(スキル一覧!$A$1:$A$3500, $B660)), "", "存在しない")</f>
        <v/>
      </c>
      <c r="M660" s="2" t="str">
        <f>IF(COUNTIF($B$1:$C659, $B660), "", "存在しない")</f>
        <v>存在しない</v>
      </c>
      <c r="N660" s="2" t="s">
        <v>1258</v>
      </c>
    </row>
    <row r="661" spans="10:14" x14ac:dyDescent="0.4">
      <c r="J661" s="6" t="str">
        <f>IFERROR(_xlfn.LET(_xlpm.v,
VLOOKUP($I661,効果!$A:$B,COLUMN(効果!B$1),FALSE),
IF(_xlpm.v=0,"",_xlpm.v)
),"")</f>
        <v/>
      </c>
      <c r="L661" s="15" t="str">
        <f>IF(OR(COUNTIF(クラス!$A$1:$A$1034, $B661),$B661="",COUNTIF(スキル一覧!$A$1:$A$3500, $B661)), "", "存在しない")</f>
        <v/>
      </c>
      <c r="M661" s="2" t="str">
        <f>IF(COUNTIF($B$1:$C660, $B661), "", "存在しない")</f>
        <v>存在しない</v>
      </c>
      <c r="N661" s="2" t="s">
        <v>1258</v>
      </c>
    </row>
    <row r="662" spans="10:14" x14ac:dyDescent="0.4">
      <c r="J662" s="6" t="str">
        <f>IFERROR(_xlfn.LET(_xlpm.v,
VLOOKUP($I662,効果!$A:$B,COLUMN(効果!B$1),FALSE),
IF(_xlpm.v=0,"",_xlpm.v)
),"")</f>
        <v/>
      </c>
      <c r="L662" s="15" t="str">
        <f>IF(OR(COUNTIF(クラス!$A$1:$A$1034, $B662),$B662="",COUNTIF(スキル一覧!$A$1:$A$3500, $B662)), "", "存在しない")</f>
        <v/>
      </c>
      <c r="M662" s="2" t="str">
        <f>IF(COUNTIF($B$1:$C661, $B662), "", "存在しない")</f>
        <v>存在しない</v>
      </c>
      <c r="N662" s="2" t="s">
        <v>1258</v>
      </c>
    </row>
    <row r="663" spans="10:14" x14ac:dyDescent="0.4">
      <c r="J663" s="6" t="str">
        <f>IFERROR(_xlfn.LET(_xlpm.v,
VLOOKUP($I663,効果!$A:$B,COLUMN(効果!B$1),FALSE),
IF(_xlpm.v=0,"",_xlpm.v)
),"")</f>
        <v/>
      </c>
      <c r="L663" s="15" t="str">
        <f>IF(OR(COUNTIF(クラス!$A$1:$A$1034, $B663),$B663="",COUNTIF(スキル一覧!$A$1:$A$3500, $B663)), "", "存在しない")</f>
        <v/>
      </c>
      <c r="M663" s="2" t="str">
        <f>IF(COUNTIF($B$1:$C662, $B663), "", "存在しない")</f>
        <v>存在しない</v>
      </c>
      <c r="N663" s="2" t="s">
        <v>1258</v>
      </c>
    </row>
    <row r="664" spans="10:14" x14ac:dyDescent="0.4">
      <c r="J664" s="6" t="str">
        <f>IFERROR(_xlfn.LET(_xlpm.v,
VLOOKUP($I664,効果!$A:$B,COLUMN(効果!B$1),FALSE),
IF(_xlpm.v=0,"",_xlpm.v)
),"")</f>
        <v/>
      </c>
      <c r="L664" s="15" t="str">
        <f>IF(OR(COUNTIF(クラス!$A$1:$A$1034, $B664),$B664="",COUNTIF(スキル一覧!$A$1:$A$3500, $B664)), "", "存在しない")</f>
        <v/>
      </c>
      <c r="M664" s="2" t="str">
        <f>IF(COUNTIF($B$1:$C663, $B664), "", "存在しない")</f>
        <v>存在しない</v>
      </c>
      <c r="N664" s="2" t="s">
        <v>1258</v>
      </c>
    </row>
    <row r="665" spans="10:14" x14ac:dyDescent="0.4">
      <c r="J665" s="6" t="str">
        <f>IFERROR(_xlfn.LET(_xlpm.v,
VLOOKUP($I665,効果!$A:$B,COLUMN(効果!B$1),FALSE),
IF(_xlpm.v=0,"",_xlpm.v)
),"")</f>
        <v/>
      </c>
      <c r="L665" s="15" t="str">
        <f>IF(OR(COUNTIF(クラス!$A$1:$A$1034, $B665),$B665="",COUNTIF(スキル一覧!$A$1:$A$3500, $B665)), "", "存在しない")</f>
        <v/>
      </c>
      <c r="M665" s="2" t="str">
        <f>IF(COUNTIF($B$1:$C664, $B665), "", "存在しない")</f>
        <v>存在しない</v>
      </c>
      <c r="N665" s="2" t="s">
        <v>1258</v>
      </c>
    </row>
    <row r="666" spans="10:14" x14ac:dyDescent="0.4">
      <c r="J666" s="6" t="str">
        <f>IFERROR(_xlfn.LET(_xlpm.v,
VLOOKUP($I666,効果!$A:$B,COLUMN(効果!B$1),FALSE),
IF(_xlpm.v=0,"",_xlpm.v)
),"")</f>
        <v/>
      </c>
      <c r="L666" s="15" t="str">
        <f>IF(OR(COUNTIF(クラス!$A$1:$A$1034, $B666),$B666="",COUNTIF(スキル一覧!$A$1:$A$3500, $B666)), "", "存在しない")</f>
        <v/>
      </c>
      <c r="M666" s="2" t="str">
        <f>IF(COUNTIF($B$1:$C665, $B666), "", "存在しない")</f>
        <v>存在しない</v>
      </c>
      <c r="N666" s="2" t="s">
        <v>1258</v>
      </c>
    </row>
    <row r="667" spans="10:14" x14ac:dyDescent="0.4">
      <c r="J667" s="6" t="str">
        <f>IFERROR(_xlfn.LET(_xlpm.v,
VLOOKUP($I667,効果!$A:$B,COLUMN(効果!B$1),FALSE),
IF(_xlpm.v=0,"",_xlpm.v)
),"")</f>
        <v/>
      </c>
      <c r="L667" s="15" t="str">
        <f>IF(OR(COUNTIF(クラス!$A$1:$A$1034, $B667),$B667="",COUNTIF(スキル一覧!$A$1:$A$3500, $B667)), "", "存在しない")</f>
        <v/>
      </c>
      <c r="M667" s="2" t="str">
        <f>IF(COUNTIF($B$1:$C666, $B667), "", "存在しない")</f>
        <v>存在しない</v>
      </c>
      <c r="N667" s="2" t="s">
        <v>1258</v>
      </c>
    </row>
    <row r="668" spans="10:14" x14ac:dyDescent="0.4">
      <c r="J668" s="6" t="str">
        <f>IFERROR(_xlfn.LET(_xlpm.v,
VLOOKUP($I668,効果!$A:$B,COLUMN(効果!B$1),FALSE),
IF(_xlpm.v=0,"",_xlpm.v)
),"")</f>
        <v/>
      </c>
      <c r="L668" s="15" t="str">
        <f>IF(OR(COUNTIF(クラス!$A$1:$A$1034, $B668),$B668="",COUNTIF(スキル一覧!$A$1:$A$3500, $B668)), "", "存在しない")</f>
        <v/>
      </c>
      <c r="M668" s="2" t="str">
        <f>IF(COUNTIF($B$1:$C667, $B668), "", "存在しない")</f>
        <v>存在しない</v>
      </c>
      <c r="N668" s="2" t="s">
        <v>1258</v>
      </c>
    </row>
    <row r="669" spans="10:14" x14ac:dyDescent="0.4">
      <c r="J669" s="6" t="str">
        <f>IFERROR(_xlfn.LET(_xlpm.v,
VLOOKUP($I669,効果!$A:$B,COLUMN(効果!B$1),FALSE),
IF(_xlpm.v=0,"",_xlpm.v)
),"")</f>
        <v/>
      </c>
      <c r="L669" s="15" t="str">
        <f>IF(OR(COUNTIF(クラス!$A$1:$A$1034, $B669),$B669="",COUNTIF(スキル一覧!$A$1:$A$3500, $B669)), "", "存在しない")</f>
        <v/>
      </c>
      <c r="M669" s="2" t="str">
        <f>IF(COUNTIF($B$1:$C668, $B669), "", "存在しない")</f>
        <v>存在しない</v>
      </c>
      <c r="N669" s="2" t="s">
        <v>1258</v>
      </c>
    </row>
    <row r="670" spans="10:14" x14ac:dyDescent="0.4">
      <c r="J670" s="6" t="str">
        <f>IFERROR(_xlfn.LET(_xlpm.v,
VLOOKUP($I670,効果!$A:$B,COLUMN(効果!B$1),FALSE),
IF(_xlpm.v=0,"",_xlpm.v)
),"")</f>
        <v/>
      </c>
      <c r="L670" s="15" t="str">
        <f>IF(OR(COUNTIF(クラス!$A$1:$A$1034, $B670),$B670="",COUNTIF(スキル一覧!$A$1:$A$3500, $B670)), "", "存在しない")</f>
        <v/>
      </c>
      <c r="M670" s="2" t="str">
        <f>IF(COUNTIF($B$1:$C669, $B670), "", "存在しない")</f>
        <v>存在しない</v>
      </c>
      <c r="N670" s="2" t="s">
        <v>1258</v>
      </c>
    </row>
    <row r="671" spans="10:14" x14ac:dyDescent="0.4">
      <c r="J671" s="6" t="str">
        <f>IFERROR(_xlfn.LET(_xlpm.v,
VLOOKUP($I671,効果!$A:$B,COLUMN(効果!B$1),FALSE),
IF(_xlpm.v=0,"",_xlpm.v)
),"")</f>
        <v/>
      </c>
      <c r="L671" s="15" t="str">
        <f>IF(OR(COUNTIF(クラス!$A$1:$A$1034, $B671),$B671="",COUNTIF(スキル一覧!$A$1:$A$3500, $B671)), "", "存在しない")</f>
        <v/>
      </c>
      <c r="M671" s="2" t="str">
        <f>IF(COUNTIF($B$1:$C670, $B671), "", "存在しない")</f>
        <v>存在しない</v>
      </c>
      <c r="N671" s="2" t="s">
        <v>1258</v>
      </c>
    </row>
    <row r="672" spans="10:14" x14ac:dyDescent="0.4">
      <c r="J672" s="6" t="str">
        <f>IFERROR(_xlfn.LET(_xlpm.v,
VLOOKUP($I672,効果!$A:$B,COLUMN(効果!B$1),FALSE),
IF(_xlpm.v=0,"",_xlpm.v)
),"")</f>
        <v/>
      </c>
      <c r="L672" s="15" t="str">
        <f>IF(OR(COUNTIF(クラス!$A$1:$A$1034, $B672),$B672="",COUNTIF(スキル一覧!$A$1:$A$3500, $B672)), "", "存在しない")</f>
        <v/>
      </c>
      <c r="M672" s="2" t="str">
        <f>IF(COUNTIF($B$1:$C671, $B672), "", "存在しない")</f>
        <v>存在しない</v>
      </c>
      <c r="N672" s="2" t="s">
        <v>1258</v>
      </c>
    </row>
    <row r="673" spans="10:14" x14ac:dyDescent="0.4">
      <c r="J673" s="6" t="str">
        <f>IFERROR(_xlfn.LET(_xlpm.v,
VLOOKUP($I673,効果!$A:$B,COLUMN(効果!B$1),FALSE),
IF(_xlpm.v=0,"",_xlpm.v)
),"")</f>
        <v/>
      </c>
      <c r="L673" s="15" t="str">
        <f>IF(OR(COUNTIF(クラス!$A$1:$A$1034, $B673),$B673="",COUNTIF(スキル一覧!$A$1:$A$3500, $B673)), "", "存在しない")</f>
        <v/>
      </c>
      <c r="M673" s="2" t="str">
        <f>IF(COUNTIF($B$1:$C672, $B673), "", "存在しない")</f>
        <v>存在しない</v>
      </c>
      <c r="N673" s="2" t="s">
        <v>1258</v>
      </c>
    </row>
    <row r="674" spans="10:14" x14ac:dyDescent="0.4">
      <c r="J674" s="6" t="str">
        <f>IFERROR(_xlfn.LET(_xlpm.v,
VLOOKUP($I674,効果!$A:$B,COLUMN(効果!B$1),FALSE),
IF(_xlpm.v=0,"",_xlpm.v)
),"")</f>
        <v/>
      </c>
      <c r="L674" s="15" t="str">
        <f>IF(OR(COUNTIF(クラス!$A$1:$A$1034, $B674),$B674="",COUNTIF(スキル一覧!$A$1:$A$3500, $B674)), "", "存在しない")</f>
        <v/>
      </c>
      <c r="M674" s="2" t="str">
        <f>IF(COUNTIF($B$1:$C673, $B674), "", "存在しない")</f>
        <v>存在しない</v>
      </c>
      <c r="N674" s="2" t="s">
        <v>1258</v>
      </c>
    </row>
    <row r="675" spans="10:14" x14ac:dyDescent="0.4">
      <c r="J675" s="6" t="str">
        <f>IFERROR(_xlfn.LET(_xlpm.v,
VLOOKUP($I675,効果!$A:$B,COLUMN(効果!B$1),FALSE),
IF(_xlpm.v=0,"",_xlpm.v)
),"")</f>
        <v/>
      </c>
      <c r="L675" s="15" t="str">
        <f>IF(OR(COUNTIF(クラス!$A$1:$A$1034, $B675),$B675="",COUNTIF(スキル一覧!$A$1:$A$3500, $B675)), "", "存在しない")</f>
        <v/>
      </c>
      <c r="M675" s="2" t="str">
        <f>IF(COUNTIF($B$1:$C674, $B675), "", "存在しない")</f>
        <v>存在しない</v>
      </c>
      <c r="N675" s="2" t="s">
        <v>1258</v>
      </c>
    </row>
    <row r="676" spans="10:14" x14ac:dyDescent="0.4">
      <c r="J676" s="6" t="str">
        <f>IFERROR(_xlfn.LET(_xlpm.v,
VLOOKUP($I676,効果!$A:$B,COLUMN(効果!B$1),FALSE),
IF(_xlpm.v=0,"",_xlpm.v)
),"")</f>
        <v/>
      </c>
      <c r="L676" s="15" t="str">
        <f>IF(OR(COUNTIF(クラス!$A$1:$A$1034, $B676),$B676="",COUNTIF(スキル一覧!$A$1:$A$3500, $B676)), "", "存在しない")</f>
        <v/>
      </c>
      <c r="M676" s="2" t="str">
        <f>IF(COUNTIF($B$1:$C675, $B676), "", "存在しない")</f>
        <v>存在しない</v>
      </c>
      <c r="N676" s="2" t="s">
        <v>1258</v>
      </c>
    </row>
    <row r="677" spans="10:14" x14ac:dyDescent="0.4">
      <c r="J677" s="6" t="str">
        <f>IFERROR(_xlfn.LET(_xlpm.v,
VLOOKUP($I677,効果!$A:$B,COLUMN(効果!B$1),FALSE),
IF(_xlpm.v=0,"",_xlpm.v)
),"")</f>
        <v/>
      </c>
      <c r="L677" s="15" t="str">
        <f>IF(OR(COUNTIF(クラス!$A$1:$A$1034, $B677),$B677="",COUNTIF(スキル一覧!$A$1:$A$3500, $B677)), "", "存在しない")</f>
        <v/>
      </c>
      <c r="M677" s="2" t="str">
        <f>IF(COUNTIF($B$1:$C676, $B677), "", "存在しない")</f>
        <v>存在しない</v>
      </c>
      <c r="N677" s="2" t="s">
        <v>1258</v>
      </c>
    </row>
    <row r="678" spans="10:14" x14ac:dyDescent="0.4">
      <c r="J678" s="6" t="str">
        <f>IFERROR(_xlfn.LET(_xlpm.v,
VLOOKUP($I678,効果!$A:$B,COLUMN(効果!B$1),FALSE),
IF(_xlpm.v=0,"",_xlpm.v)
),"")</f>
        <v/>
      </c>
      <c r="L678" s="15" t="str">
        <f>IF(OR(COUNTIF(クラス!$A$1:$A$1034, $B678),$B678="",COUNTIF(スキル一覧!$A$1:$A$3500, $B678)), "", "存在しない")</f>
        <v/>
      </c>
      <c r="M678" s="2" t="str">
        <f>IF(COUNTIF($B$1:$C677, $B678), "", "存在しない")</f>
        <v>存在しない</v>
      </c>
      <c r="N678" s="2" t="s">
        <v>1258</v>
      </c>
    </row>
    <row r="679" spans="10:14" x14ac:dyDescent="0.4">
      <c r="J679" s="6" t="str">
        <f>IFERROR(_xlfn.LET(_xlpm.v,
VLOOKUP($I679,効果!$A:$B,COLUMN(効果!B$1),FALSE),
IF(_xlpm.v=0,"",_xlpm.v)
),"")</f>
        <v/>
      </c>
      <c r="L679" s="15" t="str">
        <f>IF(OR(COUNTIF(クラス!$A$1:$A$1034, $B679),$B679="",COUNTIF(スキル一覧!$A$1:$A$3500, $B679)), "", "存在しない")</f>
        <v/>
      </c>
      <c r="M679" s="2" t="str">
        <f>IF(COUNTIF($B$1:$C678, $B679), "", "存在しない")</f>
        <v>存在しない</v>
      </c>
      <c r="N679" s="2" t="s">
        <v>1258</v>
      </c>
    </row>
    <row r="680" spans="10:14" x14ac:dyDescent="0.4">
      <c r="J680" s="6" t="str">
        <f>IFERROR(_xlfn.LET(_xlpm.v,
VLOOKUP($I680,効果!$A:$B,COLUMN(効果!B$1),FALSE),
IF(_xlpm.v=0,"",_xlpm.v)
),"")</f>
        <v/>
      </c>
      <c r="L680" s="15" t="str">
        <f>IF(OR(COUNTIF(クラス!$A$1:$A$1034, $B680),$B680="",COUNTIF(スキル一覧!$A$1:$A$3500, $B680)), "", "存在しない")</f>
        <v/>
      </c>
      <c r="M680" s="2" t="str">
        <f>IF(COUNTIF($B$1:$C679, $B680), "", "存在しない")</f>
        <v>存在しない</v>
      </c>
      <c r="N680" s="2" t="s">
        <v>1258</v>
      </c>
    </row>
    <row r="681" spans="10:14" x14ac:dyDescent="0.4">
      <c r="J681" s="6" t="str">
        <f>IFERROR(_xlfn.LET(_xlpm.v,
VLOOKUP($I681,効果!$A:$B,COLUMN(効果!B$1),FALSE),
IF(_xlpm.v=0,"",_xlpm.v)
),"")</f>
        <v/>
      </c>
      <c r="L681" s="15" t="str">
        <f>IF(OR(COUNTIF(クラス!$A$1:$A$1034, $B681),$B681="",COUNTIF(スキル一覧!$A$1:$A$3500, $B681)), "", "存在しない")</f>
        <v/>
      </c>
      <c r="M681" s="2" t="str">
        <f>IF(COUNTIF($B$1:$C680, $B681), "", "存在しない")</f>
        <v>存在しない</v>
      </c>
      <c r="N681" s="2" t="s">
        <v>1258</v>
      </c>
    </row>
    <row r="682" spans="10:14" x14ac:dyDescent="0.4">
      <c r="J682" s="6" t="str">
        <f>IFERROR(_xlfn.LET(_xlpm.v,
VLOOKUP($I682,効果!$A:$B,COLUMN(効果!B$1),FALSE),
IF(_xlpm.v=0,"",_xlpm.v)
),"")</f>
        <v/>
      </c>
      <c r="L682" s="15" t="str">
        <f>IF(OR(COUNTIF(クラス!$A$1:$A$1034, $B682),$B682="",COUNTIF(スキル一覧!$A$1:$A$3500, $B682)), "", "存在しない")</f>
        <v/>
      </c>
      <c r="M682" s="2" t="str">
        <f>IF(COUNTIF($B$1:$C681, $B682), "", "存在しない")</f>
        <v>存在しない</v>
      </c>
      <c r="N682" s="2" t="s">
        <v>1258</v>
      </c>
    </row>
    <row r="683" spans="10:14" x14ac:dyDescent="0.4">
      <c r="J683" s="6" t="str">
        <f>IFERROR(_xlfn.LET(_xlpm.v,
VLOOKUP($I683,効果!$A:$B,COLUMN(効果!B$1),FALSE),
IF(_xlpm.v=0,"",_xlpm.v)
),"")</f>
        <v/>
      </c>
      <c r="L683" s="15" t="str">
        <f>IF(OR(COUNTIF(クラス!$A$1:$A$1034, $B683),$B683="",COUNTIF(スキル一覧!$A$1:$A$3500, $B683)), "", "存在しない")</f>
        <v/>
      </c>
      <c r="M683" s="2" t="str">
        <f>IF(COUNTIF($B$1:$C682, $B683), "", "存在しない")</f>
        <v>存在しない</v>
      </c>
      <c r="N683" s="2" t="s">
        <v>1258</v>
      </c>
    </row>
    <row r="684" spans="10:14" x14ac:dyDescent="0.4">
      <c r="J684" s="6" t="str">
        <f>IFERROR(_xlfn.LET(_xlpm.v,
VLOOKUP($I684,効果!$A:$B,COLUMN(効果!B$1),FALSE),
IF(_xlpm.v=0,"",_xlpm.v)
),"")</f>
        <v/>
      </c>
      <c r="L684" s="15" t="str">
        <f>IF(OR(COUNTIF(クラス!$A$1:$A$1034, $B684),$B684="",COUNTIF(スキル一覧!$A$1:$A$3500, $B684)), "", "存在しない")</f>
        <v/>
      </c>
      <c r="M684" s="2" t="str">
        <f>IF(COUNTIF($B$1:$C683, $B684), "", "存在しない")</f>
        <v>存在しない</v>
      </c>
      <c r="N684" s="2" t="s">
        <v>1258</v>
      </c>
    </row>
    <row r="685" spans="10:14" x14ac:dyDescent="0.4">
      <c r="J685" s="6" t="str">
        <f>IFERROR(_xlfn.LET(_xlpm.v,
VLOOKUP($I685,効果!$A:$B,COLUMN(効果!B$1),FALSE),
IF(_xlpm.v=0,"",_xlpm.v)
),"")</f>
        <v/>
      </c>
      <c r="L685" s="15" t="str">
        <f>IF(OR(COUNTIF(クラス!$A$1:$A$1034, $B685),$B685="",COUNTIF(スキル一覧!$A$1:$A$3500, $B685)), "", "存在しない")</f>
        <v/>
      </c>
      <c r="M685" s="2" t="str">
        <f>IF(COUNTIF($B$1:$C684, $B685), "", "存在しない")</f>
        <v>存在しない</v>
      </c>
      <c r="N685" s="2" t="s">
        <v>1258</v>
      </c>
    </row>
    <row r="686" spans="10:14" x14ac:dyDescent="0.4">
      <c r="J686" s="6" t="str">
        <f>IFERROR(_xlfn.LET(_xlpm.v,
VLOOKUP($I686,効果!$A:$B,COLUMN(効果!B$1),FALSE),
IF(_xlpm.v=0,"",_xlpm.v)
),"")</f>
        <v/>
      </c>
      <c r="L686" s="15" t="str">
        <f>IF(OR(COUNTIF(クラス!$A$1:$A$1034, $B686),$B686="",COUNTIF(スキル一覧!$A$1:$A$3500, $B686)), "", "存在しない")</f>
        <v/>
      </c>
      <c r="M686" s="2" t="str">
        <f>IF(COUNTIF($B$1:$C685, $B686), "", "存在しない")</f>
        <v>存在しない</v>
      </c>
      <c r="N686" s="2" t="s">
        <v>1258</v>
      </c>
    </row>
    <row r="687" spans="10:14" x14ac:dyDescent="0.4">
      <c r="J687" s="6" t="str">
        <f>IFERROR(_xlfn.LET(_xlpm.v,
VLOOKUP($I687,効果!$A:$B,COLUMN(効果!B$1),FALSE),
IF(_xlpm.v=0,"",_xlpm.v)
),"")</f>
        <v/>
      </c>
      <c r="L687" s="15" t="str">
        <f>IF(OR(COUNTIF(クラス!$A$1:$A$1034, $B687),$B687="",COUNTIF(スキル一覧!$A$1:$A$3500, $B687)), "", "存在しない")</f>
        <v/>
      </c>
      <c r="M687" s="2" t="str">
        <f>IF(COUNTIF($B$1:$C686, $B687), "", "存在しない")</f>
        <v>存在しない</v>
      </c>
      <c r="N687" s="2" t="s">
        <v>1258</v>
      </c>
    </row>
    <row r="688" spans="10:14" x14ac:dyDescent="0.4">
      <c r="J688" s="6" t="str">
        <f>IFERROR(_xlfn.LET(_xlpm.v,
VLOOKUP($I688,効果!$A:$B,COLUMN(効果!B$1),FALSE),
IF(_xlpm.v=0,"",_xlpm.v)
),"")</f>
        <v/>
      </c>
      <c r="L688" s="15" t="str">
        <f>IF(OR(COUNTIF(クラス!$A$1:$A$1034, $B688),$B688="",COUNTIF(スキル一覧!$A$1:$A$3500, $B688)), "", "存在しない")</f>
        <v/>
      </c>
      <c r="M688" s="2" t="str">
        <f>IF(COUNTIF($B$1:$C687, $B688), "", "存在しない")</f>
        <v>存在しない</v>
      </c>
      <c r="N688" s="2" t="s">
        <v>1258</v>
      </c>
    </row>
    <row r="689" spans="10:14" x14ac:dyDescent="0.4">
      <c r="J689" s="6" t="str">
        <f>IFERROR(_xlfn.LET(_xlpm.v,
VLOOKUP($I689,効果!$A:$B,COLUMN(効果!B$1),FALSE),
IF(_xlpm.v=0,"",_xlpm.v)
),"")</f>
        <v/>
      </c>
      <c r="L689" s="15" t="str">
        <f>IF(OR(COUNTIF(クラス!$A$1:$A$1034, $B689),$B689="",COUNTIF(スキル一覧!$A$1:$A$3500, $B689)), "", "存在しない")</f>
        <v/>
      </c>
      <c r="M689" s="2" t="str">
        <f>IF(COUNTIF($B$1:$C688, $B689), "", "存在しない")</f>
        <v>存在しない</v>
      </c>
      <c r="N689" s="2" t="s">
        <v>1258</v>
      </c>
    </row>
    <row r="690" spans="10:14" x14ac:dyDescent="0.4">
      <c r="J690" s="6" t="str">
        <f>IFERROR(_xlfn.LET(_xlpm.v,
VLOOKUP($I690,効果!$A:$B,COLUMN(効果!B$1),FALSE),
IF(_xlpm.v=0,"",_xlpm.v)
),"")</f>
        <v/>
      </c>
      <c r="L690" s="15" t="str">
        <f>IF(OR(COUNTIF(クラス!$A$1:$A$1034, $B690),$B690="",COUNTIF(スキル一覧!$A$1:$A$3500, $B690)), "", "存在しない")</f>
        <v/>
      </c>
      <c r="M690" s="2" t="str">
        <f>IF(COUNTIF($B$1:$C689, $B690), "", "存在しない")</f>
        <v>存在しない</v>
      </c>
      <c r="N690" s="2" t="s">
        <v>1258</v>
      </c>
    </row>
    <row r="691" spans="10:14" x14ac:dyDescent="0.4">
      <c r="J691" s="6" t="str">
        <f>IFERROR(_xlfn.LET(_xlpm.v,
VLOOKUP($I691,効果!$A:$B,COLUMN(効果!B$1),FALSE),
IF(_xlpm.v=0,"",_xlpm.v)
),"")</f>
        <v/>
      </c>
      <c r="L691" s="15" t="str">
        <f>IF(OR(COUNTIF(クラス!$A$1:$A$1034, $B691),$B691="",COUNTIF(スキル一覧!$A$1:$A$3500, $B691)), "", "存在しない")</f>
        <v/>
      </c>
      <c r="M691" s="2" t="str">
        <f>IF(COUNTIF($B$1:$C690, $B691), "", "存在しない")</f>
        <v>存在しない</v>
      </c>
      <c r="N691" s="2" t="s">
        <v>1258</v>
      </c>
    </row>
    <row r="692" spans="10:14" x14ac:dyDescent="0.4">
      <c r="J692" s="6" t="str">
        <f>IFERROR(_xlfn.LET(_xlpm.v,
VLOOKUP($I692,効果!$A:$B,COLUMN(効果!B$1),FALSE),
IF(_xlpm.v=0,"",_xlpm.v)
),"")</f>
        <v/>
      </c>
      <c r="L692" s="15" t="str">
        <f>IF(OR(COUNTIF(クラス!$A$1:$A$1034, $B692),$B692="",COUNTIF(スキル一覧!$A$1:$A$3500, $B692)), "", "存在しない")</f>
        <v/>
      </c>
      <c r="M692" s="2" t="str">
        <f>IF(COUNTIF($B$1:$C691, $B692), "", "存在しない")</f>
        <v>存在しない</v>
      </c>
      <c r="N692" s="2" t="s">
        <v>1258</v>
      </c>
    </row>
    <row r="693" spans="10:14" x14ac:dyDescent="0.4">
      <c r="J693" s="6" t="str">
        <f>IFERROR(_xlfn.LET(_xlpm.v,
VLOOKUP($I693,効果!$A:$B,COLUMN(効果!B$1),FALSE),
IF(_xlpm.v=0,"",_xlpm.v)
),"")</f>
        <v/>
      </c>
      <c r="L693" s="15" t="str">
        <f>IF(OR(COUNTIF(クラス!$A$1:$A$1034, $B693),$B693="",COUNTIF(スキル一覧!$A$1:$A$3500, $B693)), "", "存在しない")</f>
        <v/>
      </c>
      <c r="M693" s="2" t="str">
        <f>IF(COUNTIF($B$1:$C692, $B693), "", "存在しない")</f>
        <v>存在しない</v>
      </c>
      <c r="N693" s="2" t="s">
        <v>1258</v>
      </c>
    </row>
    <row r="694" spans="10:14" x14ac:dyDescent="0.4">
      <c r="J694" s="6" t="str">
        <f>IFERROR(_xlfn.LET(_xlpm.v,
VLOOKUP($I694,効果!$A:$B,COLUMN(効果!B$1),FALSE),
IF(_xlpm.v=0,"",_xlpm.v)
),"")</f>
        <v/>
      </c>
      <c r="L694" s="15" t="str">
        <f>IF(OR(COUNTIF(クラス!$A$1:$A$1034, $B694),$B694="",COUNTIF(スキル一覧!$A$1:$A$3500, $B694)), "", "存在しない")</f>
        <v/>
      </c>
      <c r="M694" s="2" t="str">
        <f>IF(COUNTIF($B$1:$C693, $B694), "", "存在しない")</f>
        <v>存在しない</v>
      </c>
      <c r="N694" s="2" t="s">
        <v>1258</v>
      </c>
    </row>
    <row r="695" spans="10:14" x14ac:dyDescent="0.4">
      <c r="J695" s="6" t="str">
        <f>IFERROR(_xlfn.LET(_xlpm.v,
VLOOKUP($I695,効果!$A:$B,COLUMN(効果!B$1),FALSE),
IF(_xlpm.v=0,"",_xlpm.v)
),"")</f>
        <v/>
      </c>
      <c r="L695" s="15" t="str">
        <f>IF(OR(COUNTIF(クラス!$A$1:$A$1034, $B695),$B695="",COUNTIF(スキル一覧!$A$1:$A$3500, $B695)), "", "存在しない")</f>
        <v/>
      </c>
      <c r="M695" s="2" t="str">
        <f>IF(COUNTIF($B$1:$C694, $B695), "", "存在しない")</f>
        <v>存在しない</v>
      </c>
      <c r="N695" s="2" t="s">
        <v>1258</v>
      </c>
    </row>
    <row r="696" spans="10:14" x14ac:dyDescent="0.4">
      <c r="J696" s="6" t="str">
        <f>IFERROR(_xlfn.LET(_xlpm.v,
VLOOKUP($I696,効果!$A:$B,COLUMN(効果!B$1),FALSE),
IF(_xlpm.v=0,"",_xlpm.v)
),"")</f>
        <v/>
      </c>
      <c r="L696" s="15" t="str">
        <f>IF(OR(COUNTIF(クラス!$A$1:$A$1034, $B696),$B696="",COUNTIF(スキル一覧!$A$1:$A$3500, $B696)), "", "存在しない")</f>
        <v/>
      </c>
      <c r="M696" s="2" t="str">
        <f>IF(COUNTIF($B$1:$C695, $B696), "", "存在しない")</f>
        <v>存在しない</v>
      </c>
      <c r="N696" s="2" t="s">
        <v>1258</v>
      </c>
    </row>
    <row r="697" spans="10:14" x14ac:dyDescent="0.4">
      <c r="J697" s="6" t="str">
        <f>IFERROR(_xlfn.LET(_xlpm.v,
VLOOKUP($I697,効果!$A:$B,COLUMN(効果!B$1),FALSE),
IF(_xlpm.v=0,"",_xlpm.v)
),"")</f>
        <v/>
      </c>
      <c r="L697" s="15" t="str">
        <f>IF(OR(COUNTIF(クラス!$A$1:$A$1034, $B697),$B697="",COUNTIF(スキル一覧!$A$1:$A$3500, $B697)), "", "存在しない")</f>
        <v/>
      </c>
      <c r="M697" s="2" t="str">
        <f>IF(COUNTIF($B$1:$C696, $B697), "", "存在しない")</f>
        <v>存在しない</v>
      </c>
      <c r="N697" s="2" t="s">
        <v>1258</v>
      </c>
    </row>
    <row r="698" spans="10:14" x14ac:dyDescent="0.4">
      <c r="J698" s="6" t="str">
        <f>IFERROR(_xlfn.LET(_xlpm.v,
VLOOKUP($I698,効果!$A:$B,COLUMN(効果!B$1),FALSE),
IF(_xlpm.v=0,"",_xlpm.v)
),"")</f>
        <v/>
      </c>
      <c r="L698" s="15" t="str">
        <f>IF(OR(COUNTIF(クラス!$A$1:$A$1034, $B698),$B698="",COUNTIF(スキル一覧!$A$1:$A$3500, $B698)), "", "存在しない")</f>
        <v/>
      </c>
      <c r="M698" s="2" t="str">
        <f>IF(COUNTIF($B$1:$C697, $B698), "", "存在しない")</f>
        <v>存在しない</v>
      </c>
      <c r="N698" s="2" t="s">
        <v>1258</v>
      </c>
    </row>
    <row r="699" spans="10:14" x14ac:dyDescent="0.4">
      <c r="J699" s="6" t="str">
        <f>IFERROR(_xlfn.LET(_xlpm.v,
VLOOKUP($I699,効果!$A:$B,COLUMN(効果!B$1),FALSE),
IF(_xlpm.v=0,"",_xlpm.v)
),"")</f>
        <v/>
      </c>
      <c r="L699" s="15" t="str">
        <f>IF(OR(COUNTIF(クラス!$A$1:$A$1034, $B699),$B699="",COUNTIF(スキル一覧!$A$1:$A$3500, $B699)), "", "存在しない")</f>
        <v/>
      </c>
      <c r="M699" s="2" t="str">
        <f>IF(COUNTIF($B$1:$C698, $B699), "", "存在しない")</f>
        <v>存在しない</v>
      </c>
      <c r="N699" s="2" t="s">
        <v>1258</v>
      </c>
    </row>
    <row r="700" spans="10:14" x14ac:dyDescent="0.4">
      <c r="J700" s="6" t="str">
        <f>IFERROR(_xlfn.LET(_xlpm.v,
VLOOKUP($I700,効果!$A:$B,COLUMN(効果!B$1),FALSE),
IF(_xlpm.v=0,"",_xlpm.v)
),"")</f>
        <v/>
      </c>
      <c r="L700" s="15" t="str">
        <f>IF(OR(COUNTIF(クラス!$A$1:$A$1034, $B700),$B700="",COUNTIF(スキル一覧!$A$1:$A$3500, $B700)), "", "存在しない")</f>
        <v/>
      </c>
      <c r="M700" s="2" t="str">
        <f>IF(COUNTIF($B$1:$C699, $B700), "", "存在しない")</f>
        <v>存在しない</v>
      </c>
      <c r="N700" s="2" t="s">
        <v>1258</v>
      </c>
    </row>
    <row r="701" spans="10:14" x14ac:dyDescent="0.4">
      <c r="J701" s="6" t="str">
        <f>IFERROR(_xlfn.LET(_xlpm.v,
VLOOKUP($I701,効果!$A:$B,COLUMN(効果!B$1),FALSE),
IF(_xlpm.v=0,"",_xlpm.v)
),"")</f>
        <v/>
      </c>
      <c r="L701" s="15" t="str">
        <f>IF(OR(COUNTIF(クラス!$A$1:$A$1034, $B701),$B701="",COUNTIF(スキル一覧!$A$1:$A$3500, $B701)), "", "存在しない")</f>
        <v/>
      </c>
      <c r="M701" s="2" t="str">
        <f>IF(COUNTIF($B$1:$C700, $B701), "", "存在しない")</f>
        <v>存在しない</v>
      </c>
      <c r="N701" s="2" t="s">
        <v>1258</v>
      </c>
    </row>
    <row r="702" spans="10:14" x14ac:dyDescent="0.4">
      <c r="J702" s="6" t="str">
        <f>IFERROR(_xlfn.LET(_xlpm.v,
VLOOKUP($I702,効果!$A:$B,COLUMN(効果!B$1),FALSE),
IF(_xlpm.v=0,"",_xlpm.v)
),"")</f>
        <v/>
      </c>
      <c r="L702" s="15" t="str">
        <f>IF(OR(COUNTIF(クラス!$A$1:$A$1034, $B702),$B702="",COUNTIF(スキル一覧!$A$1:$A$3500, $B702)), "", "存在しない")</f>
        <v/>
      </c>
      <c r="M702" s="2" t="str">
        <f>IF(COUNTIF($B$1:$C701, $B702), "", "存在しない")</f>
        <v>存在しない</v>
      </c>
      <c r="N702" s="2" t="s">
        <v>1258</v>
      </c>
    </row>
    <row r="703" spans="10:14" x14ac:dyDescent="0.4">
      <c r="J703" s="6" t="str">
        <f>IFERROR(_xlfn.LET(_xlpm.v,
VLOOKUP($I703,効果!$A:$B,COLUMN(効果!B$1),FALSE),
IF(_xlpm.v=0,"",_xlpm.v)
),"")</f>
        <v/>
      </c>
      <c r="L703" s="15" t="str">
        <f>IF(OR(COUNTIF(クラス!$A$1:$A$1034, $B703),$B703="",COUNTIF(スキル一覧!$A$1:$A$3500, $B703)), "", "存在しない")</f>
        <v/>
      </c>
      <c r="M703" s="2" t="str">
        <f>IF(COUNTIF($B$1:$C702, $B703), "", "存在しない")</f>
        <v>存在しない</v>
      </c>
      <c r="N703" s="2" t="s">
        <v>1258</v>
      </c>
    </row>
    <row r="704" spans="10:14" x14ac:dyDescent="0.4">
      <c r="J704" s="6" t="str">
        <f>IFERROR(_xlfn.LET(_xlpm.v,
VLOOKUP($I704,効果!$A:$B,COLUMN(効果!B$1),FALSE),
IF(_xlpm.v=0,"",_xlpm.v)
),"")</f>
        <v/>
      </c>
      <c r="L704" s="15" t="str">
        <f>IF(OR(COUNTIF(クラス!$A$1:$A$1034, $B704),$B704="",COUNTIF(スキル一覧!$A$1:$A$3500, $B704)), "", "存在しない")</f>
        <v/>
      </c>
      <c r="M704" s="2" t="str">
        <f>IF(COUNTIF($B$1:$C703, $B704), "", "存在しない")</f>
        <v>存在しない</v>
      </c>
      <c r="N704" s="2" t="s">
        <v>1258</v>
      </c>
    </row>
    <row r="705" spans="10:14" x14ac:dyDescent="0.4">
      <c r="J705" s="6" t="str">
        <f>IFERROR(_xlfn.LET(_xlpm.v,
VLOOKUP($I705,効果!$A:$B,COLUMN(効果!B$1),FALSE),
IF(_xlpm.v=0,"",_xlpm.v)
),"")</f>
        <v/>
      </c>
      <c r="L705" s="15" t="str">
        <f>IF(OR(COUNTIF(クラス!$A$1:$A$1034, $B705),$B705="",COUNTIF(スキル一覧!$A$1:$A$3500, $B705)), "", "存在しない")</f>
        <v/>
      </c>
      <c r="M705" s="2" t="str">
        <f>IF(COUNTIF($B$1:$C704, $B705), "", "存在しない")</f>
        <v>存在しない</v>
      </c>
      <c r="N705" s="2" t="s">
        <v>1258</v>
      </c>
    </row>
    <row r="706" spans="10:14" x14ac:dyDescent="0.4">
      <c r="J706" s="6" t="str">
        <f>IFERROR(_xlfn.LET(_xlpm.v,
VLOOKUP($I706,効果!$A:$B,COLUMN(効果!B$1),FALSE),
IF(_xlpm.v=0,"",_xlpm.v)
),"")</f>
        <v/>
      </c>
      <c r="L706" s="15" t="str">
        <f>IF(OR(COUNTIF(クラス!$A$1:$A$1034, $B706),$B706="",COUNTIF(スキル一覧!$A$1:$A$3500, $B706)), "", "存在しない")</f>
        <v/>
      </c>
      <c r="M706" s="2" t="str">
        <f>IF(COUNTIF($B$1:$C705, $B706), "", "存在しない")</f>
        <v>存在しない</v>
      </c>
      <c r="N706" s="2" t="s">
        <v>1258</v>
      </c>
    </row>
    <row r="707" spans="10:14" x14ac:dyDescent="0.4">
      <c r="J707" s="6" t="str">
        <f>IFERROR(_xlfn.LET(_xlpm.v,
VLOOKUP($I707,効果!$A:$B,COLUMN(効果!B$1),FALSE),
IF(_xlpm.v=0,"",_xlpm.v)
),"")</f>
        <v/>
      </c>
      <c r="L707" s="15" t="str">
        <f>IF(OR(COUNTIF(クラス!$A$1:$A$1034, $B707),$B707="",COUNTIF(スキル一覧!$A$1:$A$3500, $B707)), "", "存在しない")</f>
        <v/>
      </c>
      <c r="M707" s="2" t="str">
        <f>IF(COUNTIF($B$1:$C706, $B707), "", "存在しない")</f>
        <v>存在しない</v>
      </c>
      <c r="N707" s="2" t="s">
        <v>1258</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8"/>
  <sheetViews>
    <sheetView workbookViewId="0">
      <pane xSplit="5" ySplit="17" topLeftCell="BR18" activePane="bottomRight" state="frozen"/>
      <selection pane="topRight" activeCell="F1" sqref="F1"/>
      <selection pane="bottomLeft" activeCell="A18" sqref="A18"/>
      <selection pane="bottomRight" activeCell="D22" sqref="D22"/>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customWidth="1" outlineLevel="1"/>
    <col min="58" max="58" width="6" style="36" customWidth="1" outlineLevel="1"/>
    <col min="59" max="59" width="7.625" customWidth="1" outlineLevel="1"/>
    <col min="60" max="60" width="6" style="36" customWidth="1" outlineLevel="1"/>
    <col min="61" max="61" width="7.625" customWidth="1" outlineLevel="1"/>
    <col min="62" max="62" width="6" style="36" customWidth="1" outlineLevel="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939</v>
      </c>
      <c r="F1" s="22" t="s">
        <v>11</v>
      </c>
      <c r="G1" s="22" t="s">
        <v>13</v>
      </c>
      <c r="H1" s="22" t="s">
        <v>15</v>
      </c>
      <c r="I1" s="25" t="s">
        <v>17</v>
      </c>
      <c r="J1" s="22" t="s">
        <v>18</v>
      </c>
      <c r="K1" s="22" t="s">
        <v>20</v>
      </c>
      <c r="L1" s="22" t="s">
        <v>22</v>
      </c>
      <c r="M1" s="22" t="s">
        <v>29</v>
      </c>
      <c r="N1" s="20" t="s">
        <v>146</v>
      </c>
      <c r="O1" s="20" t="s">
        <v>178</v>
      </c>
      <c r="P1" s="20" t="s">
        <v>133</v>
      </c>
      <c r="Q1" s="20" t="s">
        <v>134</v>
      </c>
      <c r="R1" s="20" t="s">
        <v>135</v>
      </c>
      <c r="S1" s="20" t="s">
        <v>136</v>
      </c>
      <c r="T1" s="20" t="s">
        <v>138</v>
      </c>
      <c r="U1" s="20" t="s">
        <v>139</v>
      </c>
      <c r="V1" s="20" t="s">
        <v>141</v>
      </c>
      <c r="W1" s="20" t="s">
        <v>142</v>
      </c>
      <c r="X1" s="20" t="s">
        <v>143</v>
      </c>
      <c r="Y1" s="20" t="s">
        <v>144</v>
      </c>
      <c r="Z1" s="20" t="s">
        <v>145</v>
      </c>
      <c r="AA1" s="20" t="s">
        <v>157</v>
      </c>
      <c r="AB1" s="20" t="s">
        <v>158</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1053</v>
      </c>
      <c r="AQ1" s="29" t="s">
        <v>6</v>
      </c>
      <c r="AR1" s="34" t="s">
        <v>256</v>
      </c>
      <c r="AS1" s="34" t="s">
        <v>257</v>
      </c>
      <c r="AT1" s="34" t="s">
        <v>258</v>
      </c>
      <c r="AU1" s="34" t="s">
        <v>259</v>
      </c>
      <c r="AV1" s="34" t="s">
        <v>260</v>
      </c>
      <c r="AW1" s="34" t="s">
        <v>261</v>
      </c>
      <c r="AX1" s="34" t="s">
        <v>262</v>
      </c>
      <c r="AY1" s="34" t="s">
        <v>263</v>
      </c>
      <c r="AZ1" s="34" t="s">
        <v>264</v>
      </c>
      <c r="BA1" s="34" t="s">
        <v>265</v>
      </c>
      <c r="BB1" s="10" t="s">
        <v>266</v>
      </c>
      <c r="BC1" s="10" t="s">
        <v>267</v>
      </c>
      <c r="BD1" s="35" t="s">
        <v>268</v>
      </c>
      <c r="BE1" s="10" t="s">
        <v>269</v>
      </c>
      <c r="BF1" s="35" t="s">
        <v>270</v>
      </c>
      <c r="BG1" s="10" t="s">
        <v>271</v>
      </c>
      <c r="BH1" s="35" t="s">
        <v>272</v>
      </c>
      <c r="BI1" s="10" t="s">
        <v>273</v>
      </c>
      <c r="BJ1" s="35" t="s">
        <v>274</v>
      </c>
      <c r="BK1" s="10" t="s">
        <v>306</v>
      </c>
      <c r="BL1" s="10" t="s">
        <v>955</v>
      </c>
      <c r="BM1" s="10" t="s">
        <v>952</v>
      </c>
      <c r="BN1" s="53" t="s">
        <v>480</v>
      </c>
      <c r="BO1" s="53" t="s">
        <v>481</v>
      </c>
      <c r="BP1" s="53" t="s">
        <v>482</v>
      </c>
      <c r="BQ1" s="53" t="s">
        <v>483</v>
      </c>
      <c r="BR1" s="10" t="s">
        <v>954</v>
      </c>
      <c r="BS1" s="10" t="s">
        <v>957</v>
      </c>
      <c r="BU1" s="10" t="s">
        <v>962</v>
      </c>
      <c r="BV1" s="10" t="s">
        <v>964</v>
      </c>
      <c r="BW1" s="10" t="s">
        <v>965</v>
      </c>
      <c r="BX1" s="10" t="s">
        <v>963</v>
      </c>
      <c r="BY1" s="10" t="s">
        <v>966</v>
      </c>
      <c r="BZ1" s="10" t="s">
        <v>967</v>
      </c>
      <c r="CA1" s="10" t="s">
        <v>789</v>
      </c>
      <c r="CB1" s="10" t="s">
        <v>790</v>
      </c>
      <c r="CC1" s="10" t="s">
        <v>1045</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2" t="s">
        <v>233</v>
      </c>
      <c r="AE2" s="62"/>
      <c r="AF2" s="62"/>
      <c r="AG2" s="62"/>
      <c r="AH2" s="62"/>
      <c r="AI2" s="62"/>
      <c r="AJ2" s="62"/>
      <c r="AK2" s="62"/>
      <c r="AL2" s="62"/>
      <c r="AM2" s="62"/>
      <c r="AN2" s="62"/>
      <c r="AO2" s="62"/>
      <c r="AP2" s="62"/>
      <c r="AQ2" s="62"/>
      <c r="AR2" s="62"/>
      <c r="AS2" s="62"/>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2" t="s">
        <v>234</v>
      </c>
      <c r="AE3" s="62"/>
      <c r="AF3" s="62"/>
      <c r="AG3" s="62"/>
      <c r="AH3" s="62"/>
      <c r="AI3" s="62"/>
      <c r="AJ3" s="62"/>
      <c r="AK3" s="62"/>
      <c r="AL3" s="62"/>
      <c r="AM3" s="62"/>
      <c r="AN3" s="62"/>
      <c r="AO3" s="62"/>
      <c r="AP3" s="62"/>
      <c r="AQ3" s="62"/>
      <c r="AR3" s="62"/>
      <c r="AS3" s="62"/>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2" t="s">
        <v>235</v>
      </c>
      <c r="AE4" s="62"/>
      <c r="AF4" s="62"/>
      <c r="AG4" s="62"/>
      <c r="AH4" s="62"/>
      <c r="AI4" s="62"/>
      <c r="AJ4" s="62"/>
      <c r="AK4" s="62"/>
      <c r="AL4" s="62"/>
      <c r="AM4" s="62"/>
      <c r="AN4" s="62"/>
      <c r="AO4" s="62"/>
      <c r="AP4" s="62"/>
      <c r="AQ4" s="62"/>
      <c r="AR4" s="62"/>
      <c r="AS4" s="62"/>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106</v>
      </c>
      <c r="AD5" s="62" t="s">
        <v>236</v>
      </c>
      <c r="AE5" s="62"/>
      <c r="AF5" s="62"/>
      <c r="AG5" s="62"/>
      <c r="AH5" s="62"/>
      <c r="AI5" s="62"/>
      <c r="AJ5" s="62"/>
      <c r="AK5" s="62"/>
      <c r="AL5" s="62"/>
      <c r="AM5" s="62"/>
      <c r="AN5" s="62"/>
      <c r="AO5" s="62"/>
      <c r="AP5" s="62"/>
      <c r="AQ5" s="62"/>
      <c r="AR5" s="62"/>
      <c r="AS5" s="62"/>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105</v>
      </c>
      <c r="AD6" s="62" t="s">
        <v>237</v>
      </c>
      <c r="AE6" s="62"/>
      <c r="AF6" s="62"/>
      <c r="AG6" s="62"/>
      <c r="AH6" s="62"/>
      <c r="AI6" s="62"/>
      <c r="AJ6" s="62"/>
      <c r="AK6" s="62"/>
      <c r="AL6" s="62"/>
      <c r="AM6" s="62"/>
      <c r="AN6" s="62"/>
      <c r="AO6" s="62"/>
      <c r="AP6" s="62"/>
      <c r="AQ6" s="62"/>
      <c r="AR6" s="62"/>
      <c r="AS6" s="62"/>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61" t="s">
        <v>238</v>
      </c>
      <c r="AE7" s="61"/>
      <c r="AF7" s="61"/>
      <c r="AG7" s="61"/>
      <c r="AH7" s="61"/>
      <c r="AI7" s="61"/>
      <c r="AJ7" s="61"/>
      <c r="AK7" s="61"/>
      <c r="AL7" s="61"/>
      <c r="AM7" s="61"/>
      <c r="AN7" s="61"/>
      <c r="AO7" s="61"/>
      <c r="AP7" s="61"/>
      <c r="AQ7" s="61"/>
      <c r="AR7" s="61"/>
      <c r="AS7" s="61"/>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61" t="s">
        <v>239</v>
      </c>
      <c r="AE8" s="61"/>
      <c r="AF8" s="61"/>
      <c r="AG8" s="61"/>
      <c r="AH8" s="61"/>
      <c r="AI8" s="61"/>
      <c r="AJ8" s="61"/>
      <c r="AK8" s="61"/>
      <c r="AL8" s="61"/>
      <c r="AM8" s="61"/>
      <c r="AN8" s="61"/>
      <c r="AO8" s="61"/>
      <c r="AP8" s="61"/>
      <c r="AQ8" s="61"/>
      <c r="AR8" s="61"/>
      <c r="AS8" s="61"/>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227</v>
      </c>
      <c r="AD9" s="64" t="s">
        <v>240</v>
      </c>
      <c r="AE9" s="64"/>
      <c r="AF9" s="64"/>
      <c r="AG9" s="64"/>
      <c r="AH9" s="64"/>
      <c r="AI9" s="64"/>
      <c r="AJ9" s="64"/>
      <c r="AK9" s="64"/>
      <c r="AL9" s="64"/>
      <c r="AM9" s="64"/>
      <c r="AN9" s="64"/>
      <c r="AO9" s="64"/>
      <c r="AP9" s="64"/>
      <c r="AQ9" s="64"/>
      <c r="AR9" s="64"/>
      <c r="AS9" s="64"/>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228</v>
      </c>
      <c r="AD10" s="64" t="s">
        <v>241</v>
      </c>
      <c r="AE10" s="64"/>
      <c r="AF10" s="64"/>
      <c r="AG10" s="64"/>
      <c r="AH10" s="64"/>
      <c r="AI10" s="64"/>
      <c r="AJ10" s="64"/>
      <c r="AK10" s="64"/>
      <c r="AL10" s="64"/>
      <c r="AM10" s="64"/>
      <c r="AN10" s="64"/>
      <c r="AO10" s="64"/>
      <c r="AP10" s="64"/>
      <c r="AQ10" s="64"/>
      <c r="AR10" s="64"/>
      <c r="AS10" s="64"/>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229</v>
      </c>
      <c r="AD11" s="64" t="s">
        <v>242</v>
      </c>
      <c r="AE11" s="64"/>
      <c r="AF11" s="64"/>
      <c r="AG11" s="64"/>
      <c r="AH11" s="64"/>
      <c r="AI11" s="64"/>
      <c r="AJ11" s="64"/>
      <c r="AK11" s="64"/>
      <c r="AL11" s="64"/>
      <c r="AM11" s="64"/>
      <c r="AN11" s="64"/>
      <c r="AO11" s="64"/>
      <c r="AP11" s="64"/>
      <c r="AQ11" s="64"/>
      <c r="AR11" s="64"/>
      <c r="AS11" s="64"/>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230</v>
      </c>
      <c r="AD12" s="64" t="s">
        <v>243</v>
      </c>
      <c r="AE12" s="64"/>
      <c r="AF12" s="64"/>
      <c r="AG12" s="64"/>
      <c r="AH12" s="64"/>
      <c r="AI12" s="64"/>
      <c r="AJ12" s="64"/>
      <c r="AK12" s="64"/>
      <c r="AL12" s="64"/>
      <c r="AM12" s="64"/>
      <c r="AN12" s="64"/>
      <c r="AO12" s="64"/>
      <c r="AP12" s="64"/>
      <c r="AQ12" s="64"/>
      <c r="AR12" s="64"/>
      <c r="AS12" s="64"/>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231</v>
      </c>
      <c r="AD13" s="63" t="s">
        <v>244</v>
      </c>
      <c r="AE13" s="63"/>
      <c r="AF13" s="63"/>
      <c r="AG13" s="63"/>
      <c r="AH13" s="63"/>
      <c r="AI13" s="63"/>
      <c r="AJ13" s="63"/>
      <c r="AK13" s="63"/>
      <c r="AL13" s="63"/>
      <c r="AM13" s="63"/>
      <c r="AN13" s="63"/>
      <c r="AO13" s="63"/>
      <c r="AP13" s="63"/>
      <c r="AQ13" s="63"/>
      <c r="AR13" s="63"/>
      <c r="AS13" s="63"/>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63" t="s">
        <v>245</v>
      </c>
      <c r="AE14" s="63"/>
      <c r="AF14" s="63"/>
      <c r="AG14" s="63"/>
      <c r="AH14" s="63"/>
      <c r="AI14" s="63"/>
      <c r="AJ14" s="63"/>
      <c r="AK14" s="63"/>
      <c r="AL14" s="63"/>
      <c r="AM14" s="63"/>
      <c r="AN14" s="63"/>
      <c r="AO14" s="63"/>
      <c r="AP14" s="63"/>
      <c r="AQ14" s="63"/>
      <c r="AR14" s="63"/>
      <c r="AS14" s="63"/>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1053</v>
      </c>
      <c r="AD15" s="63" t="s">
        <v>246</v>
      </c>
      <c r="AE15" s="63"/>
      <c r="AF15" s="63"/>
      <c r="AG15" s="63"/>
      <c r="AH15" s="63"/>
      <c r="AI15" s="63"/>
      <c r="AJ15" s="63"/>
      <c r="AK15" s="63"/>
      <c r="AL15" s="63"/>
      <c r="AM15" s="63"/>
      <c r="AN15" s="63"/>
      <c r="AO15" s="63"/>
      <c r="AP15" s="63"/>
      <c r="AQ15" s="63"/>
      <c r="AR15" s="63"/>
      <c r="AS15" s="63"/>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63" t="s">
        <v>247</v>
      </c>
      <c r="AE16" s="63"/>
      <c r="AF16" s="63"/>
      <c r="AG16" s="63"/>
      <c r="AH16" s="63"/>
      <c r="AI16" s="63"/>
      <c r="AJ16" s="63"/>
      <c r="AK16" s="63"/>
      <c r="AL16" s="63"/>
      <c r="AM16" s="63"/>
      <c r="AN16" s="63"/>
      <c r="AO16" s="63"/>
      <c r="AP16" s="63"/>
      <c r="AQ16" s="63"/>
      <c r="AR16" s="63"/>
      <c r="AS16" s="63"/>
      <c r="BD16" s="35"/>
      <c r="BF16" s="35"/>
      <c r="BH16" s="35"/>
      <c r="BJ16" s="35"/>
    </row>
    <row r="17" spans="1:81" collapsed="1" x14ac:dyDescent="0.4">
      <c r="BM17" s="3" t="s">
        <v>953</v>
      </c>
      <c r="BN17" s="53" t="s">
        <v>480</v>
      </c>
      <c r="BO17" s="53" t="s">
        <v>481</v>
      </c>
      <c r="BP17" s="53" t="s">
        <v>482</v>
      </c>
      <c r="BQ17" s="53" t="s">
        <v>483</v>
      </c>
    </row>
    <row r="18" spans="1:8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INDEX(CS!$B$1:$B$12828,MATCH($A18,CS!$B:$B,0)+COLUMN(A$1),1))</f>
        <v>エルフ</v>
      </c>
      <c r="AS18" t="str">
        <f>IF($A18="","", INDEX(CS!$B$1:$B$12828,MATCH($A18,CS!$B:$B,0)+COLUMN(B$1),1))</f>
        <v>ドワーフ</v>
      </c>
      <c r="AT18">
        <f>IF($A18="","", INDEX(CS!$B$1:$B$12828,MATCH($A18,CS!$B:$B,0)+COLUMN(C$1),1))</f>
        <v>0</v>
      </c>
      <c r="AU18" t="str">
        <f>IF($A18="","", INDEX(CS!$B$1:$B$12828,MATCH($A18,CS!$B:$B,0)+COLUMN(D$1),1))</f>
        <v>ビーストマン</v>
      </c>
      <c r="AV18">
        <f>IF($A18="","", INDEX(CS!$B$1:$B$12828,MATCH($A18,CS!$B:$B,0)+COLUMN(E$1),1))</f>
        <v>0</v>
      </c>
      <c r="AW18">
        <f>IF($A18="","", INDEX(CS!$B$1:$B$12828,MATCH($A18,CS!$B:$B,0)+COLUMN(F$1),1))</f>
        <v>0</v>
      </c>
      <c r="AX18">
        <f>IF($A18="","", INDEX(CS!$B$1:$B$12828,MATCH($A18,CS!$B:$B,0)+COLUMN(G$1),1))</f>
        <v>0</v>
      </c>
      <c r="AY18">
        <f>IF($A18="","", INDEX(CS!$B$1:$B$12828,MATCH($A18,CS!$B:$B,0)+COLUMN(H$1),1))</f>
        <v>0</v>
      </c>
      <c r="AZ18">
        <f>IF($A18="","", INDEX(CS!$B$1:$B$12828,MATCH($A18,CS!$B:$B,0)+COLUMN(I$1),1))</f>
        <v>0</v>
      </c>
      <c r="BA18">
        <f>IF($A18="","", INDEX(CS!$B$1:$B$12828,MATCH($A18,CS!$B:$B,0)+COLUMN(J$1),1))</f>
        <v>0</v>
      </c>
      <c r="BL18" t="s">
        <v>956</v>
      </c>
      <c r="BM18" s="53">
        <v>100</v>
      </c>
      <c r="BN18" s="52">
        <v>40</v>
      </c>
      <c r="BO18" s="52">
        <v>30</v>
      </c>
      <c r="BP18" s="52">
        <v>20</v>
      </c>
      <c r="BQ18" s="52">
        <v>10</v>
      </c>
      <c r="CC18" t="s">
        <v>1046</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INDEX(CS!$B$1:$B$12828,MATCH($A19,CS!$B:$B,0)+COLUMN(A$1),1))</f>
        <v>ドワーフ</v>
      </c>
      <c r="AS19">
        <f>IF($A19="","", INDEX(CS!$B$1:$B$12828,MATCH($A19,CS!$B:$B,0)+COLUMN(B$1),1))</f>
        <v>0</v>
      </c>
      <c r="AT19" t="str">
        <f>IF($A19="","", INDEX(CS!$B$1:$B$12828,MATCH($A19,CS!$B:$B,0)+COLUMN(C$1),1))</f>
        <v>ビーストマン</v>
      </c>
      <c r="AU19">
        <f>IF($A19="","", INDEX(CS!$B$1:$B$12828,MATCH($A19,CS!$B:$B,0)+COLUMN(D$1),1))</f>
        <v>0</v>
      </c>
      <c r="AV19">
        <f>IF($A19="","", INDEX(CS!$B$1:$B$12828,MATCH($A19,CS!$B:$B,0)+COLUMN(E$1),1))</f>
        <v>0</v>
      </c>
      <c r="AW19">
        <f>IF($A19="","", INDEX(CS!$B$1:$B$12828,MATCH($A19,CS!$B:$B,0)+COLUMN(F$1),1))</f>
        <v>0</v>
      </c>
      <c r="AX19">
        <f>IF($A19="","", INDEX(CS!$B$1:$B$12828,MATCH($A19,CS!$B:$B,0)+COLUMN(G$1),1))</f>
        <v>0</v>
      </c>
      <c r="AY19">
        <f>IF($A19="","", INDEX(CS!$B$1:$B$12828,MATCH($A19,CS!$B:$B,0)+COLUMN(H$1),1))</f>
        <v>0</v>
      </c>
      <c r="AZ19">
        <f>IF($A19="","", INDEX(CS!$B$1:$B$12828,MATCH($A19,CS!$B:$B,0)+COLUMN(I$1),1))</f>
        <v>0</v>
      </c>
      <c r="BA19">
        <f>IF($A19="","", INDEX(CS!$B$1:$B$12828,MATCH($A19,CS!$B:$B,0)+COLUMN(J$1),1))</f>
        <v>0</v>
      </c>
      <c r="BL19" t="s">
        <v>956</v>
      </c>
      <c r="BM19" s="53">
        <v>100</v>
      </c>
      <c r="BN19" s="52">
        <v>20</v>
      </c>
      <c r="BO19" s="52">
        <v>50</v>
      </c>
      <c r="BP19" s="52">
        <v>10</v>
      </c>
      <c r="BQ19" s="52">
        <v>20</v>
      </c>
      <c r="CC19" t="s">
        <v>928</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INDEX(CS!$B$1:$B$12828,MATCH($A20,CS!$B:$B,0)+COLUMN(A$1),1))</f>
        <v>0</v>
      </c>
      <c r="AS20" t="str">
        <f>IF($A20="","", INDEX(CS!$B$1:$B$12828,MATCH($A20,CS!$B:$B,0)+COLUMN(B$1),1))</f>
        <v>ビーストマン</v>
      </c>
      <c r="AT20">
        <f>IF($A20="","", INDEX(CS!$B$1:$B$12828,MATCH($A20,CS!$B:$B,0)+COLUMN(C$1),1))</f>
        <v>0</v>
      </c>
      <c r="AU20">
        <f>IF($A20="","", INDEX(CS!$B$1:$B$12828,MATCH($A20,CS!$B:$B,0)+COLUMN(D$1),1))</f>
        <v>0</v>
      </c>
      <c r="AV20">
        <f>IF($A20="","", INDEX(CS!$B$1:$B$12828,MATCH($A20,CS!$B:$B,0)+COLUMN(E$1),1))</f>
        <v>0</v>
      </c>
      <c r="AW20">
        <f>IF($A20="","", INDEX(CS!$B$1:$B$12828,MATCH($A20,CS!$B:$B,0)+COLUMN(F$1),1))</f>
        <v>0</v>
      </c>
      <c r="AX20">
        <f>IF($A20="","", INDEX(CS!$B$1:$B$12828,MATCH($A20,CS!$B:$B,0)+COLUMN(G$1),1))</f>
        <v>0</v>
      </c>
      <c r="AY20">
        <f>IF($A20="","", INDEX(CS!$B$1:$B$12828,MATCH($A20,CS!$B:$B,0)+COLUMN(H$1),1))</f>
        <v>0</v>
      </c>
      <c r="AZ20">
        <f>IF($A20="","", INDEX(CS!$B$1:$B$12828,MATCH($A20,CS!$B:$B,0)+COLUMN(I$1),1))</f>
        <v>0</v>
      </c>
      <c r="BA20">
        <f>IF($A20="","", INDEX(CS!$B$1:$B$12828,MATCH($A20,CS!$B:$B,0)+COLUMN(J$1),1))</f>
        <v>0</v>
      </c>
      <c r="BL20" t="s">
        <v>956</v>
      </c>
      <c r="BM20" s="53">
        <v>100</v>
      </c>
      <c r="BN20" s="52">
        <v>30</v>
      </c>
      <c r="BO20" s="52">
        <v>20</v>
      </c>
      <c r="BP20" s="52">
        <v>40</v>
      </c>
      <c r="BQ20" s="52">
        <v>10</v>
      </c>
      <c r="CC20" t="s">
        <v>1047</v>
      </c>
    </row>
    <row r="21" spans="1:81" x14ac:dyDescent="0.4">
      <c r="D21" t="str">
        <f t="shared" si="0"/>
        <v>0/0/0</v>
      </c>
      <c r="AR21" t="str">
        <f>IF($A21="","", INDEX(CS!$B$1:$B$12828,MATCH($A21,CS!$B:$B,0)+COLUMN(A$1),1))</f>
        <v/>
      </c>
      <c r="AS21" t="str">
        <f>IF($A21="","", INDEX(CS!$B$1:$B$12828,MATCH($A21,CS!$B:$B,0)+COLUMN(B$1),1))</f>
        <v/>
      </c>
      <c r="AT21" t="str">
        <f>IF($A21="","", INDEX(CS!$B$1:$B$12828,MATCH($A21,CS!$B:$B,0)+COLUMN(C$1),1))</f>
        <v/>
      </c>
      <c r="AU21" t="str">
        <f>IF($A21="","", INDEX(CS!$B$1:$B$12828,MATCH($A21,CS!$B:$B,0)+COLUMN(D$1),1))</f>
        <v/>
      </c>
      <c r="AV21" t="str">
        <f>IF($A21="","", INDEX(CS!$B$1:$B$12828,MATCH($A21,CS!$B:$B,0)+COLUMN(E$1),1))</f>
        <v/>
      </c>
      <c r="AW21" t="str">
        <f>IF($A21="","", INDEX(CS!$B$1:$B$12828,MATCH($A21,CS!$B:$B,0)+COLUMN(F$1),1))</f>
        <v/>
      </c>
      <c r="AX21" t="str">
        <f>IF($A21="","", INDEX(CS!$B$1:$B$12828,MATCH($A21,CS!$B:$B,0)+COLUMN(G$1),1))</f>
        <v/>
      </c>
      <c r="AY21" t="str">
        <f>IF($A21="","", INDEX(CS!$B$1:$B$12828,MATCH($A21,CS!$B:$B,0)+COLUMN(H$1),1))</f>
        <v/>
      </c>
      <c r="AZ21" t="str">
        <f>IF($A21="","", INDEX(CS!$B$1:$B$12828,MATCH($A21,CS!$B:$B,0)+COLUMN(I$1),1))</f>
        <v/>
      </c>
      <c r="BA21" t="str">
        <f>IF($A21="","", INDEX(CS!$B$1:$B$12828,MATCH($A21,CS!$B:$B,0)+COLUMN(J$1),1))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INDEX(CS!$B$1:$B$12828,MATCH($A22,CS!$B:$B,0)+COLUMN(A$1),1))</f>
        <v>0</v>
      </c>
      <c r="AS22">
        <f>IF($A22="","", INDEX(CS!$B$1:$B$12828,MATCH($A22,CS!$B:$B,0)+COLUMN(B$1),1))</f>
        <v>0</v>
      </c>
      <c r="AT22">
        <f>IF($A22="","", INDEX(CS!$B$1:$B$12828,MATCH($A22,CS!$B:$B,0)+COLUMN(C$1),1))</f>
        <v>0</v>
      </c>
      <c r="AU22">
        <f>IF($A22="","", INDEX(CS!$B$1:$B$12828,MATCH($A22,CS!$B:$B,0)+COLUMN(D$1),1))</f>
        <v>0</v>
      </c>
      <c r="AV22">
        <f>IF($A22="","", INDEX(CS!$B$1:$B$12828,MATCH($A22,CS!$B:$B,0)+COLUMN(E$1),1))</f>
        <v>0</v>
      </c>
      <c r="AW22">
        <f>IF($A22="","", INDEX(CS!$B$1:$B$12828,MATCH($A22,CS!$B:$B,0)+COLUMN(F$1),1))</f>
        <v>0</v>
      </c>
      <c r="AX22">
        <f>IF($A22="","", INDEX(CS!$B$1:$B$12828,MATCH($A22,CS!$B:$B,0)+COLUMN(G$1),1))</f>
        <v>0</v>
      </c>
      <c r="AY22">
        <f>IF($A22="","", INDEX(CS!$B$1:$B$12828,MATCH($A22,CS!$B:$B,0)+COLUMN(H$1),1))</f>
        <v>0</v>
      </c>
      <c r="AZ22">
        <f>IF($A22="","", INDEX(CS!$B$1:$B$12828,MATCH($A22,CS!$B:$B,0)+COLUMN(I$1),1))</f>
        <v>0</v>
      </c>
      <c r="BA22">
        <f>IF($A22="","", INDEX(CS!$B$1:$B$12828,MATCH($A22,CS!$B:$B,0)+COLUMN(J$1),1))</f>
        <v>0</v>
      </c>
      <c r="BL22" t="s">
        <v>956</v>
      </c>
      <c r="BM22" s="53">
        <v>110</v>
      </c>
      <c r="BN22" s="52">
        <v>20</v>
      </c>
      <c r="BO22" s="52">
        <v>20</v>
      </c>
      <c r="BP22" s="52">
        <v>50</v>
      </c>
      <c r="BQ22" s="52">
        <v>20</v>
      </c>
      <c r="CC22" t="s">
        <v>930</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INDEX(CS!$B$1:$B$12828,MATCH($A23,CS!$B:$B,0)+COLUMN(A$1),1))</f>
        <v>0</v>
      </c>
      <c r="AS23">
        <f>IF($A23="","", INDEX(CS!$B$1:$B$12828,MATCH($A23,CS!$B:$B,0)+COLUMN(B$1),1))</f>
        <v>0</v>
      </c>
      <c r="AT23">
        <f>IF($A23="","", INDEX(CS!$B$1:$B$12828,MATCH($A23,CS!$B:$B,0)+COLUMN(C$1),1))</f>
        <v>0</v>
      </c>
      <c r="AU23">
        <f>IF($A23="","", INDEX(CS!$B$1:$B$12828,MATCH($A23,CS!$B:$B,0)+COLUMN(D$1),1))</f>
        <v>0</v>
      </c>
      <c r="AV23">
        <f>IF($A23="","", INDEX(CS!$B$1:$B$12828,MATCH($A23,CS!$B:$B,0)+COLUMN(E$1),1))</f>
        <v>0</v>
      </c>
      <c r="AW23">
        <f>IF($A23="","", INDEX(CS!$B$1:$B$12828,MATCH($A23,CS!$B:$B,0)+COLUMN(F$1),1))</f>
        <v>0</v>
      </c>
      <c r="AX23">
        <f>IF($A23="","", INDEX(CS!$B$1:$B$12828,MATCH($A23,CS!$B:$B,0)+COLUMN(G$1),1))</f>
        <v>0</v>
      </c>
      <c r="AY23">
        <f>IF($A23="","", INDEX(CS!$B$1:$B$12828,MATCH($A23,CS!$B:$B,0)+COLUMN(H$1),1))</f>
        <v>0</v>
      </c>
      <c r="AZ23">
        <f>IF($A23="","", INDEX(CS!$B$1:$B$12828,MATCH($A23,CS!$B:$B,0)+COLUMN(I$1),1))</f>
        <v>0</v>
      </c>
      <c r="BA23">
        <f>IF($A23="","", INDEX(CS!$B$1:$B$12828,MATCH($A23,CS!$B:$B,0)+COLUMN(J$1),1))</f>
        <v>0</v>
      </c>
      <c r="BL23" t="s">
        <v>956</v>
      </c>
      <c r="BM23" s="53">
        <v>110</v>
      </c>
      <c r="BN23" s="52">
        <v>15</v>
      </c>
      <c r="BO23" s="52">
        <v>10</v>
      </c>
      <c r="BP23" s="52">
        <v>70</v>
      </c>
      <c r="BQ23" s="52">
        <v>15</v>
      </c>
      <c r="CC23" t="s">
        <v>931</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INDEX(CS!$B$1:$B$12828,MATCH($A24,CS!$B:$B,0)+COLUMN(A$1),1))</f>
        <v>0</v>
      </c>
      <c r="AS24">
        <f>IF($A24="","", INDEX(CS!$B$1:$B$12828,MATCH($A24,CS!$B:$B,0)+COLUMN(B$1),1))</f>
        <v>0</v>
      </c>
      <c r="AT24">
        <f>IF($A24="","", INDEX(CS!$B$1:$B$12828,MATCH($A24,CS!$B:$B,0)+COLUMN(C$1),1))</f>
        <v>0</v>
      </c>
      <c r="AU24">
        <f>IF($A24="","", INDEX(CS!$B$1:$B$12828,MATCH($A24,CS!$B:$B,0)+COLUMN(D$1),1))</f>
        <v>0</v>
      </c>
      <c r="AV24">
        <f>IF($A24="","", INDEX(CS!$B$1:$B$12828,MATCH($A24,CS!$B:$B,0)+COLUMN(E$1),1))</f>
        <v>0</v>
      </c>
      <c r="AW24">
        <f>IF($A24="","", INDEX(CS!$B$1:$B$12828,MATCH($A24,CS!$B:$B,0)+COLUMN(F$1),1))</f>
        <v>0</v>
      </c>
      <c r="AX24">
        <f>IF($A24="","", INDEX(CS!$B$1:$B$12828,MATCH($A24,CS!$B:$B,0)+COLUMN(G$1),1))</f>
        <v>0</v>
      </c>
      <c r="AY24">
        <f>IF($A24="","", INDEX(CS!$B$1:$B$12828,MATCH($A24,CS!$B:$B,0)+COLUMN(H$1),1))</f>
        <v>0</v>
      </c>
      <c r="AZ24">
        <f>IF($A24="","", INDEX(CS!$B$1:$B$12828,MATCH($A24,CS!$B:$B,0)+COLUMN(I$1),1))</f>
        <v>0</v>
      </c>
      <c r="BA24">
        <f>IF($A24="","", INDEX(CS!$B$1:$B$12828,MATCH($A24,CS!$B:$B,0)+COLUMN(J$1),1))</f>
        <v>0</v>
      </c>
      <c r="BL24" t="s">
        <v>956</v>
      </c>
      <c r="BM24" s="53">
        <v>200</v>
      </c>
      <c r="BN24" s="52">
        <v>40</v>
      </c>
      <c r="BO24" s="52">
        <v>10</v>
      </c>
      <c r="BP24" s="52">
        <v>100</v>
      </c>
      <c r="BQ24" s="52">
        <v>10</v>
      </c>
      <c r="CC24" t="s">
        <v>932</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INDEX(CS!$B$1:$B$12828,MATCH($A25,CS!$B:$B,0)+COLUMN(A$1),1))</f>
        <v>0</v>
      </c>
      <c r="AS25">
        <f>IF($A25="","", INDEX(CS!$B$1:$B$12828,MATCH($A25,CS!$B:$B,0)+COLUMN(B$1),1))</f>
        <v>0</v>
      </c>
      <c r="AT25">
        <f>IF($A25="","", INDEX(CS!$B$1:$B$12828,MATCH($A25,CS!$B:$B,0)+COLUMN(C$1),1))</f>
        <v>0</v>
      </c>
      <c r="AU25">
        <f>IF($A25="","", INDEX(CS!$B$1:$B$12828,MATCH($A25,CS!$B:$B,0)+COLUMN(D$1),1))</f>
        <v>0</v>
      </c>
      <c r="AV25">
        <f>IF($A25="","", INDEX(CS!$B$1:$B$12828,MATCH($A25,CS!$B:$B,0)+COLUMN(E$1),1))</f>
        <v>0</v>
      </c>
      <c r="AW25">
        <f>IF($A25="","", INDEX(CS!$B$1:$B$12828,MATCH($A25,CS!$B:$B,0)+COLUMN(F$1),1))</f>
        <v>0</v>
      </c>
      <c r="AX25">
        <f>IF($A25="","", INDEX(CS!$B$1:$B$12828,MATCH($A25,CS!$B:$B,0)+COLUMN(G$1),1))</f>
        <v>0</v>
      </c>
      <c r="AY25">
        <f>IF($A25="","", INDEX(CS!$B$1:$B$12828,MATCH($A25,CS!$B:$B,0)+COLUMN(H$1),1))</f>
        <v>0</v>
      </c>
      <c r="AZ25">
        <f>IF($A25="","", INDEX(CS!$B$1:$B$12828,MATCH($A25,CS!$B:$B,0)+COLUMN(I$1),1))</f>
        <v>0</v>
      </c>
      <c r="BA25">
        <f>IF($A25="","", INDEX(CS!$B$1:$B$12828,MATCH($A25,CS!$B:$B,0)+COLUMN(J$1),1))</f>
        <v>0</v>
      </c>
      <c r="BL25" t="s">
        <v>956</v>
      </c>
      <c r="BM25" s="53">
        <v>250</v>
      </c>
      <c r="BN25" s="52">
        <v>60</v>
      </c>
      <c r="BO25" s="52">
        <v>30</v>
      </c>
      <c r="BP25" s="52">
        <v>200</v>
      </c>
      <c r="BQ25" s="52">
        <v>30</v>
      </c>
      <c r="CC25" t="s">
        <v>933</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INDEX(CS!$B$1:$B$12828,MATCH($A26,CS!$B:$B,0)+COLUMN(A$1),1))</f>
        <v>0</v>
      </c>
      <c r="AS26">
        <f>IF($A26="","", INDEX(CS!$B$1:$B$12828,MATCH($A26,CS!$B:$B,0)+COLUMN(B$1),1))</f>
        <v>0</v>
      </c>
      <c r="AT26">
        <f>IF($A26="","", INDEX(CS!$B$1:$B$12828,MATCH($A26,CS!$B:$B,0)+COLUMN(C$1),1))</f>
        <v>0</v>
      </c>
      <c r="AU26">
        <f>IF($A26="","", INDEX(CS!$B$1:$B$12828,MATCH($A26,CS!$B:$B,0)+COLUMN(D$1),1))</f>
        <v>0</v>
      </c>
      <c r="AV26">
        <f>IF($A26="","", INDEX(CS!$B$1:$B$12828,MATCH($A26,CS!$B:$B,0)+COLUMN(E$1),1))</f>
        <v>0</v>
      </c>
      <c r="AW26">
        <f>IF($A26="","", INDEX(CS!$B$1:$B$12828,MATCH($A26,CS!$B:$B,0)+COLUMN(F$1),1))</f>
        <v>0</v>
      </c>
      <c r="AX26">
        <f>IF($A26="","", INDEX(CS!$B$1:$B$12828,MATCH($A26,CS!$B:$B,0)+COLUMN(G$1),1))</f>
        <v>0</v>
      </c>
      <c r="AY26">
        <f>IF($A26="","", INDEX(CS!$B$1:$B$12828,MATCH($A26,CS!$B:$B,0)+COLUMN(H$1),1))</f>
        <v>0</v>
      </c>
      <c r="AZ26">
        <f>IF($A26="","", INDEX(CS!$B$1:$B$12828,MATCH($A26,CS!$B:$B,0)+COLUMN(I$1),1))</f>
        <v>0</v>
      </c>
      <c r="BA26">
        <f>IF($A26="","", INDEX(CS!$B$1:$B$12828,MATCH($A26,CS!$B:$B,0)+COLUMN(J$1),1))</f>
        <v>0</v>
      </c>
      <c r="BL26" t="s">
        <v>956</v>
      </c>
      <c r="BM26" s="53">
        <v>70</v>
      </c>
      <c r="BN26" s="52">
        <v>30</v>
      </c>
      <c r="BO26" s="52">
        <v>20</v>
      </c>
      <c r="BP26" s="52">
        <v>10</v>
      </c>
      <c r="BQ26" s="52">
        <v>10</v>
      </c>
      <c r="CC26" t="s">
        <v>934</v>
      </c>
    </row>
    <row r="27" spans="1:81" x14ac:dyDescent="0.4">
      <c r="D27" t="str">
        <f t="shared" si="0"/>
        <v>0/0/0</v>
      </c>
      <c r="E27">
        <v>1</v>
      </c>
      <c r="AR27" t="str">
        <f>IF($A27="","", INDEX(CS!$B$1:$B$12828,MATCH($A27,CS!$B:$B,0)+COLUMN(A$1),1))</f>
        <v/>
      </c>
      <c r="AS27" t="str">
        <f>IF($A27="","", INDEX(CS!$B$1:$B$12828,MATCH($A27,CS!$B:$B,0)+COLUMN(B$1),1))</f>
        <v/>
      </c>
      <c r="AT27" t="str">
        <f>IF($A27="","", INDEX(CS!$B$1:$B$12828,MATCH($A27,CS!$B:$B,0)+COLUMN(C$1),1))</f>
        <v/>
      </c>
      <c r="AU27" t="str">
        <f>IF($A27="","", INDEX(CS!$B$1:$B$12828,MATCH($A27,CS!$B:$B,0)+COLUMN(D$1),1))</f>
        <v/>
      </c>
      <c r="AV27" t="str">
        <f>IF($A27="","", INDEX(CS!$B$1:$B$12828,MATCH($A27,CS!$B:$B,0)+COLUMN(E$1),1))</f>
        <v/>
      </c>
      <c r="AW27" t="str">
        <f>IF($A27="","", INDEX(CS!$B$1:$B$12828,MATCH($A27,CS!$B:$B,0)+COLUMN(F$1),1))</f>
        <v/>
      </c>
      <c r="AX27" t="str">
        <f>IF($A27="","", INDEX(CS!$B$1:$B$12828,MATCH($A27,CS!$B:$B,0)+COLUMN(G$1),1))</f>
        <v/>
      </c>
      <c r="AY27" t="str">
        <f>IF($A27="","", INDEX(CS!$B$1:$B$12828,MATCH($A27,CS!$B:$B,0)+COLUMN(H$1),1))</f>
        <v/>
      </c>
      <c r="AZ27" t="str">
        <f>IF($A27="","", INDEX(CS!$B$1:$B$12828,MATCH($A27,CS!$B:$B,0)+COLUMN(I$1),1))</f>
        <v/>
      </c>
      <c r="BA27" t="str">
        <f>IF($A27="","", INDEX(CS!$B$1:$B$12828,MATCH($A27,CS!$B:$B,0)+COLUMN(J$1),1))</f>
        <v/>
      </c>
      <c r="BM27" s="53"/>
      <c r="BN27" s="52"/>
      <c r="BO27" s="52"/>
      <c r="BP27" s="52"/>
      <c r="BQ27" s="52"/>
    </row>
    <row r="28" spans="1:8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INDEX(CS!$B$1:$B$12828,MATCH($A28,CS!$B:$B,0)+COLUMN(A$1),1))</f>
        <v>0</v>
      </c>
      <c r="AS28">
        <f>IF($A28="","", INDEX(CS!$B$1:$B$12828,MATCH($A28,CS!$B:$B,0)+COLUMN(B$1),1))</f>
        <v>0</v>
      </c>
      <c r="AT28">
        <f>IF($A28="","", INDEX(CS!$B$1:$B$12828,MATCH($A28,CS!$B:$B,0)+COLUMN(C$1),1))</f>
        <v>0</v>
      </c>
      <c r="AU28">
        <f>IF($A28="","", INDEX(CS!$B$1:$B$12828,MATCH($A28,CS!$B:$B,0)+COLUMN(D$1),1))</f>
        <v>0</v>
      </c>
      <c r="AV28">
        <f>IF($A28="","", INDEX(CS!$B$1:$B$12828,MATCH($A28,CS!$B:$B,0)+COLUMN(E$1),1))</f>
        <v>0</v>
      </c>
      <c r="AW28">
        <f>IF($A28="","", INDEX(CS!$B$1:$B$12828,MATCH($A28,CS!$B:$B,0)+COLUMN(F$1),1))</f>
        <v>0</v>
      </c>
      <c r="AX28">
        <f>IF($A28="","", INDEX(CS!$B$1:$B$12828,MATCH($A28,CS!$B:$B,0)+COLUMN(G$1),1))</f>
        <v>0</v>
      </c>
      <c r="AY28">
        <f>IF($A28="","", INDEX(CS!$B$1:$B$12828,MATCH($A28,CS!$B:$B,0)+COLUMN(H$1),1))</f>
        <v>0</v>
      </c>
      <c r="AZ28">
        <f>IF($A28="","", INDEX(CS!$B$1:$B$12828,MATCH($A28,CS!$B:$B,0)+COLUMN(I$1),1))</f>
        <v>0</v>
      </c>
      <c r="BA28">
        <f>IF($A28="","", INDEX(CS!$B$1:$B$12828,MATCH($A28,CS!$B:$B,0)+COLUMN(J$1),1))</f>
        <v>0</v>
      </c>
      <c r="BL28" t="s">
        <v>954</v>
      </c>
      <c r="BM28" s="53">
        <v>30</v>
      </c>
      <c r="BN28" s="52">
        <v>0</v>
      </c>
      <c r="BO28" s="52">
        <v>0</v>
      </c>
      <c r="BP28" s="52">
        <v>50</v>
      </c>
      <c r="BQ28" s="52">
        <v>25</v>
      </c>
      <c r="BR28" s="52">
        <v>10</v>
      </c>
      <c r="CC28" t="s">
        <v>935</v>
      </c>
    </row>
    <row r="29" spans="1:8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INDEX(CS!$B$1:$B$12828,MATCH($A29,CS!$B:$B,0)+COLUMN(A$1),1))</f>
        <v>0</v>
      </c>
      <c r="AS29">
        <f>IF($A29="","", INDEX(CS!$B$1:$B$12828,MATCH($A29,CS!$B:$B,0)+COLUMN(B$1),1))</f>
        <v>0</v>
      </c>
      <c r="AT29">
        <f>IF($A29="","", INDEX(CS!$B$1:$B$12828,MATCH($A29,CS!$B:$B,0)+COLUMN(C$1),1))</f>
        <v>0</v>
      </c>
      <c r="AU29">
        <f>IF($A29="","", INDEX(CS!$B$1:$B$12828,MATCH($A29,CS!$B:$B,0)+COLUMN(D$1),1))</f>
        <v>0</v>
      </c>
      <c r="AV29">
        <f>IF($A29="","", INDEX(CS!$B$1:$B$12828,MATCH($A29,CS!$B:$B,0)+COLUMN(E$1),1))</f>
        <v>0</v>
      </c>
      <c r="AW29">
        <f>IF($A29="","", INDEX(CS!$B$1:$B$12828,MATCH($A29,CS!$B:$B,0)+COLUMN(F$1),1))</f>
        <v>0</v>
      </c>
      <c r="AX29">
        <f>IF($A29="","", INDEX(CS!$B$1:$B$12828,MATCH($A29,CS!$B:$B,0)+COLUMN(G$1),1))</f>
        <v>0</v>
      </c>
      <c r="AY29">
        <f>IF($A29="","", INDEX(CS!$B$1:$B$12828,MATCH($A29,CS!$B:$B,0)+COLUMN(H$1),1))</f>
        <v>0</v>
      </c>
      <c r="AZ29">
        <f>IF($A29="","", INDEX(CS!$B$1:$B$12828,MATCH($A29,CS!$B:$B,0)+COLUMN(I$1),1))</f>
        <v>0</v>
      </c>
      <c r="BA29">
        <f>IF($A29="","", INDEX(CS!$B$1:$B$12828,MATCH($A29,CS!$B:$B,0)+COLUMN(J$1),1))</f>
        <v>0</v>
      </c>
      <c r="BL29" t="s">
        <v>954</v>
      </c>
      <c r="BM29" s="53">
        <v>30</v>
      </c>
      <c r="BN29" s="52">
        <v>10</v>
      </c>
      <c r="BO29" s="52">
        <v>30</v>
      </c>
      <c r="BP29" s="52">
        <v>10</v>
      </c>
      <c r="BQ29" s="52">
        <v>10</v>
      </c>
      <c r="BR29" s="52">
        <v>10</v>
      </c>
      <c r="CC29" t="s">
        <v>936</v>
      </c>
    </row>
    <row r="30" spans="1:8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INDEX(CS!$B$1:$B$12828,MATCH($A30,CS!$B:$B,0)+COLUMN(A$1),1))</f>
        <v>0</v>
      </c>
      <c r="AS30">
        <f>IF($A30="","", INDEX(CS!$B$1:$B$12828,MATCH($A30,CS!$B:$B,0)+COLUMN(B$1),1))</f>
        <v>0</v>
      </c>
      <c r="AT30">
        <f>IF($A30="","", INDEX(CS!$B$1:$B$12828,MATCH($A30,CS!$B:$B,0)+COLUMN(C$1),1))</f>
        <v>0</v>
      </c>
      <c r="AU30">
        <f>IF($A30="","", INDEX(CS!$B$1:$B$12828,MATCH($A30,CS!$B:$B,0)+COLUMN(D$1),1))</f>
        <v>0</v>
      </c>
      <c r="AV30">
        <f>IF($A30="","", INDEX(CS!$B$1:$B$12828,MATCH($A30,CS!$B:$B,0)+COLUMN(E$1),1))</f>
        <v>0</v>
      </c>
      <c r="AW30">
        <f>IF($A30="","", INDEX(CS!$B$1:$B$12828,MATCH($A30,CS!$B:$B,0)+COLUMN(F$1),1))</f>
        <v>0</v>
      </c>
      <c r="AX30">
        <f>IF($A30="","", INDEX(CS!$B$1:$B$12828,MATCH($A30,CS!$B:$B,0)+COLUMN(G$1),1))</f>
        <v>0</v>
      </c>
      <c r="AY30">
        <f>IF($A30="","", INDEX(CS!$B$1:$B$12828,MATCH($A30,CS!$B:$B,0)+COLUMN(H$1),1))</f>
        <v>0</v>
      </c>
      <c r="AZ30">
        <f>IF($A30="","", INDEX(CS!$B$1:$B$12828,MATCH($A30,CS!$B:$B,0)+COLUMN(I$1),1))</f>
        <v>0</v>
      </c>
      <c r="BA30">
        <f>IF($A30="","", INDEX(CS!$B$1:$B$12828,MATCH($A30,CS!$B:$B,0)+COLUMN(J$1),1))</f>
        <v>0</v>
      </c>
      <c r="BL30" t="s">
        <v>957</v>
      </c>
      <c r="BM30" s="53">
        <v>50</v>
      </c>
      <c r="BN30" s="52">
        <v>0</v>
      </c>
      <c r="BO30" s="52">
        <v>0</v>
      </c>
      <c r="BP30" s="52">
        <v>50</v>
      </c>
      <c r="BQ30" s="52">
        <v>25</v>
      </c>
      <c r="BR30" s="52">
        <v>0</v>
      </c>
      <c r="BS30" s="52">
        <v>50</v>
      </c>
      <c r="CC30" t="s">
        <v>937</v>
      </c>
    </row>
    <row r="31" spans="1:81" x14ac:dyDescent="0.4">
      <c r="C31" t="s">
        <v>62</v>
      </c>
      <c r="D31" t="str">
        <f t="shared" si="0"/>
        <v>0/0/0</v>
      </c>
      <c r="E31">
        <v>1</v>
      </c>
      <c r="AR31" t="str">
        <f>IF($A31="","", INDEX(CS!$B$1:$B$12828,MATCH($A31,CS!$B:$B,0)+COLUMN(A$1),1))</f>
        <v/>
      </c>
      <c r="AS31" t="str">
        <f>IF($A31="","", INDEX(CS!$B$1:$B$12828,MATCH($A31,CS!$B:$B,0)+COLUMN(B$1),1))</f>
        <v/>
      </c>
      <c r="AT31" t="str">
        <f>IF($A31="","", INDEX(CS!$B$1:$B$12828,MATCH($A31,CS!$B:$B,0)+COLUMN(C$1),1))</f>
        <v/>
      </c>
      <c r="AU31" t="str">
        <f>IF($A31="","", INDEX(CS!$B$1:$B$12828,MATCH($A31,CS!$B:$B,0)+COLUMN(D$1),1))</f>
        <v/>
      </c>
      <c r="AV31" t="str">
        <f>IF($A31="","", INDEX(CS!$B$1:$B$12828,MATCH($A31,CS!$B:$B,0)+COLUMN(E$1),1))</f>
        <v/>
      </c>
      <c r="AW31" t="str">
        <f>IF($A31="","", INDEX(CS!$B$1:$B$12828,MATCH($A31,CS!$B:$B,0)+COLUMN(F$1),1))</f>
        <v/>
      </c>
      <c r="AX31" t="str">
        <f>IF($A31="","", INDEX(CS!$B$1:$B$12828,MATCH($A31,CS!$B:$B,0)+COLUMN(G$1),1))</f>
        <v/>
      </c>
      <c r="AY31" t="str">
        <f>IF($A31="","", INDEX(CS!$B$1:$B$12828,MATCH($A31,CS!$B:$B,0)+COLUMN(H$1),1))</f>
        <v/>
      </c>
      <c r="AZ31" t="str">
        <f>IF($A31="","", INDEX(CS!$B$1:$B$12828,MATCH($A31,CS!$B:$B,0)+COLUMN(I$1),1))</f>
        <v/>
      </c>
      <c r="BA31" t="str">
        <f>IF($A31="","", INDEX(CS!$B$1:$B$12828,MATCH($A31,CS!$B:$B,0)+COLUMN(J$1),1))</f>
        <v/>
      </c>
      <c r="BM31" s="17"/>
      <c r="BN31" s="52"/>
      <c r="BO31" s="52"/>
      <c r="BP31" s="52"/>
      <c r="BQ31" s="52"/>
    </row>
    <row r="32" spans="1:81" x14ac:dyDescent="0.4">
      <c r="A32" t="s">
        <v>205</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INDEX(CS!$B$1:$B$12828,MATCH($A32,CS!$B:$B,0)+COLUMN(A$1),1))</f>
        <v>0</v>
      </c>
      <c r="AS32">
        <f>IF($A32="","", INDEX(CS!$B$1:$B$12828,MATCH($A32,CS!$B:$B,0)+COLUMN(B$1),1))</f>
        <v>0</v>
      </c>
      <c r="AT32">
        <f>IF($A32="","", INDEX(CS!$B$1:$B$12828,MATCH($A32,CS!$B:$B,0)+COLUMN(C$1),1))</f>
        <v>0</v>
      </c>
      <c r="AU32">
        <f>IF($A32="","", INDEX(CS!$B$1:$B$12828,MATCH($A32,CS!$B:$B,0)+COLUMN(D$1),1))</f>
        <v>0</v>
      </c>
      <c r="AV32">
        <f>IF($A32="","", INDEX(CS!$B$1:$B$12828,MATCH($A32,CS!$B:$B,0)+COLUMN(E$1),1))</f>
        <v>0</v>
      </c>
      <c r="AW32">
        <f>IF($A32="","", INDEX(CS!$B$1:$B$12828,MATCH($A32,CS!$B:$B,0)+COLUMN(F$1),1))</f>
        <v>0</v>
      </c>
      <c r="AX32">
        <f>IF($A32="","", INDEX(CS!$B$1:$B$12828,MATCH($A32,CS!$B:$B,0)+COLUMN(G$1),1))</f>
        <v>0</v>
      </c>
      <c r="AY32">
        <f>IF($A32="","", INDEX(CS!$B$1:$B$12828,MATCH($A32,CS!$B:$B,0)+COLUMN(H$1),1))</f>
        <v>0</v>
      </c>
      <c r="AZ32">
        <f>IF($A32="","", INDEX(CS!$B$1:$B$12828,MATCH($A32,CS!$B:$B,0)+COLUMN(I$1),1))</f>
        <v>0</v>
      </c>
      <c r="BA32">
        <f>IF($A32="","", INDEX(CS!$B$1:$B$12828,MATCH($A32,CS!$B:$B,0)+COLUMN(J$1),1))</f>
        <v>0</v>
      </c>
      <c r="BL32" t="s">
        <v>957</v>
      </c>
      <c r="BM32" s="53">
        <v>50</v>
      </c>
      <c r="BP32" s="52">
        <v>75</v>
      </c>
      <c r="CC32" t="s">
        <v>1048</v>
      </c>
    </row>
    <row r="33" spans="1:81" x14ac:dyDescent="0.4">
      <c r="A33" t="s">
        <v>206</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INDEX(CS!$B$1:$B$12828,MATCH($A33,CS!$B:$B,0)+COLUMN(A$1),1))</f>
        <v>0</v>
      </c>
      <c r="AS33">
        <f>IF($A33="","", INDEX(CS!$B$1:$B$12828,MATCH($A33,CS!$B:$B,0)+COLUMN(B$1),1))</f>
        <v>0</v>
      </c>
      <c r="AT33">
        <f>IF($A33="","", INDEX(CS!$B$1:$B$12828,MATCH($A33,CS!$B:$B,0)+COLUMN(C$1),1))</f>
        <v>0</v>
      </c>
      <c r="AU33">
        <f>IF($A33="","", INDEX(CS!$B$1:$B$12828,MATCH($A33,CS!$B:$B,0)+COLUMN(D$1),1))</f>
        <v>0</v>
      </c>
      <c r="AV33">
        <f>IF($A33="","", INDEX(CS!$B$1:$B$12828,MATCH($A33,CS!$B:$B,0)+COLUMN(E$1),1))</f>
        <v>0</v>
      </c>
      <c r="AW33">
        <f>IF($A33="","", INDEX(CS!$B$1:$B$12828,MATCH($A33,CS!$B:$B,0)+COLUMN(F$1),1))</f>
        <v>0</v>
      </c>
      <c r="AX33">
        <f>IF($A33="","", INDEX(CS!$B$1:$B$12828,MATCH($A33,CS!$B:$B,0)+COLUMN(G$1),1))</f>
        <v>0</v>
      </c>
      <c r="AY33">
        <f>IF($A33="","", INDEX(CS!$B$1:$B$12828,MATCH($A33,CS!$B:$B,0)+COLUMN(H$1),1))</f>
        <v>0</v>
      </c>
      <c r="AZ33">
        <f>IF($A33="","", INDEX(CS!$B$1:$B$12828,MATCH($A33,CS!$B:$B,0)+COLUMN(I$1),1))</f>
        <v>0</v>
      </c>
      <c r="BA33">
        <f>IF($A33="","", INDEX(CS!$B$1:$B$12828,MATCH($A33,CS!$B:$B,0)+COLUMN(J$1),1))</f>
        <v>0</v>
      </c>
      <c r="BL33" t="s">
        <v>957</v>
      </c>
      <c r="BM33" s="53">
        <v>50</v>
      </c>
      <c r="CC33" t="s">
        <v>1049</v>
      </c>
    </row>
    <row r="34" spans="1:81" x14ac:dyDescent="0.4">
      <c r="A34" t="s">
        <v>208</v>
      </c>
      <c r="C34" t="s">
        <v>62</v>
      </c>
      <c r="D34" t="str">
        <f t="shared" ref="D34:D94"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INDEX(CS!$B$1:$B$12828,MATCH($A34,CS!$B:$B,0)+COLUMN(A$1),1))</f>
        <v>0</v>
      </c>
      <c r="AS34">
        <f>IF($A34="","", INDEX(CS!$B$1:$B$12828,MATCH($A34,CS!$B:$B,0)+COLUMN(B$1),1))</f>
        <v>0</v>
      </c>
      <c r="AT34">
        <f>IF($A34="","", INDEX(CS!$B$1:$B$12828,MATCH($A34,CS!$B:$B,0)+COLUMN(C$1),1))</f>
        <v>0</v>
      </c>
      <c r="AU34">
        <f>IF($A34="","", INDEX(CS!$B$1:$B$12828,MATCH($A34,CS!$B:$B,0)+COLUMN(D$1),1))</f>
        <v>0</v>
      </c>
      <c r="AV34">
        <f>IF($A34="","", INDEX(CS!$B$1:$B$12828,MATCH($A34,CS!$B:$B,0)+COLUMN(E$1),1))</f>
        <v>0</v>
      </c>
      <c r="AW34">
        <f>IF($A34="","", INDEX(CS!$B$1:$B$12828,MATCH($A34,CS!$B:$B,0)+COLUMN(F$1),1))</f>
        <v>0</v>
      </c>
      <c r="AX34">
        <f>IF($A34="","", INDEX(CS!$B$1:$B$12828,MATCH($A34,CS!$B:$B,0)+COLUMN(G$1),1))</f>
        <v>0</v>
      </c>
      <c r="AY34">
        <f>IF($A34="","", INDEX(CS!$B$1:$B$12828,MATCH($A34,CS!$B:$B,0)+COLUMN(H$1),1))</f>
        <v>0</v>
      </c>
      <c r="AZ34">
        <f>IF($A34="","", INDEX(CS!$B$1:$B$12828,MATCH($A34,CS!$B:$B,0)+COLUMN(I$1),1))</f>
        <v>0</v>
      </c>
      <c r="BA34">
        <f>IF($A34="","", INDEX(CS!$B$1:$B$12828,MATCH($A34,CS!$B:$B,0)+COLUMN(J$1),1))</f>
        <v>0</v>
      </c>
      <c r="BL34" t="s">
        <v>954</v>
      </c>
      <c r="BM34" s="53">
        <v>25</v>
      </c>
      <c r="BR34">
        <v>25</v>
      </c>
      <c r="BX34" t="s">
        <v>968</v>
      </c>
      <c r="BY34" t="s">
        <v>968</v>
      </c>
      <c r="BZ34" t="s">
        <v>968</v>
      </c>
      <c r="CC34" t="s">
        <v>1050</v>
      </c>
    </row>
    <row r="35" spans="1:81" x14ac:dyDescent="0.4">
      <c r="C35" t="s">
        <v>62</v>
      </c>
      <c r="D35" t="str">
        <f t="shared" si="1"/>
        <v>0/0/0</v>
      </c>
      <c r="E35">
        <v>1</v>
      </c>
      <c r="AR35" t="str">
        <f>IF($A35="","", INDEX(CS!$B$1:$B$12828,MATCH($A35,CS!$B:$B,0)+COLUMN(A$1),1))</f>
        <v/>
      </c>
      <c r="AS35" t="str">
        <f>IF($A35="","", INDEX(CS!$B$1:$B$12828,MATCH($A35,CS!$B:$B,0)+COLUMN(B$1),1))</f>
        <v/>
      </c>
      <c r="AT35" t="str">
        <f>IF($A35="","", INDEX(CS!$B$1:$B$12828,MATCH($A35,CS!$B:$B,0)+COLUMN(C$1),1))</f>
        <v/>
      </c>
      <c r="AU35" t="str">
        <f>IF($A35="","", INDEX(CS!$B$1:$B$12828,MATCH($A35,CS!$B:$B,0)+COLUMN(D$1),1))</f>
        <v/>
      </c>
      <c r="AV35" t="str">
        <f>IF($A35="","", INDEX(CS!$B$1:$B$12828,MATCH($A35,CS!$B:$B,0)+COLUMN(E$1),1))</f>
        <v/>
      </c>
      <c r="AW35" t="str">
        <f>IF($A35="","", INDEX(CS!$B$1:$B$12828,MATCH($A35,CS!$B:$B,0)+COLUMN(F$1),1))</f>
        <v/>
      </c>
      <c r="AX35" t="str">
        <f>IF($A35="","", INDEX(CS!$B$1:$B$12828,MATCH($A35,CS!$B:$B,0)+COLUMN(G$1),1))</f>
        <v/>
      </c>
      <c r="AY35" t="str">
        <f>IF($A35="","", INDEX(CS!$B$1:$B$12828,MATCH($A35,CS!$B:$B,0)+COLUMN(H$1),1))</f>
        <v/>
      </c>
      <c r="AZ35" t="str">
        <f>IF($A35="","", INDEX(CS!$B$1:$B$12828,MATCH($A35,CS!$B:$B,0)+COLUMN(I$1),1))</f>
        <v/>
      </c>
      <c r="BA35" t="str">
        <f>IF($A35="","", INDEX(CS!$B$1:$B$12828,MATCH($A35,CS!$B:$B,0)+COLUMN(J$1),1))</f>
        <v/>
      </c>
    </row>
    <row r="36" spans="1:81" x14ac:dyDescent="0.4">
      <c r="C36" t="s">
        <v>62</v>
      </c>
      <c r="D36" t="str">
        <f t="shared" si="1"/>
        <v>0/0/0</v>
      </c>
      <c r="E36">
        <v>1</v>
      </c>
      <c r="AR36" t="str">
        <f>IF($A36="","", INDEX(CS!$B$1:$B$12828,MATCH($A36,CS!$B:$B,0)+COLUMN(A$1),1))</f>
        <v/>
      </c>
      <c r="AS36" t="str">
        <f>IF($A36="","", INDEX(CS!$B$1:$B$12828,MATCH($A36,CS!$B:$B,0)+COLUMN(B$1),1))</f>
        <v/>
      </c>
      <c r="AT36" t="str">
        <f>IF($A36="","", INDEX(CS!$B$1:$B$12828,MATCH($A36,CS!$B:$B,0)+COLUMN(C$1),1))</f>
        <v/>
      </c>
      <c r="AU36" t="str">
        <f>IF($A36="","", INDEX(CS!$B$1:$B$12828,MATCH($A36,CS!$B:$B,0)+COLUMN(D$1),1))</f>
        <v/>
      </c>
      <c r="AV36" t="str">
        <f>IF($A36="","", INDEX(CS!$B$1:$B$12828,MATCH($A36,CS!$B:$B,0)+COLUMN(E$1),1))</f>
        <v/>
      </c>
      <c r="AW36" t="str">
        <f>IF($A36="","", INDEX(CS!$B$1:$B$12828,MATCH($A36,CS!$B:$B,0)+COLUMN(F$1),1))</f>
        <v/>
      </c>
      <c r="AX36" t="str">
        <f>IF($A36="","", INDEX(CS!$B$1:$B$12828,MATCH($A36,CS!$B:$B,0)+COLUMN(G$1),1))</f>
        <v/>
      </c>
      <c r="AY36" t="str">
        <f>IF($A36="","", INDEX(CS!$B$1:$B$12828,MATCH($A36,CS!$B:$B,0)+COLUMN(H$1),1))</f>
        <v/>
      </c>
      <c r="AZ36" t="str">
        <f>IF($A36="","", INDEX(CS!$B$1:$B$12828,MATCH($A36,CS!$B:$B,0)+COLUMN(I$1),1))</f>
        <v/>
      </c>
      <c r="BA36" t="str">
        <f>IF($A36="","", INDEX(CS!$B$1:$B$12828,MATCH($A36,CS!$B:$B,0)+COLUMN(J$1),1))</f>
        <v/>
      </c>
    </row>
    <row r="37" spans="1:81" x14ac:dyDescent="0.4">
      <c r="C37" t="s">
        <v>62</v>
      </c>
      <c r="D37" t="str">
        <f t="shared" si="1"/>
        <v>0/0/0</v>
      </c>
      <c r="E37">
        <v>1</v>
      </c>
      <c r="AR37" t="str">
        <f>IF($A37="","", INDEX(CS!$B$1:$B$12828,MATCH($A37,CS!$B:$B,0)+COLUMN(A$1),1))</f>
        <v/>
      </c>
      <c r="AS37" t="str">
        <f>IF($A37="","", INDEX(CS!$B$1:$B$12828,MATCH($A37,CS!$B:$B,0)+COLUMN(B$1),1))</f>
        <v/>
      </c>
      <c r="AT37" t="str">
        <f>IF($A37="","", INDEX(CS!$B$1:$B$12828,MATCH($A37,CS!$B:$B,0)+COLUMN(C$1),1))</f>
        <v/>
      </c>
      <c r="AU37" t="str">
        <f>IF($A37="","", INDEX(CS!$B$1:$B$12828,MATCH($A37,CS!$B:$B,0)+COLUMN(D$1),1))</f>
        <v/>
      </c>
      <c r="AV37" t="str">
        <f>IF($A37="","", INDEX(CS!$B$1:$B$12828,MATCH($A37,CS!$B:$B,0)+COLUMN(E$1),1))</f>
        <v/>
      </c>
      <c r="AW37" t="str">
        <f>IF($A37="","", INDEX(CS!$B$1:$B$12828,MATCH($A37,CS!$B:$B,0)+COLUMN(F$1),1))</f>
        <v/>
      </c>
      <c r="AX37" t="str">
        <f>IF($A37="","", INDEX(CS!$B$1:$B$12828,MATCH($A37,CS!$B:$B,0)+COLUMN(G$1),1))</f>
        <v/>
      </c>
      <c r="AY37" t="str">
        <f>IF($A37="","", INDEX(CS!$B$1:$B$12828,MATCH($A37,CS!$B:$B,0)+COLUMN(H$1),1))</f>
        <v/>
      </c>
      <c r="AZ37" t="str">
        <f>IF($A37="","", INDEX(CS!$B$1:$B$12828,MATCH($A37,CS!$B:$B,0)+COLUMN(I$1),1))</f>
        <v/>
      </c>
      <c r="BA37" t="str">
        <f>IF($A37="","", INDEX(CS!$B$1:$B$12828,MATCH($A37,CS!$B:$B,0)+COLUMN(J$1),1))</f>
        <v/>
      </c>
    </row>
    <row r="38" spans="1:81" x14ac:dyDescent="0.4">
      <c r="C38" t="s">
        <v>62</v>
      </c>
      <c r="D38" t="str">
        <f t="shared" si="1"/>
        <v>0/0/0</v>
      </c>
      <c r="E38">
        <v>1</v>
      </c>
      <c r="AR38" t="str">
        <f>IF($A38="","", INDEX(CS!$B$1:$B$12828,MATCH($A38,CS!$B:$B,0)+COLUMN(A$1),1))</f>
        <v/>
      </c>
      <c r="AS38" t="str">
        <f>IF($A38="","", INDEX(CS!$B$1:$B$12828,MATCH($A38,CS!$B:$B,0)+COLUMN(B$1),1))</f>
        <v/>
      </c>
      <c r="AT38" t="str">
        <f>IF($A38="","", INDEX(CS!$B$1:$B$12828,MATCH($A38,CS!$B:$B,0)+COLUMN(C$1),1))</f>
        <v/>
      </c>
      <c r="AU38" t="str">
        <f>IF($A38="","", INDEX(CS!$B$1:$B$12828,MATCH($A38,CS!$B:$B,0)+COLUMN(D$1),1))</f>
        <v/>
      </c>
      <c r="AV38" t="str">
        <f>IF($A38="","", INDEX(CS!$B$1:$B$12828,MATCH($A38,CS!$B:$B,0)+COLUMN(E$1),1))</f>
        <v/>
      </c>
      <c r="AW38" t="str">
        <f>IF($A38="","", INDEX(CS!$B$1:$B$12828,MATCH($A38,CS!$B:$B,0)+COLUMN(F$1),1))</f>
        <v/>
      </c>
      <c r="AX38" t="str">
        <f>IF($A38="","", INDEX(CS!$B$1:$B$12828,MATCH($A38,CS!$B:$B,0)+COLUMN(G$1),1))</f>
        <v/>
      </c>
      <c r="AY38" t="str">
        <f>IF($A38="","", INDEX(CS!$B$1:$B$12828,MATCH($A38,CS!$B:$B,0)+COLUMN(H$1),1))</f>
        <v/>
      </c>
      <c r="AZ38" t="str">
        <f>IF($A38="","", INDEX(CS!$B$1:$B$12828,MATCH($A38,CS!$B:$B,0)+COLUMN(I$1),1))</f>
        <v/>
      </c>
      <c r="BA38" t="str">
        <f>IF($A38="","", INDEX(CS!$B$1:$B$12828,MATCH($A38,CS!$B:$B,0)+COLUMN(J$1),1))</f>
        <v/>
      </c>
    </row>
    <row r="39" spans="1:81" x14ac:dyDescent="0.4">
      <c r="C39" t="s">
        <v>62</v>
      </c>
      <c r="D39" t="str">
        <f t="shared" si="1"/>
        <v>0/0/0</v>
      </c>
      <c r="E39">
        <v>1</v>
      </c>
      <c r="AR39" t="str">
        <f>IF($A39="","", INDEX(CS!$B$1:$B$12828,MATCH($A39,CS!$B:$B,0)+COLUMN(A$1),1))</f>
        <v/>
      </c>
      <c r="AS39" t="str">
        <f>IF($A39="","", INDEX(CS!$B$1:$B$12828,MATCH($A39,CS!$B:$B,0)+COLUMN(B$1),1))</f>
        <v/>
      </c>
      <c r="AT39" t="str">
        <f>IF($A39="","", INDEX(CS!$B$1:$B$12828,MATCH($A39,CS!$B:$B,0)+COLUMN(C$1),1))</f>
        <v/>
      </c>
      <c r="AU39" t="str">
        <f>IF($A39="","", INDEX(CS!$B$1:$B$12828,MATCH($A39,CS!$B:$B,0)+COLUMN(D$1),1))</f>
        <v/>
      </c>
      <c r="AV39" t="str">
        <f>IF($A39="","", INDEX(CS!$B$1:$B$12828,MATCH($A39,CS!$B:$B,0)+COLUMN(E$1),1))</f>
        <v/>
      </c>
      <c r="AW39" t="str">
        <f>IF($A39="","", INDEX(CS!$B$1:$B$12828,MATCH($A39,CS!$B:$B,0)+COLUMN(F$1),1))</f>
        <v/>
      </c>
      <c r="AX39" t="str">
        <f>IF($A39="","", INDEX(CS!$B$1:$B$12828,MATCH($A39,CS!$B:$B,0)+COLUMN(G$1),1))</f>
        <v/>
      </c>
      <c r="AY39" t="str">
        <f>IF($A39="","", INDEX(CS!$B$1:$B$12828,MATCH($A39,CS!$B:$B,0)+COLUMN(H$1),1))</f>
        <v/>
      </c>
      <c r="AZ39" t="str">
        <f>IF($A39="","", INDEX(CS!$B$1:$B$12828,MATCH($A39,CS!$B:$B,0)+COLUMN(I$1),1))</f>
        <v/>
      </c>
      <c r="BA39" t="str">
        <f>IF($A39="","", INDEX(CS!$B$1:$B$12828,MATCH($A39,CS!$B:$B,0)+COLUMN(J$1),1))</f>
        <v/>
      </c>
    </row>
    <row r="40" spans="1:81" x14ac:dyDescent="0.4">
      <c r="C40" t="s">
        <v>62</v>
      </c>
      <c r="D40" t="str">
        <f t="shared" si="1"/>
        <v>0/0/0</v>
      </c>
      <c r="E40">
        <v>1</v>
      </c>
      <c r="AR40" t="str">
        <f>IF($A40="","", INDEX(CS!$B$1:$B$12828,MATCH($A40,CS!$B:$B,0)+COLUMN(A$1),1))</f>
        <v/>
      </c>
      <c r="AS40" t="str">
        <f>IF($A40="","", INDEX(CS!$B$1:$B$12828,MATCH($A40,CS!$B:$B,0)+COLUMN(B$1),1))</f>
        <v/>
      </c>
      <c r="AT40" t="str">
        <f>IF($A40="","", INDEX(CS!$B$1:$B$12828,MATCH($A40,CS!$B:$B,0)+COLUMN(C$1),1))</f>
        <v/>
      </c>
      <c r="AU40" t="str">
        <f>IF($A40="","", INDEX(CS!$B$1:$B$12828,MATCH($A40,CS!$B:$B,0)+COLUMN(D$1),1))</f>
        <v/>
      </c>
      <c r="AV40" t="str">
        <f>IF($A40="","", INDEX(CS!$B$1:$B$12828,MATCH($A40,CS!$B:$B,0)+COLUMN(E$1),1))</f>
        <v/>
      </c>
      <c r="AW40" t="str">
        <f>IF($A40="","", INDEX(CS!$B$1:$B$12828,MATCH($A40,CS!$B:$B,0)+COLUMN(F$1),1))</f>
        <v/>
      </c>
      <c r="AX40" t="str">
        <f>IF($A40="","", INDEX(CS!$B$1:$B$12828,MATCH($A40,CS!$B:$B,0)+COLUMN(G$1),1))</f>
        <v/>
      </c>
      <c r="AY40" t="str">
        <f>IF($A40="","", INDEX(CS!$B$1:$B$12828,MATCH($A40,CS!$B:$B,0)+COLUMN(H$1),1))</f>
        <v/>
      </c>
      <c r="AZ40" t="str">
        <f>IF($A40="","", INDEX(CS!$B$1:$B$12828,MATCH($A40,CS!$B:$B,0)+COLUMN(I$1),1))</f>
        <v/>
      </c>
      <c r="BA40" t="str">
        <f>IF($A40="","", INDEX(CS!$B$1:$B$12828,MATCH($A40,CS!$B:$B,0)+COLUMN(J$1),1))</f>
        <v/>
      </c>
    </row>
    <row r="41" spans="1:81"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INDEX(CS!$B$1:$B$12828,MATCH($A41,CS!$B:$B,0)+COLUMN(A$1),1))</f>
        <v>炎の拳</v>
      </c>
      <c r="AS41">
        <f>IF($A41="","", INDEX(CS!$B$1:$B$12828,MATCH($A41,CS!$B:$B,0)+COLUMN(B$1),1))</f>
        <v>0</v>
      </c>
      <c r="AT41" t="str">
        <f>IF($A41="","", INDEX(CS!$B$1:$B$12828,MATCH($A41,CS!$B:$B,0)+COLUMN(C$1),1))</f>
        <v>浮遊</v>
      </c>
      <c r="AU41">
        <f>IF($A41="","", INDEX(CS!$B$1:$B$12828,MATCH($A41,CS!$B:$B,0)+COLUMN(D$1),1))</f>
        <v>0</v>
      </c>
      <c r="AV41">
        <f>IF($A41="","", INDEX(CS!$B$1:$B$12828,MATCH($A41,CS!$B:$B,0)+COLUMN(E$1),1))</f>
        <v>0</v>
      </c>
      <c r="AW41" t="str">
        <f>IF($A41="","", INDEX(CS!$B$1:$B$12828,MATCH($A41,CS!$B:$B,0)+COLUMN(F$1),1))</f>
        <v>炎の魔力</v>
      </c>
      <c r="AX41">
        <f>IF($A41="","", INDEX(CS!$B$1:$B$12828,MATCH($A41,CS!$B:$B,0)+COLUMN(G$1),1))</f>
        <v>0</v>
      </c>
      <c r="AY41">
        <f>IF($A41="","", INDEX(CS!$B$1:$B$12828,MATCH($A41,CS!$B:$B,0)+COLUMN(H$1),1))</f>
        <v>0</v>
      </c>
      <c r="AZ41" t="str">
        <f>IF($A41="","", INDEX(CS!$B$1:$B$12828,MATCH($A41,CS!$B:$B,0)+COLUMN(I$1),1))</f>
        <v>炎の力</v>
      </c>
      <c r="BA41" t="str">
        <f>IF($A41="","", INDEX(CS!$B$1:$B$12828,MATCH($A41,CS!$B:$B,0)+COLUMN(J$1),1))</f>
        <v>炎の吐息</v>
      </c>
      <c r="BX41" t="s">
        <v>968</v>
      </c>
      <c r="BY41" t="s">
        <v>968</v>
      </c>
      <c r="BZ41" t="s">
        <v>968</v>
      </c>
      <c r="CC41" t="s">
        <v>67</v>
      </c>
    </row>
    <row r="42" spans="1:81"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INDEX(CS!$B$1:$B$12828,MATCH($A42,CS!$B:$B,0)+COLUMN(A$1),1))</f>
        <v>氷の拳</v>
      </c>
      <c r="AS42">
        <f>IF($A42="","", INDEX(CS!$B$1:$B$12828,MATCH($A42,CS!$B:$B,0)+COLUMN(B$1),1))</f>
        <v>0</v>
      </c>
      <c r="AT42" t="str">
        <f>IF($A42="","", INDEX(CS!$B$1:$B$12828,MATCH($A42,CS!$B:$B,0)+COLUMN(C$1),1))</f>
        <v>浮遊</v>
      </c>
      <c r="AU42">
        <f>IF($A42="","", INDEX(CS!$B$1:$B$12828,MATCH($A42,CS!$B:$B,0)+COLUMN(D$1),1))</f>
        <v>0</v>
      </c>
      <c r="AV42">
        <f>IF($A42="","", INDEX(CS!$B$1:$B$12828,MATCH($A42,CS!$B:$B,0)+COLUMN(E$1),1))</f>
        <v>0</v>
      </c>
      <c r="AW42" t="str">
        <f>IF($A42="","", INDEX(CS!$B$1:$B$12828,MATCH($A42,CS!$B:$B,0)+COLUMN(F$1),1))</f>
        <v>氷の魔力</v>
      </c>
      <c r="AX42">
        <f>IF($A42="","", INDEX(CS!$B$1:$B$12828,MATCH($A42,CS!$B:$B,0)+COLUMN(G$1),1))</f>
        <v>0</v>
      </c>
      <c r="AY42">
        <f>IF($A42="","", INDEX(CS!$B$1:$B$12828,MATCH($A42,CS!$B:$B,0)+COLUMN(H$1),1))</f>
        <v>0</v>
      </c>
      <c r="AZ42" t="str">
        <f>IF($A42="","", INDEX(CS!$B$1:$B$12828,MATCH($A42,CS!$B:$B,0)+COLUMN(I$1),1))</f>
        <v>氷の力</v>
      </c>
      <c r="BA42" t="str">
        <f>IF($A42="","", INDEX(CS!$B$1:$B$12828,MATCH($A42,CS!$B:$B,0)+COLUMN(J$1),1))</f>
        <v>氷の吐息</v>
      </c>
      <c r="CC42" t="s">
        <v>67</v>
      </c>
    </row>
    <row r="43" spans="1:81" x14ac:dyDescent="0.4">
      <c r="A43" s="1" t="s">
        <v>906</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INDEX(CS!$B$1:$B$12828,MATCH($A43,CS!$B:$B,0)+COLUMN(A$1),1))</f>
        <v>水の拳</v>
      </c>
      <c r="AS43">
        <f>IF($A43="","", INDEX(CS!$B$1:$B$12828,MATCH($A43,CS!$B:$B,0)+COLUMN(B$1),1))</f>
        <v>0</v>
      </c>
      <c r="AT43" t="str">
        <f>IF($A43="","", INDEX(CS!$B$1:$B$12828,MATCH($A43,CS!$B:$B,0)+COLUMN(C$1),1))</f>
        <v>水の精霊</v>
      </c>
      <c r="AU43">
        <f>IF($A43="","", INDEX(CS!$B$1:$B$12828,MATCH($A43,CS!$B:$B,0)+COLUMN(D$1),1))</f>
        <v>0</v>
      </c>
      <c r="AV43">
        <f>IF($A43="","", INDEX(CS!$B$1:$B$12828,MATCH($A43,CS!$B:$B,0)+COLUMN(E$1),1))</f>
        <v>0</v>
      </c>
      <c r="AW43" t="str">
        <f>IF($A43="","", INDEX(CS!$B$1:$B$12828,MATCH($A43,CS!$B:$B,0)+COLUMN(F$1),1))</f>
        <v>水の魔力</v>
      </c>
      <c r="AX43">
        <f>IF($A43="","", INDEX(CS!$B$1:$B$12828,MATCH($A43,CS!$B:$B,0)+COLUMN(G$1),1))</f>
        <v>0</v>
      </c>
      <c r="AY43">
        <f>IF($A43="","", INDEX(CS!$B$1:$B$12828,MATCH($A43,CS!$B:$B,0)+COLUMN(H$1),1))</f>
        <v>0</v>
      </c>
      <c r="AZ43" t="str">
        <f>IF($A43="","", INDEX(CS!$B$1:$B$12828,MATCH($A43,CS!$B:$B,0)+COLUMN(I$1),1))</f>
        <v>水の力</v>
      </c>
      <c r="BA43" t="str">
        <f>IF($A43="","", INDEX(CS!$B$1:$B$12828,MATCH($A43,CS!$B:$B,0)+COLUMN(J$1),1))</f>
        <v>水の吐息</v>
      </c>
      <c r="CC43" t="s">
        <v>67</v>
      </c>
    </row>
    <row r="44" spans="1:81"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INDEX(CS!$B$1:$B$12828,MATCH($A44,CS!$B:$B,0)+COLUMN(A$1),1))</f>
        <v>風の拳</v>
      </c>
      <c r="AS44">
        <f>IF($A44="","", INDEX(CS!$B$1:$B$12828,MATCH($A44,CS!$B:$B,0)+COLUMN(B$1),1))</f>
        <v>0</v>
      </c>
      <c r="AT44" t="str">
        <f>IF($A44="","", INDEX(CS!$B$1:$B$12828,MATCH($A44,CS!$B:$B,0)+COLUMN(C$1),1))</f>
        <v>浮遊</v>
      </c>
      <c r="AU44">
        <f>IF($A44="","", INDEX(CS!$B$1:$B$12828,MATCH($A44,CS!$B:$B,0)+COLUMN(D$1),1))</f>
        <v>0</v>
      </c>
      <c r="AV44">
        <f>IF($A44="","", INDEX(CS!$B$1:$B$12828,MATCH($A44,CS!$B:$B,0)+COLUMN(E$1),1))</f>
        <v>0</v>
      </c>
      <c r="AW44" t="str">
        <f>IF($A44="","", INDEX(CS!$B$1:$B$12828,MATCH($A44,CS!$B:$B,0)+COLUMN(F$1),1))</f>
        <v>風の魔力</v>
      </c>
      <c r="AX44">
        <f>IF($A44="","", INDEX(CS!$B$1:$B$12828,MATCH($A44,CS!$B:$B,0)+COLUMN(G$1),1))</f>
        <v>0</v>
      </c>
      <c r="AY44">
        <f>IF($A44="","", INDEX(CS!$B$1:$B$12828,MATCH($A44,CS!$B:$B,0)+COLUMN(H$1),1))</f>
        <v>0</v>
      </c>
      <c r="AZ44" t="str">
        <f>IF($A44="","", INDEX(CS!$B$1:$B$12828,MATCH($A44,CS!$B:$B,0)+COLUMN(I$1),1))</f>
        <v>風の力</v>
      </c>
      <c r="BA44" t="str">
        <f>IF($A44="","", INDEX(CS!$B$1:$B$12828,MATCH($A44,CS!$B:$B,0)+COLUMN(J$1),1))</f>
        <v>風の吐息</v>
      </c>
      <c r="CC44" t="s">
        <v>67</v>
      </c>
    </row>
    <row r="45" spans="1:81"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INDEX(CS!$B$1:$B$12828,MATCH($A45,CS!$B:$B,0)+COLUMN(A$1),1))</f>
        <v>地の拳</v>
      </c>
      <c r="AS45">
        <f>IF($A45="","", INDEX(CS!$B$1:$B$12828,MATCH($A45,CS!$B:$B,0)+COLUMN(B$1),1))</f>
        <v>0</v>
      </c>
      <c r="AT45" t="str">
        <f>IF($A45="","", INDEX(CS!$B$1:$B$12828,MATCH($A45,CS!$B:$B,0)+COLUMN(C$1),1))</f>
        <v>浮遊</v>
      </c>
      <c r="AU45">
        <f>IF($A45="","", INDEX(CS!$B$1:$B$12828,MATCH($A45,CS!$B:$B,0)+COLUMN(D$1),1))</f>
        <v>0</v>
      </c>
      <c r="AV45">
        <f>IF($A45="","", INDEX(CS!$B$1:$B$12828,MATCH($A45,CS!$B:$B,0)+COLUMN(E$1),1))</f>
        <v>0</v>
      </c>
      <c r="AW45" t="str">
        <f>IF($A45="","", INDEX(CS!$B$1:$B$12828,MATCH($A45,CS!$B:$B,0)+COLUMN(F$1),1))</f>
        <v>地の魔力</v>
      </c>
      <c r="AX45">
        <f>IF($A45="","", INDEX(CS!$B$1:$B$12828,MATCH($A45,CS!$B:$B,0)+COLUMN(G$1),1))</f>
        <v>0</v>
      </c>
      <c r="AY45">
        <f>IF($A45="","", INDEX(CS!$B$1:$B$12828,MATCH($A45,CS!$B:$B,0)+COLUMN(H$1),1))</f>
        <v>0</v>
      </c>
      <c r="AZ45" t="str">
        <f>IF($A45="","", INDEX(CS!$B$1:$B$12828,MATCH($A45,CS!$B:$B,0)+COLUMN(I$1),1))</f>
        <v>地の力</v>
      </c>
      <c r="BA45" t="str">
        <f>IF($A45="","", INDEX(CS!$B$1:$B$12828,MATCH($A45,CS!$B:$B,0)+COLUMN(J$1),1))</f>
        <v>石礫の吐息</v>
      </c>
      <c r="CC45" t="s">
        <v>67</v>
      </c>
    </row>
    <row r="46" spans="1:81" x14ac:dyDescent="0.4">
      <c r="C46" t="s">
        <v>62</v>
      </c>
      <c r="D46" t="str">
        <f t="shared" si="1"/>
        <v>0/0/0</v>
      </c>
      <c r="E46">
        <v>1</v>
      </c>
      <c r="AR46" t="str">
        <f>IF($A46="","", INDEX(CS!$B$1:$B$12828,MATCH($A46,CS!$B:$B,0)+COLUMN(A$1),1))</f>
        <v/>
      </c>
      <c r="AS46" t="str">
        <f>IF($A46="","", INDEX(CS!$B$1:$B$12828,MATCH($A46,CS!$B:$B,0)+COLUMN(B$1),1))</f>
        <v/>
      </c>
      <c r="AT46" t="str">
        <f>IF($A46="","", INDEX(CS!$B$1:$B$12828,MATCH($A46,CS!$B:$B,0)+COLUMN(C$1),1))</f>
        <v/>
      </c>
      <c r="AU46" t="str">
        <f>IF($A46="","", INDEX(CS!$B$1:$B$12828,MATCH($A46,CS!$B:$B,0)+COLUMN(D$1),1))</f>
        <v/>
      </c>
      <c r="AV46" t="str">
        <f>IF($A46="","", INDEX(CS!$B$1:$B$12828,MATCH($A46,CS!$B:$B,0)+COLUMN(E$1),1))</f>
        <v/>
      </c>
      <c r="AW46" t="str">
        <f>IF($A46="","", INDEX(CS!$B$1:$B$12828,MATCH($A46,CS!$B:$B,0)+COLUMN(F$1),1))</f>
        <v/>
      </c>
      <c r="AX46" t="str">
        <f>IF($A46="","", INDEX(CS!$B$1:$B$12828,MATCH($A46,CS!$B:$B,0)+COLUMN(G$1),1))</f>
        <v/>
      </c>
      <c r="AY46" t="str">
        <f>IF($A46="","", INDEX(CS!$B$1:$B$12828,MATCH($A46,CS!$B:$B,0)+COLUMN(H$1),1))</f>
        <v/>
      </c>
      <c r="AZ46" t="str">
        <f>IF($A46="","", INDEX(CS!$B$1:$B$12828,MATCH($A46,CS!$B:$B,0)+COLUMN(I$1),1))</f>
        <v/>
      </c>
      <c r="BA46" t="str">
        <f>IF($A46="","", INDEX(CS!$B$1:$B$12828,MATCH($A46,CS!$B:$B,0)+COLUMN(J$1),1))</f>
        <v/>
      </c>
    </row>
    <row r="47" spans="1:81" x14ac:dyDescent="0.4">
      <c r="C47" t="s">
        <v>62</v>
      </c>
      <c r="D47" t="str">
        <f t="shared" si="1"/>
        <v>0/0/0</v>
      </c>
      <c r="E47">
        <v>1</v>
      </c>
      <c r="AR47" t="str">
        <f>IF($A47="","", INDEX(CS!$B$1:$B$12828,MATCH($A47,CS!$B:$B,0)+COLUMN(A$1),1))</f>
        <v/>
      </c>
      <c r="AS47" t="str">
        <f>IF($A47="","", INDEX(CS!$B$1:$B$12828,MATCH($A47,CS!$B:$B,0)+COLUMN(B$1),1))</f>
        <v/>
      </c>
      <c r="AT47" t="str">
        <f>IF($A47="","", INDEX(CS!$B$1:$B$12828,MATCH($A47,CS!$B:$B,0)+COLUMN(C$1),1))</f>
        <v/>
      </c>
      <c r="AU47" t="str">
        <f>IF($A47="","", INDEX(CS!$B$1:$B$12828,MATCH($A47,CS!$B:$B,0)+COLUMN(D$1),1))</f>
        <v/>
      </c>
      <c r="AV47" t="str">
        <f>IF($A47="","", INDEX(CS!$B$1:$B$12828,MATCH($A47,CS!$B:$B,0)+COLUMN(E$1),1))</f>
        <v/>
      </c>
      <c r="AW47" t="str">
        <f>IF($A47="","", INDEX(CS!$B$1:$B$12828,MATCH($A47,CS!$B:$B,0)+COLUMN(F$1),1))</f>
        <v/>
      </c>
      <c r="AX47" t="str">
        <f>IF($A47="","", INDEX(CS!$B$1:$B$12828,MATCH($A47,CS!$B:$B,0)+COLUMN(G$1),1))</f>
        <v/>
      </c>
      <c r="AY47" t="str">
        <f>IF($A47="","", INDEX(CS!$B$1:$B$12828,MATCH($A47,CS!$B:$B,0)+COLUMN(H$1),1))</f>
        <v/>
      </c>
      <c r="AZ47" t="str">
        <f>IF($A47="","", INDEX(CS!$B$1:$B$12828,MATCH($A47,CS!$B:$B,0)+COLUMN(I$1),1))</f>
        <v/>
      </c>
      <c r="BA47" t="str">
        <f>IF($A47="","", INDEX(CS!$B$1:$B$12828,MATCH($A47,CS!$B:$B,0)+COLUMN(J$1),1))</f>
        <v/>
      </c>
    </row>
    <row r="48" spans="1:81" x14ac:dyDescent="0.4">
      <c r="C48" t="s">
        <v>62</v>
      </c>
      <c r="D48" t="str">
        <f t="shared" si="1"/>
        <v>0/0/0</v>
      </c>
      <c r="E48">
        <v>1</v>
      </c>
      <c r="AR48" t="str">
        <f>IF($A48="","", INDEX(CS!$B$1:$B$12828,MATCH($A48,CS!$B:$B,0)+COLUMN(A$1),1))</f>
        <v/>
      </c>
      <c r="AS48" t="str">
        <f>IF($A48="","", INDEX(CS!$B$1:$B$12828,MATCH($A48,CS!$B:$B,0)+COLUMN(B$1),1))</f>
        <v/>
      </c>
      <c r="AT48" t="str">
        <f>IF($A48="","", INDEX(CS!$B$1:$B$12828,MATCH($A48,CS!$B:$B,0)+COLUMN(C$1),1))</f>
        <v/>
      </c>
      <c r="AU48" t="str">
        <f>IF($A48="","", INDEX(CS!$B$1:$B$12828,MATCH($A48,CS!$B:$B,0)+COLUMN(D$1),1))</f>
        <v/>
      </c>
      <c r="AV48" t="str">
        <f>IF($A48="","", INDEX(CS!$B$1:$B$12828,MATCH($A48,CS!$B:$B,0)+COLUMN(E$1),1))</f>
        <v/>
      </c>
      <c r="AW48" t="str">
        <f>IF($A48="","", INDEX(CS!$B$1:$B$12828,MATCH($A48,CS!$B:$B,0)+COLUMN(F$1),1))</f>
        <v/>
      </c>
      <c r="AX48" t="str">
        <f>IF($A48="","", INDEX(CS!$B$1:$B$12828,MATCH($A48,CS!$B:$B,0)+COLUMN(G$1),1))</f>
        <v/>
      </c>
      <c r="AY48" t="str">
        <f>IF($A48="","", INDEX(CS!$B$1:$B$12828,MATCH($A48,CS!$B:$B,0)+COLUMN(H$1),1))</f>
        <v/>
      </c>
      <c r="AZ48" t="str">
        <f>IF($A48="","", INDEX(CS!$B$1:$B$12828,MATCH($A48,CS!$B:$B,0)+COLUMN(I$1),1))</f>
        <v/>
      </c>
      <c r="BA48" t="str">
        <f>IF($A48="","", INDEX(CS!$B$1:$B$12828,MATCH($A48,CS!$B:$B,0)+COLUMN(J$1),1))</f>
        <v/>
      </c>
    </row>
    <row r="49" spans="1:81" x14ac:dyDescent="0.4">
      <c r="C49" t="s">
        <v>62</v>
      </c>
      <c r="D49" t="str">
        <f t="shared" si="1"/>
        <v>0/0/0</v>
      </c>
      <c r="E49">
        <v>1</v>
      </c>
      <c r="AR49" t="str">
        <f>IF($A49="","", INDEX(CS!$B$1:$B$12828,MATCH($A49,CS!$B:$B,0)+COLUMN(A$1),1))</f>
        <v/>
      </c>
      <c r="AS49" t="str">
        <f>IF($A49="","", INDEX(CS!$B$1:$B$12828,MATCH($A49,CS!$B:$B,0)+COLUMN(B$1),1))</f>
        <v/>
      </c>
      <c r="AT49" t="str">
        <f>IF($A49="","", INDEX(CS!$B$1:$B$12828,MATCH($A49,CS!$B:$B,0)+COLUMN(C$1),1))</f>
        <v/>
      </c>
      <c r="AU49" t="str">
        <f>IF($A49="","", INDEX(CS!$B$1:$B$12828,MATCH($A49,CS!$B:$B,0)+COLUMN(D$1),1))</f>
        <v/>
      </c>
      <c r="AV49" t="str">
        <f>IF($A49="","", INDEX(CS!$B$1:$B$12828,MATCH($A49,CS!$B:$B,0)+COLUMN(E$1),1))</f>
        <v/>
      </c>
      <c r="AW49" t="str">
        <f>IF($A49="","", INDEX(CS!$B$1:$B$12828,MATCH($A49,CS!$B:$B,0)+COLUMN(F$1),1))</f>
        <v/>
      </c>
      <c r="AX49" t="str">
        <f>IF($A49="","", INDEX(CS!$B$1:$B$12828,MATCH($A49,CS!$B:$B,0)+COLUMN(G$1),1))</f>
        <v/>
      </c>
      <c r="AY49" t="str">
        <f>IF($A49="","", INDEX(CS!$B$1:$B$12828,MATCH($A49,CS!$B:$B,0)+COLUMN(H$1),1))</f>
        <v/>
      </c>
      <c r="AZ49" t="str">
        <f>IF($A49="","", INDEX(CS!$B$1:$B$12828,MATCH($A49,CS!$B:$B,0)+COLUMN(I$1),1))</f>
        <v/>
      </c>
      <c r="BA49" t="str">
        <f>IF($A49="","", INDEX(CS!$B$1:$B$12828,MATCH($A49,CS!$B:$B,0)+COLUMN(J$1),1))</f>
        <v/>
      </c>
    </row>
    <row r="50" spans="1:81" x14ac:dyDescent="0.4">
      <c r="C50" t="s">
        <v>62</v>
      </c>
      <c r="D50" t="str">
        <f t="shared" si="1"/>
        <v>0/0/0</v>
      </c>
      <c r="E50">
        <v>1</v>
      </c>
      <c r="AR50" t="str">
        <f>IF($A50="","", INDEX(CS!$B$1:$B$12828,MATCH($A50,CS!$B:$B,0)+COLUMN(A$1),1))</f>
        <v/>
      </c>
      <c r="AS50" t="str">
        <f>IF($A50="","", INDEX(CS!$B$1:$B$12828,MATCH($A50,CS!$B:$B,0)+COLUMN(B$1),1))</f>
        <v/>
      </c>
      <c r="AT50" t="str">
        <f>IF($A50="","", INDEX(CS!$B$1:$B$12828,MATCH($A50,CS!$B:$B,0)+COLUMN(C$1),1))</f>
        <v/>
      </c>
      <c r="AU50" t="str">
        <f>IF($A50="","", INDEX(CS!$B$1:$B$12828,MATCH($A50,CS!$B:$B,0)+COLUMN(D$1),1))</f>
        <v/>
      </c>
      <c r="AV50" t="str">
        <f>IF($A50="","", INDEX(CS!$B$1:$B$12828,MATCH($A50,CS!$B:$B,0)+COLUMN(E$1),1))</f>
        <v/>
      </c>
      <c r="AW50" t="str">
        <f>IF($A50="","", INDEX(CS!$B$1:$B$12828,MATCH($A50,CS!$B:$B,0)+COLUMN(F$1),1))</f>
        <v/>
      </c>
      <c r="AX50" t="str">
        <f>IF($A50="","", INDEX(CS!$B$1:$B$12828,MATCH($A50,CS!$B:$B,0)+COLUMN(G$1),1))</f>
        <v/>
      </c>
      <c r="AY50" t="str">
        <f>IF($A50="","", INDEX(CS!$B$1:$B$12828,MATCH($A50,CS!$B:$B,0)+COLUMN(H$1),1))</f>
        <v/>
      </c>
      <c r="AZ50" t="str">
        <f>IF($A50="","", INDEX(CS!$B$1:$B$12828,MATCH($A50,CS!$B:$B,0)+COLUMN(I$1),1))</f>
        <v/>
      </c>
      <c r="BA50" t="str">
        <f>IF($A50="","", INDEX(CS!$B$1:$B$12828,MATCH($A50,CS!$B:$B,0)+COLUMN(J$1),1))</f>
        <v/>
      </c>
    </row>
    <row r="51" spans="1:81" x14ac:dyDescent="0.4">
      <c r="B51" t="s">
        <v>948</v>
      </c>
      <c r="D51" t="str">
        <f t="shared" si="1"/>
        <v>0/0/0</v>
      </c>
      <c r="E51">
        <v>1</v>
      </c>
      <c r="AR51" t="str">
        <f>IF($A51="","", INDEX(CS!$B$1:$B$12828,MATCH($A51,CS!$B:$B,0)+COLUMN(A$1),1))</f>
        <v/>
      </c>
      <c r="AS51" t="str">
        <f>IF($A51="","", INDEX(CS!$B$1:$B$12828,MATCH($A51,CS!$B:$B,0)+COLUMN(B$1),1))</f>
        <v/>
      </c>
      <c r="AT51" t="str">
        <f>IF($A51="","", INDEX(CS!$B$1:$B$12828,MATCH($A51,CS!$B:$B,0)+COLUMN(C$1),1))</f>
        <v/>
      </c>
      <c r="AU51" t="str">
        <f>IF($A51="","", INDEX(CS!$B$1:$B$12828,MATCH($A51,CS!$B:$B,0)+COLUMN(D$1),1))</f>
        <v/>
      </c>
      <c r="AV51" t="str">
        <f>IF($A51="","", INDEX(CS!$B$1:$B$12828,MATCH($A51,CS!$B:$B,0)+COLUMN(E$1),1))</f>
        <v/>
      </c>
      <c r="AW51" t="str">
        <f>IF($A51="","", INDEX(CS!$B$1:$B$12828,MATCH($A51,CS!$B:$B,0)+COLUMN(F$1),1))</f>
        <v/>
      </c>
      <c r="AX51" t="str">
        <f>IF($A51="","", INDEX(CS!$B$1:$B$12828,MATCH($A51,CS!$B:$B,0)+COLUMN(G$1),1))</f>
        <v/>
      </c>
      <c r="AY51" t="str">
        <f>IF($A51="","", INDEX(CS!$B$1:$B$12828,MATCH($A51,CS!$B:$B,0)+COLUMN(H$1),1))</f>
        <v/>
      </c>
      <c r="AZ51" t="str">
        <f>IF($A51="","", INDEX(CS!$B$1:$B$12828,MATCH($A51,CS!$B:$B,0)+COLUMN(I$1),1))</f>
        <v/>
      </c>
      <c r="BA51" t="str">
        <f>IF($A51="","", INDEX(CS!$B$1:$B$12828,MATCH($A51,CS!$B:$B,0)+COLUMN(J$1),1))</f>
        <v/>
      </c>
    </row>
    <row r="52" spans="1:81" x14ac:dyDescent="0.4">
      <c r="BX52" t="s">
        <v>972</v>
      </c>
      <c r="BY52" t="s">
        <v>976</v>
      </c>
      <c r="BZ52" t="s">
        <v>1188</v>
      </c>
    </row>
    <row r="53" spans="1:81" x14ac:dyDescent="0.4">
      <c r="BX53" t="s">
        <v>972</v>
      </c>
      <c r="BY53" t="s">
        <v>976</v>
      </c>
      <c r="BZ53" t="s">
        <v>1188</v>
      </c>
    </row>
    <row r="54" spans="1:81" x14ac:dyDescent="0.4">
      <c r="BX54" t="s">
        <v>972</v>
      </c>
      <c r="BY54" t="s">
        <v>976</v>
      </c>
      <c r="BZ54" t="s">
        <v>1188</v>
      </c>
    </row>
    <row r="55" spans="1:81" x14ac:dyDescent="0.4">
      <c r="A55" t="s">
        <v>25</v>
      </c>
      <c r="B55" t="s">
        <v>27</v>
      </c>
      <c r="C55" t="s">
        <v>51</v>
      </c>
      <c r="D55" t="str">
        <f t="shared" ref="D55:D70" si="3">SUM(AC55:AQ55,F55:L55)&amp;"/"&amp;SUM(F55:L55)&amp;"/"&amp;SUM(AC55:AQ55)</f>
        <v>710/460/250</v>
      </c>
      <c r="E55">
        <v>1</v>
      </c>
      <c r="F55">
        <v>85</v>
      </c>
      <c r="G55">
        <v>90</v>
      </c>
      <c r="H55">
        <v>80</v>
      </c>
      <c r="I55" s="24">
        <v>25</v>
      </c>
      <c r="J55">
        <v>50</v>
      </c>
      <c r="K55">
        <v>55</v>
      </c>
      <c r="L55">
        <v>75</v>
      </c>
      <c r="AC55">
        <v>75</v>
      </c>
      <c r="AD55">
        <v>50</v>
      </c>
      <c r="AE55">
        <v>25</v>
      </c>
      <c r="AF55">
        <v>25</v>
      </c>
      <c r="AG55">
        <v>25</v>
      </c>
      <c r="AI55">
        <v>25</v>
      </c>
      <c r="AN55">
        <v>25</v>
      </c>
      <c r="AR55">
        <f>IF($A55="","", INDEX(CS!$B$1:$B$12828,MATCH($A55,CS!$B:$B,0)+COLUMN(A$1),1))</f>
        <v>0</v>
      </c>
      <c r="AS55" t="str">
        <f>IF($A55="","", INDEX(CS!$B$1:$B$12828,MATCH($A55,CS!$B:$B,0)+COLUMN(B$1),1))</f>
        <v>闘気撃</v>
      </c>
      <c r="AT55" t="str">
        <f>IF($A55="","", INDEX(CS!$B$1:$B$12828,MATCH($A55,CS!$B:$B,0)+COLUMN(C$1),1))</f>
        <v>武器の扱い</v>
      </c>
      <c r="AU55">
        <f>IF($A55="","", INDEX(CS!$B$1:$B$12828,MATCH($A55,CS!$B:$B,0)+COLUMN(D$1),1))</f>
        <v>0</v>
      </c>
      <c r="AV55" t="str">
        <f>IF($A55="","", INDEX(CS!$B$1:$B$12828,MATCH($A55,CS!$B:$B,0)+COLUMN(E$1),1))</f>
        <v>闘気守</v>
      </c>
      <c r="AW55">
        <f>IF($A55="","", INDEX(CS!$B$1:$B$12828,MATCH($A55,CS!$B:$B,0)+COLUMN(F$1),1))</f>
        <v>0</v>
      </c>
      <c r="AX55">
        <f>IF($A55="","", INDEX(CS!$B$1:$B$12828,MATCH($A55,CS!$B:$B,0)+COLUMN(G$1),1))</f>
        <v>0</v>
      </c>
      <c r="AY55" t="str">
        <f>IF($A55="","", INDEX(CS!$B$1:$B$12828,MATCH($A55,CS!$B:$B,0)+COLUMN(H$1),1))</f>
        <v>雄叫び</v>
      </c>
      <c r="AZ55" t="str">
        <f>IF($A55="","", INDEX(CS!$B$1:$B$12828,MATCH($A55,CS!$B:$B,0)+COLUMN(I$1),1))</f>
        <v>武器の攻め</v>
      </c>
      <c r="BA55" t="str">
        <f>IF($A55="","", INDEX(CS!$B$1:$B$12828,MATCH($A55,CS!$B:$B,0)+COLUMN(J$1),1))</f>
        <v>一閃撃</v>
      </c>
      <c r="BB55" t="s">
        <v>940</v>
      </c>
      <c r="BV55" t="s">
        <v>1238</v>
      </c>
      <c r="BY55" t="s">
        <v>975</v>
      </c>
      <c r="BZ55" t="s">
        <v>1188</v>
      </c>
      <c r="CC55" t="s">
        <v>27</v>
      </c>
    </row>
    <row r="56" spans="1:81" outlineLevel="1" x14ac:dyDescent="0.4">
      <c r="A56" t="s">
        <v>185</v>
      </c>
      <c r="B56" t="s">
        <v>187</v>
      </c>
      <c r="C56" t="s">
        <v>51</v>
      </c>
      <c r="D56" t="str">
        <f t="shared" si="3"/>
        <v>710/460/250</v>
      </c>
      <c r="E56">
        <v>1</v>
      </c>
      <c r="F56">
        <v>85</v>
      </c>
      <c r="G56">
        <v>80</v>
      </c>
      <c r="H56">
        <v>90</v>
      </c>
      <c r="I56" s="24">
        <v>25</v>
      </c>
      <c r="J56">
        <v>55</v>
      </c>
      <c r="K56">
        <v>50</v>
      </c>
      <c r="L56">
        <v>75</v>
      </c>
      <c r="AC56">
        <v>100</v>
      </c>
      <c r="AE56">
        <v>25</v>
      </c>
      <c r="AF56">
        <v>25</v>
      </c>
      <c r="AG56">
        <v>25</v>
      </c>
      <c r="AI56">
        <v>25</v>
      </c>
      <c r="AN56">
        <v>50</v>
      </c>
      <c r="AR56">
        <f>IF($A56="","", INDEX(CS!$B$1:$B$12828,MATCH($A56,CS!$B:$B,0)+COLUMN(A$1),1))</f>
        <v>0</v>
      </c>
      <c r="AS56" t="str">
        <f>IF($A56="","", INDEX(CS!$B$1:$B$12828,MATCH($A56,CS!$B:$B,0)+COLUMN(B$1),1))</f>
        <v>闘気守</v>
      </c>
      <c r="AT56" t="str">
        <f>IF($A56="","", INDEX(CS!$B$1:$B$12828,MATCH($A56,CS!$B:$B,0)+COLUMN(C$1),1))</f>
        <v>武器の扱い</v>
      </c>
      <c r="AU56">
        <f>IF($A56="","", INDEX(CS!$B$1:$B$12828,MATCH($A56,CS!$B:$B,0)+COLUMN(D$1),1))</f>
        <v>0</v>
      </c>
      <c r="AV56" t="str">
        <f>IF($A56="","", INDEX(CS!$B$1:$B$12828,MATCH($A56,CS!$B:$B,0)+COLUMN(E$1),1))</f>
        <v>闘気撃</v>
      </c>
      <c r="AW56" t="str">
        <f>IF($A56="","", INDEX(CS!$B$1:$B$12828,MATCH($A56,CS!$B:$B,0)+COLUMN(F$1),1))</f>
        <v>反撃</v>
      </c>
      <c r="AX56">
        <f>IF($A56="","", INDEX(CS!$B$1:$B$12828,MATCH($A56,CS!$B:$B,0)+COLUMN(G$1),1))</f>
        <v>0</v>
      </c>
      <c r="AY56" t="str">
        <f>IF($A56="","", INDEX(CS!$B$1:$B$12828,MATCH($A56,CS!$B:$B,0)+COLUMN(H$1),1))</f>
        <v>雄叫び</v>
      </c>
      <c r="AZ56" t="str">
        <f>IF($A56="","", INDEX(CS!$B$1:$B$12828,MATCH($A56,CS!$B:$B,0)+COLUMN(I$1),1))</f>
        <v>武器の守り</v>
      </c>
      <c r="BA56" t="str">
        <f>IF($A56="","", INDEX(CS!$B$1:$B$12828,MATCH($A56,CS!$B:$B,0)+COLUMN(J$1),1))</f>
        <v>一閃撃</v>
      </c>
      <c r="BB56" t="s">
        <v>940</v>
      </c>
      <c r="BV56" t="s">
        <v>718</v>
      </c>
      <c r="BW56" t="s">
        <v>1239</v>
      </c>
      <c r="BY56" t="s">
        <v>975</v>
      </c>
      <c r="BZ56" t="s">
        <v>1188</v>
      </c>
      <c r="CC56" t="s">
        <v>27</v>
      </c>
    </row>
    <row r="57" spans="1:81" outlineLevel="1" x14ac:dyDescent="0.4">
      <c r="A57" t="s">
        <v>186</v>
      </c>
      <c r="B57" t="s">
        <v>188</v>
      </c>
      <c r="C57" t="s">
        <v>51</v>
      </c>
      <c r="D57" t="str">
        <f t="shared" si="3"/>
        <v>710/460/250</v>
      </c>
      <c r="E57">
        <v>1</v>
      </c>
      <c r="F57">
        <v>85</v>
      </c>
      <c r="G57">
        <v>80</v>
      </c>
      <c r="H57">
        <v>55</v>
      </c>
      <c r="I57" s="24">
        <v>25</v>
      </c>
      <c r="J57">
        <v>50</v>
      </c>
      <c r="K57">
        <v>90</v>
      </c>
      <c r="L57">
        <v>75</v>
      </c>
      <c r="AC57">
        <v>50</v>
      </c>
      <c r="AD57">
        <v>50</v>
      </c>
      <c r="AE57">
        <v>25</v>
      </c>
      <c r="AF57">
        <v>50</v>
      </c>
      <c r="AG57">
        <v>25</v>
      </c>
      <c r="AI57">
        <v>25</v>
      </c>
      <c r="AN57">
        <v>25</v>
      </c>
      <c r="AR57">
        <f>IF($A57="","", INDEX(CS!$B$1:$B$12828,MATCH($A57,CS!$B:$B,0)+COLUMN(A$1),1))</f>
        <v>0</v>
      </c>
      <c r="AS57" t="str">
        <f>IF($A57="","", INDEX(CS!$B$1:$B$12828,MATCH($A57,CS!$B:$B,0)+COLUMN(B$1),1))</f>
        <v>闘気撃</v>
      </c>
      <c r="AT57" t="str">
        <f>IF($A57="","", INDEX(CS!$B$1:$B$12828,MATCH($A57,CS!$B:$B,0)+COLUMN(C$1),1))</f>
        <v>武器の扱い</v>
      </c>
      <c r="AU57">
        <f>IF($A57="","", INDEX(CS!$B$1:$B$12828,MATCH($A57,CS!$B:$B,0)+COLUMN(D$1),1))</f>
        <v>0</v>
      </c>
      <c r="AV57" t="str">
        <f>IF($A57="","", INDEX(CS!$B$1:$B$12828,MATCH($A57,CS!$B:$B,0)+COLUMN(E$1),1))</f>
        <v>闘気速</v>
      </c>
      <c r="AW57">
        <f>IF($A57="","", INDEX(CS!$B$1:$B$12828,MATCH($A57,CS!$B:$B,0)+COLUMN(F$1),1))</f>
        <v>0</v>
      </c>
      <c r="AX57">
        <f>IF($A57="","", INDEX(CS!$B$1:$B$12828,MATCH($A57,CS!$B:$B,0)+COLUMN(G$1),1))</f>
        <v>0</v>
      </c>
      <c r="AY57" t="str">
        <f>IF($A57="","", INDEX(CS!$B$1:$B$12828,MATCH($A57,CS!$B:$B,0)+COLUMN(H$1),1))</f>
        <v>雄叫び</v>
      </c>
      <c r="AZ57" t="str">
        <f>IF($A57="","", INDEX(CS!$B$1:$B$12828,MATCH($A57,CS!$B:$B,0)+COLUMN(I$1),1))</f>
        <v>武器の攻め</v>
      </c>
      <c r="BA57" t="str">
        <f>IF($A57="","", INDEX(CS!$B$1:$B$12828,MATCH($A57,CS!$B:$B,0)+COLUMN(J$1),1))</f>
        <v>一閃撃</v>
      </c>
      <c r="BB57" t="s">
        <v>940</v>
      </c>
      <c r="BV57" t="s">
        <v>1237</v>
      </c>
      <c r="BX57" t="s">
        <v>973</v>
      </c>
      <c r="BY57" t="s">
        <v>976</v>
      </c>
      <c r="BZ57" t="s">
        <v>1188</v>
      </c>
      <c r="CC57" t="s">
        <v>27</v>
      </c>
    </row>
    <row r="58" spans="1:81" outlineLevel="1" x14ac:dyDescent="0.4">
      <c r="C58" t="s">
        <v>51</v>
      </c>
      <c r="D58" t="str">
        <f t="shared" si="3"/>
        <v>0/0/0</v>
      </c>
      <c r="E58">
        <v>1</v>
      </c>
      <c r="AR58" t="str">
        <f>IF($A58="","", INDEX(CS!$B$1:$B$12828,MATCH($A58,CS!$B:$B,0)+COLUMN(A$1),1))</f>
        <v/>
      </c>
      <c r="AS58" t="str">
        <f>IF($A58="","", INDEX(CS!$B$1:$B$12828,MATCH($A58,CS!$B:$B,0)+COLUMN(B$1),1))</f>
        <v/>
      </c>
      <c r="AT58" t="str">
        <f>IF($A58="","", INDEX(CS!$B$1:$B$12828,MATCH($A58,CS!$B:$B,0)+COLUMN(C$1),1))</f>
        <v/>
      </c>
      <c r="AU58" t="str">
        <f>IF($A58="","", INDEX(CS!$B$1:$B$12828,MATCH($A58,CS!$B:$B,0)+COLUMN(D$1),1))</f>
        <v/>
      </c>
      <c r="AV58" t="str">
        <f>IF($A58="","", INDEX(CS!$B$1:$B$12828,MATCH($A58,CS!$B:$B,0)+COLUMN(E$1),1))</f>
        <v/>
      </c>
      <c r="AW58" t="str">
        <f>IF($A58="","", INDEX(CS!$B$1:$B$12828,MATCH($A58,CS!$B:$B,0)+COLUMN(F$1),1))</f>
        <v/>
      </c>
      <c r="AX58" t="str">
        <f>IF($A58="","", INDEX(CS!$B$1:$B$12828,MATCH($A58,CS!$B:$B,0)+COLUMN(G$1),1))</f>
        <v/>
      </c>
      <c r="AY58" t="str">
        <f>IF($A58="","", INDEX(CS!$B$1:$B$12828,MATCH($A58,CS!$B:$B,0)+COLUMN(H$1),1))</f>
        <v/>
      </c>
      <c r="AZ58" t="str">
        <f>IF($A58="","", INDEX(CS!$B$1:$B$12828,MATCH($A58,CS!$B:$B,0)+COLUMN(I$1),1))</f>
        <v/>
      </c>
      <c r="BA58" t="str">
        <f>IF($A58="","", INDEX(CS!$B$1:$B$12828,MATCH($A58,CS!$B:$B,0)+COLUMN(J$1),1))</f>
        <v/>
      </c>
    </row>
    <row r="59" spans="1:81" outlineLevel="1" x14ac:dyDescent="0.4">
      <c r="A59" t="s">
        <v>255</v>
      </c>
      <c r="B59" t="s">
        <v>30</v>
      </c>
      <c r="C59" t="s">
        <v>51</v>
      </c>
      <c r="D59" t="str">
        <f t="shared" si="3"/>
        <v>710/445/265</v>
      </c>
      <c r="E59">
        <v>1</v>
      </c>
      <c r="F59">
        <v>75</v>
      </c>
      <c r="G59">
        <v>75</v>
      </c>
      <c r="H59">
        <v>50</v>
      </c>
      <c r="I59" s="24">
        <v>25</v>
      </c>
      <c r="J59">
        <v>50</v>
      </c>
      <c r="K59">
        <v>85</v>
      </c>
      <c r="L59">
        <v>85</v>
      </c>
      <c r="AD59">
        <v>25</v>
      </c>
      <c r="AF59">
        <v>50</v>
      </c>
      <c r="AG59">
        <v>25</v>
      </c>
      <c r="AH59">
        <v>90</v>
      </c>
      <c r="AI59">
        <v>75</v>
      </c>
      <c r="AR59">
        <f>IF($A59="","", INDEX(CS!$B$1:$B$12828,MATCH($A59,CS!$B:$B,0)+COLUMN(A$1),1))</f>
        <v>0</v>
      </c>
      <c r="AS59" t="str">
        <f>IF($A59="","", INDEX(CS!$B$1:$B$12828,MATCH($A59,CS!$B:$B,0)+COLUMN(B$1),1))</f>
        <v>急所撃</v>
      </c>
      <c r="AT59" t="str">
        <f>IF($A59="","", INDEX(CS!$B$1:$B$12828,MATCH($A59,CS!$B:$B,0)+COLUMN(C$1),1))</f>
        <v>隠密</v>
      </c>
      <c r="AU59">
        <f>IF($A59="","", INDEX(CS!$B$1:$B$12828,MATCH($A59,CS!$B:$B,0)+COLUMN(D$1),1))</f>
        <v>0</v>
      </c>
      <c r="AV59" t="str">
        <f>IF($A59="","", INDEX(CS!$B$1:$B$12828,MATCH($A59,CS!$B:$B,0)+COLUMN(E$1),1))</f>
        <v>痛撃</v>
      </c>
      <c r="AW59" t="str">
        <f>IF($A59="","", INDEX(CS!$B$1:$B$12828,MATCH($A59,CS!$B:$B,0)+COLUMN(F$1),1))</f>
        <v>罠技術</v>
      </c>
      <c r="AX59">
        <f>IF($A59="","", INDEX(CS!$B$1:$B$12828,MATCH($A59,CS!$B:$B,0)+COLUMN(G$1),1))</f>
        <v>0</v>
      </c>
      <c r="AY59" t="str">
        <f>IF($A59="","", INDEX(CS!$B$1:$B$12828,MATCH($A59,CS!$B:$B,0)+COLUMN(H$1),1))</f>
        <v>狙い</v>
      </c>
      <c r="AZ59">
        <f>IF($A59="","", INDEX(CS!$B$1:$B$12828,MATCH($A59,CS!$B:$B,0)+COLUMN(I$1),1))</f>
        <v>0</v>
      </c>
      <c r="BA59">
        <f>IF($A59="","", INDEX(CS!$B$1:$B$12828,MATCH($A59,CS!$B:$B,0)+COLUMN(J$1),1))</f>
        <v>0</v>
      </c>
      <c r="BB59" t="s">
        <v>940</v>
      </c>
      <c r="BV59" t="s">
        <v>1240</v>
      </c>
      <c r="BY59" t="s">
        <v>976</v>
      </c>
      <c r="BZ59" t="s">
        <v>1188</v>
      </c>
      <c r="CC59" t="s">
        <v>1054</v>
      </c>
    </row>
    <row r="60" spans="1:81" outlineLevel="1" x14ac:dyDescent="0.4">
      <c r="A60" t="s">
        <v>32</v>
      </c>
      <c r="B60" t="s">
        <v>36</v>
      </c>
      <c r="C60" t="s">
        <v>51</v>
      </c>
      <c r="D60" t="str">
        <f t="shared" si="3"/>
        <v>710/460/250</v>
      </c>
      <c r="E60">
        <v>1</v>
      </c>
      <c r="F60">
        <v>75</v>
      </c>
      <c r="G60">
        <v>75</v>
      </c>
      <c r="H60">
        <v>75</v>
      </c>
      <c r="I60" s="24">
        <v>25</v>
      </c>
      <c r="J60">
        <v>50</v>
      </c>
      <c r="K60">
        <v>75</v>
      </c>
      <c r="L60">
        <v>85</v>
      </c>
      <c r="AF60">
        <v>50</v>
      </c>
      <c r="AG60">
        <v>35</v>
      </c>
      <c r="AH60">
        <v>75</v>
      </c>
      <c r="AI60">
        <v>90</v>
      </c>
      <c r="AR60">
        <f>IF($A60="","", INDEX(CS!$B$1:$B$12828,MATCH($A60,CS!$B:$B,0)+COLUMN(A$1),1))</f>
        <v>0</v>
      </c>
      <c r="AS60">
        <f>IF($A60="","", INDEX(CS!$B$1:$B$12828,MATCH($A60,CS!$B:$B,0)+COLUMN(B$1),1))</f>
        <v>0</v>
      </c>
      <c r="AT60">
        <f>IF($A60="","", INDEX(CS!$B$1:$B$12828,MATCH($A60,CS!$B:$B,0)+COLUMN(C$1),1))</f>
        <v>0</v>
      </c>
      <c r="AU60">
        <f>IF($A60="","", INDEX(CS!$B$1:$B$12828,MATCH($A60,CS!$B:$B,0)+COLUMN(D$1),1))</f>
        <v>0</v>
      </c>
      <c r="AV60">
        <f>IF($A60="","", INDEX(CS!$B$1:$B$12828,MATCH($A60,CS!$B:$B,0)+COLUMN(E$1),1))</f>
        <v>0</v>
      </c>
      <c r="AW60">
        <f>IF($A60="","", INDEX(CS!$B$1:$B$12828,MATCH($A60,CS!$B:$B,0)+COLUMN(F$1),1))</f>
        <v>0</v>
      </c>
      <c r="AX60">
        <f>IF($A60="","", INDEX(CS!$B$1:$B$12828,MATCH($A60,CS!$B:$B,0)+COLUMN(G$1),1))</f>
        <v>0</v>
      </c>
      <c r="AY60">
        <f>IF($A60="","", INDEX(CS!$B$1:$B$12828,MATCH($A60,CS!$B:$B,0)+COLUMN(H$1),1))</f>
        <v>0</v>
      </c>
      <c r="AZ60">
        <f>IF($A60="","", INDEX(CS!$B$1:$B$12828,MATCH($A60,CS!$B:$B,0)+COLUMN(I$1),1))</f>
        <v>0</v>
      </c>
      <c r="BA60">
        <f>IF($A60="","", INDEX(CS!$B$1:$B$12828,MATCH($A60,CS!$B:$B,0)+COLUMN(J$1),1))</f>
        <v>0</v>
      </c>
      <c r="BB60" t="s">
        <v>940</v>
      </c>
      <c r="BV60" t="s">
        <v>1241</v>
      </c>
      <c r="BY60" t="s">
        <v>976</v>
      </c>
      <c r="BZ60" t="s">
        <v>1188</v>
      </c>
      <c r="CC60" t="s">
        <v>1054</v>
      </c>
    </row>
    <row r="61" spans="1:81" outlineLevel="1" x14ac:dyDescent="0.4">
      <c r="A61" t="s">
        <v>34</v>
      </c>
      <c r="B61" t="s">
        <v>35</v>
      </c>
      <c r="C61" t="s">
        <v>51</v>
      </c>
      <c r="D61" t="str">
        <f t="shared" si="3"/>
        <v>710/445/265</v>
      </c>
      <c r="E61">
        <v>1</v>
      </c>
      <c r="F61">
        <v>75</v>
      </c>
      <c r="G61">
        <v>75</v>
      </c>
      <c r="H61">
        <v>50</v>
      </c>
      <c r="I61" s="24">
        <v>25</v>
      </c>
      <c r="J61">
        <v>50</v>
      </c>
      <c r="K61">
        <v>85</v>
      </c>
      <c r="L61">
        <v>85</v>
      </c>
      <c r="AF61">
        <v>50</v>
      </c>
      <c r="AG61">
        <v>65</v>
      </c>
      <c r="AH61">
        <v>75</v>
      </c>
      <c r="AI61">
        <v>75</v>
      </c>
      <c r="AR61">
        <f>IF($A61="","", INDEX(CS!$B$1:$B$12828,MATCH($A61,CS!$B:$B,0)+COLUMN(A$1),1))</f>
        <v>0</v>
      </c>
      <c r="AS61">
        <f>IF($A61="","", INDEX(CS!$B$1:$B$12828,MATCH($A61,CS!$B:$B,0)+COLUMN(B$1),1))</f>
        <v>0</v>
      </c>
      <c r="AT61">
        <f>IF($A61="","", INDEX(CS!$B$1:$B$12828,MATCH($A61,CS!$B:$B,0)+COLUMN(C$1),1))</f>
        <v>0</v>
      </c>
      <c r="AU61">
        <f>IF($A61="","", INDEX(CS!$B$1:$B$12828,MATCH($A61,CS!$B:$B,0)+COLUMN(D$1),1))</f>
        <v>0</v>
      </c>
      <c r="AV61">
        <f>IF($A61="","", INDEX(CS!$B$1:$B$12828,MATCH($A61,CS!$B:$B,0)+COLUMN(E$1),1))</f>
        <v>0</v>
      </c>
      <c r="AW61">
        <f>IF($A61="","", INDEX(CS!$B$1:$B$12828,MATCH($A61,CS!$B:$B,0)+COLUMN(F$1),1))</f>
        <v>0</v>
      </c>
      <c r="AX61">
        <f>IF($A61="","", INDEX(CS!$B$1:$B$12828,MATCH($A61,CS!$B:$B,0)+COLUMN(G$1),1))</f>
        <v>0</v>
      </c>
      <c r="AY61">
        <f>IF($A61="","", INDEX(CS!$B$1:$B$12828,MATCH($A61,CS!$B:$B,0)+COLUMN(H$1),1))</f>
        <v>0</v>
      </c>
      <c r="AZ61">
        <f>IF($A61="","", INDEX(CS!$B$1:$B$12828,MATCH($A61,CS!$B:$B,0)+COLUMN(I$1),1))</f>
        <v>0</v>
      </c>
      <c r="BA61">
        <f>IF($A61="","", INDEX(CS!$B$1:$B$12828,MATCH($A61,CS!$B:$B,0)+COLUMN(J$1),1))</f>
        <v>0</v>
      </c>
      <c r="BB61" t="s">
        <v>940</v>
      </c>
      <c r="BV61" t="s">
        <v>1240</v>
      </c>
      <c r="BY61" t="s">
        <v>976</v>
      </c>
      <c r="BZ61" t="s">
        <v>1188</v>
      </c>
      <c r="CC61" t="s">
        <v>1054</v>
      </c>
    </row>
    <row r="62" spans="1:81" outlineLevel="1" x14ac:dyDescent="0.4">
      <c r="C62" t="s">
        <v>51</v>
      </c>
      <c r="D62" t="str">
        <f t="shared" si="3"/>
        <v>0/0/0</v>
      </c>
      <c r="E62">
        <v>1</v>
      </c>
      <c r="AR62" t="str">
        <f>IF($A62="","", INDEX(CS!$B$1:$B$12828,MATCH($A62,CS!$B:$B,0)+COLUMN(A$1),1))</f>
        <v/>
      </c>
      <c r="AS62" t="str">
        <f>IF($A62="","", INDEX(CS!$B$1:$B$12828,MATCH($A62,CS!$B:$B,0)+COLUMN(B$1),1))</f>
        <v/>
      </c>
      <c r="AT62" t="str">
        <f>IF($A62="","", INDEX(CS!$B$1:$B$12828,MATCH($A62,CS!$B:$B,0)+COLUMN(C$1),1))</f>
        <v/>
      </c>
      <c r="AU62" t="str">
        <f>IF($A62="","", INDEX(CS!$B$1:$B$12828,MATCH($A62,CS!$B:$B,0)+COLUMN(D$1),1))</f>
        <v/>
      </c>
      <c r="AV62" t="str">
        <f>IF($A62="","", INDEX(CS!$B$1:$B$12828,MATCH($A62,CS!$B:$B,0)+COLUMN(E$1),1))</f>
        <v/>
      </c>
      <c r="AW62" t="str">
        <f>IF($A62="","", INDEX(CS!$B$1:$B$12828,MATCH($A62,CS!$B:$B,0)+COLUMN(F$1),1))</f>
        <v/>
      </c>
      <c r="AX62" t="str">
        <f>IF($A62="","", INDEX(CS!$B$1:$B$12828,MATCH($A62,CS!$B:$B,0)+COLUMN(G$1),1))</f>
        <v/>
      </c>
      <c r="AY62" t="str">
        <f>IF($A62="","", INDEX(CS!$B$1:$B$12828,MATCH($A62,CS!$B:$B,0)+COLUMN(H$1),1))</f>
        <v/>
      </c>
      <c r="AZ62" t="str">
        <f>IF($A62="","", INDEX(CS!$B$1:$B$12828,MATCH($A62,CS!$B:$B,0)+COLUMN(I$1),1))</f>
        <v/>
      </c>
      <c r="BA62" t="str">
        <f>IF($A62="","", INDEX(CS!$B$1:$B$12828,MATCH($A62,CS!$B:$B,0)+COLUMN(J$1),1))</f>
        <v/>
      </c>
    </row>
    <row r="63" spans="1:81" outlineLevel="1" x14ac:dyDescent="0.4">
      <c r="A63" t="s">
        <v>249</v>
      </c>
      <c r="B63" t="s">
        <v>252</v>
      </c>
      <c r="C63" t="s">
        <v>51</v>
      </c>
      <c r="D63" t="str">
        <f t="shared" si="3"/>
        <v>710/470/240</v>
      </c>
      <c r="E63">
        <v>1</v>
      </c>
      <c r="F63">
        <v>60</v>
      </c>
      <c r="G63">
        <v>50</v>
      </c>
      <c r="H63">
        <v>55</v>
      </c>
      <c r="I63" s="24">
        <v>90</v>
      </c>
      <c r="J63">
        <v>90</v>
      </c>
      <c r="K63">
        <v>50</v>
      </c>
      <c r="L63">
        <v>75</v>
      </c>
      <c r="AE63">
        <v>90</v>
      </c>
      <c r="AN63">
        <v>50</v>
      </c>
      <c r="AP63">
        <v>100</v>
      </c>
      <c r="AR63">
        <f>IF($A63="","", INDEX(CS!$B$1:$B$12828,MATCH($A63,CS!$B:$B,0)+COLUMN(A$1),1))</f>
        <v>0</v>
      </c>
      <c r="AS63">
        <f>IF($A63="","", INDEX(CS!$B$1:$B$12828,MATCH($A63,CS!$B:$B,0)+COLUMN(B$1),1))</f>
        <v>0</v>
      </c>
      <c r="AT63">
        <f>IF($A63="","", INDEX(CS!$B$1:$B$12828,MATCH($A63,CS!$B:$B,0)+COLUMN(C$1),1))</f>
        <v>0</v>
      </c>
      <c r="AU63">
        <f>IF($A63="","", INDEX(CS!$B$1:$B$12828,MATCH($A63,CS!$B:$B,0)+COLUMN(D$1),1))</f>
        <v>0</v>
      </c>
      <c r="AV63">
        <f>IF($A63="","", INDEX(CS!$B$1:$B$12828,MATCH($A63,CS!$B:$B,0)+COLUMN(E$1),1))</f>
        <v>0</v>
      </c>
      <c r="AW63">
        <f>IF($A63="","", INDEX(CS!$B$1:$B$12828,MATCH($A63,CS!$B:$B,0)+COLUMN(F$1),1))</f>
        <v>0</v>
      </c>
      <c r="AX63">
        <f>IF($A63="","", INDEX(CS!$B$1:$B$12828,MATCH($A63,CS!$B:$B,0)+COLUMN(G$1),1))</f>
        <v>0</v>
      </c>
      <c r="AY63">
        <f>IF($A63="","", INDEX(CS!$B$1:$B$12828,MATCH($A63,CS!$B:$B,0)+COLUMN(H$1),1))</f>
        <v>0</v>
      </c>
      <c r="AZ63">
        <f>IF($A63="","", INDEX(CS!$B$1:$B$12828,MATCH($A63,CS!$B:$B,0)+COLUMN(I$1),1))</f>
        <v>0</v>
      </c>
      <c r="BA63">
        <f>IF($A63="","", INDEX(CS!$B$1:$B$12828,MATCH($A63,CS!$B:$B,0)+COLUMN(J$1),1))</f>
        <v>0</v>
      </c>
      <c r="BB63" t="s">
        <v>940</v>
      </c>
      <c r="BV63" t="s">
        <v>700</v>
      </c>
      <c r="BX63" t="s">
        <v>973</v>
      </c>
      <c r="BY63" t="s">
        <v>977</v>
      </c>
      <c r="BZ63" t="s">
        <v>1188</v>
      </c>
      <c r="CC63" t="s">
        <v>252</v>
      </c>
    </row>
    <row r="64" spans="1:81" outlineLevel="1" x14ac:dyDescent="0.4">
      <c r="A64" t="s">
        <v>251</v>
      </c>
      <c r="B64" t="s">
        <v>253</v>
      </c>
      <c r="C64" t="s">
        <v>51</v>
      </c>
      <c r="D64" t="str">
        <f t="shared" si="3"/>
        <v>710/465/245</v>
      </c>
      <c r="E64">
        <v>1</v>
      </c>
      <c r="F64">
        <v>60</v>
      </c>
      <c r="G64">
        <v>50</v>
      </c>
      <c r="H64">
        <v>55</v>
      </c>
      <c r="I64" s="24">
        <v>85</v>
      </c>
      <c r="J64">
        <v>90</v>
      </c>
      <c r="K64">
        <v>50</v>
      </c>
      <c r="L64">
        <v>75</v>
      </c>
      <c r="AE64">
        <v>75</v>
      </c>
      <c r="AF64">
        <v>50</v>
      </c>
      <c r="AG64">
        <v>20</v>
      </c>
      <c r="AP64">
        <v>100</v>
      </c>
      <c r="AR64">
        <f>IF($A64="","", INDEX(CS!$B$1:$B$12828,MATCH($A64,CS!$B:$B,0)+COLUMN(A$1),1))</f>
        <v>0</v>
      </c>
      <c r="AS64">
        <f>IF($A64="","", INDEX(CS!$B$1:$B$12828,MATCH($A64,CS!$B:$B,0)+COLUMN(B$1),1))</f>
        <v>0</v>
      </c>
      <c r="AT64">
        <f>IF($A64="","", INDEX(CS!$B$1:$B$12828,MATCH($A64,CS!$B:$B,0)+COLUMN(C$1),1))</f>
        <v>0</v>
      </c>
      <c r="AU64">
        <f>IF($A64="","", INDEX(CS!$B$1:$B$12828,MATCH($A64,CS!$B:$B,0)+COLUMN(D$1),1))</f>
        <v>0</v>
      </c>
      <c r="AV64">
        <f>IF($A64="","", INDEX(CS!$B$1:$B$12828,MATCH($A64,CS!$B:$B,0)+COLUMN(E$1),1))</f>
        <v>0</v>
      </c>
      <c r="AW64">
        <f>IF($A64="","", INDEX(CS!$B$1:$B$12828,MATCH($A64,CS!$B:$B,0)+COLUMN(F$1),1))</f>
        <v>0</v>
      </c>
      <c r="AX64">
        <f>IF($A64="","", INDEX(CS!$B$1:$B$12828,MATCH($A64,CS!$B:$B,0)+COLUMN(G$1),1))</f>
        <v>0</v>
      </c>
      <c r="AY64">
        <f>IF($A64="","", INDEX(CS!$B$1:$B$12828,MATCH($A64,CS!$B:$B,0)+COLUMN(H$1),1))</f>
        <v>0</v>
      </c>
      <c r="AZ64">
        <f>IF($A64="","", INDEX(CS!$B$1:$B$12828,MATCH($A64,CS!$B:$B,0)+COLUMN(I$1),1))</f>
        <v>0</v>
      </c>
      <c r="BA64">
        <f>IF($A64="","", INDEX(CS!$B$1:$B$12828,MATCH($A64,CS!$B:$B,0)+COLUMN(J$1),1))</f>
        <v>0</v>
      </c>
      <c r="BB64" t="s">
        <v>940</v>
      </c>
      <c r="BV64" t="s">
        <v>700</v>
      </c>
      <c r="BX64" t="s">
        <v>973</v>
      </c>
      <c r="BY64" t="s">
        <v>977</v>
      </c>
      <c r="BZ64" t="s">
        <v>1188</v>
      </c>
      <c r="CC64" t="s">
        <v>252</v>
      </c>
    </row>
    <row r="65" spans="1:81" outlineLevel="1" x14ac:dyDescent="0.4">
      <c r="A65" t="s">
        <v>250</v>
      </c>
      <c r="B65" t="s">
        <v>254</v>
      </c>
      <c r="C65" t="s">
        <v>51</v>
      </c>
      <c r="D65" t="str">
        <f t="shared" si="3"/>
        <v>710/465/245</v>
      </c>
      <c r="E65">
        <v>1</v>
      </c>
      <c r="F65">
        <v>65</v>
      </c>
      <c r="G65">
        <v>55</v>
      </c>
      <c r="H65">
        <v>65</v>
      </c>
      <c r="I65" s="24">
        <v>85</v>
      </c>
      <c r="J65">
        <v>70</v>
      </c>
      <c r="K65">
        <v>50</v>
      </c>
      <c r="L65">
        <v>75</v>
      </c>
      <c r="AE65">
        <v>50</v>
      </c>
      <c r="AG65">
        <v>95</v>
      </c>
      <c r="AP65">
        <v>100</v>
      </c>
      <c r="AR65">
        <f>IF($A65="","", INDEX(CS!$B$1:$B$12828,MATCH($A65,CS!$B:$B,0)+COLUMN(A$1),1))</f>
        <v>0</v>
      </c>
      <c r="AS65">
        <f>IF($A65="","", INDEX(CS!$B$1:$B$12828,MATCH($A65,CS!$B:$B,0)+COLUMN(B$1),1))</f>
        <v>0</v>
      </c>
      <c r="AT65">
        <f>IF($A65="","", INDEX(CS!$B$1:$B$12828,MATCH($A65,CS!$B:$B,0)+COLUMN(C$1),1))</f>
        <v>0</v>
      </c>
      <c r="AU65">
        <f>IF($A65="","", INDEX(CS!$B$1:$B$12828,MATCH($A65,CS!$B:$B,0)+COLUMN(D$1),1))</f>
        <v>0</v>
      </c>
      <c r="AV65">
        <f>IF($A65="","", INDEX(CS!$B$1:$B$12828,MATCH($A65,CS!$B:$B,0)+COLUMN(E$1),1))</f>
        <v>0</v>
      </c>
      <c r="AW65">
        <f>IF($A65="","", INDEX(CS!$B$1:$B$12828,MATCH($A65,CS!$B:$B,0)+COLUMN(F$1),1))</f>
        <v>0</v>
      </c>
      <c r="AX65">
        <f>IF($A65="","", INDEX(CS!$B$1:$B$12828,MATCH($A65,CS!$B:$B,0)+COLUMN(G$1),1))</f>
        <v>0</v>
      </c>
      <c r="AY65">
        <f>IF($A65="","", INDEX(CS!$B$1:$B$12828,MATCH($A65,CS!$B:$B,0)+COLUMN(H$1),1))</f>
        <v>0</v>
      </c>
      <c r="AZ65">
        <f>IF($A65="","", INDEX(CS!$B$1:$B$12828,MATCH($A65,CS!$B:$B,0)+COLUMN(I$1),1))</f>
        <v>0</v>
      </c>
      <c r="BA65">
        <f>IF($A65="","", INDEX(CS!$B$1:$B$12828,MATCH($A65,CS!$B:$B,0)+COLUMN(J$1),1))</f>
        <v>0</v>
      </c>
      <c r="BB65" t="s">
        <v>940</v>
      </c>
      <c r="BV65" t="s">
        <v>700</v>
      </c>
      <c r="BX65" t="s">
        <v>973</v>
      </c>
      <c r="BY65" t="s">
        <v>977</v>
      </c>
      <c r="BZ65" t="s">
        <v>1188</v>
      </c>
      <c r="CC65" t="s">
        <v>252</v>
      </c>
    </row>
    <row r="66" spans="1:81" outlineLevel="1" x14ac:dyDescent="0.4">
      <c r="C66" t="s">
        <v>51</v>
      </c>
      <c r="D66" t="str">
        <f t="shared" si="3"/>
        <v>0/0/0</v>
      </c>
      <c r="E66">
        <v>1</v>
      </c>
      <c r="AR66" t="str">
        <f>IF($A66="","", INDEX(CS!$B$1:$B$12828,MATCH($A66,CS!$B:$B,0)+COLUMN(A$1),1))</f>
        <v/>
      </c>
      <c r="AS66" t="str">
        <f>IF($A66="","", INDEX(CS!$B$1:$B$12828,MATCH($A66,CS!$B:$B,0)+COLUMN(B$1),1))</f>
        <v/>
      </c>
      <c r="AT66" t="str">
        <f>IF($A66="","", INDEX(CS!$B$1:$B$12828,MATCH($A66,CS!$B:$B,0)+COLUMN(C$1),1))</f>
        <v/>
      </c>
      <c r="AU66" t="str">
        <f>IF($A66="","", INDEX(CS!$B$1:$B$12828,MATCH($A66,CS!$B:$B,0)+COLUMN(D$1),1))</f>
        <v/>
      </c>
      <c r="AV66" t="str">
        <f>IF($A66="","", INDEX(CS!$B$1:$B$12828,MATCH($A66,CS!$B:$B,0)+COLUMN(E$1),1))</f>
        <v/>
      </c>
      <c r="AW66" t="str">
        <f>IF($A66="","", INDEX(CS!$B$1:$B$12828,MATCH($A66,CS!$B:$B,0)+COLUMN(F$1),1))</f>
        <v/>
      </c>
      <c r="AX66" t="str">
        <f>IF($A66="","", INDEX(CS!$B$1:$B$12828,MATCH($A66,CS!$B:$B,0)+COLUMN(G$1),1))</f>
        <v/>
      </c>
      <c r="AY66" t="str">
        <f>IF($A66="","", INDEX(CS!$B$1:$B$12828,MATCH($A66,CS!$B:$B,0)+COLUMN(H$1),1))</f>
        <v/>
      </c>
      <c r="AZ66" t="str">
        <f>IF($A66="","", INDEX(CS!$B$1:$B$12828,MATCH($A66,CS!$B:$B,0)+COLUMN(I$1),1))</f>
        <v/>
      </c>
      <c r="BA66" t="str">
        <f>IF($A66="","", INDEX(CS!$B$1:$B$12828,MATCH($A66,CS!$B:$B,0)+COLUMN(J$1),1))</f>
        <v/>
      </c>
    </row>
    <row r="67" spans="1:81" outlineLevel="1" x14ac:dyDescent="0.4">
      <c r="A67" t="s">
        <v>38</v>
      </c>
      <c r="B67" t="s">
        <v>193</v>
      </c>
      <c r="C67" t="s">
        <v>51</v>
      </c>
      <c r="D67" t="str">
        <f t="shared" si="3"/>
        <v>710/485/225</v>
      </c>
      <c r="E67">
        <v>1</v>
      </c>
      <c r="F67">
        <v>75</v>
      </c>
      <c r="G67">
        <v>70</v>
      </c>
      <c r="H67">
        <v>70</v>
      </c>
      <c r="I67" s="24">
        <v>75</v>
      </c>
      <c r="J67">
        <v>70</v>
      </c>
      <c r="K67">
        <v>50</v>
      </c>
      <c r="L67">
        <v>75</v>
      </c>
      <c r="AE67">
        <v>75</v>
      </c>
      <c r="AN67">
        <v>50</v>
      </c>
      <c r="AQ67">
        <v>100</v>
      </c>
      <c r="AR67" t="str">
        <f>IF($A67="","", INDEX(CS!$B$1:$B$12828,MATCH($A67,CS!$B:$B,0)+COLUMN(A$1),1))</f>
        <v>光粒</v>
      </c>
      <c r="AS67" t="str">
        <f>IF($A67="","", INDEX(CS!$B$1:$B$12828,MATCH($A67,CS!$B:$B,0)+COLUMN(B$1),1))</f>
        <v>軽回復</v>
      </c>
      <c r="AT67">
        <f>IF($A67="","", INDEX(CS!$B$1:$B$12828,MATCH($A67,CS!$B:$B,0)+COLUMN(C$1),1))</f>
        <v>0</v>
      </c>
      <c r="AU67">
        <f>IF($A67="","", INDEX(CS!$B$1:$B$12828,MATCH($A67,CS!$B:$B,0)+COLUMN(D$1),1))</f>
        <v>0</v>
      </c>
      <c r="AV67">
        <f>IF($A67="","", INDEX(CS!$B$1:$B$12828,MATCH($A67,CS!$B:$B,0)+COLUMN(E$1),1))</f>
        <v>0</v>
      </c>
      <c r="AW67">
        <f>IF($A67="","", INDEX(CS!$B$1:$B$12828,MATCH($A67,CS!$B:$B,0)+COLUMN(F$1),1))</f>
        <v>0</v>
      </c>
      <c r="AX67">
        <f>IF($A67="","", INDEX(CS!$B$1:$B$12828,MATCH($A67,CS!$B:$B,0)+COLUMN(G$1),1))</f>
        <v>0</v>
      </c>
      <c r="AY67">
        <f>IF($A67="","", INDEX(CS!$B$1:$B$12828,MATCH($A67,CS!$B:$B,0)+COLUMN(H$1),1))</f>
        <v>0</v>
      </c>
      <c r="AZ67">
        <f>IF($A67="","", INDEX(CS!$B$1:$B$12828,MATCH($A67,CS!$B:$B,0)+COLUMN(I$1),1))</f>
        <v>0</v>
      </c>
      <c r="BA67">
        <f>IF($A67="","", INDEX(CS!$B$1:$B$12828,MATCH($A67,CS!$B:$B,0)+COLUMN(J$1),1))</f>
        <v>0</v>
      </c>
      <c r="BB67" t="s">
        <v>940</v>
      </c>
      <c r="BV67" t="s">
        <v>1242</v>
      </c>
      <c r="BX67" t="s">
        <v>973</v>
      </c>
      <c r="BY67" t="s">
        <v>977</v>
      </c>
      <c r="BZ67" t="s">
        <v>1188</v>
      </c>
      <c r="CC67" t="s">
        <v>193</v>
      </c>
    </row>
    <row r="68" spans="1:81" outlineLevel="1" x14ac:dyDescent="0.4">
      <c r="A68" t="s">
        <v>40</v>
      </c>
      <c r="B68" t="s">
        <v>192</v>
      </c>
      <c r="C68" t="s">
        <v>51</v>
      </c>
      <c r="D68" t="str">
        <f t="shared" si="3"/>
        <v>710/485/225</v>
      </c>
      <c r="E68">
        <v>1</v>
      </c>
      <c r="F68">
        <v>85</v>
      </c>
      <c r="G68">
        <v>70</v>
      </c>
      <c r="H68">
        <v>85</v>
      </c>
      <c r="I68" s="24">
        <v>55</v>
      </c>
      <c r="J68">
        <v>60</v>
      </c>
      <c r="K68">
        <v>55</v>
      </c>
      <c r="L68">
        <v>75</v>
      </c>
      <c r="AC68">
        <v>50</v>
      </c>
      <c r="AE68">
        <v>50</v>
      </c>
      <c r="AN68">
        <v>50</v>
      </c>
      <c r="AQ68">
        <v>75</v>
      </c>
      <c r="AR68">
        <f>IF($A68="","", INDEX(CS!$B$1:$B$12828,MATCH($A68,CS!$B:$B,0)+COLUMN(A$1),1))</f>
        <v>0</v>
      </c>
      <c r="AS68">
        <f>IF($A68="","", INDEX(CS!$B$1:$B$12828,MATCH($A68,CS!$B:$B,0)+COLUMN(B$1),1))</f>
        <v>0</v>
      </c>
      <c r="AT68">
        <f>IF($A68="","", INDEX(CS!$B$1:$B$12828,MATCH($A68,CS!$B:$B,0)+COLUMN(C$1),1))</f>
        <v>0</v>
      </c>
      <c r="AU68">
        <f>IF($A68="","", INDEX(CS!$B$1:$B$12828,MATCH($A68,CS!$B:$B,0)+COLUMN(D$1),1))</f>
        <v>0</v>
      </c>
      <c r="AV68">
        <f>IF($A68="","", INDEX(CS!$B$1:$B$12828,MATCH($A68,CS!$B:$B,0)+COLUMN(E$1),1))</f>
        <v>0</v>
      </c>
      <c r="AW68">
        <f>IF($A68="","", INDEX(CS!$B$1:$B$12828,MATCH($A68,CS!$B:$B,0)+COLUMN(F$1),1))</f>
        <v>0</v>
      </c>
      <c r="AX68">
        <f>IF($A68="","", INDEX(CS!$B$1:$B$12828,MATCH($A68,CS!$B:$B,0)+COLUMN(G$1),1))</f>
        <v>0</v>
      </c>
      <c r="AY68">
        <f>IF($A68="","", INDEX(CS!$B$1:$B$12828,MATCH($A68,CS!$B:$B,0)+COLUMN(H$1),1))</f>
        <v>0</v>
      </c>
      <c r="AZ68">
        <f>IF($A68="","", INDEX(CS!$B$1:$B$12828,MATCH($A68,CS!$B:$B,0)+COLUMN(I$1),1))</f>
        <v>0</v>
      </c>
      <c r="BA68">
        <f>IF($A68="","", INDEX(CS!$B$1:$B$12828,MATCH($A68,CS!$B:$B,0)+COLUMN(J$1),1))</f>
        <v>0</v>
      </c>
      <c r="BB68" t="s">
        <v>940</v>
      </c>
      <c r="BV68" t="s">
        <v>718</v>
      </c>
      <c r="BW68" t="s">
        <v>1239</v>
      </c>
      <c r="BX68" t="s">
        <v>973</v>
      </c>
      <c r="BY68" t="s">
        <v>977</v>
      </c>
      <c r="BZ68" t="s">
        <v>1188</v>
      </c>
      <c r="CC68" t="s">
        <v>193</v>
      </c>
    </row>
    <row r="69" spans="1:81" outlineLevel="1" x14ac:dyDescent="0.4">
      <c r="A69" t="s">
        <v>190</v>
      </c>
      <c r="B69" t="s">
        <v>191</v>
      </c>
      <c r="C69" t="s">
        <v>51</v>
      </c>
      <c r="D69" t="str">
        <f t="shared" si="3"/>
        <v>710/485/225</v>
      </c>
      <c r="E69">
        <v>1</v>
      </c>
      <c r="F69">
        <v>75</v>
      </c>
      <c r="G69">
        <v>65</v>
      </c>
      <c r="H69">
        <v>65</v>
      </c>
      <c r="I69" s="24">
        <v>85</v>
      </c>
      <c r="J69">
        <v>70</v>
      </c>
      <c r="K69">
        <v>50</v>
      </c>
      <c r="L69">
        <v>75</v>
      </c>
      <c r="AE69">
        <v>75</v>
      </c>
      <c r="AF69">
        <v>25</v>
      </c>
      <c r="AG69">
        <v>25</v>
      </c>
      <c r="AI69">
        <v>50</v>
      </c>
      <c r="AQ69">
        <v>50</v>
      </c>
      <c r="AR69" t="str">
        <f>IF($A69="","", INDEX(CS!$B$1:$B$12828,MATCH($A69,CS!$B:$B,0)+COLUMN(A$1),1))</f>
        <v>植物の絡み</v>
      </c>
      <c r="AS69">
        <f>IF($A69="","", INDEX(CS!$B$1:$B$12828,MATCH($A69,CS!$B:$B,0)+COLUMN(B$1),1))</f>
        <v>0</v>
      </c>
      <c r="AT69" t="str">
        <f>IF($A69="","", INDEX(CS!$B$1:$B$12828,MATCH($A69,CS!$B:$B,0)+COLUMN(C$1),1))</f>
        <v>森の歩み</v>
      </c>
      <c r="AU69">
        <f>IF($A69="","", INDEX(CS!$B$1:$B$12828,MATCH($A69,CS!$B:$B,0)+COLUMN(D$1),1))</f>
        <v>0</v>
      </c>
      <c r="AV69">
        <f>IF($A69="","", INDEX(CS!$B$1:$B$12828,MATCH($A69,CS!$B:$B,0)+COLUMN(E$1),1))</f>
        <v>0</v>
      </c>
      <c r="AW69">
        <f>IF($A69="","", INDEX(CS!$B$1:$B$12828,MATCH($A69,CS!$B:$B,0)+COLUMN(F$1),1))</f>
        <v>0</v>
      </c>
      <c r="AX69">
        <f>IF($A69="","", INDEX(CS!$B$1:$B$12828,MATCH($A69,CS!$B:$B,0)+COLUMN(G$1),1))</f>
        <v>0</v>
      </c>
      <c r="AY69">
        <f>IF($A69="","", INDEX(CS!$B$1:$B$12828,MATCH($A69,CS!$B:$B,0)+COLUMN(H$1),1))</f>
        <v>0</v>
      </c>
      <c r="AZ69">
        <f>IF($A69="","", INDEX(CS!$B$1:$B$12828,MATCH($A69,CS!$B:$B,0)+COLUMN(I$1),1))</f>
        <v>0</v>
      </c>
      <c r="BA69">
        <f>IF($A69="","", INDEX(CS!$B$1:$B$12828,MATCH($A69,CS!$B:$B,0)+COLUMN(J$1),1))</f>
        <v>0</v>
      </c>
      <c r="BB69" t="s">
        <v>940</v>
      </c>
      <c r="BV69" t="s">
        <v>1242</v>
      </c>
      <c r="BX69" t="s">
        <v>973</v>
      </c>
      <c r="BY69" t="s">
        <v>977</v>
      </c>
      <c r="BZ69" t="s">
        <v>1188</v>
      </c>
      <c r="CC69" t="s">
        <v>193</v>
      </c>
    </row>
    <row r="70" spans="1:81" outlineLevel="1" x14ac:dyDescent="0.4">
      <c r="C70" t="s">
        <v>51</v>
      </c>
      <c r="D70" t="str">
        <f t="shared" si="3"/>
        <v>0/0/0</v>
      </c>
      <c r="E70">
        <v>1</v>
      </c>
      <c r="AR70" t="str">
        <f>IF($A70="","", INDEX(CS!$B$1:$B$12828,MATCH($A70,CS!$B:$B,0)+COLUMN(A$1),1))</f>
        <v/>
      </c>
      <c r="AS70" t="str">
        <f>IF($A70="","", INDEX(CS!$B$1:$B$12828,MATCH($A70,CS!$B:$B,0)+COLUMN(B$1),1))</f>
        <v/>
      </c>
      <c r="AT70" t="str">
        <f>IF($A70="","", INDEX(CS!$B$1:$B$12828,MATCH($A70,CS!$B:$B,0)+COLUMN(C$1),1))</f>
        <v/>
      </c>
      <c r="AU70" t="str">
        <f>IF($A70="","", INDEX(CS!$B$1:$B$12828,MATCH($A70,CS!$B:$B,0)+COLUMN(D$1),1))</f>
        <v/>
      </c>
      <c r="AV70" t="str">
        <f>IF($A70="","", INDEX(CS!$B$1:$B$12828,MATCH($A70,CS!$B:$B,0)+COLUMN(E$1),1))</f>
        <v/>
      </c>
      <c r="AW70" t="str">
        <f>IF($A70="","", INDEX(CS!$B$1:$B$12828,MATCH($A70,CS!$B:$B,0)+COLUMN(F$1),1))</f>
        <v/>
      </c>
      <c r="AX70" t="str">
        <f>IF($A70="","", INDEX(CS!$B$1:$B$12828,MATCH($A70,CS!$B:$B,0)+COLUMN(G$1),1))</f>
        <v/>
      </c>
      <c r="AY70" t="str">
        <f>IF($A70="","", INDEX(CS!$B$1:$B$12828,MATCH($A70,CS!$B:$B,0)+COLUMN(H$1),1))</f>
        <v/>
      </c>
      <c r="AZ70" t="str">
        <f>IF($A70="","", INDEX(CS!$B$1:$B$12828,MATCH($A70,CS!$B:$B,0)+COLUMN(I$1),1))</f>
        <v/>
      </c>
      <c r="BA70" t="str">
        <f>IF($A70="","", INDEX(CS!$B$1:$B$12828,MATCH($A70,CS!$B:$B,0)+COLUMN(J$1),1))</f>
        <v/>
      </c>
    </row>
    <row r="71" spans="1:81" x14ac:dyDescent="0.4">
      <c r="D71" t="str">
        <f t="shared" ref="D71" si="4">SUM(AC71:AQ71,F71:L71)&amp;"/"&amp;SUM(F71:L71)&amp;"/"&amp;SUM(AC71:AQ71)</f>
        <v>0/0/0</v>
      </c>
      <c r="AR71" t="str">
        <f>IF($A71="","", INDEX(CS!$B$1:$B$12828,MATCH($A71,CS!$B:$B,0)+COLUMN(A$1),1))</f>
        <v/>
      </c>
      <c r="AS71" t="str">
        <f>IF($A71="","", INDEX(CS!$B$1:$B$12828,MATCH($A71,CS!$B:$B,0)+COLUMN(B$1),1))</f>
        <v/>
      </c>
      <c r="AT71" t="str">
        <f>IF($A71="","", INDEX(CS!$B$1:$B$12828,MATCH($A71,CS!$B:$B,0)+COLUMN(C$1),1))</f>
        <v/>
      </c>
      <c r="AU71" t="str">
        <f>IF($A71="","", INDEX(CS!$B$1:$B$12828,MATCH($A71,CS!$B:$B,0)+COLUMN(D$1),1))</f>
        <v/>
      </c>
      <c r="AV71" t="str">
        <f>IF($A71="","", INDEX(CS!$B$1:$B$12828,MATCH($A71,CS!$B:$B,0)+COLUMN(E$1),1))</f>
        <v/>
      </c>
      <c r="AW71" t="str">
        <f>IF($A71="","", INDEX(CS!$B$1:$B$12828,MATCH($A71,CS!$B:$B,0)+COLUMN(F$1),1))</f>
        <v/>
      </c>
      <c r="AX71" t="str">
        <f>IF($A71="","", INDEX(CS!$B$1:$B$12828,MATCH($A71,CS!$B:$B,0)+COLUMN(G$1),1))</f>
        <v/>
      </c>
      <c r="AY71" t="str">
        <f>IF($A71="","", INDEX(CS!$B$1:$B$12828,MATCH($A71,CS!$B:$B,0)+COLUMN(H$1),1))</f>
        <v/>
      </c>
      <c r="AZ71" t="str">
        <f>IF($A71="","", INDEX(CS!$B$1:$B$12828,MATCH($A71,CS!$B:$B,0)+COLUMN(I$1),1))</f>
        <v/>
      </c>
      <c r="BA71" t="str">
        <f>IF($A71="","", INDEX(CS!$B$1:$B$12828,MATCH($A71,CS!$B:$B,0)+COLUMN(J$1),1))</f>
        <v/>
      </c>
    </row>
    <row r="72" spans="1:81" x14ac:dyDescent="0.4">
      <c r="B72" t="s">
        <v>949</v>
      </c>
      <c r="D72" t="str">
        <f t="shared" ref="D72" si="5">SUM(AC72:AQ72,F72:L72)&amp;"/"&amp;SUM(F72:L72)&amp;"/"&amp;SUM(AC72:AQ72)</f>
        <v>0/0/0</v>
      </c>
      <c r="E72">
        <v>1</v>
      </c>
      <c r="AR72" t="str">
        <f>IF($A72="","", INDEX(CS!$B$1:$B$12828,MATCH($A72,CS!$B:$B,0)+COLUMN(A$1),1))</f>
        <v/>
      </c>
      <c r="AS72" t="str">
        <f>IF($A72="","", INDEX(CS!$B$1:$B$12828,MATCH($A72,CS!$B:$B,0)+COLUMN(B$1),1))</f>
        <v/>
      </c>
      <c r="AT72" t="str">
        <f>IF($A72="","", INDEX(CS!$B$1:$B$12828,MATCH($A72,CS!$B:$B,0)+COLUMN(C$1),1))</f>
        <v/>
      </c>
      <c r="AU72" t="str">
        <f>IF($A72="","", INDEX(CS!$B$1:$B$12828,MATCH($A72,CS!$B:$B,0)+COLUMN(D$1),1))</f>
        <v/>
      </c>
      <c r="AV72" t="str">
        <f>IF($A72="","", INDEX(CS!$B$1:$B$12828,MATCH($A72,CS!$B:$B,0)+COLUMN(E$1),1))</f>
        <v/>
      </c>
      <c r="AW72" t="str">
        <f>IF($A72="","", INDEX(CS!$B$1:$B$12828,MATCH($A72,CS!$B:$B,0)+COLUMN(F$1),1))</f>
        <v/>
      </c>
      <c r="AX72" t="str">
        <f>IF($A72="","", INDEX(CS!$B$1:$B$12828,MATCH($A72,CS!$B:$B,0)+COLUMN(G$1),1))</f>
        <v/>
      </c>
      <c r="AY72" t="str">
        <f>IF($A72="","", INDEX(CS!$B$1:$B$12828,MATCH($A72,CS!$B:$B,0)+COLUMN(H$1),1))</f>
        <v/>
      </c>
      <c r="AZ72" t="str">
        <f>IF($A72="","", INDEX(CS!$B$1:$B$12828,MATCH($A72,CS!$B:$B,0)+COLUMN(I$1),1))</f>
        <v/>
      </c>
      <c r="BA72" t="str">
        <f>IF($A72="","", INDEX(CS!$B$1:$B$12828,MATCH($A72,CS!$B:$B,0)+COLUMN(J$1),1))</f>
        <v/>
      </c>
    </row>
    <row r="73" spans="1:81" outlineLevel="1" x14ac:dyDescent="0.4">
      <c r="A73" t="s">
        <v>950</v>
      </c>
      <c r="B73" t="s">
        <v>35</v>
      </c>
      <c r="C73" t="s">
        <v>51</v>
      </c>
      <c r="D73" t="str">
        <f>SUM(AC73:AQ73,F73:L73)&amp;"/"&amp;SUM(F73:L73)&amp;"/"&amp;SUM(AC73:AQ73)</f>
        <v>710/445/265</v>
      </c>
      <c r="E73">
        <v>1</v>
      </c>
      <c r="F73">
        <v>75</v>
      </c>
      <c r="G73">
        <v>75</v>
      </c>
      <c r="H73">
        <v>50</v>
      </c>
      <c r="I73" s="24">
        <v>25</v>
      </c>
      <c r="J73">
        <v>50</v>
      </c>
      <c r="K73">
        <v>85</v>
      </c>
      <c r="L73">
        <v>85</v>
      </c>
      <c r="AD73">
        <v>25</v>
      </c>
      <c r="AF73">
        <v>50</v>
      </c>
      <c r="AG73">
        <v>25</v>
      </c>
      <c r="AH73">
        <v>90</v>
      </c>
      <c r="AI73">
        <v>75</v>
      </c>
      <c r="AR73" t="e">
        <f>IF($A73="","", INDEX(CS!$B$1:$B$12828,MATCH($A73,CS!$B:$B,0)+COLUMN(A$1),1))</f>
        <v>#N/A</v>
      </c>
      <c r="AS73" t="e">
        <f>IF($A73="","", INDEX(CS!$B$1:$B$12828,MATCH($A73,CS!$B:$B,0)+COLUMN(B$1),1))</f>
        <v>#N/A</v>
      </c>
      <c r="AT73" t="e">
        <f>IF($A73="","", INDEX(CS!$B$1:$B$12828,MATCH($A73,CS!$B:$B,0)+COLUMN(C$1),1))</f>
        <v>#N/A</v>
      </c>
      <c r="AU73" t="e">
        <f>IF($A73="","", INDEX(CS!$B$1:$B$12828,MATCH($A73,CS!$B:$B,0)+COLUMN(D$1),1))</f>
        <v>#N/A</v>
      </c>
      <c r="AV73" t="e">
        <f>IF($A73="","", INDEX(CS!$B$1:$B$12828,MATCH($A73,CS!$B:$B,0)+COLUMN(E$1),1))</f>
        <v>#N/A</v>
      </c>
      <c r="AW73" t="e">
        <f>IF($A73="","", INDEX(CS!$B$1:$B$12828,MATCH($A73,CS!$B:$B,0)+COLUMN(F$1),1))</f>
        <v>#N/A</v>
      </c>
      <c r="AX73" t="e">
        <f>IF($A73="","", INDEX(CS!$B$1:$B$12828,MATCH($A73,CS!$B:$B,0)+COLUMN(G$1),1))</f>
        <v>#N/A</v>
      </c>
      <c r="AY73" t="e">
        <f>IF($A73="","", INDEX(CS!$B$1:$B$12828,MATCH($A73,CS!$B:$B,0)+COLUMN(H$1),1))</f>
        <v>#N/A</v>
      </c>
      <c r="AZ73" t="e">
        <f>IF($A73="","", INDEX(CS!$B$1:$B$12828,MATCH($A73,CS!$B:$B,0)+COLUMN(I$1),1))</f>
        <v>#N/A</v>
      </c>
      <c r="BA73" t="e">
        <f>IF($A73="","", INDEX(CS!$B$1:$B$12828,MATCH($A73,CS!$B:$B,0)+COLUMN(J$1),1))</f>
        <v>#N/A</v>
      </c>
      <c r="BC73" t="s">
        <v>951</v>
      </c>
      <c r="BV73" t="s">
        <v>1240</v>
      </c>
      <c r="BY73" t="s">
        <v>976</v>
      </c>
      <c r="BZ73" t="s">
        <v>1188</v>
      </c>
      <c r="CC73" t="s">
        <v>1054</v>
      </c>
    </row>
    <row r="74" spans="1:81" outlineLevel="1" x14ac:dyDescent="0.4">
      <c r="C74" t="s">
        <v>51</v>
      </c>
      <c r="D74" t="str">
        <f>SUM(AC74:AQ74,F74:L74)&amp;"/"&amp;SUM(F74:L74)&amp;"/"&amp;SUM(AC74:AQ74)</f>
        <v>710/460/250</v>
      </c>
      <c r="E74">
        <v>1</v>
      </c>
      <c r="F74">
        <v>75</v>
      </c>
      <c r="G74">
        <v>75</v>
      </c>
      <c r="H74">
        <v>75</v>
      </c>
      <c r="I74" s="24">
        <v>25</v>
      </c>
      <c r="J74">
        <v>50</v>
      </c>
      <c r="K74">
        <v>75</v>
      </c>
      <c r="L74">
        <v>85</v>
      </c>
      <c r="AF74">
        <v>50</v>
      </c>
      <c r="AG74">
        <v>35</v>
      </c>
      <c r="AH74">
        <v>75</v>
      </c>
      <c r="AI74">
        <v>90</v>
      </c>
      <c r="AR74" t="str">
        <f>IF($A74="","", INDEX(CS!$B$1:$B$12828,MATCH($A74,CS!$B:$B,0)+COLUMN(A$1),1))</f>
        <v/>
      </c>
      <c r="AS74" t="str">
        <f>IF($A74="","", INDEX(CS!$B$1:$B$12828,MATCH($A74,CS!$B:$B,0)+COLUMN(B$1),1))</f>
        <v/>
      </c>
      <c r="AT74" t="str">
        <f>IF($A74="","", INDEX(CS!$B$1:$B$12828,MATCH($A74,CS!$B:$B,0)+COLUMN(C$1),1))</f>
        <v/>
      </c>
      <c r="AU74" t="str">
        <f>IF($A74="","", INDEX(CS!$B$1:$B$12828,MATCH($A74,CS!$B:$B,0)+COLUMN(D$1),1))</f>
        <v/>
      </c>
      <c r="AV74" t="str">
        <f>IF($A74="","", INDEX(CS!$B$1:$B$12828,MATCH($A74,CS!$B:$B,0)+COLUMN(E$1),1))</f>
        <v/>
      </c>
      <c r="AW74" t="str">
        <f>IF($A74="","", INDEX(CS!$B$1:$B$12828,MATCH($A74,CS!$B:$B,0)+COLUMN(F$1),1))</f>
        <v/>
      </c>
      <c r="AX74" t="str">
        <f>IF($A74="","", INDEX(CS!$B$1:$B$12828,MATCH($A74,CS!$B:$B,0)+COLUMN(G$1),1))</f>
        <v/>
      </c>
      <c r="AY74" t="str">
        <f>IF($A74="","", INDEX(CS!$B$1:$B$12828,MATCH($A74,CS!$B:$B,0)+COLUMN(H$1),1))</f>
        <v/>
      </c>
      <c r="AZ74" t="str">
        <f>IF($A74="","", INDEX(CS!$B$1:$B$12828,MATCH($A74,CS!$B:$B,0)+COLUMN(I$1),1))</f>
        <v/>
      </c>
      <c r="BA74" t="str">
        <f>IF($A74="","", INDEX(CS!$B$1:$B$12828,MATCH($A74,CS!$B:$B,0)+COLUMN(J$1),1))</f>
        <v/>
      </c>
    </row>
    <row r="75" spans="1:81" outlineLevel="1" x14ac:dyDescent="0.4">
      <c r="C75" t="s">
        <v>51</v>
      </c>
      <c r="D75" t="str">
        <f>SUM(AC75:AQ75,F75:L75)&amp;"/"&amp;SUM(F75:L75)&amp;"/"&amp;SUM(AC75:AQ75)</f>
        <v>710/445/265</v>
      </c>
      <c r="E75">
        <v>1</v>
      </c>
      <c r="F75">
        <v>75</v>
      </c>
      <c r="G75">
        <v>75</v>
      </c>
      <c r="H75">
        <v>50</v>
      </c>
      <c r="I75" s="24">
        <v>25</v>
      </c>
      <c r="J75">
        <v>50</v>
      </c>
      <c r="K75">
        <v>85</v>
      </c>
      <c r="L75">
        <v>85</v>
      </c>
      <c r="AF75">
        <v>50</v>
      </c>
      <c r="AG75">
        <v>65</v>
      </c>
      <c r="AH75">
        <v>75</v>
      </c>
      <c r="AI75">
        <v>75</v>
      </c>
      <c r="AR75" t="str">
        <f>IF($A75="","", INDEX(CS!$B$1:$B$12828,MATCH($A75,CS!$B:$B,0)+COLUMN(A$1),1))</f>
        <v/>
      </c>
      <c r="AS75" t="str">
        <f>IF($A75="","", INDEX(CS!$B$1:$B$12828,MATCH($A75,CS!$B:$B,0)+COLUMN(B$1),1))</f>
        <v/>
      </c>
      <c r="AT75" t="str">
        <f>IF($A75="","", INDEX(CS!$B$1:$B$12828,MATCH($A75,CS!$B:$B,0)+COLUMN(C$1),1))</f>
        <v/>
      </c>
      <c r="AU75" t="str">
        <f>IF($A75="","", INDEX(CS!$B$1:$B$12828,MATCH($A75,CS!$B:$B,0)+COLUMN(D$1),1))</f>
        <v/>
      </c>
      <c r="AV75" t="str">
        <f>IF($A75="","", INDEX(CS!$B$1:$B$12828,MATCH($A75,CS!$B:$B,0)+COLUMN(E$1),1))</f>
        <v/>
      </c>
      <c r="AW75" t="str">
        <f>IF($A75="","", INDEX(CS!$B$1:$B$12828,MATCH($A75,CS!$B:$B,0)+COLUMN(F$1),1))</f>
        <v/>
      </c>
      <c r="AX75" t="str">
        <f>IF($A75="","", INDEX(CS!$B$1:$B$12828,MATCH($A75,CS!$B:$B,0)+COLUMN(G$1),1))</f>
        <v/>
      </c>
      <c r="AY75" t="str">
        <f>IF($A75="","", INDEX(CS!$B$1:$B$12828,MATCH($A75,CS!$B:$B,0)+COLUMN(H$1),1))</f>
        <v/>
      </c>
      <c r="AZ75" t="str">
        <f>IF($A75="","", INDEX(CS!$B$1:$B$12828,MATCH($A75,CS!$B:$B,0)+COLUMN(I$1),1))</f>
        <v/>
      </c>
      <c r="BA75" t="str">
        <f>IF($A75="","", INDEX(CS!$B$1:$B$12828,MATCH($A75,CS!$B:$B,0)+COLUMN(J$1),1))</f>
        <v/>
      </c>
    </row>
    <row r="76" spans="1:81" outlineLevel="1" x14ac:dyDescent="0.4">
      <c r="C76" t="s">
        <v>51</v>
      </c>
      <c r="D76" t="str">
        <f>SUM(AC76:AQ76,F76:L76)&amp;"/"&amp;SUM(F76:L76)&amp;"/"&amp;SUM(AC76:AQ76)</f>
        <v>0/0/0</v>
      </c>
      <c r="E76">
        <v>1</v>
      </c>
      <c r="AR76" t="str">
        <f>IF($A76="","", INDEX(CS!$B$1:$B$12828,MATCH($A76,CS!$B:$B,0)+COLUMN(A$1),1))</f>
        <v/>
      </c>
      <c r="AS76" t="str">
        <f>IF($A76="","", INDEX(CS!$B$1:$B$12828,MATCH($A76,CS!$B:$B,0)+COLUMN(B$1),1))</f>
        <v/>
      </c>
      <c r="AT76" t="str">
        <f>IF($A76="","", INDEX(CS!$B$1:$B$12828,MATCH($A76,CS!$B:$B,0)+COLUMN(C$1),1))</f>
        <v/>
      </c>
      <c r="AU76" t="str">
        <f>IF($A76="","", INDEX(CS!$B$1:$B$12828,MATCH($A76,CS!$B:$B,0)+COLUMN(D$1),1))</f>
        <v/>
      </c>
      <c r="AV76" t="str">
        <f>IF($A76="","", INDEX(CS!$B$1:$B$12828,MATCH($A76,CS!$B:$B,0)+COLUMN(E$1),1))</f>
        <v/>
      </c>
      <c r="AW76" t="str">
        <f>IF($A76="","", INDEX(CS!$B$1:$B$12828,MATCH($A76,CS!$B:$B,0)+COLUMN(F$1),1))</f>
        <v/>
      </c>
      <c r="AX76" t="str">
        <f>IF($A76="","", INDEX(CS!$B$1:$B$12828,MATCH($A76,CS!$B:$B,0)+COLUMN(G$1),1))</f>
        <v/>
      </c>
      <c r="AY76" t="str">
        <f>IF($A76="","", INDEX(CS!$B$1:$B$12828,MATCH($A76,CS!$B:$B,0)+COLUMN(H$1),1))</f>
        <v/>
      </c>
      <c r="AZ76" t="str">
        <f>IF($A76="","", INDEX(CS!$B$1:$B$12828,MATCH($A76,CS!$B:$B,0)+COLUMN(I$1),1))</f>
        <v/>
      </c>
      <c r="BA76" t="str">
        <f>IF($A76="","", INDEX(CS!$B$1:$B$12828,MATCH($A76,CS!$B:$B,0)+COLUMN(J$1),1))</f>
        <v/>
      </c>
    </row>
    <row r="77" spans="1:81" x14ac:dyDescent="0.4">
      <c r="D77" t="str">
        <f t="shared" si="1"/>
        <v>0/0/0</v>
      </c>
      <c r="E77">
        <v>1</v>
      </c>
      <c r="AR77" t="str">
        <f>IF($A77="","", INDEX(CS!$B$1:$B$12828,MATCH($A77,CS!$B:$B,0)+COLUMN(A$1),1))</f>
        <v/>
      </c>
      <c r="AS77" t="str">
        <f>IF($A77="","", INDEX(CS!$B$1:$B$12828,MATCH($A77,CS!$B:$B,0)+COLUMN(B$1),1))</f>
        <v/>
      </c>
      <c r="AT77" t="str">
        <f>IF($A77="","", INDEX(CS!$B$1:$B$12828,MATCH($A77,CS!$B:$B,0)+COLUMN(C$1),1))</f>
        <v/>
      </c>
      <c r="AU77" t="str">
        <f>IF($A77="","", INDEX(CS!$B$1:$B$12828,MATCH($A77,CS!$B:$B,0)+COLUMN(D$1),1))</f>
        <v/>
      </c>
      <c r="AV77" t="str">
        <f>IF($A77="","", INDEX(CS!$B$1:$B$12828,MATCH($A77,CS!$B:$B,0)+COLUMN(E$1),1))</f>
        <v/>
      </c>
      <c r="AW77" t="str">
        <f>IF($A77="","", INDEX(CS!$B$1:$B$12828,MATCH($A77,CS!$B:$B,0)+COLUMN(F$1),1))</f>
        <v/>
      </c>
      <c r="AX77" t="str">
        <f>IF($A77="","", INDEX(CS!$B$1:$B$12828,MATCH($A77,CS!$B:$B,0)+COLUMN(G$1),1))</f>
        <v/>
      </c>
      <c r="AY77" t="str">
        <f>IF($A77="","", INDEX(CS!$B$1:$B$12828,MATCH($A77,CS!$B:$B,0)+COLUMN(H$1),1))</f>
        <v/>
      </c>
      <c r="AZ77" t="str">
        <f>IF($A77="","", INDEX(CS!$B$1:$B$12828,MATCH($A77,CS!$B:$B,0)+COLUMN(I$1),1))</f>
        <v/>
      </c>
      <c r="BA77" t="str">
        <f>IF($A77="","", INDEX(CS!$B$1:$B$12828,MATCH($A77,CS!$B:$B,0)+COLUMN(J$1),1))</f>
        <v/>
      </c>
    </row>
    <row r="78" spans="1:81" ht="20.25" customHeight="1" x14ac:dyDescent="0.4">
      <c r="D78" t="str">
        <f t="shared" si="1"/>
        <v>0/0/0</v>
      </c>
      <c r="E78">
        <v>1</v>
      </c>
      <c r="AR78" t="str">
        <f>IF($A78="","", INDEX(CS!$B$1:$B$12828,MATCH($A78,CS!$B:$B,0)+COLUMN(A$1),1))</f>
        <v/>
      </c>
      <c r="AS78" t="str">
        <f>IF($A78="","", INDEX(CS!$B$1:$B$12828,MATCH($A78,CS!$B:$B,0)+COLUMN(B$1),1))</f>
        <v/>
      </c>
      <c r="AT78" t="str">
        <f>IF($A78="","", INDEX(CS!$B$1:$B$12828,MATCH($A78,CS!$B:$B,0)+COLUMN(C$1),1))</f>
        <v/>
      </c>
      <c r="AU78" t="str">
        <f>IF($A78="","", INDEX(CS!$B$1:$B$12828,MATCH($A78,CS!$B:$B,0)+COLUMN(D$1),1))</f>
        <v/>
      </c>
      <c r="AV78" t="str">
        <f>IF($A78="","", INDEX(CS!$B$1:$B$12828,MATCH($A78,CS!$B:$B,0)+COLUMN(E$1),1))</f>
        <v/>
      </c>
      <c r="AW78" t="str">
        <f>IF($A78="","", INDEX(CS!$B$1:$B$12828,MATCH($A78,CS!$B:$B,0)+COLUMN(F$1),1))</f>
        <v/>
      </c>
      <c r="AX78" t="str">
        <f>IF($A78="","", INDEX(CS!$B$1:$B$12828,MATCH($A78,CS!$B:$B,0)+COLUMN(G$1),1))</f>
        <v/>
      </c>
      <c r="AY78" t="str">
        <f>IF($A78="","", INDEX(CS!$B$1:$B$12828,MATCH($A78,CS!$B:$B,0)+COLUMN(H$1),1))</f>
        <v/>
      </c>
      <c r="AZ78" t="str">
        <f>IF($A78="","", INDEX(CS!$B$1:$B$12828,MATCH($A78,CS!$B:$B,0)+COLUMN(I$1),1))</f>
        <v/>
      </c>
      <c r="BA78" t="str">
        <f>IF($A78="","", INDEX(CS!$B$1:$B$12828,MATCH($A78,CS!$B:$B,0)+COLUMN(J$1),1))</f>
        <v/>
      </c>
      <c r="BM78" s="53"/>
      <c r="BN78" s="53"/>
      <c r="BO78" s="53"/>
      <c r="BP78" s="53"/>
      <c r="BQ78" s="53"/>
    </row>
    <row r="79" spans="1:81" x14ac:dyDescent="0.4">
      <c r="A79" t="s">
        <v>198</v>
      </c>
      <c r="C79" t="s">
        <v>194</v>
      </c>
      <c r="D79" t="str">
        <f t="shared" si="1"/>
        <v>710/490/220</v>
      </c>
      <c r="E79">
        <v>1</v>
      </c>
      <c r="F79">
        <v>100</v>
      </c>
      <c r="G79">
        <v>90</v>
      </c>
      <c r="H79">
        <v>90</v>
      </c>
      <c r="I79" s="24">
        <v>0</v>
      </c>
      <c r="J79">
        <v>50</v>
      </c>
      <c r="K79">
        <v>80</v>
      </c>
      <c r="L79">
        <v>80</v>
      </c>
      <c r="M79">
        <v>230</v>
      </c>
      <c r="V79">
        <v>-35</v>
      </c>
      <c r="W79">
        <v>10</v>
      </c>
      <c r="Y79">
        <v>15</v>
      </c>
      <c r="Z79">
        <v>10</v>
      </c>
      <c r="AD79">
        <v>50</v>
      </c>
      <c r="AF79">
        <v>50</v>
      </c>
      <c r="AH79">
        <v>60</v>
      </c>
      <c r="AI79">
        <v>60</v>
      </c>
      <c r="AR79" t="str">
        <f>IF($A79="","", INDEX(CS!$B$1:$B$12828,MATCH($A79,CS!$B:$B,0)+COLUMN(A$1),1))</f>
        <v>爪</v>
      </c>
      <c r="AS79" t="str">
        <f>IF($A79="","", INDEX(CS!$B$1:$B$12828,MATCH($A79,CS!$B:$B,0)+COLUMN(B$1),1))</f>
        <v>牙</v>
      </c>
      <c r="AT79">
        <f>IF($A79="","", INDEX(CS!$B$1:$B$12828,MATCH($A79,CS!$B:$B,0)+COLUMN(C$1),1))</f>
        <v>0</v>
      </c>
      <c r="AU79">
        <f>IF($A79="","", INDEX(CS!$B$1:$B$12828,MATCH($A79,CS!$B:$B,0)+COLUMN(D$1),1))</f>
        <v>0</v>
      </c>
      <c r="AV79">
        <f>IF($A79="","", INDEX(CS!$B$1:$B$12828,MATCH($A79,CS!$B:$B,0)+COLUMN(E$1),1))</f>
        <v>0</v>
      </c>
      <c r="AW79">
        <f>IF($A79="","", INDEX(CS!$B$1:$B$12828,MATCH($A79,CS!$B:$B,0)+COLUMN(F$1),1))</f>
        <v>0</v>
      </c>
      <c r="AX79">
        <f>IF($A79="","", INDEX(CS!$B$1:$B$12828,MATCH($A79,CS!$B:$B,0)+COLUMN(G$1),1))</f>
        <v>0</v>
      </c>
      <c r="AY79">
        <f>IF($A79="","", INDEX(CS!$B$1:$B$12828,MATCH($A79,CS!$B:$B,0)+COLUMN(H$1),1))</f>
        <v>0</v>
      </c>
      <c r="AZ79">
        <f>IF($A79="","", INDEX(CS!$B$1:$B$12828,MATCH($A79,CS!$B:$B,0)+COLUMN(I$1),1))</f>
        <v>0</v>
      </c>
      <c r="BA79">
        <f>IF($A79="","", INDEX(CS!$B$1:$B$12828,MATCH($A79,CS!$B:$B,0)+COLUMN(J$1),1))</f>
        <v>0</v>
      </c>
      <c r="BL79" t="s">
        <v>956</v>
      </c>
      <c r="BM79" s="53">
        <v>120</v>
      </c>
      <c r="BN79" s="52">
        <v>10</v>
      </c>
      <c r="BO79" s="52">
        <v>10</v>
      </c>
      <c r="BP79" s="52">
        <v>90</v>
      </c>
      <c r="BQ79" s="52">
        <v>10</v>
      </c>
      <c r="BV79" t="s">
        <v>968</v>
      </c>
      <c r="BW79" t="s">
        <v>968</v>
      </c>
      <c r="BZ79" t="s">
        <v>968</v>
      </c>
      <c r="CC79" t="s">
        <v>194</v>
      </c>
    </row>
    <row r="80" spans="1:81" x14ac:dyDescent="0.4">
      <c r="A80" t="s">
        <v>195</v>
      </c>
      <c r="C80" t="s">
        <v>194</v>
      </c>
      <c r="D80" t="str">
        <f t="shared" si="1"/>
        <v>705/485/220</v>
      </c>
      <c r="E80">
        <v>1</v>
      </c>
      <c r="F80">
        <v>90</v>
      </c>
      <c r="G80">
        <v>85</v>
      </c>
      <c r="H80">
        <v>75</v>
      </c>
      <c r="I80" s="24">
        <v>0</v>
      </c>
      <c r="J80">
        <v>50</v>
      </c>
      <c r="K80">
        <v>100</v>
      </c>
      <c r="L80">
        <v>85</v>
      </c>
      <c r="M80">
        <v>175</v>
      </c>
      <c r="V80">
        <v>-35</v>
      </c>
      <c r="W80">
        <v>10</v>
      </c>
      <c r="Y80">
        <v>15</v>
      </c>
      <c r="Z80">
        <v>10</v>
      </c>
      <c r="AD80">
        <v>50</v>
      </c>
      <c r="AF80">
        <v>50</v>
      </c>
      <c r="AH80">
        <v>60</v>
      </c>
      <c r="AI80">
        <v>60</v>
      </c>
      <c r="AR80" t="str">
        <f>IF($A80="","", INDEX(CS!$B$1:$B$12828,MATCH($A80,CS!$B:$B,0)+COLUMN(A$1),1))</f>
        <v>爪</v>
      </c>
      <c r="AS80" t="str">
        <f>IF($A80="","", INDEX(CS!$B$1:$B$12828,MATCH($A80,CS!$B:$B,0)+COLUMN(B$1),1))</f>
        <v>牙</v>
      </c>
      <c r="AT80">
        <f>IF($A80="","", INDEX(CS!$B$1:$B$12828,MATCH($A80,CS!$B:$B,0)+COLUMN(C$1),1))</f>
        <v>0</v>
      </c>
      <c r="AU80">
        <f>IF($A80="","", INDEX(CS!$B$1:$B$12828,MATCH($A80,CS!$B:$B,0)+COLUMN(D$1),1))</f>
        <v>0</v>
      </c>
      <c r="AV80">
        <f>IF($A80="","", INDEX(CS!$B$1:$B$12828,MATCH($A80,CS!$B:$B,0)+COLUMN(E$1),1))</f>
        <v>0</v>
      </c>
      <c r="AW80">
        <f>IF($A80="","", INDEX(CS!$B$1:$B$12828,MATCH($A80,CS!$B:$B,0)+COLUMN(F$1),1))</f>
        <v>0</v>
      </c>
      <c r="AX80">
        <f>IF($A80="","", INDEX(CS!$B$1:$B$12828,MATCH($A80,CS!$B:$B,0)+COLUMN(G$1),1))</f>
        <v>0</v>
      </c>
      <c r="AY80">
        <f>IF($A80="","", INDEX(CS!$B$1:$B$12828,MATCH($A80,CS!$B:$B,0)+COLUMN(H$1),1))</f>
        <v>0</v>
      </c>
      <c r="AZ80">
        <f>IF($A80="","", INDEX(CS!$B$1:$B$12828,MATCH($A80,CS!$B:$B,0)+COLUMN(I$1),1))</f>
        <v>0</v>
      </c>
      <c r="BA80">
        <f>IF($A80="","", INDEX(CS!$B$1:$B$12828,MATCH($A80,CS!$B:$B,0)+COLUMN(J$1),1))</f>
        <v>0</v>
      </c>
      <c r="BL80" t="s">
        <v>956</v>
      </c>
      <c r="BM80" s="53">
        <v>110</v>
      </c>
      <c r="BN80" s="52">
        <v>10</v>
      </c>
      <c r="BO80" s="52">
        <v>10</v>
      </c>
      <c r="BP80" s="52">
        <v>80</v>
      </c>
      <c r="BQ80" s="52">
        <v>10</v>
      </c>
      <c r="BV80" t="s">
        <v>968</v>
      </c>
      <c r="BW80" t="s">
        <v>968</v>
      </c>
      <c r="BZ80" t="s">
        <v>968</v>
      </c>
      <c r="CC80" t="s">
        <v>194</v>
      </c>
    </row>
    <row r="81" spans="1:81" x14ac:dyDescent="0.4">
      <c r="A81" t="s">
        <v>196</v>
      </c>
      <c r="C81" t="s">
        <v>194</v>
      </c>
      <c r="D81" t="str">
        <f t="shared" si="1"/>
        <v>670/450/220</v>
      </c>
      <c r="E81">
        <v>1</v>
      </c>
      <c r="F81">
        <v>90</v>
      </c>
      <c r="G81">
        <v>85</v>
      </c>
      <c r="H81">
        <v>75</v>
      </c>
      <c r="I81" s="24">
        <v>0</v>
      </c>
      <c r="J81">
        <v>50</v>
      </c>
      <c r="K81">
        <v>75</v>
      </c>
      <c r="L81">
        <v>75</v>
      </c>
      <c r="M81">
        <v>150</v>
      </c>
      <c r="V81">
        <v>-35</v>
      </c>
      <c r="W81">
        <v>10</v>
      </c>
      <c r="Y81">
        <v>15</v>
      </c>
      <c r="Z81">
        <v>10</v>
      </c>
      <c r="AD81">
        <v>50</v>
      </c>
      <c r="AF81">
        <v>50</v>
      </c>
      <c r="AH81">
        <v>60</v>
      </c>
      <c r="AI81">
        <v>60</v>
      </c>
      <c r="AR81" t="str">
        <f>IF($A81="","", INDEX(CS!$B$1:$B$12828,MATCH($A81,CS!$B:$B,0)+COLUMN(A$1),1))</f>
        <v>牙</v>
      </c>
      <c r="AS81" t="str">
        <f>IF($A81="","", INDEX(CS!$B$1:$B$12828,MATCH($A81,CS!$B:$B,0)+COLUMN(B$1),1))</f>
        <v>尾</v>
      </c>
      <c r="AT81" t="str">
        <f>IF($A81="","", INDEX(CS!$B$1:$B$12828,MATCH($A81,CS!$B:$B,0)+COLUMN(C$1),1))</f>
        <v>尾の巻き付き</v>
      </c>
      <c r="AU81">
        <f>IF($A81="","", INDEX(CS!$B$1:$B$12828,MATCH($A81,CS!$B:$B,0)+COLUMN(D$1),1))</f>
        <v>0</v>
      </c>
      <c r="AV81">
        <f>IF($A81="","", INDEX(CS!$B$1:$B$12828,MATCH($A81,CS!$B:$B,0)+COLUMN(E$1),1))</f>
        <v>0</v>
      </c>
      <c r="AW81">
        <f>IF($A81="","", INDEX(CS!$B$1:$B$12828,MATCH($A81,CS!$B:$B,0)+COLUMN(F$1),1))</f>
        <v>0</v>
      </c>
      <c r="AX81">
        <f>IF($A81="","", INDEX(CS!$B$1:$B$12828,MATCH($A81,CS!$B:$B,0)+COLUMN(G$1),1))</f>
        <v>0</v>
      </c>
      <c r="AY81">
        <f>IF($A81="","", INDEX(CS!$B$1:$B$12828,MATCH($A81,CS!$B:$B,0)+COLUMN(H$1),1))</f>
        <v>0</v>
      </c>
      <c r="AZ81">
        <f>IF($A81="","", INDEX(CS!$B$1:$B$12828,MATCH($A81,CS!$B:$B,0)+COLUMN(I$1),1))</f>
        <v>0</v>
      </c>
      <c r="BA81">
        <f>IF($A81="","", INDEX(CS!$B$1:$B$12828,MATCH($A81,CS!$B:$B,0)+COLUMN(J$1),1))</f>
        <v>0</v>
      </c>
      <c r="BL81" t="s">
        <v>956</v>
      </c>
      <c r="BM81" s="53">
        <v>85</v>
      </c>
      <c r="BN81" s="52">
        <v>5</v>
      </c>
      <c r="BO81" s="52">
        <v>0</v>
      </c>
      <c r="BP81" s="52">
        <v>70</v>
      </c>
      <c r="BQ81" s="52">
        <v>10</v>
      </c>
      <c r="BV81" t="s">
        <v>968</v>
      </c>
      <c r="BW81" t="s">
        <v>968</v>
      </c>
      <c r="BX81" t="s">
        <v>968</v>
      </c>
      <c r="BZ81" t="s">
        <v>968</v>
      </c>
      <c r="CC81" t="s">
        <v>194</v>
      </c>
    </row>
    <row r="82" spans="1:81" x14ac:dyDescent="0.4">
      <c r="A82" t="s">
        <v>200</v>
      </c>
      <c r="C82" t="s">
        <v>194</v>
      </c>
      <c r="D82" t="str">
        <f t="shared" si="1"/>
        <v>695/475/220</v>
      </c>
      <c r="E82">
        <v>1</v>
      </c>
      <c r="F82">
        <v>75</v>
      </c>
      <c r="G82">
        <v>75</v>
      </c>
      <c r="H82">
        <v>75</v>
      </c>
      <c r="I82" s="24">
        <v>0</v>
      </c>
      <c r="J82">
        <v>50</v>
      </c>
      <c r="K82">
        <v>100</v>
      </c>
      <c r="L82">
        <v>100</v>
      </c>
      <c r="M82">
        <v>145</v>
      </c>
      <c r="V82">
        <v>-35</v>
      </c>
      <c r="W82">
        <v>10</v>
      </c>
      <c r="Y82">
        <v>15</v>
      </c>
      <c r="Z82">
        <v>10</v>
      </c>
      <c r="AD82">
        <v>50</v>
      </c>
      <c r="AF82">
        <v>50</v>
      </c>
      <c r="AH82">
        <v>60</v>
      </c>
      <c r="AI82">
        <v>60</v>
      </c>
      <c r="AR82" t="str">
        <f>IF($A82="","", INDEX(CS!$B$1:$B$12828,MATCH($A82,CS!$B:$B,0)+COLUMN(A$1),1))</f>
        <v>爪</v>
      </c>
      <c r="AS82" t="str">
        <f>IF($A82="","", INDEX(CS!$B$1:$B$12828,MATCH($A82,CS!$B:$B,0)+COLUMN(B$1),1))</f>
        <v>牙</v>
      </c>
      <c r="AT82">
        <f>IF($A82="","", INDEX(CS!$B$1:$B$12828,MATCH($A82,CS!$B:$B,0)+COLUMN(C$1),1))</f>
        <v>0</v>
      </c>
      <c r="AU82">
        <f>IF($A82="","", INDEX(CS!$B$1:$B$12828,MATCH($A82,CS!$B:$B,0)+COLUMN(D$1),1))</f>
        <v>0</v>
      </c>
      <c r="AV82">
        <f>IF($A82="","", INDEX(CS!$B$1:$B$12828,MATCH($A82,CS!$B:$B,0)+COLUMN(E$1),1))</f>
        <v>0</v>
      </c>
      <c r="AW82">
        <f>IF($A82="","", INDEX(CS!$B$1:$B$12828,MATCH($A82,CS!$B:$B,0)+COLUMN(F$1),1))</f>
        <v>0</v>
      </c>
      <c r="AX82">
        <f>IF($A82="","", INDEX(CS!$B$1:$B$12828,MATCH($A82,CS!$B:$B,0)+COLUMN(G$1),1))</f>
        <v>0</v>
      </c>
      <c r="AY82">
        <f>IF($A82="","", INDEX(CS!$B$1:$B$12828,MATCH($A82,CS!$B:$B,0)+COLUMN(H$1),1))</f>
        <v>0</v>
      </c>
      <c r="AZ82">
        <f>IF($A82="","", INDEX(CS!$B$1:$B$12828,MATCH($A82,CS!$B:$B,0)+COLUMN(I$1),1))</f>
        <v>0</v>
      </c>
      <c r="BA82">
        <f>IF($A82="","", INDEX(CS!$B$1:$B$12828,MATCH($A82,CS!$B:$B,0)+COLUMN(J$1),1))</f>
        <v>0</v>
      </c>
      <c r="BL82" t="s">
        <v>956</v>
      </c>
      <c r="BM82" s="53">
        <v>80</v>
      </c>
      <c r="BN82" s="52">
        <v>10</v>
      </c>
      <c r="BO82" s="52">
        <v>10</v>
      </c>
      <c r="BP82" s="52">
        <v>50</v>
      </c>
      <c r="BQ82" s="52">
        <v>10</v>
      </c>
      <c r="BV82" t="s">
        <v>968</v>
      </c>
      <c r="BW82" t="s">
        <v>968</v>
      </c>
      <c r="BZ82" t="s">
        <v>968</v>
      </c>
      <c r="CC82" t="s">
        <v>194</v>
      </c>
    </row>
    <row r="83" spans="1:81" x14ac:dyDescent="0.4">
      <c r="A83" t="s">
        <v>202</v>
      </c>
      <c r="C83" t="s">
        <v>194</v>
      </c>
      <c r="D83" t="str">
        <f t="shared" si="1"/>
        <v>710/490/220</v>
      </c>
      <c r="E83">
        <v>1</v>
      </c>
      <c r="F83">
        <v>100</v>
      </c>
      <c r="G83">
        <v>100</v>
      </c>
      <c r="H83">
        <v>90</v>
      </c>
      <c r="I83" s="24">
        <v>0</v>
      </c>
      <c r="J83">
        <v>50</v>
      </c>
      <c r="K83">
        <v>75</v>
      </c>
      <c r="L83">
        <v>75</v>
      </c>
      <c r="M83">
        <v>300</v>
      </c>
      <c r="V83">
        <v>-35</v>
      </c>
      <c r="W83">
        <v>10</v>
      </c>
      <c r="Y83">
        <v>15</v>
      </c>
      <c r="Z83">
        <v>10</v>
      </c>
      <c r="AD83">
        <v>50</v>
      </c>
      <c r="AF83">
        <v>50</v>
      </c>
      <c r="AH83">
        <v>60</v>
      </c>
      <c r="AI83">
        <v>60</v>
      </c>
      <c r="AR83" t="str">
        <f>IF($A83="","", INDEX(CS!$B$1:$B$12828,MATCH($A83,CS!$B:$B,0)+COLUMN(A$1),1))</f>
        <v>爪</v>
      </c>
      <c r="AS83" t="str">
        <f>IF($A83="","", INDEX(CS!$B$1:$B$12828,MATCH($A83,CS!$B:$B,0)+COLUMN(B$1),1))</f>
        <v>牙</v>
      </c>
      <c r="AT83">
        <f>IF($A83="","", INDEX(CS!$B$1:$B$12828,MATCH($A83,CS!$B:$B,0)+COLUMN(C$1),1))</f>
        <v>0</v>
      </c>
      <c r="AU83">
        <f>IF($A83="","", INDEX(CS!$B$1:$B$12828,MATCH($A83,CS!$B:$B,0)+COLUMN(D$1),1))</f>
        <v>0</v>
      </c>
      <c r="AV83">
        <f>IF($A83="","", INDEX(CS!$B$1:$B$12828,MATCH($A83,CS!$B:$B,0)+COLUMN(E$1),1))</f>
        <v>0</v>
      </c>
      <c r="AW83">
        <f>IF($A83="","", INDEX(CS!$B$1:$B$12828,MATCH($A83,CS!$B:$B,0)+COLUMN(F$1),1))</f>
        <v>0</v>
      </c>
      <c r="AX83">
        <f>IF($A83="","", INDEX(CS!$B$1:$B$12828,MATCH($A83,CS!$B:$B,0)+COLUMN(G$1),1))</f>
        <v>0</v>
      </c>
      <c r="AY83">
        <f>IF($A83="","", INDEX(CS!$B$1:$B$12828,MATCH($A83,CS!$B:$B,0)+COLUMN(H$1),1))</f>
        <v>0</v>
      </c>
      <c r="AZ83">
        <f>IF($A83="","", INDEX(CS!$B$1:$B$12828,MATCH($A83,CS!$B:$B,0)+COLUMN(I$1),1))</f>
        <v>0</v>
      </c>
      <c r="BA83">
        <f>IF($A83="","", INDEX(CS!$B$1:$B$12828,MATCH($A83,CS!$B:$B,0)+COLUMN(J$1),1))</f>
        <v>0</v>
      </c>
      <c r="BL83" t="s">
        <v>956</v>
      </c>
      <c r="BM83" s="53">
        <v>130</v>
      </c>
      <c r="BN83" s="52">
        <v>20</v>
      </c>
      <c r="BO83" s="52">
        <v>20</v>
      </c>
      <c r="BP83" s="52">
        <v>80</v>
      </c>
      <c r="BQ83" s="52">
        <v>10</v>
      </c>
      <c r="BV83" t="s">
        <v>968</v>
      </c>
      <c r="BW83" t="s">
        <v>968</v>
      </c>
      <c r="BZ83" t="s">
        <v>968</v>
      </c>
      <c r="CC83" t="s">
        <v>194</v>
      </c>
    </row>
    <row r="84" spans="1:81" x14ac:dyDescent="0.4">
      <c r="A84" t="s">
        <v>204</v>
      </c>
      <c r="C84" t="s">
        <v>194</v>
      </c>
      <c r="D84" t="str">
        <f t="shared" si="1"/>
        <v>705/485/220</v>
      </c>
      <c r="E84">
        <v>1</v>
      </c>
      <c r="F84">
        <v>100</v>
      </c>
      <c r="G84">
        <v>100</v>
      </c>
      <c r="H84">
        <v>90</v>
      </c>
      <c r="I84" s="24">
        <v>0</v>
      </c>
      <c r="J84">
        <v>50</v>
      </c>
      <c r="K84">
        <v>65</v>
      </c>
      <c r="L84">
        <v>80</v>
      </c>
      <c r="M84">
        <v>280</v>
      </c>
      <c r="V84">
        <v>-35</v>
      </c>
      <c r="W84">
        <v>10</v>
      </c>
      <c r="Y84">
        <v>15</v>
      </c>
      <c r="Z84">
        <v>10</v>
      </c>
      <c r="AD84">
        <v>50</v>
      </c>
      <c r="AF84">
        <v>50</v>
      </c>
      <c r="AH84">
        <v>60</v>
      </c>
      <c r="AI84">
        <v>60</v>
      </c>
      <c r="AR84" t="str">
        <f>IF($A84="","", INDEX(CS!$B$1:$B$12828,MATCH($A84,CS!$B:$B,0)+COLUMN(A$1),1))</f>
        <v>牙</v>
      </c>
      <c r="AS84">
        <f>IF($A84="","", INDEX(CS!$B$1:$B$12828,MATCH($A84,CS!$B:$B,0)+COLUMN(B$1),1))</f>
        <v>0</v>
      </c>
      <c r="AT84">
        <f>IF($A84="","", INDEX(CS!$B$1:$B$12828,MATCH($A84,CS!$B:$B,0)+COLUMN(C$1),1))</f>
        <v>0</v>
      </c>
      <c r="AU84">
        <f>IF($A84="","", INDEX(CS!$B$1:$B$12828,MATCH($A84,CS!$B:$B,0)+COLUMN(D$1),1))</f>
        <v>0</v>
      </c>
      <c r="AV84">
        <f>IF($A84="","", INDEX(CS!$B$1:$B$12828,MATCH($A84,CS!$B:$B,0)+COLUMN(E$1),1))</f>
        <v>0</v>
      </c>
      <c r="AW84">
        <f>IF($A84="","", INDEX(CS!$B$1:$B$12828,MATCH($A84,CS!$B:$B,0)+COLUMN(F$1),1))</f>
        <v>0</v>
      </c>
      <c r="AX84">
        <f>IF($A84="","", INDEX(CS!$B$1:$B$12828,MATCH($A84,CS!$B:$B,0)+COLUMN(G$1),1))</f>
        <v>0</v>
      </c>
      <c r="AY84">
        <f>IF($A84="","", INDEX(CS!$B$1:$B$12828,MATCH($A84,CS!$B:$B,0)+COLUMN(H$1),1))</f>
        <v>0</v>
      </c>
      <c r="AZ84">
        <f>IF($A84="","", INDEX(CS!$B$1:$B$12828,MATCH($A84,CS!$B:$B,0)+COLUMN(I$1),1))</f>
        <v>0</v>
      </c>
      <c r="BA84">
        <f>IF($A84="","", INDEX(CS!$B$1:$B$12828,MATCH($A84,CS!$B:$B,0)+COLUMN(J$1),1))</f>
        <v>0</v>
      </c>
      <c r="BL84" t="s">
        <v>956</v>
      </c>
      <c r="BM84" s="53">
        <v>130</v>
      </c>
      <c r="BN84" s="52">
        <v>10</v>
      </c>
      <c r="BO84" s="52">
        <v>0</v>
      </c>
      <c r="BP84" s="52">
        <v>90</v>
      </c>
      <c r="BQ84" s="52">
        <v>30</v>
      </c>
      <c r="BV84" t="s">
        <v>968</v>
      </c>
      <c r="BW84" t="s">
        <v>968</v>
      </c>
      <c r="BX84" t="s">
        <v>968</v>
      </c>
      <c r="BZ84" t="s">
        <v>968</v>
      </c>
      <c r="CC84" t="s">
        <v>194</v>
      </c>
    </row>
    <row r="85" spans="1:81" x14ac:dyDescent="0.4">
      <c r="C85" t="s">
        <v>194</v>
      </c>
      <c r="D85" t="str">
        <f t="shared" si="1"/>
        <v>0/0/0</v>
      </c>
      <c r="E85">
        <v>1</v>
      </c>
      <c r="AR85" t="str">
        <f>IF($A85="","", INDEX(CS!$B$1:$B$12828,MATCH($A85,CS!$B:$B,0)+COLUMN(A$1),1))</f>
        <v/>
      </c>
      <c r="AS85" t="str">
        <f>IF($A85="","", INDEX(CS!$B$1:$B$12828,MATCH($A85,CS!$B:$B,0)+COLUMN(B$1),1))</f>
        <v/>
      </c>
      <c r="AT85" t="str">
        <f>IF($A85="","", INDEX(CS!$B$1:$B$12828,MATCH($A85,CS!$B:$B,0)+COLUMN(C$1),1))</f>
        <v/>
      </c>
      <c r="AU85" t="str">
        <f>IF($A85="","", INDEX(CS!$B$1:$B$12828,MATCH($A85,CS!$B:$B,0)+COLUMN(D$1),1))</f>
        <v/>
      </c>
      <c r="AV85" t="str">
        <f>IF($A85="","", INDEX(CS!$B$1:$B$12828,MATCH($A85,CS!$B:$B,0)+COLUMN(E$1),1))</f>
        <v/>
      </c>
      <c r="AW85" t="str">
        <f>IF($A85="","", INDEX(CS!$B$1:$B$12828,MATCH($A85,CS!$B:$B,0)+COLUMN(F$1),1))</f>
        <v/>
      </c>
      <c r="AX85" t="str">
        <f>IF($A85="","", INDEX(CS!$B$1:$B$12828,MATCH($A85,CS!$B:$B,0)+COLUMN(G$1),1))</f>
        <v/>
      </c>
      <c r="AY85" t="str">
        <f>IF($A85="","", INDEX(CS!$B$1:$B$12828,MATCH($A85,CS!$B:$B,0)+COLUMN(H$1),1))</f>
        <v/>
      </c>
      <c r="AZ85" t="str">
        <f>IF($A85="","", INDEX(CS!$B$1:$B$12828,MATCH($A85,CS!$B:$B,0)+COLUMN(I$1),1))</f>
        <v/>
      </c>
      <c r="BA85" t="str">
        <f>IF($A85="","", INDEX(CS!$B$1:$B$12828,MATCH($A85,CS!$B:$B,0)+COLUMN(J$1),1))</f>
        <v/>
      </c>
    </row>
    <row r="86" spans="1:81" x14ac:dyDescent="0.4">
      <c r="C86" t="s">
        <v>194</v>
      </c>
      <c r="D86" t="str">
        <f t="shared" ref="D86:D89" si="6">SUM(AC86:AQ86,F86:L86)&amp;"/"&amp;SUM(F86:L86)&amp;"/"&amp;SUM(AC86:AQ86)</f>
        <v>0/0/0</v>
      </c>
      <c r="E86">
        <v>1</v>
      </c>
      <c r="AR86" t="str">
        <f>IF($A86="","", INDEX(CS!$B$1:$B$12828,MATCH($A86,CS!$B:$B,0)+COLUMN(A$1),1))</f>
        <v/>
      </c>
      <c r="AS86" t="str">
        <f>IF($A86="","", INDEX(CS!$B$1:$B$12828,MATCH($A86,CS!$B:$B,0)+COLUMN(B$1),1))</f>
        <v/>
      </c>
      <c r="AT86" t="str">
        <f>IF($A86="","", INDEX(CS!$B$1:$B$12828,MATCH($A86,CS!$B:$B,0)+COLUMN(C$1),1))</f>
        <v/>
      </c>
      <c r="AU86" t="str">
        <f>IF($A86="","", INDEX(CS!$B$1:$B$12828,MATCH($A86,CS!$B:$B,0)+COLUMN(D$1),1))</f>
        <v/>
      </c>
      <c r="AV86" t="str">
        <f>IF($A86="","", INDEX(CS!$B$1:$B$12828,MATCH($A86,CS!$B:$B,0)+COLUMN(E$1),1))</f>
        <v/>
      </c>
      <c r="AW86" t="str">
        <f>IF($A86="","", INDEX(CS!$B$1:$B$12828,MATCH($A86,CS!$B:$B,0)+COLUMN(F$1),1))</f>
        <v/>
      </c>
      <c r="AX86" t="str">
        <f>IF($A86="","", INDEX(CS!$B$1:$B$12828,MATCH($A86,CS!$B:$B,0)+COLUMN(G$1),1))</f>
        <v/>
      </c>
      <c r="AY86" t="str">
        <f>IF($A86="","", INDEX(CS!$B$1:$B$12828,MATCH($A86,CS!$B:$B,0)+COLUMN(H$1),1))</f>
        <v/>
      </c>
      <c r="AZ86" t="str">
        <f>IF($A86="","", INDEX(CS!$B$1:$B$12828,MATCH($A86,CS!$B:$B,0)+COLUMN(I$1),1))</f>
        <v/>
      </c>
      <c r="BA86" t="str">
        <f>IF($A86="","", INDEX(CS!$B$1:$B$12828,MATCH($A86,CS!$B:$B,0)+COLUMN(J$1),1))</f>
        <v/>
      </c>
    </row>
    <row r="87" spans="1:81" x14ac:dyDescent="0.4">
      <c r="A87" t="s">
        <v>861</v>
      </c>
      <c r="C87" t="s">
        <v>194</v>
      </c>
      <c r="D87" t="str">
        <f t="shared" si="6"/>
        <v>0/0/0</v>
      </c>
      <c r="E87">
        <v>1</v>
      </c>
      <c r="P87" s="17">
        <v>50</v>
      </c>
      <c r="Q87" s="17">
        <v>-30</v>
      </c>
      <c r="AR87" t="str">
        <f>IF($A87="","", INDEX(CS!$B$1:$B$12828,MATCH($A87,CS!$B:$B,0)+COLUMN(A$1),1))</f>
        <v>炎の適用</v>
      </c>
      <c r="AS87">
        <f>IF($A87="","", INDEX(CS!$B$1:$B$12828,MATCH($A87,CS!$B:$B,0)+COLUMN(B$1),1))</f>
        <v>0</v>
      </c>
      <c r="AT87" t="str">
        <f>IF($A87="","", INDEX(CS!$B$1:$B$12828,MATCH($A87,CS!$B:$B,0)+COLUMN(C$1),1))</f>
        <v>炎の体</v>
      </c>
      <c r="AU87">
        <f>IF($A87="","", INDEX(CS!$B$1:$B$12828,MATCH($A87,CS!$B:$B,0)+COLUMN(D$1),1))</f>
        <v>0</v>
      </c>
      <c r="AV87">
        <f>IF($A87="","", INDEX(CS!$B$1:$B$12828,MATCH($A87,CS!$B:$B,0)+COLUMN(E$1),1))</f>
        <v>0</v>
      </c>
      <c r="AW87" t="str">
        <f>IF($A87="","", INDEX(CS!$B$1:$B$12828,MATCH($A87,CS!$B:$B,0)+COLUMN(F$1),1))</f>
        <v>火炎突撃</v>
      </c>
      <c r="AX87">
        <f>IF($A87="","", INDEX(CS!$B$1:$B$12828,MATCH($A87,CS!$B:$B,0)+COLUMN(G$1),1))</f>
        <v>0</v>
      </c>
      <c r="AY87">
        <f>IF($A87="","", INDEX(CS!$B$1:$B$12828,MATCH($A87,CS!$B:$B,0)+COLUMN(H$1),1))</f>
        <v>0</v>
      </c>
      <c r="AZ87" t="str">
        <f>IF($A87="","", INDEX(CS!$B$1:$B$12828,MATCH($A87,CS!$B:$B,0)+COLUMN(I$1),1))</f>
        <v>炎強化</v>
      </c>
      <c r="BA87" t="str">
        <f>IF($A87="","", INDEX(CS!$B$1:$B$12828,MATCH($A87,CS!$B:$B,0)+COLUMN(J$1),1))</f>
        <v>炎の唾</v>
      </c>
      <c r="BB87" t="s">
        <v>941</v>
      </c>
      <c r="BC87" t="s">
        <v>194</v>
      </c>
      <c r="BD87" s="36" t="s">
        <v>941</v>
      </c>
    </row>
    <row r="88" spans="1:81" x14ac:dyDescent="0.4">
      <c r="A88" t="s">
        <v>862</v>
      </c>
      <c r="C88" t="s">
        <v>194</v>
      </c>
      <c r="D88" t="str">
        <f t="shared" si="6"/>
        <v>0/0/0</v>
      </c>
      <c r="E88">
        <v>1</v>
      </c>
      <c r="P88" s="17">
        <v>-30</v>
      </c>
      <c r="Q88" s="17">
        <v>50</v>
      </c>
      <c r="AR88" t="str">
        <f>IF($A88="","", INDEX(CS!$B$1:$B$12828,MATCH($A88,CS!$B:$B,0)+COLUMN(A$1),1))</f>
        <v>氷の適用</v>
      </c>
      <c r="AS88">
        <f>IF($A88="","", INDEX(CS!$B$1:$B$12828,MATCH($A88,CS!$B:$B,0)+COLUMN(B$1),1))</f>
        <v>0</v>
      </c>
      <c r="AT88" t="str">
        <f>IF($A88="","", INDEX(CS!$B$1:$B$12828,MATCH($A88,CS!$B:$B,0)+COLUMN(C$1),1))</f>
        <v>氷の体</v>
      </c>
      <c r="AU88">
        <f>IF($A88="","", INDEX(CS!$B$1:$B$12828,MATCH($A88,CS!$B:$B,0)+COLUMN(D$1),1))</f>
        <v>0</v>
      </c>
      <c r="AV88">
        <f>IF($A88="","", INDEX(CS!$B$1:$B$12828,MATCH($A88,CS!$B:$B,0)+COLUMN(E$1),1))</f>
        <v>0</v>
      </c>
      <c r="AW88" t="str">
        <f>IF($A88="","", INDEX(CS!$B$1:$B$12828,MATCH($A88,CS!$B:$B,0)+COLUMN(F$1),1))</f>
        <v>氷結突撃</v>
      </c>
      <c r="AX88">
        <f>IF($A88="","", INDEX(CS!$B$1:$B$12828,MATCH($A88,CS!$B:$B,0)+COLUMN(G$1),1))</f>
        <v>0</v>
      </c>
      <c r="AY88">
        <f>IF($A88="","", INDEX(CS!$B$1:$B$12828,MATCH($A88,CS!$B:$B,0)+COLUMN(H$1),1))</f>
        <v>0</v>
      </c>
      <c r="AZ88" t="str">
        <f>IF($A88="","", INDEX(CS!$B$1:$B$12828,MATCH($A88,CS!$B:$B,0)+COLUMN(I$1),1))</f>
        <v>氷強化</v>
      </c>
      <c r="BA88" t="str">
        <f>IF($A88="","", INDEX(CS!$B$1:$B$12828,MATCH($A88,CS!$B:$B,0)+COLUMN(J$1),1))</f>
        <v>氷の唾</v>
      </c>
      <c r="BB88" t="s">
        <v>941</v>
      </c>
      <c r="BC88" t="s">
        <v>194</v>
      </c>
      <c r="BD88" s="36" t="s">
        <v>942</v>
      </c>
    </row>
    <row r="89" spans="1:81" x14ac:dyDescent="0.4">
      <c r="A89" t="s">
        <v>863</v>
      </c>
      <c r="C89" t="s">
        <v>194</v>
      </c>
      <c r="D89" t="str">
        <f t="shared" si="6"/>
        <v>0/0/0</v>
      </c>
      <c r="E89">
        <v>1</v>
      </c>
      <c r="AR89" t="str">
        <f>IF($A89="","", INDEX(CS!$B$1:$B$12828,MATCH($A89,CS!$B:$B,0)+COLUMN(A$1),1))</f>
        <v>風の適用</v>
      </c>
      <c r="AS89">
        <f>IF($A89="","", INDEX(CS!$B$1:$B$12828,MATCH($A89,CS!$B:$B,0)+COLUMN(B$1),1))</f>
        <v>0</v>
      </c>
      <c r="AT89" t="str">
        <f>IF($A89="","", INDEX(CS!$B$1:$B$12828,MATCH($A89,CS!$B:$B,0)+COLUMN(C$1),1))</f>
        <v>風の体</v>
      </c>
      <c r="AU89">
        <f>IF($A89="","", INDEX(CS!$B$1:$B$12828,MATCH($A89,CS!$B:$B,0)+COLUMN(D$1),1))</f>
        <v>0</v>
      </c>
      <c r="AV89">
        <f>IF($A89="","", INDEX(CS!$B$1:$B$12828,MATCH($A89,CS!$B:$B,0)+COLUMN(E$1),1))</f>
        <v>0</v>
      </c>
      <c r="AW89" t="str">
        <f>IF($A89="","", INDEX(CS!$B$1:$B$12828,MATCH($A89,CS!$B:$B,0)+COLUMN(F$1),1))</f>
        <v>暴風突撃</v>
      </c>
      <c r="AX89">
        <f>IF($A89="","", INDEX(CS!$B$1:$B$12828,MATCH($A89,CS!$B:$B,0)+COLUMN(G$1),1))</f>
        <v>0</v>
      </c>
      <c r="AY89">
        <f>IF($A89="","", INDEX(CS!$B$1:$B$12828,MATCH($A89,CS!$B:$B,0)+COLUMN(H$1),1))</f>
        <v>0</v>
      </c>
      <c r="AZ89" t="str">
        <f>IF($A89="","", INDEX(CS!$B$1:$B$12828,MATCH($A89,CS!$B:$B,0)+COLUMN(I$1),1))</f>
        <v>風強化</v>
      </c>
      <c r="BA89" t="str">
        <f>IF($A89="","", INDEX(CS!$B$1:$B$12828,MATCH($A89,CS!$B:$B,0)+COLUMN(J$1),1))</f>
        <v>風の唾</v>
      </c>
      <c r="BB89" t="s">
        <v>941</v>
      </c>
      <c r="BC89" t="s">
        <v>194</v>
      </c>
      <c r="BD89" s="36" t="s">
        <v>943</v>
      </c>
    </row>
    <row r="90" spans="1:81" x14ac:dyDescent="0.4">
      <c r="A90" t="s">
        <v>864</v>
      </c>
      <c r="C90" t="s">
        <v>194</v>
      </c>
      <c r="D90" t="str">
        <f t="shared" si="1"/>
        <v>0/0/0</v>
      </c>
      <c r="E90">
        <v>1</v>
      </c>
      <c r="R90" s="17">
        <v>50</v>
      </c>
      <c r="AR90" t="str">
        <f>IF($A90="","", INDEX(CS!$B$1:$B$12828,MATCH($A90,CS!$B:$B,0)+COLUMN(A$1),1))</f>
        <v>雷の適用</v>
      </c>
      <c r="AS90">
        <f>IF($A90="","", INDEX(CS!$B$1:$B$12828,MATCH($A90,CS!$B:$B,0)+COLUMN(B$1),1))</f>
        <v>0</v>
      </c>
      <c r="AT90" t="str">
        <f>IF($A90="","", INDEX(CS!$B$1:$B$12828,MATCH($A90,CS!$B:$B,0)+COLUMN(C$1),1))</f>
        <v>雷の体</v>
      </c>
      <c r="AU90">
        <f>IF($A90="","", INDEX(CS!$B$1:$B$12828,MATCH($A90,CS!$B:$B,0)+COLUMN(D$1),1))</f>
        <v>0</v>
      </c>
      <c r="AV90">
        <f>IF($A90="","", INDEX(CS!$B$1:$B$12828,MATCH($A90,CS!$B:$B,0)+COLUMN(E$1),1))</f>
        <v>0</v>
      </c>
      <c r="AW90" t="str">
        <f>IF($A90="","", INDEX(CS!$B$1:$B$12828,MATCH($A90,CS!$B:$B,0)+COLUMN(F$1),1))</f>
        <v>電撃突撃</v>
      </c>
      <c r="AX90">
        <f>IF($A90="","", INDEX(CS!$B$1:$B$12828,MATCH($A90,CS!$B:$B,0)+COLUMN(G$1),1))</f>
        <v>0</v>
      </c>
      <c r="AY90">
        <f>IF($A90="","", INDEX(CS!$B$1:$B$12828,MATCH($A90,CS!$B:$B,0)+COLUMN(H$1),1))</f>
        <v>0</v>
      </c>
      <c r="AZ90" t="str">
        <f>IF($A90="","", INDEX(CS!$B$1:$B$12828,MATCH($A90,CS!$B:$B,0)+COLUMN(I$1),1))</f>
        <v>雷強化</v>
      </c>
      <c r="BA90" t="str">
        <f>IF($A90="","", INDEX(CS!$B$1:$B$12828,MATCH($A90,CS!$B:$B,0)+COLUMN(J$1),1))</f>
        <v>雷の唾</v>
      </c>
      <c r="BB90" t="s">
        <v>941</v>
      </c>
      <c r="BC90" t="s">
        <v>194</v>
      </c>
      <c r="BD90" s="36" t="s">
        <v>944</v>
      </c>
    </row>
    <row r="91" spans="1:81" x14ac:dyDescent="0.4">
      <c r="A91" t="s">
        <v>865</v>
      </c>
      <c r="C91" t="s">
        <v>194</v>
      </c>
      <c r="D91" t="str">
        <f t="shared" si="1"/>
        <v>0/0/0</v>
      </c>
      <c r="E91">
        <v>1</v>
      </c>
      <c r="S91" s="17">
        <v>50</v>
      </c>
      <c r="T91" s="17">
        <v>-30</v>
      </c>
      <c r="AR91" t="str">
        <f>IF($A91="","", INDEX(CS!$B$1:$B$12828,MATCH($A91,CS!$B:$B,0)+COLUMN(A$1),1))</f>
        <v>毒の適用</v>
      </c>
      <c r="AS91">
        <f>IF($A91="","", INDEX(CS!$B$1:$B$12828,MATCH($A91,CS!$B:$B,0)+COLUMN(B$1),1))</f>
        <v>0</v>
      </c>
      <c r="AT91" t="str">
        <f>IF($A91="","", INDEX(CS!$B$1:$B$12828,MATCH($A91,CS!$B:$B,0)+COLUMN(C$1),1))</f>
        <v>毒の体</v>
      </c>
      <c r="AU91">
        <f>IF($A91="","", INDEX(CS!$B$1:$B$12828,MATCH($A91,CS!$B:$B,0)+COLUMN(D$1),1))</f>
        <v>0</v>
      </c>
      <c r="AV91">
        <f>IF($A91="","", INDEX(CS!$B$1:$B$12828,MATCH($A91,CS!$B:$B,0)+COLUMN(E$1),1))</f>
        <v>0</v>
      </c>
      <c r="AW91" t="str">
        <f>IF($A91="","", INDEX(CS!$B$1:$B$12828,MATCH($A91,CS!$B:$B,0)+COLUMN(F$1),1))</f>
        <v>腐蝕突撃</v>
      </c>
      <c r="AX91">
        <f>IF($A91="","", INDEX(CS!$B$1:$B$12828,MATCH($A91,CS!$B:$B,0)+COLUMN(G$1),1))</f>
        <v>0</v>
      </c>
      <c r="AY91">
        <f>IF($A91="","", INDEX(CS!$B$1:$B$12828,MATCH($A91,CS!$B:$B,0)+COLUMN(H$1),1))</f>
        <v>0</v>
      </c>
      <c r="AZ91" t="str">
        <f>IF($A91="","", INDEX(CS!$B$1:$B$12828,MATCH($A91,CS!$B:$B,0)+COLUMN(I$1),1))</f>
        <v>毒強化</v>
      </c>
      <c r="BA91" t="str">
        <f>IF($A91="","", INDEX(CS!$B$1:$B$12828,MATCH($A91,CS!$B:$B,0)+COLUMN(J$1),1))</f>
        <v>毒の唾</v>
      </c>
      <c r="BB91" t="s">
        <v>941</v>
      </c>
      <c r="BC91" t="s">
        <v>194</v>
      </c>
      <c r="BD91" s="36" t="s">
        <v>945</v>
      </c>
    </row>
    <row r="92" spans="1:81" x14ac:dyDescent="0.4">
      <c r="A92" t="s">
        <v>866</v>
      </c>
      <c r="C92" t="s">
        <v>194</v>
      </c>
      <c r="D92" t="str">
        <f t="shared" si="1"/>
        <v>0/0/0</v>
      </c>
      <c r="E92">
        <v>1</v>
      </c>
      <c r="Q92" s="17">
        <v>30</v>
      </c>
      <c r="Y92">
        <v>30</v>
      </c>
      <c r="AR92" t="str">
        <f>IF($A92="","", INDEX(CS!$B$1:$B$12828,MATCH($A92,CS!$B:$B,0)+COLUMN(A$1),1))</f>
        <v>水の適用</v>
      </c>
      <c r="AS92">
        <f>IF($A92="","", INDEX(CS!$B$1:$B$12828,MATCH($A92,CS!$B:$B,0)+COLUMN(B$1),1))</f>
        <v>0</v>
      </c>
      <c r="AT92" t="str">
        <f>IF($A92="","", INDEX(CS!$B$1:$B$12828,MATCH($A92,CS!$B:$B,0)+COLUMN(C$1),1))</f>
        <v>水の体</v>
      </c>
      <c r="AU92">
        <f>IF($A92="","", INDEX(CS!$B$1:$B$12828,MATCH($A92,CS!$B:$B,0)+COLUMN(D$1),1))</f>
        <v>0</v>
      </c>
      <c r="AV92">
        <f>IF($A92="","", INDEX(CS!$B$1:$B$12828,MATCH($A92,CS!$B:$B,0)+COLUMN(E$1),1))</f>
        <v>0</v>
      </c>
      <c r="AW92" t="str">
        <f>IF($A92="","", INDEX(CS!$B$1:$B$12828,MATCH($A92,CS!$B:$B,0)+COLUMN(F$1),1))</f>
        <v>突撃</v>
      </c>
      <c r="AX92">
        <f>IF($A92="","", INDEX(CS!$B$1:$B$12828,MATCH($A92,CS!$B:$B,0)+COLUMN(G$1),1))</f>
        <v>0</v>
      </c>
      <c r="AY92">
        <f>IF($A92="","", INDEX(CS!$B$1:$B$12828,MATCH($A92,CS!$B:$B,0)+COLUMN(H$1),1))</f>
        <v>0</v>
      </c>
      <c r="AZ92" t="str">
        <f>IF($A92="","", INDEX(CS!$B$1:$B$12828,MATCH($A92,CS!$B:$B,0)+COLUMN(I$1),1))</f>
        <v>水強化</v>
      </c>
      <c r="BA92" t="str">
        <f>IF($A92="","", INDEX(CS!$B$1:$B$12828,MATCH($A92,CS!$B:$B,0)+COLUMN(J$1),1))</f>
        <v>水の唾</v>
      </c>
      <c r="BB92" t="s">
        <v>941</v>
      </c>
      <c r="BC92" t="s">
        <v>194</v>
      </c>
      <c r="BD92" s="36" t="s">
        <v>946</v>
      </c>
    </row>
    <row r="93" spans="1:81" x14ac:dyDescent="0.4">
      <c r="C93" t="s">
        <v>194</v>
      </c>
      <c r="D93" t="str">
        <f t="shared" si="1"/>
        <v>0/0/0</v>
      </c>
      <c r="E93">
        <v>1</v>
      </c>
      <c r="AR93" t="str">
        <f>IF($A93="","", INDEX(CS!$B$1:$B$12828,MATCH($A93,CS!$B:$B,0)+COLUMN(A$1),1))</f>
        <v/>
      </c>
      <c r="AS93" t="str">
        <f>IF($A93="","", INDEX(CS!$B$1:$B$12828,MATCH($A93,CS!$B:$B,0)+COLUMN(B$1),1))</f>
        <v/>
      </c>
      <c r="AT93" t="str">
        <f>IF($A93="","", INDEX(CS!$B$1:$B$12828,MATCH($A93,CS!$B:$B,0)+COLUMN(C$1),1))</f>
        <v/>
      </c>
      <c r="AU93" t="str">
        <f>IF($A93="","", INDEX(CS!$B$1:$B$12828,MATCH($A93,CS!$B:$B,0)+COLUMN(D$1),1))</f>
        <v/>
      </c>
      <c r="AV93" t="str">
        <f>IF($A93="","", INDEX(CS!$B$1:$B$12828,MATCH($A93,CS!$B:$B,0)+COLUMN(E$1),1))</f>
        <v/>
      </c>
      <c r="AW93" t="str">
        <f>IF($A93="","", INDEX(CS!$B$1:$B$12828,MATCH($A93,CS!$B:$B,0)+COLUMN(F$1),1))</f>
        <v/>
      </c>
      <c r="AX93" t="str">
        <f>IF($A93="","", INDEX(CS!$B$1:$B$12828,MATCH($A93,CS!$B:$B,0)+COLUMN(G$1),1))</f>
        <v/>
      </c>
      <c r="AY93" t="str">
        <f>IF($A93="","", INDEX(CS!$B$1:$B$12828,MATCH($A93,CS!$B:$B,0)+COLUMN(H$1),1))</f>
        <v/>
      </c>
      <c r="AZ93" t="str">
        <f>IF($A93="","", INDEX(CS!$B$1:$B$12828,MATCH($A93,CS!$B:$B,0)+COLUMN(I$1),1))</f>
        <v/>
      </c>
      <c r="BA93" t="str">
        <f>IF($A93="","", INDEX(CS!$B$1:$B$12828,MATCH($A93,CS!$B:$B,0)+COLUMN(J$1),1))</f>
        <v/>
      </c>
    </row>
    <row r="94" spans="1:81" x14ac:dyDescent="0.4">
      <c r="C94" t="s">
        <v>194</v>
      </c>
      <c r="D94" t="str">
        <f t="shared" si="1"/>
        <v>0/0/0</v>
      </c>
      <c r="E94">
        <v>1</v>
      </c>
      <c r="AR94" t="str">
        <f>IF($A94="","", INDEX(CS!$B$1:$B$12828,MATCH($A94,CS!$B:$B,0)+COLUMN(A$1),1))</f>
        <v/>
      </c>
      <c r="AS94" t="str">
        <f>IF($A94="","", INDEX(CS!$B$1:$B$12828,MATCH($A94,CS!$B:$B,0)+COLUMN(B$1),1))</f>
        <v/>
      </c>
      <c r="AT94" t="str">
        <f>IF($A94="","", INDEX(CS!$B$1:$B$12828,MATCH($A94,CS!$B:$B,0)+COLUMN(C$1),1))</f>
        <v/>
      </c>
      <c r="AU94" t="str">
        <f>IF($A94="","", INDEX(CS!$B$1:$B$12828,MATCH($A94,CS!$B:$B,0)+COLUMN(D$1),1))</f>
        <v/>
      </c>
      <c r="AV94" t="str">
        <f>IF($A94="","", INDEX(CS!$B$1:$B$12828,MATCH($A94,CS!$B:$B,0)+COLUMN(E$1),1))</f>
        <v/>
      </c>
      <c r="AW94" t="str">
        <f>IF($A94="","", INDEX(CS!$B$1:$B$12828,MATCH($A94,CS!$B:$B,0)+COLUMN(F$1),1))</f>
        <v/>
      </c>
      <c r="AX94" t="str">
        <f>IF($A94="","", INDEX(CS!$B$1:$B$12828,MATCH($A94,CS!$B:$B,0)+COLUMN(G$1),1))</f>
        <v/>
      </c>
      <c r="AY94" t="str">
        <f>IF($A94="","", INDEX(CS!$B$1:$B$12828,MATCH($A94,CS!$B:$B,0)+COLUMN(H$1),1))</f>
        <v/>
      </c>
      <c r="AZ94" t="str">
        <f>IF($A94="","", INDEX(CS!$B$1:$B$12828,MATCH($A94,CS!$B:$B,0)+COLUMN(I$1),1))</f>
        <v/>
      </c>
      <c r="BA94" t="str">
        <f>IF($A94="","", INDEX(CS!$B$1:$B$12828,MATCH($A94,CS!$B:$B,0)+COLUMN(J$1),1))</f>
        <v/>
      </c>
      <c r="BM94" s="53"/>
      <c r="BN94" s="53"/>
      <c r="BO94" s="53"/>
      <c r="BP94" s="53"/>
      <c r="BQ94" s="53"/>
    </row>
    <row r="95" spans="1:81" x14ac:dyDescent="0.4">
      <c r="A95" t="s">
        <v>904</v>
      </c>
      <c r="C95" t="s">
        <v>194</v>
      </c>
      <c r="D95" t="str">
        <f t="shared" ref="D95:D158" si="7">SUM(AC95:AQ95,F95:L95)&amp;"/"&amp;SUM(F95:L95)&amp;"/"&amp;SUM(AC95:AQ95)</f>
        <v>505/505/0</v>
      </c>
      <c r="E95">
        <v>1</v>
      </c>
      <c r="F95">
        <v>100</v>
      </c>
      <c r="G95">
        <v>85</v>
      </c>
      <c r="H95">
        <v>70</v>
      </c>
      <c r="I95" s="24">
        <v>50</v>
      </c>
      <c r="J95">
        <v>50</v>
      </c>
      <c r="K95">
        <v>75</v>
      </c>
      <c r="L95">
        <v>75</v>
      </c>
      <c r="M95">
        <v>250</v>
      </c>
      <c r="N95" s="17">
        <v>5</v>
      </c>
      <c r="O95" s="17">
        <v>5</v>
      </c>
      <c r="S95" s="17">
        <v>5</v>
      </c>
      <c r="V95">
        <v>-15</v>
      </c>
      <c r="W95">
        <v>5</v>
      </c>
      <c r="X95">
        <v>5</v>
      </c>
      <c r="AR95" t="str">
        <f>IF($A95="","", INDEX(CS!$B$1:$B$12828,MATCH($A95,CS!$B:$B,0)+COLUMN(A$1),1))</f>
        <v>爪</v>
      </c>
      <c r="AS95">
        <f>IF($A95="","", INDEX(CS!$B$1:$B$12828,MATCH($A95,CS!$B:$B,0)+COLUMN(B$1),1))</f>
        <v>0</v>
      </c>
      <c r="AT95" t="str">
        <f>IF($A95="","", INDEX(CS!$B$1:$B$12828,MATCH($A95,CS!$B:$B,0)+COLUMN(C$1),1))</f>
        <v>翼</v>
      </c>
      <c r="AU95">
        <f>IF($A95="","", INDEX(CS!$B$1:$B$12828,MATCH($A95,CS!$B:$B,0)+COLUMN(D$1),1))</f>
        <v>0</v>
      </c>
      <c r="AV95" t="str">
        <f>IF($A95="","", INDEX(CS!$B$1:$B$12828,MATCH($A95,CS!$B:$B,0)+COLUMN(E$1),1))</f>
        <v>威圧</v>
      </c>
      <c r="AW95" t="str">
        <f>IF($A95="","", INDEX(CS!$B$1:$B$12828,MATCH($A95,CS!$B:$B,0)+COLUMN(F$1),1))</f>
        <v>毒の唾</v>
      </c>
      <c r="AX95">
        <f>IF($A95="","", INDEX(CS!$B$1:$B$12828,MATCH($A95,CS!$B:$B,0)+COLUMN(G$1),1))</f>
        <v>0</v>
      </c>
      <c r="AY95" t="str">
        <f>IF($A95="","", INDEX(CS!$B$1:$B$12828,MATCH($A95,CS!$B:$B,0)+COLUMN(H$1),1))</f>
        <v>毒の尾</v>
      </c>
      <c r="AZ95" t="str">
        <f>IF($A95="","", INDEX(CS!$B$1:$B$12828,MATCH($A95,CS!$B:$B,0)+COLUMN(I$1),1))</f>
        <v>外皮</v>
      </c>
      <c r="BA95">
        <f>IF($A95="","", INDEX(CS!$B$1:$B$12828,MATCH($A95,CS!$B:$B,0)+COLUMN(J$1),1))</f>
        <v>0</v>
      </c>
      <c r="BM95" s="53">
        <v>200</v>
      </c>
      <c r="BN95" s="52">
        <v>0</v>
      </c>
      <c r="BO95" s="52">
        <v>0</v>
      </c>
      <c r="BP95" s="52">
        <v>180</v>
      </c>
      <c r="BQ95" s="52">
        <v>20</v>
      </c>
      <c r="BV95" t="s">
        <v>968</v>
      </c>
      <c r="BW95" t="s">
        <v>968</v>
      </c>
      <c r="BX95" t="s">
        <v>968</v>
      </c>
      <c r="BY95" t="s">
        <v>968</v>
      </c>
      <c r="BZ95" t="s">
        <v>968</v>
      </c>
      <c r="CC95" t="s">
        <v>1051</v>
      </c>
    </row>
    <row r="96" spans="1:81" x14ac:dyDescent="0.4">
      <c r="C96" t="s">
        <v>194</v>
      </c>
      <c r="D96" t="str">
        <f t="shared" si="7"/>
        <v>0/0/0</v>
      </c>
      <c r="E96">
        <v>1</v>
      </c>
      <c r="AR96" t="str">
        <f>IF($A96="","", INDEX(CS!$B$1:$B$12828,MATCH($A96,CS!$B:$B,0)+COLUMN(A$1),1))</f>
        <v/>
      </c>
      <c r="AS96" t="str">
        <f>IF($A96="","", INDEX(CS!$B$1:$B$12828,MATCH($A96,CS!$B:$B,0)+COLUMN(B$1),1))</f>
        <v/>
      </c>
      <c r="AT96" t="str">
        <f>IF($A96="","", INDEX(CS!$B$1:$B$12828,MATCH($A96,CS!$B:$B,0)+COLUMN(C$1),1))</f>
        <v/>
      </c>
      <c r="AU96" t="str">
        <f>IF($A96="","", INDEX(CS!$B$1:$B$12828,MATCH($A96,CS!$B:$B,0)+COLUMN(D$1),1))</f>
        <v/>
      </c>
      <c r="AV96" t="str">
        <f>IF($A96="","", INDEX(CS!$B$1:$B$12828,MATCH($A96,CS!$B:$B,0)+COLUMN(E$1),1))</f>
        <v/>
      </c>
      <c r="AW96" t="str">
        <f>IF($A96="","", INDEX(CS!$B$1:$B$12828,MATCH($A96,CS!$B:$B,0)+COLUMN(F$1),1))</f>
        <v/>
      </c>
      <c r="AX96" t="str">
        <f>IF($A96="","", INDEX(CS!$B$1:$B$12828,MATCH($A96,CS!$B:$B,0)+COLUMN(G$1),1))</f>
        <v/>
      </c>
      <c r="AY96" t="str">
        <f>IF($A96="","", INDEX(CS!$B$1:$B$12828,MATCH($A96,CS!$B:$B,0)+COLUMN(H$1),1))</f>
        <v/>
      </c>
      <c r="AZ96" t="str">
        <f>IF($A96="","", INDEX(CS!$B$1:$B$12828,MATCH($A96,CS!$B:$B,0)+COLUMN(I$1),1))</f>
        <v/>
      </c>
      <c r="BA96" t="str">
        <f>IF($A96="","", INDEX(CS!$B$1:$B$12828,MATCH($A96,CS!$B:$B,0)+COLUMN(J$1),1))</f>
        <v/>
      </c>
    </row>
    <row r="97" spans="3:53" x14ac:dyDescent="0.4">
      <c r="C97" t="s">
        <v>194</v>
      </c>
      <c r="D97" t="str">
        <f t="shared" si="7"/>
        <v>0/0/0</v>
      </c>
      <c r="E97">
        <v>1</v>
      </c>
      <c r="AR97" t="str">
        <f>IF($A97="","", INDEX(CS!$B$1:$B$12828,MATCH($A97,CS!$B:$B,0)+COLUMN(A$1),1))</f>
        <v/>
      </c>
      <c r="AS97" t="str">
        <f>IF($A97="","", INDEX(CS!$B$1:$B$12828,MATCH($A97,CS!$B:$B,0)+COLUMN(B$1),1))</f>
        <v/>
      </c>
      <c r="AT97" t="str">
        <f>IF($A97="","", INDEX(CS!$B$1:$B$12828,MATCH($A97,CS!$B:$B,0)+COLUMN(C$1),1))</f>
        <v/>
      </c>
      <c r="AU97" t="str">
        <f>IF($A97="","", INDEX(CS!$B$1:$B$12828,MATCH($A97,CS!$B:$B,0)+COLUMN(D$1),1))</f>
        <v/>
      </c>
      <c r="AV97" t="str">
        <f>IF($A97="","", INDEX(CS!$B$1:$B$12828,MATCH($A97,CS!$B:$B,0)+COLUMN(E$1),1))</f>
        <v/>
      </c>
      <c r="AW97" t="str">
        <f>IF($A97="","", INDEX(CS!$B$1:$B$12828,MATCH($A97,CS!$B:$B,0)+COLUMN(F$1),1))</f>
        <v/>
      </c>
      <c r="AX97" t="str">
        <f>IF($A97="","", INDEX(CS!$B$1:$B$12828,MATCH($A97,CS!$B:$B,0)+COLUMN(G$1),1))</f>
        <v/>
      </c>
      <c r="AY97" t="str">
        <f>IF($A97="","", INDEX(CS!$B$1:$B$12828,MATCH($A97,CS!$B:$B,0)+COLUMN(H$1),1))</f>
        <v/>
      </c>
      <c r="AZ97" t="str">
        <f>IF($A97="","", INDEX(CS!$B$1:$B$12828,MATCH($A97,CS!$B:$B,0)+COLUMN(I$1),1))</f>
        <v/>
      </c>
      <c r="BA97" t="str">
        <f>IF($A97="","", INDEX(CS!$B$1:$B$12828,MATCH($A97,CS!$B:$B,0)+COLUMN(J$1),1))</f>
        <v/>
      </c>
    </row>
    <row r="98" spans="3:53" x14ac:dyDescent="0.4">
      <c r="C98" t="s">
        <v>194</v>
      </c>
      <c r="D98" t="str">
        <f t="shared" si="7"/>
        <v>0/0/0</v>
      </c>
      <c r="E98">
        <v>1</v>
      </c>
      <c r="AR98" t="str">
        <f>IF($A98="","", INDEX(CS!$B$1:$B$12828,MATCH($A98,CS!$B:$B,0)+COLUMN(A$1),1))</f>
        <v/>
      </c>
      <c r="AS98" t="str">
        <f>IF($A98="","", INDEX(CS!$B$1:$B$12828,MATCH($A98,CS!$B:$B,0)+COLUMN(B$1),1))</f>
        <v/>
      </c>
      <c r="AT98" t="str">
        <f>IF($A98="","", INDEX(CS!$B$1:$B$12828,MATCH($A98,CS!$B:$B,0)+COLUMN(C$1),1))</f>
        <v/>
      </c>
      <c r="AU98" t="str">
        <f>IF($A98="","", INDEX(CS!$B$1:$B$12828,MATCH($A98,CS!$B:$B,0)+COLUMN(D$1),1))</f>
        <v/>
      </c>
      <c r="AV98" t="str">
        <f>IF($A98="","", INDEX(CS!$B$1:$B$12828,MATCH($A98,CS!$B:$B,0)+COLUMN(E$1),1))</f>
        <v/>
      </c>
      <c r="AW98" t="str">
        <f>IF($A98="","", INDEX(CS!$B$1:$B$12828,MATCH($A98,CS!$B:$B,0)+COLUMN(F$1),1))</f>
        <v/>
      </c>
      <c r="AX98" t="str">
        <f>IF($A98="","", INDEX(CS!$B$1:$B$12828,MATCH($A98,CS!$B:$B,0)+COLUMN(G$1),1))</f>
        <v/>
      </c>
      <c r="AY98" t="str">
        <f>IF($A98="","", INDEX(CS!$B$1:$B$12828,MATCH($A98,CS!$B:$B,0)+COLUMN(H$1),1))</f>
        <v/>
      </c>
      <c r="AZ98" t="str">
        <f>IF($A98="","", INDEX(CS!$B$1:$B$12828,MATCH($A98,CS!$B:$B,0)+COLUMN(I$1),1))</f>
        <v/>
      </c>
      <c r="BA98" t="str">
        <f>IF($A98="","", INDEX(CS!$B$1:$B$12828,MATCH($A98,CS!$B:$B,0)+COLUMN(J$1),1))</f>
        <v/>
      </c>
    </row>
    <row r="99" spans="3:53" x14ac:dyDescent="0.4">
      <c r="C99" t="s">
        <v>194</v>
      </c>
      <c r="D99" t="str">
        <f t="shared" si="7"/>
        <v>0/0/0</v>
      </c>
      <c r="E99">
        <v>1</v>
      </c>
      <c r="AR99" t="str">
        <f>IF($A99="","", INDEX(CS!$B$1:$B$12828,MATCH($A99,CS!$B:$B,0)+COLUMN(A$1),1))</f>
        <v/>
      </c>
      <c r="AS99" t="str">
        <f>IF($A99="","", INDEX(CS!$B$1:$B$12828,MATCH($A99,CS!$B:$B,0)+COLUMN(B$1),1))</f>
        <v/>
      </c>
      <c r="AT99" t="str">
        <f>IF($A99="","", INDEX(CS!$B$1:$B$12828,MATCH($A99,CS!$B:$B,0)+COLUMN(C$1),1))</f>
        <v/>
      </c>
      <c r="AU99" t="str">
        <f>IF($A99="","", INDEX(CS!$B$1:$B$12828,MATCH($A99,CS!$B:$B,0)+COLUMN(D$1),1))</f>
        <v/>
      </c>
      <c r="AV99" t="str">
        <f>IF($A99="","", INDEX(CS!$B$1:$B$12828,MATCH($A99,CS!$B:$B,0)+COLUMN(E$1),1))</f>
        <v/>
      </c>
      <c r="AW99" t="str">
        <f>IF($A99="","", INDEX(CS!$B$1:$B$12828,MATCH($A99,CS!$B:$B,0)+COLUMN(F$1),1))</f>
        <v/>
      </c>
      <c r="AX99" t="str">
        <f>IF($A99="","", INDEX(CS!$B$1:$B$12828,MATCH($A99,CS!$B:$B,0)+COLUMN(G$1),1))</f>
        <v/>
      </c>
      <c r="AY99" t="str">
        <f>IF($A99="","", INDEX(CS!$B$1:$B$12828,MATCH($A99,CS!$B:$B,0)+COLUMN(H$1),1))</f>
        <v/>
      </c>
      <c r="AZ99" t="str">
        <f>IF($A99="","", INDEX(CS!$B$1:$B$12828,MATCH($A99,CS!$B:$B,0)+COLUMN(I$1),1))</f>
        <v/>
      </c>
      <c r="BA99" t="str">
        <f>IF($A99="","", INDEX(CS!$B$1:$B$12828,MATCH($A99,CS!$B:$B,0)+COLUMN(J$1),1))</f>
        <v/>
      </c>
    </row>
    <row r="100" spans="3:53" x14ac:dyDescent="0.4">
      <c r="C100" t="s">
        <v>194</v>
      </c>
      <c r="D100" t="str">
        <f t="shared" si="7"/>
        <v>0/0/0</v>
      </c>
      <c r="E100">
        <v>1</v>
      </c>
      <c r="AR100" t="str">
        <f>IF($A100="","", INDEX(CS!$B$1:$B$12828,MATCH($A100,CS!$B:$B,0)+COLUMN(A$1),1))</f>
        <v/>
      </c>
      <c r="AS100" t="str">
        <f>IF($A100="","", INDEX(CS!$B$1:$B$12828,MATCH($A100,CS!$B:$B,0)+COLUMN(B$1),1))</f>
        <v/>
      </c>
      <c r="AT100" t="str">
        <f>IF($A100="","", INDEX(CS!$B$1:$B$12828,MATCH($A100,CS!$B:$B,0)+COLUMN(C$1),1))</f>
        <v/>
      </c>
      <c r="AU100" t="str">
        <f>IF($A100="","", INDEX(CS!$B$1:$B$12828,MATCH($A100,CS!$B:$B,0)+COLUMN(D$1),1))</f>
        <v/>
      </c>
      <c r="AV100" t="str">
        <f>IF($A100="","", INDEX(CS!$B$1:$B$12828,MATCH($A100,CS!$B:$B,0)+COLUMN(E$1),1))</f>
        <v/>
      </c>
      <c r="AW100" t="str">
        <f>IF($A100="","", INDEX(CS!$B$1:$B$12828,MATCH($A100,CS!$B:$B,0)+COLUMN(F$1),1))</f>
        <v/>
      </c>
      <c r="AX100" t="str">
        <f>IF($A100="","", INDEX(CS!$B$1:$B$12828,MATCH($A100,CS!$B:$B,0)+COLUMN(G$1),1))</f>
        <v/>
      </c>
      <c r="AY100" t="str">
        <f>IF($A100="","", INDEX(CS!$B$1:$B$12828,MATCH($A100,CS!$B:$B,0)+COLUMN(H$1),1))</f>
        <v/>
      </c>
      <c r="AZ100" t="str">
        <f>IF($A100="","", INDEX(CS!$B$1:$B$12828,MATCH($A100,CS!$B:$B,0)+COLUMN(I$1),1))</f>
        <v/>
      </c>
      <c r="BA100" t="str">
        <f>IF($A100="","", INDEX(CS!$B$1:$B$12828,MATCH($A100,CS!$B:$B,0)+COLUMN(J$1),1))</f>
        <v/>
      </c>
    </row>
    <row r="101" spans="3:53" x14ac:dyDescent="0.4">
      <c r="C101" t="s">
        <v>194</v>
      </c>
      <c r="D101" t="str">
        <f t="shared" si="7"/>
        <v>0/0/0</v>
      </c>
      <c r="E101">
        <v>1</v>
      </c>
      <c r="AR101" t="str">
        <f>IF($A101="","", INDEX(CS!$B$1:$B$12828,MATCH($A101,CS!$B:$B,0)+COLUMN(A$1),1))</f>
        <v/>
      </c>
      <c r="AS101" t="str">
        <f>IF($A101="","", INDEX(CS!$B$1:$B$12828,MATCH($A101,CS!$B:$B,0)+COLUMN(B$1),1))</f>
        <v/>
      </c>
      <c r="AT101" t="str">
        <f>IF($A101="","", INDEX(CS!$B$1:$B$12828,MATCH($A101,CS!$B:$B,0)+COLUMN(C$1),1))</f>
        <v/>
      </c>
      <c r="AU101" t="str">
        <f>IF($A101="","", INDEX(CS!$B$1:$B$12828,MATCH($A101,CS!$B:$B,0)+COLUMN(D$1),1))</f>
        <v/>
      </c>
      <c r="AV101" t="str">
        <f>IF($A101="","", INDEX(CS!$B$1:$B$12828,MATCH($A101,CS!$B:$B,0)+COLUMN(E$1),1))</f>
        <v/>
      </c>
      <c r="AW101" t="str">
        <f>IF($A101="","", INDEX(CS!$B$1:$B$12828,MATCH($A101,CS!$B:$B,0)+COLUMN(F$1),1))</f>
        <v/>
      </c>
      <c r="AX101" t="str">
        <f>IF($A101="","", INDEX(CS!$B$1:$B$12828,MATCH($A101,CS!$B:$B,0)+COLUMN(G$1),1))</f>
        <v/>
      </c>
      <c r="AY101" t="str">
        <f>IF($A101="","", INDEX(CS!$B$1:$B$12828,MATCH($A101,CS!$B:$B,0)+COLUMN(H$1),1))</f>
        <v/>
      </c>
      <c r="AZ101" t="str">
        <f>IF($A101="","", INDEX(CS!$B$1:$B$12828,MATCH($A101,CS!$B:$B,0)+COLUMN(I$1),1))</f>
        <v/>
      </c>
      <c r="BA101" t="str">
        <f>IF($A101="","", INDEX(CS!$B$1:$B$12828,MATCH($A101,CS!$B:$B,0)+COLUMN(J$1),1))</f>
        <v/>
      </c>
    </row>
    <row r="102" spans="3:53" x14ac:dyDescent="0.4">
      <c r="C102" t="s">
        <v>194</v>
      </c>
      <c r="D102" t="str">
        <f t="shared" si="7"/>
        <v>0/0/0</v>
      </c>
      <c r="E102">
        <v>1</v>
      </c>
      <c r="AR102" t="str">
        <f>IF($A102="","", INDEX(CS!$B$1:$B$12828,MATCH($A102,CS!$B:$B,0)+COLUMN(A$1),1))</f>
        <v/>
      </c>
      <c r="AS102" t="str">
        <f>IF($A102="","", INDEX(CS!$B$1:$B$12828,MATCH($A102,CS!$B:$B,0)+COLUMN(B$1),1))</f>
        <v/>
      </c>
      <c r="AT102" t="str">
        <f>IF($A102="","", INDEX(CS!$B$1:$B$12828,MATCH($A102,CS!$B:$B,0)+COLUMN(C$1),1))</f>
        <v/>
      </c>
      <c r="AU102" t="str">
        <f>IF($A102="","", INDEX(CS!$B$1:$B$12828,MATCH($A102,CS!$B:$B,0)+COLUMN(D$1),1))</f>
        <v/>
      </c>
      <c r="AV102" t="str">
        <f>IF($A102="","", INDEX(CS!$B$1:$B$12828,MATCH($A102,CS!$B:$B,0)+COLUMN(E$1),1))</f>
        <v/>
      </c>
      <c r="AW102" t="str">
        <f>IF($A102="","", INDEX(CS!$B$1:$B$12828,MATCH($A102,CS!$B:$B,0)+COLUMN(F$1),1))</f>
        <v/>
      </c>
      <c r="AX102" t="str">
        <f>IF($A102="","", INDEX(CS!$B$1:$B$12828,MATCH($A102,CS!$B:$B,0)+COLUMN(G$1),1))</f>
        <v/>
      </c>
      <c r="AY102" t="str">
        <f>IF($A102="","", INDEX(CS!$B$1:$B$12828,MATCH($A102,CS!$B:$B,0)+COLUMN(H$1),1))</f>
        <v/>
      </c>
      <c r="AZ102" t="str">
        <f>IF($A102="","", INDEX(CS!$B$1:$B$12828,MATCH($A102,CS!$B:$B,0)+COLUMN(I$1),1))</f>
        <v/>
      </c>
      <c r="BA102" t="str">
        <f>IF($A102="","", INDEX(CS!$B$1:$B$12828,MATCH($A102,CS!$B:$B,0)+COLUMN(J$1),1))</f>
        <v/>
      </c>
    </row>
    <row r="103" spans="3:53" x14ac:dyDescent="0.4">
      <c r="C103" t="s">
        <v>194</v>
      </c>
      <c r="D103" t="str">
        <f t="shared" si="7"/>
        <v>0/0/0</v>
      </c>
      <c r="E103">
        <v>1</v>
      </c>
      <c r="AR103" t="str">
        <f>IF($A103="","", INDEX(CS!$B$1:$B$12828,MATCH($A103,CS!$B:$B,0)+COLUMN(A$1),1))</f>
        <v/>
      </c>
      <c r="AS103" t="str">
        <f>IF($A103="","", INDEX(CS!$B$1:$B$12828,MATCH($A103,CS!$B:$B,0)+COLUMN(B$1),1))</f>
        <v/>
      </c>
      <c r="AT103" t="str">
        <f>IF($A103="","", INDEX(CS!$B$1:$B$12828,MATCH($A103,CS!$B:$B,0)+COLUMN(C$1),1))</f>
        <v/>
      </c>
      <c r="AU103" t="str">
        <f>IF($A103="","", INDEX(CS!$B$1:$B$12828,MATCH($A103,CS!$B:$B,0)+COLUMN(D$1),1))</f>
        <v/>
      </c>
      <c r="AV103" t="str">
        <f>IF($A103="","", INDEX(CS!$B$1:$B$12828,MATCH($A103,CS!$B:$B,0)+COLUMN(E$1),1))</f>
        <v/>
      </c>
      <c r="AW103" t="str">
        <f>IF($A103="","", INDEX(CS!$B$1:$B$12828,MATCH($A103,CS!$B:$B,0)+COLUMN(F$1),1))</f>
        <v/>
      </c>
      <c r="AX103" t="str">
        <f>IF($A103="","", INDEX(CS!$B$1:$B$12828,MATCH($A103,CS!$B:$B,0)+COLUMN(G$1),1))</f>
        <v/>
      </c>
      <c r="AY103" t="str">
        <f>IF($A103="","", INDEX(CS!$B$1:$B$12828,MATCH($A103,CS!$B:$B,0)+COLUMN(H$1),1))</f>
        <v/>
      </c>
      <c r="AZ103" t="str">
        <f>IF($A103="","", INDEX(CS!$B$1:$B$12828,MATCH($A103,CS!$B:$B,0)+COLUMN(I$1),1))</f>
        <v/>
      </c>
      <c r="BA103" t="str">
        <f>IF($A103="","", INDEX(CS!$B$1:$B$12828,MATCH($A103,CS!$B:$B,0)+COLUMN(J$1),1))</f>
        <v/>
      </c>
    </row>
    <row r="104" spans="3:53" x14ac:dyDescent="0.4">
      <c r="C104" t="s">
        <v>194</v>
      </c>
      <c r="D104" t="str">
        <f t="shared" si="7"/>
        <v>0/0/0</v>
      </c>
      <c r="E104">
        <v>1</v>
      </c>
      <c r="AR104" t="str">
        <f>IF($A104="","", INDEX(CS!$B$1:$B$12828,MATCH($A104,CS!$B:$B,0)+COLUMN(A$1),1))</f>
        <v/>
      </c>
      <c r="AS104" t="str">
        <f>IF($A104="","", INDEX(CS!$B$1:$B$12828,MATCH($A104,CS!$B:$B,0)+COLUMN(B$1),1))</f>
        <v/>
      </c>
      <c r="AT104" t="str">
        <f>IF($A104="","", INDEX(CS!$B$1:$B$12828,MATCH($A104,CS!$B:$B,0)+COLUMN(C$1),1))</f>
        <v/>
      </c>
      <c r="AU104" t="str">
        <f>IF($A104="","", INDEX(CS!$B$1:$B$12828,MATCH($A104,CS!$B:$B,0)+COLUMN(D$1),1))</f>
        <v/>
      </c>
      <c r="AV104" t="str">
        <f>IF($A104="","", INDEX(CS!$B$1:$B$12828,MATCH($A104,CS!$B:$B,0)+COLUMN(E$1),1))</f>
        <v/>
      </c>
      <c r="AW104" t="str">
        <f>IF($A104="","", INDEX(CS!$B$1:$B$12828,MATCH($A104,CS!$B:$B,0)+COLUMN(F$1),1))</f>
        <v/>
      </c>
      <c r="AX104" t="str">
        <f>IF($A104="","", INDEX(CS!$B$1:$B$12828,MATCH($A104,CS!$B:$B,0)+COLUMN(G$1),1))</f>
        <v/>
      </c>
      <c r="AY104" t="str">
        <f>IF($A104="","", INDEX(CS!$B$1:$B$12828,MATCH($A104,CS!$B:$B,0)+COLUMN(H$1),1))</f>
        <v/>
      </c>
      <c r="AZ104" t="str">
        <f>IF($A104="","", INDEX(CS!$B$1:$B$12828,MATCH($A104,CS!$B:$B,0)+COLUMN(I$1),1))</f>
        <v/>
      </c>
      <c r="BA104" t="str">
        <f>IF($A104="","", INDEX(CS!$B$1:$B$12828,MATCH($A104,CS!$B:$B,0)+COLUMN(J$1),1))</f>
        <v/>
      </c>
    </row>
    <row r="105" spans="3:53" x14ac:dyDescent="0.4">
      <c r="C105" t="s">
        <v>194</v>
      </c>
      <c r="D105" t="str">
        <f t="shared" si="7"/>
        <v>0/0/0</v>
      </c>
      <c r="E105">
        <v>1</v>
      </c>
      <c r="AR105" t="str">
        <f>IF($A105="","", INDEX(CS!$B$1:$B$12828,MATCH($A105,CS!$B:$B,0)+COLUMN(A$1),1))</f>
        <v/>
      </c>
      <c r="AS105" t="str">
        <f>IF($A105="","", INDEX(CS!$B$1:$B$12828,MATCH($A105,CS!$B:$B,0)+COLUMN(B$1),1))</f>
        <v/>
      </c>
      <c r="AT105" t="str">
        <f>IF($A105="","", INDEX(CS!$B$1:$B$12828,MATCH($A105,CS!$B:$B,0)+COLUMN(C$1),1))</f>
        <v/>
      </c>
      <c r="AU105" t="str">
        <f>IF($A105="","", INDEX(CS!$B$1:$B$12828,MATCH($A105,CS!$B:$B,0)+COLUMN(D$1),1))</f>
        <v/>
      </c>
      <c r="AV105" t="str">
        <f>IF($A105="","", INDEX(CS!$B$1:$B$12828,MATCH($A105,CS!$B:$B,0)+COLUMN(E$1),1))</f>
        <v/>
      </c>
      <c r="AW105" t="str">
        <f>IF($A105="","", INDEX(CS!$B$1:$B$12828,MATCH($A105,CS!$B:$B,0)+COLUMN(F$1),1))</f>
        <v/>
      </c>
      <c r="AX105" t="str">
        <f>IF($A105="","", INDEX(CS!$B$1:$B$12828,MATCH($A105,CS!$B:$B,0)+COLUMN(G$1),1))</f>
        <v/>
      </c>
      <c r="AY105" t="str">
        <f>IF($A105="","", INDEX(CS!$B$1:$B$12828,MATCH($A105,CS!$B:$B,0)+COLUMN(H$1),1))</f>
        <v/>
      </c>
      <c r="AZ105" t="str">
        <f>IF($A105="","", INDEX(CS!$B$1:$B$12828,MATCH($A105,CS!$B:$B,0)+COLUMN(I$1),1))</f>
        <v/>
      </c>
      <c r="BA105" t="str">
        <f>IF($A105="","", INDEX(CS!$B$1:$B$12828,MATCH($A105,CS!$B:$B,0)+COLUMN(J$1),1))</f>
        <v/>
      </c>
    </row>
    <row r="106" spans="3:53" x14ac:dyDescent="0.4">
      <c r="C106" t="s">
        <v>194</v>
      </c>
      <c r="D106" t="str">
        <f t="shared" si="7"/>
        <v>0/0/0</v>
      </c>
      <c r="E106">
        <v>1</v>
      </c>
      <c r="AR106" t="str">
        <f>IF($A106="","", INDEX(CS!$B$1:$B$12828,MATCH($A106,CS!$B:$B,0)+COLUMN(A$1),1))</f>
        <v/>
      </c>
      <c r="AS106" t="str">
        <f>IF($A106="","", INDEX(CS!$B$1:$B$12828,MATCH($A106,CS!$B:$B,0)+COLUMN(B$1),1))</f>
        <v/>
      </c>
      <c r="AT106" t="str">
        <f>IF($A106="","", INDEX(CS!$B$1:$B$12828,MATCH($A106,CS!$B:$B,0)+COLUMN(C$1),1))</f>
        <v/>
      </c>
      <c r="AU106" t="str">
        <f>IF($A106="","", INDEX(CS!$B$1:$B$12828,MATCH($A106,CS!$B:$B,0)+COLUMN(D$1),1))</f>
        <v/>
      </c>
      <c r="AV106" t="str">
        <f>IF($A106="","", INDEX(CS!$B$1:$B$12828,MATCH($A106,CS!$B:$B,0)+COLUMN(E$1),1))</f>
        <v/>
      </c>
      <c r="AW106" t="str">
        <f>IF($A106="","", INDEX(CS!$B$1:$B$12828,MATCH($A106,CS!$B:$B,0)+COLUMN(F$1),1))</f>
        <v/>
      </c>
      <c r="AX106" t="str">
        <f>IF($A106="","", INDEX(CS!$B$1:$B$12828,MATCH($A106,CS!$B:$B,0)+COLUMN(G$1),1))</f>
        <v/>
      </c>
      <c r="AY106" t="str">
        <f>IF($A106="","", INDEX(CS!$B$1:$B$12828,MATCH($A106,CS!$B:$B,0)+COLUMN(H$1),1))</f>
        <v/>
      </c>
      <c r="AZ106" t="str">
        <f>IF($A106="","", INDEX(CS!$B$1:$B$12828,MATCH($A106,CS!$B:$B,0)+COLUMN(I$1),1))</f>
        <v/>
      </c>
      <c r="BA106" t="str">
        <f>IF($A106="","", INDEX(CS!$B$1:$B$12828,MATCH($A106,CS!$B:$B,0)+COLUMN(J$1),1))</f>
        <v/>
      </c>
    </row>
    <row r="107" spans="3:53" x14ac:dyDescent="0.4">
      <c r="C107" t="s">
        <v>194</v>
      </c>
      <c r="D107" t="str">
        <f t="shared" si="7"/>
        <v>0/0/0</v>
      </c>
      <c r="E107">
        <v>1</v>
      </c>
      <c r="AR107" t="str">
        <f>IF($A107="","", INDEX(CS!$B$1:$B$12828,MATCH($A107,CS!$B:$B,0)+COLUMN(A$1),1))</f>
        <v/>
      </c>
      <c r="AS107" t="str">
        <f>IF($A107="","", INDEX(CS!$B$1:$B$12828,MATCH($A107,CS!$B:$B,0)+COLUMN(B$1),1))</f>
        <v/>
      </c>
      <c r="AT107" t="str">
        <f>IF($A107="","", INDEX(CS!$B$1:$B$12828,MATCH($A107,CS!$B:$B,0)+COLUMN(C$1),1))</f>
        <v/>
      </c>
      <c r="AU107" t="str">
        <f>IF($A107="","", INDEX(CS!$B$1:$B$12828,MATCH($A107,CS!$B:$B,0)+COLUMN(D$1),1))</f>
        <v/>
      </c>
      <c r="AV107" t="str">
        <f>IF($A107="","", INDEX(CS!$B$1:$B$12828,MATCH($A107,CS!$B:$B,0)+COLUMN(E$1),1))</f>
        <v/>
      </c>
      <c r="AW107" t="str">
        <f>IF($A107="","", INDEX(CS!$B$1:$B$12828,MATCH($A107,CS!$B:$B,0)+COLUMN(F$1),1))</f>
        <v/>
      </c>
      <c r="AX107" t="str">
        <f>IF($A107="","", INDEX(CS!$B$1:$B$12828,MATCH($A107,CS!$B:$B,0)+COLUMN(G$1),1))</f>
        <v/>
      </c>
      <c r="AY107" t="str">
        <f>IF($A107="","", INDEX(CS!$B$1:$B$12828,MATCH($A107,CS!$B:$B,0)+COLUMN(H$1),1))</f>
        <v/>
      </c>
      <c r="AZ107" t="str">
        <f>IF($A107="","", INDEX(CS!$B$1:$B$12828,MATCH($A107,CS!$B:$B,0)+COLUMN(I$1),1))</f>
        <v/>
      </c>
      <c r="BA107" t="str">
        <f>IF($A107="","", INDEX(CS!$B$1:$B$12828,MATCH($A107,CS!$B:$B,0)+COLUMN(J$1),1))</f>
        <v/>
      </c>
    </row>
    <row r="108" spans="3:53" x14ac:dyDescent="0.4">
      <c r="C108" t="s">
        <v>194</v>
      </c>
      <c r="D108" t="str">
        <f t="shared" si="7"/>
        <v>0/0/0</v>
      </c>
      <c r="E108">
        <v>1</v>
      </c>
      <c r="AR108" t="str">
        <f>IF($A108="","", INDEX(CS!$B$1:$B$12828,MATCH($A108,CS!$B:$B,0)+COLUMN(A$1),1))</f>
        <v/>
      </c>
      <c r="AS108" t="str">
        <f>IF($A108="","", INDEX(CS!$B$1:$B$12828,MATCH($A108,CS!$B:$B,0)+COLUMN(B$1),1))</f>
        <v/>
      </c>
      <c r="AT108" t="str">
        <f>IF($A108="","", INDEX(CS!$B$1:$B$12828,MATCH($A108,CS!$B:$B,0)+COLUMN(C$1),1))</f>
        <v/>
      </c>
      <c r="AU108" t="str">
        <f>IF($A108="","", INDEX(CS!$B$1:$B$12828,MATCH($A108,CS!$B:$B,0)+COLUMN(D$1),1))</f>
        <v/>
      </c>
      <c r="AV108" t="str">
        <f>IF($A108="","", INDEX(CS!$B$1:$B$12828,MATCH($A108,CS!$B:$B,0)+COLUMN(E$1),1))</f>
        <v/>
      </c>
      <c r="AW108" t="str">
        <f>IF($A108="","", INDEX(CS!$B$1:$B$12828,MATCH($A108,CS!$B:$B,0)+COLUMN(F$1),1))</f>
        <v/>
      </c>
      <c r="AX108" t="str">
        <f>IF($A108="","", INDEX(CS!$B$1:$B$12828,MATCH($A108,CS!$B:$B,0)+COLUMN(G$1),1))</f>
        <v/>
      </c>
      <c r="AY108" t="str">
        <f>IF($A108="","", INDEX(CS!$B$1:$B$12828,MATCH($A108,CS!$B:$B,0)+COLUMN(H$1),1))</f>
        <v/>
      </c>
      <c r="AZ108" t="str">
        <f>IF($A108="","", INDEX(CS!$B$1:$B$12828,MATCH($A108,CS!$B:$B,0)+COLUMN(I$1),1))</f>
        <v/>
      </c>
      <c r="BA108" t="str">
        <f>IF($A108="","", INDEX(CS!$B$1:$B$12828,MATCH($A108,CS!$B:$B,0)+COLUMN(J$1),1))</f>
        <v/>
      </c>
    </row>
    <row r="109" spans="3:53" x14ac:dyDescent="0.4">
      <c r="C109" t="s">
        <v>194</v>
      </c>
      <c r="D109" t="str">
        <f t="shared" si="7"/>
        <v>0/0/0</v>
      </c>
      <c r="E109">
        <v>1</v>
      </c>
      <c r="AR109" t="str">
        <f>IF($A109="","", INDEX(CS!$B$1:$B$12828,MATCH($A109,CS!$B:$B,0)+COLUMN(A$1),1))</f>
        <v/>
      </c>
      <c r="AS109" t="str">
        <f>IF($A109="","", INDEX(CS!$B$1:$B$12828,MATCH($A109,CS!$B:$B,0)+COLUMN(B$1),1))</f>
        <v/>
      </c>
      <c r="AT109" t="str">
        <f>IF($A109="","", INDEX(CS!$B$1:$B$12828,MATCH($A109,CS!$B:$B,0)+COLUMN(C$1),1))</f>
        <v/>
      </c>
      <c r="AU109" t="str">
        <f>IF($A109="","", INDEX(CS!$B$1:$B$12828,MATCH($A109,CS!$B:$B,0)+COLUMN(D$1),1))</f>
        <v/>
      </c>
      <c r="AV109" t="str">
        <f>IF($A109="","", INDEX(CS!$B$1:$B$12828,MATCH($A109,CS!$B:$B,0)+COLUMN(E$1),1))</f>
        <v/>
      </c>
      <c r="AW109" t="str">
        <f>IF($A109="","", INDEX(CS!$B$1:$B$12828,MATCH($A109,CS!$B:$B,0)+COLUMN(F$1),1))</f>
        <v/>
      </c>
      <c r="AX109" t="str">
        <f>IF($A109="","", INDEX(CS!$B$1:$B$12828,MATCH($A109,CS!$B:$B,0)+COLUMN(G$1),1))</f>
        <v/>
      </c>
      <c r="AY109" t="str">
        <f>IF($A109="","", INDEX(CS!$B$1:$B$12828,MATCH($A109,CS!$B:$B,0)+COLUMN(H$1),1))</f>
        <v/>
      </c>
      <c r="AZ109" t="str">
        <f>IF($A109="","", INDEX(CS!$B$1:$B$12828,MATCH($A109,CS!$B:$B,0)+COLUMN(I$1),1))</f>
        <v/>
      </c>
      <c r="BA109" t="str">
        <f>IF($A109="","", INDEX(CS!$B$1:$B$12828,MATCH($A109,CS!$B:$B,0)+COLUMN(J$1),1))</f>
        <v/>
      </c>
    </row>
    <row r="110" spans="3:53" x14ac:dyDescent="0.4">
      <c r="C110" t="s">
        <v>194</v>
      </c>
      <c r="D110" t="str">
        <f t="shared" si="7"/>
        <v>0/0/0</v>
      </c>
      <c r="E110">
        <v>1</v>
      </c>
      <c r="AR110" t="str">
        <f>IF($A110="","", INDEX(CS!$B$1:$B$12828,MATCH($A110,CS!$B:$B,0)+COLUMN(A$1),1))</f>
        <v/>
      </c>
      <c r="AS110" t="str">
        <f>IF($A110="","", INDEX(CS!$B$1:$B$12828,MATCH($A110,CS!$B:$B,0)+COLUMN(B$1),1))</f>
        <v/>
      </c>
      <c r="AT110" t="str">
        <f>IF($A110="","", INDEX(CS!$B$1:$B$12828,MATCH($A110,CS!$B:$B,0)+COLUMN(C$1),1))</f>
        <v/>
      </c>
      <c r="AU110" t="str">
        <f>IF($A110="","", INDEX(CS!$B$1:$B$12828,MATCH($A110,CS!$B:$B,0)+COLUMN(D$1),1))</f>
        <v/>
      </c>
      <c r="AV110" t="str">
        <f>IF($A110="","", INDEX(CS!$B$1:$B$12828,MATCH($A110,CS!$B:$B,0)+COLUMN(E$1),1))</f>
        <v/>
      </c>
      <c r="AW110" t="str">
        <f>IF($A110="","", INDEX(CS!$B$1:$B$12828,MATCH($A110,CS!$B:$B,0)+COLUMN(F$1),1))</f>
        <v/>
      </c>
      <c r="AX110" t="str">
        <f>IF($A110="","", INDEX(CS!$B$1:$B$12828,MATCH($A110,CS!$B:$B,0)+COLUMN(G$1),1))</f>
        <v/>
      </c>
      <c r="AY110" t="str">
        <f>IF($A110="","", INDEX(CS!$B$1:$B$12828,MATCH($A110,CS!$B:$B,0)+COLUMN(H$1),1))</f>
        <v/>
      </c>
      <c r="AZ110" t="str">
        <f>IF($A110="","", INDEX(CS!$B$1:$B$12828,MATCH($A110,CS!$B:$B,0)+COLUMN(I$1),1))</f>
        <v/>
      </c>
      <c r="BA110" t="str">
        <f>IF($A110="","", INDEX(CS!$B$1:$B$12828,MATCH($A110,CS!$B:$B,0)+COLUMN(J$1),1))</f>
        <v/>
      </c>
    </row>
    <row r="111" spans="3:53" x14ac:dyDescent="0.4">
      <c r="C111" t="s">
        <v>194</v>
      </c>
      <c r="D111" t="str">
        <f t="shared" si="7"/>
        <v>0/0/0</v>
      </c>
      <c r="E111">
        <v>1</v>
      </c>
      <c r="AR111" t="str">
        <f>IF($A111="","", INDEX(CS!$B$1:$B$12828,MATCH($A111,CS!$B:$B,0)+COLUMN(A$1),1))</f>
        <v/>
      </c>
      <c r="AS111" t="str">
        <f>IF($A111="","", INDEX(CS!$B$1:$B$12828,MATCH($A111,CS!$B:$B,0)+COLUMN(B$1),1))</f>
        <v/>
      </c>
      <c r="AT111" t="str">
        <f>IF($A111="","", INDEX(CS!$B$1:$B$12828,MATCH($A111,CS!$B:$B,0)+COLUMN(C$1),1))</f>
        <v/>
      </c>
      <c r="AU111" t="str">
        <f>IF($A111="","", INDEX(CS!$B$1:$B$12828,MATCH($A111,CS!$B:$B,0)+COLUMN(D$1),1))</f>
        <v/>
      </c>
      <c r="AV111" t="str">
        <f>IF($A111="","", INDEX(CS!$B$1:$B$12828,MATCH($A111,CS!$B:$B,0)+COLUMN(E$1),1))</f>
        <v/>
      </c>
      <c r="AW111" t="str">
        <f>IF($A111="","", INDEX(CS!$B$1:$B$12828,MATCH($A111,CS!$B:$B,0)+COLUMN(F$1),1))</f>
        <v/>
      </c>
      <c r="AX111" t="str">
        <f>IF($A111="","", INDEX(CS!$B$1:$B$12828,MATCH($A111,CS!$B:$B,0)+COLUMN(G$1),1))</f>
        <v/>
      </c>
      <c r="AY111" t="str">
        <f>IF($A111="","", INDEX(CS!$B$1:$B$12828,MATCH($A111,CS!$B:$B,0)+COLUMN(H$1),1))</f>
        <v/>
      </c>
      <c r="AZ111" t="str">
        <f>IF($A111="","", INDEX(CS!$B$1:$B$12828,MATCH($A111,CS!$B:$B,0)+COLUMN(I$1),1))</f>
        <v/>
      </c>
      <c r="BA111" t="str">
        <f>IF($A111="","", INDEX(CS!$B$1:$B$12828,MATCH($A111,CS!$B:$B,0)+COLUMN(J$1),1))</f>
        <v/>
      </c>
    </row>
    <row r="112" spans="3:53" x14ac:dyDescent="0.4">
      <c r="C112" t="s">
        <v>194</v>
      </c>
      <c r="D112" t="str">
        <f t="shared" si="7"/>
        <v>0/0/0</v>
      </c>
      <c r="E112">
        <v>1</v>
      </c>
      <c r="AR112" t="str">
        <f>IF($A112="","", INDEX(CS!$B$1:$B$12828,MATCH($A112,CS!$B:$B,0)+COLUMN(A$1),1))</f>
        <v/>
      </c>
      <c r="AS112" t="str">
        <f>IF($A112="","", INDEX(CS!$B$1:$B$12828,MATCH($A112,CS!$B:$B,0)+COLUMN(B$1),1))</f>
        <v/>
      </c>
      <c r="AT112" t="str">
        <f>IF($A112="","", INDEX(CS!$B$1:$B$12828,MATCH($A112,CS!$B:$B,0)+COLUMN(C$1),1))</f>
        <v/>
      </c>
      <c r="AU112" t="str">
        <f>IF($A112="","", INDEX(CS!$B$1:$B$12828,MATCH($A112,CS!$B:$B,0)+COLUMN(D$1),1))</f>
        <v/>
      </c>
      <c r="AV112" t="str">
        <f>IF($A112="","", INDEX(CS!$B$1:$B$12828,MATCH($A112,CS!$B:$B,0)+COLUMN(E$1),1))</f>
        <v/>
      </c>
      <c r="AW112" t="str">
        <f>IF($A112="","", INDEX(CS!$B$1:$B$12828,MATCH($A112,CS!$B:$B,0)+COLUMN(F$1),1))</f>
        <v/>
      </c>
      <c r="AX112" t="str">
        <f>IF($A112="","", INDEX(CS!$B$1:$B$12828,MATCH($A112,CS!$B:$B,0)+COLUMN(G$1),1))</f>
        <v/>
      </c>
      <c r="AY112" t="str">
        <f>IF($A112="","", INDEX(CS!$B$1:$B$12828,MATCH($A112,CS!$B:$B,0)+COLUMN(H$1),1))</f>
        <v/>
      </c>
      <c r="AZ112" t="str">
        <f>IF($A112="","", INDEX(CS!$B$1:$B$12828,MATCH($A112,CS!$B:$B,0)+COLUMN(I$1),1))</f>
        <v/>
      </c>
      <c r="BA112" t="str">
        <f>IF($A112="","", INDEX(CS!$B$1:$B$12828,MATCH($A112,CS!$B:$B,0)+COLUMN(J$1),1))</f>
        <v/>
      </c>
    </row>
    <row r="113" spans="3:53" x14ac:dyDescent="0.4">
      <c r="C113" t="s">
        <v>194</v>
      </c>
      <c r="D113" t="str">
        <f t="shared" si="7"/>
        <v>0/0/0</v>
      </c>
      <c r="E113">
        <v>1</v>
      </c>
      <c r="AR113" t="str">
        <f>IF($A113="","", INDEX(CS!$B$1:$B$12828,MATCH($A113,CS!$B:$B,0)+COLUMN(A$1),1))</f>
        <v/>
      </c>
      <c r="AS113" t="str">
        <f>IF($A113="","", INDEX(CS!$B$1:$B$12828,MATCH($A113,CS!$B:$B,0)+COLUMN(B$1),1))</f>
        <v/>
      </c>
      <c r="AT113" t="str">
        <f>IF($A113="","", INDEX(CS!$B$1:$B$12828,MATCH($A113,CS!$B:$B,0)+COLUMN(C$1),1))</f>
        <v/>
      </c>
      <c r="AU113" t="str">
        <f>IF($A113="","", INDEX(CS!$B$1:$B$12828,MATCH($A113,CS!$B:$B,0)+COLUMN(D$1),1))</f>
        <v/>
      </c>
      <c r="AV113" t="str">
        <f>IF($A113="","", INDEX(CS!$B$1:$B$12828,MATCH($A113,CS!$B:$B,0)+COLUMN(E$1),1))</f>
        <v/>
      </c>
      <c r="AW113" t="str">
        <f>IF($A113="","", INDEX(CS!$B$1:$B$12828,MATCH($A113,CS!$B:$B,0)+COLUMN(F$1),1))</f>
        <v/>
      </c>
      <c r="AX113" t="str">
        <f>IF($A113="","", INDEX(CS!$B$1:$B$12828,MATCH($A113,CS!$B:$B,0)+COLUMN(G$1),1))</f>
        <v/>
      </c>
      <c r="AY113" t="str">
        <f>IF($A113="","", INDEX(CS!$B$1:$B$12828,MATCH($A113,CS!$B:$B,0)+COLUMN(H$1),1))</f>
        <v/>
      </c>
      <c r="AZ113" t="str">
        <f>IF($A113="","", INDEX(CS!$B$1:$B$12828,MATCH($A113,CS!$B:$B,0)+COLUMN(I$1),1))</f>
        <v/>
      </c>
      <c r="BA113" t="str">
        <f>IF($A113="","", INDEX(CS!$B$1:$B$12828,MATCH($A113,CS!$B:$B,0)+COLUMN(J$1),1))</f>
        <v/>
      </c>
    </row>
    <row r="114" spans="3:53" x14ac:dyDescent="0.4">
      <c r="C114" t="s">
        <v>194</v>
      </c>
      <c r="D114" t="str">
        <f t="shared" si="7"/>
        <v>0/0/0</v>
      </c>
      <c r="E114">
        <v>1</v>
      </c>
      <c r="AR114" t="str">
        <f>IF($A114="","", INDEX(CS!$B$1:$B$12828,MATCH($A114,CS!$B:$B,0)+COLUMN(A$1),1))</f>
        <v/>
      </c>
      <c r="AS114" t="str">
        <f>IF($A114="","", INDEX(CS!$B$1:$B$12828,MATCH($A114,CS!$B:$B,0)+COLUMN(B$1),1))</f>
        <v/>
      </c>
      <c r="AT114" t="str">
        <f>IF($A114="","", INDEX(CS!$B$1:$B$12828,MATCH($A114,CS!$B:$B,0)+COLUMN(C$1),1))</f>
        <v/>
      </c>
      <c r="AU114" t="str">
        <f>IF($A114="","", INDEX(CS!$B$1:$B$12828,MATCH($A114,CS!$B:$B,0)+COLUMN(D$1),1))</f>
        <v/>
      </c>
      <c r="AV114" t="str">
        <f>IF($A114="","", INDEX(CS!$B$1:$B$12828,MATCH($A114,CS!$B:$B,0)+COLUMN(E$1),1))</f>
        <v/>
      </c>
      <c r="AW114" t="str">
        <f>IF($A114="","", INDEX(CS!$B$1:$B$12828,MATCH($A114,CS!$B:$B,0)+COLUMN(F$1),1))</f>
        <v/>
      </c>
      <c r="AX114" t="str">
        <f>IF($A114="","", INDEX(CS!$B$1:$B$12828,MATCH($A114,CS!$B:$B,0)+COLUMN(G$1),1))</f>
        <v/>
      </c>
      <c r="AY114" t="str">
        <f>IF($A114="","", INDEX(CS!$B$1:$B$12828,MATCH($A114,CS!$B:$B,0)+COLUMN(H$1),1))</f>
        <v/>
      </c>
      <c r="AZ114" t="str">
        <f>IF($A114="","", INDEX(CS!$B$1:$B$12828,MATCH($A114,CS!$B:$B,0)+COLUMN(I$1),1))</f>
        <v/>
      </c>
      <c r="BA114" t="str">
        <f>IF($A114="","", INDEX(CS!$B$1:$B$12828,MATCH($A114,CS!$B:$B,0)+COLUMN(J$1),1))</f>
        <v/>
      </c>
    </row>
    <row r="115" spans="3:53" x14ac:dyDescent="0.4">
      <c r="C115" t="s">
        <v>194</v>
      </c>
      <c r="D115" t="str">
        <f t="shared" si="7"/>
        <v>0/0/0</v>
      </c>
      <c r="E115">
        <v>1</v>
      </c>
      <c r="AR115" t="str">
        <f>IF($A115="","", INDEX(CS!$B$1:$B$12828,MATCH($A115,CS!$B:$B,0)+COLUMN(A$1),1))</f>
        <v/>
      </c>
      <c r="AS115" t="str">
        <f>IF($A115="","", INDEX(CS!$B$1:$B$12828,MATCH($A115,CS!$B:$B,0)+COLUMN(B$1),1))</f>
        <v/>
      </c>
      <c r="AT115" t="str">
        <f>IF($A115="","", INDEX(CS!$B$1:$B$12828,MATCH($A115,CS!$B:$B,0)+COLUMN(C$1),1))</f>
        <v/>
      </c>
      <c r="AU115" t="str">
        <f>IF($A115="","", INDEX(CS!$B$1:$B$12828,MATCH($A115,CS!$B:$B,0)+COLUMN(D$1),1))</f>
        <v/>
      </c>
      <c r="AV115" t="str">
        <f>IF($A115="","", INDEX(CS!$B$1:$B$12828,MATCH($A115,CS!$B:$B,0)+COLUMN(E$1),1))</f>
        <v/>
      </c>
      <c r="AW115" t="str">
        <f>IF($A115="","", INDEX(CS!$B$1:$B$12828,MATCH($A115,CS!$B:$B,0)+COLUMN(F$1),1))</f>
        <v/>
      </c>
      <c r="AX115" t="str">
        <f>IF($A115="","", INDEX(CS!$B$1:$B$12828,MATCH($A115,CS!$B:$B,0)+COLUMN(G$1),1))</f>
        <v/>
      </c>
      <c r="AY115" t="str">
        <f>IF($A115="","", INDEX(CS!$B$1:$B$12828,MATCH($A115,CS!$B:$B,0)+COLUMN(H$1),1))</f>
        <v/>
      </c>
      <c r="AZ115" t="str">
        <f>IF($A115="","", INDEX(CS!$B$1:$B$12828,MATCH($A115,CS!$B:$B,0)+COLUMN(I$1),1))</f>
        <v/>
      </c>
      <c r="BA115" t="str">
        <f>IF($A115="","", INDEX(CS!$B$1:$B$12828,MATCH($A115,CS!$B:$B,0)+COLUMN(J$1),1))</f>
        <v/>
      </c>
    </row>
    <row r="116" spans="3:53" x14ac:dyDescent="0.4">
      <c r="C116" t="s">
        <v>194</v>
      </c>
      <c r="D116" t="str">
        <f t="shared" si="7"/>
        <v>0/0/0</v>
      </c>
      <c r="E116">
        <v>1</v>
      </c>
      <c r="AR116" t="str">
        <f>IF($A116="","", INDEX(CS!$B$1:$B$12828,MATCH($A116,CS!$B:$B,0)+COLUMN(A$1),1))</f>
        <v/>
      </c>
      <c r="AS116" t="str">
        <f>IF($A116="","", INDEX(CS!$B$1:$B$12828,MATCH($A116,CS!$B:$B,0)+COLUMN(B$1),1))</f>
        <v/>
      </c>
      <c r="AT116" t="str">
        <f>IF($A116="","", INDEX(CS!$B$1:$B$12828,MATCH($A116,CS!$B:$B,0)+COLUMN(C$1),1))</f>
        <v/>
      </c>
      <c r="AU116" t="str">
        <f>IF($A116="","", INDEX(CS!$B$1:$B$12828,MATCH($A116,CS!$B:$B,0)+COLUMN(D$1),1))</f>
        <v/>
      </c>
      <c r="AV116" t="str">
        <f>IF($A116="","", INDEX(CS!$B$1:$B$12828,MATCH($A116,CS!$B:$B,0)+COLUMN(E$1),1))</f>
        <v/>
      </c>
      <c r="AW116" t="str">
        <f>IF($A116="","", INDEX(CS!$B$1:$B$12828,MATCH($A116,CS!$B:$B,0)+COLUMN(F$1),1))</f>
        <v/>
      </c>
      <c r="AX116" t="str">
        <f>IF($A116="","", INDEX(CS!$B$1:$B$12828,MATCH($A116,CS!$B:$B,0)+COLUMN(G$1),1))</f>
        <v/>
      </c>
      <c r="AY116" t="str">
        <f>IF($A116="","", INDEX(CS!$B$1:$B$12828,MATCH($A116,CS!$B:$B,0)+COLUMN(H$1),1))</f>
        <v/>
      </c>
      <c r="AZ116" t="str">
        <f>IF($A116="","", INDEX(CS!$B$1:$B$12828,MATCH($A116,CS!$B:$B,0)+COLUMN(I$1),1))</f>
        <v/>
      </c>
      <c r="BA116" t="str">
        <f>IF($A116="","", INDEX(CS!$B$1:$B$12828,MATCH($A116,CS!$B:$B,0)+COLUMN(J$1),1))</f>
        <v/>
      </c>
    </row>
    <row r="117" spans="3:53" x14ac:dyDescent="0.4">
      <c r="C117" t="s">
        <v>194</v>
      </c>
      <c r="D117" t="str">
        <f t="shared" si="7"/>
        <v>0/0/0</v>
      </c>
      <c r="E117">
        <v>1</v>
      </c>
      <c r="AR117" t="str">
        <f>IF($A117="","", INDEX(CS!$B$1:$B$12828,MATCH($A117,CS!$B:$B,0)+COLUMN(A$1),1))</f>
        <v/>
      </c>
      <c r="AS117" t="str">
        <f>IF($A117="","", INDEX(CS!$B$1:$B$12828,MATCH($A117,CS!$B:$B,0)+COLUMN(B$1),1))</f>
        <v/>
      </c>
      <c r="AT117" t="str">
        <f>IF($A117="","", INDEX(CS!$B$1:$B$12828,MATCH($A117,CS!$B:$B,0)+COLUMN(C$1),1))</f>
        <v/>
      </c>
      <c r="AU117" t="str">
        <f>IF($A117="","", INDEX(CS!$B$1:$B$12828,MATCH($A117,CS!$B:$B,0)+COLUMN(D$1),1))</f>
        <v/>
      </c>
      <c r="AV117" t="str">
        <f>IF($A117="","", INDEX(CS!$B$1:$B$12828,MATCH($A117,CS!$B:$B,0)+COLUMN(E$1),1))</f>
        <v/>
      </c>
      <c r="AW117" t="str">
        <f>IF($A117="","", INDEX(CS!$B$1:$B$12828,MATCH($A117,CS!$B:$B,0)+COLUMN(F$1),1))</f>
        <v/>
      </c>
      <c r="AX117" t="str">
        <f>IF($A117="","", INDEX(CS!$B$1:$B$12828,MATCH($A117,CS!$B:$B,0)+COLUMN(G$1),1))</f>
        <v/>
      </c>
      <c r="AY117" t="str">
        <f>IF($A117="","", INDEX(CS!$B$1:$B$12828,MATCH($A117,CS!$B:$B,0)+COLUMN(H$1),1))</f>
        <v/>
      </c>
      <c r="AZ117" t="str">
        <f>IF($A117="","", INDEX(CS!$B$1:$B$12828,MATCH($A117,CS!$B:$B,0)+COLUMN(I$1),1))</f>
        <v/>
      </c>
      <c r="BA117" t="str">
        <f>IF($A117="","", INDEX(CS!$B$1:$B$12828,MATCH($A117,CS!$B:$B,0)+COLUMN(J$1),1))</f>
        <v/>
      </c>
    </row>
    <row r="118" spans="3:53" x14ac:dyDescent="0.4">
      <c r="C118" t="s">
        <v>194</v>
      </c>
      <c r="D118" t="str">
        <f t="shared" si="7"/>
        <v>0/0/0</v>
      </c>
      <c r="E118">
        <v>1</v>
      </c>
      <c r="AR118" t="str">
        <f>IF($A118="","", INDEX(CS!$B$1:$B$12828,MATCH($A118,CS!$B:$B,0)+COLUMN(A$1),1))</f>
        <v/>
      </c>
      <c r="AS118" t="str">
        <f>IF($A118="","", INDEX(CS!$B$1:$B$12828,MATCH($A118,CS!$B:$B,0)+COLUMN(B$1),1))</f>
        <v/>
      </c>
      <c r="AT118" t="str">
        <f>IF($A118="","", INDEX(CS!$B$1:$B$12828,MATCH($A118,CS!$B:$B,0)+COLUMN(C$1),1))</f>
        <v/>
      </c>
      <c r="AU118" t="str">
        <f>IF($A118="","", INDEX(CS!$B$1:$B$12828,MATCH($A118,CS!$B:$B,0)+COLUMN(D$1),1))</f>
        <v/>
      </c>
      <c r="AV118" t="str">
        <f>IF($A118="","", INDEX(CS!$B$1:$B$12828,MATCH($A118,CS!$B:$B,0)+COLUMN(E$1),1))</f>
        <v/>
      </c>
      <c r="AW118" t="str">
        <f>IF($A118="","", INDEX(CS!$B$1:$B$12828,MATCH($A118,CS!$B:$B,0)+COLUMN(F$1),1))</f>
        <v/>
      </c>
      <c r="AX118" t="str">
        <f>IF($A118="","", INDEX(CS!$B$1:$B$12828,MATCH($A118,CS!$B:$B,0)+COLUMN(G$1),1))</f>
        <v/>
      </c>
      <c r="AY118" t="str">
        <f>IF($A118="","", INDEX(CS!$B$1:$B$12828,MATCH($A118,CS!$B:$B,0)+COLUMN(H$1),1))</f>
        <v/>
      </c>
      <c r="AZ118" t="str">
        <f>IF($A118="","", INDEX(CS!$B$1:$B$12828,MATCH($A118,CS!$B:$B,0)+COLUMN(I$1),1))</f>
        <v/>
      </c>
      <c r="BA118" t="str">
        <f>IF($A118="","", INDEX(CS!$B$1:$B$12828,MATCH($A118,CS!$B:$B,0)+COLUMN(J$1),1))</f>
        <v/>
      </c>
    </row>
    <row r="119" spans="3:53" x14ac:dyDescent="0.4">
      <c r="C119" t="s">
        <v>194</v>
      </c>
      <c r="D119" t="str">
        <f t="shared" si="7"/>
        <v>0/0/0</v>
      </c>
      <c r="E119">
        <v>1</v>
      </c>
      <c r="AR119" t="str">
        <f>IF($A119="","", INDEX(CS!$B$1:$B$12828,MATCH($A119,CS!$B:$B,0)+COLUMN(A$1),1))</f>
        <v/>
      </c>
      <c r="AS119" t="str">
        <f>IF($A119="","", INDEX(CS!$B$1:$B$12828,MATCH($A119,CS!$B:$B,0)+COLUMN(B$1),1))</f>
        <v/>
      </c>
      <c r="AT119" t="str">
        <f>IF($A119="","", INDEX(CS!$B$1:$B$12828,MATCH($A119,CS!$B:$B,0)+COLUMN(C$1),1))</f>
        <v/>
      </c>
      <c r="AU119" t="str">
        <f>IF($A119="","", INDEX(CS!$B$1:$B$12828,MATCH($A119,CS!$B:$B,0)+COLUMN(D$1),1))</f>
        <v/>
      </c>
      <c r="AV119" t="str">
        <f>IF($A119="","", INDEX(CS!$B$1:$B$12828,MATCH($A119,CS!$B:$B,0)+COLUMN(E$1),1))</f>
        <v/>
      </c>
      <c r="AW119" t="str">
        <f>IF($A119="","", INDEX(CS!$B$1:$B$12828,MATCH($A119,CS!$B:$B,0)+COLUMN(F$1),1))</f>
        <v/>
      </c>
      <c r="AX119" t="str">
        <f>IF($A119="","", INDEX(CS!$B$1:$B$12828,MATCH($A119,CS!$B:$B,0)+COLUMN(G$1),1))</f>
        <v/>
      </c>
      <c r="AY119" t="str">
        <f>IF($A119="","", INDEX(CS!$B$1:$B$12828,MATCH($A119,CS!$B:$B,0)+COLUMN(H$1),1))</f>
        <v/>
      </c>
      <c r="AZ119" t="str">
        <f>IF($A119="","", INDEX(CS!$B$1:$B$12828,MATCH($A119,CS!$B:$B,0)+COLUMN(I$1),1))</f>
        <v/>
      </c>
      <c r="BA119" t="str">
        <f>IF($A119="","", INDEX(CS!$B$1:$B$12828,MATCH($A119,CS!$B:$B,0)+COLUMN(J$1),1))</f>
        <v/>
      </c>
    </row>
    <row r="120" spans="3:53" x14ac:dyDescent="0.4">
      <c r="C120" t="s">
        <v>194</v>
      </c>
      <c r="D120" t="str">
        <f t="shared" si="7"/>
        <v>0/0/0</v>
      </c>
      <c r="E120">
        <v>1</v>
      </c>
      <c r="AR120" t="str">
        <f>IF($A120="","", INDEX(CS!$B$1:$B$12828,MATCH($A120,CS!$B:$B,0)+COLUMN(A$1),1))</f>
        <v/>
      </c>
      <c r="AS120" t="str">
        <f>IF($A120="","", INDEX(CS!$B$1:$B$12828,MATCH($A120,CS!$B:$B,0)+COLUMN(B$1),1))</f>
        <v/>
      </c>
      <c r="AT120" t="str">
        <f>IF($A120="","", INDEX(CS!$B$1:$B$12828,MATCH($A120,CS!$B:$B,0)+COLUMN(C$1),1))</f>
        <v/>
      </c>
      <c r="AU120" t="str">
        <f>IF($A120="","", INDEX(CS!$B$1:$B$12828,MATCH($A120,CS!$B:$B,0)+COLUMN(D$1),1))</f>
        <v/>
      </c>
      <c r="AV120" t="str">
        <f>IF($A120="","", INDEX(CS!$B$1:$B$12828,MATCH($A120,CS!$B:$B,0)+COLUMN(E$1),1))</f>
        <v/>
      </c>
      <c r="AW120" t="str">
        <f>IF($A120="","", INDEX(CS!$B$1:$B$12828,MATCH($A120,CS!$B:$B,0)+COLUMN(F$1),1))</f>
        <v/>
      </c>
      <c r="AX120" t="str">
        <f>IF($A120="","", INDEX(CS!$B$1:$B$12828,MATCH($A120,CS!$B:$B,0)+COLUMN(G$1),1))</f>
        <v/>
      </c>
      <c r="AY120" t="str">
        <f>IF($A120="","", INDEX(CS!$B$1:$B$12828,MATCH($A120,CS!$B:$B,0)+COLUMN(H$1),1))</f>
        <v/>
      </c>
      <c r="AZ120" t="str">
        <f>IF($A120="","", INDEX(CS!$B$1:$B$12828,MATCH($A120,CS!$B:$B,0)+COLUMN(I$1),1))</f>
        <v/>
      </c>
      <c r="BA120" t="str">
        <f>IF($A120="","", INDEX(CS!$B$1:$B$12828,MATCH($A120,CS!$B:$B,0)+COLUMN(J$1),1))</f>
        <v/>
      </c>
    </row>
    <row r="121" spans="3:53" x14ac:dyDescent="0.4">
      <c r="C121" t="s">
        <v>194</v>
      </c>
      <c r="D121" t="str">
        <f t="shared" si="7"/>
        <v>0/0/0</v>
      </c>
      <c r="E121">
        <v>1</v>
      </c>
      <c r="AR121" t="str">
        <f>IF($A121="","", INDEX(CS!$B$1:$B$12828,MATCH($A121,CS!$B:$B,0)+COLUMN(A$1),1))</f>
        <v/>
      </c>
      <c r="AS121" t="str">
        <f>IF($A121="","", INDEX(CS!$B$1:$B$12828,MATCH($A121,CS!$B:$B,0)+COLUMN(B$1),1))</f>
        <v/>
      </c>
      <c r="AT121" t="str">
        <f>IF($A121="","", INDEX(CS!$B$1:$B$12828,MATCH($A121,CS!$B:$B,0)+COLUMN(C$1),1))</f>
        <v/>
      </c>
      <c r="AU121" t="str">
        <f>IF($A121="","", INDEX(CS!$B$1:$B$12828,MATCH($A121,CS!$B:$B,0)+COLUMN(D$1),1))</f>
        <v/>
      </c>
      <c r="AV121" t="str">
        <f>IF($A121="","", INDEX(CS!$B$1:$B$12828,MATCH($A121,CS!$B:$B,0)+COLUMN(E$1),1))</f>
        <v/>
      </c>
      <c r="AW121" t="str">
        <f>IF($A121="","", INDEX(CS!$B$1:$B$12828,MATCH($A121,CS!$B:$B,0)+COLUMN(F$1),1))</f>
        <v/>
      </c>
      <c r="AX121" t="str">
        <f>IF($A121="","", INDEX(CS!$B$1:$B$12828,MATCH($A121,CS!$B:$B,0)+COLUMN(G$1),1))</f>
        <v/>
      </c>
      <c r="AY121" t="str">
        <f>IF($A121="","", INDEX(CS!$B$1:$B$12828,MATCH($A121,CS!$B:$B,0)+COLUMN(H$1),1))</f>
        <v/>
      </c>
      <c r="AZ121" t="str">
        <f>IF($A121="","", INDEX(CS!$B$1:$B$12828,MATCH($A121,CS!$B:$B,0)+COLUMN(I$1),1))</f>
        <v/>
      </c>
      <c r="BA121" t="str">
        <f>IF($A121="","", INDEX(CS!$B$1:$B$12828,MATCH($A121,CS!$B:$B,0)+COLUMN(J$1),1))</f>
        <v/>
      </c>
    </row>
    <row r="122" spans="3:53" x14ac:dyDescent="0.4">
      <c r="C122" t="s">
        <v>194</v>
      </c>
      <c r="D122" t="str">
        <f t="shared" si="7"/>
        <v>0/0/0</v>
      </c>
      <c r="E122">
        <v>1</v>
      </c>
      <c r="AR122" t="str">
        <f>IF($A122="","", INDEX(CS!$B$1:$B$12828,MATCH($A122,CS!$B:$B,0)+COLUMN(A$1),1))</f>
        <v/>
      </c>
      <c r="AS122" t="str">
        <f>IF($A122="","", INDEX(CS!$B$1:$B$12828,MATCH($A122,CS!$B:$B,0)+COLUMN(B$1),1))</f>
        <v/>
      </c>
      <c r="AT122" t="str">
        <f>IF($A122="","", INDEX(CS!$B$1:$B$12828,MATCH($A122,CS!$B:$B,0)+COLUMN(C$1),1))</f>
        <v/>
      </c>
      <c r="AU122" t="str">
        <f>IF($A122="","", INDEX(CS!$B$1:$B$12828,MATCH($A122,CS!$B:$B,0)+COLUMN(D$1),1))</f>
        <v/>
      </c>
      <c r="AV122" t="str">
        <f>IF($A122="","", INDEX(CS!$B$1:$B$12828,MATCH($A122,CS!$B:$B,0)+COLUMN(E$1),1))</f>
        <v/>
      </c>
      <c r="AW122" t="str">
        <f>IF($A122="","", INDEX(CS!$B$1:$B$12828,MATCH($A122,CS!$B:$B,0)+COLUMN(F$1),1))</f>
        <v/>
      </c>
      <c r="AX122" t="str">
        <f>IF($A122="","", INDEX(CS!$B$1:$B$12828,MATCH($A122,CS!$B:$B,0)+COLUMN(G$1),1))</f>
        <v/>
      </c>
      <c r="AY122" t="str">
        <f>IF($A122="","", INDEX(CS!$B$1:$B$12828,MATCH($A122,CS!$B:$B,0)+COLUMN(H$1),1))</f>
        <v/>
      </c>
      <c r="AZ122" t="str">
        <f>IF($A122="","", INDEX(CS!$B$1:$B$12828,MATCH($A122,CS!$B:$B,0)+COLUMN(I$1),1))</f>
        <v/>
      </c>
      <c r="BA122" t="str">
        <f>IF($A122="","", INDEX(CS!$B$1:$B$12828,MATCH($A122,CS!$B:$B,0)+COLUMN(J$1),1))</f>
        <v/>
      </c>
    </row>
    <row r="123" spans="3:53" x14ac:dyDescent="0.4">
      <c r="C123" t="s">
        <v>194</v>
      </c>
      <c r="D123" t="str">
        <f t="shared" si="7"/>
        <v>0/0/0</v>
      </c>
      <c r="E123">
        <v>1</v>
      </c>
      <c r="AR123" t="str">
        <f>IF($A123="","", INDEX(CS!$B$1:$B$12828,MATCH($A123,CS!$B:$B,0)+COLUMN(A$1),1))</f>
        <v/>
      </c>
      <c r="AS123" t="str">
        <f>IF($A123="","", INDEX(CS!$B$1:$B$12828,MATCH($A123,CS!$B:$B,0)+COLUMN(B$1),1))</f>
        <v/>
      </c>
      <c r="AT123" t="str">
        <f>IF($A123="","", INDEX(CS!$B$1:$B$12828,MATCH($A123,CS!$B:$B,0)+COLUMN(C$1),1))</f>
        <v/>
      </c>
      <c r="AU123" t="str">
        <f>IF($A123="","", INDEX(CS!$B$1:$B$12828,MATCH($A123,CS!$B:$B,0)+COLUMN(D$1),1))</f>
        <v/>
      </c>
      <c r="AV123" t="str">
        <f>IF($A123="","", INDEX(CS!$B$1:$B$12828,MATCH($A123,CS!$B:$B,0)+COLUMN(E$1),1))</f>
        <v/>
      </c>
      <c r="AW123" t="str">
        <f>IF($A123="","", INDEX(CS!$B$1:$B$12828,MATCH($A123,CS!$B:$B,0)+COLUMN(F$1),1))</f>
        <v/>
      </c>
      <c r="AX123" t="str">
        <f>IF($A123="","", INDEX(CS!$B$1:$B$12828,MATCH($A123,CS!$B:$B,0)+COLUMN(G$1),1))</f>
        <v/>
      </c>
      <c r="AY123" t="str">
        <f>IF($A123="","", INDEX(CS!$B$1:$B$12828,MATCH($A123,CS!$B:$B,0)+COLUMN(H$1),1))</f>
        <v/>
      </c>
      <c r="AZ123" t="str">
        <f>IF($A123="","", INDEX(CS!$B$1:$B$12828,MATCH($A123,CS!$B:$B,0)+COLUMN(I$1),1))</f>
        <v/>
      </c>
      <c r="BA123" t="str">
        <f>IF($A123="","", INDEX(CS!$B$1:$B$12828,MATCH($A123,CS!$B:$B,0)+COLUMN(J$1),1))</f>
        <v/>
      </c>
    </row>
    <row r="124" spans="3:53" x14ac:dyDescent="0.4">
      <c r="C124" t="s">
        <v>194</v>
      </c>
      <c r="D124" t="str">
        <f t="shared" si="7"/>
        <v>0/0/0</v>
      </c>
      <c r="E124">
        <v>1</v>
      </c>
      <c r="AR124" t="str">
        <f>IF($A124="","", INDEX(CS!$B$1:$B$12828,MATCH($A124,CS!$B:$B,0)+COLUMN(A$1),1))</f>
        <v/>
      </c>
      <c r="AS124" t="str">
        <f>IF($A124="","", INDEX(CS!$B$1:$B$12828,MATCH($A124,CS!$B:$B,0)+COLUMN(B$1),1))</f>
        <v/>
      </c>
      <c r="AT124" t="str">
        <f>IF($A124="","", INDEX(CS!$B$1:$B$12828,MATCH($A124,CS!$B:$B,0)+COLUMN(C$1),1))</f>
        <v/>
      </c>
      <c r="AU124" t="str">
        <f>IF($A124="","", INDEX(CS!$B$1:$B$12828,MATCH($A124,CS!$B:$B,0)+COLUMN(D$1),1))</f>
        <v/>
      </c>
      <c r="AV124" t="str">
        <f>IF($A124="","", INDEX(CS!$B$1:$B$12828,MATCH($A124,CS!$B:$B,0)+COLUMN(E$1),1))</f>
        <v/>
      </c>
      <c r="AW124" t="str">
        <f>IF($A124="","", INDEX(CS!$B$1:$B$12828,MATCH($A124,CS!$B:$B,0)+COLUMN(F$1),1))</f>
        <v/>
      </c>
      <c r="AX124" t="str">
        <f>IF($A124="","", INDEX(CS!$B$1:$B$12828,MATCH($A124,CS!$B:$B,0)+COLUMN(G$1),1))</f>
        <v/>
      </c>
      <c r="AY124" t="str">
        <f>IF($A124="","", INDEX(CS!$B$1:$B$12828,MATCH($A124,CS!$B:$B,0)+COLUMN(H$1),1))</f>
        <v/>
      </c>
      <c r="AZ124" t="str">
        <f>IF($A124="","", INDEX(CS!$B$1:$B$12828,MATCH($A124,CS!$B:$B,0)+COLUMN(I$1),1))</f>
        <v/>
      </c>
      <c r="BA124" t="str">
        <f>IF($A124="","", INDEX(CS!$B$1:$B$12828,MATCH($A124,CS!$B:$B,0)+COLUMN(J$1),1))</f>
        <v/>
      </c>
    </row>
    <row r="125" spans="3:53" x14ac:dyDescent="0.4">
      <c r="C125" t="s">
        <v>194</v>
      </c>
      <c r="D125" t="str">
        <f t="shared" si="7"/>
        <v>0/0/0</v>
      </c>
      <c r="E125">
        <v>1</v>
      </c>
      <c r="AR125" t="str">
        <f>IF($A125="","", INDEX(CS!$B$1:$B$12828,MATCH($A125,CS!$B:$B,0)+COLUMN(A$1),1))</f>
        <v/>
      </c>
      <c r="AS125" t="str">
        <f>IF($A125="","", INDEX(CS!$B$1:$B$12828,MATCH($A125,CS!$B:$B,0)+COLUMN(B$1),1))</f>
        <v/>
      </c>
      <c r="AT125" t="str">
        <f>IF($A125="","", INDEX(CS!$B$1:$B$12828,MATCH($A125,CS!$B:$B,0)+COLUMN(C$1),1))</f>
        <v/>
      </c>
      <c r="AU125" t="str">
        <f>IF($A125="","", INDEX(CS!$B$1:$B$12828,MATCH($A125,CS!$B:$B,0)+COLUMN(D$1),1))</f>
        <v/>
      </c>
      <c r="AV125" t="str">
        <f>IF($A125="","", INDEX(CS!$B$1:$B$12828,MATCH($A125,CS!$B:$B,0)+COLUMN(E$1),1))</f>
        <v/>
      </c>
      <c r="AW125" t="str">
        <f>IF($A125="","", INDEX(CS!$B$1:$B$12828,MATCH($A125,CS!$B:$B,0)+COLUMN(F$1),1))</f>
        <v/>
      </c>
      <c r="AX125" t="str">
        <f>IF($A125="","", INDEX(CS!$B$1:$B$12828,MATCH($A125,CS!$B:$B,0)+COLUMN(G$1),1))</f>
        <v/>
      </c>
      <c r="AY125" t="str">
        <f>IF($A125="","", INDEX(CS!$B$1:$B$12828,MATCH($A125,CS!$B:$B,0)+COLUMN(H$1),1))</f>
        <v/>
      </c>
      <c r="AZ125" t="str">
        <f>IF($A125="","", INDEX(CS!$B$1:$B$12828,MATCH($A125,CS!$B:$B,0)+COLUMN(I$1),1))</f>
        <v/>
      </c>
      <c r="BA125" t="str">
        <f>IF($A125="","", INDEX(CS!$B$1:$B$12828,MATCH($A125,CS!$B:$B,0)+COLUMN(J$1),1))</f>
        <v/>
      </c>
    </row>
    <row r="126" spans="3:53" x14ac:dyDescent="0.4">
      <c r="C126" t="s">
        <v>194</v>
      </c>
      <c r="D126" t="str">
        <f t="shared" si="7"/>
        <v>0/0/0</v>
      </c>
      <c r="E126">
        <v>1</v>
      </c>
      <c r="AR126" t="str">
        <f>IF($A126="","", INDEX(CS!$B$1:$B$12828,MATCH($A126,CS!$B:$B,0)+COLUMN(A$1),1))</f>
        <v/>
      </c>
      <c r="AS126" t="str">
        <f>IF($A126="","", INDEX(CS!$B$1:$B$12828,MATCH($A126,CS!$B:$B,0)+COLUMN(B$1),1))</f>
        <v/>
      </c>
      <c r="AT126" t="str">
        <f>IF($A126="","", INDEX(CS!$B$1:$B$12828,MATCH($A126,CS!$B:$B,0)+COLUMN(C$1),1))</f>
        <v/>
      </c>
      <c r="AU126" t="str">
        <f>IF($A126="","", INDEX(CS!$B$1:$B$12828,MATCH($A126,CS!$B:$B,0)+COLUMN(D$1),1))</f>
        <v/>
      </c>
      <c r="AV126" t="str">
        <f>IF($A126="","", INDEX(CS!$B$1:$B$12828,MATCH($A126,CS!$B:$B,0)+COLUMN(E$1),1))</f>
        <v/>
      </c>
      <c r="AW126" t="str">
        <f>IF($A126="","", INDEX(CS!$B$1:$B$12828,MATCH($A126,CS!$B:$B,0)+COLUMN(F$1),1))</f>
        <v/>
      </c>
      <c r="AX126" t="str">
        <f>IF($A126="","", INDEX(CS!$B$1:$B$12828,MATCH($A126,CS!$B:$B,0)+COLUMN(G$1),1))</f>
        <v/>
      </c>
      <c r="AY126" t="str">
        <f>IF($A126="","", INDEX(CS!$B$1:$B$12828,MATCH($A126,CS!$B:$B,0)+COLUMN(H$1),1))</f>
        <v/>
      </c>
      <c r="AZ126" t="str">
        <f>IF($A126="","", INDEX(CS!$B$1:$B$12828,MATCH($A126,CS!$B:$B,0)+COLUMN(I$1),1))</f>
        <v/>
      </c>
      <c r="BA126" t="str">
        <f>IF($A126="","", INDEX(CS!$B$1:$B$12828,MATCH($A126,CS!$B:$B,0)+COLUMN(J$1),1))</f>
        <v/>
      </c>
    </row>
    <row r="127" spans="3:53" x14ac:dyDescent="0.4">
      <c r="C127" t="s">
        <v>194</v>
      </c>
      <c r="D127" t="str">
        <f t="shared" si="7"/>
        <v>0/0/0</v>
      </c>
      <c r="E127">
        <v>1</v>
      </c>
      <c r="AR127" t="str">
        <f>IF($A127="","", INDEX(CS!$B$1:$B$12828,MATCH($A127,CS!$B:$B,0)+COLUMN(A$1),1))</f>
        <v/>
      </c>
      <c r="AS127" t="str">
        <f>IF($A127="","", INDEX(CS!$B$1:$B$12828,MATCH($A127,CS!$B:$B,0)+COLUMN(B$1),1))</f>
        <v/>
      </c>
      <c r="AT127" t="str">
        <f>IF($A127="","", INDEX(CS!$B$1:$B$12828,MATCH($A127,CS!$B:$B,0)+COLUMN(C$1),1))</f>
        <v/>
      </c>
      <c r="AU127" t="str">
        <f>IF($A127="","", INDEX(CS!$B$1:$B$12828,MATCH($A127,CS!$B:$B,0)+COLUMN(D$1),1))</f>
        <v/>
      </c>
      <c r="AV127" t="str">
        <f>IF($A127="","", INDEX(CS!$B$1:$B$12828,MATCH($A127,CS!$B:$B,0)+COLUMN(E$1),1))</f>
        <v/>
      </c>
      <c r="AW127" t="str">
        <f>IF($A127="","", INDEX(CS!$B$1:$B$12828,MATCH($A127,CS!$B:$B,0)+COLUMN(F$1),1))</f>
        <v/>
      </c>
      <c r="AX127" t="str">
        <f>IF($A127="","", INDEX(CS!$B$1:$B$12828,MATCH($A127,CS!$B:$B,0)+COLUMN(G$1),1))</f>
        <v/>
      </c>
      <c r="AY127" t="str">
        <f>IF($A127="","", INDEX(CS!$B$1:$B$12828,MATCH($A127,CS!$B:$B,0)+COLUMN(H$1),1))</f>
        <v/>
      </c>
      <c r="AZ127" t="str">
        <f>IF($A127="","", INDEX(CS!$B$1:$B$12828,MATCH($A127,CS!$B:$B,0)+COLUMN(I$1),1))</f>
        <v/>
      </c>
      <c r="BA127" t="str">
        <f>IF($A127="","", INDEX(CS!$B$1:$B$12828,MATCH($A127,CS!$B:$B,0)+COLUMN(J$1),1))</f>
        <v/>
      </c>
    </row>
    <row r="128" spans="3:53" x14ac:dyDescent="0.4">
      <c r="C128" t="s">
        <v>194</v>
      </c>
      <c r="D128" t="str">
        <f t="shared" si="7"/>
        <v>0/0/0</v>
      </c>
      <c r="E128">
        <v>1</v>
      </c>
      <c r="AR128" t="str">
        <f>IF($A128="","", INDEX(CS!$B$1:$B$12828,MATCH($A128,CS!$B:$B,0)+COLUMN(A$1),1))</f>
        <v/>
      </c>
      <c r="AS128" t="str">
        <f>IF($A128="","", INDEX(CS!$B$1:$B$12828,MATCH($A128,CS!$B:$B,0)+COLUMN(B$1),1))</f>
        <v/>
      </c>
      <c r="AT128" t="str">
        <f>IF($A128="","", INDEX(CS!$B$1:$B$12828,MATCH($A128,CS!$B:$B,0)+COLUMN(C$1),1))</f>
        <v/>
      </c>
      <c r="AU128" t="str">
        <f>IF($A128="","", INDEX(CS!$B$1:$B$12828,MATCH($A128,CS!$B:$B,0)+COLUMN(D$1),1))</f>
        <v/>
      </c>
      <c r="AV128" t="str">
        <f>IF($A128="","", INDEX(CS!$B$1:$B$12828,MATCH($A128,CS!$B:$B,0)+COLUMN(E$1),1))</f>
        <v/>
      </c>
      <c r="AW128" t="str">
        <f>IF($A128="","", INDEX(CS!$B$1:$B$12828,MATCH($A128,CS!$B:$B,0)+COLUMN(F$1),1))</f>
        <v/>
      </c>
      <c r="AX128" t="str">
        <f>IF($A128="","", INDEX(CS!$B$1:$B$12828,MATCH($A128,CS!$B:$B,0)+COLUMN(G$1),1))</f>
        <v/>
      </c>
      <c r="AY128" t="str">
        <f>IF($A128="","", INDEX(CS!$B$1:$B$12828,MATCH($A128,CS!$B:$B,0)+COLUMN(H$1),1))</f>
        <v/>
      </c>
      <c r="AZ128" t="str">
        <f>IF($A128="","", INDEX(CS!$B$1:$B$12828,MATCH($A128,CS!$B:$B,0)+COLUMN(I$1),1))</f>
        <v/>
      </c>
      <c r="BA128" t="str">
        <f>IF($A128="","", INDEX(CS!$B$1:$B$12828,MATCH($A128,CS!$B:$B,0)+COLUMN(J$1),1))</f>
        <v/>
      </c>
    </row>
    <row r="129" spans="3:53" x14ac:dyDescent="0.4">
      <c r="C129" t="s">
        <v>194</v>
      </c>
      <c r="D129" t="str">
        <f t="shared" si="7"/>
        <v>0/0/0</v>
      </c>
      <c r="E129">
        <v>1</v>
      </c>
      <c r="AR129" t="str">
        <f>IF($A129="","", INDEX(CS!$B$1:$B$12828,MATCH($A129,CS!$B:$B,0)+COLUMN(A$1),1))</f>
        <v/>
      </c>
      <c r="AS129" t="str">
        <f>IF($A129="","", INDEX(CS!$B$1:$B$12828,MATCH($A129,CS!$B:$B,0)+COLUMN(B$1),1))</f>
        <v/>
      </c>
      <c r="AT129" t="str">
        <f>IF($A129="","", INDEX(CS!$B$1:$B$12828,MATCH($A129,CS!$B:$B,0)+COLUMN(C$1),1))</f>
        <v/>
      </c>
      <c r="AU129" t="str">
        <f>IF($A129="","", INDEX(CS!$B$1:$B$12828,MATCH($A129,CS!$B:$B,0)+COLUMN(D$1),1))</f>
        <v/>
      </c>
      <c r="AV129" t="str">
        <f>IF($A129="","", INDEX(CS!$B$1:$B$12828,MATCH($A129,CS!$B:$B,0)+COLUMN(E$1),1))</f>
        <v/>
      </c>
      <c r="AW129" t="str">
        <f>IF($A129="","", INDEX(CS!$B$1:$B$12828,MATCH($A129,CS!$B:$B,0)+COLUMN(F$1),1))</f>
        <v/>
      </c>
      <c r="AX129" t="str">
        <f>IF($A129="","", INDEX(CS!$B$1:$B$12828,MATCH($A129,CS!$B:$B,0)+COLUMN(G$1),1))</f>
        <v/>
      </c>
      <c r="AY129" t="str">
        <f>IF($A129="","", INDEX(CS!$B$1:$B$12828,MATCH($A129,CS!$B:$B,0)+COLUMN(H$1),1))</f>
        <v/>
      </c>
      <c r="AZ129" t="str">
        <f>IF($A129="","", INDEX(CS!$B$1:$B$12828,MATCH($A129,CS!$B:$B,0)+COLUMN(I$1),1))</f>
        <v/>
      </c>
      <c r="BA129" t="str">
        <f>IF($A129="","", INDEX(CS!$B$1:$B$12828,MATCH($A129,CS!$B:$B,0)+COLUMN(J$1),1))</f>
        <v/>
      </c>
    </row>
    <row r="130" spans="3:53" x14ac:dyDescent="0.4">
      <c r="C130" t="s">
        <v>194</v>
      </c>
      <c r="D130" t="str">
        <f t="shared" si="7"/>
        <v>0/0/0</v>
      </c>
      <c r="E130">
        <v>1</v>
      </c>
      <c r="AR130" t="str">
        <f>IF($A130="","", INDEX(CS!$B$1:$B$12828,MATCH($A130,CS!$B:$B,0)+COLUMN(A$1),1))</f>
        <v/>
      </c>
      <c r="AS130" t="str">
        <f>IF($A130="","", INDEX(CS!$B$1:$B$12828,MATCH($A130,CS!$B:$B,0)+COLUMN(B$1),1))</f>
        <v/>
      </c>
      <c r="AT130" t="str">
        <f>IF($A130="","", INDEX(CS!$B$1:$B$12828,MATCH($A130,CS!$B:$B,0)+COLUMN(C$1),1))</f>
        <v/>
      </c>
      <c r="AU130" t="str">
        <f>IF($A130="","", INDEX(CS!$B$1:$B$12828,MATCH($A130,CS!$B:$B,0)+COLUMN(D$1),1))</f>
        <v/>
      </c>
      <c r="AV130" t="str">
        <f>IF($A130="","", INDEX(CS!$B$1:$B$12828,MATCH($A130,CS!$B:$B,0)+COLUMN(E$1),1))</f>
        <v/>
      </c>
      <c r="AW130" t="str">
        <f>IF($A130="","", INDEX(CS!$B$1:$B$12828,MATCH($A130,CS!$B:$B,0)+COLUMN(F$1),1))</f>
        <v/>
      </c>
      <c r="AX130" t="str">
        <f>IF($A130="","", INDEX(CS!$B$1:$B$12828,MATCH($A130,CS!$B:$B,0)+COLUMN(G$1),1))</f>
        <v/>
      </c>
      <c r="AY130" t="str">
        <f>IF($A130="","", INDEX(CS!$B$1:$B$12828,MATCH($A130,CS!$B:$B,0)+COLUMN(H$1),1))</f>
        <v/>
      </c>
      <c r="AZ130" t="str">
        <f>IF($A130="","", INDEX(CS!$B$1:$B$12828,MATCH($A130,CS!$B:$B,0)+COLUMN(I$1),1))</f>
        <v/>
      </c>
      <c r="BA130" t="str">
        <f>IF($A130="","", INDEX(CS!$B$1:$B$12828,MATCH($A130,CS!$B:$B,0)+COLUMN(J$1),1))</f>
        <v/>
      </c>
    </row>
    <row r="131" spans="3:53" x14ac:dyDescent="0.4">
      <c r="C131" t="s">
        <v>194</v>
      </c>
      <c r="D131" t="str">
        <f t="shared" si="7"/>
        <v>0/0/0</v>
      </c>
      <c r="E131">
        <v>1</v>
      </c>
      <c r="AR131" t="str">
        <f>IF($A131="","", INDEX(CS!$B$1:$B$12828,MATCH($A131,CS!$B:$B,0)+COLUMN(A$1),1))</f>
        <v/>
      </c>
      <c r="AS131" t="str">
        <f>IF($A131="","", INDEX(CS!$B$1:$B$12828,MATCH($A131,CS!$B:$B,0)+COLUMN(B$1),1))</f>
        <v/>
      </c>
      <c r="AT131" t="str">
        <f>IF($A131="","", INDEX(CS!$B$1:$B$12828,MATCH($A131,CS!$B:$B,0)+COLUMN(C$1),1))</f>
        <v/>
      </c>
      <c r="AU131" t="str">
        <f>IF($A131="","", INDEX(CS!$B$1:$B$12828,MATCH($A131,CS!$B:$B,0)+COLUMN(D$1),1))</f>
        <v/>
      </c>
      <c r="AV131" t="str">
        <f>IF($A131="","", INDEX(CS!$B$1:$B$12828,MATCH($A131,CS!$B:$B,0)+COLUMN(E$1),1))</f>
        <v/>
      </c>
      <c r="AW131" t="str">
        <f>IF($A131="","", INDEX(CS!$B$1:$B$12828,MATCH($A131,CS!$B:$B,0)+COLUMN(F$1),1))</f>
        <v/>
      </c>
      <c r="AX131" t="str">
        <f>IF($A131="","", INDEX(CS!$B$1:$B$12828,MATCH($A131,CS!$B:$B,0)+COLUMN(G$1),1))</f>
        <v/>
      </c>
      <c r="AY131" t="str">
        <f>IF($A131="","", INDEX(CS!$B$1:$B$12828,MATCH($A131,CS!$B:$B,0)+COLUMN(H$1),1))</f>
        <v/>
      </c>
      <c r="AZ131" t="str">
        <f>IF($A131="","", INDEX(CS!$B$1:$B$12828,MATCH($A131,CS!$B:$B,0)+COLUMN(I$1),1))</f>
        <v/>
      </c>
      <c r="BA131" t="str">
        <f>IF($A131="","", INDEX(CS!$B$1:$B$12828,MATCH($A131,CS!$B:$B,0)+COLUMN(J$1),1))</f>
        <v/>
      </c>
    </row>
    <row r="132" spans="3:53" x14ac:dyDescent="0.4">
      <c r="C132" t="s">
        <v>194</v>
      </c>
      <c r="D132" t="str">
        <f t="shared" si="7"/>
        <v>0/0/0</v>
      </c>
      <c r="E132">
        <v>1</v>
      </c>
      <c r="AR132" t="str">
        <f>IF($A132="","", INDEX(CS!$B$1:$B$12828,MATCH($A132,CS!$B:$B,0)+COLUMN(A$1),1))</f>
        <v/>
      </c>
      <c r="AS132" t="str">
        <f>IF($A132="","", INDEX(CS!$B$1:$B$12828,MATCH($A132,CS!$B:$B,0)+COLUMN(B$1),1))</f>
        <v/>
      </c>
      <c r="AT132" t="str">
        <f>IF($A132="","", INDEX(CS!$B$1:$B$12828,MATCH($A132,CS!$B:$B,0)+COLUMN(C$1),1))</f>
        <v/>
      </c>
      <c r="AU132" t="str">
        <f>IF($A132="","", INDEX(CS!$B$1:$B$12828,MATCH($A132,CS!$B:$B,0)+COLUMN(D$1),1))</f>
        <v/>
      </c>
      <c r="AV132" t="str">
        <f>IF($A132="","", INDEX(CS!$B$1:$B$12828,MATCH($A132,CS!$B:$B,0)+COLUMN(E$1),1))</f>
        <v/>
      </c>
      <c r="AW132" t="str">
        <f>IF($A132="","", INDEX(CS!$B$1:$B$12828,MATCH($A132,CS!$B:$B,0)+COLUMN(F$1),1))</f>
        <v/>
      </c>
      <c r="AX132" t="str">
        <f>IF($A132="","", INDEX(CS!$B$1:$B$12828,MATCH($A132,CS!$B:$B,0)+COLUMN(G$1),1))</f>
        <v/>
      </c>
      <c r="AY132" t="str">
        <f>IF($A132="","", INDEX(CS!$B$1:$B$12828,MATCH($A132,CS!$B:$B,0)+COLUMN(H$1),1))</f>
        <v/>
      </c>
      <c r="AZ132" t="str">
        <f>IF($A132="","", INDEX(CS!$B$1:$B$12828,MATCH($A132,CS!$B:$B,0)+COLUMN(I$1),1))</f>
        <v/>
      </c>
      <c r="BA132" t="str">
        <f>IF($A132="","", INDEX(CS!$B$1:$B$12828,MATCH($A132,CS!$B:$B,0)+COLUMN(J$1),1))</f>
        <v/>
      </c>
    </row>
    <row r="133" spans="3:53" x14ac:dyDescent="0.4">
      <c r="C133" t="s">
        <v>194</v>
      </c>
      <c r="D133" t="str">
        <f t="shared" si="7"/>
        <v>0/0/0</v>
      </c>
      <c r="E133">
        <v>1</v>
      </c>
      <c r="AR133" t="str">
        <f>IF($A133="","", INDEX(CS!$B$1:$B$12828,MATCH($A133,CS!$B:$B,0)+COLUMN(A$1),1))</f>
        <v/>
      </c>
      <c r="AS133" t="str">
        <f>IF($A133="","", INDEX(CS!$B$1:$B$12828,MATCH($A133,CS!$B:$B,0)+COLUMN(B$1),1))</f>
        <v/>
      </c>
      <c r="AT133" t="str">
        <f>IF($A133="","", INDEX(CS!$B$1:$B$12828,MATCH($A133,CS!$B:$B,0)+COLUMN(C$1),1))</f>
        <v/>
      </c>
      <c r="AU133" t="str">
        <f>IF($A133="","", INDEX(CS!$B$1:$B$12828,MATCH($A133,CS!$B:$B,0)+COLUMN(D$1),1))</f>
        <v/>
      </c>
      <c r="AV133" t="str">
        <f>IF($A133="","", INDEX(CS!$B$1:$B$12828,MATCH($A133,CS!$B:$B,0)+COLUMN(E$1),1))</f>
        <v/>
      </c>
      <c r="AW133" t="str">
        <f>IF($A133="","", INDEX(CS!$B$1:$B$12828,MATCH($A133,CS!$B:$B,0)+COLUMN(F$1),1))</f>
        <v/>
      </c>
      <c r="AX133" t="str">
        <f>IF($A133="","", INDEX(CS!$B$1:$B$12828,MATCH($A133,CS!$B:$B,0)+COLUMN(G$1),1))</f>
        <v/>
      </c>
      <c r="AY133" t="str">
        <f>IF($A133="","", INDEX(CS!$B$1:$B$12828,MATCH($A133,CS!$B:$B,0)+COLUMN(H$1),1))</f>
        <v/>
      </c>
      <c r="AZ133" t="str">
        <f>IF($A133="","", INDEX(CS!$B$1:$B$12828,MATCH($A133,CS!$B:$B,0)+COLUMN(I$1),1))</f>
        <v/>
      </c>
      <c r="BA133" t="str">
        <f>IF($A133="","", INDEX(CS!$B$1:$B$12828,MATCH($A133,CS!$B:$B,0)+COLUMN(J$1),1))</f>
        <v/>
      </c>
    </row>
    <row r="134" spans="3:53" x14ac:dyDescent="0.4">
      <c r="C134" t="s">
        <v>194</v>
      </c>
      <c r="D134" t="str">
        <f t="shared" si="7"/>
        <v>0/0/0</v>
      </c>
      <c r="E134">
        <v>1</v>
      </c>
      <c r="AR134" t="str">
        <f>IF($A134="","", INDEX(CS!$B$1:$B$12828,MATCH($A134,CS!$B:$B,0)+COLUMN(A$1),1))</f>
        <v/>
      </c>
      <c r="AS134" t="str">
        <f>IF($A134="","", INDEX(CS!$B$1:$B$12828,MATCH($A134,CS!$B:$B,0)+COLUMN(B$1),1))</f>
        <v/>
      </c>
      <c r="AT134" t="str">
        <f>IF($A134="","", INDEX(CS!$B$1:$B$12828,MATCH($A134,CS!$B:$B,0)+COLUMN(C$1),1))</f>
        <v/>
      </c>
      <c r="AU134" t="str">
        <f>IF($A134="","", INDEX(CS!$B$1:$B$12828,MATCH($A134,CS!$B:$B,0)+COLUMN(D$1),1))</f>
        <v/>
      </c>
      <c r="AV134" t="str">
        <f>IF($A134="","", INDEX(CS!$B$1:$B$12828,MATCH($A134,CS!$B:$B,0)+COLUMN(E$1),1))</f>
        <v/>
      </c>
      <c r="AW134" t="str">
        <f>IF($A134="","", INDEX(CS!$B$1:$B$12828,MATCH($A134,CS!$B:$B,0)+COLUMN(F$1),1))</f>
        <v/>
      </c>
      <c r="AX134" t="str">
        <f>IF($A134="","", INDEX(CS!$B$1:$B$12828,MATCH($A134,CS!$B:$B,0)+COLUMN(G$1),1))</f>
        <v/>
      </c>
      <c r="AY134" t="str">
        <f>IF($A134="","", INDEX(CS!$B$1:$B$12828,MATCH($A134,CS!$B:$B,0)+COLUMN(H$1),1))</f>
        <v/>
      </c>
      <c r="AZ134" t="str">
        <f>IF($A134="","", INDEX(CS!$B$1:$B$12828,MATCH($A134,CS!$B:$B,0)+COLUMN(I$1),1))</f>
        <v/>
      </c>
      <c r="BA134" t="str">
        <f>IF($A134="","", INDEX(CS!$B$1:$B$12828,MATCH($A134,CS!$B:$B,0)+COLUMN(J$1),1))</f>
        <v/>
      </c>
    </row>
    <row r="135" spans="3:53" x14ac:dyDescent="0.4">
      <c r="C135" t="s">
        <v>194</v>
      </c>
      <c r="D135" t="str">
        <f t="shared" si="7"/>
        <v>0/0/0</v>
      </c>
      <c r="E135">
        <v>1</v>
      </c>
      <c r="AR135" t="str">
        <f>IF($A135="","", INDEX(CS!$B$1:$B$12828,MATCH($A135,CS!$B:$B,0)+COLUMN(A$1),1))</f>
        <v/>
      </c>
      <c r="AS135" t="str">
        <f>IF($A135="","", INDEX(CS!$B$1:$B$12828,MATCH($A135,CS!$B:$B,0)+COLUMN(B$1),1))</f>
        <v/>
      </c>
      <c r="AT135" t="str">
        <f>IF($A135="","", INDEX(CS!$B$1:$B$12828,MATCH($A135,CS!$B:$B,0)+COLUMN(C$1),1))</f>
        <v/>
      </c>
      <c r="AU135" t="str">
        <f>IF($A135="","", INDEX(CS!$B$1:$B$12828,MATCH($A135,CS!$B:$B,0)+COLUMN(D$1),1))</f>
        <v/>
      </c>
      <c r="AV135" t="str">
        <f>IF($A135="","", INDEX(CS!$B$1:$B$12828,MATCH($A135,CS!$B:$B,0)+COLUMN(E$1),1))</f>
        <v/>
      </c>
      <c r="AW135" t="str">
        <f>IF($A135="","", INDEX(CS!$B$1:$B$12828,MATCH($A135,CS!$B:$B,0)+COLUMN(F$1),1))</f>
        <v/>
      </c>
      <c r="AX135" t="str">
        <f>IF($A135="","", INDEX(CS!$B$1:$B$12828,MATCH($A135,CS!$B:$B,0)+COLUMN(G$1),1))</f>
        <v/>
      </c>
      <c r="AY135" t="str">
        <f>IF($A135="","", INDEX(CS!$B$1:$B$12828,MATCH($A135,CS!$B:$B,0)+COLUMN(H$1),1))</f>
        <v/>
      </c>
      <c r="AZ135" t="str">
        <f>IF($A135="","", INDEX(CS!$B$1:$B$12828,MATCH($A135,CS!$B:$B,0)+COLUMN(I$1),1))</f>
        <v/>
      </c>
      <c r="BA135" t="str">
        <f>IF($A135="","", INDEX(CS!$B$1:$B$12828,MATCH($A135,CS!$B:$B,0)+COLUMN(J$1),1))</f>
        <v/>
      </c>
    </row>
    <row r="136" spans="3:53" x14ac:dyDescent="0.4">
      <c r="C136" t="s">
        <v>194</v>
      </c>
      <c r="D136" t="str">
        <f t="shared" si="7"/>
        <v>0/0/0</v>
      </c>
      <c r="E136">
        <v>1</v>
      </c>
      <c r="AR136" t="str">
        <f>IF($A136="","", INDEX(CS!$B$1:$B$12828,MATCH($A136,CS!$B:$B,0)+COLUMN(A$1),1))</f>
        <v/>
      </c>
      <c r="AS136" t="str">
        <f>IF($A136="","", INDEX(CS!$B$1:$B$12828,MATCH($A136,CS!$B:$B,0)+COLUMN(B$1),1))</f>
        <v/>
      </c>
      <c r="AT136" t="str">
        <f>IF($A136="","", INDEX(CS!$B$1:$B$12828,MATCH($A136,CS!$B:$B,0)+COLUMN(C$1),1))</f>
        <v/>
      </c>
      <c r="AU136" t="str">
        <f>IF($A136="","", INDEX(CS!$B$1:$B$12828,MATCH($A136,CS!$B:$B,0)+COLUMN(D$1),1))</f>
        <v/>
      </c>
      <c r="AV136" t="str">
        <f>IF($A136="","", INDEX(CS!$B$1:$B$12828,MATCH($A136,CS!$B:$B,0)+COLUMN(E$1),1))</f>
        <v/>
      </c>
      <c r="AW136" t="str">
        <f>IF($A136="","", INDEX(CS!$B$1:$B$12828,MATCH($A136,CS!$B:$B,0)+COLUMN(F$1),1))</f>
        <v/>
      </c>
      <c r="AX136" t="str">
        <f>IF($A136="","", INDEX(CS!$B$1:$B$12828,MATCH($A136,CS!$B:$B,0)+COLUMN(G$1),1))</f>
        <v/>
      </c>
      <c r="AY136" t="str">
        <f>IF($A136="","", INDEX(CS!$B$1:$B$12828,MATCH($A136,CS!$B:$B,0)+COLUMN(H$1),1))</f>
        <v/>
      </c>
      <c r="AZ136" t="str">
        <f>IF($A136="","", INDEX(CS!$B$1:$B$12828,MATCH($A136,CS!$B:$B,0)+COLUMN(I$1),1))</f>
        <v/>
      </c>
      <c r="BA136" t="str">
        <f>IF($A136="","", INDEX(CS!$B$1:$B$12828,MATCH($A136,CS!$B:$B,0)+COLUMN(J$1),1))</f>
        <v/>
      </c>
    </row>
    <row r="137" spans="3:53" x14ac:dyDescent="0.4">
      <c r="C137" t="s">
        <v>194</v>
      </c>
      <c r="D137" t="str">
        <f t="shared" si="7"/>
        <v>0/0/0</v>
      </c>
      <c r="E137">
        <v>1</v>
      </c>
      <c r="AR137" t="str">
        <f>IF($A137="","", INDEX(CS!$B$1:$B$12828,MATCH($A137,CS!$B:$B,0)+COLUMN(A$1),1))</f>
        <v/>
      </c>
      <c r="AS137" t="str">
        <f>IF($A137="","", INDEX(CS!$B$1:$B$12828,MATCH($A137,CS!$B:$B,0)+COLUMN(B$1),1))</f>
        <v/>
      </c>
      <c r="AT137" t="str">
        <f>IF($A137="","", INDEX(CS!$B$1:$B$12828,MATCH($A137,CS!$B:$B,0)+COLUMN(C$1),1))</f>
        <v/>
      </c>
      <c r="AU137" t="str">
        <f>IF($A137="","", INDEX(CS!$B$1:$B$12828,MATCH($A137,CS!$B:$B,0)+COLUMN(D$1),1))</f>
        <v/>
      </c>
      <c r="AV137" t="str">
        <f>IF($A137="","", INDEX(CS!$B$1:$B$12828,MATCH($A137,CS!$B:$B,0)+COLUMN(E$1),1))</f>
        <v/>
      </c>
      <c r="AW137" t="str">
        <f>IF($A137="","", INDEX(CS!$B$1:$B$12828,MATCH($A137,CS!$B:$B,0)+COLUMN(F$1),1))</f>
        <v/>
      </c>
      <c r="AX137" t="str">
        <f>IF($A137="","", INDEX(CS!$B$1:$B$12828,MATCH($A137,CS!$B:$B,0)+COLUMN(G$1),1))</f>
        <v/>
      </c>
      <c r="AY137" t="str">
        <f>IF($A137="","", INDEX(CS!$B$1:$B$12828,MATCH($A137,CS!$B:$B,0)+COLUMN(H$1),1))</f>
        <v/>
      </c>
      <c r="AZ137" t="str">
        <f>IF($A137="","", INDEX(CS!$B$1:$B$12828,MATCH($A137,CS!$B:$B,0)+COLUMN(I$1),1))</f>
        <v/>
      </c>
      <c r="BA137" t="str">
        <f>IF($A137="","", INDEX(CS!$B$1:$B$12828,MATCH($A137,CS!$B:$B,0)+COLUMN(J$1),1))</f>
        <v/>
      </c>
    </row>
    <row r="138" spans="3:53" x14ac:dyDescent="0.4">
      <c r="C138" t="s">
        <v>194</v>
      </c>
      <c r="D138" t="str">
        <f t="shared" si="7"/>
        <v>0/0/0</v>
      </c>
      <c r="E138">
        <v>1</v>
      </c>
      <c r="AR138" t="str">
        <f>IF($A138="","", INDEX(CS!$B$1:$B$12828,MATCH($A138,CS!$B:$B,0)+COLUMN(A$1),1))</f>
        <v/>
      </c>
      <c r="AS138" t="str">
        <f>IF($A138="","", INDEX(CS!$B$1:$B$12828,MATCH($A138,CS!$B:$B,0)+COLUMN(B$1),1))</f>
        <v/>
      </c>
      <c r="AT138" t="str">
        <f>IF($A138="","", INDEX(CS!$B$1:$B$12828,MATCH($A138,CS!$B:$B,0)+COLUMN(C$1),1))</f>
        <v/>
      </c>
      <c r="AU138" t="str">
        <f>IF($A138="","", INDEX(CS!$B$1:$B$12828,MATCH($A138,CS!$B:$B,0)+COLUMN(D$1),1))</f>
        <v/>
      </c>
      <c r="AV138" t="str">
        <f>IF($A138="","", INDEX(CS!$B$1:$B$12828,MATCH($A138,CS!$B:$B,0)+COLUMN(E$1),1))</f>
        <v/>
      </c>
      <c r="AW138" t="str">
        <f>IF($A138="","", INDEX(CS!$B$1:$B$12828,MATCH($A138,CS!$B:$B,0)+COLUMN(F$1),1))</f>
        <v/>
      </c>
      <c r="AX138" t="str">
        <f>IF($A138="","", INDEX(CS!$B$1:$B$12828,MATCH($A138,CS!$B:$B,0)+COLUMN(G$1),1))</f>
        <v/>
      </c>
      <c r="AY138" t="str">
        <f>IF($A138="","", INDEX(CS!$B$1:$B$12828,MATCH($A138,CS!$B:$B,0)+COLUMN(H$1),1))</f>
        <v/>
      </c>
      <c r="AZ138" t="str">
        <f>IF($A138="","", INDEX(CS!$B$1:$B$12828,MATCH($A138,CS!$B:$B,0)+COLUMN(I$1),1))</f>
        <v/>
      </c>
      <c r="BA138" t="str">
        <f>IF($A138="","", INDEX(CS!$B$1:$B$12828,MATCH($A138,CS!$B:$B,0)+COLUMN(J$1),1))</f>
        <v/>
      </c>
    </row>
    <row r="139" spans="3:53" x14ac:dyDescent="0.4">
      <c r="C139" t="s">
        <v>194</v>
      </c>
      <c r="D139" t="str">
        <f t="shared" si="7"/>
        <v>0/0/0</v>
      </c>
      <c r="E139">
        <v>1</v>
      </c>
      <c r="AR139" t="str">
        <f>IF($A139="","", INDEX(CS!$B$1:$B$12828,MATCH($A139,CS!$B:$B,0)+COLUMN(A$1),1))</f>
        <v/>
      </c>
      <c r="AS139" t="str">
        <f>IF($A139="","", INDEX(CS!$B$1:$B$12828,MATCH($A139,CS!$B:$B,0)+COLUMN(B$1),1))</f>
        <v/>
      </c>
      <c r="AT139" t="str">
        <f>IF($A139="","", INDEX(CS!$B$1:$B$12828,MATCH($A139,CS!$B:$B,0)+COLUMN(C$1),1))</f>
        <v/>
      </c>
      <c r="AU139" t="str">
        <f>IF($A139="","", INDEX(CS!$B$1:$B$12828,MATCH($A139,CS!$B:$B,0)+COLUMN(D$1),1))</f>
        <v/>
      </c>
      <c r="AV139" t="str">
        <f>IF($A139="","", INDEX(CS!$B$1:$B$12828,MATCH($A139,CS!$B:$B,0)+COLUMN(E$1),1))</f>
        <v/>
      </c>
      <c r="AW139" t="str">
        <f>IF($A139="","", INDEX(CS!$B$1:$B$12828,MATCH($A139,CS!$B:$B,0)+COLUMN(F$1),1))</f>
        <v/>
      </c>
      <c r="AX139" t="str">
        <f>IF($A139="","", INDEX(CS!$B$1:$B$12828,MATCH($A139,CS!$B:$B,0)+COLUMN(G$1),1))</f>
        <v/>
      </c>
      <c r="AY139" t="str">
        <f>IF($A139="","", INDEX(CS!$B$1:$B$12828,MATCH($A139,CS!$B:$B,0)+COLUMN(H$1),1))</f>
        <v/>
      </c>
      <c r="AZ139" t="str">
        <f>IF($A139="","", INDEX(CS!$B$1:$B$12828,MATCH($A139,CS!$B:$B,0)+COLUMN(I$1),1))</f>
        <v/>
      </c>
      <c r="BA139" t="str">
        <f>IF($A139="","", INDEX(CS!$B$1:$B$12828,MATCH($A139,CS!$B:$B,0)+COLUMN(J$1),1))</f>
        <v/>
      </c>
    </row>
    <row r="140" spans="3:53" x14ac:dyDescent="0.4">
      <c r="C140" t="s">
        <v>194</v>
      </c>
      <c r="D140" t="str">
        <f t="shared" si="7"/>
        <v>0/0/0</v>
      </c>
      <c r="E140">
        <v>1</v>
      </c>
      <c r="AR140" t="str">
        <f>IF($A140="","", INDEX(CS!$B$1:$B$12828,MATCH($A140,CS!$B:$B,0)+COLUMN(A$1),1))</f>
        <v/>
      </c>
      <c r="AS140" t="str">
        <f>IF($A140="","", INDEX(CS!$B$1:$B$12828,MATCH($A140,CS!$B:$B,0)+COLUMN(B$1),1))</f>
        <v/>
      </c>
      <c r="AT140" t="str">
        <f>IF($A140="","", INDEX(CS!$B$1:$B$12828,MATCH($A140,CS!$B:$B,0)+COLUMN(C$1),1))</f>
        <v/>
      </c>
      <c r="AU140" t="str">
        <f>IF($A140="","", INDEX(CS!$B$1:$B$12828,MATCH($A140,CS!$B:$B,0)+COLUMN(D$1),1))</f>
        <v/>
      </c>
      <c r="AV140" t="str">
        <f>IF($A140="","", INDEX(CS!$B$1:$B$12828,MATCH($A140,CS!$B:$B,0)+COLUMN(E$1),1))</f>
        <v/>
      </c>
      <c r="AW140" t="str">
        <f>IF($A140="","", INDEX(CS!$B$1:$B$12828,MATCH($A140,CS!$B:$B,0)+COLUMN(F$1),1))</f>
        <v/>
      </c>
      <c r="AX140" t="str">
        <f>IF($A140="","", INDEX(CS!$B$1:$B$12828,MATCH($A140,CS!$B:$B,0)+COLUMN(G$1),1))</f>
        <v/>
      </c>
      <c r="AY140" t="str">
        <f>IF($A140="","", INDEX(CS!$B$1:$B$12828,MATCH($A140,CS!$B:$B,0)+COLUMN(H$1),1))</f>
        <v/>
      </c>
      <c r="AZ140" t="str">
        <f>IF($A140="","", INDEX(CS!$B$1:$B$12828,MATCH($A140,CS!$B:$B,0)+COLUMN(I$1),1))</f>
        <v/>
      </c>
      <c r="BA140" t="str">
        <f>IF($A140="","", INDEX(CS!$B$1:$B$12828,MATCH($A140,CS!$B:$B,0)+COLUMN(J$1),1))</f>
        <v/>
      </c>
    </row>
    <row r="141" spans="3:53" x14ac:dyDescent="0.4">
      <c r="C141" t="s">
        <v>194</v>
      </c>
      <c r="D141" t="str">
        <f t="shared" si="7"/>
        <v>0/0/0</v>
      </c>
      <c r="E141">
        <v>1</v>
      </c>
      <c r="AR141" t="str">
        <f>IF($A141="","", INDEX(CS!$B$1:$B$12828,MATCH($A141,CS!$B:$B,0)+COLUMN(A$1),1))</f>
        <v/>
      </c>
      <c r="AS141" t="str">
        <f>IF($A141="","", INDEX(CS!$B$1:$B$12828,MATCH($A141,CS!$B:$B,0)+COLUMN(B$1),1))</f>
        <v/>
      </c>
      <c r="AT141" t="str">
        <f>IF($A141="","", INDEX(CS!$B$1:$B$12828,MATCH($A141,CS!$B:$B,0)+COLUMN(C$1),1))</f>
        <v/>
      </c>
      <c r="AU141" t="str">
        <f>IF($A141="","", INDEX(CS!$B$1:$B$12828,MATCH($A141,CS!$B:$B,0)+COLUMN(D$1),1))</f>
        <v/>
      </c>
      <c r="AV141" t="str">
        <f>IF($A141="","", INDEX(CS!$B$1:$B$12828,MATCH($A141,CS!$B:$B,0)+COLUMN(E$1),1))</f>
        <v/>
      </c>
      <c r="AW141" t="str">
        <f>IF($A141="","", INDEX(CS!$B$1:$B$12828,MATCH($A141,CS!$B:$B,0)+COLUMN(F$1),1))</f>
        <v/>
      </c>
      <c r="AX141" t="str">
        <f>IF($A141="","", INDEX(CS!$B$1:$B$12828,MATCH($A141,CS!$B:$B,0)+COLUMN(G$1),1))</f>
        <v/>
      </c>
      <c r="AY141" t="str">
        <f>IF($A141="","", INDEX(CS!$B$1:$B$12828,MATCH($A141,CS!$B:$B,0)+COLUMN(H$1),1))</f>
        <v/>
      </c>
      <c r="AZ141" t="str">
        <f>IF($A141="","", INDEX(CS!$B$1:$B$12828,MATCH($A141,CS!$B:$B,0)+COLUMN(I$1),1))</f>
        <v/>
      </c>
      <c r="BA141" t="str">
        <f>IF($A141="","", INDEX(CS!$B$1:$B$12828,MATCH($A141,CS!$B:$B,0)+COLUMN(J$1),1))</f>
        <v/>
      </c>
    </row>
    <row r="142" spans="3:53" x14ac:dyDescent="0.4">
      <c r="C142" t="s">
        <v>194</v>
      </c>
      <c r="D142" t="str">
        <f t="shared" si="7"/>
        <v>0/0/0</v>
      </c>
      <c r="E142">
        <v>1</v>
      </c>
      <c r="AR142" t="str">
        <f>IF($A142="","", INDEX(CS!$B$1:$B$12828,MATCH($A142,CS!$B:$B,0)+COLUMN(A$1),1))</f>
        <v/>
      </c>
      <c r="AS142" t="str">
        <f>IF($A142="","", INDEX(CS!$B$1:$B$12828,MATCH($A142,CS!$B:$B,0)+COLUMN(B$1),1))</f>
        <v/>
      </c>
      <c r="AT142" t="str">
        <f>IF($A142="","", INDEX(CS!$B$1:$B$12828,MATCH($A142,CS!$B:$B,0)+COLUMN(C$1),1))</f>
        <v/>
      </c>
      <c r="AU142" t="str">
        <f>IF($A142="","", INDEX(CS!$B$1:$B$12828,MATCH($A142,CS!$B:$B,0)+COLUMN(D$1),1))</f>
        <v/>
      </c>
      <c r="AV142" t="str">
        <f>IF($A142="","", INDEX(CS!$B$1:$B$12828,MATCH($A142,CS!$B:$B,0)+COLUMN(E$1),1))</f>
        <v/>
      </c>
      <c r="AW142" t="str">
        <f>IF($A142="","", INDEX(CS!$B$1:$B$12828,MATCH($A142,CS!$B:$B,0)+COLUMN(F$1),1))</f>
        <v/>
      </c>
      <c r="AX142" t="str">
        <f>IF($A142="","", INDEX(CS!$B$1:$B$12828,MATCH($A142,CS!$B:$B,0)+COLUMN(G$1),1))</f>
        <v/>
      </c>
      <c r="AY142" t="str">
        <f>IF($A142="","", INDEX(CS!$B$1:$B$12828,MATCH($A142,CS!$B:$B,0)+COLUMN(H$1),1))</f>
        <v/>
      </c>
      <c r="AZ142" t="str">
        <f>IF($A142="","", INDEX(CS!$B$1:$B$12828,MATCH($A142,CS!$B:$B,0)+COLUMN(I$1),1))</f>
        <v/>
      </c>
      <c r="BA142" t="str">
        <f>IF($A142="","", INDEX(CS!$B$1:$B$12828,MATCH($A142,CS!$B:$B,0)+COLUMN(J$1),1))</f>
        <v/>
      </c>
    </row>
    <row r="143" spans="3:53" x14ac:dyDescent="0.4">
      <c r="C143" t="s">
        <v>194</v>
      </c>
      <c r="D143" t="str">
        <f t="shared" si="7"/>
        <v>0/0/0</v>
      </c>
      <c r="E143">
        <v>1</v>
      </c>
      <c r="AR143" t="str">
        <f>IF($A143="","", INDEX(CS!$B$1:$B$12828,MATCH($A143,CS!$B:$B,0)+COLUMN(A$1),1))</f>
        <v/>
      </c>
      <c r="AS143" t="str">
        <f>IF($A143="","", INDEX(CS!$B$1:$B$12828,MATCH($A143,CS!$B:$B,0)+COLUMN(B$1),1))</f>
        <v/>
      </c>
      <c r="AT143" t="str">
        <f>IF($A143="","", INDEX(CS!$B$1:$B$12828,MATCH($A143,CS!$B:$B,0)+COLUMN(C$1),1))</f>
        <v/>
      </c>
      <c r="AU143" t="str">
        <f>IF($A143="","", INDEX(CS!$B$1:$B$12828,MATCH($A143,CS!$B:$B,0)+COLUMN(D$1),1))</f>
        <v/>
      </c>
      <c r="AV143" t="str">
        <f>IF($A143="","", INDEX(CS!$B$1:$B$12828,MATCH($A143,CS!$B:$B,0)+COLUMN(E$1),1))</f>
        <v/>
      </c>
      <c r="AW143" t="str">
        <f>IF($A143="","", INDEX(CS!$B$1:$B$12828,MATCH($A143,CS!$B:$B,0)+COLUMN(F$1),1))</f>
        <v/>
      </c>
      <c r="AX143" t="str">
        <f>IF($A143="","", INDEX(CS!$B$1:$B$12828,MATCH($A143,CS!$B:$B,0)+COLUMN(G$1),1))</f>
        <v/>
      </c>
      <c r="AY143" t="str">
        <f>IF($A143="","", INDEX(CS!$B$1:$B$12828,MATCH($A143,CS!$B:$B,0)+COLUMN(H$1),1))</f>
        <v/>
      </c>
      <c r="AZ143" t="str">
        <f>IF($A143="","", INDEX(CS!$B$1:$B$12828,MATCH($A143,CS!$B:$B,0)+COLUMN(I$1),1))</f>
        <v/>
      </c>
      <c r="BA143" t="str">
        <f>IF($A143="","", INDEX(CS!$B$1:$B$12828,MATCH($A143,CS!$B:$B,0)+COLUMN(J$1),1))</f>
        <v/>
      </c>
    </row>
    <row r="144" spans="3:53" x14ac:dyDescent="0.4">
      <c r="C144" t="s">
        <v>194</v>
      </c>
      <c r="D144" t="str">
        <f t="shared" si="7"/>
        <v>0/0/0</v>
      </c>
      <c r="E144">
        <v>1</v>
      </c>
      <c r="AR144" t="str">
        <f>IF($A144="","", INDEX(CS!$B$1:$B$12828,MATCH($A144,CS!$B:$B,0)+COLUMN(A$1),1))</f>
        <v/>
      </c>
      <c r="AS144" t="str">
        <f>IF($A144="","", INDEX(CS!$B$1:$B$12828,MATCH($A144,CS!$B:$B,0)+COLUMN(B$1),1))</f>
        <v/>
      </c>
      <c r="AT144" t="str">
        <f>IF($A144="","", INDEX(CS!$B$1:$B$12828,MATCH($A144,CS!$B:$B,0)+COLUMN(C$1),1))</f>
        <v/>
      </c>
      <c r="AU144" t="str">
        <f>IF($A144="","", INDEX(CS!$B$1:$B$12828,MATCH($A144,CS!$B:$B,0)+COLUMN(D$1),1))</f>
        <v/>
      </c>
      <c r="AV144" t="str">
        <f>IF($A144="","", INDEX(CS!$B$1:$B$12828,MATCH($A144,CS!$B:$B,0)+COLUMN(E$1),1))</f>
        <v/>
      </c>
      <c r="AW144" t="str">
        <f>IF($A144="","", INDEX(CS!$B$1:$B$12828,MATCH($A144,CS!$B:$B,0)+COLUMN(F$1),1))</f>
        <v/>
      </c>
      <c r="AX144" t="str">
        <f>IF($A144="","", INDEX(CS!$B$1:$B$12828,MATCH($A144,CS!$B:$B,0)+COLUMN(G$1),1))</f>
        <v/>
      </c>
      <c r="AY144" t="str">
        <f>IF($A144="","", INDEX(CS!$B$1:$B$12828,MATCH($A144,CS!$B:$B,0)+COLUMN(H$1),1))</f>
        <v/>
      </c>
      <c r="AZ144" t="str">
        <f>IF($A144="","", INDEX(CS!$B$1:$B$12828,MATCH($A144,CS!$B:$B,0)+COLUMN(I$1),1))</f>
        <v/>
      </c>
      <c r="BA144" t="str">
        <f>IF($A144="","", INDEX(CS!$B$1:$B$12828,MATCH($A144,CS!$B:$B,0)+COLUMN(J$1),1))</f>
        <v/>
      </c>
    </row>
    <row r="145" spans="3:53" x14ac:dyDescent="0.4">
      <c r="C145" t="s">
        <v>194</v>
      </c>
      <c r="D145" t="str">
        <f t="shared" si="7"/>
        <v>0/0/0</v>
      </c>
      <c r="E145">
        <v>1</v>
      </c>
      <c r="AR145" t="str">
        <f>IF($A145="","", INDEX(CS!$B$1:$B$12828,MATCH($A145,CS!$B:$B,0)+COLUMN(A$1),1))</f>
        <v/>
      </c>
      <c r="AS145" t="str">
        <f>IF($A145="","", INDEX(CS!$B$1:$B$12828,MATCH($A145,CS!$B:$B,0)+COLUMN(B$1),1))</f>
        <v/>
      </c>
      <c r="AT145" t="str">
        <f>IF($A145="","", INDEX(CS!$B$1:$B$12828,MATCH($A145,CS!$B:$B,0)+COLUMN(C$1),1))</f>
        <v/>
      </c>
      <c r="AU145" t="str">
        <f>IF($A145="","", INDEX(CS!$B$1:$B$12828,MATCH($A145,CS!$B:$B,0)+COLUMN(D$1),1))</f>
        <v/>
      </c>
      <c r="AV145" t="str">
        <f>IF($A145="","", INDEX(CS!$B$1:$B$12828,MATCH($A145,CS!$B:$B,0)+COLUMN(E$1),1))</f>
        <v/>
      </c>
      <c r="AW145" t="str">
        <f>IF($A145="","", INDEX(CS!$B$1:$B$12828,MATCH($A145,CS!$B:$B,0)+COLUMN(F$1),1))</f>
        <v/>
      </c>
      <c r="AX145" t="str">
        <f>IF($A145="","", INDEX(CS!$B$1:$B$12828,MATCH($A145,CS!$B:$B,0)+COLUMN(G$1),1))</f>
        <v/>
      </c>
      <c r="AY145" t="str">
        <f>IF($A145="","", INDEX(CS!$B$1:$B$12828,MATCH($A145,CS!$B:$B,0)+COLUMN(H$1),1))</f>
        <v/>
      </c>
      <c r="AZ145" t="str">
        <f>IF($A145="","", INDEX(CS!$B$1:$B$12828,MATCH($A145,CS!$B:$B,0)+COLUMN(I$1),1))</f>
        <v/>
      </c>
      <c r="BA145" t="str">
        <f>IF($A145="","", INDEX(CS!$B$1:$B$12828,MATCH($A145,CS!$B:$B,0)+COLUMN(J$1),1))</f>
        <v/>
      </c>
    </row>
    <row r="146" spans="3:53" x14ac:dyDescent="0.4">
      <c r="C146" t="s">
        <v>194</v>
      </c>
      <c r="D146" t="str">
        <f t="shared" si="7"/>
        <v>0/0/0</v>
      </c>
      <c r="E146">
        <v>1</v>
      </c>
      <c r="AR146" t="str">
        <f>IF($A146="","", INDEX(CS!$B$1:$B$12828,MATCH($A146,CS!$B:$B,0)+COLUMN(A$1),1))</f>
        <v/>
      </c>
      <c r="AS146" t="str">
        <f>IF($A146="","", INDEX(CS!$B$1:$B$12828,MATCH($A146,CS!$B:$B,0)+COLUMN(B$1),1))</f>
        <v/>
      </c>
      <c r="AT146" t="str">
        <f>IF($A146="","", INDEX(CS!$B$1:$B$12828,MATCH($A146,CS!$B:$B,0)+COLUMN(C$1),1))</f>
        <v/>
      </c>
      <c r="AU146" t="str">
        <f>IF($A146="","", INDEX(CS!$B$1:$B$12828,MATCH($A146,CS!$B:$B,0)+COLUMN(D$1),1))</f>
        <v/>
      </c>
      <c r="AV146" t="str">
        <f>IF($A146="","", INDEX(CS!$B$1:$B$12828,MATCH($A146,CS!$B:$B,0)+COLUMN(E$1),1))</f>
        <v/>
      </c>
      <c r="AW146" t="str">
        <f>IF($A146="","", INDEX(CS!$B$1:$B$12828,MATCH($A146,CS!$B:$B,0)+COLUMN(F$1),1))</f>
        <v/>
      </c>
      <c r="AX146" t="str">
        <f>IF($A146="","", INDEX(CS!$B$1:$B$12828,MATCH($A146,CS!$B:$B,0)+COLUMN(G$1),1))</f>
        <v/>
      </c>
      <c r="AY146" t="str">
        <f>IF($A146="","", INDEX(CS!$B$1:$B$12828,MATCH($A146,CS!$B:$B,0)+COLUMN(H$1),1))</f>
        <v/>
      </c>
      <c r="AZ146" t="str">
        <f>IF($A146="","", INDEX(CS!$B$1:$B$12828,MATCH($A146,CS!$B:$B,0)+COLUMN(I$1),1))</f>
        <v/>
      </c>
      <c r="BA146" t="str">
        <f>IF($A146="","", INDEX(CS!$B$1:$B$12828,MATCH($A146,CS!$B:$B,0)+COLUMN(J$1),1))</f>
        <v/>
      </c>
    </row>
    <row r="147" spans="3:53" x14ac:dyDescent="0.4">
      <c r="C147" t="s">
        <v>194</v>
      </c>
      <c r="D147" t="str">
        <f t="shared" si="7"/>
        <v>0/0/0</v>
      </c>
      <c r="E147">
        <v>1</v>
      </c>
      <c r="AR147" t="str">
        <f>IF($A147="","", INDEX(CS!$B$1:$B$12828,MATCH($A147,CS!$B:$B,0)+COLUMN(A$1),1))</f>
        <v/>
      </c>
      <c r="AS147" t="str">
        <f>IF($A147="","", INDEX(CS!$B$1:$B$12828,MATCH($A147,CS!$B:$B,0)+COLUMN(B$1),1))</f>
        <v/>
      </c>
      <c r="AT147" t="str">
        <f>IF($A147="","", INDEX(CS!$B$1:$B$12828,MATCH($A147,CS!$B:$B,0)+COLUMN(C$1),1))</f>
        <v/>
      </c>
      <c r="AU147" t="str">
        <f>IF($A147="","", INDEX(CS!$B$1:$B$12828,MATCH($A147,CS!$B:$B,0)+COLUMN(D$1),1))</f>
        <v/>
      </c>
      <c r="AV147" t="str">
        <f>IF($A147="","", INDEX(CS!$B$1:$B$12828,MATCH($A147,CS!$B:$B,0)+COLUMN(E$1),1))</f>
        <v/>
      </c>
      <c r="AW147" t="str">
        <f>IF($A147="","", INDEX(CS!$B$1:$B$12828,MATCH($A147,CS!$B:$B,0)+COLUMN(F$1),1))</f>
        <v/>
      </c>
      <c r="AX147" t="str">
        <f>IF($A147="","", INDEX(CS!$B$1:$B$12828,MATCH($A147,CS!$B:$B,0)+COLUMN(G$1),1))</f>
        <v/>
      </c>
      <c r="AY147" t="str">
        <f>IF($A147="","", INDEX(CS!$B$1:$B$12828,MATCH($A147,CS!$B:$B,0)+COLUMN(H$1),1))</f>
        <v/>
      </c>
      <c r="AZ147" t="str">
        <f>IF($A147="","", INDEX(CS!$B$1:$B$12828,MATCH($A147,CS!$B:$B,0)+COLUMN(I$1),1))</f>
        <v/>
      </c>
      <c r="BA147" t="str">
        <f>IF($A147="","", INDEX(CS!$B$1:$B$12828,MATCH($A147,CS!$B:$B,0)+COLUMN(J$1),1))</f>
        <v/>
      </c>
    </row>
    <row r="148" spans="3:53" x14ac:dyDescent="0.4">
      <c r="C148" t="s">
        <v>194</v>
      </c>
      <c r="D148" t="str">
        <f t="shared" si="7"/>
        <v>0/0/0</v>
      </c>
      <c r="E148">
        <v>1</v>
      </c>
      <c r="AR148" t="str">
        <f>IF($A148="","", INDEX(CS!$B$1:$B$12828,MATCH($A148,CS!$B:$B,0)+COLUMN(A$1),1))</f>
        <v/>
      </c>
      <c r="AS148" t="str">
        <f>IF($A148="","", INDEX(CS!$B$1:$B$12828,MATCH($A148,CS!$B:$B,0)+COLUMN(B$1),1))</f>
        <v/>
      </c>
      <c r="AT148" t="str">
        <f>IF($A148="","", INDEX(CS!$B$1:$B$12828,MATCH($A148,CS!$B:$B,0)+COLUMN(C$1),1))</f>
        <v/>
      </c>
      <c r="AU148" t="str">
        <f>IF($A148="","", INDEX(CS!$B$1:$B$12828,MATCH($A148,CS!$B:$B,0)+COLUMN(D$1),1))</f>
        <v/>
      </c>
      <c r="AV148" t="str">
        <f>IF($A148="","", INDEX(CS!$B$1:$B$12828,MATCH($A148,CS!$B:$B,0)+COLUMN(E$1),1))</f>
        <v/>
      </c>
      <c r="AW148" t="str">
        <f>IF($A148="","", INDEX(CS!$B$1:$B$12828,MATCH($A148,CS!$B:$B,0)+COLUMN(F$1),1))</f>
        <v/>
      </c>
      <c r="AX148" t="str">
        <f>IF($A148="","", INDEX(CS!$B$1:$B$12828,MATCH($A148,CS!$B:$B,0)+COLUMN(G$1),1))</f>
        <v/>
      </c>
      <c r="AY148" t="str">
        <f>IF($A148="","", INDEX(CS!$B$1:$B$12828,MATCH($A148,CS!$B:$B,0)+COLUMN(H$1),1))</f>
        <v/>
      </c>
      <c r="AZ148" t="str">
        <f>IF($A148="","", INDEX(CS!$B$1:$B$12828,MATCH($A148,CS!$B:$B,0)+COLUMN(I$1),1))</f>
        <v/>
      </c>
      <c r="BA148" t="str">
        <f>IF($A148="","", INDEX(CS!$B$1:$B$12828,MATCH($A148,CS!$B:$B,0)+COLUMN(J$1),1))</f>
        <v/>
      </c>
    </row>
    <row r="149" spans="3:53" x14ac:dyDescent="0.4">
      <c r="C149" t="s">
        <v>194</v>
      </c>
      <c r="D149" t="str">
        <f t="shared" si="7"/>
        <v>0/0/0</v>
      </c>
      <c r="E149">
        <v>1</v>
      </c>
      <c r="AR149" t="str">
        <f>IF($A149="","", INDEX(CS!$B$1:$B$12828,MATCH($A149,CS!$B:$B,0)+COLUMN(A$1),1))</f>
        <v/>
      </c>
      <c r="AS149" t="str">
        <f>IF($A149="","", INDEX(CS!$B$1:$B$12828,MATCH($A149,CS!$B:$B,0)+COLUMN(B$1),1))</f>
        <v/>
      </c>
      <c r="AT149" t="str">
        <f>IF($A149="","", INDEX(CS!$B$1:$B$12828,MATCH($A149,CS!$B:$B,0)+COLUMN(C$1),1))</f>
        <v/>
      </c>
      <c r="AU149" t="str">
        <f>IF($A149="","", INDEX(CS!$B$1:$B$12828,MATCH($A149,CS!$B:$B,0)+COLUMN(D$1),1))</f>
        <v/>
      </c>
      <c r="AV149" t="str">
        <f>IF($A149="","", INDEX(CS!$B$1:$B$12828,MATCH($A149,CS!$B:$B,0)+COLUMN(E$1),1))</f>
        <v/>
      </c>
      <c r="AW149" t="str">
        <f>IF($A149="","", INDEX(CS!$B$1:$B$12828,MATCH($A149,CS!$B:$B,0)+COLUMN(F$1),1))</f>
        <v/>
      </c>
      <c r="AX149" t="str">
        <f>IF($A149="","", INDEX(CS!$B$1:$B$12828,MATCH($A149,CS!$B:$B,0)+COLUMN(G$1),1))</f>
        <v/>
      </c>
      <c r="AY149" t="str">
        <f>IF($A149="","", INDEX(CS!$B$1:$B$12828,MATCH($A149,CS!$B:$B,0)+COLUMN(H$1),1))</f>
        <v/>
      </c>
      <c r="AZ149" t="str">
        <f>IF($A149="","", INDEX(CS!$B$1:$B$12828,MATCH($A149,CS!$B:$B,0)+COLUMN(I$1),1))</f>
        <v/>
      </c>
      <c r="BA149" t="str">
        <f>IF($A149="","", INDEX(CS!$B$1:$B$12828,MATCH($A149,CS!$B:$B,0)+COLUMN(J$1),1))</f>
        <v/>
      </c>
    </row>
    <row r="150" spans="3:53" x14ac:dyDescent="0.4">
      <c r="C150" t="s">
        <v>194</v>
      </c>
      <c r="D150" t="str">
        <f t="shared" si="7"/>
        <v>0/0/0</v>
      </c>
      <c r="E150">
        <v>1</v>
      </c>
      <c r="AR150" t="str">
        <f>IF($A150="","", INDEX(CS!$B$1:$B$12828,MATCH($A150,CS!$B:$B,0)+COLUMN(A$1),1))</f>
        <v/>
      </c>
      <c r="AS150" t="str">
        <f>IF($A150="","", INDEX(CS!$B$1:$B$12828,MATCH($A150,CS!$B:$B,0)+COLUMN(B$1),1))</f>
        <v/>
      </c>
      <c r="AT150" t="str">
        <f>IF($A150="","", INDEX(CS!$B$1:$B$12828,MATCH($A150,CS!$B:$B,0)+COLUMN(C$1),1))</f>
        <v/>
      </c>
      <c r="AU150" t="str">
        <f>IF($A150="","", INDEX(CS!$B$1:$B$12828,MATCH($A150,CS!$B:$B,0)+COLUMN(D$1),1))</f>
        <v/>
      </c>
      <c r="AV150" t="str">
        <f>IF($A150="","", INDEX(CS!$B$1:$B$12828,MATCH($A150,CS!$B:$B,0)+COLUMN(E$1),1))</f>
        <v/>
      </c>
      <c r="AW150" t="str">
        <f>IF($A150="","", INDEX(CS!$B$1:$B$12828,MATCH($A150,CS!$B:$B,0)+COLUMN(F$1),1))</f>
        <v/>
      </c>
      <c r="AX150" t="str">
        <f>IF($A150="","", INDEX(CS!$B$1:$B$12828,MATCH($A150,CS!$B:$B,0)+COLUMN(G$1),1))</f>
        <v/>
      </c>
      <c r="AY150" t="str">
        <f>IF($A150="","", INDEX(CS!$B$1:$B$12828,MATCH($A150,CS!$B:$B,0)+COLUMN(H$1),1))</f>
        <v/>
      </c>
      <c r="AZ150" t="str">
        <f>IF($A150="","", INDEX(CS!$B$1:$B$12828,MATCH($A150,CS!$B:$B,0)+COLUMN(I$1),1))</f>
        <v/>
      </c>
      <c r="BA150" t="str">
        <f>IF($A150="","", INDEX(CS!$B$1:$B$12828,MATCH($A150,CS!$B:$B,0)+COLUMN(J$1),1))</f>
        <v/>
      </c>
    </row>
    <row r="151" spans="3:53" x14ac:dyDescent="0.4">
      <c r="C151" t="s">
        <v>194</v>
      </c>
      <c r="D151" t="str">
        <f t="shared" si="7"/>
        <v>0/0/0</v>
      </c>
      <c r="E151">
        <v>1</v>
      </c>
      <c r="AR151" t="str">
        <f>IF($A151="","", INDEX(CS!$B$1:$B$12828,MATCH($A151,CS!$B:$B,0)+COLUMN(A$1),1))</f>
        <v/>
      </c>
      <c r="AS151" t="str">
        <f>IF($A151="","", INDEX(CS!$B$1:$B$12828,MATCH($A151,CS!$B:$B,0)+COLUMN(B$1),1))</f>
        <v/>
      </c>
      <c r="AT151" t="str">
        <f>IF($A151="","", INDEX(CS!$B$1:$B$12828,MATCH($A151,CS!$B:$B,0)+COLUMN(C$1),1))</f>
        <v/>
      </c>
      <c r="AU151" t="str">
        <f>IF($A151="","", INDEX(CS!$B$1:$B$12828,MATCH($A151,CS!$B:$B,0)+COLUMN(D$1),1))</f>
        <v/>
      </c>
      <c r="AV151" t="str">
        <f>IF($A151="","", INDEX(CS!$B$1:$B$12828,MATCH($A151,CS!$B:$B,0)+COLUMN(E$1),1))</f>
        <v/>
      </c>
      <c r="AW151" t="str">
        <f>IF($A151="","", INDEX(CS!$B$1:$B$12828,MATCH($A151,CS!$B:$B,0)+COLUMN(F$1),1))</f>
        <v/>
      </c>
      <c r="AX151" t="str">
        <f>IF($A151="","", INDEX(CS!$B$1:$B$12828,MATCH($A151,CS!$B:$B,0)+COLUMN(G$1),1))</f>
        <v/>
      </c>
      <c r="AY151" t="str">
        <f>IF($A151="","", INDEX(CS!$B$1:$B$12828,MATCH($A151,CS!$B:$B,0)+COLUMN(H$1),1))</f>
        <v/>
      </c>
      <c r="AZ151" t="str">
        <f>IF($A151="","", INDEX(CS!$B$1:$B$12828,MATCH($A151,CS!$B:$B,0)+COLUMN(I$1),1))</f>
        <v/>
      </c>
      <c r="BA151" t="str">
        <f>IF($A151="","", INDEX(CS!$B$1:$B$12828,MATCH($A151,CS!$B:$B,0)+COLUMN(J$1),1))</f>
        <v/>
      </c>
    </row>
    <row r="152" spans="3:53" x14ac:dyDescent="0.4">
      <c r="C152" t="s">
        <v>194</v>
      </c>
      <c r="D152" t="str">
        <f t="shared" si="7"/>
        <v>0/0/0</v>
      </c>
      <c r="E152">
        <v>1</v>
      </c>
      <c r="AR152" t="str">
        <f>IF($A152="","", INDEX(CS!$B$1:$B$12828,MATCH($A152,CS!$B:$B,0)+COLUMN(A$1),1))</f>
        <v/>
      </c>
      <c r="AS152" t="str">
        <f>IF($A152="","", INDEX(CS!$B$1:$B$12828,MATCH($A152,CS!$B:$B,0)+COLUMN(B$1),1))</f>
        <v/>
      </c>
      <c r="AT152" t="str">
        <f>IF($A152="","", INDEX(CS!$B$1:$B$12828,MATCH($A152,CS!$B:$B,0)+COLUMN(C$1),1))</f>
        <v/>
      </c>
      <c r="AU152" t="str">
        <f>IF($A152="","", INDEX(CS!$B$1:$B$12828,MATCH($A152,CS!$B:$B,0)+COLUMN(D$1),1))</f>
        <v/>
      </c>
      <c r="AV152" t="str">
        <f>IF($A152="","", INDEX(CS!$B$1:$B$12828,MATCH($A152,CS!$B:$B,0)+COLUMN(E$1),1))</f>
        <v/>
      </c>
      <c r="AW152" t="str">
        <f>IF($A152="","", INDEX(CS!$B$1:$B$12828,MATCH($A152,CS!$B:$B,0)+COLUMN(F$1),1))</f>
        <v/>
      </c>
      <c r="AX152" t="str">
        <f>IF($A152="","", INDEX(CS!$B$1:$B$12828,MATCH($A152,CS!$B:$B,0)+COLUMN(G$1),1))</f>
        <v/>
      </c>
      <c r="AY152" t="str">
        <f>IF($A152="","", INDEX(CS!$B$1:$B$12828,MATCH($A152,CS!$B:$B,0)+COLUMN(H$1),1))</f>
        <v/>
      </c>
      <c r="AZ152" t="str">
        <f>IF($A152="","", INDEX(CS!$B$1:$B$12828,MATCH($A152,CS!$B:$B,0)+COLUMN(I$1),1))</f>
        <v/>
      </c>
      <c r="BA152" t="str">
        <f>IF($A152="","", INDEX(CS!$B$1:$B$12828,MATCH($A152,CS!$B:$B,0)+COLUMN(J$1),1))</f>
        <v/>
      </c>
    </row>
    <row r="153" spans="3:53" x14ac:dyDescent="0.4">
      <c r="C153" t="s">
        <v>194</v>
      </c>
      <c r="D153" t="str">
        <f t="shared" si="7"/>
        <v>0/0/0</v>
      </c>
      <c r="E153">
        <v>1</v>
      </c>
      <c r="AR153" t="str">
        <f>IF($A153="","", INDEX(CS!$B$1:$B$12828,MATCH($A153,CS!$B:$B,0)+COLUMN(A$1),1))</f>
        <v/>
      </c>
      <c r="AS153" t="str">
        <f>IF($A153="","", INDEX(CS!$B$1:$B$12828,MATCH($A153,CS!$B:$B,0)+COLUMN(B$1),1))</f>
        <v/>
      </c>
      <c r="AT153" t="str">
        <f>IF($A153="","", INDEX(CS!$B$1:$B$12828,MATCH($A153,CS!$B:$B,0)+COLUMN(C$1),1))</f>
        <v/>
      </c>
      <c r="AU153" t="str">
        <f>IF($A153="","", INDEX(CS!$B$1:$B$12828,MATCH($A153,CS!$B:$B,0)+COLUMN(D$1),1))</f>
        <v/>
      </c>
      <c r="AV153" t="str">
        <f>IF($A153="","", INDEX(CS!$B$1:$B$12828,MATCH($A153,CS!$B:$B,0)+COLUMN(E$1),1))</f>
        <v/>
      </c>
      <c r="AW153" t="str">
        <f>IF($A153="","", INDEX(CS!$B$1:$B$12828,MATCH($A153,CS!$B:$B,0)+COLUMN(F$1),1))</f>
        <v/>
      </c>
      <c r="AX153" t="str">
        <f>IF($A153="","", INDEX(CS!$B$1:$B$12828,MATCH($A153,CS!$B:$B,0)+COLUMN(G$1),1))</f>
        <v/>
      </c>
      <c r="AY153" t="str">
        <f>IF($A153="","", INDEX(CS!$B$1:$B$12828,MATCH($A153,CS!$B:$B,0)+COLUMN(H$1),1))</f>
        <v/>
      </c>
      <c r="AZ153" t="str">
        <f>IF($A153="","", INDEX(CS!$B$1:$B$12828,MATCH($A153,CS!$B:$B,0)+COLUMN(I$1),1))</f>
        <v/>
      </c>
      <c r="BA153" t="str">
        <f>IF($A153="","", INDEX(CS!$B$1:$B$12828,MATCH($A153,CS!$B:$B,0)+COLUMN(J$1),1))</f>
        <v/>
      </c>
    </row>
    <row r="154" spans="3:53" x14ac:dyDescent="0.4">
      <c r="C154" t="s">
        <v>194</v>
      </c>
      <c r="D154" t="str">
        <f t="shared" si="7"/>
        <v>0/0/0</v>
      </c>
      <c r="E154">
        <v>1</v>
      </c>
      <c r="AR154" t="str">
        <f>IF($A154="","", INDEX(CS!$B$1:$B$12828,MATCH($A154,CS!$B:$B,0)+COLUMN(A$1),1))</f>
        <v/>
      </c>
      <c r="AS154" t="str">
        <f>IF($A154="","", INDEX(CS!$B$1:$B$12828,MATCH($A154,CS!$B:$B,0)+COLUMN(B$1),1))</f>
        <v/>
      </c>
      <c r="AT154" t="str">
        <f>IF($A154="","", INDEX(CS!$B$1:$B$12828,MATCH($A154,CS!$B:$B,0)+COLUMN(C$1),1))</f>
        <v/>
      </c>
      <c r="AU154" t="str">
        <f>IF($A154="","", INDEX(CS!$B$1:$B$12828,MATCH($A154,CS!$B:$B,0)+COLUMN(D$1),1))</f>
        <v/>
      </c>
      <c r="AV154" t="str">
        <f>IF($A154="","", INDEX(CS!$B$1:$B$12828,MATCH($A154,CS!$B:$B,0)+COLUMN(E$1),1))</f>
        <v/>
      </c>
      <c r="AW154" t="str">
        <f>IF($A154="","", INDEX(CS!$B$1:$B$12828,MATCH($A154,CS!$B:$B,0)+COLUMN(F$1),1))</f>
        <v/>
      </c>
      <c r="AX154" t="str">
        <f>IF($A154="","", INDEX(CS!$B$1:$B$12828,MATCH($A154,CS!$B:$B,0)+COLUMN(G$1),1))</f>
        <v/>
      </c>
      <c r="AY154" t="str">
        <f>IF($A154="","", INDEX(CS!$B$1:$B$12828,MATCH($A154,CS!$B:$B,0)+COLUMN(H$1),1))</f>
        <v/>
      </c>
      <c r="AZ154" t="str">
        <f>IF($A154="","", INDEX(CS!$B$1:$B$12828,MATCH($A154,CS!$B:$B,0)+COLUMN(I$1),1))</f>
        <v/>
      </c>
      <c r="BA154" t="str">
        <f>IF($A154="","", INDEX(CS!$B$1:$B$12828,MATCH($A154,CS!$B:$B,0)+COLUMN(J$1),1))</f>
        <v/>
      </c>
    </row>
    <row r="155" spans="3:53" x14ac:dyDescent="0.4">
      <c r="C155" t="s">
        <v>194</v>
      </c>
      <c r="D155" t="str">
        <f t="shared" si="7"/>
        <v>0/0/0</v>
      </c>
      <c r="E155">
        <v>1</v>
      </c>
      <c r="AR155" t="str">
        <f>IF($A155="","", INDEX(CS!$B$1:$B$12828,MATCH($A155,CS!$B:$B,0)+COLUMN(A$1),1))</f>
        <v/>
      </c>
      <c r="AS155" t="str">
        <f>IF($A155="","", INDEX(CS!$B$1:$B$12828,MATCH($A155,CS!$B:$B,0)+COLUMN(B$1),1))</f>
        <v/>
      </c>
      <c r="AT155" t="str">
        <f>IF($A155="","", INDEX(CS!$B$1:$B$12828,MATCH($A155,CS!$B:$B,0)+COLUMN(C$1),1))</f>
        <v/>
      </c>
      <c r="AU155" t="str">
        <f>IF($A155="","", INDEX(CS!$B$1:$B$12828,MATCH($A155,CS!$B:$B,0)+COLUMN(D$1),1))</f>
        <v/>
      </c>
      <c r="AV155" t="str">
        <f>IF($A155="","", INDEX(CS!$B$1:$B$12828,MATCH($A155,CS!$B:$B,0)+COLUMN(E$1),1))</f>
        <v/>
      </c>
      <c r="AW155" t="str">
        <f>IF($A155="","", INDEX(CS!$B$1:$B$12828,MATCH($A155,CS!$B:$B,0)+COLUMN(F$1),1))</f>
        <v/>
      </c>
      <c r="AX155" t="str">
        <f>IF($A155="","", INDEX(CS!$B$1:$B$12828,MATCH($A155,CS!$B:$B,0)+COLUMN(G$1),1))</f>
        <v/>
      </c>
      <c r="AY155" t="str">
        <f>IF($A155="","", INDEX(CS!$B$1:$B$12828,MATCH($A155,CS!$B:$B,0)+COLUMN(H$1),1))</f>
        <v/>
      </c>
      <c r="AZ155" t="str">
        <f>IF($A155="","", INDEX(CS!$B$1:$B$12828,MATCH($A155,CS!$B:$B,0)+COLUMN(I$1),1))</f>
        <v/>
      </c>
      <c r="BA155" t="str">
        <f>IF($A155="","", INDEX(CS!$B$1:$B$12828,MATCH($A155,CS!$B:$B,0)+COLUMN(J$1),1))</f>
        <v/>
      </c>
    </row>
    <row r="156" spans="3:53" x14ac:dyDescent="0.4">
      <c r="C156" t="s">
        <v>194</v>
      </c>
      <c r="D156" t="str">
        <f t="shared" si="7"/>
        <v>0/0/0</v>
      </c>
      <c r="E156">
        <v>1</v>
      </c>
      <c r="AR156" t="str">
        <f>IF($A156="","", INDEX(CS!$B$1:$B$12828,MATCH($A156,CS!$B:$B,0)+COLUMN(A$1),1))</f>
        <v/>
      </c>
      <c r="AS156" t="str">
        <f>IF($A156="","", INDEX(CS!$B$1:$B$12828,MATCH($A156,CS!$B:$B,0)+COLUMN(B$1),1))</f>
        <v/>
      </c>
      <c r="AT156" t="str">
        <f>IF($A156="","", INDEX(CS!$B$1:$B$12828,MATCH($A156,CS!$B:$B,0)+COLUMN(C$1),1))</f>
        <v/>
      </c>
      <c r="AU156" t="str">
        <f>IF($A156="","", INDEX(CS!$B$1:$B$12828,MATCH($A156,CS!$B:$B,0)+COLUMN(D$1),1))</f>
        <v/>
      </c>
      <c r="AV156" t="str">
        <f>IF($A156="","", INDEX(CS!$B$1:$B$12828,MATCH($A156,CS!$B:$B,0)+COLUMN(E$1),1))</f>
        <v/>
      </c>
      <c r="AW156" t="str">
        <f>IF($A156="","", INDEX(CS!$B$1:$B$12828,MATCH($A156,CS!$B:$B,0)+COLUMN(F$1),1))</f>
        <v/>
      </c>
      <c r="AX156" t="str">
        <f>IF($A156="","", INDEX(CS!$B$1:$B$12828,MATCH($A156,CS!$B:$B,0)+COLUMN(G$1),1))</f>
        <v/>
      </c>
      <c r="AY156" t="str">
        <f>IF($A156="","", INDEX(CS!$B$1:$B$12828,MATCH($A156,CS!$B:$B,0)+COLUMN(H$1),1))</f>
        <v/>
      </c>
      <c r="AZ156" t="str">
        <f>IF($A156="","", INDEX(CS!$B$1:$B$12828,MATCH($A156,CS!$B:$B,0)+COLUMN(I$1),1))</f>
        <v/>
      </c>
      <c r="BA156" t="str">
        <f>IF($A156="","", INDEX(CS!$B$1:$B$12828,MATCH($A156,CS!$B:$B,0)+COLUMN(J$1),1))</f>
        <v/>
      </c>
    </row>
    <row r="157" spans="3:53" x14ac:dyDescent="0.4">
      <c r="C157" t="s">
        <v>194</v>
      </c>
      <c r="D157" t="str">
        <f t="shared" si="7"/>
        <v>0/0/0</v>
      </c>
      <c r="E157">
        <v>1</v>
      </c>
      <c r="AR157" t="str">
        <f>IF($A157="","", INDEX(CS!$B$1:$B$12828,MATCH($A157,CS!$B:$B,0)+COLUMN(A$1),1))</f>
        <v/>
      </c>
      <c r="AS157" t="str">
        <f>IF($A157="","", INDEX(CS!$B$1:$B$12828,MATCH($A157,CS!$B:$B,0)+COLUMN(B$1),1))</f>
        <v/>
      </c>
      <c r="AT157" t="str">
        <f>IF($A157="","", INDEX(CS!$B$1:$B$12828,MATCH($A157,CS!$B:$B,0)+COLUMN(C$1),1))</f>
        <v/>
      </c>
      <c r="AU157" t="str">
        <f>IF($A157="","", INDEX(CS!$B$1:$B$12828,MATCH($A157,CS!$B:$B,0)+COLUMN(D$1),1))</f>
        <v/>
      </c>
      <c r="AV157" t="str">
        <f>IF($A157="","", INDEX(CS!$B$1:$B$12828,MATCH($A157,CS!$B:$B,0)+COLUMN(E$1),1))</f>
        <v/>
      </c>
      <c r="AW157" t="str">
        <f>IF($A157="","", INDEX(CS!$B$1:$B$12828,MATCH($A157,CS!$B:$B,0)+COLUMN(F$1),1))</f>
        <v/>
      </c>
      <c r="AX157" t="str">
        <f>IF($A157="","", INDEX(CS!$B$1:$B$12828,MATCH($A157,CS!$B:$B,0)+COLUMN(G$1),1))</f>
        <v/>
      </c>
      <c r="AY157" t="str">
        <f>IF($A157="","", INDEX(CS!$B$1:$B$12828,MATCH($A157,CS!$B:$B,0)+COLUMN(H$1),1))</f>
        <v/>
      </c>
      <c r="AZ157" t="str">
        <f>IF($A157="","", INDEX(CS!$B$1:$B$12828,MATCH($A157,CS!$B:$B,0)+COLUMN(I$1),1))</f>
        <v/>
      </c>
      <c r="BA157" t="str">
        <f>IF($A157="","", INDEX(CS!$B$1:$B$12828,MATCH($A157,CS!$B:$B,0)+COLUMN(J$1),1))</f>
        <v/>
      </c>
    </row>
    <row r="158" spans="3:53" x14ac:dyDescent="0.4">
      <c r="C158" t="s">
        <v>194</v>
      </c>
      <c r="D158" t="str">
        <f t="shared" si="7"/>
        <v>0/0/0</v>
      </c>
      <c r="E158">
        <v>1</v>
      </c>
      <c r="AR158" t="str">
        <f>IF($A158="","", INDEX(CS!$B$1:$B$12828,MATCH($A158,CS!$B:$B,0)+COLUMN(A$1),1))</f>
        <v/>
      </c>
      <c r="AS158" t="str">
        <f>IF($A158="","", INDEX(CS!$B$1:$B$12828,MATCH($A158,CS!$B:$B,0)+COLUMN(B$1),1))</f>
        <v/>
      </c>
      <c r="AT158" t="str">
        <f>IF($A158="","", INDEX(CS!$B$1:$B$12828,MATCH($A158,CS!$B:$B,0)+COLUMN(C$1),1))</f>
        <v/>
      </c>
      <c r="AU158" t="str">
        <f>IF($A158="","", INDEX(CS!$B$1:$B$12828,MATCH($A158,CS!$B:$B,0)+COLUMN(D$1),1))</f>
        <v/>
      </c>
      <c r="AV158" t="str">
        <f>IF($A158="","", INDEX(CS!$B$1:$B$12828,MATCH($A158,CS!$B:$B,0)+COLUMN(E$1),1))</f>
        <v/>
      </c>
      <c r="AW158" t="str">
        <f>IF($A158="","", INDEX(CS!$B$1:$B$12828,MATCH($A158,CS!$B:$B,0)+COLUMN(F$1),1))</f>
        <v/>
      </c>
      <c r="AX158" t="str">
        <f>IF($A158="","", INDEX(CS!$B$1:$B$12828,MATCH($A158,CS!$B:$B,0)+COLUMN(G$1),1))</f>
        <v/>
      </c>
      <c r="AY158" t="str">
        <f>IF($A158="","", INDEX(CS!$B$1:$B$12828,MATCH($A158,CS!$B:$B,0)+COLUMN(H$1),1))</f>
        <v/>
      </c>
      <c r="AZ158" t="str">
        <f>IF($A158="","", INDEX(CS!$B$1:$B$12828,MATCH($A158,CS!$B:$B,0)+COLUMN(I$1),1))</f>
        <v/>
      </c>
      <c r="BA158" t="str">
        <f>IF($A158="","", INDEX(CS!$B$1:$B$12828,MATCH($A158,CS!$B:$B,0)+COLUMN(J$1),1))</f>
        <v/>
      </c>
    </row>
    <row r="159" spans="3:53" x14ac:dyDescent="0.4">
      <c r="C159" t="s">
        <v>194</v>
      </c>
      <c r="D159" t="str">
        <f t="shared" ref="D159:D218" si="8">SUM(AC159:AQ159,F159:L159)&amp;"/"&amp;SUM(F159:L159)&amp;"/"&amp;SUM(AC159:AQ159)</f>
        <v>0/0/0</v>
      </c>
      <c r="E159">
        <v>1</v>
      </c>
      <c r="AR159" t="str">
        <f>IF($A159="","", INDEX(CS!$B$1:$B$12828,MATCH($A159,CS!$B:$B,0)+COLUMN(A$1),1))</f>
        <v/>
      </c>
      <c r="AS159" t="str">
        <f>IF($A159="","", INDEX(CS!$B$1:$B$12828,MATCH($A159,CS!$B:$B,0)+COLUMN(B$1),1))</f>
        <v/>
      </c>
      <c r="AT159" t="str">
        <f>IF($A159="","", INDEX(CS!$B$1:$B$12828,MATCH($A159,CS!$B:$B,0)+COLUMN(C$1),1))</f>
        <v/>
      </c>
      <c r="AU159" t="str">
        <f>IF($A159="","", INDEX(CS!$B$1:$B$12828,MATCH($A159,CS!$B:$B,0)+COLUMN(D$1),1))</f>
        <v/>
      </c>
      <c r="AV159" t="str">
        <f>IF($A159="","", INDEX(CS!$B$1:$B$12828,MATCH($A159,CS!$B:$B,0)+COLUMN(E$1),1))</f>
        <v/>
      </c>
      <c r="AW159" t="str">
        <f>IF($A159="","", INDEX(CS!$B$1:$B$12828,MATCH($A159,CS!$B:$B,0)+COLUMN(F$1),1))</f>
        <v/>
      </c>
      <c r="AX159" t="str">
        <f>IF($A159="","", INDEX(CS!$B$1:$B$12828,MATCH($A159,CS!$B:$B,0)+COLUMN(G$1),1))</f>
        <v/>
      </c>
      <c r="AY159" t="str">
        <f>IF($A159="","", INDEX(CS!$B$1:$B$12828,MATCH($A159,CS!$B:$B,0)+COLUMN(H$1),1))</f>
        <v/>
      </c>
      <c r="AZ159" t="str">
        <f>IF($A159="","", INDEX(CS!$B$1:$B$12828,MATCH($A159,CS!$B:$B,0)+COLUMN(I$1),1))</f>
        <v/>
      </c>
      <c r="BA159" t="str">
        <f>IF($A159="","", INDEX(CS!$B$1:$B$12828,MATCH($A159,CS!$B:$B,0)+COLUMN(J$1),1))</f>
        <v/>
      </c>
    </row>
    <row r="160" spans="3:53" x14ac:dyDescent="0.4">
      <c r="C160" t="s">
        <v>194</v>
      </c>
      <c r="D160" t="str">
        <f t="shared" si="8"/>
        <v>0/0/0</v>
      </c>
      <c r="E160">
        <v>1</v>
      </c>
      <c r="AR160" t="str">
        <f>IF($A160="","", INDEX(CS!$B$1:$B$12828,MATCH($A160,CS!$B:$B,0)+COLUMN(A$1),1))</f>
        <v/>
      </c>
      <c r="AS160" t="str">
        <f>IF($A160="","", INDEX(CS!$B$1:$B$12828,MATCH($A160,CS!$B:$B,0)+COLUMN(B$1),1))</f>
        <v/>
      </c>
      <c r="AT160" t="str">
        <f>IF($A160="","", INDEX(CS!$B$1:$B$12828,MATCH($A160,CS!$B:$B,0)+COLUMN(C$1),1))</f>
        <v/>
      </c>
      <c r="AU160" t="str">
        <f>IF($A160="","", INDEX(CS!$B$1:$B$12828,MATCH($A160,CS!$B:$B,0)+COLUMN(D$1),1))</f>
        <v/>
      </c>
      <c r="AV160" t="str">
        <f>IF($A160="","", INDEX(CS!$B$1:$B$12828,MATCH($A160,CS!$B:$B,0)+COLUMN(E$1),1))</f>
        <v/>
      </c>
      <c r="AW160" t="str">
        <f>IF($A160="","", INDEX(CS!$B$1:$B$12828,MATCH($A160,CS!$B:$B,0)+COLUMN(F$1),1))</f>
        <v/>
      </c>
      <c r="AX160" t="str">
        <f>IF($A160="","", INDEX(CS!$B$1:$B$12828,MATCH($A160,CS!$B:$B,0)+COLUMN(G$1),1))</f>
        <v/>
      </c>
      <c r="AY160" t="str">
        <f>IF($A160="","", INDEX(CS!$B$1:$B$12828,MATCH($A160,CS!$B:$B,0)+COLUMN(H$1),1))</f>
        <v/>
      </c>
      <c r="AZ160" t="str">
        <f>IF($A160="","", INDEX(CS!$B$1:$B$12828,MATCH($A160,CS!$B:$B,0)+COLUMN(I$1),1))</f>
        <v/>
      </c>
      <c r="BA160" t="str">
        <f>IF($A160="","", INDEX(CS!$B$1:$B$12828,MATCH($A160,CS!$B:$B,0)+COLUMN(J$1),1))</f>
        <v/>
      </c>
    </row>
    <row r="161" spans="3:53" x14ac:dyDescent="0.4">
      <c r="C161" t="s">
        <v>194</v>
      </c>
      <c r="D161" t="str">
        <f t="shared" si="8"/>
        <v>0/0/0</v>
      </c>
      <c r="E161">
        <v>1</v>
      </c>
      <c r="AR161" t="str">
        <f>IF($A161="","", INDEX(CS!$B$1:$B$12828,MATCH($A161,CS!$B:$B,0)+COLUMN(A$1),1))</f>
        <v/>
      </c>
      <c r="AS161" t="str">
        <f>IF($A161="","", INDEX(CS!$B$1:$B$12828,MATCH($A161,CS!$B:$B,0)+COLUMN(B$1),1))</f>
        <v/>
      </c>
      <c r="AT161" t="str">
        <f>IF($A161="","", INDEX(CS!$B$1:$B$12828,MATCH($A161,CS!$B:$B,0)+COLUMN(C$1),1))</f>
        <v/>
      </c>
      <c r="AU161" t="str">
        <f>IF($A161="","", INDEX(CS!$B$1:$B$12828,MATCH($A161,CS!$B:$B,0)+COLUMN(D$1),1))</f>
        <v/>
      </c>
      <c r="AV161" t="str">
        <f>IF($A161="","", INDEX(CS!$B$1:$B$12828,MATCH($A161,CS!$B:$B,0)+COLUMN(E$1),1))</f>
        <v/>
      </c>
      <c r="AW161" t="str">
        <f>IF($A161="","", INDEX(CS!$B$1:$B$12828,MATCH($A161,CS!$B:$B,0)+COLUMN(F$1),1))</f>
        <v/>
      </c>
      <c r="AX161" t="str">
        <f>IF($A161="","", INDEX(CS!$B$1:$B$12828,MATCH($A161,CS!$B:$B,0)+COLUMN(G$1),1))</f>
        <v/>
      </c>
      <c r="AY161" t="str">
        <f>IF($A161="","", INDEX(CS!$B$1:$B$12828,MATCH($A161,CS!$B:$B,0)+COLUMN(H$1),1))</f>
        <v/>
      </c>
      <c r="AZ161" t="str">
        <f>IF($A161="","", INDEX(CS!$B$1:$B$12828,MATCH($A161,CS!$B:$B,0)+COLUMN(I$1),1))</f>
        <v/>
      </c>
      <c r="BA161" t="str">
        <f>IF($A161="","", INDEX(CS!$B$1:$B$12828,MATCH($A161,CS!$B:$B,0)+COLUMN(J$1),1))</f>
        <v/>
      </c>
    </row>
    <row r="162" spans="3:53" x14ac:dyDescent="0.4">
      <c r="C162" t="s">
        <v>194</v>
      </c>
      <c r="D162" t="str">
        <f t="shared" si="8"/>
        <v>0/0/0</v>
      </c>
      <c r="E162">
        <v>1</v>
      </c>
      <c r="AR162" t="str">
        <f>IF($A162="","", INDEX(CS!$B$1:$B$12828,MATCH($A162,CS!$B:$B,0)+COLUMN(A$1),1))</f>
        <v/>
      </c>
      <c r="AS162" t="str">
        <f>IF($A162="","", INDEX(CS!$B$1:$B$12828,MATCH($A162,CS!$B:$B,0)+COLUMN(B$1),1))</f>
        <v/>
      </c>
      <c r="AT162" t="str">
        <f>IF($A162="","", INDEX(CS!$B$1:$B$12828,MATCH($A162,CS!$B:$B,0)+COLUMN(C$1),1))</f>
        <v/>
      </c>
      <c r="AU162" t="str">
        <f>IF($A162="","", INDEX(CS!$B$1:$B$12828,MATCH($A162,CS!$B:$B,0)+COLUMN(D$1),1))</f>
        <v/>
      </c>
      <c r="AV162" t="str">
        <f>IF($A162="","", INDEX(CS!$B$1:$B$12828,MATCH($A162,CS!$B:$B,0)+COLUMN(E$1),1))</f>
        <v/>
      </c>
      <c r="AW162" t="str">
        <f>IF($A162="","", INDEX(CS!$B$1:$B$12828,MATCH($A162,CS!$B:$B,0)+COLUMN(F$1),1))</f>
        <v/>
      </c>
      <c r="AX162" t="str">
        <f>IF($A162="","", INDEX(CS!$B$1:$B$12828,MATCH($A162,CS!$B:$B,0)+COLUMN(G$1),1))</f>
        <v/>
      </c>
      <c r="AY162" t="str">
        <f>IF($A162="","", INDEX(CS!$B$1:$B$12828,MATCH($A162,CS!$B:$B,0)+COLUMN(H$1),1))</f>
        <v/>
      </c>
      <c r="AZ162" t="str">
        <f>IF($A162="","", INDEX(CS!$B$1:$B$12828,MATCH($A162,CS!$B:$B,0)+COLUMN(I$1),1))</f>
        <v/>
      </c>
      <c r="BA162" t="str">
        <f>IF($A162="","", INDEX(CS!$B$1:$B$12828,MATCH($A162,CS!$B:$B,0)+COLUMN(J$1),1))</f>
        <v/>
      </c>
    </row>
    <row r="163" spans="3:53" x14ac:dyDescent="0.4">
      <c r="C163" t="s">
        <v>194</v>
      </c>
      <c r="D163" t="str">
        <f t="shared" si="8"/>
        <v>0/0/0</v>
      </c>
      <c r="E163">
        <v>1</v>
      </c>
      <c r="AR163" t="str">
        <f>IF($A163="","", INDEX(CS!$B$1:$B$12828,MATCH($A163,CS!$B:$B,0)+COLUMN(A$1),1))</f>
        <v/>
      </c>
      <c r="AS163" t="str">
        <f>IF($A163="","", INDEX(CS!$B$1:$B$12828,MATCH($A163,CS!$B:$B,0)+COLUMN(B$1),1))</f>
        <v/>
      </c>
      <c r="AT163" t="str">
        <f>IF($A163="","", INDEX(CS!$B$1:$B$12828,MATCH($A163,CS!$B:$B,0)+COLUMN(C$1),1))</f>
        <v/>
      </c>
      <c r="AU163" t="str">
        <f>IF($A163="","", INDEX(CS!$B$1:$B$12828,MATCH($A163,CS!$B:$B,0)+COLUMN(D$1),1))</f>
        <v/>
      </c>
      <c r="AV163" t="str">
        <f>IF($A163="","", INDEX(CS!$B$1:$B$12828,MATCH($A163,CS!$B:$B,0)+COLUMN(E$1),1))</f>
        <v/>
      </c>
      <c r="AW163" t="str">
        <f>IF($A163="","", INDEX(CS!$B$1:$B$12828,MATCH($A163,CS!$B:$B,0)+COLUMN(F$1),1))</f>
        <v/>
      </c>
      <c r="AX163" t="str">
        <f>IF($A163="","", INDEX(CS!$B$1:$B$12828,MATCH($A163,CS!$B:$B,0)+COLUMN(G$1),1))</f>
        <v/>
      </c>
      <c r="AY163" t="str">
        <f>IF($A163="","", INDEX(CS!$B$1:$B$12828,MATCH($A163,CS!$B:$B,0)+COLUMN(H$1),1))</f>
        <v/>
      </c>
      <c r="AZ163" t="str">
        <f>IF($A163="","", INDEX(CS!$B$1:$B$12828,MATCH($A163,CS!$B:$B,0)+COLUMN(I$1),1))</f>
        <v/>
      </c>
      <c r="BA163" t="str">
        <f>IF($A163="","", INDEX(CS!$B$1:$B$12828,MATCH($A163,CS!$B:$B,0)+COLUMN(J$1),1))</f>
        <v/>
      </c>
    </row>
    <row r="164" spans="3:53" x14ac:dyDescent="0.4">
      <c r="C164" t="s">
        <v>194</v>
      </c>
      <c r="D164" t="str">
        <f t="shared" si="8"/>
        <v>0/0/0</v>
      </c>
      <c r="E164">
        <v>1</v>
      </c>
      <c r="AR164" t="str">
        <f>IF($A164="","", INDEX(CS!$B$1:$B$12828,MATCH($A164,CS!$B:$B,0)+COLUMN(A$1),1))</f>
        <v/>
      </c>
      <c r="AS164" t="str">
        <f>IF($A164="","", INDEX(CS!$B$1:$B$12828,MATCH($A164,CS!$B:$B,0)+COLUMN(B$1),1))</f>
        <v/>
      </c>
      <c r="AT164" t="str">
        <f>IF($A164="","", INDEX(CS!$B$1:$B$12828,MATCH($A164,CS!$B:$B,0)+COLUMN(C$1),1))</f>
        <v/>
      </c>
      <c r="AU164" t="str">
        <f>IF($A164="","", INDEX(CS!$B$1:$B$12828,MATCH($A164,CS!$B:$B,0)+COLUMN(D$1),1))</f>
        <v/>
      </c>
      <c r="AV164" t="str">
        <f>IF($A164="","", INDEX(CS!$B$1:$B$12828,MATCH($A164,CS!$B:$B,0)+COLUMN(E$1),1))</f>
        <v/>
      </c>
      <c r="AW164" t="str">
        <f>IF($A164="","", INDEX(CS!$B$1:$B$12828,MATCH($A164,CS!$B:$B,0)+COLUMN(F$1),1))</f>
        <v/>
      </c>
      <c r="AX164" t="str">
        <f>IF($A164="","", INDEX(CS!$B$1:$B$12828,MATCH($A164,CS!$B:$B,0)+COLUMN(G$1),1))</f>
        <v/>
      </c>
      <c r="AY164" t="str">
        <f>IF($A164="","", INDEX(CS!$B$1:$B$12828,MATCH($A164,CS!$B:$B,0)+COLUMN(H$1),1))</f>
        <v/>
      </c>
      <c r="AZ164" t="str">
        <f>IF($A164="","", INDEX(CS!$B$1:$B$12828,MATCH($A164,CS!$B:$B,0)+COLUMN(I$1),1))</f>
        <v/>
      </c>
      <c r="BA164" t="str">
        <f>IF($A164="","", INDEX(CS!$B$1:$B$12828,MATCH($A164,CS!$B:$B,0)+COLUMN(J$1),1))</f>
        <v/>
      </c>
    </row>
    <row r="165" spans="3:53" x14ac:dyDescent="0.4">
      <c r="C165" t="s">
        <v>194</v>
      </c>
      <c r="D165" t="str">
        <f t="shared" si="8"/>
        <v>0/0/0</v>
      </c>
      <c r="E165">
        <v>1</v>
      </c>
      <c r="AR165" t="str">
        <f>IF($A165="","", INDEX(CS!$B$1:$B$12828,MATCH($A165,CS!$B:$B,0)+COLUMN(A$1),1))</f>
        <v/>
      </c>
      <c r="AS165" t="str">
        <f>IF($A165="","", INDEX(CS!$B$1:$B$12828,MATCH($A165,CS!$B:$B,0)+COLUMN(B$1),1))</f>
        <v/>
      </c>
      <c r="AT165" t="str">
        <f>IF($A165="","", INDEX(CS!$B$1:$B$12828,MATCH($A165,CS!$B:$B,0)+COLUMN(C$1),1))</f>
        <v/>
      </c>
      <c r="AU165" t="str">
        <f>IF($A165="","", INDEX(CS!$B$1:$B$12828,MATCH($A165,CS!$B:$B,0)+COLUMN(D$1),1))</f>
        <v/>
      </c>
      <c r="AV165" t="str">
        <f>IF($A165="","", INDEX(CS!$B$1:$B$12828,MATCH($A165,CS!$B:$B,0)+COLUMN(E$1),1))</f>
        <v/>
      </c>
      <c r="AW165" t="str">
        <f>IF($A165="","", INDEX(CS!$B$1:$B$12828,MATCH($A165,CS!$B:$B,0)+COLUMN(F$1),1))</f>
        <v/>
      </c>
      <c r="AX165" t="str">
        <f>IF($A165="","", INDEX(CS!$B$1:$B$12828,MATCH($A165,CS!$B:$B,0)+COLUMN(G$1),1))</f>
        <v/>
      </c>
      <c r="AY165" t="str">
        <f>IF($A165="","", INDEX(CS!$B$1:$B$12828,MATCH($A165,CS!$B:$B,0)+COLUMN(H$1),1))</f>
        <v/>
      </c>
      <c r="AZ165" t="str">
        <f>IF($A165="","", INDEX(CS!$B$1:$B$12828,MATCH($A165,CS!$B:$B,0)+COLUMN(I$1),1))</f>
        <v/>
      </c>
      <c r="BA165" t="str">
        <f>IF($A165="","", INDEX(CS!$B$1:$B$12828,MATCH($A165,CS!$B:$B,0)+COLUMN(J$1),1))</f>
        <v/>
      </c>
    </row>
    <row r="166" spans="3:53" x14ac:dyDescent="0.4">
      <c r="C166" t="s">
        <v>194</v>
      </c>
      <c r="D166" t="str">
        <f t="shared" si="8"/>
        <v>0/0/0</v>
      </c>
      <c r="E166">
        <v>1</v>
      </c>
      <c r="AR166" t="str">
        <f>IF($A166="","", INDEX(CS!$B$1:$B$12828,MATCH($A166,CS!$B:$B,0)+COLUMN(A$1),1))</f>
        <v/>
      </c>
      <c r="AS166" t="str">
        <f>IF($A166="","", INDEX(CS!$B$1:$B$12828,MATCH($A166,CS!$B:$B,0)+COLUMN(B$1),1))</f>
        <v/>
      </c>
      <c r="AT166" t="str">
        <f>IF($A166="","", INDEX(CS!$B$1:$B$12828,MATCH($A166,CS!$B:$B,0)+COLUMN(C$1),1))</f>
        <v/>
      </c>
      <c r="AU166" t="str">
        <f>IF($A166="","", INDEX(CS!$B$1:$B$12828,MATCH($A166,CS!$B:$B,0)+COLUMN(D$1),1))</f>
        <v/>
      </c>
      <c r="AV166" t="str">
        <f>IF($A166="","", INDEX(CS!$B$1:$B$12828,MATCH($A166,CS!$B:$B,0)+COLUMN(E$1),1))</f>
        <v/>
      </c>
      <c r="AW166" t="str">
        <f>IF($A166="","", INDEX(CS!$B$1:$B$12828,MATCH($A166,CS!$B:$B,0)+COLUMN(F$1),1))</f>
        <v/>
      </c>
      <c r="AX166" t="str">
        <f>IF($A166="","", INDEX(CS!$B$1:$B$12828,MATCH($A166,CS!$B:$B,0)+COLUMN(G$1),1))</f>
        <v/>
      </c>
      <c r="AY166" t="str">
        <f>IF($A166="","", INDEX(CS!$B$1:$B$12828,MATCH($A166,CS!$B:$B,0)+COLUMN(H$1),1))</f>
        <v/>
      </c>
      <c r="AZ166" t="str">
        <f>IF($A166="","", INDEX(CS!$B$1:$B$12828,MATCH($A166,CS!$B:$B,0)+COLUMN(I$1),1))</f>
        <v/>
      </c>
      <c r="BA166" t="str">
        <f>IF($A166="","", INDEX(CS!$B$1:$B$12828,MATCH($A166,CS!$B:$B,0)+COLUMN(J$1),1))</f>
        <v/>
      </c>
    </row>
    <row r="167" spans="3:53" x14ac:dyDescent="0.4">
      <c r="C167" t="s">
        <v>194</v>
      </c>
      <c r="D167" t="str">
        <f t="shared" si="8"/>
        <v>0/0/0</v>
      </c>
      <c r="E167">
        <v>1</v>
      </c>
      <c r="AR167" t="str">
        <f>IF($A167="","", INDEX(CS!$B$1:$B$12828,MATCH($A167,CS!$B:$B,0)+COLUMN(A$1),1))</f>
        <v/>
      </c>
      <c r="AS167" t="str">
        <f>IF($A167="","", INDEX(CS!$B$1:$B$12828,MATCH($A167,CS!$B:$B,0)+COLUMN(B$1),1))</f>
        <v/>
      </c>
      <c r="AT167" t="str">
        <f>IF($A167="","", INDEX(CS!$B$1:$B$12828,MATCH($A167,CS!$B:$B,0)+COLUMN(C$1),1))</f>
        <v/>
      </c>
      <c r="AU167" t="str">
        <f>IF($A167="","", INDEX(CS!$B$1:$B$12828,MATCH($A167,CS!$B:$B,0)+COLUMN(D$1),1))</f>
        <v/>
      </c>
      <c r="AV167" t="str">
        <f>IF($A167="","", INDEX(CS!$B$1:$B$12828,MATCH($A167,CS!$B:$B,0)+COLUMN(E$1),1))</f>
        <v/>
      </c>
      <c r="AW167" t="str">
        <f>IF($A167="","", INDEX(CS!$B$1:$B$12828,MATCH($A167,CS!$B:$B,0)+COLUMN(F$1),1))</f>
        <v/>
      </c>
      <c r="AX167" t="str">
        <f>IF($A167="","", INDEX(CS!$B$1:$B$12828,MATCH($A167,CS!$B:$B,0)+COLUMN(G$1),1))</f>
        <v/>
      </c>
      <c r="AY167" t="str">
        <f>IF($A167="","", INDEX(CS!$B$1:$B$12828,MATCH($A167,CS!$B:$B,0)+COLUMN(H$1),1))</f>
        <v/>
      </c>
      <c r="AZ167" t="str">
        <f>IF($A167="","", INDEX(CS!$B$1:$B$12828,MATCH($A167,CS!$B:$B,0)+COLUMN(I$1),1))</f>
        <v/>
      </c>
      <c r="BA167" t="str">
        <f>IF($A167="","", INDEX(CS!$B$1:$B$12828,MATCH($A167,CS!$B:$B,0)+COLUMN(J$1),1))</f>
        <v/>
      </c>
    </row>
    <row r="168" spans="3:53" x14ac:dyDescent="0.4">
      <c r="C168" t="s">
        <v>194</v>
      </c>
      <c r="D168" t="str">
        <f t="shared" si="8"/>
        <v>0/0/0</v>
      </c>
      <c r="E168">
        <v>1</v>
      </c>
      <c r="AR168" t="str">
        <f>IF($A168="","", INDEX(CS!$B$1:$B$12828,MATCH($A168,CS!$B:$B,0)+COLUMN(A$1),1))</f>
        <v/>
      </c>
      <c r="AS168" t="str">
        <f>IF($A168="","", INDEX(CS!$B$1:$B$12828,MATCH($A168,CS!$B:$B,0)+COLUMN(B$1),1))</f>
        <v/>
      </c>
      <c r="AT168" t="str">
        <f>IF($A168="","", INDEX(CS!$B$1:$B$12828,MATCH($A168,CS!$B:$B,0)+COLUMN(C$1),1))</f>
        <v/>
      </c>
      <c r="AU168" t="str">
        <f>IF($A168="","", INDEX(CS!$B$1:$B$12828,MATCH($A168,CS!$B:$B,0)+COLUMN(D$1),1))</f>
        <v/>
      </c>
      <c r="AV168" t="str">
        <f>IF($A168="","", INDEX(CS!$B$1:$B$12828,MATCH($A168,CS!$B:$B,0)+COLUMN(E$1),1))</f>
        <v/>
      </c>
      <c r="AW168" t="str">
        <f>IF($A168="","", INDEX(CS!$B$1:$B$12828,MATCH($A168,CS!$B:$B,0)+COLUMN(F$1),1))</f>
        <v/>
      </c>
      <c r="AX168" t="str">
        <f>IF($A168="","", INDEX(CS!$B$1:$B$12828,MATCH($A168,CS!$B:$B,0)+COLUMN(G$1),1))</f>
        <v/>
      </c>
      <c r="AY168" t="str">
        <f>IF($A168="","", INDEX(CS!$B$1:$B$12828,MATCH($A168,CS!$B:$B,0)+COLUMN(H$1),1))</f>
        <v/>
      </c>
      <c r="AZ168" t="str">
        <f>IF($A168="","", INDEX(CS!$B$1:$B$12828,MATCH($A168,CS!$B:$B,0)+COLUMN(I$1),1))</f>
        <v/>
      </c>
      <c r="BA168" t="str">
        <f>IF($A168="","", INDEX(CS!$B$1:$B$12828,MATCH($A168,CS!$B:$B,0)+COLUMN(J$1),1))</f>
        <v/>
      </c>
    </row>
    <row r="169" spans="3:53" x14ac:dyDescent="0.4">
      <c r="C169" t="s">
        <v>194</v>
      </c>
      <c r="D169" t="str">
        <f t="shared" si="8"/>
        <v>0/0/0</v>
      </c>
      <c r="E169">
        <v>1</v>
      </c>
      <c r="AR169" t="str">
        <f>IF($A169="","", INDEX(CS!$B$1:$B$12828,MATCH($A169,CS!$B:$B,0)+COLUMN(A$1),1))</f>
        <v/>
      </c>
      <c r="AS169" t="str">
        <f>IF($A169="","", INDEX(CS!$B$1:$B$12828,MATCH($A169,CS!$B:$B,0)+COLUMN(B$1),1))</f>
        <v/>
      </c>
      <c r="AT169" t="str">
        <f>IF($A169="","", INDEX(CS!$B$1:$B$12828,MATCH($A169,CS!$B:$B,0)+COLUMN(C$1),1))</f>
        <v/>
      </c>
      <c r="AU169" t="str">
        <f>IF($A169="","", INDEX(CS!$B$1:$B$12828,MATCH($A169,CS!$B:$B,0)+COLUMN(D$1),1))</f>
        <v/>
      </c>
      <c r="AV169" t="str">
        <f>IF($A169="","", INDEX(CS!$B$1:$B$12828,MATCH($A169,CS!$B:$B,0)+COLUMN(E$1),1))</f>
        <v/>
      </c>
      <c r="AW169" t="str">
        <f>IF($A169="","", INDEX(CS!$B$1:$B$12828,MATCH($A169,CS!$B:$B,0)+COLUMN(F$1),1))</f>
        <v/>
      </c>
      <c r="AX169" t="str">
        <f>IF($A169="","", INDEX(CS!$B$1:$B$12828,MATCH($A169,CS!$B:$B,0)+COLUMN(G$1),1))</f>
        <v/>
      </c>
      <c r="AY169" t="str">
        <f>IF($A169="","", INDEX(CS!$B$1:$B$12828,MATCH($A169,CS!$B:$B,0)+COLUMN(H$1),1))</f>
        <v/>
      </c>
      <c r="AZ169" t="str">
        <f>IF($A169="","", INDEX(CS!$B$1:$B$12828,MATCH($A169,CS!$B:$B,0)+COLUMN(I$1),1))</f>
        <v/>
      </c>
      <c r="BA169" t="str">
        <f>IF($A169="","", INDEX(CS!$B$1:$B$12828,MATCH($A169,CS!$B:$B,0)+COLUMN(J$1),1))</f>
        <v/>
      </c>
    </row>
    <row r="170" spans="3:53" x14ac:dyDescent="0.4">
      <c r="C170" t="s">
        <v>194</v>
      </c>
      <c r="D170" t="str">
        <f t="shared" si="8"/>
        <v>0/0/0</v>
      </c>
      <c r="E170">
        <v>1</v>
      </c>
      <c r="AR170" t="str">
        <f>IF($A170="","", INDEX(CS!$B$1:$B$12828,MATCH($A170,CS!$B:$B,0)+COLUMN(A$1),1))</f>
        <v/>
      </c>
      <c r="AS170" t="str">
        <f>IF($A170="","", INDEX(CS!$B$1:$B$12828,MATCH($A170,CS!$B:$B,0)+COLUMN(B$1),1))</f>
        <v/>
      </c>
      <c r="AT170" t="str">
        <f>IF($A170="","", INDEX(CS!$B$1:$B$12828,MATCH($A170,CS!$B:$B,0)+COLUMN(C$1),1))</f>
        <v/>
      </c>
      <c r="AU170" t="str">
        <f>IF($A170="","", INDEX(CS!$B$1:$B$12828,MATCH($A170,CS!$B:$B,0)+COLUMN(D$1),1))</f>
        <v/>
      </c>
      <c r="AV170" t="str">
        <f>IF($A170="","", INDEX(CS!$B$1:$B$12828,MATCH($A170,CS!$B:$B,0)+COLUMN(E$1),1))</f>
        <v/>
      </c>
      <c r="AW170" t="str">
        <f>IF($A170="","", INDEX(CS!$B$1:$B$12828,MATCH($A170,CS!$B:$B,0)+COLUMN(F$1),1))</f>
        <v/>
      </c>
      <c r="AX170" t="str">
        <f>IF($A170="","", INDEX(CS!$B$1:$B$12828,MATCH($A170,CS!$B:$B,0)+COLUMN(G$1),1))</f>
        <v/>
      </c>
      <c r="AY170" t="str">
        <f>IF($A170="","", INDEX(CS!$B$1:$B$12828,MATCH($A170,CS!$B:$B,0)+COLUMN(H$1),1))</f>
        <v/>
      </c>
      <c r="AZ170" t="str">
        <f>IF($A170="","", INDEX(CS!$B$1:$B$12828,MATCH($A170,CS!$B:$B,0)+COLUMN(I$1),1))</f>
        <v/>
      </c>
      <c r="BA170" t="str">
        <f>IF($A170="","", INDEX(CS!$B$1:$B$12828,MATCH($A170,CS!$B:$B,0)+COLUMN(J$1),1))</f>
        <v/>
      </c>
    </row>
    <row r="171" spans="3:53" x14ac:dyDescent="0.4">
      <c r="C171" t="s">
        <v>194</v>
      </c>
      <c r="D171" t="str">
        <f t="shared" si="8"/>
        <v>0/0/0</v>
      </c>
      <c r="E171">
        <v>1</v>
      </c>
      <c r="AR171" t="str">
        <f>IF($A171="","", INDEX(CS!$B$1:$B$12828,MATCH($A171,CS!$B:$B,0)+COLUMN(A$1),1))</f>
        <v/>
      </c>
      <c r="AS171" t="str">
        <f>IF($A171="","", INDEX(CS!$B$1:$B$12828,MATCH($A171,CS!$B:$B,0)+COLUMN(B$1),1))</f>
        <v/>
      </c>
      <c r="AT171" t="str">
        <f>IF($A171="","", INDEX(CS!$B$1:$B$12828,MATCH($A171,CS!$B:$B,0)+COLUMN(C$1),1))</f>
        <v/>
      </c>
      <c r="AU171" t="str">
        <f>IF($A171="","", INDEX(CS!$B$1:$B$12828,MATCH($A171,CS!$B:$B,0)+COLUMN(D$1),1))</f>
        <v/>
      </c>
      <c r="AV171" t="str">
        <f>IF($A171="","", INDEX(CS!$B$1:$B$12828,MATCH($A171,CS!$B:$B,0)+COLUMN(E$1),1))</f>
        <v/>
      </c>
      <c r="AW171" t="str">
        <f>IF($A171="","", INDEX(CS!$B$1:$B$12828,MATCH($A171,CS!$B:$B,0)+COLUMN(F$1),1))</f>
        <v/>
      </c>
      <c r="AX171" t="str">
        <f>IF($A171="","", INDEX(CS!$B$1:$B$12828,MATCH($A171,CS!$B:$B,0)+COLUMN(G$1),1))</f>
        <v/>
      </c>
      <c r="AY171" t="str">
        <f>IF($A171="","", INDEX(CS!$B$1:$B$12828,MATCH($A171,CS!$B:$B,0)+COLUMN(H$1),1))</f>
        <v/>
      </c>
      <c r="AZ171" t="str">
        <f>IF($A171="","", INDEX(CS!$B$1:$B$12828,MATCH($A171,CS!$B:$B,0)+COLUMN(I$1),1))</f>
        <v/>
      </c>
      <c r="BA171" t="str">
        <f>IF($A171="","", INDEX(CS!$B$1:$B$12828,MATCH($A171,CS!$B:$B,0)+COLUMN(J$1),1))</f>
        <v/>
      </c>
    </row>
    <row r="172" spans="3:53" x14ac:dyDescent="0.4">
      <c r="C172" t="s">
        <v>194</v>
      </c>
      <c r="D172" t="str">
        <f t="shared" si="8"/>
        <v>0/0/0</v>
      </c>
      <c r="E172">
        <v>1</v>
      </c>
      <c r="AR172" t="str">
        <f>IF($A172="","", INDEX(CS!$B$1:$B$12828,MATCH($A172,CS!$B:$B,0)+COLUMN(A$1),1))</f>
        <v/>
      </c>
      <c r="AS172" t="str">
        <f>IF($A172="","", INDEX(CS!$B$1:$B$12828,MATCH($A172,CS!$B:$B,0)+COLUMN(B$1),1))</f>
        <v/>
      </c>
      <c r="AT172" t="str">
        <f>IF($A172="","", INDEX(CS!$B$1:$B$12828,MATCH($A172,CS!$B:$B,0)+COLUMN(C$1),1))</f>
        <v/>
      </c>
      <c r="AU172" t="str">
        <f>IF($A172="","", INDEX(CS!$B$1:$B$12828,MATCH($A172,CS!$B:$B,0)+COLUMN(D$1),1))</f>
        <v/>
      </c>
      <c r="AV172" t="str">
        <f>IF($A172="","", INDEX(CS!$B$1:$B$12828,MATCH($A172,CS!$B:$B,0)+COLUMN(E$1),1))</f>
        <v/>
      </c>
      <c r="AW172" t="str">
        <f>IF($A172="","", INDEX(CS!$B$1:$B$12828,MATCH($A172,CS!$B:$B,0)+COLUMN(F$1),1))</f>
        <v/>
      </c>
      <c r="AX172" t="str">
        <f>IF($A172="","", INDEX(CS!$B$1:$B$12828,MATCH($A172,CS!$B:$B,0)+COLUMN(G$1),1))</f>
        <v/>
      </c>
      <c r="AY172" t="str">
        <f>IF($A172="","", INDEX(CS!$B$1:$B$12828,MATCH($A172,CS!$B:$B,0)+COLUMN(H$1),1))</f>
        <v/>
      </c>
      <c r="AZ172" t="str">
        <f>IF($A172="","", INDEX(CS!$B$1:$B$12828,MATCH($A172,CS!$B:$B,0)+COLUMN(I$1),1))</f>
        <v/>
      </c>
      <c r="BA172" t="str">
        <f>IF($A172="","", INDEX(CS!$B$1:$B$12828,MATCH($A172,CS!$B:$B,0)+COLUMN(J$1),1))</f>
        <v/>
      </c>
    </row>
    <row r="173" spans="3:53" x14ac:dyDescent="0.4">
      <c r="C173" t="s">
        <v>194</v>
      </c>
      <c r="D173" t="str">
        <f t="shared" si="8"/>
        <v>0/0/0</v>
      </c>
      <c r="E173">
        <v>1</v>
      </c>
      <c r="AR173" t="str">
        <f>IF($A173="","", INDEX(CS!$B$1:$B$12828,MATCH($A173,CS!$B:$B,0)+COLUMN(A$1),1))</f>
        <v/>
      </c>
      <c r="AS173" t="str">
        <f>IF($A173="","", INDEX(CS!$B$1:$B$12828,MATCH($A173,CS!$B:$B,0)+COLUMN(B$1),1))</f>
        <v/>
      </c>
      <c r="AT173" t="str">
        <f>IF($A173="","", INDEX(CS!$B$1:$B$12828,MATCH($A173,CS!$B:$B,0)+COLUMN(C$1),1))</f>
        <v/>
      </c>
      <c r="AU173" t="str">
        <f>IF($A173="","", INDEX(CS!$B$1:$B$12828,MATCH($A173,CS!$B:$B,0)+COLUMN(D$1),1))</f>
        <v/>
      </c>
      <c r="AV173" t="str">
        <f>IF($A173="","", INDEX(CS!$B$1:$B$12828,MATCH($A173,CS!$B:$B,0)+COLUMN(E$1),1))</f>
        <v/>
      </c>
      <c r="AW173" t="str">
        <f>IF($A173="","", INDEX(CS!$B$1:$B$12828,MATCH($A173,CS!$B:$B,0)+COLUMN(F$1),1))</f>
        <v/>
      </c>
      <c r="AX173" t="str">
        <f>IF($A173="","", INDEX(CS!$B$1:$B$12828,MATCH($A173,CS!$B:$B,0)+COLUMN(G$1),1))</f>
        <v/>
      </c>
      <c r="AY173" t="str">
        <f>IF($A173="","", INDEX(CS!$B$1:$B$12828,MATCH($A173,CS!$B:$B,0)+COLUMN(H$1),1))</f>
        <v/>
      </c>
      <c r="AZ173" t="str">
        <f>IF($A173="","", INDEX(CS!$B$1:$B$12828,MATCH($A173,CS!$B:$B,0)+COLUMN(I$1),1))</f>
        <v/>
      </c>
      <c r="BA173" t="str">
        <f>IF($A173="","", INDEX(CS!$B$1:$B$12828,MATCH($A173,CS!$B:$B,0)+COLUMN(J$1),1))</f>
        <v/>
      </c>
    </row>
    <row r="174" spans="3:53" x14ac:dyDescent="0.4">
      <c r="C174" t="s">
        <v>194</v>
      </c>
      <c r="D174" t="str">
        <f t="shared" si="8"/>
        <v>0/0/0</v>
      </c>
      <c r="E174">
        <v>1</v>
      </c>
      <c r="AR174" t="str">
        <f>IF($A174="","", INDEX(CS!$B$1:$B$12828,MATCH($A174,CS!$B:$B,0)+COLUMN(A$1),1))</f>
        <v/>
      </c>
      <c r="AS174" t="str">
        <f>IF($A174="","", INDEX(CS!$B$1:$B$12828,MATCH($A174,CS!$B:$B,0)+COLUMN(B$1),1))</f>
        <v/>
      </c>
      <c r="AT174" t="str">
        <f>IF($A174="","", INDEX(CS!$B$1:$B$12828,MATCH($A174,CS!$B:$B,0)+COLUMN(C$1),1))</f>
        <v/>
      </c>
      <c r="AU174" t="str">
        <f>IF($A174="","", INDEX(CS!$B$1:$B$12828,MATCH($A174,CS!$B:$B,0)+COLUMN(D$1),1))</f>
        <v/>
      </c>
      <c r="AV174" t="str">
        <f>IF($A174="","", INDEX(CS!$B$1:$B$12828,MATCH($A174,CS!$B:$B,0)+COLUMN(E$1),1))</f>
        <v/>
      </c>
      <c r="AW174" t="str">
        <f>IF($A174="","", INDEX(CS!$B$1:$B$12828,MATCH($A174,CS!$B:$B,0)+COLUMN(F$1),1))</f>
        <v/>
      </c>
      <c r="AX174" t="str">
        <f>IF($A174="","", INDEX(CS!$B$1:$B$12828,MATCH($A174,CS!$B:$B,0)+COLUMN(G$1),1))</f>
        <v/>
      </c>
      <c r="AY174" t="str">
        <f>IF($A174="","", INDEX(CS!$B$1:$B$12828,MATCH($A174,CS!$B:$B,0)+COLUMN(H$1),1))</f>
        <v/>
      </c>
      <c r="AZ174" t="str">
        <f>IF($A174="","", INDEX(CS!$B$1:$B$12828,MATCH($A174,CS!$B:$B,0)+COLUMN(I$1),1))</f>
        <v/>
      </c>
      <c r="BA174" t="str">
        <f>IF($A174="","", INDEX(CS!$B$1:$B$12828,MATCH($A174,CS!$B:$B,0)+COLUMN(J$1),1))</f>
        <v/>
      </c>
    </row>
    <row r="175" spans="3:53" x14ac:dyDescent="0.4">
      <c r="C175" t="s">
        <v>194</v>
      </c>
      <c r="D175" t="str">
        <f t="shared" si="8"/>
        <v>0/0/0</v>
      </c>
      <c r="E175">
        <v>1</v>
      </c>
      <c r="AR175" t="str">
        <f>IF($A175="","", INDEX(CS!$B$1:$B$12828,MATCH($A175,CS!$B:$B,0)+COLUMN(A$1),1))</f>
        <v/>
      </c>
      <c r="AS175" t="str">
        <f>IF($A175="","", INDEX(CS!$B$1:$B$12828,MATCH($A175,CS!$B:$B,0)+COLUMN(B$1),1))</f>
        <v/>
      </c>
      <c r="AT175" t="str">
        <f>IF($A175="","", INDEX(CS!$B$1:$B$12828,MATCH($A175,CS!$B:$B,0)+COLUMN(C$1),1))</f>
        <v/>
      </c>
      <c r="AU175" t="str">
        <f>IF($A175="","", INDEX(CS!$B$1:$B$12828,MATCH($A175,CS!$B:$B,0)+COLUMN(D$1),1))</f>
        <v/>
      </c>
      <c r="AV175" t="str">
        <f>IF($A175="","", INDEX(CS!$B$1:$B$12828,MATCH($A175,CS!$B:$B,0)+COLUMN(E$1),1))</f>
        <v/>
      </c>
      <c r="AW175" t="str">
        <f>IF($A175="","", INDEX(CS!$B$1:$B$12828,MATCH($A175,CS!$B:$B,0)+COLUMN(F$1),1))</f>
        <v/>
      </c>
      <c r="AX175" t="str">
        <f>IF($A175="","", INDEX(CS!$B$1:$B$12828,MATCH($A175,CS!$B:$B,0)+COLUMN(G$1),1))</f>
        <v/>
      </c>
      <c r="AY175" t="str">
        <f>IF($A175="","", INDEX(CS!$B$1:$B$12828,MATCH($A175,CS!$B:$B,0)+COLUMN(H$1),1))</f>
        <v/>
      </c>
      <c r="AZ175" t="str">
        <f>IF($A175="","", INDEX(CS!$B$1:$B$12828,MATCH($A175,CS!$B:$B,0)+COLUMN(I$1),1))</f>
        <v/>
      </c>
      <c r="BA175" t="str">
        <f>IF($A175="","", INDEX(CS!$B$1:$B$12828,MATCH($A175,CS!$B:$B,0)+COLUMN(J$1),1))</f>
        <v/>
      </c>
    </row>
    <row r="176" spans="3:53" x14ac:dyDescent="0.4">
      <c r="C176" t="s">
        <v>194</v>
      </c>
      <c r="D176" t="str">
        <f t="shared" si="8"/>
        <v>0/0/0</v>
      </c>
      <c r="E176">
        <v>1</v>
      </c>
      <c r="AR176" t="str">
        <f>IF($A176="","", INDEX(CS!$B$1:$B$12828,MATCH($A176,CS!$B:$B,0)+COLUMN(A$1),1))</f>
        <v/>
      </c>
      <c r="AS176" t="str">
        <f>IF($A176="","", INDEX(CS!$B$1:$B$12828,MATCH($A176,CS!$B:$B,0)+COLUMN(B$1),1))</f>
        <v/>
      </c>
      <c r="AT176" t="str">
        <f>IF($A176="","", INDEX(CS!$B$1:$B$12828,MATCH($A176,CS!$B:$B,0)+COLUMN(C$1),1))</f>
        <v/>
      </c>
      <c r="AU176" t="str">
        <f>IF($A176="","", INDEX(CS!$B$1:$B$12828,MATCH($A176,CS!$B:$B,0)+COLUMN(D$1),1))</f>
        <v/>
      </c>
      <c r="AV176" t="str">
        <f>IF($A176="","", INDEX(CS!$B$1:$B$12828,MATCH($A176,CS!$B:$B,0)+COLUMN(E$1),1))</f>
        <v/>
      </c>
      <c r="AW176" t="str">
        <f>IF($A176="","", INDEX(CS!$B$1:$B$12828,MATCH($A176,CS!$B:$B,0)+COLUMN(F$1),1))</f>
        <v/>
      </c>
      <c r="AX176" t="str">
        <f>IF($A176="","", INDEX(CS!$B$1:$B$12828,MATCH($A176,CS!$B:$B,0)+COLUMN(G$1),1))</f>
        <v/>
      </c>
      <c r="AY176" t="str">
        <f>IF($A176="","", INDEX(CS!$B$1:$B$12828,MATCH($A176,CS!$B:$B,0)+COLUMN(H$1),1))</f>
        <v/>
      </c>
      <c r="AZ176" t="str">
        <f>IF($A176="","", INDEX(CS!$B$1:$B$12828,MATCH($A176,CS!$B:$B,0)+COLUMN(I$1),1))</f>
        <v/>
      </c>
      <c r="BA176" t="str">
        <f>IF($A176="","", INDEX(CS!$B$1:$B$12828,MATCH($A176,CS!$B:$B,0)+COLUMN(J$1),1))</f>
        <v/>
      </c>
    </row>
    <row r="177" spans="3:53" x14ac:dyDescent="0.4">
      <c r="C177" t="s">
        <v>194</v>
      </c>
      <c r="D177" t="str">
        <f t="shared" si="8"/>
        <v>0/0/0</v>
      </c>
      <c r="E177">
        <v>1</v>
      </c>
      <c r="AR177" t="str">
        <f>IF($A177="","", INDEX(CS!$B$1:$B$12828,MATCH($A177,CS!$B:$B,0)+COLUMN(A$1),1))</f>
        <v/>
      </c>
      <c r="AS177" t="str">
        <f>IF($A177="","", INDEX(CS!$B$1:$B$12828,MATCH($A177,CS!$B:$B,0)+COLUMN(B$1),1))</f>
        <v/>
      </c>
      <c r="AT177" t="str">
        <f>IF($A177="","", INDEX(CS!$B$1:$B$12828,MATCH($A177,CS!$B:$B,0)+COLUMN(C$1),1))</f>
        <v/>
      </c>
      <c r="AU177" t="str">
        <f>IF($A177="","", INDEX(CS!$B$1:$B$12828,MATCH($A177,CS!$B:$B,0)+COLUMN(D$1),1))</f>
        <v/>
      </c>
      <c r="AV177" t="str">
        <f>IF($A177="","", INDEX(CS!$B$1:$B$12828,MATCH($A177,CS!$B:$B,0)+COLUMN(E$1),1))</f>
        <v/>
      </c>
      <c r="AW177" t="str">
        <f>IF($A177="","", INDEX(CS!$B$1:$B$12828,MATCH($A177,CS!$B:$B,0)+COLUMN(F$1),1))</f>
        <v/>
      </c>
      <c r="AX177" t="str">
        <f>IF($A177="","", INDEX(CS!$B$1:$B$12828,MATCH($A177,CS!$B:$B,0)+COLUMN(G$1),1))</f>
        <v/>
      </c>
      <c r="AY177" t="str">
        <f>IF($A177="","", INDEX(CS!$B$1:$B$12828,MATCH($A177,CS!$B:$B,0)+COLUMN(H$1),1))</f>
        <v/>
      </c>
      <c r="AZ177" t="str">
        <f>IF($A177="","", INDEX(CS!$B$1:$B$12828,MATCH($A177,CS!$B:$B,0)+COLUMN(I$1),1))</f>
        <v/>
      </c>
      <c r="BA177" t="str">
        <f>IF($A177="","", INDEX(CS!$B$1:$B$12828,MATCH($A177,CS!$B:$B,0)+COLUMN(J$1),1))</f>
        <v/>
      </c>
    </row>
    <row r="178" spans="3:53" x14ac:dyDescent="0.4">
      <c r="C178" t="s">
        <v>194</v>
      </c>
      <c r="D178" t="str">
        <f t="shared" si="8"/>
        <v>0/0/0</v>
      </c>
      <c r="E178">
        <v>1</v>
      </c>
      <c r="AR178" t="str">
        <f>IF($A178="","", INDEX(CS!$B$1:$B$12828,MATCH($A178,CS!$B:$B,0)+COLUMN(A$1),1))</f>
        <v/>
      </c>
      <c r="AS178" t="str">
        <f>IF($A178="","", INDEX(CS!$B$1:$B$12828,MATCH($A178,CS!$B:$B,0)+COLUMN(B$1),1))</f>
        <v/>
      </c>
      <c r="AT178" t="str">
        <f>IF($A178="","", INDEX(CS!$B$1:$B$12828,MATCH($A178,CS!$B:$B,0)+COLUMN(C$1),1))</f>
        <v/>
      </c>
      <c r="AU178" t="str">
        <f>IF($A178="","", INDEX(CS!$B$1:$B$12828,MATCH($A178,CS!$B:$B,0)+COLUMN(D$1),1))</f>
        <v/>
      </c>
      <c r="AV178" t="str">
        <f>IF($A178="","", INDEX(CS!$B$1:$B$12828,MATCH($A178,CS!$B:$B,0)+COLUMN(E$1),1))</f>
        <v/>
      </c>
      <c r="AW178" t="str">
        <f>IF($A178="","", INDEX(CS!$B$1:$B$12828,MATCH($A178,CS!$B:$B,0)+COLUMN(F$1),1))</f>
        <v/>
      </c>
      <c r="AX178" t="str">
        <f>IF($A178="","", INDEX(CS!$B$1:$B$12828,MATCH($A178,CS!$B:$B,0)+COLUMN(G$1),1))</f>
        <v/>
      </c>
      <c r="AY178" t="str">
        <f>IF($A178="","", INDEX(CS!$B$1:$B$12828,MATCH($A178,CS!$B:$B,0)+COLUMN(H$1),1))</f>
        <v/>
      </c>
      <c r="AZ178" t="str">
        <f>IF($A178="","", INDEX(CS!$B$1:$B$12828,MATCH($A178,CS!$B:$B,0)+COLUMN(I$1),1))</f>
        <v/>
      </c>
      <c r="BA178" t="str">
        <f>IF($A178="","", INDEX(CS!$B$1:$B$12828,MATCH($A178,CS!$B:$B,0)+COLUMN(J$1),1))</f>
        <v/>
      </c>
    </row>
    <row r="179" spans="3:53" x14ac:dyDescent="0.4">
      <c r="C179" t="s">
        <v>194</v>
      </c>
      <c r="D179" t="str">
        <f t="shared" si="8"/>
        <v>0/0/0</v>
      </c>
      <c r="E179">
        <v>1</v>
      </c>
      <c r="AR179" t="str">
        <f>IF($A179="","", INDEX(CS!$B$1:$B$12828,MATCH($A179,CS!$B:$B,0)+COLUMN(A$1),1))</f>
        <v/>
      </c>
      <c r="AS179" t="str">
        <f>IF($A179="","", INDEX(CS!$B$1:$B$12828,MATCH($A179,CS!$B:$B,0)+COLUMN(B$1),1))</f>
        <v/>
      </c>
      <c r="AT179" t="str">
        <f>IF($A179="","", INDEX(CS!$B$1:$B$12828,MATCH($A179,CS!$B:$B,0)+COLUMN(C$1),1))</f>
        <v/>
      </c>
      <c r="AU179" t="str">
        <f>IF($A179="","", INDEX(CS!$B$1:$B$12828,MATCH($A179,CS!$B:$B,0)+COLUMN(D$1),1))</f>
        <v/>
      </c>
      <c r="AV179" t="str">
        <f>IF($A179="","", INDEX(CS!$B$1:$B$12828,MATCH($A179,CS!$B:$B,0)+COLUMN(E$1),1))</f>
        <v/>
      </c>
      <c r="AW179" t="str">
        <f>IF($A179="","", INDEX(CS!$B$1:$B$12828,MATCH($A179,CS!$B:$B,0)+COLUMN(F$1),1))</f>
        <v/>
      </c>
      <c r="AX179" t="str">
        <f>IF($A179="","", INDEX(CS!$B$1:$B$12828,MATCH($A179,CS!$B:$B,0)+COLUMN(G$1),1))</f>
        <v/>
      </c>
      <c r="AY179" t="str">
        <f>IF($A179="","", INDEX(CS!$B$1:$B$12828,MATCH($A179,CS!$B:$B,0)+COLUMN(H$1),1))</f>
        <v/>
      </c>
      <c r="AZ179" t="str">
        <f>IF($A179="","", INDEX(CS!$B$1:$B$12828,MATCH($A179,CS!$B:$B,0)+COLUMN(I$1),1))</f>
        <v/>
      </c>
      <c r="BA179" t="str">
        <f>IF($A179="","", INDEX(CS!$B$1:$B$12828,MATCH($A179,CS!$B:$B,0)+COLUMN(J$1),1))</f>
        <v/>
      </c>
    </row>
    <row r="180" spans="3:53" x14ac:dyDescent="0.4">
      <c r="C180" t="s">
        <v>194</v>
      </c>
      <c r="D180" t="str">
        <f t="shared" si="8"/>
        <v>0/0/0</v>
      </c>
      <c r="E180">
        <v>1</v>
      </c>
      <c r="AR180" t="str">
        <f>IF($A180="","", INDEX(CS!$B$1:$B$12828,MATCH($A180,CS!$B:$B,0)+COLUMN(A$1),1))</f>
        <v/>
      </c>
      <c r="AS180" t="str">
        <f>IF($A180="","", INDEX(CS!$B$1:$B$12828,MATCH($A180,CS!$B:$B,0)+COLUMN(B$1),1))</f>
        <v/>
      </c>
      <c r="AT180" t="str">
        <f>IF($A180="","", INDEX(CS!$B$1:$B$12828,MATCH($A180,CS!$B:$B,0)+COLUMN(C$1),1))</f>
        <v/>
      </c>
      <c r="AU180" t="str">
        <f>IF($A180="","", INDEX(CS!$B$1:$B$12828,MATCH($A180,CS!$B:$B,0)+COLUMN(D$1),1))</f>
        <v/>
      </c>
      <c r="AV180" t="str">
        <f>IF($A180="","", INDEX(CS!$B$1:$B$12828,MATCH($A180,CS!$B:$B,0)+COLUMN(E$1),1))</f>
        <v/>
      </c>
      <c r="AW180" t="str">
        <f>IF($A180="","", INDEX(CS!$B$1:$B$12828,MATCH($A180,CS!$B:$B,0)+COLUMN(F$1),1))</f>
        <v/>
      </c>
      <c r="AX180" t="str">
        <f>IF($A180="","", INDEX(CS!$B$1:$B$12828,MATCH($A180,CS!$B:$B,0)+COLUMN(G$1),1))</f>
        <v/>
      </c>
      <c r="AY180" t="str">
        <f>IF($A180="","", INDEX(CS!$B$1:$B$12828,MATCH($A180,CS!$B:$B,0)+COLUMN(H$1),1))</f>
        <v/>
      </c>
      <c r="AZ180" t="str">
        <f>IF($A180="","", INDEX(CS!$B$1:$B$12828,MATCH($A180,CS!$B:$B,0)+COLUMN(I$1),1))</f>
        <v/>
      </c>
      <c r="BA180" t="str">
        <f>IF($A180="","", INDEX(CS!$B$1:$B$12828,MATCH($A180,CS!$B:$B,0)+COLUMN(J$1),1))</f>
        <v/>
      </c>
    </row>
    <row r="181" spans="3:53" x14ac:dyDescent="0.4">
      <c r="C181" t="s">
        <v>194</v>
      </c>
      <c r="D181" t="str">
        <f t="shared" si="8"/>
        <v>0/0/0</v>
      </c>
      <c r="E181">
        <v>1</v>
      </c>
      <c r="AR181" t="str">
        <f>IF($A181="","", INDEX(CS!$B$1:$B$12828,MATCH($A181,CS!$B:$B,0)+COLUMN(A$1),1))</f>
        <v/>
      </c>
      <c r="AS181" t="str">
        <f>IF($A181="","", INDEX(CS!$B$1:$B$12828,MATCH($A181,CS!$B:$B,0)+COLUMN(B$1),1))</f>
        <v/>
      </c>
      <c r="AT181" t="str">
        <f>IF($A181="","", INDEX(CS!$B$1:$B$12828,MATCH($A181,CS!$B:$B,0)+COLUMN(C$1),1))</f>
        <v/>
      </c>
      <c r="AU181" t="str">
        <f>IF($A181="","", INDEX(CS!$B$1:$B$12828,MATCH($A181,CS!$B:$B,0)+COLUMN(D$1),1))</f>
        <v/>
      </c>
      <c r="AV181" t="str">
        <f>IF($A181="","", INDEX(CS!$B$1:$B$12828,MATCH($A181,CS!$B:$B,0)+COLUMN(E$1),1))</f>
        <v/>
      </c>
      <c r="AW181" t="str">
        <f>IF($A181="","", INDEX(CS!$B$1:$B$12828,MATCH($A181,CS!$B:$B,0)+COLUMN(F$1),1))</f>
        <v/>
      </c>
      <c r="AX181" t="str">
        <f>IF($A181="","", INDEX(CS!$B$1:$B$12828,MATCH($A181,CS!$B:$B,0)+COLUMN(G$1),1))</f>
        <v/>
      </c>
      <c r="AY181" t="str">
        <f>IF($A181="","", INDEX(CS!$B$1:$B$12828,MATCH($A181,CS!$B:$B,0)+COLUMN(H$1),1))</f>
        <v/>
      </c>
      <c r="AZ181" t="str">
        <f>IF($A181="","", INDEX(CS!$B$1:$B$12828,MATCH($A181,CS!$B:$B,0)+COLUMN(I$1),1))</f>
        <v/>
      </c>
      <c r="BA181" t="str">
        <f>IF($A181="","", INDEX(CS!$B$1:$B$12828,MATCH($A181,CS!$B:$B,0)+COLUMN(J$1),1))</f>
        <v/>
      </c>
    </row>
    <row r="182" spans="3:53" x14ac:dyDescent="0.4">
      <c r="C182" t="s">
        <v>194</v>
      </c>
      <c r="D182" t="str">
        <f t="shared" si="8"/>
        <v>0/0/0</v>
      </c>
      <c r="E182">
        <v>1</v>
      </c>
      <c r="AR182" t="str">
        <f>IF($A182="","", INDEX(CS!$B$1:$B$12828,MATCH($A182,CS!$B:$B,0)+COLUMN(A$1),1))</f>
        <v/>
      </c>
      <c r="AS182" t="str">
        <f>IF($A182="","", INDEX(CS!$B$1:$B$12828,MATCH($A182,CS!$B:$B,0)+COLUMN(B$1),1))</f>
        <v/>
      </c>
      <c r="AT182" t="str">
        <f>IF($A182="","", INDEX(CS!$B$1:$B$12828,MATCH($A182,CS!$B:$B,0)+COLUMN(C$1),1))</f>
        <v/>
      </c>
      <c r="AU182" t="str">
        <f>IF($A182="","", INDEX(CS!$B$1:$B$12828,MATCH($A182,CS!$B:$B,0)+COLUMN(D$1),1))</f>
        <v/>
      </c>
      <c r="AV182" t="str">
        <f>IF($A182="","", INDEX(CS!$B$1:$B$12828,MATCH($A182,CS!$B:$B,0)+COLUMN(E$1),1))</f>
        <v/>
      </c>
      <c r="AW182" t="str">
        <f>IF($A182="","", INDEX(CS!$B$1:$B$12828,MATCH($A182,CS!$B:$B,0)+COLUMN(F$1),1))</f>
        <v/>
      </c>
      <c r="AX182" t="str">
        <f>IF($A182="","", INDEX(CS!$B$1:$B$12828,MATCH($A182,CS!$B:$B,0)+COLUMN(G$1),1))</f>
        <v/>
      </c>
      <c r="AY182" t="str">
        <f>IF($A182="","", INDEX(CS!$B$1:$B$12828,MATCH($A182,CS!$B:$B,0)+COLUMN(H$1),1))</f>
        <v/>
      </c>
      <c r="AZ182" t="str">
        <f>IF($A182="","", INDEX(CS!$B$1:$B$12828,MATCH($A182,CS!$B:$B,0)+COLUMN(I$1),1))</f>
        <v/>
      </c>
      <c r="BA182" t="str">
        <f>IF($A182="","", INDEX(CS!$B$1:$B$12828,MATCH($A182,CS!$B:$B,0)+COLUMN(J$1),1))</f>
        <v/>
      </c>
    </row>
    <row r="183" spans="3:53" x14ac:dyDescent="0.4">
      <c r="C183" t="s">
        <v>194</v>
      </c>
      <c r="D183" t="str">
        <f t="shared" si="8"/>
        <v>0/0/0</v>
      </c>
      <c r="E183">
        <v>1</v>
      </c>
      <c r="AR183" t="str">
        <f>IF($A183="","", INDEX(CS!$B$1:$B$12828,MATCH($A183,CS!$B:$B,0)+COLUMN(A$1),1))</f>
        <v/>
      </c>
      <c r="AS183" t="str">
        <f>IF($A183="","", INDEX(CS!$B$1:$B$12828,MATCH($A183,CS!$B:$B,0)+COLUMN(B$1),1))</f>
        <v/>
      </c>
      <c r="AT183" t="str">
        <f>IF($A183="","", INDEX(CS!$B$1:$B$12828,MATCH($A183,CS!$B:$B,0)+COLUMN(C$1),1))</f>
        <v/>
      </c>
      <c r="AU183" t="str">
        <f>IF($A183="","", INDEX(CS!$B$1:$B$12828,MATCH($A183,CS!$B:$B,0)+COLUMN(D$1),1))</f>
        <v/>
      </c>
      <c r="AV183" t="str">
        <f>IF($A183="","", INDEX(CS!$B$1:$B$12828,MATCH($A183,CS!$B:$B,0)+COLUMN(E$1),1))</f>
        <v/>
      </c>
      <c r="AW183" t="str">
        <f>IF($A183="","", INDEX(CS!$B$1:$B$12828,MATCH($A183,CS!$B:$B,0)+COLUMN(F$1),1))</f>
        <v/>
      </c>
      <c r="AX183" t="str">
        <f>IF($A183="","", INDEX(CS!$B$1:$B$12828,MATCH($A183,CS!$B:$B,0)+COLUMN(G$1),1))</f>
        <v/>
      </c>
      <c r="AY183" t="str">
        <f>IF($A183="","", INDEX(CS!$B$1:$B$12828,MATCH($A183,CS!$B:$B,0)+COLUMN(H$1),1))</f>
        <v/>
      </c>
      <c r="AZ183" t="str">
        <f>IF($A183="","", INDEX(CS!$B$1:$B$12828,MATCH($A183,CS!$B:$B,0)+COLUMN(I$1),1))</f>
        <v/>
      </c>
      <c r="BA183" t="str">
        <f>IF($A183="","", INDEX(CS!$B$1:$B$12828,MATCH($A183,CS!$B:$B,0)+COLUMN(J$1),1))</f>
        <v/>
      </c>
    </row>
    <row r="184" spans="3:53" x14ac:dyDescent="0.4">
      <c r="C184" t="s">
        <v>194</v>
      </c>
      <c r="D184" t="str">
        <f t="shared" si="8"/>
        <v>0/0/0</v>
      </c>
      <c r="E184">
        <v>1</v>
      </c>
      <c r="AR184" t="str">
        <f>IF($A184="","", INDEX(CS!$B$1:$B$12828,MATCH($A184,CS!$B:$B,0)+COLUMN(A$1),1))</f>
        <v/>
      </c>
      <c r="AS184" t="str">
        <f>IF($A184="","", INDEX(CS!$B$1:$B$12828,MATCH($A184,CS!$B:$B,0)+COLUMN(B$1),1))</f>
        <v/>
      </c>
      <c r="AT184" t="str">
        <f>IF($A184="","", INDEX(CS!$B$1:$B$12828,MATCH($A184,CS!$B:$B,0)+COLUMN(C$1),1))</f>
        <v/>
      </c>
      <c r="AU184" t="str">
        <f>IF($A184="","", INDEX(CS!$B$1:$B$12828,MATCH($A184,CS!$B:$B,0)+COLUMN(D$1),1))</f>
        <v/>
      </c>
      <c r="AV184" t="str">
        <f>IF($A184="","", INDEX(CS!$B$1:$B$12828,MATCH($A184,CS!$B:$B,0)+COLUMN(E$1),1))</f>
        <v/>
      </c>
      <c r="AW184" t="str">
        <f>IF($A184="","", INDEX(CS!$B$1:$B$12828,MATCH($A184,CS!$B:$B,0)+COLUMN(F$1),1))</f>
        <v/>
      </c>
      <c r="AX184" t="str">
        <f>IF($A184="","", INDEX(CS!$B$1:$B$12828,MATCH($A184,CS!$B:$B,0)+COLUMN(G$1),1))</f>
        <v/>
      </c>
      <c r="AY184" t="str">
        <f>IF($A184="","", INDEX(CS!$B$1:$B$12828,MATCH($A184,CS!$B:$B,0)+COLUMN(H$1),1))</f>
        <v/>
      </c>
      <c r="AZ184" t="str">
        <f>IF($A184="","", INDEX(CS!$B$1:$B$12828,MATCH($A184,CS!$B:$B,0)+COLUMN(I$1),1))</f>
        <v/>
      </c>
      <c r="BA184" t="str">
        <f>IF($A184="","", INDEX(CS!$B$1:$B$12828,MATCH($A184,CS!$B:$B,0)+COLUMN(J$1),1))</f>
        <v/>
      </c>
    </row>
    <row r="185" spans="3:53" x14ac:dyDescent="0.4">
      <c r="C185" t="s">
        <v>194</v>
      </c>
      <c r="D185" t="str">
        <f t="shared" si="8"/>
        <v>0/0/0</v>
      </c>
      <c r="E185">
        <v>1</v>
      </c>
      <c r="AR185" t="str">
        <f>IF($A185="","", INDEX(CS!$B$1:$B$12828,MATCH($A185,CS!$B:$B,0)+COLUMN(A$1),1))</f>
        <v/>
      </c>
      <c r="AS185" t="str">
        <f>IF($A185="","", INDEX(CS!$B$1:$B$12828,MATCH($A185,CS!$B:$B,0)+COLUMN(B$1),1))</f>
        <v/>
      </c>
      <c r="AT185" t="str">
        <f>IF($A185="","", INDEX(CS!$B$1:$B$12828,MATCH($A185,CS!$B:$B,0)+COLUMN(C$1),1))</f>
        <v/>
      </c>
      <c r="AU185" t="str">
        <f>IF($A185="","", INDEX(CS!$B$1:$B$12828,MATCH($A185,CS!$B:$B,0)+COLUMN(D$1),1))</f>
        <v/>
      </c>
      <c r="AV185" t="str">
        <f>IF($A185="","", INDEX(CS!$B$1:$B$12828,MATCH($A185,CS!$B:$B,0)+COLUMN(E$1),1))</f>
        <v/>
      </c>
      <c r="AW185" t="str">
        <f>IF($A185="","", INDEX(CS!$B$1:$B$12828,MATCH($A185,CS!$B:$B,0)+COLUMN(F$1),1))</f>
        <v/>
      </c>
      <c r="AX185" t="str">
        <f>IF($A185="","", INDEX(CS!$B$1:$B$12828,MATCH($A185,CS!$B:$B,0)+COLUMN(G$1),1))</f>
        <v/>
      </c>
      <c r="AY185" t="str">
        <f>IF($A185="","", INDEX(CS!$B$1:$B$12828,MATCH($A185,CS!$B:$B,0)+COLUMN(H$1),1))</f>
        <v/>
      </c>
      <c r="AZ185" t="str">
        <f>IF($A185="","", INDEX(CS!$B$1:$B$12828,MATCH($A185,CS!$B:$B,0)+COLUMN(I$1),1))</f>
        <v/>
      </c>
      <c r="BA185" t="str">
        <f>IF($A185="","", INDEX(CS!$B$1:$B$12828,MATCH($A185,CS!$B:$B,0)+COLUMN(J$1),1))</f>
        <v/>
      </c>
    </row>
    <row r="186" spans="3:53" x14ac:dyDescent="0.4">
      <c r="C186" t="s">
        <v>194</v>
      </c>
      <c r="D186" t="str">
        <f t="shared" si="8"/>
        <v>0/0/0</v>
      </c>
      <c r="E186">
        <v>1</v>
      </c>
      <c r="AR186" t="str">
        <f>IF($A186="","", INDEX(CS!$B$1:$B$12828,MATCH($A186,CS!$B:$B,0)+COLUMN(A$1),1))</f>
        <v/>
      </c>
      <c r="AS186" t="str">
        <f>IF($A186="","", INDEX(CS!$B$1:$B$12828,MATCH($A186,CS!$B:$B,0)+COLUMN(B$1),1))</f>
        <v/>
      </c>
      <c r="AT186" t="str">
        <f>IF($A186="","", INDEX(CS!$B$1:$B$12828,MATCH($A186,CS!$B:$B,0)+COLUMN(C$1),1))</f>
        <v/>
      </c>
      <c r="AU186" t="str">
        <f>IF($A186="","", INDEX(CS!$B$1:$B$12828,MATCH($A186,CS!$B:$B,0)+COLUMN(D$1),1))</f>
        <v/>
      </c>
      <c r="AV186" t="str">
        <f>IF($A186="","", INDEX(CS!$B$1:$B$12828,MATCH($A186,CS!$B:$B,0)+COLUMN(E$1),1))</f>
        <v/>
      </c>
      <c r="AW186" t="str">
        <f>IF($A186="","", INDEX(CS!$B$1:$B$12828,MATCH($A186,CS!$B:$B,0)+COLUMN(F$1),1))</f>
        <v/>
      </c>
      <c r="AX186" t="str">
        <f>IF($A186="","", INDEX(CS!$B$1:$B$12828,MATCH($A186,CS!$B:$B,0)+COLUMN(G$1),1))</f>
        <v/>
      </c>
      <c r="AY186" t="str">
        <f>IF($A186="","", INDEX(CS!$B$1:$B$12828,MATCH($A186,CS!$B:$B,0)+COLUMN(H$1),1))</f>
        <v/>
      </c>
      <c r="AZ186" t="str">
        <f>IF($A186="","", INDEX(CS!$B$1:$B$12828,MATCH($A186,CS!$B:$B,0)+COLUMN(I$1),1))</f>
        <v/>
      </c>
      <c r="BA186" t="str">
        <f>IF($A186="","", INDEX(CS!$B$1:$B$12828,MATCH($A186,CS!$B:$B,0)+COLUMN(J$1),1))</f>
        <v/>
      </c>
    </row>
    <row r="187" spans="3:53" x14ac:dyDescent="0.4">
      <c r="C187" t="s">
        <v>194</v>
      </c>
      <c r="D187" t="str">
        <f t="shared" si="8"/>
        <v>0/0/0</v>
      </c>
      <c r="E187">
        <v>1</v>
      </c>
      <c r="AR187" t="str">
        <f>IF($A187="","", INDEX(CS!$B$1:$B$12828,MATCH($A187,CS!$B:$B,0)+COLUMN(A$1),1))</f>
        <v/>
      </c>
      <c r="AS187" t="str">
        <f>IF($A187="","", INDEX(CS!$B$1:$B$12828,MATCH($A187,CS!$B:$B,0)+COLUMN(B$1),1))</f>
        <v/>
      </c>
      <c r="AT187" t="str">
        <f>IF($A187="","", INDEX(CS!$B$1:$B$12828,MATCH($A187,CS!$B:$B,0)+COLUMN(C$1),1))</f>
        <v/>
      </c>
      <c r="AU187" t="str">
        <f>IF($A187="","", INDEX(CS!$B$1:$B$12828,MATCH($A187,CS!$B:$B,0)+COLUMN(D$1),1))</f>
        <v/>
      </c>
      <c r="AV187" t="str">
        <f>IF($A187="","", INDEX(CS!$B$1:$B$12828,MATCH($A187,CS!$B:$B,0)+COLUMN(E$1),1))</f>
        <v/>
      </c>
      <c r="AW187" t="str">
        <f>IF($A187="","", INDEX(CS!$B$1:$B$12828,MATCH($A187,CS!$B:$B,0)+COLUMN(F$1),1))</f>
        <v/>
      </c>
      <c r="AX187" t="str">
        <f>IF($A187="","", INDEX(CS!$B$1:$B$12828,MATCH($A187,CS!$B:$B,0)+COLUMN(G$1),1))</f>
        <v/>
      </c>
      <c r="AY187" t="str">
        <f>IF($A187="","", INDEX(CS!$B$1:$B$12828,MATCH($A187,CS!$B:$B,0)+COLUMN(H$1),1))</f>
        <v/>
      </c>
      <c r="AZ187" t="str">
        <f>IF($A187="","", INDEX(CS!$B$1:$B$12828,MATCH($A187,CS!$B:$B,0)+COLUMN(I$1),1))</f>
        <v/>
      </c>
      <c r="BA187" t="str">
        <f>IF($A187="","", INDEX(CS!$B$1:$B$12828,MATCH($A187,CS!$B:$B,0)+COLUMN(J$1),1))</f>
        <v/>
      </c>
    </row>
    <row r="188" spans="3:53" x14ac:dyDescent="0.4">
      <c r="C188" t="s">
        <v>194</v>
      </c>
      <c r="D188" t="str">
        <f t="shared" si="8"/>
        <v>0/0/0</v>
      </c>
      <c r="E188">
        <v>1</v>
      </c>
      <c r="AR188" t="str">
        <f>IF($A188="","", INDEX(CS!$B$1:$B$12828,MATCH($A188,CS!$B:$B,0)+COLUMN(A$1),1))</f>
        <v/>
      </c>
      <c r="AS188" t="str">
        <f>IF($A188="","", INDEX(CS!$B$1:$B$12828,MATCH($A188,CS!$B:$B,0)+COLUMN(B$1),1))</f>
        <v/>
      </c>
      <c r="AT188" t="str">
        <f>IF($A188="","", INDEX(CS!$B$1:$B$12828,MATCH($A188,CS!$B:$B,0)+COLUMN(C$1),1))</f>
        <v/>
      </c>
      <c r="AU188" t="str">
        <f>IF($A188="","", INDEX(CS!$B$1:$B$12828,MATCH($A188,CS!$B:$B,0)+COLUMN(D$1),1))</f>
        <v/>
      </c>
      <c r="AV188" t="str">
        <f>IF($A188="","", INDEX(CS!$B$1:$B$12828,MATCH($A188,CS!$B:$B,0)+COLUMN(E$1),1))</f>
        <v/>
      </c>
      <c r="AW188" t="str">
        <f>IF($A188="","", INDEX(CS!$B$1:$B$12828,MATCH($A188,CS!$B:$B,0)+COLUMN(F$1),1))</f>
        <v/>
      </c>
      <c r="AX188" t="str">
        <f>IF($A188="","", INDEX(CS!$B$1:$B$12828,MATCH($A188,CS!$B:$B,0)+COLUMN(G$1),1))</f>
        <v/>
      </c>
      <c r="AY188" t="str">
        <f>IF($A188="","", INDEX(CS!$B$1:$B$12828,MATCH($A188,CS!$B:$B,0)+COLUMN(H$1),1))</f>
        <v/>
      </c>
      <c r="AZ188" t="str">
        <f>IF($A188="","", INDEX(CS!$B$1:$B$12828,MATCH($A188,CS!$B:$B,0)+COLUMN(I$1),1))</f>
        <v/>
      </c>
      <c r="BA188" t="str">
        <f>IF($A188="","", INDEX(CS!$B$1:$B$12828,MATCH($A188,CS!$B:$B,0)+COLUMN(J$1),1))</f>
        <v/>
      </c>
    </row>
    <row r="189" spans="3:53" x14ac:dyDescent="0.4">
      <c r="C189" t="s">
        <v>194</v>
      </c>
      <c r="D189" t="str">
        <f t="shared" si="8"/>
        <v>0/0/0</v>
      </c>
      <c r="E189">
        <v>1</v>
      </c>
      <c r="AR189" t="str">
        <f>IF($A189="","", INDEX(CS!$B$1:$B$12828,MATCH($A189,CS!$B:$B,0)+COLUMN(A$1),1))</f>
        <v/>
      </c>
      <c r="AS189" t="str">
        <f>IF($A189="","", INDEX(CS!$B$1:$B$12828,MATCH($A189,CS!$B:$B,0)+COLUMN(B$1),1))</f>
        <v/>
      </c>
      <c r="AT189" t="str">
        <f>IF($A189="","", INDEX(CS!$B$1:$B$12828,MATCH($A189,CS!$B:$B,0)+COLUMN(C$1),1))</f>
        <v/>
      </c>
      <c r="AU189" t="str">
        <f>IF($A189="","", INDEX(CS!$B$1:$B$12828,MATCH($A189,CS!$B:$B,0)+COLUMN(D$1),1))</f>
        <v/>
      </c>
      <c r="AV189" t="str">
        <f>IF($A189="","", INDEX(CS!$B$1:$B$12828,MATCH($A189,CS!$B:$B,0)+COLUMN(E$1),1))</f>
        <v/>
      </c>
      <c r="AW189" t="str">
        <f>IF($A189="","", INDEX(CS!$B$1:$B$12828,MATCH($A189,CS!$B:$B,0)+COLUMN(F$1),1))</f>
        <v/>
      </c>
      <c r="AX189" t="str">
        <f>IF($A189="","", INDEX(CS!$B$1:$B$12828,MATCH($A189,CS!$B:$B,0)+COLUMN(G$1),1))</f>
        <v/>
      </c>
      <c r="AY189" t="str">
        <f>IF($A189="","", INDEX(CS!$B$1:$B$12828,MATCH($A189,CS!$B:$B,0)+COLUMN(H$1),1))</f>
        <v/>
      </c>
      <c r="AZ189" t="str">
        <f>IF($A189="","", INDEX(CS!$B$1:$B$12828,MATCH($A189,CS!$B:$B,0)+COLUMN(I$1),1))</f>
        <v/>
      </c>
      <c r="BA189" t="str">
        <f>IF($A189="","", INDEX(CS!$B$1:$B$12828,MATCH($A189,CS!$B:$B,0)+COLUMN(J$1),1))</f>
        <v/>
      </c>
    </row>
    <row r="190" spans="3:53" x14ac:dyDescent="0.4">
      <c r="C190" t="s">
        <v>194</v>
      </c>
      <c r="D190" t="str">
        <f t="shared" si="8"/>
        <v>0/0/0</v>
      </c>
      <c r="E190">
        <v>1</v>
      </c>
      <c r="AR190" t="str">
        <f>IF($A190="","", INDEX(CS!$B$1:$B$12828,MATCH($A190,CS!$B:$B,0)+COLUMN(A$1),1))</f>
        <v/>
      </c>
      <c r="AS190" t="str">
        <f>IF($A190="","", INDEX(CS!$B$1:$B$12828,MATCH($A190,CS!$B:$B,0)+COLUMN(B$1),1))</f>
        <v/>
      </c>
      <c r="AT190" t="str">
        <f>IF($A190="","", INDEX(CS!$B$1:$B$12828,MATCH($A190,CS!$B:$B,0)+COLUMN(C$1),1))</f>
        <v/>
      </c>
      <c r="AU190" t="str">
        <f>IF($A190="","", INDEX(CS!$B$1:$B$12828,MATCH($A190,CS!$B:$B,0)+COLUMN(D$1),1))</f>
        <v/>
      </c>
      <c r="AV190" t="str">
        <f>IF($A190="","", INDEX(CS!$B$1:$B$12828,MATCH($A190,CS!$B:$B,0)+COLUMN(E$1),1))</f>
        <v/>
      </c>
      <c r="AW190" t="str">
        <f>IF($A190="","", INDEX(CS!$B$1:$B$12828,MATCH($A190,CS!$B:$B,0)+COLUMN(F$1),1))</f>
        <v/>
      </c>
      <c r="AX190" t="str">
        <f>IF($A190="","", INDEX(CS!$B$1:$B$12828,MATCH($A190,CS!$B:$B,0)+COLUMN(G$1),1))</f>
        <v/>
      </c>
      <c r="AY190" t="str">
        <f>IF($A190="","", INDEX(CS!$B$1:$B$12828,MATCH($A190,CS!$B:$B,0)+COLUMN(H$1),1))</f>
        <v/>
      </c>
      <c r="AZ190" t="str">
        <f>IF($A190="","", INDEX(CS!$B$1:$B$12828,MATCH($A190,CS!$B:$B,0)+COLUMN(I$1),1))</f>
        <v/>
      </c>
      <c r="BA190" t="str">
        <f>IF($A190="","", INDEX(CS!$B$1:$B$12828,MATCH($A190,CS!$B:$B,0)+COLUMN(J$1),1))</f>
        <v/>
      </c>
    </row>
    <row r="191" spans="3:53" x14ac:dyDescent="0.4">
      <c r="C191" t="s">
        <v>194</v>
      </c>
      <c r="D191" t="str">
        <f t="shared" si="8"/>
        <v>0/0/0</v>
      </c>
      <c r="E191">
        <v>1</v>
      </c>
      <c r="AR191" t="str">
        <f>IF($A191="","", INDEX(CS!$B$1:$B$12828,MATCH($A191,CS!$B:$B,0)+COLUMN(A$1),1))</f>
        <v/>
      </c>
      <c r="AS191" t="str">
        <f>IF($A191="","", INDEX(CS!$B$1:$B$12828,MATCH($A191,CS!$B:$B,0)+COLUMN(B$1),1))</f>
        <v/>
      </c>
      <c r="AT191" t="str">
        <f>IF($A191="","", INDEX(CS!$B$1:$B$12828,MATCH($A191,CS!$B:$B,0)+COLUMN(C$1),1))</f>
        <v/>
      </c>
      <c r="AU191" t="str">
        <f>IF($A191="","", INDEX(CS!$B$1:$B$12828,MATCH($A191,CS!$B:$B,0)+COLUMN(D$1),1))</f>
        <v/>
      </c>
      <c r="AV191" t="str">
        <f>IF($A191="","", INDEX(CS!$B$1:$B$12828,MATCH($A191,CS!$B:$B,0)+COLUMN(E$1),1))</f>
        <v/>
      </c>
      <c r="AW191" t="str">
        <f>IF($A191="","", INDEX(CS!$B$1:$B$12828,MATCH($A191,CS!$B:$B,0)+COLUMN(F$1),1))</f>
        <v/>
      </c>
      <c r="AX191" t="str">
        <f>IF($A191="","", INDEX(CS!$B$1:$B$12828,MATCH($A191,CS!$B:$B,0)+COLUMN(G$1),1))</f>
        <v/>
      </c>
      <c r="AY191" t="str">
        <f>IF($A191="","", INDEX(CS!$B$1:$B$12828,MATCH($A191,CS!$B:$B,0)+COLUMN(H$1),1))</f>
        <v/>
      </c>
      <c r="AZ191" t="str">
        <f>IF($A191="","", INDEX(CS!$B$1:$B$12828,MATCH($A191,CS!$B:$B,0)+COLUMN(I$1),1))</f>
        <v/>
      </c>
      <c r="BA191" t="str">
        <f>IF($A191="","", INDEX(CS!$B$1:$B$12828,MATCH($A191,CS!$B:$B,0)+COLUMN(J$1),1))</f>
        <v/>
      </c>
    </row>
    <row r="192" spans="3:53" x14ac:dyDescent="0.4">
      <c r="C192" t="s">
        <v>194</v>
      </c>
      <c r="D192" t="str">
        <f t="shared" si="8"/>
        <v>0/0/0</v>
      </c>
      <c r="E192">
        <v>1</v>
      </c>
      <c r="AR192" t="str">
        <f>IF($A192="","", INDEX(CS!$B$1:$B$12828,MATCH($A192,CS!$B:$B,0)+COLUMN(A$1),1))</f>
        <v/>
      </c>
      <c r="AS192" t="str">
        <f>IF($A192="","", INDEX(CS!$B$1:$B$12828,MATCH($A192,CS!$B:$B,0)+COLUMN(B$1),1))</f>
        <v/>
      </c>
      <c r="AT192" t="str">
        <f>IF($A192="","", INDEX(CS!$B$1:$B$12828,MATCH($A192,CS!$B:$B,0)+COLUMN(C$1),1))</f>
        <v/>
      </c>
      <c r="AU192" t="str">
        <f>IF($A192="","", INDEX(CS!$B$1:$B$12828,MATCH($A192,CS!$B:$B,0)+COLUMN(D$1),1))</f>
        <v/>
      </c>
      <c r="AV192" t="str">
        <f>IF($A192="","", INDEX(CS!$B$1:$B$12828,MATCH($A192,CS!$B:$B,0)+COLUMN(E$1),1))</f>
        <v/>
      </c>
      <c r="AW192" t="str">
        <f>IF($A192="","", INDEX(CS!$B$1:$B$12828,MATCH($A192,CS!$B:$B,0)+COLUMN(F$1),1))</f>
        <v/>
      </c>
      <c r="AX192" t="str">
        <f>IF($A192="","", INDEX(CS!$B$1:$B$12828,MATCH($A192,CS!$B:$B,0)+COLUMN(G$1),1))</f>
        <v/>
      </c>
      <c r="AY192" t="str">
        <f>IF($A192="","", INDEX(CS!$B$1:$B$12828,MATCH($A192,CS!$B:$B,0)+COLUMN(H$1),1))</f>
        <v/>
      </c>
      <c r="AZ192" t="str">
        <f>IF($A192="","", INDEX(CS!$B$1:$B$12828,MATCH($A192,CS!$B:$B,0)+COLUMN(I$1),1))</f>
        <v/>
      </c>
      <c r="BA192" t="str">
        <f>IF($A192="","", INDEX(CS!$B$1:$B$12828,MATCH($A192,CS!$B:$B,0)+COLUMN(J$1),1))</f>
        <v/>
      </c>
    </row>
    <row r="193" spans="3:53" x14ac:dyDescent="0.4">
      <c r="C193" t="s">
        <v>194</v>
      </c>
      <c r="D193" t="str">
        <f t="shared" si="8"/>
        <v>0/0/0</v>
      </c>
      <c r="E193">
        <v>1</v>
      </c>
      <c r="AR193" t="str">
        <f>IF($A193="","", INDEX(CS!$B$1:$B$12828,MATCH($A193,CS!$B:$B,0)+COLUMN(A$1),1))</f>
        <v/>
      </c>
      <c r="AS193" t="str">
        <f>IF($A193="","", INDEX(CS!$B$1:$B$12828,MATCH($A193,CS!$B:$B,0)+COLUMN(B$1),1))</f>
        <v/>
      </c>
      <c r="AT193" t="str">
        <f>IF($A193="","", INDEX(CS!$B$1:$B$12828,MATCH($A193,CS!$B:$B,0)+COLUMN(C$1),1))</f>
        <v/>
      </c>
      <c r="AU193" t="str">
        <f>IF($A193="","", INDEX(CS!$B$1:$B$12828,MATCH($A193,CS!$B:$B,0)+COLUMN(D$1),1))</f>
        <v/>
      </c>
      <c r="AV193" t="str">
        <f>IF($A193="","", INDEX(CS!$B$1:$B$12828,MATCH($A193,CS!$B:$B,0)+COLUMN(E$1),1))</f>
        <v/>
      </c>
      <c r="AW193" t="str">
        <f>IF($A193="","", INDEX(CS!$B$1:$B$12828,MATCH($A193,CS!$B:$B,0)+COLUMN(F$1),1))</f>
        <v/>
      </c>
      <c r="AX193" t="str">
        <f>IF($A193="","", INDEX(CS!$B$1:$B$12828,MATCH($A193,CS!$B:$B,0)+COLUMN(G$1),1))</f>
        <v/>
      </c>
      <c r="AY193" t="str">
        <f>IF($A193="","", INDEX(CS!$B$1:$B$12828,MATCH($A193,CS!$B:$B,0)+COLUMN(H$1),1))</f>
        <v/>
      </c>
      <c r="AZ193" t="str">
        <f>IF($A193="","", INDEX(CS!$B$1:$B$12828,MATCH($A193,CS!$B:$B,0)+COLUMN(I$1),1))</f>
        <v/>
      </c>
      <c r="BA193" t="str">
        <f>IF($A193="","", INDEX(CS!$B$1:$B$12828,MATCH($A193,CS!$B:$B,0)+COLUMN(J$1),1))</f>
        <v/>
      </c>
    </row>
    <row r="194" spans="3:53" x14ac:dyDescent="0.4">
      <c r="C194" t="s">
        <v>194</v>
      </c>
      <c r="D194" t="str">
        <f t="shared" si="8"/>
        <v>0/0/0</v>
      </c>
      <c r="E194">
        <v>1</v>
      </c>
      <c r="AR194" t="str">
        <f>IF($A194="","", INDEX(CS!$B$1:$B$12828,MATCH($A194,CS!$B:$B,0)+COLUMN(A$1),1))</f>
        <v/>
      </c>
      <c r="AS194" t="str">
        <f>IF($A194="","", INDEX(CS!$B$1:$B$12828,MATCH($A194,CS!$B:$B,0)+COLUMN(B$1),1))</f>
        <v/>
      </c>
      <c r="AT194" t="str">
        <f>IF($A194="","", INDEX(CS!$B$1:$B$12828,MATCH($A194,CS!$B:$B,0)+COLUMN(C$1),1))</f>
        <v/>
      </c>
      <c r="AU194" t="str">
        <f>IF($A194="","", INDEX(CS!$B$1:$B$12828,MATCH($A194,CS!$B:$B,0)+COLUMN(D$1),1))</f>
        <v/>
      </c>
      <c r="AV194" t="str">
        <f>IF($A194="","", INDEX(CS!$B$1:$B$12828,MATCH($A194,CS!$B:$B,0)+COLUMN(E$1),1))</f>
        <v/>
      </c>
      <c r="AW194" t="str">
        <f>IF($A194="","", INDEX(CS!$B$1:$B$12828,MATCH($A194,CS!$B:$B,0)+COLUMN(F$1),1))</f>
        <v/>
      </c>
      <c r="AX194" t="str">
        <f>IF($A194="","", INDEX(CS!$B$1:$B$12828,MATCH($A194,CS!$B:$B,0)+COLUMN(G$1),1))</f>
        <v/>
      </c>
      <c r="AY194" t="str">
        <f>IF($A194="","", INDEX(CS!$B$1:$B$12828,MATCH($A194,CS!$B:$B,0)+COLUMN(H$1),1))</f>
        <v/>
      </c>
      <c r="AZ194" t="str">
        <f>IF($A194="","", INDEX(CS!$B$1:$B$12828,MATCH($A194,CS!$B:$B,0)+COLUMN(I$1),1))</f>
        <v/>
      </c>
      <c r="BA194" t="str">
        <f>IF($A194="","", INDEX(CS!$B$1:$B$12828,MATCH($A194,CS!$B:$B,0)+COLUMN(J$1),1))</f>
        <v/>
      </c>
    </row>
    <row r="195" spans="3:53" x14ac:dyDescent="0.4">
      <c r="C195" t="s">
        <v>194</v>
      </c>
      <c r="D195" t="str">
        <f t="shared" si="8"/>
        <v>0/0/0</v>
      </c>
      <c r="E195">
        <v>1</v>
      </c>
      <c r="AR195" t="str">
        <f>IF($A195="","", INDEX(CS!$B$1:$B$12828,MATCH($A195,CS!$B:$B,0)+COLUMN(A$1),1))</f>
        <v/>
      </c>
      <c r="AS195" t="str">
        <f>IF($A195="","", INDEX(CS!$B$1:$B$12828,MATCH($A195,CS!$B:$B,0)+COLUMN(B$1),1))</f>
        <v/>
      </c>
      <c r="AT195" t="str">
        <f>IF($A195="","", INDEX(CS!$B$1:$B$12828,MATCH($A195,CS!$B:$B,0)+COLUMN(C$1),1))</f>
        <v/>
      </c>
      <c r="AU195" t="str">
        <f>IF($A195="","", INDEX(CS!$B$1:$B$12828,MATCH($A195,CS!$B:$B,0)+COLUMN(D$1),1))</f>
        <v/>
      </c>
      <c r="AV195" t="str">
        <f>IF($A195="","", INDEX(CS!$B$1:$B$12828,MATCH($A195,CS!$B:$B,0)+COLUMN(E$1),1))</f>
        <v/>
      </c>
      <c r="AW195" t="str">
        <f>IF($A195="","", INDEX(CS!$B$1:$B$12828,MATCH($A195,CS!$B:$B,0)+COLUMN(F$1),1))</f>
        <v/>
      </c>
      <c r="AX195" t="str">
        <f>IF($A195="","", INDEX(CS!$B$1:$B$12828,MATCH($A195,CS!$B:$B,0)+COLUMN(G$1),1))</f>
        <v/>
      </c>
      <c r="AY195" t="str">
        <f>IF($A195="","", INDEX(CS!$B$1:$B$12828,MATCH($A195,CS!$B:$B,0)+COLUMN(H$1),1))</f>
        <v/>
      </c>
      <c r="AZ195" t="str">
        <f>IF($A195="","", INDEX(CS!$B$1:$B$12828,MATCH($A195,CS!$B:$B,0)+COLUMN(I$1),1))</f>
        <v/>
      </c>
      <c r="BA195" t="str">
        <f>IF($A195="","", INDEX(CS!$B$1:$B$12828,MATCH($A195,CS!$B:$B,0)+COLUMN(J$1),1))</f>
        <v/>
      </c>
    </row>
    <row r="196" spans="3:53" x14ac:dyDescent="0.4">
      <c r="C196" t="s">
        <v>194</v>
      </c>
      <c r="D196" t="str">
        <f t="shared" si="8"/>
        <v>0/0/0</v>
      </c>
      <c r="E196">
        <v>1</v>
      </c>
      <c r="AR196" t="str">
        <f>IF($A196="","", INDEX(CS!$B$1:$B$12828,MATCH($A196,CS!$B:$B,0)+COLUMN(A$1),1))</f>
        <v/>
      </c>
      <c r="AS196" t="str">
        <f>IF($A196="","", INDEX(CS!$B$1:$B$12828,MATCH($A196,CS!$B:$B,0)+COLUMN(B$1),1))</f>
        <v/>
      </c>
      <c r="AT196" t="str">
        <f>IF($A196="","", INDEX(CS!$B$1:$B$12828,MATCH($A196,CS!$B:$B,0)+COLUMN(C$1),1))</f>
        <v/>
      </c>
      <c r="AU196" t="str">
        <f>IF($A196="","", INDEX(CS!$B$1:$B$12828,MATCH($A196,CS!$B:$B,0)+COLUMN(D$1),1))</f>
        <v/>
      </c>
      <c r="AV196" t="str">
        <f>IF($A196="","", INDEX(CS!$B$1:$B$12828,MATCH($A196,CS!$B:$B,0)+COLUMN(E$1),1))</f>
        <v/>
      </c>
      <c r="AW196" t="str">
        <f>IF($A196="","", INDEX(CS!$B$1:$B$12828,MATCH($A196,CS!$B:$B,0)+COLUMN(F$1),1))</f>
        <v/>
      </c>
      <c r="AX196" t="str">
        <f>IF($A196="","", INDEX(CS!$B$1:$B$12828,MATCH($A196,CS!$B:$B,0)+COLUMN(G$1),1))</f>
        <v/>
      </c>
      <c r="AY196" t="str">
        <f>IF($A196="","", INDEX(CS!$B$1:$B$12828,MATCH($A196,CS!$B:$B,0)+COLUMN(H$1),1))</f>
        <v/>
      </c>
      <c r="AZ196" t="str">
        <f>IF($A196="","", INDEX(CS!$B$1:$B$12828,MATCH($A196,CS!$B:$B,0)+COLUMN(I$1),1))</f>
        <v/>
      </c>
      <c r="BA196" t="str">
        <f>IF($A196="","", INDEX(CS!$B$1:$B$12828,MATCH($A196,CS!$B:$B,0)+COLUMN(J$1),1))</f>
        <v/>
      </c>
    </row>
    <row r="197" spans="3:53" x14ac:dyDescent="0.4">
      <c r="C197" t="s">
        <v>194</v>
      </c>
      <c r="D197" t="str">
        <f t="shared" si="8"/>
        <v>0/0/0</v>
      </c>
      <c r="E197">
        <v>1</v>
      </c>
      <c r="AR197" t="str">
        <f>IF($A197="","", INDEX(CS!$B$1:$B$12828,MATCH($A197,CS!$B:$B,0)+COLUMN(A$1),1))</f>
        <v/>
      </c>
      <c r="AS197" t="str">
        <f>IF($A197="","", INDEX(CS!$B$1:$B$12828,MATCH($A197,CS!$B:$B,0)+COLUMN(B$1),1))</f>
        <v/>
      </c>
      <c r="AT197" t="str">
        <f>IF($A197="","", INDEX(CS!$B$1:$B$12828,MATCH($A197,CS!$B:$B,0)+COLUMN(C$1),1))</f>
        <v/>
      </c>
      <c r="AU197" t="str">
        <f>IF($A197="","", INDEX(CS!$B$1:$B$12828,MATCH($A197,CS!$B:$B,0)+COLUMN(D$1),1))</f>
        <v/>
      </c>
      <c r="AV197" t="str">
        <f>IF($A197="","", INDEX(CS!$B$1:$B$12828,MATCH($A197,CS!$B:$B,0)+COLUMN(E$1),1))</f>
        <v/>
      </c>
      <c r="AW197" t="str">
        <f>IF($A197="","", INDEX(CS!$B$1:$B$12828,MATCH($A197,CS!$B:$B,0)+COLUMN(F$1),1))</f>
        <v/>
      </c>
      <c r="AX197" t="str">
        <f>IF($A197="","", INDEX(CS!$B$1:$B$12828,MATCH($A197,CS!$B:$B,0)+COLUMN(G$1),1))</f>
        <v/>
      </c>
      <c r="AY197" t="str">
        <f>IF($A197="","", INDEX(CS!$B$1:$B$12828,MATCH($A197,CS!$B:$B,0)+COLUMN(H$1),1))</f>
        <v/>
      </c>
      <c r="AZ197" t="str">
        <f>IF($A197="","", INDEX(CS!$B$1:$B$12828,MATCH($A197,CS!$B:$B,0)+COLUMN(I$1),1))</f>
        <v/>
      </c>
      <c r="BA197" t="str">
        <f>IF($A197="","", INDEX(CS!$B$1:$B$12828,MATCH($A197,CS!$B:$B,0)+COLUMN(J$1),1))</f>
        <v/>
      </c>
    </row>
    <row r="198" spans="3:53" x14ac:dyDescent="0.4">
      <c r="C198" t="s">
        <v>194</v>
      </c>
      <c r="D198" t="str">
        <f t="shared" si="8"/>
        <v>0/0/0</v>
      </c>
      <c r="E198">
        <v>1</v>
      </c>
      <c r="AR198" t="str">
        <f>IF($A198="","", INDEX(CS!$B$1:$B$12828,MATCH($A198,CS!$B:$B,0)+COLUMN(A$1),1))</f>
        <v/>
      </c>
      <c r="AS198" t="str">
        <f>IF($A198="","", INDEX(CS!$B$1:$B$12828,MATCH($A198,CS!$B:$B,0)+COLUMN(B$1),1))</f>
        <v/>
      </c>
      <c r="AT198" t="str">
        <f>IF($A198="","", INDEX(CS!$B$1:$B$12828,MATCH($A198,CS!$B:$B,0)+COLUMN(C$1),1))</f>
        <v/>
      </c>
      <c r="AU198" t="str">
        <f>IF($A198="","", INDEX(CS!$B$1:$B$12828,MATCH($A198,CS!$B:$B,0)+COLUMN(D$1),1))</f>
        <v/>
      </c>
      <c r="AV198" t="str">
        <f>IF($A198="","", INDEX(CS!$B$1:$B$12828,MATCH($A198,CS!$B:$B,0)+COLUMN(E$1),1))</f>
        <v/>
      </c>
      <c r="AW198" t="str">
        <f>IF($A198="","", INDEX(CS!$B$1:$B$12828,MATCH($A198,CS!$B:$B,0)+COLUMN(F$1),1))</f>
        <v/>
      </c>
      <c r="AX198" t="str">
        <f>IF($A198="","", INDEX(CS!$B$1:$B$12828,MATCH($A198,CS!$B:$B,0)+COLUMN(G$1),1))</f>
        <v/>
      </c>
      <c r="AY198" t="str">
        <f>IF($A198="","", INDEX(CS!$B$1:$B$12828,MATCH($A198,CS!$B:$B,0)+COLUMN(H$1),1))</f>
        <v/>
      </c>
      <c r="AZ198" t="str">
        <f>IF($A198="","", INDEX(CS!$B$1:$B$12828,MATCH($A198,CS!$B:$B,0)+COLUMN(I$1),1))</f>
        <v/>
      </c>
      <c r="BA198" t="str">
        <f>IF($A198="","", INDEX(CS!$B$1:$B$12828,MATCH($A198,CS!$B:$B,0)+COLUMN(J$1),1))</f>
        <v/>
      </c>
    </row>
    <row r="199" spans="3:53" x14ac:dyDescent="0.4">
      <c r="C199" t="s">
        <v>194</v>
      </c>
      <c r="D199" t="str">
        <f t="shared" si="8"/>
        <v>0/0/0</v>
      </c>
      <c r="E199">
        <v>1</v>
      </c>
      <c r="AR199" t="str">
        <f>IF($A199="","", INDEX(CS!$B$1:$B$12828,MATCH($A199,CS!$B:$B,0)+COLUMN(A$1),1))</f>
        <v/>
      </c>
      <c r="AS199" t="str">
        <f>IF($A199="","", INDEX(CS!$B$1:$B$12828,MATCH($A199,CS!$B:$B,0)+COLUMN(B$1),1))</f>
        <v/>
      </c>
      <c r="AT199" t="str">
        <f>IF($A199="","", INDEX(CS!$B$1:$B$12828,MATCH($A199,CS!$B:$B,0)+COLUMN(C$1),1))</f>
        <v/>
      </c>
      <c r="AU199" t="str">
        <f>IF($A199="","", INDEX(CS!$B$1:$B$12828,MATCH($A199,CS!$B:$B,0)+COLUMN(D$1),1))</f>
        <v/>
      </c>
      <c r="AV199" t="str">
        <f>IF($A199="","", INDEX(CS!$B$1:$B$12828,MATCH($A199,CS!$B:$B,0)+COLUMN(E$1),1))</f>
        <v/>
      </c>
      <c r="AW199" t="str">
        <f>IF($A199="","", INDEX(CS!$B$1:$B$12828,MATCH($A199,CS!$B:$B,0)+COLUMN(F$1),1))</f>
        <v/>
      </c>
      <c r="AX199" t="str">
        <f>IF($A199="","", INDEX(CS!$B$1:$B$12828,MATCH($A199,CS!$B:$B,0)+COLUMN(G$1),1))</f>
        <v/>
      </c>
      <c r="AY199" t="str">
        <f>IF($A199="","", INDEX(CS!$B$1:$B$12828,MATCH($A199,CS!$B:$B,0)+COLUMN(H$1),1))</f>
        <v/>
      </c>
      <c r="AZ199" t="str">
        <f>IF($A199="","", INDEX(CS!$B$1:$B$12828,MATCH($A199,CS!$B:$B,0)+COLUMN(I$1),1))</f>
        <v/>
      </c>
      <c r="BA199" t="str">
        <f>IF($A199="","", INDEX(CS!$B$1:$B$12828,MATCH($A199,CS!$B:$B,0)+COLUMN(J$1),1))</f>
        <v/>
      </c>
    </row>
    <row r="200" spans="3:53" x14ac:dyDescent="0.4">
      <c r="C200" t="s">
        <v>194</v>
      </c>
      <c r="D200" t="str">
        <f t="shared" si="8"/>
        <v>0/0/0</v>
      </c>
      <c r="E200">
        <v>1</v>
      </c>
      <c r="AR200" t="str">
        <f>IF($A200="","", INDEX(CS!$B$1:$B$12828,MATCH($A200,CS!$B:$B,0)+COLUMN(A$1),1))</f>
        <v/>
      </c>
      <c r="AS200" t="str">
        <f>IF($A200="","", INDEX(CS!$B$1:$B$12828,MATCH($A200,CS!$B:$B,0)+COLUMN(B$1),1))</f>
        <v/>
      </c>
      <c r="AT200" t="str">
        <f>IF($A200="","", INDEX(CS!$B$1:$B$12828,MATCH($A200,CS!$B:$B,0)+COLUMN(C$1),1))</f>
        <v/>
      </c>
      <c r="AU200" t="str">
        <f>IF($A200="","", INDEX(CS!$B$1:$B$12828,MATCH($A200,CS!$B:$B,0)+COLUMN(D$1),1))</f>
        <v/>
      </c>
      <c r="AV200" t="str">
        <f>IF($A200="","", INDEX(CS!$B$1:$B$12828,MATCH($A200,CS!$B:$B,0)+COLUMN(E$1),1))</f>
        <v/>
      </c>
      <c r="AW200" t="str">
        <f>IF($A200="","", INDEX(CS!$B$1:$B$12828,MATCH($A200,CS!$B:$B,0)+COLUMN(F$1),1))</f>
        <v/>
      </c>
      <c r="AX200" t="str">
        <f>IF($A200="","", INDEX(CS!$B$1:$B$12828,MATCH($A200,CS!$B:$B,0)+COLUMN(G$1),1))</f>
        <v/>
      </c>
      <c r="AY200" t="str">
        <f>IF($A200="","", INDEX(CS!$B$1:$B$12828,MATCH($A200,CS!$B:$B,0)+COLUMN(H$1),1))</f>
        <v/>
      </c>
      <c r="AZ200" t="str">
        <f>IF($A200="","", INDEX(CS!$B$1:$B$12828,MATCH($A200,CS!$B:$B,0)+COLUMN(I$1),1))</f>
        <v/>
      </c>
      <c r="BA200" t="str">
        <f>IF($A200="","", INDEX(CS!$B$1:$B$12828,MATCH($A200,CS!$B:$B,0)+COLUMN(J$1),1))</f>
        <v/>
      </c>
    </row>
    <row r="201" spans="3:53" x14ac:dyDescent="0.4">
      <c r="C201" t="s">
        <v>194</v>
      </c>
      <c r="D201" t="str">
        <f t="shared" si="8"/>
        <v>0/0/0</v>
      </c>
      <c r="E201">
        <v>1</v>
      </c>
      <c r="AR201" t="str">
        <f>IF($A201="","", INDEX(CS!$B$1:$B$12828,MATCH($A201,CS!$B:$B,0)+COLUMN(A$1),1))</f>
        <v/>
      </c>
      <c r="AS201" t="str">
        <f>IF($A201="","", INDEX(CS!$B$1:$B$12828,MATCH($A201,CS!$B:$B,0)+COLUMN(B$1),1))</f>
        <v/>
      </c>
      <c r="AT201" t="str">
        <f>IF($A201="","", INDEX(CS!$B$1:$B$12828,MATCH($A201,CS!$B:$B,0)+COLUMN(C$1),1))</f>
        <v/>
      </c>
      <c r="AU201" t="str">
        <f>IF($A201="","", INDEX(CS!$B$1:$B$12828,MATCH($A201,CS!$B:$B,0)+COLUMN(D$1),1))</f>
        <v/>
      </c>
      <c r="AV201" t="str">
        <f>IF($A201="","", INDEX(CS!$B$1:$B$12828,MATCH($A201,CS!$B:$B,0)+COLUMN(E$1),1))</f>
        <v/>
      </c>
      <c r="AW201" t="str">
        <f>IF($A201="","", INDEX(CS!$B$1:$B$12828,MATCH($A201,CS!$B:$B,0)+COLUMN(F$1),1))</f>
        <v/>
      </c>
      <c r="AX201" t="str">
        <f>IF($A201="","", INDEX(CS!$B$1:$B$12828,MATCH($A201,CS!$B:$B,0)+COLUMN(G$1),1))</f>
        <v/>
      </c>
      <c r="AY201" t="str">
        <f>IF($A201="","", INDEX(CS!$B$1:$B$12828,MATCH($A201,CS!$B:$B,0)+COLUMN(H$1),1))</f>
        <v/>
      </c>
      <c r="AZ201" t="str">
        <f>IF($A201="","", INDEX(CS!$B$1:$B$12828,MATCH($A201,CS!$B:$B,0)+COLUMN(I$1),1))</f>
        <v/>
      </c>
      <c r="BA201" t="str">
        <f>IF($A201="","", INDEX(CS!$B$1:$B$12828,MATCH($A201,CS!$B:$B,0)+COLUMN(J$1),1))</f>
        <v/>
      </c>
    </row>
    <row r="202" spans="3:53" x14ac:dyDescent="0.4">
      <c r="C202" t="s">
        <v>194</v>
      </c>
      <c r="D202" t="str">
        <f t="shared" si="8"/>
        <v>0/0/0</v>
      </c>
      <c r="E202">
        <v>1</v>
      </c>
      <c r="AR202" t="str">
        <f>IF($A202="","", INDEX(CS!$B$1:$B$12828,MATCH($A202,CS!$B:$B,0)+COLUMN(A$1),1))</f>
        <v/>
      </c>
      <c r="AS202" t="str">
        <f>IF($A202="","", INDEX(CS!$B$1:$B$12828,MATCH($A202,CS!$B:$B,0)+COLUMN(B$1),1))</f>
        <v/>
      </c>
      <c r="AT202" t="str">
        <f>IF($A202="","", INDEX(CS!$B$1:$B$12828,MATCH($A202,CS!$B:$B,0)+COLUMN(C$1),1))</f>
        <v/>
      </c>
      <c r="AU202" t="str">
        <f>IF($A202="","", INDEX(CS!$B$1:$B$12828,MATCH($A202,CS!$B:$B,0)+COLUMN(D$1),1))</f>
        <v/>
      </c>
      <c r="AV202" t="str">
        <f>IF($A202="","", INDEX(CS!$B$1:$B$12828,MATCH($A202,CS!$B:$B,0)+COLUMN(E$1),1))</f>
        <v/>
      </c>
      <c r="AW202" t="str">
        <f>IF($A202="","", INDEX(CS!$B$1:$B$12828,MATCH($A202,CS!$B:$B,0)+COLUMN(F$1),1))</f>
        <v/>
      </c>
      <c r="AX202" t="str">
        <f>IF($A202="","", INDEX(CS!$B$1:$B$12828,MATCH($A202,CS!$B:$B,0)+COLUMN(G$1),1))</f>
        <v/>
      </c>
      <c r="AY202" t="str">
        <f>IF($A202="","", INDEX(CS!$B$1:$B$12828,MATCH($A202,CS!$B:$B,0)+COLUMN(H$1),1))</f>
        <v/>
      </c>
      <c r="AZ202" t="str">
        <f>IF($A202="","", INDEX(CS!$B$1:$B$12828,MATCH($A202,CS!$B:$B,0)+COLUMN(I$1),1))</f>
        <v/>
      </c>
      <c r="BA202" t="str">
        <f>IF($A202="","", INDEX(CS!$B$1:$B$12828,MATCH($A202,CS!$B:$B,0)+COLUMN(J$1),1))</f>
        <v/>
      </c>
    </row>
    <row r="203" spans="3:53" x14ac:dyDescent="0.4">
      <c r="C203" t="s">
        <v>194</v>
      </c>
      <c r="D203" t="str">
        <f t="shared" si="8"/>
        <v>0/0/0</v>
      </c>
      <c r="E203">
        <v>1</v>
      </c>
      <c r="AR203" t="str">
        <f>IF($A203="","", INDEX(CS!$B$1:$B$12828,MATCH($A203,CS!$B:$B,0)+COLUMN(A$1),1))</f>
        <v/>
      </c>
      <c r="AS203" t="str">
        <f>IF($A203="","", INDEX(CS!$B$1:$B$12828,MATCH($A203,CS!$B:$B,0)+COLUMN(B$1),1))</f>
        <v/>
      </c>
      <c r="AT203" t="str">
        <f>IF($A203="","", INDEX(CS!$B$1:$B$12828,MATCH($A203,CS!$B:$B,0)+COLUMN(C$1),1))</f>
        <v/>
      </c>
      <c r="AU203" t="str">
        <f>IF($A203="","", INDEX(CS!$B$1:$B$12828,MATCH($A203,CS!$B:$B,0)+COLUMN(D$1),1))</f>
        <v/>
      </c>
      <c r="AV203" t="str">
        <f>IF($A203="","", INDEX(CS!$B$1:$B$12828,MATCH($A203,CS!$B:$B,0)+COLUMN(E$1),1))</f>
        <v/>
      </c>
      <c r="AW203" t="str">
        <f>IF($A203="","", INDEX(CS!$B$1:$B$12828,MATCH($A203,CS!$B:$B,0)+COLUMN(F$1),1))</f>
        <v/>
      </c>
      <c r="AX203" t="str">
        <f>IF($A203="","", INDEX(CS!$B$1:$B$12828,MATCH($A203,CS!$B:$B,0)+COLUMN(G$1),1))</f>
        <v/>
      </c>
      <c r="AY203" t="str">
        <f>IF($A203="","", INDEX(CS!$B$1:$B$12828,MATCH($A203,CS!$B:$B,0)+COLUMN(H$1),1))</f>
        <v/>
      </c>
      <c r="AZ203" t="str">
        <f>IF($A203="","", INDEX(CS!$B$1:$B$12828,MATCH($A203,CS!$B:$B,0)+COLUMN(I$1),1))</f>
        <v/>
      </c>
      <c r="BA203" t="str">
        <f>IF($A203="","", INDEX(CS!$B$1:$B$12828,MATCH($A203,CS!$B:$B,0)+COLUMN(J$1),1))</f>
        <v/>
      </c>
    </row>
    <row r="204" spans="3:53" x14ac:dyDescent="0.4">
      <c r="C204" t="s">
        <v>194</v>
      </c>
      <c r="D204" t="str">
        <f t="shared" si="8"/>
        <v>0/0/0</v>
      </c>
      <c r="E204">
        <v>1</v>
      </c>
      <c r="AR204" t="str">
        <f>IF($A204="","", INDEX(CS!$B$1:$B$12828,MATCH($A204,CS!$B:$B,0)+COLUMN(A$1),1))</f>
        <v/>
      </c>
      <c r="AS204" t="str">
        <f>IF($A204="","", INDEX(CS!$B$1:$B$12828,MATCH($A204,CS!$B:$B,0)+COLUMN(B$1),1))</f>
        <v/>
      </c>
      <c r="AT204" t="str">
        <f>IF($A204="","", INDEX(CS!$B$1:$B$12828,MATCH($A204,CS!$B:$B,0)+COLUMN(C$1),1))</f>
        <v/>
      </c>
      <c r="AU204" t="str">
        <f>IF($A204="","", INDEX(CS!$B$1:$B$12828,MATCH($A204,CS!$B:$B,0)+COLUMN(D$1),1))</f>
        <v/>
      </c>
      <c r="AV204" t="str">
        <f>IF($A204="","", INDEX(CS!$B$1:$B$12828,MATCH($A204,CS!$B:$B,0)+COLUMN(E$1),1))</f>
        <v/>
      </c>
      <c r="AW204" t="str">
        <f>IF($A204="","", INDEX(CS!$B$1:$B$12828,MATCH($A204,CS!$B:$B,0)+COLUMN(F$1),1))</f>
        <v/>
      </c>
      <c r="AX204" t="str">
        <f>IF($A204="","", INDEX(CS!$B$1:$B$12828,MATCH($A204,CS!$B:$B,0)+COLUMN(G$1),1))</f>
        <v/>
      </c>
      <c r="AY204" t="str">
        <f>IF($A204="","", INDEX(CS!$B$1:$B$12828,MATCH($A204,CS!$B:$B,0)+COLUMN(H$1),1))</f>
        <v/>
      </c>
      <c r="AZ204" t="str">
        <f>IF($A204="","", INDEX(CS!$B$1:$B$12828,MATCH($A204,CS!$B:$B,0)+COLUMN(I$1),1))</f>
        <v/>
      </c>
      <c r="BA204" t="str">
        <f>IF($A204="","", INDEX(CS!$B$1:$B$12828,MATCH($A204,CS!$B:$B,0)+COLUMN(J$1),1))</f>
        <v/>
      </c>
    </row>
    <row r="205" spans="3:53" x14ac:dyDescent="0.4">
      <c r="C205" t="s">
        <v>194</v>
      </c>
      <c r="D205" t="str">
        <f t="shared" si="8"/>
        <v>0/0/0</v>
      </c>
      <c r="E205">
        <v>1</v>
      </c>
      <c r="AR205" t="str">
        <f>IF($A205="","", INDEX(CS!$B$1:$B$12828,MATCH($A205,CS!$B:$B,0)+COLUMN(A$1),1))</f>
        <v/>
      </c>
      <c r="AS205" t="str">
        <f>IF($A205="","", INDEX(CS!$B$1:$B$12828,MATCH($A205,CS!$B:$B,0)+COLUMN(B$1),1))</f>
        <v/>
      </c>
      <c r="AT205" t="str">
        <f>IF($A205="","", INDEX(CS!$B$1:$B$12828,MATCH($A205,CS!$B:$B,0)+COLUMN(C$1),1))</f>
        <v/>
      </c>
      <c r="AU205" t="str">
        <f>IF($A205="","", INDEX(CS!$B$1:$B$12828,MATCH($A205,CS!$B:$B,0)+COLUMN(D$1),1))</f>
        <v/>
      </c>
      <c r="AV205" t="str">
        <f>IF($A205="","", INDEX(CS!$B$1:$B$12828,MATCH($A205,CS!$B:$B,0)+COLUMN(E$1),1))</f>
        <v/>
      </c>
      <c r="AW205" t="str">
        <f>IF($A205="","", INDEX(CS!$B$1:$B$12828,MATCH($A205,CS!$B:$B,0)+COLUMN(F$1),1))</f>
        <v/>
      </c>
      <c r="AX205" t="str">
        <f>IF($A205="","", INDEX(CS!$B$1:$B$12828,MATCH($A205,CS!$B:$B,0)+COLUMN(G$1),1))</f>
        <v/>
      </c>
      <c r="AY205" t="str">
        <f>IF($A205="","", INDEX(CS!$B$1:$B$12828,MATCH($A205,CS!$B:$B,0)+COLUMN(H$1),1))</f>
        <v/>
      </c>
      <c r="AZ205" t="str">
        <f>IF($A205="","", INDEX(CS!$B$1:$B$12828,MATCH($A205,CS!$B:$B,0)+COLUMN(I$1),1))</f>
        <v/>
      </c>
      <c r="BA205" t="str">
        <f>IF($A205="","", INDEX(CS!$B$1:$B$12828,MATCH($A205,CS!$B:$B,0)+COLUMN(J$1),1))</f>
        <v/>
      </c>
    </row>
    <row r="206" spans="3:53" x14ac:dyDescent="0.4">
      <c r="C206" t="s">
        <v>194</v>
      </c>
      <c r="D206" t="str">
        <f t="shared" si="8"/>
        <v>0/0/0</v>
      </c>
      <c r="E206">
        <v>1</v>
      </c>
      <c r="AR206" t="str">
        <f>IF($A206="","", INDEX(CS!$B$1:$B$12828,MATCH($A206,CS!$B:$B,0)+COLUMN(A$1),1))</f>
        <v/>
      </c>
      <c r="AS206" t="str">
        <f>IF($A206="","", INDEX(CS!$B$1:$B$12828,MATCH($A206,CS!$B:$B,0)+COLUMN(B$1),1))</f>
        <v/>
      </c>
      <c r="AT206" t="str">
        <f>IF($A206="","", INDEX(CS!$B$1:$B$12828,MATCH($A206,CS!$B:$B,0)+COLUMN(C$1),1))</f>
        <v/>
      </c>
      <c r="AU206" t="str">
        <f>IF($A206="","", INDEX(CS!$B$1:$B$12828,MATCH($A206,CS!$B:$B,0)+COLUMN(D$1),1))</f>
        <v/>
      </c>
      <c r="AV206" t="str">
        <f>IF($A206="","", INDEX(CS!$B$1:$B$12828,MATCH($A206,CS!$B:$B,0)+COLUMN(E$1),1))</f>
        <v/>
      </c>
      <c r="AW206" t="str">
        <f>IF($A206="","", INDEX(CS!$B$1:$B$12828,MATCH($A206,CS!$B:$B,0)+COLUMN(F$1),1))</f>
        <v/>
      </c>
      <c r="AX206" t="str">
        <f>IF($A206="","", INDEX(CS!$B$1:$B$12828,MATCH($A206,CS!$B:$B,0)+COLUMN(G$1),1))</f>
        <v/>
      </c>
      <c r="AY206" t="str">
        <f>IF($A206="","", INDEX(CS!$B$1:$B$12828,MATCH($A206,CS!$B:$B,0)+COLUMN(H$1),1))</f>
        <v/>
      </c>
      <c r="AZ206" t="str">
        <f>IF($A206="","", INDEX(CS!$B$1:$B$12828,MATCH($A206,CS!$B:$B,0)+COLUMN(I$1),1))</f>
        <v/>
      </c>
      <c r="BA206" t="str">
        <f>IF($A206="","", INDEX(CS!$B$1:$B$12828,MATCH($A206,CS!$B:$B,0)+COLUMN(J$1),1))</f>
        <v/>
      </c>
    </row>
    <row r="207" spans="3:53" x14ac:dyDescent="0.4">
      <c r="C207" t="s">
        <v>194</v>
      </c>
      <c r="D207" t="str">
        <f t="shared" si="8"/>
        <v>0/0/0</v>
      </c>
      <c r="E207">
        <v>1</v>
      </c>
      <c r="AR207" t="str">
        <f>IF($A207="","", INDEX(CS!$B$1:$B$12828,MATCH($A207,CS!$B:$B,0)+COLUMN(A$1),1))</f>
        <v/>
      </c>
      <c r="AS207" t="str">
        <f>IF($A207="","", INDEX(CS!$B$1:$B$12828,MATCH($A207,CS!$B:$B,0)+COLUMN(B$1),1))</f>
        <v/>
      </c>
      <c r="AT207" t="str">
        <f>IF($A207="","", INDEX(CS!$B$1:$B$12828,MATCH($A207,CS!$B:$B,0)+COLUMN(C$1),1))</f>
        <v/>
      </c>
      <c r="AU207" t="str">
        <f>IF($A207="","", INDEX(CS!$B$1:$B$12828,MATCH($A207,CS!$B:$B,0)+COLUMN(D$1),1))</f>
        <v/>
      </c>
      <c r="AV207" t="str">
        <f>IF($A207="","", INDEX(CS!$B$1:$B$12828,MATCH($A207,CS!$B:$B,0)+COLUMN(E$1),1))</f>
        <v/>
      </c>
      <c r="AW207" t="str">
        <f>IF($A207="","", INDEX(CS!$B$1:$B$12828,MATCH($A207,CS!$B:$B,0)+COLUMN(F$1),1))</f>
        <v/>
      </c>
      <c r="AX207" t="str">
        <f>IF($A207="","", INDEX(CS!$B$1:$B$12828,MATCH($A207,CS!$B:$B,0)+COLUMN(G$1),1))</f>
        <v/>
      </c>
      <c r="AY207" t="str">
        <f>IF($A207="","", INDEX(CS!$B$1:$B$12828,MATCH($A207,CS!$B:$B,0)+COLUMN(H$1),1))</f>
        <v/>
      </c>
      <c r="AZ207" t="str">
        <f>IF($A207="","", INDEX(CS!$B$1:$B$12828,MATCH($A207,CS!$B:$B,0)+COLUMN(I$1),1))</f>
        <v/>
      </c>
      <c r="BA207" t="str">
        <f>IF($A207="","", INDEX(CS!$B$1:$B$12828,MATCH($A207,CS!$B:$B,0)+COLUMN(J$1),1))</f>
        <v/>
      </c>
    </row>
    <row r="208" spans="3:53" x14ac:dyDescent="0.4">
      <c r="C208" t="s">
        <v>194</v>
      </c>
      <c r="D208" t="str">
        <f t="shared" si="8"/>
        <v>0/0/0</v>
      </c>
      <c r="E208">
        <v>1</v>
      </c>
      <c r="AR208" t="str">
        <f>IF($A208="","", INDEX(CS!$B$1:$B$12828,MATCH($A208,CS!$B:$B,0)+COLUMN(A$1),1))</f>
        <v/>
      </c>
      <c r="AS208" t="str">
        <f>IF($A208="","", INDEX(CS!$B$1:$B$12828,MATCH($A208,CS!$B:$B,0)+COLUMN(B$1),1))</f>
        <v/>
      </c>
      <c r="AT208" t="str">
        <f>IF($A208="","", INDEX(CS!$B$1:$B$12828,MATCH($A208,CS!$B:$B,0)+COLUMN(C$1),1))</f>
        <v/>
      </c>
      <c r="AU208" t="str">
        <f>IF($A208="","", INDEX(CS!$B$1:$B$12828,MATCH($A208,CS!$B:$B,0)+COLUMN(D$1),1))</f>
        <v/>
      </c>
      <c r="AV208" t="str">
        <f>IF($A208="","", INDEX(CS!$B$1:$B$12828,MATCH($A208,CS!$B:$B,0)+COLUMN(E$1),1))</f>
        <v/>
      </c>
      <c r="AW208" t="str">
        <f>IF($A208="","", INDEX(CS!$B$1:$B$12828,MATCH($A208,CS!$B:$B,0)+COLUMN(F$1),1))</f>
        <v/>
      </c>
      <c r="AX208" t="str">
        <f>IF($A208="","", INDEX(CS!$B$1:$B$12828,MATCH($A208,CS!$B:$B,0)+COLUMN(G$1),1))</f>
        <v/>
      </c>
      <c r="AY208" t="str">
        <f>IF($A208="","", INDEX(CS!$B$1:$B$12828,MATCH($A208,CS!$B:$B,0)+COLUMN(H$1),1))</f>
        <v/>
      </c>
      <c r="AZ208" t="str">
        <f>IF($A208="","", INDEX(CS!$B$1:$B$12828,MATCH($A208,CS!$B:$B,0)+COLUMN(I$1),1))</f>
        <v/>
      </c>
      <c r="BA208" t="str">
        <f>IF($A208="","", INDEX(CS!$B$1:$B$12828,MATCH($A208,CS!$B:$B,0)+COLUMN(J$1),1))</f>
        <v/>
      </c>
    </row>
    <row r="209" spans="3:53" x14ac:dyDescent="0.4">
      <c r="C209" t="s">
        <v>194</v>
      </c>
      <c r="D209" t="str">
        <f t="shared" si="8"/>
        <v>0/0/0</v>
      </c>
      <c r="E209">
        <v>1</v>
      </c>
      <c r="AR209" t="str">
        <f>IF($A209="","", INDEX(CS!$B$1:$B$12828,MATCH($A209,CS!$B:$B,0)+COLUMN(A$1),1))</f>
        <v/>
      </c>
      <c r="AS209" t="str">
        <f>IF($A209="","", INDEX(CS!$B$1:$B$12828,MATCH($A209,CS!$B:$B,0)+COLUMN(B$1),1))</f>
        <v/>
      </c>
      <c r="AT209" t="str">
        <f>IF($A209="","", INDEX(CS!$B$1:$B$12828,MATCH($A209,CS!$B:$B,0)+COLUMN(C$1),1))</f>
        <v/>
      </c>
      <c r="AU209" t="str">
        <f>IF($A209="","", INDEX(CS!$B$1:$B$12828,MATCH($A209,CS!$B:$B,0)+COLUMN(D$1),1))</f>
        <v/>
      </c>
      <c r="AV209" t="str">
        <f>IF($A209="","", INDEX(CS!$B$1:$B$12828,MATCH($A209,CS!$B:$B,0)+COLUMN(E$1),1))</f>
        <v/>
      </c>
      <c r="AW209" t="str">
        <f>IF($A209="","", INDEX(CS!$B$1:$B$12828,MATCH($A209,CS!$B:$B,0)+COLUMN(F$1),1))</f>
        <v/>
      </c>
      <c r="AX209" t="str">
        <f>IF($A209="","", INDEX(CS!$B$1:$B$12828,MATCH($A209,CS!$B:$B,0)+COLUMN(G$1),1))</f>
        <v/>
      </c>
      <c r="AY209" t="str">
        <f>IF($A209="","", INDEX(CS!$B$1:$B$12828,MATCH($A209,CS!$B:$B,0)+COLUMN(H$1),1))</f>
        <v/>
      </c>
      <c r="AZ209" t="str">
        <f>IF($A209="","", INDEX(CS!$B$1:$B$12828,MATCH($A209,CS!$B:$B,0)+COLUMN(I$1),1))</f>
        <v/>
      </c>
      <c r="BA209" t="str">
        <f>IF($A209="","", INDEX(CS!$B$1:$B$12828,MATCH($A209,CS!$B:$B,0)+COLUMN(J$1),1))</f>
        <v/>
      </c>
    </row>
    <row r="210" spans="3:53" x14ac:dyDescent="0.4">
      <c r="C210" t="s">
        <v>194</v>
      </c>
      <c r="D210" t="str">
        <f t="shared" si="8"/>
        <v>0/0/0</v>
      </c>
      <c r="E210">
        <v>1</v>
      </c>
      <c r="AR210" t="str">
        <f>IF($A210="","", INDEX(CS!$B$1:$B$12828,MATCH($A210,CS!$B:$B,0)+COLUMN(A$1),1))</f>
        <v/>
      </c>
      <c r="AS210" t="str">
        <f>IF($A210="","", INDEX(CS!$B$1:$B$12828,MATCH($A210,CS!$B:$B,0)+COLUMN(B$1),1))</f>
        <v/>
      </c>
      <c r="AT210" t="str">
        <f>IF($A210="","", INDEX(CS!$B$1:$B$12828,MATCH($A210,CS!$B:$B,0)+COLUMN(C$1),1))</f>
        <v/>
      </c>
      <c r="AU210" t="str">
        <f>IF($A210="","", INDEX(CS!$B$1:$B$12828,MATCH($A210,CS!$B:$B,0)+COLUMN(D$1),1))</f>
        <v/>
      </c>
      <c r="AV210" t="str">
        <f>IF($A210="","", INDEX(CS!$B$1:$B$12828,MATCH($A210,CS!$B:$B,0)+COLUMN(E$1),1))</f>
        <v/>
      </c>
      <c r="AW210" t="str">
        <f>IF($A210="","", INDEX(CS!$B$1:$B$12828,MATCH($A210,CS!$B:$B,0)+COLUMN(F$1),1))</f>
        <v/>
      </c>
      <c r="AX210" t="str">
        <f>IF($A210="","", INDEX(CS!$B$1:$B$12828,MATCH($A210,CS!$B:$B,0)+COLUMN(G$1),1))</f>
        <v/>
      </c>
      <c r="AY210" t="str">
        <f>IF($A210="","", INDEX(CS!$B$1:$B$12828,MATCH($A210,CS!$B:$B,0)+COLUMN(H$1),1))</f>
        <v/>
      </c>
      <c r="AZ210" t="str">
        <f>IF($A210="","", INDEX(CS!$B$1:$B$12828,MATCH($A210,CS!$B:$B,0)+COLUMN(I$1),1))</f>
        <v/>
      </c>
      <c r="BA210" t="str">
        <f>IF($A210="","", INDEX(CS!$B$1:$B$12828,MATCH($A210,CS!$B:$B,0)+COLUMN(J$1),1))</f>
        <v/>
      </c>
    </row>
    <row r="211" spans="3:53" x14ac:dyDescent="0.4">
      <c r="C211" t="s">
        <v>194</v>
      </c>
      <c r="D211" t="str">
        <f t="shared" si="8"/>
        <v>0/0/0</v>
      </c>
      <c r="E211">
        <v>1</v>
      </c>
      <c r="AR211" t="str">
        <f>IF($A211="","", INDEX(CS!$B$1:$B$12828,MATCH($A211,CS!$B:$B,0)+COLUMN(A$1),1))</f>
        <v/>
      </c>
      <c r="AS211" t="str">
        <f>IF($A211="","", INDEX(CS!$B$1:$B$12828,MATCH($A211,CS!$B:$B,0)+COLUMN(B$1),1))</f>
        <v/>
      </c>
      <c r="AT211" t="str">
        <f>IF($A211="","", INDEX(CS!$B$1:$B$12828,MATCH($A211,CS!$B:$B,0)+COLUMN(C$1),1))</f>
        <v/>
      </c>
      <c r="AU211" t="str">
        <f>IF($A211="","", INDEX(CS!$B$1:$B$12828,MATCH($A211,CS!$B:$B,0)+COLUMN(D$1),1))</f>
        <v/>
      </c>
      <c r="AV211" t="str">
        <f>IF($A211="","", INDEX(CS!$B$1:$B$12828,MATCH($A211,CS!$B:$B,0)+COLUMN(E$1),1))</f>
        <v/>
      </c>
      <c r="AW211" t="str">
        <f>IF($A211="","", INDEX(CS!$B$1:$B$12828,MATCH($A211,CS!$B:$B,0)+COLUMN(F$1),1))</f>
        <v/>
      </c>
      <c r="AX211" t="str">
        <f>IF($A211="","", INDEX(CS!$B$1:$B$12828,MATCH($A211,CS!$B:$B,0)+COLUMN(G$1),1))</f>
        <v/>
      </c>
      <c r="AY211" t="str">
        <f>IF($A211="","", INDEX(CS!$B$1:$B$12828,MATCH($A211,CS!$B:$B,0)+COLUMN(H$1),1))</f>
        <v/>
      </c>
      <c r="AZ211" t="str">
        <f>IF($A211="","", INDEX(CS!$B$1:$B$12828,MATCH($A211,CS!$B:$B,0)+COLUMN(I$1),1))</f>
        <v/>
      </c>
      <c r="BA211" t="str">
        <f>IF($A211="","", INDEX(CS!$B$1:$B$12828,MATCH($A211,CS!$B:$B,0)+COLUMN(J$1),1))</f>
        <v/>
      </c>
    </row>
    <row r="212" spans="3:53" x14ac:dyDescent="0.4">
      <c r="C212" t="s">
        <v>194</v>
      </c>
      <c r="D212" t="str">
        <f t="shared" si="8"/>
        <v>0/0/0</v>
      </c>
      <c r="E212">
        <v>1</v>
      </c>
      <c r="AR212" t="str">
        <f>IF($A212="","", INDEX(CS!$B$1:$B$12828,MATCH($A212,CS!$B:$B,0)+COLUMN(A$1),1))</f>
        <v/>
      </c>
      <c r="AS212" t="str">
        <f>IF($A212="","", INDEX(CS!$B$1:$B$12828,MATCH($A212,CS!$B:$B,0)+COLUMN(B$1),1))</f>
        <v/>
      </c>
      <c r="AT212" t="str">
        <f>IF($A212="","", INDEX(CS!$B$1:$B$12828,MATCH($A212,CS!$B:$B,0)+COLUMN(C$1),1))</f>
        <v/>
      </c>
      <c r="AU212" t="str">
        <f>IF($A212="","", INDEX(CS!$B$1:$B$12828,MATCH($A212,CS!$B:$B,0)+COLUMN(D$1),1))</f>
        <v/>
      </c>
      <c r="AV212" t="str">
        <f>IF($A212="","", INDEX(CS!$B$1:$B$12828,MATCH($A212,CS!$B:$B,0)+COLUMN(E$1),1))</f>
        <v/>
      </c>
      <c r="AW212" t="str">
        <f>IF($A212="","", INDEX(CS!$B$1:$B$12828,MATCH($A212,CS!$B:$B,0)+COLUMN(F$1),1))</f>
        <v/>
      </c>
      <c r="AX212" t="str">
        <f>IF($A212="","", INDEX(CS!$B$1:$B$12828,MATCH($A212,CS!$B:$B,0)+COLUMN(G$1),1))</f>
        <v/>
      </c>
      <c r="AY212" t="str">
        <f>IF($A212="","", INDEX(CS!$B$1:$B$12828,MATCH($A212,CS!$B:$B,0)+COLUMN(H$1),1))</f>
        <v/>
      </c>
      <c r="AZ212" t="str">
        <f>IF($A212="","", INDEX(CS!$B$1:$B$12828,MATCH($A212,CS!$B:$B,0)+COLUMN(I$1),1))</f>
        <v/>
      </c>
      <c r="BA212" t="str">
        <f>IF($A212="","", INDEX(CS!$B$1:$B$12828,MATCH($A212,CS!$B:$B,0)+COLUMN(J$1),1))</f>
        <v/>
      </c>
    </row>
    <row r="213" spans="3:53" x14ac:dyDescent="0.4">
      <c r="C213" t="s">
        <v>194</v>
      </c>
      <c r="D213" t="str">
        <f t="shared" si="8"/>
        <v>0/0/0</v>
      </c>
      <c r="E213">
        <v>1</v>
      </c>
      <c r="AR213" t="str">
        <f>IF($A213="","", INDEX(CS!$B$1:$B$12828,MATCH($A213,CS!$B:$B,0)+COLUMN(A$1),1))</f>
        <v/>
      </c>
      <c r="AS213" t="str">
        <f>IF($A213="","", INDEX(CS!$B$1:$B$12828,MATCH($A213,CS!$B:$B,0)+COLUMN(B$1),1))</f>
        <v/>
      </c>
      <c r="AT213" t="str">
        <f>IF($A213="","", INDEX(CS!$B$1:$B$12828,MATCH($A213,CS!$B:$B,0)+COLUMN(C$1),1))</f>
        <v/>
      </c>
      <c r="AU213" t="str">
        <f>IF($A213="","", INDEX(CS!$B$1:$B$12828,MATCH($A213,CS!$B:$B,0)+COLUMN(D$1),1))</f>
        <v/>
      </c>
      <c r="AV213" t="str">
        <f>IF($A213="","", INDEX(CS!$B$1:$B$12828,MATCH($A213,CS!$B:$B,0)+COLUMN(E$1),1))</f>
        <v/>
      </c>
      <c r="AW213" t="str">
        <f>IF($A213="","", INDEX(CS!$B$1:$B$12828,MATCH($A213,CS!$B:$B,0)+COLUMN(F$1),1))</f>
        <v/>
      </c>
      <c r="AX213" t="str">
        <f>IF($A213="","", INDEX(CS!$B$1:$B$12828,MATCH($A213,CS!$B:$B,0)+COLUMN(G$1),1))</f>
        <v/>
      </c>
      <c r="AY213" t="str">
        <f>IF($A213="","", INDEX(CS!$B$1:$B$12828,MATCH($A213,CS!$B:$B,0)+COLUMN(H$1),1))</f>
        <v/>
      </c>
      <c r="AZ213" t="str">
        <f>IF($A213="","", INDEX(CS!$B$1:$B$12828,MATCH($A213,CS!$B:$B,0)+COLUMN(I$1),1))</f>
        <v/>
      </c>
      <c r="BA213" t="str">
        <f>IF($A213="","", INDEX(CS!$B$1:$B$12828,MATCH($A213,CS!$B:$B,0)+COLUMN(J$1),1))</f>
        <v/>
      </c>
    </row>
    <row r="214" spans="3:53" x14ac:dyDescent="0.4">
      <c r="C214" t="s">
        <v>194</v>
      </c>
      <c r="D214" t="str">
        <f t="shared" si="8"/>
        <v>0/0/0</v>
      </c>
      <c r="E214">
        <v>1</v>
      </c>
      <c r="AR214" t="str">
        <f>IF($A214="","", INDEX(CS!$B$1:$B$12828,MATCH($A214,CS!$B:$B,0)+COLUMN(A$1),1))</f>
        <v/>
      </c>
      <c r="AS214" t="str">
        <f>IF($A214="","", INDEX(CS!$B$1:$B$12828,MATCH($A214,CS!$B:$B,0)+COLUMN(B$1),1))</f>
        <v/>
      </c>
      <c r="AT214" t="str">
        <f>IF($A214="","", INDEX(CS!$B$1:$B$12828,MATCH($A214,CS!$B:$B,0)+COLUMN(C$1),1))</f>
        <v/>
      </c>
      <c r="AU214" t="str">
        <f>IF($A214="","", INDEX(CS!$B$1:$B$12828,MATCH($A214,CS!$B:$B,0)+COLUMN(D$1),1))</f>
        <v/>
      </c>
      <c r="AV214" t="str">
        <f>IF($A214="","", INDEX(CS!$B$1:$B$12828,MATCH($A214,CS!$B:$B,0)+COLUMN(E$1),1))</f>
        <v/>
      </c>
      <c r="AW214" t="str">
        <f>IF($A214="","", INDEX(CS!$B$1:$B$12828,MATCH($A214,CS!$B:$B,0)+COLUMN(F$1),1))</f>
        <v/>
      </c>
      <c r="AX214" t="str">
        <f>IF($A214="","", INDEX(CS!$B$1:$B$12828,MATCH($A214,CS!$B:$B,0)+COLUMN(G$1),1))</f>
        <v/>
      </c>
      <c r="AY214" t="str">
        <f>IF($A214="","", INDEX(CS!$B$1:$B$12828,MATCH($A214,CS!$B:$B,0)+COLUMN(H$1),1))</f>
        <v/>
      </c>
      <c r="AZ214" t="str">
        <f>IF($A214="","", INDEX(CS!$B$1:$B$12828,MATCH($A214,CS!$B:$B,0)+COLUMN(I$1),1))</f>
        <v/>
      </c>
      <c r="BA214" t="str">
        <f>IF($A214="","", INDEX(CS!$B$1:$B$12828,MATCH($A214,CS!$B:$B,0)+COLUMN(J$1),1))</f>
        <v/>
      </c>
    </row>
    <row r="215" spans="3:53" x14ac:dyDescent="0.4">
      <c r="C215" t="s">
        <v>194</v>
      </c>
      <c r="D215" t="str">
        <f t="shared" si="8"/>
        <v>0/0/0</v>
      </c>
      <c r="E215">
        <v>1</v>
      </c>
      <c r="AR215" t="str">
        <f>IF($A215="","", INDEX(CS!$B$1:$B$12828,MATCH($A215,CS!$B:$B,0)+COLUMN(A$1),1))</f>
        <v/>
      </c>
      <c r="AS215" t="str">
        <f>IF($A215="","", INDEX(CS!$B$1:$B$12828,MATCH($A215,CS!$B:$B,0)+COLUMN(B$1),1))</f>
        <v/>
      </c>
      <c r="AT215" t="str">
        <f>IF($A215="","", INDEX(CS!$B$1:$B$12828,MATCH($A215,CS!$B:$B,0)+COLUMN(C$1),1))</f>
        <v/>
      </c>
      <c r="AU215" t="str">
        <f>IF($A215="","", INDEX(CS!$B$1:$B$12828,MATCH($A215,CS!$B:$B,0)+COLUMN(D$1),1))</f>
        <v/>
      </c>
      <c r="AV215" t="str">
        <f>IF($A215="","", INDEX(CS!$B$1:$B$12828,MATCH($A215,CS!$B:$B,0)+COLUMN(E$1),1))</f>
        <v/>
      </c>
      <c r="AW215" t="str">
        <f>IF($A215="","", INDEX(CS!$B$1:$B$12828,MATCH($A215,CS!$B:$B,0)+COLUMN(F$1),1))</f>
        <v/>
      </c>
      <c r="AX215" t="str">
        <f>IF($A215="","", INDEX(CS!$B$1:$B$12828,MATCH($A215,CS!$B:$B,0)+COLUMN(G$1),1))</f>
        <v/>
      </c>
      <c r="AY215" t="str">
        <f>IF($A215="","", INDEX(CS!$B$1:$B$12828,MATCH($A215,CS!$B:$B,0)+COLUMN(H$1),1))</f>
        <v/>
      </c>
      <c r="AZ215" t="str">
        <f>IF($A215="","", INDEX(CS!$B$1:$B$12828,MATCH($A215,CS!$B:$B,0)+COLUMN(I$1),1))</f>
        <v/>
      </c>
      <c r="BA215" t="str">
        <f>IF($A215="","", INDEX(CS!$B$1:$B$12828,MATCH($A215,CS!$B:$B,0)+COLUMN(J$1),1))</f>
        <v/>
      </c>
    </row>
    <row r="216" spans="3:53" x14ac:dyDescent="0.4">
      <c r="C216" t="s">
        <v>194</v>
      </c>
      <c r="D216" t="str">
        <f t="shared" si="8"/>
        <v>0/0/0</v>
      </c>
      <c r="E216">
        <v>1</v>
      </c>
      <c r="AR216" t="str">
        <f>IF($A216="","", INDEX(CS!$B$1:$B$12828,MATCH($A216,CS!$B:$B,0)+COLUMN(A$1),1))</f>
        <v/>
      </c>
      <c r="AS216" t="str">
        <f>IF($A216="","", INDEX(CS!$B$1:$B$12828,MATCH($A216,CS!$B:$B,0)+COLUMN(B$1),1))</f>
        <v/>
      </c>
      <c r="AT216" t="str">
        <f>IF($A216="","", INDEX(CS!$B$1:$B$12828,MATCH($A216,CS!$B:$B,0)+COLUMN(C$1),1))</f>
        <v/>
      </c>
      <c r="AU216" t="str">
        <f>IF($A216="","", INDEX(CS!$B$1:$B$12828,MATCH($A216,CS!$B:$B,0)+COLUMN(D$1),1))</f>
        <v/>
      </c>
      <c r="AV216" t="str">
        <f>IF($A216="","", INDEX(CS!$B$1:$B$12828,MATCH($A216,CS!$B:$B,0)+COLUMN(E$1),1))</f>
        <v/>
      </c>
      <c r="AW216" t="str">
        <f>IF($A216="","", INDEX(CS!$B$1:$B$12828,MATCH($A216,CS!$B:$B,0)+COLUMN(F$1),1))</f>
        <v/>
      </c>
      <c r="AX216" t="str">
        <f>IF($A216="","", INDEX(CS!$B$1:$B$12828,MATCH($A216,CS!$B:$B,0)+COLUMN(G$1),1))</f>
        <v/>
      </c>
      <c r="AY216" t="str">
        <f>IF($A216="","", INDEX(CS!$B$1:$B$12828,MATCH($A216,CS!$B:$B,0)+COLUMN(H$1),1))</f>
        <v/>
      </c>
      <c r="AZ216" t="str">
        <f>IF($A216="","", INDEX(CS!$B$1:$B$12828,MATCH($A216,CS!$B:$B,0)+COLUMN(I$1),1))</f>
        <v/>
      </c>
      <c r="BA216" t="str">
        <f>IF($A216="","", INDEX(CS!$B$1:$B$12828,MATCH($A216,CS!$B:$B,0)+COLUMN(J$1),1))</f>
        <v/>
      </c>
    </row>
    <row r="217" spans="3:53" x14ac:dyDescent="0.4">
      <c r="C217" t="s">
        <v>194</v>
      </c>
      <c r="D217" t="str">
        <f t="shared" si="8"/>
        <v>0/0/0</v>
      </c>
      <c r="E217">
        <v>1</v>
      </c>
      <c r="AR217" t="str">
        <f>IF($A217="","", INDEX(CS!$B$1:$B$12828,MATCH($A217,CS!$B:$B,0)+COLUMN(A$1),1))</f>
        <v/>
      </c>
      <c r="AS217" t="str">
        <f>IF($A217="","", INDEX(CS!$B$1:$B$12828,MATCH($A217,CS!$B:$B,0)+COLUMN(B$1),1))</f>
        <v/>
      </c>
      <c r="AT217" t="str">
        <f>IF($A217="","", INDEX(CS!$B$1:$B$12828,MATCH($A217,CS!$B:$B,0)+COLUMN(C$1),1))</f>
        <v/>
      </c>
      <c r="AU217" t="str">
        <f>IF($A217="","", INDEX(CS!$B$1:$B$12828,MATCH($A217,CS!$B:$B,0)+COLUMN(D$1),1))</f>
        <v/>
      </c>
      <c r="AV217" t="str">
        <f>IF($A217="","", INDEX(CS!$B$1:$B$12828,MATCH($A217,CS!$B:$B,0)+COLUMN(E$1),1))</f>
        <v/>
      </c>
      <c r="AW217" t="str">
        <f>IF($A217="","", INDEX(CS!$B$1:$B$12828,MATCH($A217,CS!$B:$B,0)+COLUMN(F$1),1))</f>
        <v/>
      </c>
      <c r="AX217" t="str">
        <f>IF($A217="","", INDEX(CS!$B$1:$B$12828,MATCH($A217,CS!$B:$B,0)+COLUMN(G$1),1))</f>
        <v/>
      </c>
      <c r="AY217" t="str">
        <f>IF($A217="","", INDEX(CS!$B$1:$B$12828,MATCH($A217,CS!$B:$B,0)+COLUMN(H$1),1))</f>
        <v/>
      </c>
      <c r="AZ217" t="str">
        <f>IF($A217="","", INDEX(CS!$B$1:$B$12828,MATCH($A217,CS!$B:$B,0)+COLUMN(I$1),1))</f>
        <v/>
      </c>
      <c r="BA217" t="str">
        <f>IF($A217="","", INDEX(CS!$B$1:$B$12828,MATCH($A217,CS!$B:$B,0)+COLUMN(J$1),1))</f>
        <v/>
      </c>
    </row>
    <row r="218" spans="3:53" x14ac:dyDescent="0.4">
      <c r="C218" t="s">
        <v>194</v>
      </c>
      <c r="D218" t="str">
        <f t="shared" si="8"/>
        <v>0/0/0</v>
      </c>
      <c r="E218">
        <v>1</v>
      </c>
      <c r="AR218" t="str">
        <f>IF($A218="","", INDEX(CS!$B$1:$B$12828,MATCH($A218,CS!$B:$B,0)+COLUMN(A$1),1))</f>
        <v/>
      </c>
      <c r="AS218" t="str">
        <f>IF($A218="","", INDEX(CS!$B$1:$B$12828,MATCH($A218,CS!$B:$B,0)+COLUMN(B$1),1))</f>
        <v/>
      </c>
      <c r="AT218" t="str">
        <f>IF($A218="","", INDEX(CS!$B$1:$B$12828,MATCH($A218,CS!$B:$B,0)+COLUMN(C$1),1))</f>
        <v/>
      </c>
      <c r="AU218" t="str">
        <f>IF($A218="","", INDEX(CS!$B$1:$B$12828,MATCH($A218,CS!$B:$B,0)+COLUMN(D$1),1))</f>
        <v/>
      </c>
      <c r="AV218" t="str">
        <f>IF($A218="","", INDEX(CS!$B$1:$B$12828,MATCH($A218,CS!$B:$B,0)+COLUMN(E$1),1))</f>
        <v/>
      </c>
      <c r="AW218" t="str">
        <f>IF($A218="","", INDEX(CS!$B$1:$B$12828,MATCH($A218,CS!$B:$B,0)+COLUMN(F$1),1))</f>
        <v/>
      </c>
      <c r="AX218" t="str">
        <f>IF($A218="","", INDEX(CS!$B$1:$B$12828,MATCH($A218,CS!$B:$B,0)+COLUMN(G$1),1))</f>
        <v/>
      </c>
      <c r="AY218" t="str">
        <f>IF($A218="","", INDEX(CS!$B$1:$B$12828,MATCH($A218,CS!$B:$B,0)+COLUMN(H$1),1))</f>
        <v/>
      </c>
      <c r="AZ218" t="str">
        <f>IF($A218="","", INDEX(CS!$B$1:$B$12828,MATCH($A218,CS!$B:$B,0)+COLUMN(I$1),1))</f>
        <v/>
      </c>
      <c r="BA218" t="str">
        <f>IF($A218="","", INDEX(CS!$B$1:$B$12828,MATCH($A218,CS!$B:$B,0)+COLUMN(J$1),1))</f>
        <v/>
      </c>
    </row>
  </sheetData>
  <mergeCells count="15">
    <mergeCell ref="AD14:AS14"/>
    <mergeCell ref="AD15:AS15"/>
    <mergeCell ref="AD16:AS16"/>
    <mergeCell ref="AD8:AS8"/>
    <mergeCell ref="AD9:AS9"/>
    <mergeCell ref="AD10:AS10"/>
    <mergeCell ref="AD11:AS11"/>
    <mergeCell ref="AD12:AS12"/>
    <mergeCell ref="AD13:AS13"/>
    <mergeCell ref="AD7:AS7"/>
    <mergeCell ref="AD2:AS2"/>
    <mergeCell ref="AD3:AS3"/>
    <mergeCell ref="AD4:AS4"/>
    <mergeCell ref="AD5:AS5"/>
    <mergeCell ref="AD6:AS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905</v>
      </c>
      <c r="B1" t="s">
        <v>938</v>
      </c>
      <c r="C1" t="s">
        <v>947</v>
      </c>
      <c r="D1" t="s">
        <v>1034</v>
      </c>
      <c r="E1" t="s">
        <v>1230</v>
      </c>
      <c r="F1" t="s">
        <v>1077</v>
      </c>
      <c r="G1" t="s">
        <v>1033</v>
      </c>
    </row>
    <row r="2" spans="1:7" x14ac:dyDescent="0.4">
      <c r="A2" t="s">
        <v>927</v>
      </c>
      <c r="B2" t="s">
        <v>55</v>
      </c>
      <c r="C2">
        <v>50</v>
      </c>
      <c r="D2">
        <v>0</v>
      </c>
      <c r="E2" s="39">
        <v>1</v>
      </c>
      <c r="F2" s="39">
        <v>0.15</v>
      </c>
      <c r="G2" t="s">
        <v>1036</v>
      </c>
    </row>
    <row r="3" spans="1:7" x14ac:dyDescent="0.4">
      <c r="A3" t="s">
        <v>928</v>
      </c>
      <c r="B3" t="s">
        <v>57</v>
      </c>
      <c r="C3">
        <v>50</v>
      </c>
      <c r="D3">
        <v>0</v>
      </c>
      <c r="E3" s="39">
        <v>1</v>
      </c>
      <c r="F3" s="39">
        <v>0.1</v>
      </c>
      <c r="G3" t="s">
        <v>1035</v>
      </c>
    </row>
    <row r="4" spans="1:7" x14ac:dyDescent="0.4">
      <c r="A4" t="s">
        <v>929</v>
      </c>
      <c r="B4" t="s">
        <v>59</v>
      </c>
      <c r="C4">
        <v>50</v>
      </c>
      <c r="D4">
        <v>1</v>
      </c>
      <c r="E4" s="39">
        <v>1</v>
      </c>
      <c r="F4" s="39">
        <v>0.1</v>
      </c>
      <c r="G4" t="s">
        <v>1037</v>
      </c>
    </row>
    <row r="5" spans="1:7" x14ac:dyDescent="0.4">
      <c r="A5" t="s">
        <v>930</v>
      </c>
      <c r="B5" t="s">
        <v>53</v>
      </c>
      <c r="C5">
        <v>60</v>
      </c>
      <c r="D5">
        <v>1</v>
      </c>
      <c r="E5" s="39">
        <v>0.8</v>
      </c>
      <c r="F5" s="39">
        <v>0.2</v>
      </c>
      <c r="G5" t="s">
        <v>1036</v>
      </c>
    </row>
    <row r="6" spans="1:7" x14ac:dyDescent="0.4">
      <c r="A6" t="s">
        <v>931</v>
      </c>
      <c r="B6" t="s">
        <v>64</v>
      </c>
      <c r="C6">
        <v>25</v>
      </c>
      <c r="D6">
        <v>1</v>
      </c>
      <c r="E6" s="39">
        <v>1.25</v>
      </c>
      <c r="F6" s="39">
        <v>0.25</v>
      </c>
      <c r="G6" t="s">
        <v>1041</v>
      </c>
    </row>
    <row r="7" spans="1:7" x14ac:dyDescent="0.4">
      <c r="A7" t="s">
        <v>932</v>
      </c>
      <c r="B7" t="s">
        <v>42</v>
      </c>
      <c r="C7">
        <v>25</v>
      </c>
      <c r="D7">
        <v>1</v>
      </c>
      <c r="E7" s="39">
        <v>0.8</v>
      </c>
      <c r="F7" s="39">
        <v>0.35</v>
      </c>
      <c r="G7" t="s">
        <v>1038</v>
      </c>
    </row>
    <row r="8" spans="1:7" x14ac:dyDescent="0.4">
      <c r="A8" t="s">
        <v>933</v>
      </c>
      <c r="B8" t="s">
        <v>66</v>
      </c>
      <c r="C8">
        <v>15</v>
      </c>
      <c r="D8">
        <v>2</v>
      </c>
      <c r="E8" s="39">
        <v>1.2</v>
      </c>
      <c r="F8" s="39">
        <v>0.45</v>
      </c>
      <c r="G8" t="s">
        <v>1040</v>
      </c>
    </row>
    <row r="9" spans="1:7" x14ac:dyDescent="0.4">
      <c r="A9" t="s">
        <v>934</v>
      </c>
      <c r="B9" t="s">
        <v>44</v>
      </c>
      <c r="C9">
        <v>75</v>
      </c>
      <c r="D9">
        <v>0</v>
      </c>
      <c r="E9" s="39">
        <v>0.5</v>
      </c>
      <c r="F9" s="39">
        <v>0.1</v>
      </c>
      <c r="G9" t="s">
        <v>1039</v>
      </c>
    </row>
    <row r="10" spans="1:7" x14ac:dyDescent="0.4">
      <c r="A10" t="s">
        <v>935</v>
      </c>
      <c r="B10" t="s">
        <v>46</v>
      </c>
      <c r="C10">
        <v>10</v>
      </c>
      <c r="D10">
        <v>3</v>
      </c>
      <c r="E10" s="39">
        <v>1.5</v>
      </c>
      <c r="F10" s="39">
        <v>0.6</v>
      </c>
      <c r="G10" t="s">
        <v>1043</v>
      </c>
    </row>
    <row r="11" spans="1:7" x14ac:dyDescent="0.4">
      <c r="A11" t="s">
        <v>936</v>
      </c>
      <c r="B11" t="s">
        <v>48</v>
      </c>
      <c r="C11">
        <v>15</v>
      </c>
      <c r="D11">
        <v>3</v>
      </c>
      <c r="E11" s="39">
        <v>1.5</v>
      </c>
      <c r="F11" s="39">
        <v>0.6</v>
      </c>
      <c r="G11" t="s">
        <v>1042</v>
      </c>
    </row>
    <row r="12" spans="1:7" x14ac:dyDescent="0.4">
      <c r="A12" t="s">
        <v>937</v>
      </c>
      <c r="B12" t="s">
        <v>50</v>
      </c>
      <c r="C12">
        <v>10</v>
      </c>
      <c r="E12" s="39">
        <v>1.5</v>
      </c>
      <c r="F12" s="39">
        <v>0.6</v>
      </c>
      <c r="G12" t="s">
        <v>1044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1001</v>
      </c>
      <c r="B12" s="17" t="s">
        <v>243</v>
      </c>
    </row>
    <row r="13" spans="1:2" ht="37.5" x14ac:dyDescent="0.4">
      <c r="A13" t="s">
        <v>231</v>
      </c>
      <c r="B13" s="17" t="s">
        <v>244</v>
      </c>
    </row>
    <row r="14" spans="1:2" ht="37.5" x14ac:dyDescent="0.4">
      <c r="A14" t="s">
        <v>5</v>
      </c>
      <c r="B14" s="17" t="s">
        <v>245</v>
      </c>
    </row>
    <row r="15" spans="1:2" ht="37.5" x14ac:dyDescent="0.4">
      <c r="A15" t="s">
        <v>1053</v>
      </c>
      <c r="B15" s="17" t="s">
        <v>997</v>
      </c>
    </row>
    <row r="16" spans="1:2" ht="37.5" x14ac:dyDescent="0.4">
      <c r="A16" t="s">
        <v>6</v>
      </c>
      <c r="B16" s="17" t="s">
        <v>996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topLeftCell="AI1" workbookViewId="0">
      <selection activeCell="S7" sqref="S6:BU7"/>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708</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1053</v>
      </c>
      <c r="BA1" s="29" t="s">
        <v>6</v>
      </c>
      <c r="BB1" s="20" t="s">
        <v>146</v>
      </c>
      <c r="BC1" s="20" t="s">
        <v>178</v>
      </c>
      <c r="BD1" s="20" t="s">
        <v>709</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869</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BZ4" t="s">
        <v>12</v>
      </c>
    </row>
    <row r="5" spans="1:81"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BZ5" t="s">
        <v>12</v>
      </c>
    </row>
    <row r="6" spans="1:81"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BW6">
        <v>2</v>
      </c>
      <c r="BZ6" t="s">
        <v>12</v>
      </c>
    </row>
    <row r="7" spans="1:81"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BZ7" t="s">
        <v>12</v>
      </c>
    </row>
    <row r="8" spans="1:81"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BZ8" t="s">
        <v>12</v>
      </c>
    </row>
    <row r="9" spans="1:81"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A9">
        <v>30</v>
      </c>
      <c r="BZ9" t="s">
        <v>12</v>
      </c>
    </row>
    <row r="10" spans="1:81"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BW10">
        <v>2</v>
      </c>
      <c r="BZ10" t="s">
        <v>12</v>
      </c>
    </row>
    <row r="11" spans="1:81"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BZ11" t="s">
        <v>12</v>
      </c>
    </row>
    <row r="12" spans="1:81"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K12">
        <v>10</v>
      </c>
    </row>
    <row r="13" spans="1:81"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BZ13" t="s">
        <v>14</v>
      </c>
    </row>
    <row r="14" spans="1:81"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327</v>
      </c>
    </row>
    <row r="15" spans="1:81"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K15">
        <v>5</v>
      </c>
    </row>
    <row r="16" spans="1:81"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K16">
        <v>25</v>
      </c>
      <c r="BZ16" t="s">
        <v>12</v>
      </c>
    </row>
    <row r="17" spans="1:79"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79"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K18">
        <v>5</v>
      </c>
    </row>
    <row r="19" spans="1:79"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J19">
        <v>25</v>
      </c>
      <c r="BZ19" t="s">
        <v>19</v>
      </c>
    </row>
    <row r="20" spans="1:79"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BZ20" t="s">
        <v>21</v>
      </c>
    </row>
    <row r="21" spans="1:79"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Y22">
        <v>30</v>
      </c>
      <c r="BZ22" t="s">
        <v>21</v>
      </c>
    </row>
    <row r="23" spans="1:79"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327</v>
      </c>
    </row>
    <row r="25" spans="1:79"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Q25" s="17">
        <v>25</v>
      </c>
      <c r="BZ25" t="s">
        <v>12</v>
      </c>
    </row>
    <row r="26" spans="1:79"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278</v>
      </c>
    </row>
    <row r="27" spans="1:79"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Q29" s="17">
        <v>45</v>
      </c>
      <c r="BS29">
        <v>2</v>
      </c>
      <c r="BT29" t="s">
        <v>320</v>
      </c>
    </row>
    <row r="30" spans="1:79"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R30" s="17">
        <v>25</v>
      </c>
      <c r="BZ30" t="s">
        <v>12</v>
      </c>
    </row>
    <row r="31" spans="1:79"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R33" s="17">
        <v>45</v>
      </c>
      <c r="BS33">
        <v>2</v>
      </c>
      <c r="BT33" t="s">
        <v>320</v>
      </c>
    </row>
    <row r="34" spans="1:78"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Y34">
        <v>25</v>
      </c>
      <c r="BZ34" t="s">
        <v>12</v>
      </c>
    </row>
    <row r="35" spans="1:78"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Y37">
        <v>45</v>
      </c>
      <c r="BS37">
        <v>2</v>
      </c>
      <c r="BT37" t="s">
        <v>320</v>
      </c>
    </row>
    <row r="38" spans="1:78"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BZ38" t="s">
        <v>12</v>
      </c>
    </row>
    <row r="39" spans="1:78"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Y41">
        <v>20</v>
      </c>
      <c r="BS41">
        <v>2</v>
      </c>
      <c r="BT41" t="s">
        <v>320</v>
      </c>
    </row>
    <row r="42" spans="1:78"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Z20"/>
  <sheetViews>
    <sheetView topLeftCell="S1" workbookViewId="0">
      <selection activeCell="AW13" sqref="AW13"/>
    </sheetView>
  </sheetViews>
  <sheetFormatPr defaultRowHeight="18.75" outlineLevelCol="1"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customWidth="1" outlineLevel="1"/>
    <col min="36" max="36" width="4.75" customWidth="1"/>
    <col min="37" max="40" width="4.75" hidden="1" customWidth="1" outlineLevel="1"/>
    <col min="41" max="41" width="4.75" customWidth="1" collapsed="1"/>
    <col min="42" max="42" width="4.75" customWidth="1" outlineLevel="1"/>
    <col min="43" max="43" width="4.75" customWidth="1"/>
    <col min="44" max="46" width="4.75" hidden="1" customWidth="1" outlineLevel="1"/>
    <col min="47" max="47" width="4.75" customWidth="1" collapsed="1"/>
    <col min="48" max="50" width="4.75" customWidth="1" outlineLevel="1"/>
    <col min="51" max="51" width="4.75" customWidth="1"/>
  </cols>
  <sheetData>
    <row r="1" spans="1:52" s="47" customFormat="1" ht="34.5" customHeight="1" x14ac:dyDescent="0.4">
      <c r="A1" s="46" t="s">
        <v>479</v>
      </c>
      <c r="B1" s="46" t="s">
        <v>666</v>
      </c>
      <c r="C1" s="47" t="s">
        <v>1031</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1004</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1053</v>
      </c>
      <c r="AX1" s="29" t="s">
        <v>6</v>
      </c>
      <c r="AZ1" s="3" t="s">
        <v>479</v>
      </c>
    </row>
    <row r="2" spans="1:52" ht="27" x14ac:dyDescent="0.4">
      <c r="A2" s="48" t="s">
        <v>504</v>
      </c>
      <c r="B2" s="46" t="s">
        <v>795</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c r="AZ2" s="17" t="s">
        <v>504</v>
      </c>
    </row>
    <row r="3" spans="1:52" ht="27" x14ac:dyDescent="0.4">
      <c r="A3" s="48" t="s">
        <v>505</v>
      </c>
      <c r="B3" s="46" t="s">
        <v>998</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c r="AZ3" s="17" t="s">
        <v>505</v>
      </c>
    </row>
    <row r="4" spans="1:52" ht="27" x14ac:dyDescent="0.4">
      <c r="A4" s="48" t="s">
        <v>506</v>
      </c>
      <c r="B4" s="46" t="s">
        <v>810</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c r="AZ4" s="17" t="s">
        <v>506</v>
      </c>
    </row>
    <row r="5" spans="1:52" ht="27" x14ac:dyDescent="0.4">
      <c r="A5" s="48" t="s">
        <v>507</v>
      </c>
      <c r="B5" s="46" t="s">
        <v>811</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c r="AZ5" s="17" t="s">
        <v>507</v>
      </c>
    </row>
    <row r="6" spans="1:52" ht="27" x14ac:dyDescent="0.4">
      <c r="A6" s="48" t="s">
        <v>508</v>
      </c>
      <c r="B6" s="46" t="s">
        <v>796</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c r="AZ6" s="17" t="s">
        <v>508</v>
      </c>
    </row>
    <row r="7" spans="1:52" ht="27" x14ac:dyDescent="0.4">
      <c r="A7" s="48" t="s">
        <v>509</v>
      </c>
      <c r="B7" s="46" t="s">
        <v>797</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c r="AZ7" s="17" t="s">
        <v>509</v>
      </c>
    </row>
    <row r="8" spans="1:52" ht="27" x14ac:dyDescent="0.4">
      <c r="A8" s="48" t="s">
        <v>510</v>
      </c>
      <c r="B8" s="46" t="s">
        <v>798</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c r="AZ8" s="17" t="s">
        <v>510</v>
      </c>
    </row>
    <row r="9" spans="1:52" ht="27" x14ac:dyDescent="0.4">
      <c r="A9" s="48" t="s">
        <v>511</v>
      </c>
      <c r="B9" s="46" t="s">
        <v>799</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c r="AZ9" s="17" t="s">
        <v>511</v>
      </c>
    </row>
    <row r="10" spans="1:52" ht="27" x14ac:dyDescent="0.4">
      <c r="A10" s="48" t="s">
        <v>512</v>
      </c>
      <c r="B10" s="46" t="s">
        <v>800</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c r="AZ10" s="17" t="s">
        <v>512</v>
      </c>
    </row>
    <row r="11" spans="1:52" ht="27" x14ac:dyDescent="0.4">
      <c r="A11" s="48" t="s">
        <v>1052</v>
      </c>
      <c r="B11" s="46" t="s">
        <v>801</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c r="AZ11" s="17" t="s">
        <v>513</v>
      </c>
    </row>
    <row r="12" spans="1:52" ht="27" x14ac:dyDescent="0.4">
      <c r="A12" s="48" t="s">
        <v>514</v>
      </c>
      <c r="B12" s="46" t="s">
        <v>802</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c r="AZ12" s="17" t="s">
        <v>514</v>
      </c>
    </row>
    <row r="13" spans="1:52" ht="27" x14ac:dyDescent="0.4">
      <c r="A13" s="48" t="s">
        <v>515</v>
      </c>
      <c r="B13" s="46" t="s">
        <v>803</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c r="AZ13" s="17" t="s">
        <v>515</v>
      </c>
    </row>
    <row r="14" spans="1:52" ht="27" x14ac:dyDescent="0.4">
      <c r="A14" s="48" t="s">
        <v>516</v>
      </c>
      <c r="B14" s="46" t="s">
        <v>804</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c r="AZ14" s="17" t="s">
        <v>516</v>
      </c>
    </row>
    <row r="15" spans="1:52" ht="27" x14ac:dyDescent="0.4">
      <c r="A15" s="48" t="s">
        <v>783</v>
      </c>
      <c r="B15" s="46" t="s">
        <v>1032</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c r="AZ15" s="17" t="s">
        <v>783</v>
      </c>
    </row>
    <row r="16" spans="1:52" ht="54" x14ac:dyDescent="0.4">
      <c r="A16" s="48" t="s">
        <v>925</v>
      </c>
      <c r="B16" s="46" t="s">
        <v>926</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AZ16" s="17" t="s">
        <v>999</v>
      </c>
    </row>
    <row r="18" spans="1:41" ht="27" x14ac:dyDescent="0.4">
      <c r="A18" s="49" t="s">
        <v>600</v>
      </c>
      <c r="B18" s="50" t="s">
        <v>805</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c r="AO18">
        <v>-30</v>
      </c>
    </row>
    <row r="19" spans="1:41" ht="27" x14ac:dyDescent="0.4">
      <c r="A19" s="48" t="s">
        <v>806</v>
      </c>
      <c r="B19" s="46" t="s">
        <v>807</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c r="AO19">
        <v>-30</v>
      </c>
    </row>
    <row r="20" spans="1:41" ht="27" x14ac:dyDescent="0.4">
      <c r="A20" s="48" t="s">
        <v>808</v>
      </c>
      <c r="B20" s="46" t="s">
        <v>809</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c r="AO20">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Q168"/>
  <sheetViews>
    <sheetView workbookViewId="0">
      <pane xSplit="4" ySplit="2" topLeftCell="E3" activePane="bottomRight" state="frozen"/>
      <selection pane="topRight" activeCell="E1" sqref="E1"/>
      <selection pane="bottomLeft" activeCell="A3" sqref="A3"/>
      <selection pane="bottomRight" activeCell="Q6" sqref="Q6"/>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7" s="10" customFormat="1" ht="36" x14ac:dyDescent="0.4">
      <c r="A1" s="10" t="s">
        <v>784</v>
      </c>
      <c r="B1" s="10" t="s">
        <v>785</v>
      </c>
      <c r="C1" s="2" t="s">
        <v>920</v>
      </c>
      <c r="D1" s="2" t="s">
        <v>905</v>
      </c>
      <c r="E1" s="2" t="s">
        <v>860</v>
      </c>
      <c r="F1" s="51" t="s">
        <v>787</v>
      </c>
      <c r="G1" s="51" t="s">
        <v>786</v>
      </c>
      <c r="H1" s="51" t="s">
        <v>921</v>
      </c>
      <c r="I1" s="10" t="s">
        <v>788</v>
      </c>
      <c r="J1" s="10" t="s">
        <v>316</v>
      </c>
      <c r="K1" s="10" t="s">
        <v>794</v>
      </c>
      <c r="L1" s="10" t="s">
        <v>791</v>
      </c>
      <c r="M1" s="10" t="s">
        <v>792</v>
      </c>
      <c r="N1" s="10" t="s">
        <v>793</v>
      </c>
      <c r="O1" s="10" t="s">
        <v>789</v>
      </c>
      <c r="P1" s="10" t="s">
        <v>790</v>
      </c>
      <c r="Q1" s="10" t="s">
        <v>1180</v>
      </c>
    </row>
    <row r="2" spans="1:17" x14ac:dyDescent="0.4">
      <c r="A2" s="2">
        <v>1</v>
      </c>
      <c r="B2" s="10">
        <v>2</v>
      </c>
      <c r="C2">
        <v>3</v>
      </c>
      <c r="E2" s="10">
        <v>4</v>
      </c>
      <c r="F2">
        <v>5</v>
      </c>
      <c r="G2" s="10">
        <v>6</v>
      </c>
      <c r="H2">
        <v>5</v>
      </c>
      <c r="I2">
        <v>7</v>
      </c>
      <c r="J2" s="10">
        <v>8</v>
      </c>
      <c r="K2">
        <v>9</v>
      </c>
      <c r="L2" s="10">
        <v>10</v>
      </c>
      <c r="M2">
        <v>11</v>
      </c>
      <c r="N2" s="10">
        <v>12</v>
      </c>
      <c r="O2">
        <v>13</v>
      </c>
      <c r="P2" s="10">
        <v>14</v>
      </c>
    </row>
    <row r="3" spans="1:17" x14ac:dyDescent="0.4">
      <c r="A3" s="2" t="s">
        <v>504</v>
      </c>
      <c r="B3" s="10" t="s">
        <v>199</v>
      </c>
      <c r="C3" t="str">
        <f>_xlfn.LET(
 _xlpm.dOK,COUNTIF(クラス!A:A,D3)&gt;0,
 _xlpm.eOK,COUNTIF(クラス!A:A,E3)&gt;0,
 IF(_xlpm.dOK,"○","×") &amp; IF(_xlpm.eOK,"○","×")
)</f>
        <v>○×</v>
      </c>
      <c r="D3" t="s">
        <v>200</v>
      </c>
      <c r="F3">
        <v>5</v>
      </c>
      <c r="G3">
        <v>8</v>
      </c>
      <c r="Q3" t="s">
        <v>1181</v>
      </c>
    </row>
    <row r="4" spans="1:17" outlineLevel="1" x14ac:dyDescent="0.4">
      <c r="A4" s="2" t="s">
        <v>504</v>
      </c>
      <c r="B4" s="10" t="s">
        <v>196</v>
      </c>
      <c r="C4" t="str">
        <f>_xlfn.LET(
 _xlpm.dOK,COUNTIF(クラス!A:A,D4)&gt;0,
 _xlpm.eOK,COUNTIF(クラス!A:A,E4)&gt;0,
 IF(_xlpm.dOK,"○","×") &amp; IF(_xlpm.eOK,"○","×")
)</f>
        <v>○×</v>
      </c>
      <c r="D4" t="s">
        <v>196</v>
      </c>
      <c r="F4">
        <v>4</v>
      </c>
      <c r="G4">
        <v>7</v>
      </c>
      <c r="Q4" t="s">
        <v>196</v>
      </c>
    </row>
    <row r="5" spans="1:17" outlineLevel="1" x14ac:dyDescent="0.4">
      <c r="A5" s="2" t="s">
        <v>504</v>
      </c>
      <c r="B5" s="10" t="s">
        <v>812</v>
      </c>
      <c r="C5" t="str">
        <f>_xlfn.LET(
 _xlpm.dOK,COUNTIF(クラス!A:A,D5)&gt;0,
 _xlpm.eOK,COUNTIF(クラス!A:A,E5)&gt;0,
 IF(_xlpm.dOK,"○","×") &amp; IF(_xlpm.eOK,"○","×")
)</f>
        <v>××</v>
      </c>
    </row>
    <row r="6" spans="1:17" outlineLevel="1" x14ac:dyDescent="0.4">
      <c r="A6" s="2" t="s">
        <v>504</v>
      </c>
      <c r="B6" s="10" t="s">
        <v>813</v>
      </c>
      <c r="C6" t="str">
        <f>_xlfn.LET(
 _xlpm.dOK,COUNTIF(クラス!A:A,D6)&gt;0,
 _xlpm.eOK,COUNTIF(クラス!A:A,E6)&gt;0,
 IF(_xlpm.dOK,"○","×") &amp; IF(_xlpm.eOK,"○","×")
)</f>
        <v>××</v>
      </c>
    </row>
    <row r="7" spans="1:17" outlineLevel="1" x14ac:dyDescent="0.4">
      <c r="A7" s="2" t="s">
        <v>504</v>
      </c>
      <c r="B7" s="10" t="s">
        <v>814</v>
      </c>
      <c r="C7" t="str">
        <f>_xlfn.LET(
 _xlpm.dOK,COUNTIF(クラス!A:A,D7)&gt;0,
 _xlpm.eOK,COUNTIF(クラス!A:A,E7)&gt;0,
 IF(_xlpm.dOK,"○","×") &amp; IF(_xlpm.eOK,"○","×")
)</f>
        <v>××</v>
      </c>
    </row>
    <row r="8" spans="1:17" ht="36" outlineLevel="1" x14ac:dyDescent="0.4">
      <c r="A8" s="2" t="s">
        <v>504</v>
      </c>
      <c r="B8" s="10" t="s">
        <v>815</v>
      </c>
      <c r="C8" t="str">
        <f>_xlfn.LET(
 _xlpm.dOK,COUNTIF(クラス!A:A,D8)&gt;0,
 _xlpm.eOK,COUNTIF(クラス!A:A,E8)&gt;0,
 IF(_xlpm.dOK,"○","×") &amp; IF(_xlpm.eOK,"○","×")
)</f>
        <v>××</v>
      </c>
    </row>
    <row r="9" spans="1:17" outlineLevel="1" x14ac:dyDescent="0.4">
      <c r="A9" s="2" t="s">
        <v>504</v>
      </c>
      <c r="B9" s="10" t="s">
        <v>819</v>
      </c>
      <c r="C9" t="str">
        <f>_xlfn.LET(
 _xlpm.dOK,COUNTIF(クラス!A:A,D9)&gt;0,
 _xlpm.eOK,COUNTIF(クラス!A:A,E9)&gt;0,
 IF(_xlpm.dOK,"○","×") &amp; IF(_xlpm.eOK,"○","×")
)</f>
        <v>○×</v>
      </c>
      <c r="D9" t="s">
        <v>904</v>
      </c>
      <c r="F9">
        <v>15</v>
      </c>
      <c r="G9">
        <v>20</v>
      </c>
      <c r="Q9" t="s">
        <v>904</v>
      </c>
    </row>
    <row r="10" spans="1:17" outlineLevel="1" x14ac:dyDescent="0.4">
      <c r="C10" t="str">
        <f>_xlfn.LET(
 _xlpm.dOK,COUNTIF(クラス!A:A,D10)&gt;0,
 _xlpm.eOK,COUNTIF(クラス!A:A,E10)&gt;0,
 IF(_xlpm.dOK,"○","×") &amp; IF(_xlpm.eOK,"○","×")
)</f>
        <v>××</v>
      </c>
    </row>
    <row r="11" spans="1:17" outlineLevel="1" x14ac:dyDescent="0.4">
      <c r="A11" s="2" t="s">
        <v>511</v>
      </c>
      <c r="B11" s="10" t="s">
        <v>838</v>
      </c>
      <c r="C11" t="str">
        <f>_xlfn.LET(
 _xlpm.dOK,COUNTIF(クラス!A:A,D11)&gt;0,
 _xlpm.eOK,COUNTIF(クラス!A:A,E11)&gt;0,
 IF(_xlpm.dOK,"○","×") &amp; IF(_xlpm.eOK,"○","×")
)</f>
        <v>××</v>
      </c>
    </row>
    <row r="12" spans="1:17" outlineLevel="1" x14ac:dyDescent="0.4">
      <c r="A12" s="2" t="s">
        <v>511</v>
      </c>
      <c r="B12" s="10" t="s">
        <v>839</v>
      </c>
      <c r="C12" t="str">
        <f>_xlfn.LET(
 _xlpm.dOK,COUNTIF(クラス!A:A,D12)&gt;0,
 _xlpm.eOK,COUNTIF(クラス!A:A,E12)&gt;0,
 IF(_xlpm.dOK,"○","×") &amp; IF(_xlpm.eOK,"○","×")
)</f>
        <v>××</v>
      </c>
    </row>
    <row r="13" spans="1:17" outlineLevel="1" x14ac:dyDescent="0.4">
      <c r="A13" s="2" t="s">
        <v>511</v>
      </c>
      <c r="B13" s="10" t="s">
        <v>840</v>
      </c>
      <c r="C13" t="str">
        <f>_xlfn.LET(
 _xlpm.dOK,COUNTIF(クラス!A:A,D13)&gt;0,
 _xlpm.eOK,COUNTIF(クラス!A:A,E13)&gt;0,
 IF(_xlpm.dOK,"○","×") &amp; IF(_xlpm.eOK,"○","×")
)</f>
        <v>××</v>
      </c>
    </row>
    <row r="14" spans="1:17" outlineLevel="1" x14ac:dyDescent="0.4">
      <c r="A14" s="2" t="s">
        <v>511</v>
      </c>
      <c r="B14" s="10" t="s">
        <v>841</v>
      </c>
      <c r="C14" t="str">
        <f>_xlfn.LET(
 _xlpm.dOK,COUNTIF(クラス!A:A,D14)&gt;0,
 _xlpm.eOK,COUNTIF(クラス!A:A,E14)&gt;0,
 IF(_xlpm.dOK,"○","×") &amp; IF(_xlpm.eOK,"○","×")
)</f>
        <v>××</v>
      </c>
    </row>
    <row r="15" spans="1:17" ht="36" outlineLevel="1" x14ac:dyDescent="0.4">
      <c r="A15" s="2" t="s">
        <v>511</v>
      </c>
      <c r="B15" s="10" t="s">
        <v>842</v>
      </c>
      <c r="C15" t="str">
        <f>_xlfn.LET(
 _xlpm.dOK,COUNTIF(クラス!A:A,D15)&gt;0,
 _xlpm.eOK,COUNTIF(クラス!A:A,E15)&gt;0,
 IF(_xlpm.dOK,"○","×") &amp; IF(_xlpm.eOK,"○","×")
)</f>
        <v>××</v>
      </c>
    </row>
    <row r="16" spans="1:17" outlineLevel="1" x14ac:dyDescent="0.4">
      <c r="A16" s="2" t="s">
        <v>511</v>
      </c>
      <c r="B16" s="10" t="s">
        <v>843</v>
      </c>
      <c r="C16" t="str">
        <f>_xlfn.LET(
 _xlpm.dOK,COUNTIF(クラス!A:A,D16)&gt;0,
 _xlpm.eOK,COUNTIF(クラス!A:A,E16)&gt;0,
 IF(_xlpm.dOK,"○","×") &amp; IF(_xlpm.eOK,"○","×")
)</f>
        <v>××</v>
      </c>
    </row>
    <row r="17" spans="1:17" ht="36" outlineLevel="1" x14ac:dyDescent="0.4">
      <c r="A17" s="2" t="s">
        <v>511</v>
      </c>
      <c r="B17" s="10" t="s">
        <v>844</v>
      </c>
      <c r="C17" t="str">
        <f>_xlfn.LET(
 _xlpm.dOK,COUNTIF(クラス!A:A,D17)&gt;0,
 _xlpm.eOK,COUNTIF(クラス!A:A,E17)&gt;0,
 IF(_xlpm.dOK,"○","×") &amp; IF(_xlpm.eOK,"○","×")
)</f>
        <v>××</v>
      </c>
    </row>
    <row r="18" spans="1:17" outlineLevel="1" x14ac:dyDescent="0.4">
      <c r="A18" s="2" t="s">
        <v>511</v>
      </c>
      <c r="B18" s="10" t="s">
        <v>845</v>
      </c>
      <c r="C18" t="str">
        <f>_xlfn.LET(
 _xlpm.dOK,COUNTIF(クラス!A:A,D18)&gt;0,
 _xlpm.eOK,COUNTIF(クラス!A:A,E18)&gt;0,
 IF(_xlpm.dOK,"○","×") &amp; IF(_xlpm.eOK,"○","×")
)</f>
        <v>××</v>
      </c>
    </row>
    <row r="19" spans="1:17" outlineLevel="1" x14ac:dyDescent="0.4">
      <c r="A19" s="2" t="s">
        <v>511</v>
      </c>
      <c r="B19" s="10" t="s">
        <v>846</v>
      </c>
      <c r="C19" t="str">
        <f>_xlfn.LET(
 _xlpm.dOK,COUNTIF(クラス!A:A,D19)&gt;0,
 _xlpm.eOK,COUNTIF(クラス!A:A,E19)&gt;0,
 IF(_xlpm.dOK,"○","×") &amp; IF(_xlpm.eOK,"○","×")
)</f>
        <v>××</v>
      </c>
    </row>
    <row r="20" spans="1:17" outlineLevel="1" x14ac:dyDescent="0.4">
      <c r="C20" t="str">
        <f>_xlfn.LET(
 _xlpm.dOK,COUNTIF(クラス!A:A,D20)&gt;0,
 _xlpm.eOK,COUNTIF(クラス!A:A,E20)&gt;0,
 IF(_xlpm.dOK,"○","×") &amp; IF(_xlpm.eOK,"○","×")
)</f>
        <v>××</v>
      </c>
    </row>
    <row r="21" spans="1:17" x14ac:dyDescent="0.4">
      <c r="C21" t="str">
        <f>_xlfn.LET(
 _xlpm.dOK,COUNTIF(クラス!A:A,D21)&gt;0,
 _xlpm.eOK,COUNTIF(クラス!A:A,E21)&gt;0,
 IF(_xlpm.dOK,"○","×") &amp; IF(_xlpm.eOK,"○","×")
)</f>
        <v>××</v>
      </c>
    </row>
    <row r="22" spans="1:17" x14ac:dyDescent="0.4">
      <c r="A22" s="2" t="s">
        <v>505</v>
      </c>
      <c r="B22" s="10" t="s">
        <v>820</v>
      </c>
      <c r="C22" t="str">
        <f>_xlfn.LET(
 _xlpm.dOK,COUNTIF(クラス!A:A,D22)&gt;0,
 _xlpm.eOK,COUNTIF(クラス!A:A,E22)&gt;0,
 IF(_xlpm.dOK,"○","×") &amp; IF(_xlpm.eOK,"○","×")
)</f>
        <v>××</v>
      </c>
    </row>
    <row r="23" spans="1:17" outlineLevel="1" x14ac:dyDescent="0.4">
      <c r="A23" s="2" t="s">
        <v>505</v>
      </c>
      <c r="B23" s="10" t="s">
        <v>821</v>
      </c>
      <c r="C23" t="str">
        <f>_xlfn.LET(
 _xlpm.dOK,COUNTIF(クラス!A:A,D23)&gt;0,
 _xlpm.eOK,COUNTIF(クラス!A:A,E23)&gt;0,
 IF(_xlpm.dOK,"○","×") &amp; IF(_xlpm.eOK,"○","×")
)</f>
        <v>××</v>
      </c>
      <c r="Q23" t="s">
        <v>1186</v>
      </c>
    </row>
    <row r="24" spans="1:17" outlineLevel="1" x14ac:dyDescent="0.4">
      <c r="A24" s="2" t="s">
        <v>505</v>
      </c>
      <c r="B24" s="10" t="s">
        <v>822</v>
      </c>
      <c r="C24" t="str">
        <f>_xlfn.LET(
 _xlpm.dOK,COUNTIF(クラス!A:A,D24)&gt;0,
 _xlpm.eOK,COUNTIF(クラス!A:A,E24)&gt;0,
 IF(_xlpm.dOK,"○","×") &amp; IF(_xlpm.eOK,"○","×")
)</f>
        <v>○○</v>
      </c>
      <c r="D24" t="s">
        <v>202</v>
      </c>
      <c r="E24" t="s">
        <v>863</v>
      </c>
      <c r="F24">
        <v>15</v>
      </c>
      <c r="G24">
        <v>25</v>
      </c>
      <c r="Q24" t="s">
        <v>1185</v>
      </c>
    </row>
    <row r="25" spans="1:17" outlineLevel="1" x14ac:dyDescent="0.4">
      <c r="A25" s="2" t="s">
        <v>505</v>
      </c>
      <c r="B25" s="10" t="s">
        <v>823</v>
      </c>
      <c r="C25" t="str">
        <f>_xlfn.LET(
 _xlpm.dOK,COUNTIF(クラス!A:A,D25)&gt;0,
 _xlpm.eOK,COUNTIF(クラス!A:A,E25)&gt;0,
 IF(_xlpm.dOK,"○","×") &amp; IF(_xlpm.eOK,"○","×")
)</f>
        <v>××</v>
      </c>
    </row>
    <row r="26" spans="1:17" ht="36" outlineLevel="1" x14ac:dyDescent="0.4">
      <c r="A26" s="2" t="s">
        <v>505</v>
      </c>
      <c r="B26" s="10" t="s">
        <v>824</v>
      </c>
      <c r="C26" t="str">
        <f>_xlfn.LET(
 _xlpm.dOK,COUNTIF(クラス!A:A,D26)&gt;0,
 _xlpm.eOK,COUNTIF(クラス!A:A,E26)&gt;0,
 IF(_xlpm.dOK,"○","×") &amp; IF(_xlpm.eOK,"○","×")
)</f>
        <v>××</v>
      </c>
    </row>
    <row r="27" spans="1:17" outlineLevel="1" x14ac:dyDescent="0.4">
      <c r="A27" s="2" t="s">
        <v>505</v>
      </c>
      <c r="B27" s="10" t="s">
        <v>825</v>
      </c>
      <c r="C27" t="str">
        <f>_xlfn.LET(
 _xlpm.dOK,COUNTIF(クラス!A:A,D27)&gt;0,
 _xlpm.eOK,COUNTIF(クラス!A:A,E27)&gt;0,
 IF(_xlpm.dOK,"○","×") &amp; IF(_xlpm.eOK,"○","×")
)</f>
        <v>××</v>
      </c>
    </row>
    <row r="28" spans="1:17" outlineLevel="1" x14ac:dyDescent="0.4">
      <c r="A28" s="2" t="s">
        <v>505</v>
      </c>
      <c r="B28" s="10" t="s">
        <v>826</v>
      </c>
      <c r="C28" t="str">
        <f>_xlfn.LET(
 _xlpm.dOK,COUNTIF(クラス!A:A,D28)&gt;0,
 _xlpm.eOK,COUNTIF(クラス!A:A,E28)&gt;0,
 IF(_xlpm.dOK,"○","×") &amp; IF(_xlpm.eOK,"○","×")
)</f>
        <v>××</v>
      </c>
    </row>
    <row r="29" spans="1:17" ht="36" outlineLevel="1" x14ac:dyDescent="0.4">
      <c r="A29" s="2" t="s">
        <v>505</v>
      </c>
      <c r="B29" s="10" t="s">
        <v>827</v>
      </c>
      <c r="C29" t="str">
        <f>_xlfn.LET(
 _xlpm.dOK,COUNTIF(クラス!A:A,D29)&gt;0,
 _xlpm.eOK,COUNTIF(クラス!A:A,E29)&gt;0,
 IF(_xlpm.dOK,"○","×") &amp; IF(_xlpm.eOK,"○","×")
)</f>
        <v>××</v>
      </c>
    </row>
    <row r="30" spans="1:17" outlineLevel="1" x14ac:dyDescent="0.4">
      <c r="A30" s="2" t="s">
        <v>505</v>
      </c>
      <c r="B30" s="10" t="s">
        <v>198</v>
      </c>
      <c r="C30" t="str">
        <f>_xlfn.LET(
 _xlpm.dOK,COUNTIF(クラス!A:A,D30)&gt;0,
 _xlpm.eOK,COUNTIF(クラス!A:A,E30)&gt;0,
 IF(_xlpm.dOK,"○","×") &amp; IF(_xlpm.eOK,"○","×")
)</f>
        <v>○×</v>
      </c>
      <c r="D30" t="s">
        <v>198</v>
      </c>
      <c r="F30">
        <v>9</v>
      </c>
      <c r="G30">
        <v>15</v>
      </c>
      <c r="Q30" t="s">
        <v>198</v>
      </c>
    </row>
    <row r="31" spans="1:17" outlineLevel="1" x14ac:dyDescent="0.4">
      <c r="A31" s="2" t="s">
        <v>505</v>
      </c>
      <c r="B31" s="10" t="s">
        <v>195</v>
      </c>
      <c r="C31" t="str">
        <f>_xlfn.LET(
 _xlpm.dOK,COUNTIF(クラス!A:A,D31)&gt;0,
 _xlpm.eOK,COUNTIF(クラス!A:A,E31)&gt;0,
 IF(_xlpm.dOK,"○","×") &amp; IF(_xlpm.eOK,"○","×")
)</f>
        <v>○×</v>
      </c>
      <c r="D31" t="s">
        <v>195</v>
      </c>
      <c r="F31">
        <v>9</v>
      </c>
      <c r="G31">
        <v>15</v>
      </c>
      <c r="Q31" t="s">
        <v>1182</v>
      </c>
    </row>
    <row r="32" spans="1:17" outlineLevel="1" x14ac:dyDescent="0.4">
      <c r="C32" t="str">
        <f>_xlfn.LET(
 _xlpm.dOK,COUNTIF(クラス!A:A,D32)&gt;0,
 _xlpm.eOK,COUNTIF(クラス!A:A,E32)&gt;0,
 IF(_xlpm.dOK,"○","×") &amp; IF(_xlpm.eOK,"○","×")
)</f>
        <v>××</v>
      </c>
    </row>
    <row r="33" spans="1:17" ht="36" outlineLevel="1" x14ac:dyDescent="0.4">
      <c r="A33" s="2" t="s">
        <v>512</v>
      </c>
      <c r="B33" s="10" t="s">
        <v>847</v>
      </c>
      <c r="C33" t="str">
        <f>_xlfn.LET(
 _xlpm.dOK,COUNTIF(クラス!A:A,D33)&gt;0,
 _xlpm.eOK,COUNTIF(クラス!A:A,E33)&gt;0,
 IF(_xlpm.dOK,"○","×") &amp; IF(_xlpm.eOK,"○","×")
)</f>
        <v>××</v>
      </c>
    </row>
    <row r="34" spans="1:17" ht="36" outlineLevel="1" x14ac:dyDescent="0.4">
      <c r="A34" s="2" t="s">
        <v>512</v>
      </c>
      <c r="B34" s="10" t="s">
        <v>824</v>
      </c>
      <c r="C34" t="str">
        <f>_xlfn.LET(
 _xlpm.dOK,COUNTIF(クラス!A:A,D34)&gt;0,
 _xlpm.eOK,COUNTIF(クラス!A:A,E34)&gt;0,
 IF(_xlpm.dOK,"○","×") &amp; IF(_xlpm.eOK,"○","×")
)</f>
        <v>××</v>
      </c>
    </row>
    <row r="35" spans="1:17" ht="36" outlineLevel="1" x14ac:dyDescent="0.4">
      <c r="A35" s="2" t="s">
        <v>512</v>
      </c>
      <c r="B35" s="10" t="s">
        <v>836</v>
      </c>
      <c r="C35" t="str">
        <f>_xlfn.LET(
 _xlpm.dOK,COUNTIF(クラス!A:A,D35)&gt;0,
 _xlpm.eOK,COUNTIF(クラス!A:A,E35)&gt;0,
 IF(_xlpm.dOK,"○","×") &amp; IF(_xlpm.eOK,"○","×")
)</f>
        <v>××</v>
      </c>
    </row>
    <row r="36" spans="1:17" outlineLevel="1" x14ac:dyDescent="0.4">
      <c r="A36" s="2" t="s">
        <v>512</v>
      </c>
      <c r="B36" s="10" t="s">
        <v>848</v>
      </c>
      <c r="C36" t="str">
        <f>_xlfn.LET(
 _xlpm.dOK,COUNTIF(クラス!A:A,D36)&gt;0,
 _xlpm.eOK,COUNTIF(クラス!A:A,E36)&gt;0,
 IF(_xlpm.dOK,"○","×") &amp; IF(_xlpm.eOK,"○","×")
)</f>
        <v>××</v>
      </c>
    </row>
    <row r="37" spans="1:17" outlineLevel="1" x14ac:dyDescent="0.4">
      <c r="A37" s="2" t="s">
        <v>512</v>
      </c>
      <c r="B37" s="10" t="s">
        <v>835</v>
      </c>
      <c r="C37" t="str">
        <f>_xlfn.LET(
 _xlpm.dOK,COUNTIF(クラス!A:A,D37)&gt;0,
 _xlpm.eOK,COUNTIF(クラス!A:A,E37)&gt;0,
 IF(_xlpm.dOK,"○","×") &amp; IF(_xlpm.eOK,"○","×")
)</f>
        <v>××</v>
      </c>
    </row>
    <row r="38" spans="1:17" outlineLevel="1" x14ac:dyDescent="0.4">
      <c r="A38" s="2" t="s">
        <v>512</v>
      </c>
      <c r="B38" s="10" t="s">
        <v>849</v>
      </c>
      <c r="C38" t="str">
        <f>_xlfn.LET(
 _xlpm.dOK,COUNTIF(クラス!A:A,D38)&gt;0,
 _xlpm.eOK,COUNTIF(クラス!A:A,E38)&gt;0,
 IF(_xlpm.dOK,"○","×") &amp; IF(_xlpm.eOK,"○","×")
)</f>
        <v>××</v>
      </c>
    </row>
    <row r="39" spans="1:17" ht="36" outlineLevel="1" x14ac:dyDescent="0.4">
      <c r="A39" s="2" t="s">
        <v>512</v>
      </c>
      <c r="B39" s="10" t="s">
        <v>850</v>
      </c>
      <c r="C39" t="str">
        <f>_xlfn.LET(
 _xlpm.dOK,COUNTIF(クラス!A:A,D39)&gt;0,
 _xlpm.eOK,COUNTIF(クラス!A:A,E39)&gt;0,
 IF(_xlpm.dOK,"○","×") &amp; IF(_xlpm.eOK,"○","×")
)</f>
        <v>××</v>
      </c>
    </row>
    <row r="40" spans="1:17" outlineLevel="1" x14ac:dyDescent="0.4">
      <c r="C40" t="str">
        <f>_xlfn.LET(
 _xlpm.dOK,COUNTIF(クラス!A:A,D40)&gt;0,
 _xlpm.eOK,COUNTIF(クラス!A:A,E40)&gt;0,
 IF(_xlpm.dOK,"○","×") &amp; IF(_xlpm.eOK,"○","×")
)</f>
        <v>××</v>
      </c>
    </row>
    <row r="41" spans="1:17" x14ac:dyDescent="0.4">
      <c r="C41" t="str">
        <f>_xlfn.LET(
 _xlpm.dOK,COUNTIF(クラス!A:A,D41)&gt;0,
 _xlpm.eOK,COUNTIF(クラス!A:A,E41)&gt;0,
 IF(_xlpm.dOK,"○","×") &amp; IF(_xlpm.eOK,"○","×")
)</f>
        <v>××</v>
      </c>
    </row>
    <row r="42" spans="1:17" x14ac:dyDescent="0.4">
      <c r="A42" s="2" t="s">
        <v>507</v>
      </c>
      <c r="B42" s="10" t="s">
        <v>817</v>
      </c>
      <c r="C42" t="str">
        <f>_xlfn.LET(
 _xlpm.dOK,COUNTIF(クラス!A:A,D42)&gt;0,
 _xlpm.eOK,COUNTIF(クラス!A:A,E42)&gt;0,
 IF(_xlpm.dOK,"○","×") &amp; IF(_xlpm.eOK,"○","×")
)</f>
        <v>××</v>
      </c>
    </row>
    <row r="43" spans="1:17" outlineLevel="1" x14ac:dyDescent="0.4">
      <c r="A43" s="2" t="s">
        <v>507</v>
      </c>
      <c r="B43" s="10" t="s">
        <v>200</v>
      </c>
      <c r="C43" t="str">
        <f>_xlfn.LET(
 _xlpm.dOK,COUNTIF(クラス!A:A,D43)&gt;0,
 _xlpm.eOK,COUNTIF(クラス!A:A,E43)&gt;0,
 IF(_xlpm.dOK,"○","×") &amp; IF(_xlpm.eOK,"○","×")
)</f>
        <v>○×</v>
      </c>
      <c r="D43" t="s">
        <v>200</v>
      </c>
      <c r="F43">
        <v>10</v>
      </c>
      <c r="G43">
        <v>15</v>
      </c>
      <c r="H43" t="s">
        <v>923</v>
      </c>
      <c r="Q43" t="s">
        <v>200</v>
      </c>
    </row>
    <row r="44" spans="1:17" ht="54" outlineLevel="1" x14ac:dyDescent="0.4">
      <c r="A44" s="2" t="s">
        <v>507</v>
      </c>
      <c r="B44" s="10" t="s">
        <v>75</v>
      </c>
      <c r="C44" t="str">
        <f>_xlfn.LET(
 _xlpm.dOK,COUNTIF(クラス!A:A,D44)&gt;0,
 _xlpm.eOK,COUNTIF(クラス!A:A,E44)&gt;0,
 IF(_xlpm.dOK,"○","×") &amp; IF(_xlpm.eOK,"○","×")
)</f>
        <v>○×</v>
      </c>
      <c r="D44" s="10" t="s">
        <v>75</v>
      </c>
      <c r="F44">
        <v>7</v>
      </c>
      <c r="G44">
        <v>12</v>
      </c>
    </row>
    <row r="45" spans="1:17" outlineLevel="1" x14ac:dyDescent="0.4">
      <c r="A45" s="2" t="s">
        <v>507</v>
      </c>
      <c r="B45" s="10" t="s">
        <v>818</v>
      </c>
      <c r="C45" t="str">
        <f>_xlfn.LET(
 _xlpm.dOK,COUNTIF(クラス!A:A,D45)&gt;0,
 _xlpm.eOK,COUNTIF(クラス!A:A,E45)&gt;0,
 IF(_xlpm.dOK,"○","×") &amp; IF(_xlpm.eOK,"○","×")
)</f>
        <v>××</v>
      </c>
    </row>
    <row r="46" spans="1:17" outlineLevel="1" x14ac:dyDescent="0.4">
      <c r="A46" s="2" t="s">
        <v>507</v>
      </c>
      <c r="B46" s="10" t="s">
        <v>813</v>
      </c>
      <c r="C46" t="str">
        <f>_xlfn.LET(
 _xlpm.dOK,COUNTIF(クラス!A:A,D46)&gt;0,
 _xlpm.eOK,COUNTIF(クラス!A:A,E46)&gt;0,
 IF(_xlpm.dOK,"○","×") &amp; IF(_xlpm.eOK,"○","×")
)</f>
        <v>××</v>
      </c>
    </row>
    <row r="47" spans="1:17" ht="36" outlineLevel="1" x14ac:dyDescent="0.4">
      <c r="A47" s="2" t="s">
        <v>507</v>
      </c>
      <c r="B47" s="10" t="s">
        <v>816</v>
      </c>
      <c r="C47" t="str">
        <f>_xlfn.LET(
 _xlpm.dOK,COUNTIF(クラス!A:A,D47)&gt;0,
 _xlpm.eOK,COUNTIF(クラス!A:A,E47)&gt;0,
 IF(_xlpm.dOK,"○","×") &amp; IF(_xlpm.eOK,"○","×")
)</f>
        <v>××</v>
      </c>
    </row>
    <row r="48" spans="1:17" outlineLevel="1" x14ac:dyDescent="0.4">
      <c r="A48" s="2" t="s">
        <v>507</v>
      </c>
      <c r="B48" s="10" t="s">
        <v>814</v>
      </c>
      <c r="C48" t="str">
        <f>_xlfn.LET(
 _xlpm.dOK,COUNTIF(クラス!A:A,D48)&gt;0,
 _xlpm.eOK,COUNTIF(クラス!A:A,E48)&gt;0,
 IF(_xlpm.dOK,"○","×") &amp; IF(_xlpm.eOK,"○","×")
)</f>
        <v>××</v>
      </c>
    </row>
    <row r="49" spans="1:17" outlineLevel="1" x14ac:dyDescent="0.4">
      <c r="A49" s="2" t="s">
        <v>507</v>
      </c>
      <c r="B49" s="10" t="s">
        <v>819</v>
      </c>
      <c r="C49" t="str">
        <f>_xlfn.LET(
 _xlpm.dOK,COUNTIF(クラス!A:A,D49)&gt;0,
 _xlpm.eOK,COUNTIF(クラス!A:A,E49)&gt;0,
 IF(_xlpm.dOK,"○","×") &amp; IF(_xlpm.eOK,"○","×")
)</f>
        <v>○×</v>
      </c>
      <c r="D49" t="s">
        <v>904</v>
      </c>
      <c r="F49">
        <v>15</v>
      </c>
      <c r="G49">
        <v>20</v>
      </c>
      <c r="H49" t="s">
        <v>922</v>
      </c>
      <c r="Q49" t="s">
        <v>904</v>
      </c>
    </row>
    <row r="50" spans="1:17" outlineLevel="1" x14ac:dyDescent="0.4">
      <c r="C50" t="str">
        <f>_xlfn.LET(
 _xlpm.dOK,COUNTIF(クラス!A:A,D50)&gt;0,
 _xlpm.eOK,COUNTIF(クラス!A:A,E50)&gt;0,
 IF(_xlpm.dOK,"○","×") &amp; IF(_xlpm.eOK,"○","×")
)</f>
        <v>××</v>
      </c>
    </row>
    <row r="51" spans="1:17" outlineLevel="1" x14ac:dyDescent="0.4">
      <c r="A51" s="2" t="s">
        <v>506</v>
      </c>
      <c r="B51" s="10" t="s">
        <v>918</v>
      </c>
      <c r="C51" t="str">
        <f>_xlfn.LET(
 _xlpm.dOK,COUNTIF(クラス!A:A,D51)&gt;0,
 _xlpm.eOK,COUNTIF(クラス!A:A,E51)&gt;0,
 IF(_xlpm.dOK,"○","×") &amp; IF(_xlpm.eOK,"○","×")
)</f>
        <v>○○</v>
      </c>
      <c r="D51" t="s">
        <v>200</v>
      </c>
      <c r="E51" t="s">
        <v>864</v>
      </c>
      <c r="F51">
        <v>15</v>
      </c>
      <c r="G51">
        <v>25</v>
      </c>
    </row>
    <row r="52" spans="1:17" ht="54" outlineLevel="1" x14ac:dyDescent="0.4">
      <c r="A52" s="2" t="s">
        <v>506</v>
      </c>
      <c r="B52" s="10" t="s">
        <v>75</v>
      </c>
      <c r="C52" t="str">
        <f>_xlfn.LET(
 _xlpm.dOK,COUNTIF(クラス!A:A,D52)&gt;0,
 _xlpm.eOK,COUNTIF(クラス!A:A,E52)&gt;0,
 IF(_xlpm.dOK,"○","×") &amp; IF(_xlpm.eOK,"○","×")
)</f>
        <v>○×</v>
      </c>
      <c r="D52" s="10" t="s">
        <v>75</v>
      </c>
      <c r="F52">
        <v>15</v>
      </c>
      <c r="G52">
        <v>20</v>
      </c>
      <c r="H52" t="s">
        <v>924</v>
      </c>
      <c r="Q52" t="s">
        <v>1184</v>
      </c>
    </row>
    <row r="53" spans="1:17" outlineLevel="1" x14ac:dyDescent="0.4">
      <c r="A53" s="2" t="s">
        <v>506</v>
      </c>
      <c r="B53" s="10" t="s">
        <v>919</v>
      </c>
      <c r="C53" t="str">
        <f>_xlfn.LET(
 _xlpm.dOK,COUNTIF(クラス!A:A,D53)&gt;0,
 _xlpm.eOK,COUNTIF(クラス!A:A,E53)&gt;0,
 IF(_xlpm.dOK,"○","×") &amp; IF(_xlpm.eOK,"○","×")
)</f>
        <v>○○</v>
      </c>
      <c r="D53" t="s">
        <v>202</v>
      </c>
      <c r="E53" t="s">
        <v>75</v>
      </c>
      <c r="F53">
        <v>25</v>
      </c>
      <c r="G53">
        <v>30</v>
      </c>
      <c r="Q53" t="s">
        <v>1185</v>
      </c>
    </row>
    <row r="54" spans="1:17" ht="36" outlineLevel="1" x14ac:dyDescent="0.4">
      <c r="A54" s="2" t="s">
        <v>506</v>
      </c>
      <c r="B54" s="10" t="s">
        <v>828</v>
      </c>
      <c r="C54" t="str">
        <f>_xlfn.LET(
 _xlpm.dOK,COUNTIF(クラス!A:A,D54)&gt;0,
 _xlpm.eOK,COUNTIF(クラス!A:A,E54)&gt;0,
 IF(_xlpm.dOK,"○","×") &amp; IF(_xlpm.eOK,"○","×")
)</f>
        <v>××</v>
      </c>
    </row>
    <row r="55" spans="1:17" ht="36" outlineLevel="1" x14ac:dyDescent="0.4">
      <c r="A55" s="2" t="s">
        <v>506</v>
      </c>
      <c r="B55" s="10" t="s">
        <v>829</v>
      </c>
      <c r="C55" t="str">
        <f>_xlfn.LET(
 _xlpm.dOK,COUNTIF(クラス!A:A,D55)&gt;0,
 _xlpm.eOK,COUNTIF(クラス!A:A,E55)&gt;0,
 IF(_xlpm.dOK,"○","×") &amp; IF(_xlpm.eOK,"○","×")
)</f>
        <v>××</v>
      </c>
    </row>
    <row r="56" spans="1:17" outlineLevel="1" x14ac:dyDescent="0.4">
      <c r="A56" s="2" t="s">
        <v>506</v>
      </c>
      <c r="B56" s="10" t="s">
        <v>830</v>
      </c>
      <c r="C56" t="str">
        <f>_xlfn.LET(
 _xlpm.dOK,COUNTIF(クラス!A:A,D56)&gt;0,
 _xlpm.eOK,COUNTIF(クラス!A:A,E56)&gt;0,
 IF(_xlpm.dOK,"○","×") &amp; IF(_xlpm.eOK,"○","×")
)</f>
        <v>××</v>
      </c>
    </row>
    <row r="57" spans="1:17" outlineLevel="1" x14ac:dyDescent="0.4">
      <c r="A57" s="2" t="s">
        <v>506</v>
      </c>
      <c r="B57" s="10" t="s">
        <v>831</v>
      </c>
      <c r="C57" t="str">
        <f>_xlfn.LET(
 _xlpm.dOK,COUNTIF(クラス!A:A,D57)&gt;0,
 _xlpm.eOK,COUNTIF(クラス!A:A,E57)&gt;0,
 IF(_xlpm.dOK,"○","×") &amp; IF(_xlpm.eOK,"○","×")
)</f>
        <v>××</v>
      </c>
    </row>
    <row r="58" spans="1:17" outlineLevel="1" x14ac:dyDescent="0.4">
      <c r="A58" s="2" t="s">
        <v>506</v>
      </c>
      <c r="B58" s="10" t="s">
        <v>832</v>
      </c>
      <c r="C58" t="str">
        <f>_xlfn.LET(
 _xlpm.dOK,COUNTIF(クラス!A:A,D58)&gt;0,
 _xlpm.eOK,COUNTIF(クラス!A:A,E58)&gt;0,
 IF(_xlpm.dOK,"○","×") &amp; IF(_xlpm.eOK,"○","×")
)</f>
        <v>××</v>
      </c>
    </row>
    <row r="59" spans="1:17" outlineLevel="1" x14ac:dyDescent="0.4">
      <c r="A59" s="2" t="s">
        <v>506</v>
      </c>
      <c r="B59" s="10" t="s">
        <v>833</v>
      </c>
      <c r="C59" t="str">
        <f>_xlfn.LET(
 _xlpm.dOK,COUNTIF(クラス!A:A,D59)&gt;0,
 _xlpm.eOK,COUNTIF(クラス!A:A,E59)&gt;0,
 IF(_xlpm.dOK,"○","×") &amp; IF(_xlpm.eOK,"○","×")
)</f>
        <v>××</v>
      </c>
    </row>
    <row r="60" spans="1:17" outlineLevel="1" x14ac:dyDescent="0.4">
      <c r="C60" t="str">
        <f>_xlfn.LET(
 _xlpm.dOK,COUNTIF(クラス!A:A,D60)&gt;0,
 _xlpm.eOK,COUNTIF(クラス!A:A,E60)&gt;0,
 IF(_xlpm.dOK,"○","×") &amp; IF(_xlpm.eOK,"○","×")
)</f>
        <v>××</v>
      </c>
    </row>
    <row r="61" spans="1:17" x14ac:dyDescent="0.4">
      <c r="C61" t="str">
        <f>_xlfn.LET(
 _xlpm.dOK,COUNTIF(クラス!A:A,D61)&gt;0,
 _xlpm.eOK,COUNTIF(クラス!A:A,E61)&gt;0,
 IF(_xlpm.dOK,"○","×") &amp; IF(_xlpm.eOK,"○","×")
)</f>
        <v>××</v>
      </c>
    </row>
    <row r="62" spans="1:17" x14ac:dyDescent="0.4">
      <c r="A62" s="2" t="s">
        <v>513</v>
      </c>
      <c r="B62" s="10" t="s">
        <v>830</v>
      </c>
      <c r="C62" t="str">
        <f>_xlfn.LET(
 _xlpm.dOK,COUNTIF(クラス!A:A,D62)&gt;0,
 _xlpm.eOK,COUNTIF(クラス!A:A,E62)&gt;0,
 IF(_xlpm.dOK,"○","×") &amp; IF(_xlpm.eOK,"○","×")
)</f>
        <v>××</v>
      </c>
    </row>
    <row r="63" spans="1:17" hidden="1" outlineLevel="1" x14ac:dyDescent="0.4">
      <c r="A63" s="2" t="s">
        <v>513</v>
      </c>
      <c r="B63" s="10" t="s">
        <v>819</v>
      </c>
      <c r="C63" t="str">
        <f>_xlfn.LET(
 _xlpm.dOK,COUNTIF(クラス!A:A,D63)&gt;0,
 _xlpm.eOK,COUNTIF(クラス!A:A,E63)&gt;0,
 IF(_xlpm.dOK,"○","×") &amp; IF(_xlpm.eOK,"○","×")
)</f>
        <v>××</v>
      </c>
    </row>
    <row r="64" spans="1:17" hidden="1" outlineLevel="1" x14ac:dyDescent="0.4">
      <c r="A64" s="2" t="s">
        <v>513</v>
      </c>
      <c r="B64" s="10" t="s">
        <v>814</v>
      </c>
      <c r="C64" t="str">
        <f>_xlfn.LET(
 _xlpm.dOK,COUNTIF(クラス!A:A,D64)&gt;0,
 _xlpm.eOK,COUNTIF(クラス!A:A,E64)&gt;0,
 IF(_xlpm.dOK,"○","×") &amp; IF(_xlpm.eOK,"○","×")
)</f>
        <v>××</v>
      </c>
    </row>
    <row r="65" spans="1:17" ht="36" hidden="1" outlineLevel="1" x14ac:dyDescent="0.4">
      <c r="A65" s="2" t="s">
        <v>513</v>
      </c>
      <c r="B65" s="10" t="s">
        <v>828</v>
      </c>
      <c r="C65" t="str">
        <f>_xlfn.LET(
 _xlpm.dOK,COUNTIF(クラス!A:A,D65)&gt;0,
 _xlpm.eOK,COUNTIF(クラス!A:A,E65)&gt;0,
 IF(_xlpm.dOK,"○","×") &amp; IF(_xlpm.eOK,"○","×")
)</f>
        <v>××</v>
      </c>
    </row>
    <row r="66" spans="1:17" hidden="1" outlineLevel="1" x14ac:dyDescent="0.4">
      <c r="A66" s="2" t="s">
        <v>513</v>
      </c>
      <c r="B66" s="10" t="s">
        <v>851</v>
      </c>
      <c r="C66" t="str">
        <f>_xlfn.LET(
 _xlpm.dOK,COUNTIF(クラス!A:A,D66)&gt;0,
 _xlpm.eOK,COUNTIF(クラス!A:A,E66)&gt;0,
 IF(_xlpm.dOK,"○","×") &amp; IF(_xlpm.eOK,"○","×")
)</f>
        <v>××</v>
      </c>
    </row>
    <row r="67" spans="1:17" hidden="1" outlineLevel="1" x14ac:dyDescent="0.4">
      <c r="C67" t="str">
        <f>_xlfn.LET(
 _xlpm.dOK,COUNTIF(クラス!A:A,D67)&gt;0,
 _xlpm.eOK,COUNTIF(クラス!A:A,E67)&gt;0,
 IF(_xlpm.dOK,"○","×") &amp; IF(_xlpm.eOK,"○","×")
)</f>
        <v>××</v>
      </c>
    </row>
    <row r="68" spans="1:17" hidden="1" outlineLevel="1" x14ac:dyDescent="0.4">
      <c r="A68" s="2" t="s">
        <v>514</v>
      </c>
      <c r="B68" s="10" t="s">
        <v>852</v>
      </c>
      <c r="C68" t="str">
        <f>_xlfn.LET(
 _xlpm.dOK,COUNTIF(クラス!A:A,D68)&gt;0,
 _xlpm.eOK,COUNTIF(クラス!A:A,E68)&gt;0,
 IF(_xlpm.dOK,"○","×") &amp; IF(_xlpm.eOK,"○","×")
)</f>
        <v>××</v>
      </c>
    </row>
    <row r="69" spans="1:17" ht="36" hidden="1" outlineLevel="1" x14ac:dyDescent="0.4">
      <c r="A69" s="2" t="s">
        <v>514</v>
      </c>
      <c r="B69" s="10" t="s">
        <v>853</v>
      </c>
      <c r="C69" t="str">
        <f>_xlfn.LET(
 _xlpm.dOK,COUNTIF(クラス!A:A,D69)&gt;0,
 _xlpm.eOK,COUNTIF(クラス!A:A,E69)&gt;0,
 IF(_xlpm.dOK,"○","×") &amp; IF(_xlpm.eOK,"○","×")
)</f>
        <v>××</v>
      </c>
    </row>
    <row r="70" spans="1:17" hidden="1" outlineLevel="1" x14ac:dyDescent="0.4">
      <c r="A70" s="2" t="s">
        <v>514</v>
      </c>
      <c r="B70" s="10" t="s">
        <v>812</v>
      </c>
      <c r="C70" t="str">
        <f>_xlfn.LET(
 _xlpm.dOK,COUNTIF(クラス!A:A,D70)&gt;0,
 _xlpm.eOK,COUNTIF(クラス!A:A,E70)&gt;0,
 IF(_xlpm.dOK,"○","×") &amp; IF(_xlpm.eOK,"○","×")
)</f>
        <v>××</v>
      </c>
    </row>
    <row r="71" spans="1:17" hidden="1" outlineLevel="1" x14ac:dyDescent="0.4">
      <c r="A71" s="2" t="s">
        <v>514</v>
      </c>
      <c r="B71" s="10" t="s">
        <v>830</v>
      </c>
      <c r="C71" t="str">
        <f>_xlfn.LET(
 _xlpm.dOK,COUNTIF(クラス!A:A,D71)&gt;0,
 _xlpm.eOK,COUNTIF(クラス!A:A,E71)&gt;0,
 IF(_xlpm.dOK,"○","×") &amp; IF(_xlpm.eOK,"○","×")
)</f>
        <v>××</v>
      </c>
    </row>
    <row r="72" spans="1:17" hidden="1" outlineLevel="1" x14ac:dyDescent="0.4">
      <c r="A72" s="2" t="s">
        <v>514</v>
      </c>
      <c r="B72" s="10" t="s">
        <v>833</v>
      </c>
      <c r="C72" t="str">
        <f>_xlfn.LET(
 _xlpm.dOK,COUNTIF(クラス!A:A,D72)&gt;0,
 _xlpm.eOK,COUNTIF(クラス!A:A,E72)&gt;0,
 IF(_xlpm.dOK,"○","×") &amp; IF(_xlpm.eOK,"○","×")
)</f>
        <v>××</v>
      </c>
    </row>
    <row r="73" spans="1:17" hidden="1" outlineLevel="1" x14ac:dyDescent="0.4">
      <c r="A73" s="2" t="s">
        <v>514</v>
      </c>
      <c r="B73" s="10" t="s">
        <v>841</v>
      </c>
      <c r="C73" t="str">
        <f>_xlfn.LET(
 _xlpm.dOK,COUNTIF(クラス!A:A,D73)&gt;0,
 _xlpm.eOK,COUNTIF(クラス!A:A,E73)&gt;0,
 IF(_xlpm.dOK,"○","×") &amp; IF(_xlpm.eOK,"○","×")
)</f>
        <v>××</v>
      </c>
    </row>
    <row r="74" spans="1:17" hidden="1" outlineLevel="1" x14ac:dyDescent="0.4">
      <c r="C74" t="str">
        <f>_xlfn.LET(
 _xlpm.dOK,COUNTIF(クラス!A:A,D74)&gt;0,
 _xlpm.eOK,COUNTIF(クラス!A:A,E74)&gt;0,
 IF(_xlpm.dOK,"○","×") &amp; IF(_xlpm.eOK,"○","×")
)</f>
        <v>××</v>
      </c>
    </row>
    <row r="75" spans="1:17" collapsed="1" x14ac:dyDescent="0.4">
      <c r="C75" t="str">
        <f>_xlfn.LET(
 _xlpm.dOK,COUNTIF(クラス!A:A,D75)&gt;0,
 _xlpm.eOK,COUNTIF(クラス!A:A,E75)&gt;0,
 IF(_xlpm.dOK,"○","×") &amp; IF(_xlpm.eOK,"○","×")
)</f>
        <v>××</v>
      </c>
    </row>
    <row r="76" spans="1:17" ht="36" x14ac:dyDescent="0.4">
      <c r="A76" s="2" t="s">
        <v>508</v>
      </c>
      <c r="B76" s="10" t="s">
        <v>834</v>
      </c>
      <c r="C76" t="str">
        <f>_xlfn.LET(
 _xlpm.dOK,COUNTIF(クラス!A:A,D76)&gt;0,
 _xlpm.eOK,COUNTIF(クラス!A:A,E76)&gt;0,
 IF(_xlpm.dOK,"○","×") &amp; IF(_xlpm.eOK,"○","×")
)</f>
        <v>○×</v>
      </c>
      <c r="D76" t="s">
        <v>906</v>
      </c>
      <c r="F76">
        <v>5</v>
      </c>
      <c r="G76">
        <v>10</v>
      </c>
      <c r="Q76" t="s">
        <v>914</v>
      </c>
    </row>
    <row r="77" spans="1:17" ht="36" outlineLevel="1" x14ac:dyDescent="0.4">
      <c r="A77" s="2" t="s">
        <v>508</v>
      </c>
      <c r="B77" s="10" t="s">
        <v>917</v>
      </c>
      <c r="C77" t="str">
        <f>_xlfn.LET(
 _xlpm.dOK,COUNTIF(クラス!A:A,D77)&gt;0,
 _xlpm.eOK,COUNTIF(クラス!A:A,E77)&gt;0,
 IF(_xlpm.dOK,"○","×") &amp; IF(_xlpm.eOK,"○","×")
)</f>
        <v>○○</v>
      </c>
      <c r="D77" t="s">
        <v>196</v>
      </c>
      <c r="E77" t="s">
        <v>865</v>
      </c>
      <c r="F77">
        <v>7</v>
      </c>
      <c r="G77">
        <v>10</v>
      </c>
      <c r="Q77" t="s">
        <v>196</v>
      </c>
    </row>
    <row r="78" spans="1:17" outlineLevel="1" x14ac:dyDescent="0.4">
      <c r="C78" t="str">
        <f>_xlfn.LET(
 _xlpm.dOK,COUNTIF(クラス!A:A,D78)&gt;0,
 _xlpm.eOK,COUNTIF(クラス!A:A,E78)&gt;0,
 IF(_xlpm.dOK,"○","×") &amp; IF(_xlpm.eOK,"○","×")
)</f>
        <v>××</v>
      </c>
    </row>
    <row r="79" spans="1:17" ht="36" outlineLevel="1" x14ac:dyDescent="0.4">
      <c r="A79" s="2" t="s">
        <v>509</v>
      </c>
      <c r="B79" s="10" t="s">
        <v>834</v>
      </c>
      <c r="C79" t="str">
        <f>_xlfn.LET(
 _xlpm.dOK,COUNTIF(クラス!A:A,D79)&gt;0,
 _xlpm.eOK,COUNTIF(クラス!A:A,E79)&gt;0,
 IF(_xlpm.dOK,"○","×") &amp; IF(_xlpm.eOK,"○","×")
)</f>
        <v>○×</v>
      </c>
      <c r="D79" t="s">
        <v>906</v>
      </c>
      <c r="F79">
        <v>15</v>
      </c>
      <c r="G79">
        <v>30</v>
      </c>
      <c r="Q79" t="s">
        <v>914</v>
      </c>
    </row>
    <row r="80" spans="1:17" outlineLevel="1" x14ac:dyDescent="0.4">
      <c r="A80" s="2" t="s">
        <v>509</v>
      </c>
      <c r="B80" s="10" t="s">
        <v>837</v>
      </c>
      <c r="C80" t="str">
        <f>_xlfn.LET(
 _xlpm.dOK,COUNTIF(クラス!A:A,D80)&gt;0,
 _xlpm.eOK,COUNTIF(クラス!A:A,E80)&gt;0,
 IF(_xlpm.dOK,"○","×") &amp; IF(_xlpm.eOK,"○","×")
)</f>
        <v>○○</v>
      </c>
      <c r="D80" t="s">
        <v>196</v>
      </c>
      <c r="E80" t="s">
        <v>866</v>
      </c>
      <c r="F80">
        <v>15</v>
      </c>
      <c r="G80">
        <v>20</v>
      </c>
    </row>
    <row r="81" spans="1:17" outlineLevel="1" x14ac:dyDescent="0.4">
      <c r="C81" t="str">
        <f>_xlfn.LET(
 _xlpm.dOK,COUNTIF(クラス!A:A,D81)&gt;0,
 _xlpm.eOK,COUNTIF(クラス!A:A,E81)&gt;0,
 IF(_xlpm.dOK,"○","×") &amp; IF(_xlpm.eOK,"○","×")
)</f>
        <v>××</v>
      </c>
    </row>
    <row r="82" spans="1:17" outlineLevel="1" x14ac:dyDescent="0.4">
      <c r="A82" s="2" t="s">
        <v>510</v>
      </c>
      <c r="B82" s="10" t="s">
        <v>837</v>
      </c>
      <c r="C82" t="str">
        <f>_xlfn.LET(
 _xlpm.dOK,COUNTIF(クラス!A:A,D82)&gt;0,
 _xlpm.eOK,COUNTIF(クラス!A:A,E82)&gt;0,
 IF(_xlpm.dOK,"○","×") &amp; IF(_xlpm.eOK,"○","×")
)</f>
        <v>○○</v>
      </c>
      <c r="D82" t="s">
        <v>196</v>
      </c>
      <c r="E82" t="s">
        <v>866</v>
      </c>
      <c r="F82">
        <v>5</v>
      </c>
      <c r="G82">
        <v>20</v>
      </c>
    </row>
    <row r="83" spans="1:17" ht="36" outlineLevel="1" x14ac:dyDescent="0.4">
      <c r="A83" s="2" t="s">
        <v>510</v>
      </c>
      <c r="B83" s="10" t="s">
        <v>834</v>
      </c>
      <c r="C83" t="str">
        <f>_xlfn.LET(
 _xlpm.dOK,COUNTIF(クラス!A:A,D83)&gt;0,
 _xlpm.eOK,COUNTIF(クラス!A:A,E83)&gt;0,
 IF(_xlpm.dOK,"○","×") &amp; IF(_xlpm.eOK,"○","×")
)</f>
        <v>○×</v>
      </c>
      <c r="D83" t="s">
        <v>906</v>
      </c>
      <c r="F83">
        <v>15</v>
      </c>
      <c r="G83">
        <v>30</v>
      </c>
      <c r="Q83" t="s">
        <v>914</v>
      </c>
    </row>
    <row r="84" spans="1:17" outlineLevel="1" x14ac:dyDescent="0.4">
      <c r="C84" t="str">
        <f>_xlfn.LET(
 _xlpm.dOK,COUNTIF(クラス!A:A,D84)&gt;0,
 _xlpm.eOK,COUNTIF(クラス!A:A,E84)&gt;0,
 IF(_xlpm.dOK,"○","×") &amp; IF(_xlpm.eOK,"○","×")
)</f>
        <v>××</v>
      </c>
    </row>
    <row r="85" spans="1:17" x14ac:dyDescent="0.4">
      <c r="C85" t="str">
        <f>_xlfn.LET(
 _xlpm.dOK,COUNTIF(クラス!A:A,D85)&gt;0,
 _xlpm.eOK,COUNTIF(クラス!A:A,E85)&gt;0,
 IF(_xlpm.dOK,"○","×") &amp; IF(_xlpm.eOK,"○","×")
)</f>
        <v>××</v>
      </c>
    </row>
    <row r="86" spans="1:17" x14ac:dyDescent="0.4">
      <c r="A86" s="2" t="s">
        <v>516</v>
      </c>
      <c r="B86" s="10" t="s">
        <v>831</v>
      </c>
      <c r="C86" t="str">
        <f>_xlfn.LET(
 _xlpm.dOK,COUNTIF(クラス!A:A,D86)&gt;0,
 _xlpm.eOK,COUNTIF(クラス!A:A,E86)&gt;0,
 IF(_xlpm.dOK,"○","×") &amp; IF(_xlpm.eOK,"○","×")
)</f>
        <v>××</v>
      </c>
    </row>
    <row r="87" spans="1:17" ht="72" hidden="1" outlineLevel="1" x14ac:dyDescent="0.4">
      <c r="A87" s="2" t="s">
        <v>516</v>
      </c>
      <c r="B87" s="10" t="s">
        <v>855</v>
      </c>
      <c r="C87" t="str">
        <f>_xlfn.LET(
 _xlpm.dOK,COUNTIF(クラス!A:A,D87)&gt;0,
 _xlpm.eOK,COUNTIF(クラス!A:A,E87)&gt;0,
 IF(_xlpm.dOK,"○","×") &amp; IF(_xlpm.eOK,"○","×")
)</f>
        <v>○×</v>
      </c>
      <c r="D87" s="10" t="s">
        <v>69</v>
      </c>
      <c r="F87">
        <v>15</v>
      </c>
      <c r="G87">
        <v>30</v>
      </c>
      <c r="Q87" t="s">
        <v>1183</v>
      </c>
    </row>
    <row r="88" spans="1:17" hidden="1" outlineLevel="1" x14ac:dyDescent="0.4">
      <c r="A88" s="2" t="s">
        <v>516</v>
      </c>
      <c r="B88" s="10" t="s">
        <v>856</v>
      </c>
      <c r="C88" t="str">
        <f>_xlfn.LET(
 _xlpm.dOK,COUNTIF(クラス!A:A,D88)&gt;0,
 _xlpm.eOK,COUNTIF(クラス!A:A,E88)&gt;0,
 IF(_xlpm.dOK,"○","×") &amp; IF(_xlpm.eOK,"○","×")
)</f>
        <v>××</v>
      </c>
    </row>
    <row r="89" spans="1:17" hidden="1" outlineLevel="1" x14ac:dyDescent="0.4">
      <c r="C89" t="str">
        <f>_xlfn.LET(
 _xlpm.dOK,COUNTIF(クラス!A:A,D89)&gt;0,
 _xlpm.eOK,COUNTIF(クラス!A:A,E89)&gt;0,
 IF(_xlpm.dOK,"○","×") &amp; IF(_xlpm.eOK,"○","×")
)</f>
        <v>××</v>
      </c>
    </row>
    <row r="90" spans="1:17" hidden="1" outlineLevel="1" x14ac:dyDescent="0.4">
      <c r="C90" t="str">
        <f>_xlfn.LET(
 _xlpm.dOK,COUNTIF(クラス!A:A,D90)&gt;0,
 _xlpm.eOK,COUNTIF(クラス!A:A,E90)&gt;0,
 IF(_xlpm.dOK,"○","×") &amp; IF(_xlpm.eOK,"○","×")
)</f>
        <v>××</v>
      </c>
    </row>
    <row r="91" spans="1:17" ht="72" hidden="1" outlineLevel="1" x14ac:dyDescent="0.4">
      <c r="A91" s="2" t="s">
        <v>783</v>
      </c>
      <c r="B91" s="10" t="s">
        <v>855</v>
      </c>
      <c r="C91" t="str">
        <f>_xlfn.LET(
 _xlpm.dOK,COUNTIF(クラス!A:A,D91)&gt;0,
 _xlpm.eOK,COUNTIF(クラス!A:A,E91)&gt;0,
 IF(_xlpm.dOK,"○","×") &amp; IF(_xlpm.eOK,"○","×")
)</f>
        <v>○×</v>
      </c>
      <c r="D91" s="10" t="s">
        <v>69</v>
      </c>
      <c r="F91">
        <v>10</v>
      </c>
      <c r="G91">
        <v>15</v>
      </c>
      <c r="Q91" t="s">
        <v>1183</v>
      </c>
    </row>
    <row r="92" spans="1:17" ht="36" hidden="1" outlineLevel="1" x14ac:dyDescent="0.4">
      <c r="A92" s="2" t="s">
        <v>783</v>
      </c>
      <c r="B92" s="10" t="s">
        <v>857</v>
      </c>
      <c r="C92" t="str">
        <f>_xlfn.LET(
 _xlpm.dOK,COUNTIF(クラス!A:A,D92)&gt;0,
 _xlpm.eOK,COUNTIF(クラス!A:A,E92)&gt;0,
 IF(_xlpm.dOK,"○","×") &amp; IF(_xlpm.eOK,"○","×")
)</f>
        <v>××</v>
      </c>
    </row>
    <row r="93" spans="1:17" hidden="1" outlineLevel="1" x14ac:dyDescent="0.4">
      <c r="A93" s="2" t="s">
        <v>783</v>
      </c>
      <c r="B93" s="10" t="s">
        <v>858</v>
      </c>
      <c r="C93" t="str">
        <f>_xlfn.LET(
 _xlpm.dOK,COUNTIF(クラス!A:A,D93)&gt;0,
 _xlpm.eOK,COUNTIF(クラス!A:A,E93)&gt;0,
 IF(_xlpm.dOK,"○","×") &amp; IF(_xlpm.eOK,"○","×")
)</f>
        <v>××</v>
      </c>
    </row>
    <row r="94" spans="1:17" hidden="1" outlineLevel="1" x14ac:dyDescent="0.4">
      <c r="C94" t="str">
        <f>_xlfn.LET(
 _xlpm.dOK,COUNTIF(クラス!A:A,D94)&gt;0,
 _xlpm.eOK,COUNTIF(クラス!A:A,E94)&gt;0,
 IF(_xlpm.dOK,"○","×") &amp; IF(_xlpm.eOK,"○","×")
)</f>
        <v>××</v>
      </c>
    </row>
    <row r="95" spans="1:17" collapsed="1" x14ac:dyDescent="0.4">
      <c r="C95" t="str">
        <f>_xlfn.LET(
 _xlpm.dOK,COUNTIF(クラス!A:A,D95)&gt;0,
 _xlpm.eOK,COUNTIF(クラス!A:A,E95)&gt;0,
 IF(_xlpm.dOK,"○","×") &amp; IF(_xlpm.eOK,"○","×")
)</f>
        <v>××</v>
      </c>
    </row>
    <row r="96" spans="1:17" ht="36" x14ac:dyDescent="0.4">
      <c r="A96" s="2" t="s">
        <v>515</v>
      </c>
      <c r="B96" s="10" t="s">
        <v>829</v>
      </c>
      <c r="C96" t="str">
        <f>_xlfn.LET(
 _xlpm.dOK,COUNTIF(クラス!A:A,D96)&gt;0,
 _xlpm.eOK,COUNTIF(クラス!A:A,E96)&gt;0,
 IF(_xlpm.dOK,"○","×") &amp; IF(_xlpm.eOK,"○","×")
)</f>
        <v>××</v>
      </c>
    </row>
    <row r="97" spans="1:7" hidden="1" outlineLevel="1" x14ac:dyDescent="0.4">
      <c r="A97" s="2" t="s">
        <v>515</v>
      </c>
      <c r="B97" s="10" t="s">
        <v>854</v>
      </c>
      <c r="C97" t="str">
        <f>_xlfn.LET(
 _xlpm.dOK,COUNTIF(クラス!A:A,D97)&gt;0,
 _xlpm.eOK,COUNTIF(クラス!A:A,E97)&gt;0,
 IF(_xlpm.dOK,"○","×") &amp; IF(_xlpm.eOK,"○","×")
)</f>
        <v>××</v>
      </c>
    </row>
    <row r="98" spans="1:7" ht="36" hidden="1" outlineLevel="1" x14ac:dyDescent="0.4">
      <c r="A98" s="2" t="s">
        <v>515</v>
      </c>
      <c r="B98" s="10" t="s">
        <v>859</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39"/>
  <sheetViews>
    <sheetView workbookViewId="0">
      <selection activeCell="A8" sqref="A4:A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993</v>
      </c>
      <c r="B1" t="s">
        <v>665</v>
      </c>
      <c r="C1" s="17" t="s">
        <v>666</v>
      </c>
      <c r="D1" t="s">
        <v>1016</v>
      </c>
    </row>
    <row r="2" spans="1:4" x14ac:dyDescent="0.4">
      <c r="A2" t="s">
        <v>620</v>
      </c>
      <c r="B2" t="s">
        <v>667</v>
      </c>
      <c r="C2" s="17" t="s">
        <v>668</v>
      </c>
    </row>
    <row r="3" spans="1:4" ht="37.5" x14ac:dyDescent="0.4">
      <c r="A3" t="s">
        <v>621</v>
      </c>
      <c r="B3" t="s">
        <v>667</v>
      </c>
      <c r="C3" s="17" t="s">
        <v>669</v>
      </c>
    </row>
    <row r="4" spans="1:4" x14ac:dyDescent="0.4">
      <c r="A4" t="s">
        <v>1012</v>
      </c>
      <c r="B4" t="s">
        <v>670</v>
      </c>
      <c r="C4" s="17" t="s">
        <v>1017</v>
      </c>
      <c r="D4" t="s">
        <v>230</v>
      </c>
    </row>
    <row r="5" spans="1:4" ht="37.5" x14ac:dyDescent="0.4">
      <c r="A5" t="s">
        <v>623</v>
      </c>
      <c r="B5" t="s">
        <v>670</v>
      </c>
      <c r="C5" s="17" t="s">
        <v>671</v>
      </c>
      <c r="D5" t="s">
        <v>1053</v>
      </c>
    </row>
    <row r="6" spans="1:4" ht="37.5" x14ac:dyDescent="0.4">
      <c r="A6" t="s">
        <v>624</v>
      </c>
      <c r="B6" t="s">
        <v>670</v>
      </c>
      <c r="C6" s="17" t="s">
        <v>672</v>
      </c>
      <c r="D6" t="s">
        <v>6</v>
      </c>
    </row>
    <row r="7" spans="1:4" ht="37.5" x14ac:dyDescent="0.4">
      <c r="A7" t="s">
        <v>622</v>
      </c>
      <c r="B7" t="s">
        <v>670</v>
      </c>
      <c r="C7" s="17" t="s">
        <v>1014</v>
      </c>
      <c r="D7" t="s">
        <v>0</v>
      </c>
    </row>
    <row r="8" spans="1:4" ht="37.5" x14ac:dyDescent="0.4">
      <c r="A8" t="s">
        <v>1013</v>
      </c>
      <c r="B8" t="s">
        <v>670</v>
      </c>
      <c r="C8" s="17" t="s">
        <v>1015</v>
      </c>
      <c r="D8" t="s">
        <v>231</v>
      </c>
    </row>
    <row r="9" spans="1:4" x14ac:dyDescent="0.4">
      <c r="A9" t="s">
        <v>625</v>
      </c>
      <c r="B9" t="s">
        <v>625</v>
      </c>
      <c r="C9" s="17" t="s">
        <v>673</v>
      </c>
    </row>
    <row r="10" spans="1:4" x14ac:dyDescent="0.4">
      <c r="A10" t="s">
        <v>626</v>
      </c>
      <c r="B10" t="s">
        <v>625</v>
      </c>
      <c r="C10" s="17" t="s">
        <v>674</v>
      </c>
    </row>
    <row r="11" spans="1:4" x14ac:dyDescent="0.4">
      <c r="A11" t="s">
        <v>627</v>
      </c>
      <c r="B11" t="s">
        <v>675</v>
      </c>
      <c r="C11" s="17" t="s">
        <v>676</v>
      </c>
    </row>
    <row r="12" spans="1:4" ht="37.5" x14ac:dyDescent="0.4">
      <c r="A12" t="s">
        <v>628</v>
      </c>
      <c r="B12" t="s">
        <v>677</v>
      </c>
      <c r="C12" s="17" t="s">
        <v>1000</v>
      </c>
    </row>
    <row r="13" spans="1:4" x14ac:dyDescent="0.4">
      <c r="A13" t="s">
        <v>630</v>
      </c>
      <c r="B13" t="s">
        <v>680</v>
      </c>
      <c r="C13" s="17" t="s">
        <v>681</v>
      </c>
    </row>
    <row r="14" spans="1:4" ht="37.5" x14ac:dyDescent="0.4">
      <c r="A14" t="s">
        <v>633</v>
      </c>
      <c r="B14" t="s">
        <v>696</v>
      </c>
      <c r="C14" s="17" t="s">
        <v>994</v>
      </c>
    </row>
    <row r="15" spans="1:4" x14ac:dyDescent="0.4">
      <c r="A15" t="s">
        <v>629</v>
      </c>
      <c r="B15" t="s">
        <v>678</v>
      </c>
      <c r="C15" s="17" t="s">
        <v>679</v>
      </c>
    </row>
    <row r="16" spans="1:4" ht="37.5" x14ac:dyDescent="0.4">
      <c r="A16" t="s">
        <v>776</v>
      </c>
      <c r="B16" t="s">
        <v>678</v>
      </c>
      <c r="C16" s="17" t="s">
        <v>777</v>
      </c>
    </row>
    <row r="17" spans="1:3" x14ac:dyDescent="0.4">
      <c r="A17" t="s">
        <v>634</v>
      </c>
      <c r="B17" t="s">
        <v>697</v>
      </c>
      <c r="C17" s="17" t="s">
        <v>698</v>
      </c>
    </row>
    <row r="18" spans="1:3" x14ac:dyDescent="0.4">
      <c r="A18" t="s">
        <v>778</v>
      </c>
    </row>
    <row r="19" spans="1:3" x14ac:dyDescent="0.4">
      <c r="A19" s="43" t="s">
        <v>480</v>
      </c>
      <c r="B19" t="s">
        <v>631</v>
      </c>
      <c r="C19" s="17" t="s">
        <v>682</v>
      </c>
    </row>
    <row r="20" spans="1:3" x14ac:dyDescent="0.4">
      <c r="A20" s="43" t="s">
        <v>481</v>
      </c>
      <c r="B20" t="s">
        <v>631</v>
      </c>
      <c r="C20" s="17" t="s">
        <v>683</v>
      </c>
    </row>
    <row r="21" spans="1:3" x14ac:dyDescent="0.4">
      <c r="A21" s="43" t="s">
        <v>482</v>
      </c>
      <c r="B21" t="s">
        <v>631</v>
      </c>
      <c r="C21" s="17" t="s">
        <v>684</v>
      </c>
    </row>
    <row r="22" spans="1:3" x14ac:dyDescent="0.4">
      <c r="A22" s="43" t="s">
        <v>483</v>
      </c>
      <c r="B22" t="s">
        <v>631</v>
      </c>
      <c r="C22" s="17" t="s">
        <v>685</v>
      </c>
    </row>
    <row r="23" spans="1:3" x14ac:dyDescent="0.4">
      <c r="A23" s="42" t="s">
        <v>484</v>
      </c>
      <c r="B23" t="s">
        <v>484</v>
      </c>
      <c r="C23" s="17" t="s">
        <v>686</v>
      </c>
    </row>
    <row r="24" spans="1:3" x14ac:dyDescent="0.4">
      <c r="A24" s="42" t="s">
        <v>485</v>
      </c>
      <c r="B24" t="s">
        <v>484</v>
      </c>
      <c r="C24" s="17" t="s">
        <v>687</v>
      </c>
    </row>
    <row r="25" spans="1:3" x14ac:dyDescent="0.4">
      <c r="A25" s="42" t="s">
        <v>486</v>
      </c>
      <c r="B25" t="s">
        <v>484</v>
      </c>
      <c r="C25" s="17" t="s">
        <v>688</v>
      </c>
    </row>
    <row r="26" spans="1:3" x14ac:dyDescent="0.4">
      <c r="A26" s="44" t="s">
        <v>487</v>
      </c>
      <c r="B26" t="s">
        <v>487</v>
      </c>
      <c r="C26" s="17" t="s">
        <v>689</v>
      </c>
    </row>
    <row r="27" spans="1:3" x14ac:dyDescent="0.4">
      <c r="A27" s="44" t="s">
        <v>488</v>
      </c>
      <c r="B27" t="s">
        <v>1010</v>
      </c>
      <c r="C27" s="17" t="s">
        <v>690</v>
      </c>
    </row>
    <row r="28" spans="1:3" x14ac:dyDescent="0.4">
      <c r="A28" s="44" t="s">
        <v>489</v>
      </c>
      <c r="B28" t="s">
        <v>632</v>
      </c>
      <c r="C28" s="17" t="s">
        <v>1026</v>
      </c>
    </row>
    <row r="29" spans="1:3" x14ac:dyDescent="0.4">
      <c r="A29" s="44" t="s">
        <v>490</v>
      </c>
      <c r="B29" t="s">
        <v>632</v>
      </c>
      <c r="C29" s="17" t="s">
        <v>691</v>
      </c>
    </row>
    <row r="30" spans="1:3" x14ac:dyDescent="0.4">
      <c r="A30" s="44" t="s">
        <v>491</v>
      </c>
      <c r="B30" t="s">
        <v>632</v>
      </c>
      <c r="C30" s="17" t="s">
        <v>692</v>
      </c>
    </row>
    <row r="31" spans="1:3" x14ac:dyDescent="0.4">
      <c r="A31" s="36" t="s">
        <v>492</v>
      </c>
      <c r="B31" t="s">
        <v>1009</v>
      </c>
      <c r="C31" s="17" t="s">
        <v>693</v>
      </c>
    </row>
    <row r="32" spans="1:3" x14ac:dyDescent="0.4">
      <c r="A32" s="36" t="s">
        <v>493</v>
      </c>
      <c r="B32" t="s">
        <v>635</v>
      </c>
      <c r="C32" s="17" t="s">
        <v>694</v>
      </c>
    </row>
    <row r="33" spans="1:3" x14ac:dyDescent="0.4">
      <c r="A33" s="36" t="s">
        <v>494</v>
      </c>
      <c r="B33" t="s">
        <v>494</v>
      </c>
      <c r="C33" s="17" t="s">
        <v>695</v>
      </c>
    </row>
    <row r="34" spans="1:3" x14ac:dyDescent="0.4">
      <c r="A34" s="56" t="s">
        <v>957</v>
      </c>
      <c r="B34" t="s">
        <v>1027</v>
      </c>
      <c r="C34" s="17" t="s">
        <v>1028</v>
      </c>
    </row>
    <row r="35" spans="1:3" x14ac:dyDescent="0.4">
      <c r="A35" s="56" t="s">
        <v>954</v>
      </c>
      <c r="B35" t="s">
        <v>1027</v>
      </c>
      <c r="C35" s="17" t="s">
        <v>1029</v>
      </c>
    </row>
    <row r="36" spans="1:3" x14ac:dyDescent="0.4">
      <c r="A36" t="s">
        <v>958</v>
      </c>
    </row>
    <row r="37" spans="1:3" x14ac:dyDescent="0.4">
      <c r="A37" s="36" t="s">
        <v>959</v>
      </c>
    </row>
    <row r="38" spans="1:3" x14ac:dyDescent="0.4">
      <c r="A38" s="36" t="s">
        <v>960</v>
      </c>
    </row>
    <row r="39" spans="1:3" x14ac:dyDescent="0.4">
      <c r="A39" s="36" t="s">
        <v>961</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776</v>
      </c>
      <c r="E1" t="s">
        <v>780</v>
      </c>
      <c r="F1" t="s">
        <v>781</v>
      </c>
      <c r="G1" t="s">
        <v>782</v>
      </c>
      <c r="H1" t="s">
        <v>520</v>
      </c>
      <c r="I1" t="s">
        <v>521</v>
      </c>
    </row>
    <row r="2" spans="1:9" x14ac:dyDescent="0.4">
      <c r="A2" s="45" t="s">
        <v>636</v>
      </c>
      <c r="B2" t="s">
        <v>637</v>
      </c>
      <c r="C2" t="s">
        <v>638</v>
      </c>
      <c r="D2" s="39">
        <v>-0.15</v>
      </c>
      <c r="H2" t="s">
        <v>779</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J2" sqref="F2:J2"/>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517</v>
      </c>
      <c r="B1" t="s">
        <v>518</v>
      </c>
      <c r="C1" t="s">
        <v>519</v>
      </c>
      <c r="D1" t="s">
        <v>520</v>
      </c>
      <c r="E1" t="s">
        <v>521</v>
      </c>
      <c r="F1" s="55" t="s">
        <v>1024</v>
      </c>
      <c r="G1" s="55" t="s">
        <v>623</v>
      </c>
      <c r="H1" s="55" t="s">
        <v>624</v>
      </c>
      <c r="I1" s="55" t="s">
        <v>622</v>
      </c>
      <c r="J1" s="55" t="s">
        <v>1013</v>
      </c>
      <c r="K1" s="26" t="s">
        <v>248</v>
      </c>
      <c r="L1" s="26" t="s">
        <v>1</v>
      </c>
      <c r="M1" s="26" t="s">
        <v>2</v>
      </c>
      <c r="N1" s="26" t="s">
        <v>106</v>
      </c>
      <c r="O1" s="26" t="s">
        <v>105</v>
      </c>
      <c r="P1" s="27" t="s">
        <v>4</v>
      </c>
      <c r="Q1" s="27" t="s">
        <v>3</v>
      </c>
      <c r="R1" s="28" t="s">
        <v>227</v>
      </c>
      <c r="S1" s="28" t="s">
        <v>228</v>
      </c>
      <c r="T1" s="28" t="s">
        <v>229</v>
      </c>
      <c r="U1" s="28" t="s">
        <v>230</v>
      </c>
      <c r="V1" s="29" t="s">
        <v>231</v>
      </c>
      <c r="W1" s="29" t="s">
        <v>5</v>
      </c>
      <c r="X1" s="29" t="s">
        <v>1053</v>
      </c>
      <c r="Y1" s="29" t="s">
        <v>6</v>
      </c>
    </row>
    <row r="2" spans="1:25" x14ac:dyDescent="0.4">
      <c r="F2" s="60" t="s">
        <v>1231</v>
      </c>
      <c r="G2" s="60" t="s">
        <v>1231</v>
      </c>
      <c r="H2" s="60" t="s">
        <v>1231</v>
      </c>
      <c r="I2" s="60" t="s">
        <v>1231</v>
      </c>
      <c r="J2" s="60" t="s">
        <v>1231</v>
      </c>
      <c r="K2" s="26"/>
      <c r="L2" s="26"/>
      <c r="M2" s="26"/>
      <c r="N2" s="26"/>
      <c r="O2" s="26"/>
      <c r="P2" s="27"/>
      <c r="Q2" s="27"/>
      <c r="R2" s="28"/>
      <c r="S2" s="28"/>
      <c r="T2" s="28"/>
      <c r="U2" s="28"/>
      <c r="V2" s="29"/>
      <c r="W2" s="29"/>
      <c r="X2" s="29"/>
      <c r="Y2" s="29"/>
    </row>
    <row r="3" spans="1:25" x14ac:dyDescent="0.4">
      <c r="A3" t="s">
        <v>6</v>
      </c>
      <c r="B3" t="s">
        <v>650</v>
      </c>
      <c r="C3" t="s">
        <v>651</v>
      </c>
      <c r="D3" t="s">
        <v>652</v>
      </c>
      <c r="E3" t="s">
        <v>653</v>
      </c>
    </row>
    <row r="4" spans="1:25" x14ac:dyDescent="0.4">
      <c r="A4" t="s">
        <v>6</v>
      </c>
      <c r="B4" t="s">
        <v>654</v>
      </c>
      <c r="C4" t="s">
        <v>651</v>
      </c>
      <c r="D4" t="s">
        <v>652</v>
      </c>
      <c r="E4" t="s">
        <v>653</v>
      </c>
    </row>
    <row r="5" spans="1:25" x14ac:dyDescent="0.4">
      <c r="A5" t="s">
        <v>6</v>
      </c>
      <c r="B5" t="s">
        <v>655</v>
      </c>
      <c r="C5" t="s">
        <v>651</v>
      </c>
      <c r="D5" t="s">
        <v>652</v>
      </c>
      <c r="E5" t="s">
        <v>653</v>
      </c>
    </row>
    <row r="6" spans="1:25" x14ac:dyDescent="0.4">
      <c r="A6" t="s">
        <v>6</v>
      </c>
      <c r="B6" t="s">
        <v>656</v>
      </c>
      <c r="C6" t="s">
        <v>651</v>
      </c>
      <c r="D6" t="s">
        <v>652</v>
      </c>
      <c r="E6" t="s">
        <v>653</v>
      </c>
    </row>
    <row r="7" spans="1:25" x14ac:dyDescent="0.4">
      <c r="A7" t="s">
        <v>6</v>
      </c>
      <c r="B7" t="s">
        <v>657</v>
      </c>
      <c r="C7" t="s">
        <v>651</v>
      </c>
      <c r="D7" t="s">
        <v>652</v>
      </c>
      <c r="E7" t="s">
        <v>653</v>
      </c>
    </row>
    <row r="8" spans="1:25" x14ac:dyDescent="0.4">
      <c r="A8" t="s">
        <v>6</v>
      </c>
      <c r="B8" t="s">
        <v>658</v>
      </c>
      <c r="C8" t="s">
        <v>651</v>
      </c>
      <c r="D8" t="s">
        <v>652</v>
      </c>
      <c r="E8" t="s">
        <v>653</v>
      </c>
    </row>
    <row r="9" spans="1:25" x14ac:dyDescent="0.4">
      <c r="A9" t="s">
        <v>6</v>
      </c>
      <c r="B9" t="s">
        <v>659</v>
      </c>
      <c r="C9" t="s">
        <v>651</v>
      </c>
      <c r="D9" t="s">
        <v>652</v>
      </c>
      <c r="E9" t="s">
        <v>653</v>
      </c>
    </row>
    <row r="10" spans="1:25" x14ac:dyDescent="0.4">
      <c r="A10" t="s">
        <v>6</v>
      </c>
      <c r="B10" t="s">
        <v>660</v>
      </c>
      <c r="C10" t="s">
        <v>651</v>
      </c>
      <c r="D10" t="s">
        <v>652</v>
      </c>
      <c r="E10" t="s">
        <v>653</v>
      </c>
    </row>
    <row r="11" spans="1:25" x14ac:dyDescent="0.4">
      <c r="A11" t="s">
        <v>6</v>
      </c>
      <c r="B11" t="s">
        <v>661</v>
      </c>
      <c r="C11" t="s">
        <v>651</v>
      </c>
      <c r="D11" t="s">
        <v>652</v>
      </c>
      <c r="E11" t="s">
        <v>653</v>
      </c>
    </row>
    <row r="12" spans="1:25" x14ac:dyDescent="0.4">
      <c r="A12" t="s">
        <v>6</v>
      </c>
      <c r="B12" t="s">
        <v>662</v>
      </c>
      <c r="C12" t="s">
        <v>651</v>
      </c>
      <c r="D12" t="s">
        <v>652</v>
      </c>
      <c r="E12" t="s">
        <v>653</v>
      </c>
    </row>
    <row r="13" spans="1:25" x14ac:dyDescent="0.4">
      <c r="A13" t="s">
        <v>6</v>
      </c>
      <c r="B13" t="s">
        <v>664</v>
      </c>
      <c r="C13" t="s">
        <v>651</v>
      </c>
      <c r="D13" t="s">
        <v>652</v>
      </c>
      <c r="E13" t="s">
        <v>653</v>
      </c>
    </row>
    <row r="14" spans="1:25" x14ac:dyDescent="0.4">
      <c r="A14" t="s">
        <v>6</v>
      </c>
      <c r="B14" t="s">
        <v>663</v>
      </c>
      <c r="C14" t="s">
        <v>651</v>
      </c>
      <c r="D14" t="s">
        <v>652</v>
      </c>
      <c r="E14"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701</v>
      </c>
      <c r="B1" t="s">
        <v>969</v>
      </c>
      <c r="C1" t="s">
        <v>706</v>
      </c>
      <c r="D1" t="s">
        <v>705</v>
      </c>
      <c r="E1" t="s">
        <v>707</v>
      </c>
      <c r="F1" t="s">
        <v>176</v>
      </c>
      <c r="G1" t="s">
        <v>710</v>
      </c>
      <c r="H1" t="s">
        <v>155</v>
      </c>
      <c r="I1" t="s">
        <v>156</v>
      </c>
      <c r="J1" t="s">
        <v>162</v>
      </c>
      <c r="K1" t="s">
        <v>974</v>
      </c>
      <c r="L1" t="s">
        <v>983</v>
      </c>
      <c r="M1" t="s">
        <v>712</v>
      </c>
      <c r="N1" t="s">
        <v>713</v>
      </c>
      <c r="O1" t="s">
        <v>714</v>
      </c>
      <c r="P1" t="s">
        <v>715</v>
      </c>
      <c r="Q1" t="s">
        <v>991</v>
      </c>
      <c r="R1" s="53" t="s">
        <v>992</v>
      </c>
      <c r="S1" s="53" t="s">
        <v>484</v>
      </c>
    </row>
    <row r="2" spans="1:19" x14ac:dyDescent="0.4">
      <c r="A2" t="s">
        <v>1240</v>
      </c>
      <c r="B2" t="s">
        <v>970</v>
      </c>
      <c r="C2">
        <v>20</v>
      </c>
      <c r="D2">
        <v>40</v>
      </c>
      <c r="E2">
        <v>25</v>
      </c>
      <c r="F2">
        <v>20</v>
      </c>
      <c r="H2">
        <v>10</v>
      </c>
      <c r="I2">
        <v>135</v>
      </c>
      <c r="M2" t="s">
        <v>711</v>
      </c>
      <c r="N2" t="s">
        <v>716</v>
      </c>
      <c r="O2" t="s">
        <v>717</v>
      </c>
      <c r="Q2">
        <v>1</v>
      </c>
      <c r="R2" s="52">
        <v>0.5</v>
      </c>
      <c r="S2" s="52">
        <v>0</v>
      </c>
    </row>
    <row r="3" spans="1:19" x14ac:dyDescent="0.4">
      <c r="A3" t="s">
        <v>718</v>
      </c>
      <c r="B3" t="s">
        <v>970</v>
      </c>
      <c r="C3">
        <v>30</v>
      </c>
      <c r="D3">
        <v>50</v>
      </c>
      <c r="E3">
        <v>35</v>
      </c>
      <c r="F3">
        <v>25</v>
      </c>
      <c r="H3">
        <v>10</v>
      </c>
      <c r="I3">
        <v>135</v>
      </c>
      <c r="M3" t="s">
        <v>721</v>
      </c>
      <c r="N3" t="s">
        <v>717</v>
      </c>
      <c r="Q3">
        <v>1.25</v>
      </c>
      <c r="R3" s="52">
        <v>1</v>
      </c>
      <c r="S3" s="52">
        <v>0.1</v>
      </c>
    </row>
    <row r="4" spans="1:19" x14ac:dyDescent="0.4">
      <c r="A4" t="s">
        <v>719</v>
      </c>
      <c r="B4" t="s">
        <v>970</v>
      </c>
      <c r="C4">
        <v>40</v>
      </c>
      <c r="D4">
        <v>50</v>
      </c>
      <c r="E4">
        <v>40</v>
      </c>
      <c r="F4">
        <v>25</v>
      </c>
      <c r="H4">
        <v>10</v>
      </c>
      <c r="I4">
        <v>135</v>
      </c>
      <c r="M4" t="s">
        <v>721</v>
      </c>
      <c r="Q4">
        <v>1.5</v>
      </c>
      <c r="R4" s="52">
        <v>1.4</v>
      </c>
      <c r="S4" s="52">
        <v>0.1</v>
      </c>
    </row>
    <row r="5" spans="1:19" x14ac:dyDescent="0.4">
      <c r="A5" t="s">
        <v>1237</v>
      </c>
      <c r="B5" t="s">
        <v>970</v>
      </c>
      <c r="C5">
        <v>40</v>
      </c>
      <c r="D5">
        <v>50</v>
      </c>
      <c r="E5">
        <v>45</v>
      </c>
      <c r="F5">
        <v>25</v>
      </c>
      <c r="H5">
        <v>10</v>
      </c>
      <c r="I5">
        <v>135</v>
      </c>
      <c r="M5" t="s">
        <v>720</v>
      </c>
      <c r="N5" t="s">
        <v>1187</v>
      </c>
      <c r="Q5">
        <v>1.25</v>
      </c>
      <c r="R5" s="52">
        <v>0.6</v>
      </c>
      <c r="S5" s="52">
        <v>1.2</v>
      </c>
    </row>
    <row r="6" spans="1:19" x14ac:dyDescent="0.4">
      <c r="A6" t="s">
        <v>699</v>
      </c>
      <c r="B6" t="s">
        <v>970</v>
      </c>
      <c r="C6">
        <v>50</v>
      </c>
      <c r="D6">
        <v>50</v>
      </c>
      <c r="E6">
        <v>45</v>
      </c>
      <c r="F6">
        <v>30</v>
      </c>
      <c r="H6">
        <v>10</v>
      </c>
      <c r="I6">
        <v>125</v>
      </c>
      <c r="M6" t="s">
        <v>720</v>
      </c>
      <c r="Q6">
        <v>1.25</v>
      </c>
      <c r="R6" s="52">
        <v>1.2</v>
      </c>
      <c r="S6" s="52">
        <v>0.4</v>
      </c>
    </row>
    <row r="7" spans="1:19" x14ac:dyDescent="0.4">
      <c r="A7" t="s">
        <v>702</v>
      </c>
      <c r="B7" t="s">
        <v>970</v>
      </c>
      <c r="C7">
        <v>30</v>
      </c>
      <c r="D7">
        <v>40</v>
      </c>
      <c r="E7">
        <v>30</v>
      </c>
      <c r="F7">
        <v>20</v>
      </c>
      <c r="H7">
        <v>10</v>
      </c>
      <c r="I7">
        <v>125</v>
      </c>
      <c r="M7" t="s">
        <v>140</v>
      </c>
      <c r="Q7">
        <v>1</v>
      </c>
      <c r="R7" s="52">
        <v>0</v>
      </c>
      <c r="S7" s="52">
        <v>1</v>
      </c>
    </row>
    <row r="8" spans="1:19" x14ac:dyDescent="0.4">
      <c r="A8" t="s">
        <v>703</v>
      </c>
      <c r="B8" t="s">
        <v>970</v>
      </c>
      <c r="C8">
        <v>50</v>
      </c>
      <c r="D8">
        <v>40</v>
      </c>
      <c r="E8">
        <v>45</v>
      </c>
      <c r="F8">
        <v>25</v>
      </c>
      <c r="H8">
        <v>10</v>
      </c>
      <c r="I8">
        <v>125</v>
      </c>
      <c r="M8" t="s">
        <v>140</v>
      </c>
      <c r="Q8">
        <v>1.5</v>
      </c>
      <c r="R8" s="52">
        <v>1.6</v>
      </c>
      <c r="S8" s="52">
        <v>0.2</v>
      </c>
    </row>
    <row r="9" spans="1:19" x14ac:dyDescent="0.4">
      <c r="A9" t="s">
        <v>1241</v>
      </c>
      <c r="B9" t="s">
        <v>970</v>
      </c>
      <c r="C9">
        <v>65</v>
      </c>
      <c r="D9">
        <v>50</v>
      </c>
      <c r="E9">
        <v>25</v>
      </c>
      <c r="F9">
        <v>25</v>
      </c>
      <c r="G9">
        <v>40</v>
      </c>
      <c r="H9">
        <v>10</v>
      </c>
      <c r="I9">
        <v>135</v>
      </c>
      <c r="J9">
        <v>4</v>
      </c>
      <c r="Q9">
        <v>1.25</v>
      </c>
      <c r="R9" s="52">
        <v>0.2</v>
      </c>
      <c r="S9" s="52">
        <v>1.4</v>
      </c>
    </row>
    <row r="10" spans="1:19" x14ac:dyDescent="0.4">
      <c r="A10" t="s">
        <v>704</v>
      </c>
      <c r="B10" t="s">
        <v>970</v>
      </c>
      <c r="C10">
        <v>20</v>
      </c>
      <c r="D10">
        <v>40</v>
      </c>
      <c r="E10">
        <v>10</v>
      </c>
      <c r="F10">
        <v>25</v>
      </c>
      <c r="G10">
        <v>40</v>
      </c>
      <c r="H10">
        <v>10</v>
      </c>
      <c r="I10">
        <v>140</v>
      </c>
      <c r="J10">
        <v>4</v>
      </c>
      <c r="M10" t="s">
        <v>722</v>
      </c>
      <c r="Q10">
        <v>2</v>
      </c>
      <c r="R10" s="52">
        <v>2</v>
      </c>
      <c r="S10" s="52">
        <v>0.3</v>
      </c>
    </row>
    <row r="11" spans="1:19" x14ac:dyDescent="0.4">
      <c r="A11" t="s">
        <v>1225</v>
      </c>
      <c r="B11" t="s">
        <v>970</v>
      </c>
      <c r="C11">
        <v>0</v>
      </c>
      <c r="D11">
        <v>30</v>
      </c>
      <c r="E11">
        <v>30</v>
      </c>
      <c r="F11">
        <v>25</v>
      </c>
      <c r="H11">
        <v>10</v>
      </c>
      <c r="I11">
        <v>120</v>
      </c>
      <c r="M11" t="s">
        <v>984</v>
      </c>
      <c r="Q11">
        <v>2</v>
      </c>
      <c r="R11" s="52">
        <v>0.1</v>
      </c>
      <c r="S11" s="52">
        <v>1.3</v>
      </c>
    </row>
    <row r="13" spans="1:19" x14ac:dyDescent="0.4">
      <c r="A13" t="s">
        <v>1193</v>
      </c>
      <c r="B13" t="s">
        <v>970</v>
      </c>
      <c r="C13">
        <v>-5</v>
      </c>
      <c r="D13">
        <v>50</v>
      </c>
      <c r="E13">
        <v>15</v>
      </c>
      <c r="F13">
        <v>25</v>
      </c>
      <c r="H13">
        <v>10</v>
      </c>
      <c r="I13">
        <v>120</v>
      </c>
      <c r="Q13">
        <v>1</v>
      </c>
      <c r="R13" s="52">
        <v>0.2</v>
      </c>
      <c r="S13" s="52">
        <v>1</v>
      </c>
    </row>
    <row r="14" spans="1:19" x14ac:dyDescent="0.4">
      <c r="A14" t="s">
        <v>723</v>
      </c>
      <c r="B14" t="s">
        <v>970</v>
      </c>
      <c r="C14">
        <v>0</v>
      </c>
      <c r="D14">
        <v>60</v>
      </c>
      <c r="E14">
        <v>20</v>
      </c>
      <c r="F14">
        <v>35</v>
      </c>
      <c r="H14">
        <v>10</v>
      </c>
      <c r="I14">
        <v>120</v>
      </c>
      <c r="Q14">
        <v>1</v>
      </c>
      <c r="R14" s="52">
        <v>0.6</v>
      </c>
      <c r="S14" s="52">
        <v>0.8</v>
      </c>
    </row>
    <row r="15" spans="1:19" x14ac:dyDescent="0.4">
      <c r="A15" t="s">
        <v>724</v>
      </c>
      <c r="B15" t="s">
        <v>970</v>
      </c>
      <c r="C15">
        <v>10</v>
      </c>
      <c r="D15">
        <v>70</v>
      </c>
      <c r="E15">
        <v>25</v>
      </c>
      <c r="F15">
        <v>45</v>
      </c>
      <c r="H15">
        <v>10</v>
      </c>
      <c r="I15">
        <v>120</v>
      </c>
      <c r="Q15">
        <v>1.5</v>
      </c>
      <c r="R15" s="52">
        <v>1</v>
      </c>
      <c r="S15" s="52">
        <v>1.2</v>
      </c>
    </row>
    <row r="16" spans="1:19" x14ac:dyDescent="0.4">
      <c r="R16" s="52">
        <v>0.2</v>
      </c>
      <c r="S16" s="52">
        <v>0</v>
      </c>
    </row>
    <row r="17" spans="1:19" x14ac:dyDescent="0.4">
      <c r="A17" t="s">
        <v>972</v>
      </c>
      <c r="B17" t="s">
        <v>963</v>
      </c>
      <c r="L17">
        <v>3</v>
      </c>
      <c r="M17" t="s">
        <v>984</v>
      </c>
      <c r="Q17">
        <v>1</v>
      </c>
      <c r="R17" s="52">
        <v>0.2</v>
      </c>
      <c r="S17" s="52">
        <v>0.1</v>
      </c>
    </row>
    <row r="18" spans="1:19" x14ac:dyDescent="0.4">
      <c r="A18" t="s">
        <v>971</v>
      </c>
      <c r="B18" t="s">
        <v>963</v>
      </c>
      <c r="D18">
        <v>5</v>
      </c>
      <c r="K18">
        <v>5</v>
      </c>
      <c r="L18">
        <v>10</v>
      </c>
      <c r="Q18">
        <v>1.5</v>
      </c>
      <c r="R18" s="52">
        <v>0.7</v>
      </c>
      <c r="S18" s="52">
        <v>0.1</v>
      </c>
    </row>
    <row r="19" spans="1:19" x14ac:dyDescent="0.4">
      <c r="A19" t="s">
        <v>973</v>
      </c>
      <c r="B19" t="s">
        <v>963</v>
      </c>
      <c r="L19">
        <v>4</v>
      </c>
      <c r="Q19">
        <v>1</v>
      </c>
      <c r="R19" s="52">
        <v>0.1</v>
      </c>
      <c r="S19" s="52">
        <v>0.3</v>
      </c>
    </row>
    <row r="20" spans="1:19" x14ac:dyDescent="0.4">
      <c r="A20" t="s">
        <v>1222</v>
      </c>
      <c r="B20" t="s">
        <v>963</v>
      </c>
      <c r="L20">
        <v>0</v>
      </c>
      <c r="M20" t="s">
        <v>986</v>
      </c>
      <c r="N20" t="s">
        <v>987</v>
      </c>
      <c r="Q20">
        <v>1</v>
      </c>
      <c r="R20" s="52">
        <v>0.1</v>
      </c>
      <c r="S20" s="52">
        <v>0.3</v>
      </c>
    </row>
    <row r="22" spans="1:19" x14ac:dyDescent="0.4">
      <c r="A22" t="s">
        <v>975</v>
      </c>
      <c r="B22" t="s">
        <v>966</v>
      </c>
      <c r="D22">
        <v>10</v>
      </c>
      <c r="K22">
        <v>10</v>
      </c>
      <c r="L22">
        <v>20</v>
      </c>
      <c r="Q22">
        <v>2</v>
      </c>
      <c r="R22" s="52">
        <v>2.8</v>
      </c>
      <c r="S22" s="52">
        <v>0.25</v>
      </c>
    </row>
    <row r="23" spans="1:19" x14ac:dyDescent="0.4">
      <c r="A23" t="s">
        <v>976</v>
      </c>
      <c r="B23" t="s">
        <v>966</v>
      </c>
      <c r="L23">
        <v>10</v>
      </c>
      <c r="Q23">
        <v>1.5</v>
      </c>
      <c r="R23" s="52">
        <v>0.25</v>
      </c>
      <c r="S23" s="52">
        <v>1</v>
      </c>
    </row>
    <row r="24" spans="1:19" x14ac:dyDescent="0.4">
      <c r="A24" t="s">
        <v>977</v>
      </c>
      <c r="B24" t="s">
        <v>966</v>
      </c>
      <c r="L24">
        <v>5</v>
      </c>
      <c r="M24" t="s">
        <v>985</v>
      </c>
      <c r="Q24">
        <v>1.5</v>
      </c>
      <c r="R24" s="52">
        <v>0.25</v>
      </c>
      <c r="S24" s="52">
        <v>1</v>
      </c>
    </row>
    <row r="26" spans="1:19" x14ac:dyDescent="0.4">
      <c r="A26" t="s">
        <v>1189</v>
      </c>
      <c r="B26" t="s">
        <v>967</v>
      </c>
      <c r="D26">
        <v>5</v>
      </c>
      <c r="L26">
        <v>3</v>
      </c>
      <c r="M26" t="s">
        <v>986</v>
      </c>
    </row>
    <row r="27" spans="1:19" x14ac:dyDescent="0.4">
      <c r="A27" t="s">
        <v>1188</v>
      </c>
      <c r="B27" t="s">
        <v>967</v>
      </c>
      <c r="L27">
        <v>1</v>
      </c>
      <c r="M27" t="s">
        <v>1190</v>
      </c>
    </row>
    <row r="29" spans="1:19" x14ac:dyDescent="0.4">
      <c r="A29" t="s">
        <v>978</v>
      </c>
      <c r="B29" t="s">
        <v>982</v>
      </c>
      <c r="M29" t="s">
        <v>984</v>
      </c>
      <c r="Q29">
        <v>1</v>
      </c>
      <c r="R29" s="52">
        <v>0.15</v>
      </c>
      <c r="S29" s="52">
        <v>0.05</v>
      </c>
    </row>
    <row r="30" spans="1:19" x14ac:dyDescent="0.4">
      <c r="A30" t="s">
        <v>979</v>
      </c>
      <c r="B30" t="s">
        <v>982</v>
      </c>
      <c r="M30" t="s">
        <v>986</v>
      </c>
      <c r="N30" t="s">
        <v>987</v>
      </c>
      <c r="Q30">
        <v>1</v>
      </c>
      <c r="R30" s="52">
        <v>0.1</v>
      </c>
      <c r="S30" s="52">
        <v>0.05</v>
      </c>
    </row>
    <row r="31" spans="1:19" x14ac:dyDescent="0.4">
      <c r="A31" t="s">
        <v>980</v>
      </c>
      <c r="B31" t="s">
        <v>982</v>
      </c>
      <c r="M31" t="s">
        <v>988</v>
      </c>
      <c r="Q31">
        <v>1</v>
      </c>
      <c r="R31" s="52">
        <v>0.1</v>
      </c>
      <c r="S31" s="52">
        <v>0.05</v>
      </c>
    </row>
    <row r="32" spans="1:19" x14ac:dyDescent="0.4">
      <c r="A32" t="s">
        <v>981</v>
      </c>
      <c r="B32" t="s">
        <v>982</v>
      </c>
      <c r="M32" t="s">
        <v>989</v>
      </c>
      <c r="N32" t="s">
        <v>990</v>
      </c>
      <c r="Q32">
        <v>1</v>
      </c>
      <c r="R32" s="52">
        <v>0.2</v>
      </c>
      <c r="S32" s="52">
        <v>0.05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AZ38"/>
  <sheetViews>
    <sheetView tabSelected="1" workbookViewId="0">
      <pane xSplit="10" ySplit="5" topLeftCell="K6" activePane="bottomRight" state="frozen"/>
      <selection pane="topRight" activeCell="I1" sqref="I1"/>
      <selection pane="bottomLeft" activeCell="A6" sqref="A6"/>
      <selection pane="bottomRight" activeCell="P6" sqref="P6"/>
    </sheetView>
  </sheetViews>
  <sheetFormatPr defaultRowHeight="18.75" outlineLevelCol="1" x14ac:dyDescent="0.4"/>
  <cols>
    <col min="2" max="2" width="10.125" customWidth="1"/>
    <col min="3" max="3" width="32.875" style="17" customWidth="1"/>
    <col min="4" max="5" width="5.125" style="17" customWidth="1"/>
    <col min="6" max="6" width="5.125" customWidth="1"/>
    <col min="7" max="10" width="5.125" customWidth="1" outlineLevel="1"/>
    <col min="11" max="11" width="4.5" customWidth="1"/>
    <col min="12" max="12" width="4.5" customWidth="1" outlineLevel="1"/>
    <col min="13" max="14" width="4.625" customWidth="1" outlineLevel="1"/>
    <col min="15" max="16" width="4.5" customWidth="1" outlineLevel="1"/>
    <col min="17" max="18" width="5.25" customWidth="1" outlineLevel="1"/>
    <col min="19" max="19" width="5.5" customWidth="1" outlineLevel="1"/>
    <col min="20" max="20" width="4.5" customWidth="1" outlineLevel="1"/>
    <col min="21" max="22" width="5.5" customWidth="1" outlineLevel="1"/>
    <col min="23" max="23" width="3.625" customWidth="1" outlineLevel="1"/>
    <col min="29" max="29" width="5.125" customWidth="1" collapsed="1"/>
    <col min="30" max="33" width="5.125" hidden="1" customWidth="1" outlineLevel="1"/>
    <col min="34" max="34" width="5.125" customWidth="1" collapsed="1"/>
    <col min="35" max="35" width="5.125" hidden="1" customWidth="1" outlineLevel="1"/>
    <col min="36" max="36" width="5.125" customWidth="1" collapsed="1"/>
    <col min="37" max="39" width="5.125" hidden="1" customWidth="1" outlineLevel="1"/>
    <col min="40" max="40" width="5.125" customWidth="1" collapsed="1"/>
    <col min="41" max="43" width="5.125" hidden="1" customWidth="1" outlineLevel="1"/>
    <col min="44" max="44" width="5.75" customWidth="1" collapsed="1"/>
    <col min="45" max="45" width="6.625" customWidth="1" outlineLevel="1"/>
    <col min="46" max="46" width="5.125" customWidth="1" outlineLevel="1"/>
    <col min="47" max="47" width="3.875" customWidth="1" outlineLevel="1"/>
    <col min="48" max="49" width="5.125" customWidth="1" outlineLevel="1"/>
    <col min="50" max="50" width="4.75" customWidth="1" outlineLevel="1"/>
    <col min="51" max="51" width="5.125" customWidth="1"/>
    <col min="52" max="96" width="3.75" customWidth="1"/>
  </cols>
  <sheetData>
    <row r="1" spans="1:52" s="17" customFormat="1" ht="37.5" customHeight="1" x14ac:dyDescent="0.4">
      <c r="A1" s="17" t="s">
        <v>744</v>
      </c>
      <c r="B1" s="17" t="s">
        <v>747</v>
      </c>
      <c r="C1" s="17" t="s">
        <v>666</v>
      </c>
      <c r="D1" s="17" t="s">
        <v>1253</v>
      </c>
      <c r="E1" s="17" t="s">
        <v>1259</v>
      </c>
      <c r="F1" s="55" t="s">
        <v>1024</v>
      </c>
      <c r="G1" s="55" t="s">
        <v>623</v>
      </c>
      <c r="H1" s="55" t="s">
        <v>624</v>
      </c>
      <c r="I1" s="55" t="s">
        <v>622</v>
      </c>
      <c r="J1" s="55" t="s">
        <v>1013</v>
      </c>
      <c r="K1" s="57" t="s">
        <v>484</v>
      </c>
      <c r="L1" s="57" t="s">
        <v>485</v>
      </c>
      <c r="M1" s="57" t="s">
        <v>486</v>
      </c>
      <c r="N1" s="58" t="s">
        <v>487</v>
      </c>
      <c r="O1" s="58" t="s">
        <v>488</v>
      </c>
      <c r="P1" s="58" t="s">
        <v>489</v>
      </c>
      <c r="Q1" s="58" t="s">
        <v>490</v>
      </c>
      <c r="R1" s="58" t="s">
        <v>491</v>
      </c>
      <c r="S1" s="36" t="s">
        <v>492</v>
      </c>
      <c r="T1" s="36" t="s">
        <v>493</v>
      </c>
      <c r="U1" s="36" t="s">
        <v>494</v>
      </c>
      <c r="V1" s="56" t="s">
        <v>957</v>
      </c>
      <c r="W1" s="56" t="s">
        <v>954</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1053</v>
      </c>
      <c r="AQ1" s="29" t="s">
        <v>6</v>
      </c>
      <c r="AR1" s="17" t="s">
        <v>1254</v>
      </c>
      <c r="AS1" s="17" t="s">
        <v>1255</v>
      </c>
      <c r="AT1" s="17" t="s">
        <v>633</v>
      </c>
      <c r="AU1" s="17" t="s">
        <v>629</v>
      </c>
      <c r="AV1" s="17" t="s">
        <v>776</v>
      </c>
      <c r="AW1" s="17" t="s">
        <v>634</v>
      </c>
      <c r="AX1" s="17" t="s">
        <v>1256</v>
      </c>
      <c r="AY1" s="17" t="s">
        <v>1257</v>
      </c>
      <c r="AZ1" s="17" t="s">
        <v>216</v>
      </c>
    </row>
    <row r="2" spans="1:52" ht="13.5" customHeight="1" x14ac:dyDescent="0.4">
      <c r="A2" t="s">
        <v>1243</v>
      </c>
      <c r="B2" t="s">
        <v>1023</v>
      </c>
      <c r="C2" s="17" t="s">
        <v>1249</v>
      </c>
      <c r="D2" s="17">
        <v>4</v>
      </c>
      <c r="E2" s="17">
        <v>3</v>
      </c>
      <c r="K2">
        <v>100</v>
      </c>
      <c r="L2">
        <v>0</v>
      </c>
      <c r="M2">
        <v>0</v>
      </c>
      <c r="N2">
        <v>100</v>
      </c>
      <c r="O2">
        <v>50</v>
      </c>
      <c r="P2" cm="1">
        <f t="array" ref="P2">_xlfn.LET(
_xlpm.h,P$1,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 cm="1">
        <f t="array" ref="Q2">_xlfn.LET(
_xlpm.h,Q$1,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_xlpm.baseLv,MAX($F2:$J2),
_xlpm.magicLv,$G2,
_xlpm.faithLv,$H2,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2" ht="13.5" customHeight="1" x14ac:dyDescent="0.4">
      <c r="A3" t="s">
        <v>1244</v>
      </c>
      <c r="B3" t="s">
        <v>1246</v>
      </c>
      <c r="C3" s="17" t="s">
        <v>1250</v>
      </c>
      <c r="D3" s="17">
        <v>8</v>
      </c>
      <c r="E3" s="17">
        <v>5</v>
      </c>
      <c r="K3">
        <f>K2*2</f>
        <v>200</v>
      </c>
      <c r="L3">
        <v>50</v>
      </c>
      <c r="M3" cm="1">
        <f t="array" ref="M3">_xlfn.LET(
_xlpm.h,M$1,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
        <f>N2*2</f>
        <v>200</v>
      </c>
      <c r="O3">
        <f>O2*2</f>
        <v>100</v>
      </c>
      <c r="P3" cm="1">
        <f t="array" ref="P3">_xlfn.LET(
_xlpm.h,P$1,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 cm="1">
        <f t="array" ref="Q3">_xlfn.LET(
_xlpm.h,Q$1,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_xlpm.baseLv,MAX($F3:$J3),
_xlpm.magicLv,$G3,
_xlpm.faithLv,$H3,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2" ht="13.5" customHeight="1" x14ac:dyDescent="0.4">
      <c r="A4" t="s">
        <v>1126</v>
      </c>
      <c r="B4" t="s">
        <v>1247</v>
      </c>
      <c r="C4" s="17" t="s">
        <v>1251</v>
      </c>
      <c r="D4" s="17">
        <v>16</v>
      </c>
      <c r="E4" s="17">
        <v>7</v>
      </c>
      <c r="K4">
        <f>K3*2</f>
        <v>400</v>
      </c>
      <c r="L4">
        <v>200</v>
      </c>
      <c r="M4">
        <v>50</v>
      </c>
      <c r="N4">
        <f>N3*2</f>
        <v>400</v>
      </c>
      <c r="O4">
        <f>O3*2</f>
        <v>200</v>
      </c>
      <c r="P4">
        <v>50</v>
      </c>
      <c r="Q4">
        <v>25</v>
      </c>
      <c r="R4">
        <v>25</v>
      </c>
      <c r="S4">
        <v>50</v>
      </c>
      <c r="T4">
        <v>100</v>
      </c>
      <c r="U4" cm="1">
        <f t="array" ref="U4">_xlfn.LET(
_xlpm.h,U$1,
_xlpm.baseLv,MAX($F4:$J4),
_xlpm.magicLv,$G4,
_xlpm.faithLv,$H4,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4" cm="1">
        <f t="array" ref="V4">_xlfn.LET(
_xlpm.h,V$1,
_xlpm.baseLv,MAX($F4:$J4),
_xlpm.magicLv,$G4,
_xlpm.faithLv,$H4,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_xlpm.baseLv,MAX($F4:$J4),
_xlpm.magicLv,$G4,
_xlpm.faithLv,$H4,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2" ht="13.5" customHeight="1" x14ac:dyDescent="0.4">
      <c r="A5" t="s">
        <v>1245</v>
      </c>
      <c r="B5" t="s">
        <v>1248</v>
      </c>
      <c r="C5" s="17" t="s">
        <v>1252</v>
      </c>
      <c r="D5" s="17">
        <v>32</v>
      </c>
      <c r="E5" s="17">
        <v>9</v>
      </c>
      <c r="K5">
        <f t="shared" ref="K5:T5" si="0">K4*2</f>
        <v>800</v>
      </c>
      <c r="L5">
        <f t="shared" si="0"/>
        <v>400</v>
      </c>
      <c r="M5">
        <f t="shared" si="0"/>
        <v>100</v>
      </c>
      <c r="N5">
        <f t="shared" si="0"/>
        <v>800</v>
      </c>
      <c r="O5">
        <f t="shared" si="0"/>
        <v>400</v>
      </c>
      <c r="P5">
        <f t="shared" si="0"/>
        <v>100</v>
      </c>
      <c r="Q5">
        <f t="shared" si="0"/>
        <v>50</v>
      </c>
      <c r="R5">
        <f t="shared" si="0"/>
        <v>50</v>
      </c>
      <c r="S5">
        <f t="shared" si="0"/>
        <v>100</v>
      </c>
      <c r="T5">
        <f t="shared" si="0"/>
        <v>200</v>
      </c>
      <c r="U5" cm="1">
        <f t="array" ref="U5">_xlfn.LET(
_xlpm.h,U$1,
_xlpm.baseLv,MAX($F5:$J5),
_xlpm.magicLv,$G5,
_xlpm.faithLv,$H5,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5" cm="1">
        <f t="array" ref="V5">_xlfn.LET(
_xlpm.h,V$1,
_xlpm.baseLv,MAX($F5:$J5),
_xlpm.magicLv,$G5,
_xlpm.faithLv,$H5,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_xlpm.baseLv,MAX($F5:$J5),
_xlpm.magicLv,$G5,
_xlpm.faithLv,$H5,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2" ht="37.5" x14ac:dyDescent="0.4">
      <c r="A6" t="s">
        <v>727</v>
      </c>
      <c r="B6" t="s">
        <v>753</v>
      </c>
      <c r="C6" s="17" t="s">
        <v>752</v>
      </c>
      <c r="D6" s="17">
        <v>2</v>
      </c>
      <c r="I6">
        <v>1</v>
      </c>
      <c r="K6" cm="1">
        <f t="array" ref="K6">_xlfn.LET(
_xlpm.h,K$1,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6" cm="1">
        <f t="array" ref="L6">_xlfn.LET(
_xlpm.h,L$1,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6" cm="1">
        <f t="array" ref="M6">_xlfn.LET(
_xlpm.h,M$1,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_xlpm.h,O$1,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6" cm="1">
        <f t="array" ref="O6">_xlfn.LET(
_xlpm.h,O$1,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P6" cm="1">
        <f t="array" ref="P6">_xlfn.LET(
_xlpm.h,P$1,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6" cm="1">
        <f t="array" ref="Q6">_xlfn.LET(
_xlpm.h,Q$1,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_xlpm.baseLv,MAX($F6:$J6),
_xlpm.magicLv,$G6,
_xlpm.faithLv,$H6,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2" ht="37.5" x14ac:dyDescent="0.4">
      <c r="A7" t="s">
        <v>1003</v>
      </c>
      <c r="B7" t="s">
        <v>753</v>
      </c>
      <c r="C7" s="17" t="s">
        <v>1002</v>
      </c>
      <c r="D7" s="17">
        <v>4</v>
      </c>
      <c r="F7">
        <v>2</v>
      </c>
      <c r="G7">
        <v>2</v>
      </c>
      <c r="H7">
        <v>2</v>
      </c>
      <c r="I7">
        <v>2</v>
      </c>
      <c r="J7">
        <v>2</v>
      </c>
      <c r="K7" cm="1">
        <f t="array" ref="K7">_xlfn.LET(
_xlpm.h,K$1,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7" cm="1">
        <f t="array" ref="L7">_xlfn.LET(
_xlpm.h,L$1,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7" cm="1">
        <f t="array" ref="M7">_xlfn.LET(
_xlpm.h,M$1,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_xlpm.h,O$1,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7" cm="1">
        <f t="array" ref="O7">_xlfn.LET(
_xlpm.h,O$1,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7" cm="1">
        <f t="array" ref="Q7">_xlfn.LET(
_xlpm.h,Q$1,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_xlpm.baseLv,MAX($F7:$J7),
_xlpm.magicLv,$G7,
_xlpm.faithLv,$H7,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8" spans="1:52" ht="37.5" x14ac:dyDescent="0.4">
      <c r="A8" t="s">
        <v>728</v>
      </c>
      <c r="B8" t="s">
        <v>753</v>
      </c>
      <c r="C8" s="17" t="s">
        <v>754</v>
      </c>
      <c r="D8" s="17">
        <v>2</v>
      </c>
      <c r="I8">
        <v>2</v>
      </c>
      <c r="K8" cm="1">
        <f t="array" ref="K8">_xlfn.LET(
_xlpm.h,K$1,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8" cm="1">
        <f t="array" ref="L8">_xlfn.LET(
_xlpm.h,L$1,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8" cm="1">
        <f t="array" ref="M8">_xlfn.LET(
_xlpm.h,M$1,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_xlpm.h,O$1,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8" cm="1">
        <f t="array" ref="O8">_xlfn.LET(
_xlpm.h,O$1,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8" cm="1">
        <f t="array" ref="Q8">_xlfn.LET(
_xlpm.h,Q$1,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_xlpm.baseLv,MAX($F8:$J8),
_xlpm.magicLv,$G8,
_xlpm.faithLv,$H8,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2" ht="37.5" x14ac:dyDescent="0.4">
      <c r="A9" t="s">
        <v>729</v>
      </c>
      <c r="B9" t="s">
        <v>753</v>
      </c>
      <c r="C9" s="17" t="s">
        <v>1025</v>
      </c>
      <c r="D9" s="17">
        <v>2</v>
      </c>
      <c r="F9">
        <v>1</v>
      </c>
      <c r="K9" cm="1">
        <f t="array" ref="K9">_xlfn.LET(
_xlpm.h,K$1,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9" cm="1">
        <f t="array" ref="L9">_xlfn.LET(
_xlpm.h,L$1,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9" cm="1">
        <f t="array" ref="M9">_xlfn.LET(
_xlpm.h,M$1,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_xlpm.h,O$1,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9" cm="1">
        <f t="array" ref="O9">_xlfn.LET(
_xlpm.h,O$1,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9" cm="1">
        <f t="array" ref="Q9">_xlfn.LET(
_xlpm.h,Q$1,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_xlpm.baseLv,MAX($F9:$J9),
_xlpm.magicLv,$G9,
_xlpm.faithLv,$H9,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0" spans="1:52" ht="56.25" x14ac:dyDescent="0.4">
      <c r="A10" t="s">
        <v>730</v>
      </c>
      <c r="B10" t="s">
        <v>753</v>
      </c>
      <c r="C10" s="17" t="s">
        <v>1005</v>
      </c>
      <c r="D10" s="17">
        <v>6</v>
      </c>
      <c r="I10">
        <v>2</v>
      </c>
      <c r="K10" cm="1">
        <f t="array" ref="K10">_xlfn.LET(
_xlpm.h,K$1,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10" cm="1">
        <f t="array" ref="L10">_xlfn.LET(
_xlpm.h,L$1,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0" cm="1">
        <f t="array" ref="M10">_xlfn.LET(
_xlpm.h,M$1,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_xlpm.h,O$1,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0" cm="1">
        <f t="array" ref="O10">_xlfn.LET(
_xlpm.h,O$1,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0" cm="1">
        <f t="array" ref="Q10">_xlfn.LET(
_xlpm.h,Q$1,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_xlpm.baseLv,MAX($F10:$J10),
_xlpm.magicLv,$G10,
_xlpm.faithLv,$H10,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2" x14ac:dyDescent="0.4">
      <c r="A11" t="s">
        <v>1022</v>
      </c>
      <c r="B11" t="s">
        <v>1023</v>
      </c>
      <c r="D11" s="17">
        <v>6</v>
      </c>
      <c r="I11">
        <v>3</v>
      </c>
      <c r="J11">
        <v>2</v>
      </c>
      <c r="K11" cm="1">
        <f t="array" ref="K11">_xlfn.LET(
_xlpm.h,K$1,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1" cm="1">
        <f t="array" ref="L11">_xlfn.LET(
_xlpm.h,L$1,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1" cm="1">
        <f t="array" ref="N11">_xlfn.LET(
_xlpm.h,O$1,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1" cm="1">
        <f t="array" ref="O11">_xlfn.LET(
_xlpm.h,O$1,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1" cm="1">
        <f t="array" ref="R11">_xlfn.LET(
_xlpm.h,R$1,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_xlpm.baseLv,MAX($F11:$J11),
_xlpm.magicLv,$G11,
_xlpm.faithLv,$H11,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2" ht="37.5" x14ac:dyDescent="0.4">
      <c r="A12" t="s">
        <v>731</v>
      </c>
      <c r="B12" t="s">
        <v>753</v>
      </c>
      <c r="C12" s="17" t="s">
        <v>755</v>
      </c>
      <c r="D12" s="17">
        <v>2</v>
      </c>
      <c r="I12">
        <v>2</v>
      </c>
      <c r="K12" cm="1">
        <f t="array" ref="K12">_xlfn.LET(
_xlpm.h,K$1,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12" cm="1">
        <f t="array" ref="L12">_xlfn.LET(
_xlpm.h,L$1,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2" cm="1">
        <f t="array" ref="M12">_xlfn.LET(
_xlpm.h,M$1,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_xlpm.h,O$1,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2" cm="1">
        <f t="array" ref="O12">_xlfn.LET(
_xlpm.h,O$1,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2" cm="1">
        <f t="array" ref="Q12">_xlfn.LET(
_xlpm.h,Q$1,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_xlpm.baseLv,MAX($F12:$J12),
_xlpm.magicLv,$G12,
_xlpm.faithLv,$H12,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I12">
        <v>75</v>
      </c>
    </row>
    <row r="13" spans="1:52" x14ac:dyDescent="0.4">
      <c r="A13" t="s">
        <v>732</v>
      </c>
      <c r="B13" t="s">
        <v>753</v>
      </c>
      <c r="C13" s="17" t="s">
        <v>756</v>
      </c>
      <c r="D13" s="17">
        <v>2</v>
      </c>
      <c r="I13">
        <v>3</v>
      </c>
      <c r="K13" cm="1">
        <f t="array" ref="K13">_xlfn.LET(
_xlpm.h,K$1,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3" cm="1">
        <f t="array" ref="L13">_xlfn.LET(
_xlpm.h,L$1,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3" cm="1">
        <f t="array" ref="N13">_xlfn.LET(
_xlpm.h,O$1,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3" cm="1">
        <f t="array" ref="O13">_xlfn.LET(
_xlpm.h,O$1,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3" cm="1">
        <f t="array" ref="R13">_xlfn.LET(
_xlpm.h,R$1,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_xlpm.baseLv,MAX($F13:$J13),
_xlpm.magicLv,$G13,
_xlpm.faithLv,$H13,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4" spans="1:52" x14ac:dyDescent="0.4">
      <c r="A14" t="s">
        <v>745</v>
      </c>
      <c r="B14" t="s">
        <v>753</v>
      </c>
      <c r="C14" s="17" t="s">
        <v>1030</v>
      </c>
      <c r="D14" s="17">
        <v>3</v>
      </c>
      <c r="J14">
        <v>2</v>
      </c>
      <c r="K14" cm="1">
        <f t="array" ref="K14">_xlfn.LET(
_xlpm.h,K$1,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14" cm="1">
        <f t="array" ref="L14">_xlfn.LET(
_xlpm.h,L$1,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4" cm="1">
        <f t="array" ref="M14">_xlfn.LET(
_xlpm.h,M$1,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_xlpm.h,O$1,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4" cm="1">
        <f t="array" ref="O14">_xlfn.LET(
_xlpm.h,O$1,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4" cm="1">
        <f t="array" ref="Q14">_xlfn.LET(
_xlpm.h,Q$1,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_xlpm.baseLv,MAX($F14:$J14),
_xlpm.magicLv,$G14,
_xlpm.faithLv,$H14,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14">
        <v>10</v>
      </c>
      <c r="AV14">
        <v>10</v>
      </c>
    </row>
    <row r="15" spans="1:52" ht="37.5" x14ac:dyDescent="0.4">
      <c r="A15" t="s">
        <v>733</v>
      </c>
      <c r="B15" t="s">
        <v>753</v>
      </c>
      <c r="C15" s="17" t="s">
        <v>757</v>
      </c>
      <c r="D15" s="17">
        <v>4</v>
      </c>
      <c r="G15">
        <v>1</v>
      </c>
      <c r="K15" cm="1">
        <f t="array" ref="K15">_xlfn.LET(
_xlpm.h,K$1,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5" cm="1">
        <f t="array" ref="L15">_xlfn.LET(
_xlpm.h,L$1,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5" cm="1">
        <f t="array" ref="M15">_xlfn.LET(
_xlpm.h,M$1,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_xlpm.h,O$1,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5" cm="1">
        <f t="array" ref="O15">_xlfn.LET(
_xlpm.h,O$1,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5" cm="1">
        <f t="array" ref="Q15">_xlfn.LET(
_xlpm.h,Q$1,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_xlpm.baseLv,MAX($F15:$J15),
_xlpm.magicLv,$G15,
_xlpm.faithLv,$H15,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6" spans="1:52" x14ac:dyDescent="0.4">
      <c r="A16" t="s">
        <v>1006</v>
      </c>
      <c r="B16" t="s">
        <v>753</v>
      </c>
      <c r="C16" s="17" t="s">
        <v>1007</v>
      </c>
      <c r="D16" s="17">
        <v>3</v>
      </c>
      <c r="F16">
        <v>1</v>
      </c>
      <c r="G16">
        <v>2</v>
      </c>
      <c r="K16" cm="1">
        <f t="array" ref="K16">_xlfn.LET(
_xlpm.h,K$1,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16" cm="1">
        <f t="array" ref="L16">_xlfn.LET(
_xlpm.h,L$1,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6" cm="1">
        <f t="array" ref="M16">_xlfn.LET(
_xlpm.h,M$1,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_xlpm.h,O$1,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6" cm="1">
        <f t="array" ref="O16">_xlfn.LET(
_xlpm.h,O$1,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6" cm="1">
        <f t="array" ref="Q16">_xlfn.LET(
_xlpm.h,Q$1,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_xlpm.baseLv,MAX($F16:$J16),
_xlpm.magicLv,$G16,
_xlpm.faithLv,$H16,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7" spans="1:48" ht="37.5" x14ac:dyDescent="0.4">
      <c r="A17" t="s">
        <v>734</v>
      </c>
      <c r="B17" t="s">
        <v>753</v>
      </c>
      <c r="C17" s="17" t="s">
        <v>758</v>
      </c>
      <c r="D17" s="17">
        <v>8</v>
      </c>
      <c r="G17">
        <v>3</v>
      </c>
      <c r="I17">
        <v>3</v>
      </c>
      <c r="K17" cm="1">
        <f t="array" ref="K17">_xlfn.LET(
_xlpm.h,K$1,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7" cm="1">
        <f t="array" ref="L17">_xlfn.LET(
_xlpm.h,L$1,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7" cm="1">
        <f t="array" ref="N17">_xlfn.LET(
_xlpm.h,O$1,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7" cm="1">
        <f t="array" ref="O17">_xlfn.LET(
_xlpm.h,O$1,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7" cm="1">
        <f t="array" ref="R17">_xlfn.LET(
_xlpm.h,R$1,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_xlpm.baseLv,MAX($F17:$J17),
_xlpm.magicLv,$G17,
_xlpm.faithLv,$H17,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8" spans="1:48" ht="37.5" x14ac:dyDescent="0.4">
      <c r="A18" t="s">
        <v>746</v>
      </c>
      <c r="B18" t="s">
        <v>753</v>
      </c>
      <c r="C18" s="17" t="s">
        <v>759</v>
      </c>
      <c r="D18" s="17">
        <v>2</v>
      </c>
      <c r="H18">
        <v>1</v>
      </c>
      <c r="K18" cm="1">
        <f t="array" ref="K18">_xlfn.LET(
_xlpm.h,K$1,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8" cm="1">
        <f t="array" ref="L18">_xlfn.LET(
_xlpm.h,L$1,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8" cm="1">
        <f t="array" ref="M18">_xlfn.LET(
_xlpm.h,M$1,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_xlpm.h,O$1,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8" cm="1">
        <f t="array" ref="O18">_xlfn.LET(
_xlpm.h,O$1,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8" cm="1">
        <f t="array" ref="Q18">_xlfn.LET(
_xlpm.h,Q$1,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_xlpm.baseLv,MAX($F18:$J18),
_xlpm.magicLv,$G18,
_xlpm.faithLv,$H18,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9" spans="1:48" ht="17.25" customHeight="1" x14ac:dyDescent="0.4">
      <c r="A19" t="s">
        <v>725</v>
      </c>
      <c r="B19" t="s">
        <v>753</v>
      </c>
      <c r="C19" s="17" t="s">
        <v>760</v>
      </c>
      <c r="D19" s="17">
        <v>4</v>
      </c>
      <c r="H19">
        <v>1</v>
      </c>
      <c r="K19" cm="1">
        <f t="array" ref="K19">_xlfn.LET(
_xlpm.h,K$1,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9" cm="1">
        <f t="array" ref="L19">_xlfn.LET(
_xlpm.h,L$1,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9" cm="1">
        <f t="array" ref="M19">_xlfn.LET(
_xlpm.h,M$1,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_xlpm.h,O$1,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9" cm="1">
        <f t="array" ref="O19">_xlfn.LET(
_xlpm.h,O$1,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9" cm="1">
        <f t="array" ref="Q19">_xlfn.LET(
_xlpm.h,Q$1,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_xlpm.baseLv,MAX($F19:$J19),
_xlpm.magicLv,$G19,
_xlpm.faithLv,$H19,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19">
        <v>10</v>
      </c>
      <c r="AV19">
        <v>10</v>
      </c>
    </row>
    <row r="20" spans="1:48" x14ac:dyDescent="0.4">
      <c r="A20" t="s">
        <v>735</v>
      </c>
      <c r="B20" t="s">
        <v>753</v>
      </c>
      <c r="C20" s="17" t="s">
        <v>761</v>
      </c>
      <c r="D20" s="17">
        <v>8</v>
      </c>
      <c r="H20">
        <v>2</v>
      </c>
      <c r="K20" cm="1">
        <f t="array" ref="K20">_xlfn.LET(
_xlpm.h,K$1,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20" cm="1">
        <f t="array" ref="L20">_xlfn.LET(
_xlpm.h,L$1,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0" cm="1">
        <f t="array" ref="M20">_xlfn.LET(
_xlpm.h,M$1,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_xlpm.h,O$1,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0" cm="1">
        <f t="array" ref="O20">_xlfn.LET(
_xlpm.h,O$1,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0" cm="1">
        <f t="array" ref="Q20">_xlfn.LET(
_xlpm.h,Q$1,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_xlpm.baseLv,MAX($F20:$J20),
_xlpm.magicLv,$G20,
_xlpm.faithLv,$H20,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1" spans="1:48" ht="37.5" x14ac:dyDescent="0.4">
      <c r="A21" t="s">
        <v>736</v>
      </c>
      <c r="B21" t="s">
        <v>753</v>
      </c>
      <c r="C21" s="17" t="s">
        <v>762</v>
      </c>
      <c r="D21" s="17">
        <v>16</v>
      </c>
      <c r="H21">
        <v>4</v>
      </c>
      <c r="K21" cm="1">
        <f t="array" ref="K21">_xlfn.LET(
_xlpm.h,K$1,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21" cm="1">
        <f t="array" ref="L21">_xlfn.LET(
_xlpm.h,L$1,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1" cm="1">
        <f t="array" ref="M21">_xlfn.LET(
_xlpm.h,M$1,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1" cm="1">
        <f t="array" ref="N21">_xlfn.LET(
_xlpm.h,O$1,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_xlpm.h,O$1,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1" cm="1">
        <f t="array" ref="Q21">_xlfn.LET(
_xlpm.h,Q$1,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21" cm="1">
        <f t="array" ref="R21">_xlfn.LET(
_xlpm.h,R$1,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1" cm="1">
        <f t="array" ref="T21">_xlfn.LET(
_xlpm.h,T$1,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_xlpm.baseLv,MAX($F21:$J21),
_xlpm.magicLv,$G21,
_xlpm.faithLv,$H21,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2" spans="1:48" x14ac:dyDescent="0.4">
      <c r="A22" t="s">
        <v>737</v>
      </c>
      <c r="B22" t="s">
        <v>504</v>
      </c>
      <c r="C22" s="17" t="s">
        <v>763</v>
      </c>
      <c r="D22" s="17">
        <v>2</v>
      </c>
      <c r="J22">
        <v>1</v>
      </c>
      <c r="K22" cm="1">
        <f t="array" ref="K22">_xlfn.LET(
_xlpm.h,K$1,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22" cm="1">
        <f t="array" ref="L22">_xlfn.LET(
_xlpm.h,L$1,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2" cm="1">
        <f t="array" ref="M22">_xlfn.LET(
_xlpm.h,M$1,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_xlpm.h,O$1,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2" cm="1">
        <f t="array" ref="O22">_xlfn.LET(
_xlpm.h,O$1,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2" cm="1">
        <f t="array" ref="Q22">_xlfn.LET(
_xlpm.h,Q$1,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_xlpm.baseLv,MAX($F22:$J22),
_xlpm.magicLv,$G22,
_xlpm.faithLv,$H22,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22" s="39">
        <v>1</v>
      </c>
    </row>
    <row r="23" spans="1:48" x14ac:dyDescent="0.4">
      <c r="A23" t="s">
        <v>738</v>
      </c>
      <c r="B23" t="s">
        <v>505</v>
      </c>
      <c r="C23" s="17" t="s">
        <v>764</v>
      </c>
      <c r="D23" s="17">
        <v>2</v>
      </c>
      <c r="J23">
        <v>1</v>
      </c>
      <c r="K23" cm="1">
        <f t="array" ref="K23">_xlfn.LET(
_xlpm.h,K$1,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23" cm="1">
        <f t="array" ref="L23">_xlfn.LET(
_xlpm.h,L$1,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3" cm="1">
        <f t="array" ref="M23">_xlfn.LET(
_xlpm.h,M$1,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_xlpm.h,O$1,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3" cm="1">
        <f t="array" ref="O23">_xlfn.LET(
_xlpm.h,O$1,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3" cm="1">
        <f t="array" ref="Q23">_xlfn.LET(
_xlpm.h,Q$1,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_xlpm.baseLv,MAX($F23:$J23),
_xlpm.magicLv,$G23,
_xlpm.faithLv,$H23,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3" s="39">
        <v>1</v>
      </c>
    </row>
    <row r="24" spans="1:48" x14ac:dyDescent="0.4">
      <c r="A24" t="s">
        <v>739</v>
      </c>
      <c r="B24" t="s">
        <v>766</v>
      </c>
      <c r="C24" s="17" t="s">
        <v>765</v>
      </c>
      <c r="D24" s="17">
        <v>2</v>
      </c>
      <c r="J24">
        <v>1</v>
      </c>
      <c r="K24" cm="1">
        <f t="array" ref="K24">_xlfn.LET(
_xlpm.h,K$1,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24" cm="1">
        <f t="array" ref="L24">_xlfn.LET(
_xlpm.h,L$1,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4" cm="1">
        <f t="array" ref="M24">_xlfn.LET(
_xlpm.h,M$1,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_xlpm.h,O$1,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4" cm="1">
        <f t="array" ref="O24">_xlfn.LET(
_xlpm.h,O$1,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4" cm="1">
        <f t="array" ref="Q24">_xlfn.LET(
_xlpm.h,Q$1,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_xlpm.baseLv,MAX($F24:$J24),
_xlpm.magicLv,$G24,
_xlpm.faithLv,$H24,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4" s="39">
        <v>1</v>
      </c>
    </row>
    <row r="25" spans="1:48" x14ac:dyDescent="0.4">
      <c r="A25" t="s">
        <v>740</v>
      </c>
      <c r="B25" t="s">
        <v>749</v>
      </c>
      <c r="C25" s="17" t="s">
        <v>767</v>
      </c>
      <c r="D25" s="17">
        <v>2</v>
      </c>
      <c r="F25">
        <v>1</v>
      </c>
      <c r="J25">
        <v>1</v>
      </c>
      <c r="K25" cm="1">
        <f t="array" ref="K25">_xlfn.LET(
_xlpm.h,K$1,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25" cm="1">
        <f t="array" ref="L25">_xlfn.LET(
_xlpm.h,L$1,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5" cm="1">
        <f t="array" ref="M25">_xlfn.LET(
_xlpm.h,M$1,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_xlpm.h,O$1,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5" cm="1">
        <f t="array" ref="O25">_xlfn.LET(
_xlpm.h,O$1,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5" cm="1">
        <f t="array" ref="Q25">_xlfn.LET(
_xlpm.h,Q$1,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_xlpm.baseLv,MAX($F25:$J25),
_xlpm.magicLv,$G25,
_xlpm.faithLv,$H25,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5" s="39">
        <v>1</v>
      </c>
    </row>
    <row r="26" spans="1:48" x14ac:dyDescent="0.4">
      <c r="A26" t="s">
        <v>743</v>
      </c>
      <c r="B26" t="s">
        <v>748</v>
      </c>
      <c r="C26" s="17" t="s">
        <v>768</v>
      </c>
      <c r="D26" s="17">
        <v>2</v>
      </c>
      <c r="J26">
        <v>2</v>
      </c>
      <c r="K26" cm="1">
        <f t="array" ref="K26">_xlfn.LET(
_xlpm.h,K$1,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26" cm="1">
        <f t="array" ref="L26">_xlfn.LET(
_xlpm.h,L$1,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6" cm="1">
        <f t="array" ref="M26">_xlfn.LET(
_xlpm.h,M$1,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_xlpm.h,O$1,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6" cm="1">
        <f t="array" ref="O26">_xlfn.LET(
_xlpm.h,O$1,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6" cm="1">
        <f t="array" ref="Q26">_xlfn.LET(
_xlpm.h,Q$1,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_xlpm.baseLv,MAX($F26:$J26),
_xlpm.magicLv,$G26,
_xlpm.faithLv,$H26,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6" s="39">
        <v>1</v>
      </c>
    </row>
    <row r="27" spans="1:48" x14ac:dyDescent="0.4">
      <c r="A27" t="s">
        <v>741</v>
      </c>
      <c r="B27" t="s">
        <v>753</v>
      </c>
      <c r="C27" s="17" t="s">
        <v>769</v>
      </c>
      <c r="D27" s="17">
        <v>2</v>
      </c>
      <c r="J27">
        <v>1</v>
      </c>
      <c r="K27" cm="1">
        <f t="array" ref="K27">_xlfn.LET(
_xlpm.h,K$1,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27" cm="1">
        <f t="array" ref="L27">_xlfn.LET(
_xlpm.h,L$1,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7" cm="1">
        <f t="array" ref="M27">_xlfn.LET(
_xlpm.h,M$1,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_xlpm.h,O$1,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7" cm="1">
        <f t="array" ref="O27">_xlfn.LET(
_xlpm.h,O$1,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7" cm="1">
        <f t="array" ref="Q27">_xlfn.LET(
_xlpm.h,Q$1,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_xlpm.baseLv,MAX($F27:$J27),
_xlpm.magicLv,$G27,
_xlpm.faithLv,$H27,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8" spans="1:48" x14ac:dyDescent="0.4">
      <c r="A28" t="s">
        <v>742</v>
      </c>
      <c r="B28" t="s">
        <v>753</v>
      </c>
      <c r="C28" s="17" t="s">
        <v>770</v>
      </c>
      <c r="D28" s="17">
        <v>2</v>
      </c>
      <c r="J28">
        <v>2</v>
      </c>
      <c r="K28" cm="1">
        <f t="array" ref="K28">_xlfn.LET(
_xlpm.h,K$1,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28" cm="1">
        <f t="array" ref="L28">_xlfn.LET(
_xlpm.h,L$1,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8" cm="1">
        <f t="array" ref="M28">_xlfn.LET(
_xlpm.h,M$1,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_xlpm.h,O$1,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8" cm="1">
        <f t="array" ref="O28">_xlfn.LET(
_xlpm.h,O$1,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8" cm="1">
        <f t="array" ref="Q28">_xlfn.LET(
_xlpm.h,Q$1,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_xlpm.baseLv,MAX($F28:$J28),
_xlpm.magicLv,$G28,
_xlpm.faithLv,$H28,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9" spans="1:48" x14ac:dyDescent="0.4">
      <c r="A29" t="s">
        <v>726</v>
      </c>
      <c r="B29" t="s">
        <v>753</v>
      </c>
      <c r="C29" s="17" t="s">
        <v>771</v>
      </c>
      <c r="D29" s="17">
        <v>2</v>
      </c>
      <c r="J29">
        <v>2</v>
      </c>
      <c r="K29" cm="1">
        <f t="array" ref="K29">_xlfn.LET(
_xlpm.h,K$1,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29" cm="1">
        <f t="array" ref="L29">_xlfn.LET(
_xlpm.h,L$1,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9" cm="1">
        <f t="array" ref="M29">_xlfn.LET(
_xlpm.h,M$1,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_xlpm.h,O$1,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9" cm="1">
        <f t="array" ref="O29">_xlfn.LET(
_xlpm.h,O$1,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9" cm="1">
        <f t="array" ref="Q29">_xlfn.LET(
_xlpm.h,Q$1,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_xlpm.baseLv,MAX($F29:$J29),
_xlpm.magicLv,$G29,
_xlpm.faithLv,$H29,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T29">
        <v>3</v>
      </c>
      <c r="AU29">
        <v>10</v>
      </c>
      <c r="AV29">
        <v>10</v>
      </c>
    </row>
    <row r="30" spans="1:48" x14ac:dyDescent="0.4">
      <c r="A30" t="s">
        <v>750</v>
      </c>
      <c r="B30" t="s">
        <v>751</v>
      </c>
      <c r="C30" s="17" t="s">
        <v>772</v>
      </c>
      <c r="D30" s="17">
        <v>2</v>
      </c>
      <c r="H30">
        <v>1</v>
      </c>
      <c r="J30">
        <v>3</v>
      </c>
      <c r="K30" cm="1">
        <f t="array" ref="K30">_xlfn.LET(
_xlpm.h,K$1,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30" cm="1">
        <f t="array" ref="L30">_xlfn.LET(
_xlpm.h,L$1,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0" cm="1">
        <f t="array" ref="N30">_xlfn.LET(
_xlpm.h,O$1,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30" cm="1">
        <f t="array" ref="O30">_xlfn.LET(
_xlpm.h,O$1,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0" cm="1">
        <f t="array" ref="R30">_xlfn.LET(
_xlpm.h,R$1,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_xlpm.baseLv,MAX($F30:$J30),
_xlpm.magicLv,$G30,
_xlpm.faithLv,$H30,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T30">
        <v>3</v>
      </c>
    </row>
    <row r="31" spans="1:48" x14ac:dyDescent="0.4">
      <c r="F31">
        <v>2</v>
      </c>
      <c r="G31">
        <v>2</v>
      </c>
      <c r="H31">
        <v>2</v>
      </c>
      <c r="I31">
        <v>2</v>
      </c>
      <c r="J31">
        <v>2</v>
      </c>
      <c r="K31" cm="1">
        <f t="array" ref="K31">_xlfn.LET(
_xlpm.h,K$1,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31" cm="1">
        <f t="array" ref="L31">_xlfn.LET(
_xlpm.h,L$1,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_xlpm.h,O$1,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31" cm="1">
        <f t="array" ref="O31">_xlfn.LET(
_xlpm.h,O$1,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31" cm="1">
        <f t="array" ref="P31">_xlfn.LET(
_xlpm.h,P$1,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_xlpm.baseLv,MAX($F31:$J31),
_xlpm.magicLv,$G31,
_xlpm.faithLv,$H31,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48" x14ac:dyDescent="0.4">
      <c r="K32" cm="1">
        <f t="array" ref="K32">_xlfn.LET(
_xlpm.h,K$1,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2" cm="1">
        <f t="array" ref="L32">_xlfn.LET(
_xlpm.h,L$1,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_xlpm.h,O$1,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_xlpm.h,O$1,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_xlpm.baseLv,MAX($F32:$J32),
_xlpm.magicLv,$G32,
_xlpm.faithLv,$H32,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1:23" x14ac:dyDescent="0.4">
      <c r="K33" cm="1">
        <f t="array" ref="K33">_xlfn.LET(
_xlpm.h,K$1,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3" cm="1">
        <f t="array" ref="L33">_xlfn.LET(
_xlpm.h,L$1,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_xlpm.h,O$1,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_xlpm.h,O$1,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_xlpm.baseLv,MAX($F33:$J33),
_xlpm.magicLv,$G33,
_xlpm.faithLv,$H33,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1:23" x14ac:dyDescent="0.4">
      <c r="K34" cm="1">
        <f t="array" ref="K34">_xlfn.LET(
_xlpm.h,K$1,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4" cm="1">
        <f t="array" ref="L34">_xlfn.LET(
_xlpm.h,L$1,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_xlpm.h,O$1,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_xlpm.h,O$1,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_xlpm.baseLv,MAX($F34:$J34),
_xlpm.magicLv,$G34,
_xlpm.faithLv,$H34,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1:23" x14ac:dyDescent="0.4">
      <c r="K35" cm="1">
        <f t="array" ref="K35">_xlfn.LET(
_xlpm.h,K$1,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5" cm="1">
        <f t="array" ref="L35">_xlfn.LET(
_xlpm.h,L$1,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_xlpm.h,O$1,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_xlpm.h,O$1,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_xlpm.baseLv,MAX($F35:$J35),
_xlpm.magicLv,$G35,
_xlpm.faithLv,$H35,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1:23" x14ac:dyDescent="0.4">
      <c r="K36" cm="1">
        <f t="array" ref="K36">_xlfn.LET(
_xlpm.h,K$1,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6" cm="1">
        <f t="array" ref="L36">_xlfn.LET(
_xlpm.h,L$1,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_xlpm.h,O$1,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_xlpm.h,O$1,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_xlpm.baseLv,MAX($F36:$J36),
_xlpm.magicLv,$G36,
_xlpm.faithLv,$H36,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1:23" x14ac:dyDescent="0.4">
      <c r="K37" cm="1">
        <f t="array" ref="K37">_xlfn.LET(
_xlpm.h,K$1,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7" cm="1">
        <f t="array" ref="L37">_xlfn.LET(
_xlpm.h,L$1,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_xlpm.h,O$1,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_xlpm.h,O$1,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_xlpm.baseLv,MAX($F37:$J37),
_xlpm.magicLv,$G37,
_xlpm.faithLv,$H37,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1:23" x14ac:dyDescent="0.4">
      <c r="K38" cm="1">
        <f t="array" ref="K38">_xlfn.LET(
_xlpm.h,K$1,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8" cm="1">
        <f t="array" ref="L38">_xlfn.LET(
_xlpm.h,L$1,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_xlpm.h,O$1,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_xlpm.h,O$1,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_xlpm.baseLv,MAX($F38:$J38),
_xlpm.magicLv,$G38,
_xlpm.faithLv,$H38,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E2" activePane="bottomRight" state="frozen"/>
      <selection pane="topRight" activeCell="E1" sqref="E1"/>
      <selection pane="bottomLeft" activeCell="A2" sqref="A2"/>
      <selection pane="bottomRight" activeCell="L13" sqref="L13"/>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518</v>
      </c>
      <c r="B1" t="s">
        <v>1062</v>
      </c>
      <c r="C1" t="s">
        <v>10</v>
      </c>
      <c r="D1" t="s">
        <v>666</v>
      </c>
      <c r="E1" t="s">
        <v>621</v>
      </c>
      <c r="F1" t="s">
        <v>625</v>
      </c>
      <c r="G1" t="s">
        <v>626</v>
      </c>
      <c r="H1" t="s">
        <v>627</v>
      </c>
      <c r="I1" t="s">
        <v>628</v>
      </c>
      <c r="J1" t="s">
        <v>630</v>
      </c>
      <c r="K1" t="s">
        <v>633</v>
      </c>
      <c r="L1" t="s">
        <v>629</v>
      </c>
      <c r="M1" t="s">
        <v>776</v>
      </c>
      <c r="N1" t="s">
        <v>634</v>
      </c>
      <c r="O1" t="s">
        <v>778</v>
      </c>
      <c r="P1" s="43" t="s">
        <v>480</v>
      </c>
      <c r="Q1" s="43" t="s">
        <v>481</v>
      </c>
      <c r="R1" s="43" t="s">
        <v>482</v>
      </c>
      <c r="S1" s="43" t="s">
        <v>483</v>
      </c>
      <c r="T1" s="42" t="s">
        <v>484</v>
      </c>
      <c r="U1" s="42" t="s">
        <v>485</v>
      </c>
      <c r="V1" s="42" t="s">
        <v>486</v>
      </c>
      <c r="W1" s="44" t="s">
        <v>487</v>
      </c>
      <c r="X1" s="44" t="s">
        <v>488</v>
      </c>
      <c r="Y1" s="44" t="s">
        <v>489</v>
      </c>
      <c r="Z1" s="44" t="s">
        <v>490</v>
      </c>
      <c r="AA1" s="44" t="s">
        <v>491</v>
      </c>
      <c r="AB1" s="36" t="s">
        <v>492</v>
      </c>
      <c r="AC1" s="36" t="s">
        <v>493</v>
      </c>
      <c r="AD1" s="36" t="s">
        <v>494</v>
      </c>
      <c r="AE1" s="56" t="s">
        <v>957</v>
      </c>
      <c r="AF1" s="56" t="s">
        <v>954</v>
      </c>
      <c r="AG1" t="s">
        <v>958</v>
      </c>
      <c r="AH1" s="36" t="s">
        <v>960</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1053</v>
      </c>
      <c r="AW1" s="29" t="s">
        <v>6</v>
      </c>
    </row>
    <row r="2" spans="1:49" x14ac:dyDescent="0.4">
      <c r="A2" t="s">
        <v>1095</v>
      </c>
      <c r="B2" t="s">
        <v>1055</v>
      </c>
      <c r="C2">
        <v>1</v>
      </c>
      <c r="D2" t="s">
        <v>1063</v>
      </c>
    </row>
    <row r="3" spans="1:49" outlineLevel="1" x14ac:dyDescent="0.4">
      <c r="A3" t="s">
        <v>1096</v>
      </c>
      <c r="B3" t="s">
        <v>1055</v>
      </c>
      <c r="C3">
        <v>1</v>
      </c>
      <c r="D3" t="s">
        <v>1064</v>
      </c>
    </row>
    <row r="4" spans="1:49" outlineLevel="1" x14ac:dyDescent="0.4">
      <c r="A4" t="s">
        <v>1097</v>
      </c>
      <c r="B4" t="s">
        <v>1055</v>
      </c>
      <c r="C4">
        <v>1</v>
      </c>
      <c r="D4" t="s">
        <v>1065</v>
      </c>
    </row>
    <row r="5" spans="1:49" outlineLevel="1" x14ac:dyDescent="0.4">
      <c r="A5" t="s">
        <v>1098</v>
      </c>
      <c r="B5" t="s">
        <v>1055</v>
      </c>
      <c r="C5">
        <v>2</v>
      </c>
      <c r="D5" t="s">
        <v>1084</v>
      </c>
    </row>
    <row r="6" spans="1:49" outlineLevel="1" x14ac:dyDescent="0.4">
      <c r="A6" t="s">
        <v>1099</v>
      </c>
      <c r="B6" t="s">
        <v>1055</v>
      </c>
      <c r="C6">
        <v>2</v>
      </c>
      <c r="D6" t="s">
        <v>1085</v>
      </c>
    </row>
    <row r="7" spans="1:49" outlineLevel="1" x14ac:dyDescent="0.4">
      <c r="A7" t="s">
        <v>1100</v>
      </c>
      <c r="B7" t="s">
        <v>1055</v>
      </c>
      <c r="C7">
        <v>2</v>
      </c>
      <c r="D7" t="s">
        <v>1088</v>
      </c>
    </row>
    <row r="8" spans="1:49" outlineLevel="1" x14ac:dyDescent="0.4">
      <c r="A8" t="s">
        <v>1101</v>
      </c>
      <c r="B8" t="s">
        <v>1055</v>
      </c>
      <c r="C8">
        <v>3</v>
      </c>
      <c r="D8" t="s">
        <v>1086</v>
      </c>
    </row>
    <row r="9" spans="1:49" outlineLevel="1" x14ac:dyDescent="0.4">
      <c r="A9" t="s">
        <v>1089</v>
      </c>
      <c r="B9" t="s">
        <v>1055</v>
      </c>
      <c r="C9">
        <v>3</v>
      </c>
      <c r="D9" t="s">
        <v>1091</v>
      </c>
    </row>
    <row r="10" spans="1:49" outlineLevel="1" x14ac:dyDescent="0.4">
      <c r="A10" t="s">
        <v>1092</v>
      </c>
      <c r="B10" t="s">
        <v>1055</v>
      </c>
      <c r="C10">
        <v>3</v>
      </c>
      <c r="D10" t="s">
        <v>1092</v>
      </c>
    </row>
    <row r="11" spans="1:49" outlineLevel="1" x14ac:dyDescent="0.4">
      <c r="A11" t="s">
        <v>1102</v>
      </c>
      <c r="B11" t="s">
        <v>1055</v>
      </c>
      <c r="C11">
        <v>4</v>
      </c>
      <c r="D11" t="s">
        <v>1093</v>
      </c>
    </row>
    <row r="12" spans="1:49" outlineLevel="1" x14ac:dyDescent="0.4">
      <c r="A12" t="s">
        <v>1094</v>
      </c>
      <c r="B12" t="s">
        <v>1055</v>
      </c>
      <c r="C12">
        <v>4</v>
      </c>
      <c r="D12" t="s">
        <v>1087</v>
      </c>
    </row>
    <row r="13" spans="1:49" outlineLevel="1" x14ac:dyDescent="0.4">
      <c r="A13" t="s">
        <v>1103</v>
      </c>
      <c r="B13" t="s">
        <v>1055</v>
      </c>
      <c r="C13">
        <v>4</v>
      </c>
      <c r="D13" t="s">
        <v>1090</v>
      </c>
    </row>
    <row r="14" spans="1:49" outlineLevel="1" x14ac:dyDescent="0.4">
      <c r="B14" t="s">
        <v>1056</v>
      </c>
      <c r="C14">
        <f t="shared" ref="C14:C21" si="0">C11+1</f>
        <v>5</v>
      </c>
    </row>
    <row r="15" spans="1:49" outlineLevel="1" x14ac:dyDescent="0.4">
      <c r="B15" t="s">
        <v>1056</v>
      </c>
      <c r="C15">
        <f t="shared" si="0"/>
        <v>5</v>
      </c>
    </row>
    <row r="16" spans="1:49" outlineLevel="1" x14ac:dyDescent="0.4">
      <c r="B16" t="s">
        <v>1056</v>
      </c>
      <c r="C16">
        <f t="shared" si="0"/>
        <v>5</v>
      </c>
    </row>
    <row r="17" spans="1:4" outlineLevel="1" x14ac:dyDescent="0.4">
      <c r="B17" t="s">
        <v>1056</v>
      </c>
      <c r="C17">
        <f t="shared" si="0"/>
        <v>6</v>
      </c>
    </row>
    <row r="18" spans="1:4" outlineLevel="1" x14ac:dyDescent="0.4">
      <c r="B18" t="s">
        <v>1056</v>
      </c>
      <c r="C18">
        <f t="shared" si="0"/>
        <v>6</v>
      </c>
    </row>
    <row r="19" spans="1:4" outlineLevel="1" x14ac:dyDescent="0.4">
      <c r="B19" t="s">
        <v>1056</v>
      </c>
      <c r="C19">
        <f t="shared" si="0"/>
        <v>6</v>
      </c>
    </row>
    <row r="20" spans="1:4" outlineLevel="1" x14ac:dyDescent="0.4">
      <c r="B20" t="s">
        <v>1056</v>
      </c>
      <c r="C20">
        <f t="shared" si="0"/>
        <v>7</v>
      </c>
    </row>
    <row r="21" spans="1:4" outlineLevel="1" x14ac:dyDescent="0.4">
      <c r="B21" t="s">
        <v>1056</v>
      </c>
      <c r="C21">
        <f t="shared" si="0"/>
        <v>7</v>
      </c>
    </row>
    <row r="22" spans="1:4" outlineLevel="1" x14ac:dyDescent="0.4">
      <c r="A22" t="s">
        <v>518</v>
      </c>
      <c r="B22" t="s">
        <v>1062</v>
      </c>
      <c r="C22" t="s">
        <v>10</v>
      </c>
      <c r="D22" t="s">
        <v>666</v>
      </c>
    </row>
    <row r="23" spans="1:4" x14ac:dyDescent="0.4">
      <c r="A23" t="s">
        <v>1156</v>
      </c>
      <c r="B23" t="s">
        <v>104</v>
      </c>
      <c r="C23">
        <v>1</v>
      </c>
      <c r="D23" t="s">
        <v>1113</v>
      </c>
    </row>
    <row r="24" spans="1:4" outlineLevel="1" x14ac:dyDescent="0.4">
      <c r="A24" t="s">
        <v>1157</v>
      </c>
      <c r="B24" t="s">
        <v>104</v>
      </c>
      <c r="C24">
        <v>1</v>
      </c>
      <c r="D24" t="s">
        <v>1104</v>
      </c>
    </row>
    <row r="25" spans="1:4" outlineLevel="1" x14ac:dyDescent="0.4">
      <c r="A25" t="s">
        <v>1158</v>
      </c>
      <c r="B25" t="s">
        <v>104</v>
      </c>
      <c r="C25">
        <v>1</v>
      </c>
      <c r="D25" t="s">
        <v>1066</v>
      </c>
    </row>
    <row r="26" spans="1:4" outlineLevel="1" x14ac:dyDescent="0.4">
      <c r="A26" t="s">
        <v>1159</v>
      </c>
      <c r="B26" t="s">
        <v>104</v>
      </c>
      <c r="C26">
        <v>2</v>
      </c>
      <c r="D26" t="s">
        <v>1107</v>
      </c>
    </row>
    <row r="27" spans="1:4" outlineLevel="1" x14ac:dyDescent="0.4">
      <c r="A27" t="s">
        <v>1160</v>
      </c>
      <c r="B27" t="s">
        <v>104</v>
      </c>
      <c r="C27">
        <v>2</v>
      </c>
      <c r="D27" t="s">
        <v>1108</v>
      </c>
    </row>
    <row r="28" spans="1:4" outlineLevel="1" x14ac:dyDescent="0.4">
      <c r="A28" t="s">
        <v>1161</v>
      </c>
      <c r="B28" t="s">
        <v>104</v>
      </c>
      <c r="C28">
        <v>2</v>
      </c>
      <c r="D28" t="s">
        <v>1109</v>
      </c>
    </row>
    <row r="29" spans="1:4" outlineLevel="1" x14ac:dyDescent="0.4">
      <c r="A29" t="s">
        <v>1162</v>
      </c>
      <c r="B29" t="s">
        <v>104</v>
      </c>
      <c r="C29">
        <v>3</v>
      </c>
      <c r="D29" t="s">
        <v>1163</v>
      </c>
    </row>
    <row r="30" spans="1:4" outlineLevel="1" x14ac:dyDescent="0.4">
      <c r="A30" t="s">
        <v>1164</v>
      </c>
      <c r="B30" t="s">
        <v>104</v>
      </c>
      <c r="C30">
        <v>3</v>
      </c>
      <c r="D30" t="s">
        <v>1070</v>
      </c>
    </row>
    <row r="31" spans="1:4" outlineLevel="1" x14ac:dyDescent="0.4">
      <c r="A31" t="s">
        <v>1105</v>
      </c>
      <c r="B31" t="s">
        <v>104</v>
      </c>
      <c r="C31">
        <v>3</v>
      </c>
      <c r="D31" t="s">
        <v>1111</v>
      </c>
    </row>
    <row r="32" spans="1:4" outlineLevel="1" x14ac:dyDescent="0.4">
      <c r="A32" t="s">
        <v>1165</v>
      </c>
      <c r="B32" t="s">
        <v>104</v>
      </c>
      <c r="C32">
        <v>4</v>
      </c>
      <c r="D32" t="s">
        <v>1166</v>
      </c>
    </row>
    <row r="33" spans="1:4" outlineLevel="1" x14ac:dyDescent="0.4">
      <c r="A33" t="s">
        <v>1167</v>
      </c>
      <c r="B33" t="s">
        <v>104</v>
      </c>
      <c r="C33">
        <v>4</v>
      </c>
      <c r="D33" t="s">
        <v>1120</v>
      </c>
    </row>
    <row r="34" spans="1:4" outlineLevel="1" x14ac:dyDescent="0.4">
      <c r="A34" t="s">
        <v>1110</v>
      </c>
      <c r="B34" t="s">
        <v>104</v>
      </c>
      <c r="C34">
        <v>4</v>
      </c>
      <c r="D34" t="s">
        <v>1112</v>
      </c>
    </row>
    <row r="35" spans="1:4" outlineLevel="1" x14ac:dyDescent="0.4">
      <c r="B35" t="s">
        <v>1057</v>
      </c>
      <c r="C35">
        <f t="shared" ref="C35:C42" si="1">C32+1</f>
        <v>5</v>
      </c>
    </row>
    <row r="36" spans="1:4" outlineLevel="1" x14ac:dyDescent="0.4">
      <c r="B36" t="s">
        <v>1057</v>
      </c>
      <c r="C36">
        <f t="shared" si="1"/>
        <v>5</v>
      </c>
    </row>
    <row r="37" spans="1:4" outlineLevel="1" x14ac:dyDescent="0.4">
      <c r="B37" t="s">
        <v>1057</v>
      </c>
      <c r="C37">
        <f t="shared" si="1"/>
        <v>5</v>
      </c>
    </row>
    <row r="38" spans="1:4" outlineLevel="1" x14ac:dyDescent="0.4">
      <c r="B38" t="s">
        <v>1057</v>
      </c>
      <c r="C38">
        <f t="shared" si="1"/>
        <v>6</v>
      </c>
    </row>
    <row r="39" spans="1:4" outlineLevel="1" x14ac:dyDescent="0.4">
      <c r="B39" t="s">
        <v>1057</v>
      </c>
      <c r="C39">
        <f t="shared" si="1"/>
        <v>6</v>
      </c>
    </row>
    <row r="40" spans="1:4" outlineLevel="1" x14ac:dyDescent="0.4">
      <c r="B40" t="s">
        <v>1057</v>
      </c>
      <c r="C40">
        <f t="shared" si="1"/>
        <v>6</v>
      </c>
    </row>
    <row r="41" spans="1:4" outlineLevel="1" x14ac:dyDescent="0.4">
      <c r="B41" t="s">
        <v>1057</v>
      </c>
      <c r="C41">
        <f t="shared" si="1"/>
        <v>7</v>
      </c>
    </row>
    <row r="42" spans="1:4" outlineLevel="1" x14ac:dyDescent="0.4">
      <c r="B42" t="s">
        <v>1057</v>
      </c>
      <c r="C42">
        <f t="shared" si="1"/>
        <v>7</v>
      </c>
    </row>
    <row r="43" spans="1:4" outlineLevel="1" x14ac:dyDescent="0.4">
      <c r="A43" t="s">
        <v>518</v>
      </c>
      <c r="B43" t="s">
        <v>1062</v>
      </c>
      <c r="C43" t="s">
        <v>10</v>
      </c>
      <c r="D43" t="s">
        <v>666</v>
      </c>
    </row>
    <row r="44" spans="1:4" x14ac:dyDescent="0.4">
      <c r="A44" t="s">
        <v>1168</v>
      </c>
      <c r="B44" t="s">
        <v>6</v>
      </c>
      <c r="C44">
        <v>1</v>
      </c>
      <c r="D44" t="s">
        <v>1071</v>
      </c>
    </row>
    <row r="45" spans="1:4" outlineLevel="1" x14ac:dyDescent="0.4">
      <c r="A45" t="s">
        <v>1169</v>
      </c>
      <c r="B45" t="s">
        <v>6</v>
      </c>
      <c r="C45">
        <v>1</v>
      </c>
      <c r="D45" t="s">
        <v>1117</v>
      </c>
    </row>
    <row r="46" spans="1:4" outlineLevel="1" x14ac:dyDescent="0.4">
      <c r="A46" t="s">
        <v>1170</v>
      </c>
      <c r="B46" t="s">
        <v>6</v>
      </c>
      <c r="C46">
        <v>1</v>
      </c>
      <c r="D46" t="s">
        <v>1067</v>
      </c>
    </row>
    <row r="47" spans="1:4" outlineLevel="1" x14ac:dyDescent="0.4">
      <c r="A47" t="s">
        <v>1171</v>
      </c>
      <c r="B47" t="s">
        <v>6</v>
      </c>
      <c r="C47">
        <v>2</v>
      </c>
      <c r="D47" t="s">
        <v>1114</v>
      </c>
    </row>
    <row r="48" spans="1:4" outlineLevel="1" x14ac:dyDescent="0.4">
      <c r="A48" t="s">
        <v>1172</v>
      </c>
      <c r="B48" t="s">
        <v>6</v>
      </c>
      <c r="C48">
        <v>2</v>
      </c>
      <c r="D48" t="s">
        <v>1118</v>
      </c>
    </row>
    <row r="49" spans="1:4" outlineLevel="1" x14ac:dyDescent="0.4">
      <c r="A49" t="s">
        <v>1173</v>
      </c>
      <c r="B49" t="s">
        <v>6</v>
      </c>
      <c r="C49">
        <v>2</v>
      </c>
      <c r="D49" t="s">
        <v>1109</v>
      </c>
    </row>
    <row r="50" spans="1:4" outlineLevel="1" x14ac:dyDescent="0.4">
      <c r="A50" t="s">
        <v>1174</v>
      </c>
      <c r="B50" t="s">
        <v>6</v>
      </c>
      <c r="C50">
        <v>3</v>
      </c>
      <c r="D50" t="s">
        <v>1163</v>
      </c>
    </row>
    <row r="51" spans="1:4" outlineLevel="1" x14ac:dyDescent="0.4">
      <c r="A51" t="s">
        <v>1175</v>
      </c>
      <c r="B51" t="s">
        <v>6</v>
      </c>
      <c r="C51">
        <v>3</v>
      </c>
      <c r="D51" t="s">
        <v>1119</v>
      </c>
    </row>
    <row r="52" spans="1:4" outlineLevel="1" x14ac:dyDescent="0.4">
      <c r="A52" t="s">
        <v>1106</v>
      </c>
      <c r="B52" t="s">
        <v>6</v>
      </c>
      <c r="C52">
        <v>3</v>
      </c>
      <c r="D52" t="s">
        <v>1115</v>
      </c>
    </row>
    <row r="53" spans="1:4" outlineLevel="1" x14ac:dyDescent="0.4">
      <c r="A53" t="s">
        <v>1176</v>
      </c>
      <c r="B53" t="s">
        <v>6</v>
      </c>
      <c r="C53">
        <v>4</v>
      </c>
      <c r="D53" t="s">
        <v>1120</v>
      </c>
    </row>
    <row r="54" spans="1:4" outlineLevel="1" x14ac:dyDescent="0.4">
      <c r="A54" t="s">
        <v>1177</v>
      </c>
      <c r="B54" t="s">
        <v>6</v>
      </c>
      <c r="C54">
        <v>4</v>
      </c>
      <c r="D54" t="s">
        <v>1178</v>
      </c>
    </row>
    <row r="55" spans="1:4" outlineLevel="1" x14ac:dyDescent="0.4">
      <c r="A55" t="s">
        <v>1179</v>
      </c>
      <c r="B55" t="s">
        <v>6</v>
      </c>
      <c r="C55">
        <v>4</v>
      </c>
      <c r="D55" t="s">
        <v>1116</v>
      </c>
    </row>
    <row r="56" spans="1:4" outlineLevel="1" x14ac:dyDescent="0.4">
      <c r="B56" t="s">
        <v>1058</v>
      </c>
      <c r="C56">
        <f t="shared" ref="C56:C64" si="2">C53+1</f>
        <v>5</v>
      </c>
    </row>
    <row r="57" spans="1:4" outlineLevel="1" x14ac:dyDescent="0.4">
      <c r="B57" t="s">
        <v>1058</v>
      </c>
      <c r="C57">
        <f t="shared" si="2"/>
        <v>5</v>
      </c>
    </row>
    <row r="58" spans="1:4" outlineLevel="1" x14ac:dyDescent="0.4">
      <c r="B58" t="s">
        <v>1058</v>
      </c>
      <c r="C58">
        <f t="shared" si="2"/>
        <v>5</v>
      </c>
    </row>
    <row r="59" spans="1:4" outlineLevel="1" x14ac:dyDescent="0.4">
      <c r="B59" t="s">
        <v>1058</v>
      </c>
      <c r="C59">
        <f t="shared" si="2"/>
        <v>6</v>
      </c>
    </row>
    <row r="60" spans="1:4" outlineLevel="1" x14ac:dyDescent="0.4">
      <c r="B60" t="s">
        <v>1058</v>
      </c>
      <c r="C60">
        <f t="shared" si="2"/>
        <v>6</v>
      </c>
    </row>
    <row r="61" spans="1:4" outlineLevel="1" x14ac:dyDescent="0.4">
      <c r="B61" t="s">
        <v>1058</v>
      </c>
      <c r="C61">
        <f t="shared" si="2"/>
        <v>6</v>
      </c>
    </row>
    <row r="62" spans="1:4" outlineLevel="1" x14ac:dyDescent="0.4">
      <c r="B62" t="s">
        <v>1058</v>
      </c>
      <c r="C62">
        <f t="shared" si="2"/>
        <v>7</v>
      </c>
    </row>
    <row r="63" spans="1:4" outlineLevel="1" x14ac:dyDescent="0.4">
      <c r="B63" t="s">
        <v>1058</v>
      </c>
      <c r="C63">
        <f t="shared" si="2"/>
        <v>7</v>
      </c>
    </row>
    <row r="64" spans="1:4" outlineLevel="1" x14ac:dyDescent="0.4">
      <c r="B64" t="s">
        <v>1058</v>
      </c>
      <c r="C64">
        <f t="shared" si="2"/>
        <v>7</v>
      </c>
    </row>
    <row r="65" spans="1:4" x14ac:dyDescent="0.4">
      <c r="A65" t="s">
        <v>1144</v>
      </c>
      <c r="B65" t="s">
        <v>675</v>
      </c>
      <c r="C65">
        <v>1</v>
      </c>
      <c r="D65" t="s">
        <v>1072</v>
      </c>
    </row>
    <row r="66" spans="1:4" outlineLevel="1" x14ac:dyDescent="0.4">
      <c r="A66" t="s">
        <v>1145</v>
      </c>
      <c r="B66" t="s">
        <v>675</v>
      </c>
      <c r="C66">
        <v>1</v>
      </c>
      <c r="D66" t="s">
        <v>1078</v>
      </c>
    </row>
    <row r="67" spans="1:4" outlineLevel="1" x14ac:dyDescent="0.4">
      <c r="A67" t="s">
        <v>1146</v>
      </c>
      <c r="B67" t="s">
        <v>675</v>
      </c>
      <c r="C67">
        <v>1</v>
      </c>
      <c r="D67" t="s">
        <v>1068</v>
      </c>
    </row>
    <row r="68" spans="1:4" outlineLevel="1" x14ac:dyDescent="0.4">
      <c r="A68" t="s">
        <v>1147</v>
      </c>
      <c r="B68" t="s">
        <v>675</v>
      </c>
      <c r="C68">
        <v>2</v>
      </c>
      <c r="D68" t="s">
        <v>1074</v>
      </c>
    </row>
    <row r="69" spans="1:4" outlineLevel="1" x14ac:dyDescent="0.4">
      <c r="A69" t="s">
        <v>1148</v>
      </c>
      <c r="B69" t="s">
        <v>675</v>
      </c>
      <c r="C69">
        <v>2</v>
      </c>
      <c r="D69" t="s">
        <v>1075</v>
      </c>
    </row>
    <row r="70" spans="1:4" outlineLevel="1" x14ac:dyDescent="0.4">
      <c r="A70" t="s">
        <v>1149</v>
      </c>
      <c r="B70" t="s">
        <v>675</v>
      </c>
      <c r="C70">
        <v>2</v>
      </c>
      <c r="D70" t="s">
        <v>1079</v>
      </c>
    </row>
    <row r="71" spans="1:4" outlineLevel="1" x14ac:dyDescent="0.4">
      <c r="A71" t="s">
        <v>1150</v>
      </c>
      <c r="B71" t="s">
        <v>675</v>
      </c>
      <c r="C71">
        <v>3</v>
      </c>
      <c r="D71" t="s">
        <v>1078</v>
      </c>
    </row>
    <row r="72" spans="1:4" outlineLevel="1" x14ac:dyDescent="0.4">
      <c r="A72" t="s">
        <v>1151</v>
      </c>
      <c r="B72" t="s">
        <v>675</v>
      </c>
      <c r="C72">
        <v>3</v>
      </c>
      <c r="D72" t="s">
        <v>1081</v>
      </c>
    </row>
    <row r="73" spans="1:4" outlineLevel="1" x14ac:dyDescent="0.4">
      <c r="A73" t="s">
        <v>1152</v>
      </c>
      <c r="B73" t="s">
        <v>675</v>
      </c>
      <c r="C73">
        <v>3</v>
      </c>
      <c r="D73" t="s">
        <v>1076</v>
      </c>
    </row>
    <row r="74" spans="1:4" outlineLevel="1" x14ac:dyDescent="0.4">
      <c r="A74" t="s">
        <v>1153</v>
      </c>
      <c r="B74" t="s">
        <v>675</v>
      </c>
      <c r="C74">
        <v>4</v>
      </c>
      <c r="D74" t="s">
        <v>1080</v>
      </c>
    </row>
    <row r="75" spans="1:4" outlineLevel="1" x14ac:dyDescent="0.4">
      <c r="A75" t="s">
        <v>1154</v>
      </c>
      <c r="B75" t="s">
        <v>675</v>
      </c>
      <c r="C75">
        <v>4</v>
      </c>
      <c r="D75" t="s">
        <v>1083</v>
      </c>
    </row>
    <row r="76" spans="1:4" outlineLevel="1" x14ac:dyDescent="0.4">
      <c r="A76" t="s">
        <v>1155</v>
      </c>
      <c r="B76" t="s">
        <v>675</v>
      </c>
      <c r="C76">
        <v>4</v>
      </c>
      <c r="D76" t="s">
        <v>1082</v>
      </c>
    </row>
    <row r="77" spans="1:4" outlineLevel="1" x14ac:dyDescent="0.4">
      <c r="B77" t="s">
        <v>1059</v>
      </c>
      <c r="C77">
        <f t="shared" ref="C77:C85" si="3">C74+1</f>
        <v>5</v>
      </c>
    </row>
    <row r="78" spans="1:4" outlineLevel="1" x14ac:dyDescent="0.4">
      <c r="B78" t="s">
        <v>1059</v>
      </c>
      <c r="C78">
        <f t="shared" si="3"/>
        <v>5</v>
      </c>
    </row>
    <row r="79" spans="1:4" outlineLevel="1" x14ac:dyDescent="0.4">
      <c r="B79" t="s">
        <v>1059</v>
      </c>
      <c r="C79">
        <f t="shared" si="3"/>
        <v>5</v>
      </c>
    </row>
    <row r="80" spans="1:4" outlineLevel="1" x14ac:dyDescent="0.4">
      <c r="B80" t="s">
        <v>1059</v>
      </c>
      <c r="C80">
        <f t="shared" si="3"/>
        <v>6</v>
      </c>
    </row>
    <row r="81" spans="1:4" outlineLevel="1" x14ac:dyDescent="0.4">
      <c r="B81" t="s">
        <v>1059</v>
      </c>
      <c r="C81">
        <f t="shared" si="3"/>
        <v>6</v>
      </c>
    </row>
    <row r="82" spans="1:4" outlineLevel="1" x14ac:dyDescent="0.4">
      <c r="B82" t="s">
        <v>1059</v>
      </c>
      <c r="C82">
        <f t="shared" si="3"/>
        <v>6</v>
      </c>
    </row>
    <row r="83" spans="1:4" outlineLevel="1" x14ac:dyDescent="0.4">
      <c r="B83" t="s">
        <v>1059</v>
      </c>
      <c r="C83">
        <f t="shared" si="3"/>
        <v>7</v>
      </c>
    </row>
    <row r="84" spans="1:4" outlineLevel="1" x14ac:dyDescent="0.4">
      <c r="B84" t="s">
        <v>1059</v>
      </c>
      <c r="C84">
        <f t="shared" si="3"/>
        <v>7</v>
      </c>
    </row>
    <row r="85" spans="1:4" outlineLevel="1" x14ac:dyDescent="0.4">
      <c r="B85" t="s">
        <v>1059</v>
      </c>
      <c r="C85">
        <f t="shared" si="3"/>
        <v>7</v>
      </c>
    </row>
    <row r="86" spans="1:4" outlineLevel="1" x14ac:dyDescent="0.4">
      <c r="A86" t="s">
        <v>1127</v>
      </c>
      <c r="B86" t="s">
        <v>1060</v>
      </c>
      <c r="C86">
        <v>1</v>
      </c>
      <c r="D86" t="s">
        <v>1073</v>
      </c>
    </row>
    <row r="87" spans="1:4" x14ac:dyDescent="0.4">
      <c r="A87" t="s">
        <v>1128</v>
      </c>
      <c r="B87" t="s">
        <v>1060</v>
      </c>
      <c r="C87">
        <v>1</v>
      </c>
      <c r="D87" t="s">
        <v>1121</v>
      </c>
    </row>
    <row r="88" spans="1:4" outlineLevel="1" x14ac:dyDescent="0.4">
      <c r="A88" t="s">
        <v>1129</v>
      </c>
      <c r="B88" t="s">
        <v>1060</v>
      </c>
      <c r="C88">
        <v>1</v>
      </c>
      <c r="D88" t="s">
        <v>1069</v>
      </c>
    </row>
    <row r="89" spans="1:4" outlineLevel="1" x14ac:dyDescent="0.4">
      <c r="A89" t="s">
        <v>1130</v>
      </c>
      <c r="B89" t="s">
        <v>1060</v>
      </c>
      <c r="C89">
        <v>2</v>
      </c>
      <c r="D89" t="s">
        <v>1131</v>
      </c>
    </row>
    <row r="90" spans="1:4" outlineLevel="1" x14ac:dyDescent="0.4">
      <c r="A90" t="s">
        <v>1132</v>
      </c>
      <c r="B90" t="s">
        <v>1060</v>
      </c>
      <c r="C90">
        <v>2</v>
      </c>
      <c r="D90" t="s">
        <v>1123</v>
      </c>
    </row>
    <row r="91" spans="1:4" outlineLevel="1" x14ac:dyDescent="0.4">
      <c r="A91" t="s">
        <v>1133</v>
      </c>
      <c r="B91" t="s">
        <v>1060</v>
      </c>
      <c r="C91">
        <v>2</v>
      </c>
      <c r="D91" t="s">
        <v>1134</v>
      </c>
    </row>
    <row r="92" spans="1:4" outlineLevel="1" x14ac:dyDescent="0.4">
      <c r="A92" t="s">
        <v>1122</v>
      </c>
      <c r="B92" t="s">
        <v>1060</v>
      </c>
      <c r="C92">
        <v>3</v>
      </c>
      <c r="D92" t="s">
        <v>1135</v>
      </c>
    </row>
    <row r="93" spans="1:4" outlineLevel="1" x14ac:dyDescent="0.4">
      <c r="A93" t="s">
        <v>1124</v>
      </c>
      <c r="B93" t="s">
        <v>1060</v>
      </c>
      <c r="C93">
        <v>3</v>
      </c>
      <c r="D93" t="s">
        <v>1125</v>
      </c>
    </row>
    <row r="94" spans="1:4" outlineLevel="1" x14ac:dyDescent="0.4">
      <c r="A94" t="s">
        <v>1136</v>
      </c>
      <c r="B94" t="s">
        <v>1060</v>
      </c>
      <c r="C94">
        <v>3</v>
      </c>
      <c r="D94" t="s">
        <v>1137</v>
      </c>
    </row>
    <row r="95" spans="1:4" outlineLevel="1" x14ac:dyDescent="0.4">
      <c r="A95" t="s">
        <v>1138</v>
      </c>
      <c r="B95" t="s">
        <v>1060</v>
      </c>
      <c r="C95">
        <v>4</v>
      </c>
      <c r="D95" t="s">
        <v>1139</v>
      </c>
    </row>
    <row r="96" spans="1:4" outlineLevel="1" x14ac:dyDescent="0.4">
      <c r="A96" t="s">
        <v>1140</v>
      </c>
      <c r="B96" t="s">
        <v>1060</v>
      </c>
      <c r="C96">
        <v>4</v>
      </c>
      <c r="D96" t="s">
        <v>1141</v>
      </c>
    </row>
    <row r="97" spans="1:4" outlineLevel="1" x14ac:dyDescent="0.4">
      <c r="A97" t="s">
        <v>1142</v>
      </c>
      <c r="B97" t="s">
        <v>1060</v>
      </c>
      <c r="C97">
        <v>4</v>
      </c>
      <c r="D97" t="s">
        <v>1143</v>
      </c>
    </row>
    <row r="98" spans="1:4" outlineLevel="1" x14ac:dyDescent="0.4">
      <c r="B98" t="s">
        <v>1061</v>
      </c>
      <c r="C98">
        <f t="shared" ref="C98:C106" si="4">C95+1</f>
        <v>5</v>
      </c>
    </row>
    <row r="99" spans="1:4" outlineLevel="1" x14ac:dyDescent="0.4">
      <c r="B99" t="s">
        <v>1061</v>
      </c>
      <c r="C99">
        <f t="shared" si="4"/>
        <v>5</v>
      </c>
    </row>
    <row r="100" spans="1:4" outlineLevel="1" x14ac:dyDescent="0.4">
      <c r="B100" t="s">
        <v>1061</v>
      </c>
      <c r="C100">
        <f t="shared" si="4"/>
        <v>5</v>
      </c>
    </row>
    <row r="101" spans="1:4" outlineLevel="1" x14ac:dyDescent="0.4">
      <c r="B101" t="s">
        <v>1061</v>
      </c>
      <c r="C101">
        <f t="shared" si="4"/>
        <v>6</v>
      </c>
    </row>
    <row r="102" spans="1:4" outlineLevel="1" x14ac:dyDescent="0.4">
      <c r="B102" t="s">
        <v>1061</v>
      </c>
      <c r="C102">
        <f t="shared" si="4"/>
        <v>6</v>
      </c>
    </row>
    <row r="103" spans="1:4" outlineLevel="1" x14ac:dyDescent="0.4">
      <c r="B103" t="s">
        <v>1061</v>
      </c>
      <c r="C103">
        <f t="shared" si="4"/>
        <v>6</v>
      </c>
    </row>
    <row r="104" spans="1:4" outlineLevel="1" x14ac:dyDescent="0.4">
      <c r="B104" t="s">
        <v>1061</v>
      </c>
      <c r="C104">
        <f t="shared" si="4"/>
        <v>7</v>
      </c>
    </row>
    <row r="105" spans="1:4" outlineLevel="1" x14ac:dyDescent="0.4">
      <c r="B105" t="s">
        <v>1061</v>
      </c>
      <c r="C105">
        <f t="shared" si="4"/>
        <v>7</v>
      </c>
    </row>
    <row r="106" spans="1:4" outlineLevel="1" x14ac:dyDescent="0.4">
      <c r="B106" t="s">
        <v>1061</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E113"/>
  <sheetViews>
    <sheetView workbookViewId="0">
      <pane xSplit="11" ySplit="2" topLeftCell="AT3" activePane="bottomRight" state="frozen"/>
      <selection pane="topRight" activeCell="H1" sqref="H1"/>
      <selection pane="bottomLeft" activeCell="A3" sqref="A3"/>
      <selection pane="bottomRight" activeCell="AO1" sqref="AO1:BC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9" width="5.25" hidden="1" customWidth="1" outlineLevel="1"/>
    <col min="40" max="40" width="4.25" hidden="1" customWidth="1" outlineLevel="1"/>
    <col min="41" max="41" width="5.25" bestFit="1" customWidth="1" collapsed="1"/>
    <col min="42" max="55" width="5.25" customWidth="1" outlineLevel="1"/>
    <col min="56" max="56" width="4.875" style="17" customWidth="1"/>
    <col min="57" max="63" width="4.875" style="17" hidden="1" customWidth="1" outlineLevel="1"/>
    <col min="64" max="70" width="4.875" hidden="1" customWidth="1" outlineLevel="1"/>
    <col min="71" max="71" width="5" hidden="1" customWidth="1" outlineLevel="1"/>
    <col min="72" max="72" width="6.625" hidden="1" customWidth="1" outlineLevel="1"/>
    <col min="73" max="73" width="4.875" customWidth="1" collapsed="1"/>
    <col min="74" max="83" width="4.875" customWidth="1"/>
  </cols>
  <sheetData>
    <row r="1" spans="1:83" s="10" customFormat="1" ht="72" x14ac:dyDescent="0.4">
      <c r="A1" s="10" t="s">
        <v>1008</v>
      </c>
      <c r="B1" s="10" t="s">
        <v>9</v>
      </c>
      <c r="C1" s="3" t="s">
        <v>1194</v>
      </c>
      <c r="D1" s="4" t="s">
        <v>1195</v>
      </c>
      <c r="E1" s="4" t="s">
        <v>1018</v>
      </c>
      <c r="F1" s="5" t="s">
        <v>1012</v>
      </c>
      <c r="G1" s="18" t="s">
        <v>623</v>
      </c>
      <c r="H1" s="21" t="s">
        <v>624</v>
      </c>
      <c r="I1" s="18" t="s">
        <v>622</v>
      </c>
      <c r="J1" s="21" t="s">
        <v>1013</v>
      </c>
      <c r="K1" s="21" t="s">
        <v>1229</v>
      </c>
      <c r="L1" s="38"/>
      <c r="M1" s="37" t="s">
        <v>216</v>
      </c>
      <c r="N1" s="37" t="s">
        <v>315</v>
      </c>
      <c r="O1" s="37" t="s">
        <v>176</v>
      </c>
      <c r="P1" s="37" t="s">
        <v>147</v>
      </c>
      <c r="Q1" s="37" t="s">
        <v>177</v>
      </c>
      <c r="R1" s="37" t="s">
        <v>708</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13</v>
      </c>
      <c r="AI1" s="22" t="s">
        <v>15</v>
      </c>
      <c r="AJ1" s="22" t="s">
        <v>17</v>
      </c>
      <c r="AK1" s="22" t="s">
        <v>18</v>
      </c>
      <c r="AL1" s="22" t="s">
        <v>20</v>
      </c>
      <c r="AM1" s="22" t="s">
        <v>22</v>
      </c>
      <c r="AN1" s="22" t="s">
        <v>29</v>
      </c>
      <c r="AO1" s="26" t="s">
        <v>248</v>
      </c>
      <c r="AP1" s="26" t="s">
        <v>1</v>
      </c>
      <c r="AQ1" s="26" t="s">
        <v>2</v>
      </c>
      <c r="AR1" s="26" t="s">
        <v>106</v>
      </c>
      <c r="AS1" s="26" t="s">
        <v>105</v>
      </c>
      <c r="AT1" s="27" t="s">
        <v>4</v>
      </c>
      <c r="AU1" s="27" t="s">
        <v>3</v>
      </c>
      <c r="AV1" s="28" t="s">
        <v>227</v>
      </c>
      <c r="AW1" s="28" t="s">
        <v>228</v>
      </c>
      <c r="AX1" s="28" t="s">
        <v>229</v>
      </c>
      <c r="AY1" s="28" t="s">
        <v>230</v>
      </c>
      <c r="AZ1" s="29" t="s">
        <v>231</v>
      </c>
      <c r="BA1" s="29" t="s">
        <v>5</v>
      </c>
      <c r="BB1" s="29" t="s">
        <v>1053</v>
      </c>
      <c r="BC1" s="29" t="s">
        <v>6</v>
      </c>
      <c r="BD1" s="20" t="s">
        <v>146</v>
      </c>
      <c r="BE1" s="20" t="s">
        <v>178</v>
      </c>
      <c r="BF1" s="20" t="s">
        <v>709</v>
      </c>
      <c r="BG1" s="20" t="s">
        <v>133</v>
      </c>
      <c r="BH1" s="20" t="s">
        <v>134</v>
      </c>
      <c r="BI1" s="20" t="s">
        <v>135</v>
      </c>
      <c r="BJ1" s="20" t="s">
        <v>136</v>
      </c>
      <c r="BK1" s="20" t="s">
        <v>138</v>
      </c>
      <c r="BL1" s="20" t="s">
        <v>139</v>
      </c>
      <c r="BM1" s="20" t="s">
        <v>141</v>
      </c>
      <c r="BN1" s="20" t="s">
        <v>323</v>
      </c>
      <c r="BO1" s="20" t="s">
        <v>142</v>
      </c>
      <c r="BP1" s="20" t="s">
        <v>143</v>
      </c>
      <c r="BQ1" s="20" t="s">
        <v>144</v>
      </c>
      <c r="BR1" s="20" t="s">
        <v>145</v>
      </c>
      <c r="BS1" s="20" t="s">
        <v>157</v>
      </c>
      <c r="BT1" s="20" t="s">
        <v>158</v>
      </c>
      <c r="BU1" s="23" t="s">
        <v>162</v>
      </c>
      <c r="BV1" s="23" t="s">
        <v>163</v>
      </c>
      <c r="BW1" s="23" t="s">
        <v>164</v>
      </c>
      <c r="BX1" s="23" t="s">
        <v>165</v>
      </c>
      <c r="BY1" s="23" t="s">
        <v>166</v>
      </c>
      <c r="BZ1" s="23" t="s">
        <v>167</v>
      </c>
      <c r="CA1" s="23" t="s">
        <v>168</v>
      </c>
      <c r="CB1" s="23" t="s">
        <v>169</v>
      </c>
      <c r="CC1" s="23" t="s">
        <v>170</v>
      </c>
      <c r="CD1" s="23" t="s">
        <v>171</v>
      </c>
      <c r="CE1" s="23" t="s">
        <v>869</v>
      </c>
    </row>
    <row r="2" spans="1:83" s="10" customFormat="1" ht="36" x14ac:dyDescent="0.4">
      <c r="B2" s="10" t="s">
        <v>1196</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6"/>
      <c r="AP2" s="26"/>
      <c r="AQ2" s="26"/>
      <c r="AR2" s="26"/>
      <c r="AS2" s="26"/>
      <c r="AT2" s="27"/>
      <c r="AU2" s="27"/>
      <c r="AV2" s="28"/>
      <c r="AW2" s="28"/>
      <c r="AX2" s="28"/>
      <c r="AY2" s="28"/>
      <c r="AZ2" s="29"/>
      <c r="BA2" s="29"/>
      <c r="BB2" s="29"/>
      <c r="BC2" s="29"/>
      <c r="BD2" s="20"/>
      <c r="BE2" s="20"/>
      <c r="BF2" s="20"/>
      <c r="BG2" s="20"/>
      <c r="BH2" s="20"/>
      <c r="BI2" s="20"/>
      <c r="BJ2" s="20"/>
      <c r="BK2" s="20"/>
      <c r="BL2" s="20"/>
      <c r="BM2" s="20"/>
      <c r="BN2" s="20"/>
      <c r="BO2" s="20"/>
      <c r="BP2" s="20"/>
      <c r="BQ2" s="20"/>
      <c r="BR2" s="20"/>
      <c r="BS2" s="20"/>
      <c r="BT2" s="20"/>
      <c r="BU2" s="23"/>
      <c r="BV2" s="23"/>
      <c r="BW2" s="23"/>
      <c r="BX2" s="23"/>
      <c r="BY2" s="23"/>
      <c r="BZ2" s="23"/>
      <c r="CA2" s="23"/>
      <c r="CB2" s="23"/>
      <c r="CC2" s="23"/>
      <c r="CD2" s="23"/>
      <c r="CE2" s="23"/>
    </row>
    <row r="3" spans="1:83" outlineLevel="1" x14ac:dyDescent="0.4">
      <c r="A3" t="str">
        <f>"炎付与"&amp;B3</f>
        <v>炎付与Ⅰ</v>
      </c>
      <c r="B3" t="s">
        <v>1197</v>
      </c>
      <c r="C3" t="s">
        <v>970</v>
      </c>
      <c r="E3">
        <f>MAX(F3:K3)</f>
        <v>2</v>
      </c>
      <c r="G3">
        <v>2</v>
      </c>
      <c r="H3"/>
      <c r="J3"/>
      <c r="K3"/>
      <c r="M3"/>
      <c r="N3"/>
      <c r="O3"/>
      <c r="P3"/>
      <c r="Q3"/>
      <c r="R3"/>
      <c r="S3">
        <f>$G3*15</f>
        <v>30</v>
      </c>
      <c r="T3"/>
      <c r="U3"/>
      <c r="V3"/>
      <c r="W3"/>
      <c r="BD3"/>
      <c r="BE3"/>
      <c r="BF3"/>
      <c r="BG3"/>
      <c r="BH3"/>
      <c r="BI3"/>
      <c r="BJ3"/>
      <c r="BK3"/>
    </row>
    <row r="4" spans="1:83" outlineLevel="1" x14ac:dyDescent="0.4">
      <c r="A4" t="str">
        <f t="shared" ref="A4:A5" si="0">"炎付与"&amp;B4</f>
        <v>炎付与Ⅱ</v>
      </c>
      <c r="B4" t="s">
        <v>1198</v>
      </c>
      <c r="C4" t="s">
        <v>970</v>
      </c>
      <c r="E4">
        <f t="shared" ref="E4:E42" si="1">MAX(F4:K4)</f>
        <v>4</v>
      </c>
      <c r="G4">
        <v>4</v>
      </c>
      <c r="S4">
        <f>$G4*15</f>
        <v>60</v>
      </c>
    </row>
    <row r="5" spans="1:83" outlineLevel="1" x14ac:dyDescent="0.4">
      <c r="A5" t="str">
        <f t="shared" si="0"/>
        <v>炎付与Ⅲ</v>
      </c>
      <c r="B5" t="s">
        <v>1199</v>
      </c>
      <c r="C5" t="s">
        <v>970</v>
      </c>
      <c r="E5">
        <f t="shared" si="1"/>
        <v>6</v>
      </c>
      <c r="G5">
        <v>6</v>
      </c>
      <c r="S5">
        <f>$G5*15</f>
        <v>90</v>
      </c>
    </row>
    <row r="6" spans="1:83" outlineLevel="1" x14ac:dyDescent="0.4">
      <c r="A6" t="str">
        <f>"氷付与"&amp;B6</f>
        <v>氷付与Ⅰ</v>
      </c>
      <c r="B6" t="s">
        <v>1197</v>
      </c>
      <c r="C6" t="s">
        <v>970</v>
      </c>
      <c r="E6">
        <f t="shared" si="1"/>
        <v>2</v>
      </c>
      <c r="G6">
        <v>2</v>
      </c>
      <c r="H6"/>
      <c r="S6"/>
      <c r="T6">
        <f>$G6*15</f>
        <v>30</v>
      </c>
      <c r="U6"/>
      <c r="V6"/>
      <c r="W6"/>
      <c r="BD6"/>
      <c r="BE6"/>
      <c r="BF6"/>
      <c r="BG6"/>
      <c r="BH6"/>
      <c r="BI6"/>
      <c r="BJ6"/>
      <c r="BK6"/>
    </row>
    <row r="7" spans="1:83" outlineLevel="1" x14ac:dyDescent="0.4">
      <c r="A7" t="str">
        <f t="shared" ref="A7:A8" si="2">"氷付与"&amp;B7</f>
        <v>氷付与Ⅱ</v>
      </c>
      <c r="B7" t="s">
        <v>1198</v>
      </c>
      <c r="C7" t="s">
        <v>970</v>
      </c>
      <c r="E7">
        <f t="shared" si="1"/>
        <v>4</v>
      </c>
      <c r="G7">
        <v>4</v>
      </c>
      <c r="T7">
        <f>$G7*15</f>
        <v>60</v>
      </c>
    </row>
    <row r="8" spans="1:83" outlineLevel="1" x14ac:dyDescent="0.4">
      <c r="A8" t="str">
        <f t="shared" si="2"/>
        <v>氷付与Ⅲ</v>
      </c>
      <c r="B8" t="s">
        <v>1199</v>
      </c>
      <c r="C8" t="s">
        <v>970</v>
      </c>
      <c r="E8">
        <f t="shared" si="1"/>
        <v>6</v>
      </c>
      <c r="G8">
        <v>6</v>
      </c>
      <c r="T8">
        <f>$G8*15</f>
        <v>90</v>
      </c>
    </row>
    <row r="9" spans="1:83" outlineLevel="1" x14ac:dyDescent="0.4">
      <c r="A9" t="str">
        <f>"雷付与"&amp;B9</f>
        <v>雷付与Ⅰ</v>
      </c>
      <c r="B9" t="s">
        <v>1197</v>
      </c>
      <c r="C9" t="s">
        <v>970</v>
      </c>
      <c r="E9">
        <f t="shared" si="1"/>
        <v>2</v>
      </c>
      <c r="G9">
        <v>2</v>
      </c>
      <c r="H9"/>
      <c r="S9"/>
      <c r="T9"/>
      <c r="U9">
        <f>$G9*15</f>
        <v>30</v>
      </c>
      <c r="V9"/>
      <c r="W9"/>
      <c r="BD9"/>
      <c r="BE9"/>
      <c r="BF9"/>
      <c r="BG9"/>
      <c r="BH9"/>
      <c r="BI9"/>
      <c r="BJ9"/>
      <c r="BK9"/>
    </row>
    <row r="10" spans="1:83" outlineLevel="1" x14ac:dyDescent="0.4">
      <c r="A10" t="str">
        <f t="shared" ref="A10:A11" si="3">"雷付与"&amp;B10</f>
        <v>雷付与Ⅱ</v>
      </c>
      <c r="B10" t="s">
        <v>1198</v>
      </c>
      <c r="C10" t="s">
        <v>970</v>
      </c>
      <c r="E10">
        <f t="shared" si="1"/>
        <v>4</v>
      </c>
      <c r="G10">
        <v>4</v>
      </c>
      <c r="U10">
        <f>$G10*15</f>
        <v>60</v>
      </c>
    </row>
    <row r="11" spans="1:83" outlineLevel="1" x14ac:dyDescent="0.4">
      <c r="A11" t="str">
        <f t="shared" si="3"/>
        <v>雷付与Ⅲ</v>
      </c>
      <c r="B11" t="s">
        <v>1199</v>
      </c>
      <c r="C11" t="s">
        <v>970</v>
      </c>
      <c r="E11">
        <f t="shared" si="1"/>
        <v>6</v>
      </c>
      <c r="G11">
        <v>6</v>
      </c>
      <c r="U11">
        <f>$G11*15</f>
        <v>90</v>
      </c>
    </row>
    <row r="12" spans="1:83" outlineLevel="1" x14ac:dyDescent="0.4">
      <c r="A12" t="str">
        <f>"毒付与"&amp;B12</f>
        <v>毒付与Ⅰ</v>
      </c>
      <c r="B12" t="s">
        <v>1197</v>
      </c>
      <c r="C12" t="s">
        <v>970</v>
      </c>
      <c r="E12">
        <f t="shared" si="1"/>
        <v>2</v>
      </c>
      <c r="G12">
        <v>2</v>
      </c>
      <c r="H12"/>
      <c r="J12"/>
      <c r="K12"/>
      <c r="M12"/>
      <c r="N12"/>
      <c r="O12"/>
      <c r="P12"/>
      <c r="Q12"/>
      <c r="R12"/>
      <c r="S12"/>
      <c r="T12"/>
      <c r="U12"/>
      <c r="V12">
        <f>$G12*15</f>
        <v>30</v>
      </c>
      <c r="W12"/>
      <c r="BD12"/>
      <c r="BE12"/>
      <c r="BF12"/>
      <c r="BG12"/>
      <c r="BH12"/>
      <c r="BI12"/>
      <c r="BJ12"/>
      <c r="BK12"/>
    </row>
    <row r="13" spans="1:83" outlineLevel="1" x14ac:dyDescent="0.4">
      <c r="A13" t="str">
        <f t="shared" ref="A13:A14" si="4">"毒付与"&amp;B13</f>
        <v>毒付与Ⅱ</v>
      </c>
      <c r="B13" t="s">
        <v>1198</v>
      </c>
      <c r="C13" t="s">
        <v>970</v>
      </c>
      <c r="E13">
        <f t="shared" si="1"/>
        <v>4</v>
      </c>
      <c r="G13">
        <v>4</v>
      </c>
      <c r="V13">
        <f>$G13*15</f>
        <v>60</v>
      </c>
      <c r="X13" s="17"/>
    </row>
    <row r="14" spans="1:83" outlineLevel="1" x14ac:dyDescent="0.4">
      <c r="A14" t="str">
        <f t="shared" si="4"/>
        <v>毒付与Ⅲ</v>
      </c>
      <c r="B14" t="s">
        <v>1199</v>
      </c>
      <c r="C14" t="s">
        <v>970</v>
      </c>
      <c r="E14">
        <f t="shared" si="1"/>
        <v>6</v>
      </c>
      <c r="G14">
        <v>6</v>
      </c>
      <c r="V14">
        <f>$G14*15</f>
        <v>90</v>
      </c>
      <c r="X14" s="17"/>
    </row>
    <row r="15" spans="1:83" outlineLevel="1" x14ac:dyDescent="0.4">
      <c r="A15" t="str">
        <f>"光付与"&amp;B15</f>
        <v>光付与Ⅰ</v>
      </c>
      <c r="B15" t="s">
        <v>1197</v>
      </c>
      <c r="C15" t="s">
        <v>970</v>
      </c>
      <c r="E15">
        <f t="shared" si="1"/>
        <v>2</v>
      </c>
      <c r="H15">
        <v>2</v>
      </c>
      <c r="J15"/>
      <c r="K15"/>
      <c r="M15"/>
      <c r="N15"/>
      <c r="O15"/>
      <c r="P15"/>
      <c r="Q15"/>
      <c r="R15"/>
      <c r="S15"/>
      <c r="T15"/>
      <c r="U15"/>
      <c r="V15"/>
      <c r="W15">
        <f>$H15*15</f>
        <v>30</v>
      </c>
      <c r="BD15"/>
      <c r="BE15"/>
      <c r="BF15"/>
      <c r="BG15"/>
      <c r="BH15"/>
      <c r="BI15"/>
      <c r="BJ15"/>
      <c r="BK15"/>
    </row>
    <row r="16" spans="1:83" outlineLevel="1" x14ac:dyDescent="0.4">
      <c r="A16" t="str">
        <f t="shared" ref="A16:A17" si="5">"光付与"&amp;B16</f>
        <v>光付与Ⅱ</v>
      </c>
      <c r="B16" t="s">
        <v>1198</v>
      </c>
      <c r="C16" t="s">
        <v>970</v>
      </c>
      <c r="E16">
        <f t="shared" si="1"/>
        <v>4</v>
      </c>
      <c r="H16">
        <v>4</v>
      </c>
      <c r="W16">
        <f t="shared" ref="W16:W17" si="6">$H16*15</f>
        <v>60</v>
      </c>
      <c r="X16" s="17"/>
    </row>
    <row r="17" spans="1:63" outlineLevel="1" x14ac:dyDescent="0.4">
      <c r="A17" t="str">
        <f t="shared" si="5"/>
        <v>光付与Ⅲ</v>
      </c>
      <c r="B17" t="s">
        <v>1199</v>
      </c>
      <c r="C17" t="s">
        <v>970</v>
      </c>
      <c r="E17">
        <f t="shared" si="1"/>
        <v>6</v>
      </c>
      <c r="H17">
        <v>6</v>
      </c>
      <c r="W17">
        <f t="shared" si="6"/>
        <v>90</v>
      </c>
      <c r="X17" s="17"/>
    </row>
    <row r="18" spans="1:63" outlineLevel="1" x14ac:dyDescent="0.4">
      <c r="A18" t="str">
        <f>"闇付与"&amp;B18</f>
        <v>闇付与Ⅰ</v>
      </c>
      <c r="B18" t="s">
        <v>1197</v>
      </c>
      <c r="C18" t="s">
        <v>970</v>
      </c>
      <c r="E18">
        <f t="shared" si="1"/>
        <v>2</v>
      </c>
      <c r="G18">
        <v>2</v>
      </c>
      <c r="H18"/>
      <c r="J18"/>
      <c r="K18"/>
      <c r="M18"/>
      <c r="N18"/>
      <c r="O18"/>
      <c r="P18"/>
      <c r="Q18"/>
      <c r="R18"/>
      <c r="S18"/>
      <c r="T18"/>
      <c r="U18"/>
      <c r="V18"/>
      <c r="W18"/>
      <c r="X18">
        <f>$G18*15</f>
        <v>30</v>
      </c>
      <c r="BD18"/>
      <c r="BE18"/>
      <c r="BF18"/>
      <c r="BG18"/>
      <c r="BH18"/>
      <c r="BI18"/>
      <c r="BJ18"/>
      <c r="BK18"/>
    </row>
    <row r="19" spans="1:63" outlineLevel="1" x14ac:dyDescent="0.4">
      <c r="A19" t="str">
        <f t="shared" ref="A19:A20" si="7">"闇付与"&amp;B19</f>
        <v>闇付与Ⅱ</v>
      </c>
      <c r="B19" t="s">
        <v>1198</v>
      </c>
      <c r="C19" t="s">
        <v>970</v>
      </c>
      <c r="E19">
        <f t="shared" si="1"/>
        <v>4</v>
      </c>
      <c r="G19">
        <v>4</v>
      </c>
      <c r="X19">
        <f>$G19*15</f>
        <v>60</v>
      </c>
    </row>
    <row r="20" spans="1:63" outlineLevel="1" x14ac:dyDescent="0.4">
      <c r="A20" t="str">
        <f t="shared" si="7"/>
        <v>闇付与Ⅲ</v>
      </c>
      <c r="B20" t="s">
        <v>1199</v>
      </c>
      <c r="C20" t="s">
        <v>970</v>
      </c>
      <c r="E20">
        <f t="shared" si="1"/>
        <v>6</v>
      </c>
      <c r="G20">
        <v>6</v>
      </c>
      <c r="X20">
        <f t="shared" ref="X20" si="8">$G20*15</f>
        <v>90</v>
      </c>
    </row>
    <row r="21" spans="1:63" outlineLevel="1" x14ac:dyDescent="0.4">
      <c r="A21" s="2"/>
    </row>
    <row r="22" spans="1:63" outlineLevel="1" x14ac:dyDescent="0.4">
      <c r="A22" t="s">
        <v>1200</v>
      </c>
      <c r="C22" t="s">
        <v>1223</v>
      </c>
      <c r="E22">
        <f t="shared" si="1"/>
        <v>1</v>
      </c>
      <c r="H22" s="17">
        <v>1</v>
      </c>
      <c r="AG22">
        <v>5</v>
      </c>
    </row>
    <row r="23" spans="1:63" outlineLevel="1" x14ac:dyDescent="0.4">
      <c r="A23" t="s">
        <v>1201</v>
      </c>
      <c r="C23" t="s">
        <v>1223</v>
      </c>
      <c r="E23">
        <f t="shared" si="1"/>
        <v>3</v>
      </c>
      <c r="H23" s="17">
        <v>3</v>
      </c>
      <c r="AG23">
        <v>10</v>
      </c>
    </row>
    <row r="24" spans="1:63" outlineLevel="1" x14ac:dyDescent="0.4">
      <c r="A24" t="s">
        <v>1202</v>
      </c>
      <c r="C24" t="s">
        <v>1223</v>
      </c>
      <c r="E24">
        <f t="shared" si="1"/>
        <v>5</v>
      </c>
      <c r="H24" s="17">
        <v>5</v>
      </c>
      <c r="AG24">
        <v>15</v>
      </c>
    </row>
    <row r="25" spans="1:63" outlineLevel="1" x14ac:dyDescent="0.4">
      <c r="A25" t="s">
        <v>1203</v>
      </c>
      <c r="C25" t="s">
        <v>1224</v>
      </c>
      <c r="E25">
        <f t="shared" si="1"/>
        <v>1</v>
      </c>
      <c r="G25">
        <v>1</v>
      </c>
      <c r="AH25">
        <v>10</v>
      </c>
    </row>
    <row r="26" spans="1:63" outlineLevel="1" x14ac:dyDescent="0.4">
      <c r="A26" t="s">
        <v>1204</v>
      </c>
      <c r="C26" t="s">
        <v>1224</v>
      </c>
      <c r="E26">
        <f t="shared" si="1"/>
        <v>3</v>
      </c>
      <c r="G26">
        <v>3</v>
      </c>
      <c r="AH26">
        <v>30</v>
      </c>
    </row>
    <row r="27" spans="1:63" outlineLevel="1" x14ac:dyDescent="0.4">
      <c r="A27" t="s">
        <v>1205</v>
      </c>
      <c r="C27" t="s">
        <v>1224</v>
      </c>
      <c r="E27">
        <f t="shared" si="1"/>
        <v>5</v>
      </c>
      <c r="G27">
        <v>5</v>
      </c>
      <c r="AH27">
        <v>50</v>
      </c>
    </row>
    <row r="28" spans="1:63" outlineLevel="1" x14ac:dyDescent="0.4">
      <c r="A28" t="s">
        <v>1206</v>
      </c>
      <c r="C28" t="s">
        <v>1223</v>
      </c>
      <c r="E28">
        <f t="shared" si="1"/>
        <v>1</v>
      </c>
      <c r="G28">
        <v>1</v>
      </c>
      <c r="AI28">
        <v>10</v>
      </c>
    </row>
    <row r="29" spans="1:63" outlineLevel="1" x14ac:dyDescent="0.4">
      <c r="A29" t="s">
        <v>1207</v>
      </c>
      <c r="C29" t="s">
        <v>1223</v>
      </c>
      <c r="E29">
        <f t="shared" si="1"/>
        <v>3</v>
      </c>
      <c r="G29">
        <v>3</v>
      </c>
      <c r="AI29">
        <v>30</v>
      </c>
    </row>
    <row r="30" spans="1:63" outlineLevel="1" x14ac:dyDescent="0.4">
      <c r="A30" t="s">
        <v>1208</v>
      </c>
      <c r="C30" t="s">
        <v>1223</v>
      </c>
      <c r="E30">
        <f t="shared" si="1"/>
        <v>5</v>
      </c>
      <c r="G30">
        <v>5</v>
      </c>
      <c r="AI30">
        <v>50</v>
      </c>
    </row>
    <row r="31" spans="1:63" outlineLevel="1" x14ac:dyDescent="0.4">
      <c r="A31" t="s">
        <v>1209</v>
      </c>
      <c r="C31" t="s">
        <v>1226</v>
      </c>
      <c r="E31">
        <f t="shared" si="1"/>
        <v>1</v>
      </c>
      <c r="G31">
        <v>1</v>
      </c>
      <c r="AJ31">
        <v>10</v>
      </c>
    </row>
    <row r="32" spans="1:63" outlineLevel="1" x14ac:dyDescent="0.4">
      <c r="A32" t="s">
        <v>1210</v>
      </c>
      <c r="C32" t="s">
        <v>1226</v>
      </c>
      <c r="E32">
        <f t="shared" si="1"/>
        <v>3</v>
      </c>
      <c r="G32">
        <v>3</v>
      </c>
      <c r="AJ32">
        <v>30</v>
      </c>
    </row>
    <row r="33" spans="1:39" ht="19.5" customHeight="1" outlineLevel="1" x14ac:dyDescent="0.4">
      <c r="A33" t="s">
        <v>1211</v>
      </c>
      <c r="C33" t="s">
        <v>1226</v>
      </c>
      <c r="E33">
        <f t="shared" si="1"/>
        <v>5</v>
      </c>
      <c r="G33">
        <v>5</v>
      </c>
      <c r="AJ33">
        <v>50</v>
      </c>
    </row>
    <row r="34" spans="1:39" outlineLevel="1" x14ac:dyDescent="0.4">
      <c r="A34" t="s">
        <v>1212</v>
      </c>
      <c r="C34" t="s">
        <v>1227</v>
      </c>
      <c r="E34">
        <f t="shared" si="1"/>
        <v>1</v>
      </c>
      <c r="H34" s="17">
        <v>1</v>
      </c>
      <c r="AK34">
        <v>10</v>
      </c>
    </row>
    <row r="35" spans="1:39" outlineLevel="1" x14ac:dyDescent="0.4">
      <c r="A35" t="s">
        <v>1213</v>
      </c>
      <c r="C35" t="s">
        <v>1227</v>
      </c>
      <c r="E35">
        <f t="shared" si="1"/>
        <v>3</v>
      </c>
      <c r="H35" s="17">
        <v>3</v>
      </c>
      <c r="AK35">
        <v>30</v>
      </c>
    </row>
    <row r="36" spans="1:39" outlineLevel="1" x14ac:dyDescent="0.4">
      <c r="A36" t="s">
        <v>1214</v>
      </c>
      <c r="C36" t="s">
        <v>1227</v>
      </c>
      <c r="E36">
        <f t="shared" si="1"/>
        <v>5</v>
      </c>
      <c r="H36" s="17">
        <v>5</v>
      </c>
      <c r="AK36">
        <v>50</v>
      </c>
    </row>
    <row r="37" spans="1:39" outlineLevel="1" x14ac:dyDescent="0.4">
      <c r="A37" t="s">
        <v>1215</v>
      </c>
      <c r="C37" t="s">
        <v>1188</v>
      </c>
      <c r="E37">
        <f t="shared" si="1"/>
        <v>1</v>
      </c>
      <c r="G37">
        <v>1</v>
      </c>
      <c r="AL37">
        <v>10</v>
      </c>
    </row>
    <row r="38" spans="1:39" outlineLevel="1" x14ac:dyDescent="0.4">
      <c r="A38" t="s">
        <v>1216</v>
      </c>
      <c r="C38" t="s">
        <v>1188</v>
      </c>
      <c r="E38">
        <f t="shared" si="1"/>
        <v>3</v>
      </c>
      <c r="G38">
        <v>3</v>
      </c>
      <c r="AL38">
        <v>30</v>
      </c>
    </row>
    <row r="39" spans="1:39" outlineLevel="1" x14ac:dyDescent="0.4">
      <c r="A39" t="s">
        <v>1217</v>
      </c>
      <c r="C39" t="s">
        <v>1188</v>
      </c>
      <c r="E39">
        <f t="shared" si="1"/>
        <v>5</v>
      </c>
      <c r="G39">
        <v>5</v>
      </c>
      <c r="AL39">
        <v>50</v>
      </c>
    </row>
    <row r="40" spans="1:39" outlineLevel="1" x14ac:dyDescent="0.4">
      <c r="A40" t="s">
        <v>1218</v>
      </c>
      <c r="C40" t="s">
        <v>1221</v>
      </c>
      <c r="E40">
        <f t="shared" si="1"/>
        <v>1</v>
      </c>
      <c r="G40">
        <v>1</v>
      </c>
      <c r="AM40">
        <v>10</v>
      </c>
    </row>
    <row r="41" spans="1:39" outlineLevel="1" x14ac:dyDescent="0.4">
      <c r="A41" t="s">
        <v>1219</v>
      </c>
      <c r="C41" t="s">
        <v>1221</v>
      </c>
      <c r="E41">
        <f t="shared" si="1"/>
        <v>3</v>
      </c>
      <c r="G41">
        <v>3</v>
      </c>
      <c r="AM41">
        <v>30</v>
      </c>
    </row>
    <row r="42" spans="1:39" outlineLevel="1" x14ac:dyDescent="0.4">
      <c r="A42" t="s">
        <v>1220</v>
      </c>
      <c r="C42" t="s">
        <v>1221</v>
      </c>
      <c r="E42">
        <f t="shared" si="1"/>
        <v>5</v>
      </c>
      <c r="G42">
        <v>5</v>
      </c>
      <c r="AM42">
        <v>50</v>
      </c>
    </row>
    <row r="43" spans="1:39" outlineLevel="1" x14ac:dyDescent="0.4">
      <c r="A43" s="2"/>
    </row>
    <row r="44" spans="1:39" outlineLevel="1" x14ac:dyDescent="0.4">
      <c r="A44" s="2"/>
    </row>
    <row r="45" spans="1:39" outlineLevel="1" x14ac:dyDescent="0.4">
      <c r="A45" s="2"/>
    </row>
    <row r="46" spans="1:39" outlineLevel="1" x14ac:dyDescent="0.4">
      <c r="A46" s="2"/>
    </row>
    <row r="47" spans="1:39" outlineLevel="1" x14ac:dyDescent="0.4">
      <c r="A47" s="2"/>
    </row>
    <row r="48" spans="1:39"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1018</v>
      </c>
      <c r="B1" s="3" t="s">
        <v>1019</v>
      </c>
      <c r="C1" s="42" t="s">
        <v>484</v>
      </c>
      <c r="D1" s="42" t="s">
        <v>485</v>
      </c>
      <c r="E1" s="42" t="s">
        <v>486</v>
      </c>
      <c r="F1" s="44" t="s">
        <v>488</v>
      </c>
      <c r="G1" s="44" t="s">
        <v>489</v>
      </c>
      <c r="H1" s="44" t="s">
        <v>490</v>
      </c>
      <c r="I1" s="44" t="s">
        <v>491</v>
      </c>
      <c r="J1" s="36" t="s">
        <v>492</v>
      </c>
      <c r="K1" s="36" t="s">
        <v>493</v>
      </c>
      <c r="L1" s="36" t="s">
        <v>494</v>
      </c>
      <c r="M1" s="36" t="s">
        <v>1020</v>
      </c>
      <c r="N1" s="56" t="s">
        <v>957</v>
      </c>
      <c r="O1" s="56" t="s">
        <v>954</v>
      </c>
      <c r="P1" s="36" t="s">
        <v>1191</v>
      </c>
      <c r="Q1" s="36" t="s">
        <v>1192</v>
      </c>
    </row>
    <row r="2" spans="1:17" x14ac:dyDescent="0.4">
      <c r="A2" s="17">
        <v>1</v>
      </c>
      <c r="B2" s="17" t="s">
        <v>1011</v>
      </c>
      <c r="C2" s="17">
        <v>10</v>
      </c>
      <c r="D2" s="17">
        <v>0</v>
      </c>
      <c r="E2" s="17">
        <v>0</v>
      </c>
      <c r="F2" s="17">
        <v>10</v>
      </c>
      <c r="P2" s="39">
        <v>1</v>
      </c>
      <c r="Q2" s="39">
        <v>0</v>
      </c>
    </row>
    <row r="3" spans="1:17" x14ac:dyDescent="0.4">
      <c r="A3" s="17">
        <v>2</v>
      </c>
      <c r="B3" s="17" t="s">
        <v>1011</v>
      </c>
      <c r="C3" s="17">
        <v>20</v>
      </c>
      <c r="D3" s="17">
        <v>0</v>
      </c>
      <c r="E3" s="17">
        <v>0</v>
      </c>
      <c r="F3" s="17">
        <v>20</v>
      </c>
      <c r="P3" s="39">
        <v>1</v>
      </c>
      <c r="Q3" s="39">
        <v>0.15</v>
      </c>
    </row>
    <row r="4" spans="1:17" x14ac:dyDescent="0.4">
      <c r="A4" s="17">
        <v>3</v>
      </c>
      <c r="B4" s="17" t="s">
        <v>1011</v>
      </c>
      <c r="C4" s="17">
        <v>10</v>
      </c>
      <c r="D4" s="17">
        <v>10</v>
      </c>
      <c r="E4" s="17"/>
      <c r="F4">
        <v>10</v>
      </c>
      <c r="G4" s="17">
        <v>10</v>
      </c>
      <c r="P4" s="39">
        <v>1</v>
      </c>
      <c r="Q4" s="39">
        <v>0.3</v>
      </c>
    </row>
    <row r="5" spans="1:17" x14ac:dyDescent="0.4">
      <c r="A5" s="17">
        <v>4</v>
      </c>
      <c r="B5" s="17" t="s">
        <v>1011</v>
      </c>
      <c r="C5" s="17">
        <v>10</v>
      </c>
      <c r="D5" s="17">
        <v>20</v>
      </c>
      <c r="E5" s="17">
        <v>10</v>
      </c>
      <c r="F5" s="17">
        <v>10</v>
      </c>
      <c r="G5" s="17">
        <v>20</v>
      </c>
      <c r="H5">
        <v>5</v>
      </c>
      <c r="I5">
        <v>5</v>
      </c>
      <c r="P5" s="39">
        <v>1</v>
      </c>
      <c r="Q5" s="39">
        <v>0.5</v>
      </c>
    </row>
    <row r="6" spans="1:17" x14ac:dyDescent="0.4">
      <c r="A6" s="17">
        <v>5</v>
      </c>
      <c r="B6" s="17" t="s">
        <v>1011</v>
      </c>
      <c r="C6" s="17">
        <v>20</v>
      </c>
      <c r="D6" s="17">
        <v>40</v>
      </c>
      <c r="E6" s="17">
        <v>20</v>
      </c>
      <c r="F6" s="17">
        <v>20</v>
      </c>
      <c r="G6" s="17">
        <v>40</v>
      </c>
      <c r="H6" s="17">
        <v>10</v>
      </c>
      <c r="I6" s="17">
        <v>10</v>
      </c>
      <c r="J6">
        <v>20</v>
      </c>
      <c r="K6">
        <v>40</v>
      </c>
      <c r="L6">
        <v>10</v>
      </c>
      <c r="M6" t="s">
        <v>1021</v>
      </c>
      <c r="P6" s="39">
        <v>1</v>
      </c>
      <c r="Q6" s="39">
        <v>0.65</v>
      </c>
    </row>
    <row r="7" spans="1:17" x14ac:dyDescent="0.4">
      <c r="A7" s="17">
        <v>6</v>
      </c>
      <c r="B7" s="17" t="s">
        <v>1011</v>
      </c>
      <c r="C7" s="17">
        <f>C6*2</f>
        <v>40</v>
      </c>
      <c r="D7" s="17">
        <f t="shared" ref="D7:I7" si="0">D6*2</f>
        <v>80</v>
      </c>
      <c r="E7" s="17">
        <f t="shared" si="0"/>
        <v>40</v>
      </c>
      <c r="F7" s="17">
        <f t="shared" si="0"/>
        <v>40</v>
      </c>
      <c r="G7" s="17">
        <f t="shared" si="0"/>
        <v>80</v>
      </c>
      <c r="H7" s="17">
        <f t="shared" si="0"/>
        <v>20</v>
      </c>
      <c r="I7" s="17">
        <f t="shared" si="0"/>
        <v>20</v>
      </c>
      <c r="J7">
        <v>40</v>
      </c>
      <c r="K7">
        <v>80</v>
      </c>
      <c r="L7">
        <v>20</v>
      </c>
      <c r="M7" t="s">
        <v>1021</v>
      </c>
      <c r="P7" s="39">
        <v>1</v>
      </c>
      <c r="Q7" s="39">
        <v>0.8</v>
      </c>
    </row>
    <row r="8" spans="1:17" x14ac:dyDescent="0.4">
      <c r="A8" s="17">
        <v>7</v>
      </c>
      <c r="B8" s="17" t="s">
        <v>1011</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1021</v>
      </c>
      <c r="P8" s="39">
        <v>1</v>
      </c>
      <c r="Q8" s="39">
        <v>1</v>
      </c>
    </row>
    <row r="9" spans="1:17" x14ac:dyDescent="0.4">
      <c r="A9" s="17">
        <v>1</v>
      </c>
      <c r="B9" t="s">
        <v>1228</v>
      </c>
      <c r="J9">
        <v>5</v>
      </c>
      <c r="K9">
        <v>10</v>
      </c>
    </row>
    <row r="10" spans="1:17" x14ac:dyDescent="0.4">
      <c r="A10" s="17">
        <v>2</v>
      </c>
      <c r="B10" t="s">
        <v>1228</v>
      </c>
      <c r="J10">
        <v>10</v>
      </c>
      <c r="K10">
        <v>20</v>
      </c>
      <c r="L10">
        <v>5</v>
      </c>
    </row>
    <row r="11" spans="1:17" x14ac:dyDescent="0.4">
      <c r="A11" s="17">
        <v>3</v>
      </c>
      <c r="B11" t="s">
        <v>1228</v>
      </c>
      <c r="J11">
        <v>20</v>
      </c>
      <c r="K11">
        <v>40</v>
      </c>
      <c r="L11">
        <v>10</v>
      </c>
    </row>
    <row r="12" spans="1:17" x14ac:dyDescent="0.4">
      <c r="A12" s="17">
        <v>4</v>
      </c>
      <c r="B12" t="s">
        <v>1228</v>
      </c>
      <c r="J12">
        <v>40</v>
      </c>
      <c r="K12">
        <v>80</v>
      </c>
      <c r="L12">
        <v>20</v>
      </c>
    </row>
    <row r="13" spans="1:17" x14ac:dyDescent="0.4">
      <c r="A13" s="17">
        <v>5</v>
      </c>
      <c r="B13" t="s">
        <v>1228</v>
      </c>
      <c r="J13">
        <v>80</v>
      </c>
      <c r="K13">
        <v>160</v>
      </c>
      <c r="L13">
        <v>40</v>
      </c>
      <c r="M13" t="s">
        <v>1021</v>
      </c>
    </row>
    <row r="14" spans="1:17" x14ac:dyDescent="0.4">
      <c r="A14" s="17">
        <v>6</v>
      </c>
      <c r="B14" t="s">
        <v>1228</v>
      </c>
      <c r="J14">
        <v>160</v>
      </c>
      <c r="K14">
        <v>320</v>
      </c>
      <c r="L14">
        <v>80</v>
      </c>
      <c r="M14" t="s">
        <v>1021</v>
      </c>
    </row>
    <row r="15" spans="1:17" x14ac:dyDescent="0.4">
      <c r="A15" s="17">
        <v>7</v>
      </c>
      <c r="B15" t="s">
        <v>1228</v>
      </c>
      <c r="J15">
        <v>320</v>
      </c>
      <c r="K15">
        <v>640</v>
      </c>
      <c r="L15">
        <v>160</v>
      </c>
      <c r="M15" t="s">
        <v>1021</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lpstr>付与</vt:lpstr>
      <vt:lpstr>消費量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柊也 菊地</cp:lastModifiedBy>
  <dcterms:created xsi:type="dcterms:W3CDTF">2026-02-28T14:20:31Z</dcterms:created>
  <dcterms:modified xsi:type="dcterms:W3CDTF">2026-03-24T05:39:09Z</dcterms:modified>
</cp:coreProperties>
</file>