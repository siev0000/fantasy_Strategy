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5B03649A-00E8-480A-8A62-E2F6C1F01A9D}" xr6:coauthVersionLast="47" xr6:coauthVersionMax="47" xr10:uidLastSave="{00000000-0000-0000-0000-000000000000}"/>
  <bookViews>
    <workbookView xWindow="390" yWindow="1770" windowWidth="29025" windowHeight="18945" tabRatio="799" activeTab="5"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 name="Sheet1" sheetId="25" r:id="rId23"/>
  </sheets>
  <definedNames>
    <definedName name="_xlnm._FilterDatabase" localSheetId="0" hidden="1">CS!$A$4:$T$755</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7" i="11" l="1"/>
  <c r="BJ16" i="11"/>
  <c r="BJ11" i="11"/>
  <c r="BJ10" i="11"/>
  <c r="BJ9" i="11"/>
  <c r="BJ7" i="11"/>
  <c r="BJ6" i="11"/>
  <c r="BJ5" i="11"/>
  <c r="BJ4" i="11"/>
  <c r="BJ3" i="11"/>
  <c r="BJ2" i="1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<sst xmlns="http://schemas.openxmlformats.org/spreadsheetml/2006/main" count="4532" uniqueCount="1849">
  <si>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</si>
  <si>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</si>
  <si>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</si>
  <si>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</si>
  <si>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</si>
  <si>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</si>
  <si>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</si>
  <si>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</si>
  <si>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</si>
  <si>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</si>
  <si>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</si>
  <si>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</si>
  <si>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</si>
  <si>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</si>
  <si>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</si>
  <si>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</si>
  <si>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</si>
  <si>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</si>
  <si>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</si>
  <si>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</si>
  <si>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</si>
  <si>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</si>
  <si>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</si>
  <si>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</si>
  <si>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</si>
  <si>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</si>
  <si>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</si>
  <si>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</si>
  <si>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</si>
  <si>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</si>
  <si>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</si>
  <si>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</si>
  <si>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</si>
  <si>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</si>
  <si>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</si>
  <si>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</si>
  <si>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</si>
  <si>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</si>
  <si>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</si>
  <si>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</si>
  <si>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</si>
  <si>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</si>
  <si>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</si>
  <si>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</si>
  <si>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</si>
  <si>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</si>
  <si>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</si>
  <si>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</si>
  <si>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</si>
  <si>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</si>
  <si>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</si>
  <si>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</si>
  <si>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</si>
  <si>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</si>
  <si>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</si>
  <si>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</si>
  <si>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</si>
  <si>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</si>
  <si>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</si>
  <si>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</si>
  <si>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</si>
  <si>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</si>
  <si>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</si>
  <si>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</si>
  <si>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</si>
  <si>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</si>
  <si>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</si>
  <si>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</si>
  <si>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</si>
  <si>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</si>
  <si>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</si>
  <si>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</si>
  <si>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</si>
  <si>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</si>
  <si>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</si>
  <si>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</si>
  <si>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</si>
  <si>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</si>
  <si>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</si>
  <si>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</si>
  <si>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</si>
  <si>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</si>
  <si>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</si>
  <si>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</si>
  <si>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</si>
  <si>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</si>
  <si>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</si>
  <si>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</si>
  <si>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</si>
  <si>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</si>
  <si>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</si>
  <si>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</si>
  <si>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</si>
  <si>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</si>
  <si>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</si>
  <si>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</si>
  <si>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</si>
  <si>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</si>
  <si>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</si>
  <si>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</si>
  <si>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</si>
  <si>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</si>
  <si>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</si>
  <si>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</si>
  <si>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</si>
  <si>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</si>
  <si>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</si>
  <si>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</si>
  <si>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</si>
  <si>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</si>
  <si>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</si>
  <si>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</si>
  <si>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</si>
  <si>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</si>
  <si>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</si>
  <si>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</si>
  <si>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</si>
  <si>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</si>
  <si>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</si>
  <si>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</si>
  <si>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</si>
  <si>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</si>
  <si>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</si>
  <si>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</si>
  <si>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</si>
  <si>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</si>
  <si>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</si>
  <si>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</si>
  <si>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</si>
  <si>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</si>
  <si>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</si>
  <si>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</si>
  <si>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</si>
  <si>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</si>
  <si>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</si>
  <si>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</si>
  <si>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</si>
  <si>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</si>
  <si>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</si>
  <si>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</si>
  <si>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</si>
  <si>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</si>
  <si>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</si>
  <si>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</si>
  <si>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</si>
  <si>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</si>
  <si>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</si>
  <si>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</si>
  <si>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</si>
  <si>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</si>
  <si>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</si>
  <si>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</si>
  <si>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</si>
  <si>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</si>
  <si>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</si>
  <si>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</si>
  <si>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</si>
  <si>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</si>
  <si>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</si>
  <si>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</si>
  <si>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</si>
  <si>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</si>
  <si>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</si>
  <si>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</si>
  <si>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</si>
  <si>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</si>
  <si>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</si>
  <si>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</si>
  <si>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</si>
  <si>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</si>
  <si>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</si>
  <si>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</si>
  <si>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</si>
  <si>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</si>
  <si>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</si>
  <si>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</si>
  <si>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</si>
  <si>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</si>
  <si>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</si>
  <si>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</si>
  <si>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</si>
  <si>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</si>
  <si>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</si>
  <si>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</si>
  <si>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</si>
  <si>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</si>
  <si>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</si>
  <si>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</si>
  <si>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</si>
  <si>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</si>
  <si>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</si>
  <si>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</si>
  <si>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</si>
  <si>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</si>
  <si>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</si>
  <si>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</si>
  <si>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</si>
  <si>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</si>
  <si>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</si>
  <si>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</si>
  <si>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</si>
  <si>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</si>
  <si>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</si>
  <si>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</si>
  <si>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</si>
  <si>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</si>
  <si>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</si>
  <si>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</si>
  <si>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</si>
  <si>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</si>
  <si>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</si>
  <si>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</si>
  <si>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</si>
  <si>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</si>
  <si>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</si>
  <si>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</si>
  <si>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</si>
  <si>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</si>
  <si>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</si>
  <si>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</si>
  <si>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</si>
  <si>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</si>
  <si>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</si>
  <si>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</si>
  <si>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</si>
  <si>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</si>
  <si>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</si>
  <si>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</si>
  <si>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</si>
  <si>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</si>
  <si>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</si>
  <si>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</si>
  <si>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</si>
  <si>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</si>
  <si>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</si>
  <si>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</si>
  <si>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</si>
  <si>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</si>
  <si>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</si>
  <si>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</si>
  <si>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</si>
  <si>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</si>
  <si>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</si>
  <si>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</si>
  <si>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</si>
  <si>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</si>
  <si>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</si>
  <si>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</si>
  <si>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</si>
  <si>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</si>
  <si>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</si>
  <si>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</si>
  <si>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</si>
  <si>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</si>
  <si>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</si>
  <si>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</si>
  <si>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</si>
  <si>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</si>
  <si>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</si>
  <si>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</si>
  <si>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</si>
  <si>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</si>
  <si>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</si>
  <si>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</si>
  <si>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</si>
  <si>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</si>
  <si>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</si>
  <si>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</si>
  <si>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</si>
  <si>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</si>
  <si>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</si>
  <si>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</si>
  <si>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</si>
  <si>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</si>
  <si>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</si>
  <si>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</si>
  <si>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</si>
  <si>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</si>
  <si>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</si>
  <si>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</si>
  <si>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</si>
  <si>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</si>
  <si>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</si>
  <si>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</si>
  <si>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</si>
  <si>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</si>
  <si>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</si>
  <si>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</si>
  <si>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</si>
  <si>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</si>
  <si>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</si>
  <si>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</si>
  <si>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</si>
  <si>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</si>
  <si>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</si>
  <si>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</si>
  <si>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</si>
  <si>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</si>
  <si>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</si>
  <si>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</si>
  <si>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</si>
  <si>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</si>
  <si>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</si>
  <si>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</si>
  <si>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</si>
  <si>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</si>
  <si>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</si>
  <si>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</si>
  <si>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</si>
  <si>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</si>
  <si>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</si>
  <si>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</si>
  <si>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</si>
  <si>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</si>
  <si>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</si>
  <si>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</si>
  <si>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</si>
  <si>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</si>
  <si>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</si>
  <si>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</si>
  <si>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</si>
  <si>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</si>
  <si>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</si>
  <si>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</si>
  <si>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</si>
  <si>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</si>
  <si>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</si>
  <si>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</si>
  <si>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</si>
  <si>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</si>
  <si>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</si>
  <si>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</si>
  <si>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</si>
  <si>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</si>
  <si>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</si>
  <si>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</si>
  <si>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</si>
  <si>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</si>
  <si>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</si>
  <si>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</si>
  <si>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</si>
  <si>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</si>
  <si>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</si>
  <si>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</si>
  <si>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</si>
  <si>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</si>
  <si>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</si>
  <si>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</si>
  <si>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</si>
  <si>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</si>
  <si>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</si>
  <si>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</si>
  <si>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</si>
  <si>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</si>
  <si>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</si>
  <si>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</si>
  <si>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</si>
  <si>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</si>
  <si>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</si>
  <si>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</si>
  <si>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</si>
  <si>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</si>
  <si>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</si>
  <si>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</si>
  <si>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</si>
  <si>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</si>
  <si>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</si>
  <si>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</si>
  <si>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</si>
  <si>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</si>
  <si>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</si>
  <si>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</si>
  <si>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</si>
  <si>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</si>
  <si>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</si>
  <si>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</si>
  <si>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</si>
  <si>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</si>
  <si>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</si>
  <si>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</si>
  <si>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</si>
  <si>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</si>
  <si>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</si>
  <si>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</si>
  <si>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</si>
  <si>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</si>
  <si>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</si>
  <si>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</si>
  <si>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</si>
  <si>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</si>
  <si>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</si>
  <si>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</si>
  <si>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</si>
  <si>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</si>
  <si>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</si>
  <si>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</si>
  <si>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</si>
  <si>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</si>
  <si>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</si>
  <si>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</si>
  <si>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</si>
  <si>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</si>
  <si>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</si>
  <si>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</si>
  <si>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</si>
  <si>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</si>
  <si>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</si>
  <si>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</si>
  <si>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</si>
  <si>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</si>
  <si>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</si>
  <si>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</si>
  <si>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</si>
  <si>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</si>
  <si>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</si>
  <si>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</si>
  <si>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</si>
  <si>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</si>
  <si>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</si>
  <si>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</si>
  <si>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</si>
  <si>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</si>
  <si>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</si>
  <si>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</si>
  <si>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</si>
  <si>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</si>
  <si>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</si>
  <si>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</si>
  <si>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</si>
  <si>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</si>
  <si>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</si>
  <si>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</si>
  <si>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</si>
  <si>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</si>
  <si>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</si>
  <si>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</si>
  <si>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</si>
  <si>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</si>
  <si>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</si>
  <si>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</si>
  <si>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</si>
  <si>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</si>
  <si>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</si>
  <si>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</si>
  <si>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</si>
  <si>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</si>
  <si>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</si>
  <si>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</si>
  <si>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</si>
  <si>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</si>
  <si>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</si>
  <si>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</si>
  <si>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</si>
  <si>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</si>
  <si>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</si>
  <si>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</si>
  <si>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</si>
  <si>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</si>
  <si>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</si>
  <si>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</si>
  <si>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</si>
  <si>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</si>
  <si>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</si>
  <si>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</si>
  <si>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</si>
  <si>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</si>
  <si>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</si>
  <si>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</si>
  <si>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</si>
  <si>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</si>
  <si>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</si>
  <si>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</si>
  <si>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</si>
  <si>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</si>
  <si>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</si>
  <si>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</si>
  <si>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</si>
  <si>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</si>
  <si>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</si>
  <si>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</si>
  <si>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</si>
  <si>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</si>
  <si>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</si>
  <si>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</si>
  <si>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</si>
  <si>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</si>
  <si>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</si>
  <si>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</si>
  <si>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</si>
  <si>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</si>
  <si>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</si>
  <si>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</si>
  <si>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</si>
  <si>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</si>
  <si>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</si>
  <si>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</si>
  <si>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</si>
  <si>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</si>
  <si>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</si>
  <si>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</si>
  <si>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</si>
  <si>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</si>
  <si>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</si>
  <si>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</si>
  <si>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</si>
  <si>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</si>
  <si>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</si>
  <si>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</si>
  <si>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</si>
  <si>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</si>
  <si>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</si>
  <si>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</si>
  <si>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</si>
  <si>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</si>
  <si>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</si>
  <si>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</si>
  <si>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</si>
  <si>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</si>
  <si>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</si>
  <si>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</si>
  <si>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</si>
  <si>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</si>
  <si>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</si>
  <si>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</si>
  <si>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</si>
  <si>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</si>
  <si>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</si>
  <si>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</si>
  <si>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</si>
  <si>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</si>
  <si>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</si>
  <si>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</si>
  <si>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</si>
  <si>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</si>
  <si>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</si>
  <si>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</si>
  <si>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</si>
  <si>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</si>
  <si>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</si>
  <si>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</si>
  <si>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</si>
  <si>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</si>
  <si>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</si>
  <si>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</si>
  <si>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</si>
  <si>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</si>
  <si>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</si>
  <si>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</si>
  <si>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</si>
  <si>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</si>
  <si>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</si>
  <si>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</si>
  <si>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</si>
  <si>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</si>
  <si>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</si>
  <si>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</si>
  <si>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</si>
  <si>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</si>
  <si>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</si>
  <si>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</si>
  <si>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</si>
  <si>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</si>
  <si>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</si>
  <si>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</si>
  <si>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</si>
  <si>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</si>
  <si>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</si>
  <si>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</si>
  <si>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</si>
  <si>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</si>
  <si>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</si>
  <si>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</si>
  <si>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</si>
  <si>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</si>
  <si>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</si>
  <si>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</si>
  <si>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</si>
  <si>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</si>
  <si>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</si>
  <si>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</si>
  <si>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</si>
  <si>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</si>
  <si>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</si>
  <si>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</si>
  <si>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</si>
  <si>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</si>
  <si>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</si>
  <si>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</si>
  <si>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</si>
  <si>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</si>
  <si>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</si>
  <si>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</si>
  <si>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</si>
  <si>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</si>
  <si>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</si>
  <si>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</si>
  <si>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</si>
  <si>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</si>
  <si>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</si>
  <si>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</si>
  <si>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</si>
  <si>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</si>
  <si>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</si>
  <si>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</si>
  <si>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</si>
  <si>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</si>
  <si>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</si>
  <si>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</si>
  <si>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</si>
  <si>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</si>
  <si>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</si>
  <si>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</si>
  <si>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</si>
  <si>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</si>
  <si>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</si>
  <si>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</si>
  <si>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</si>
  <si>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</si>
  <si>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</si>
  <si>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</si>
  <si>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</si>
  <si>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</si>
  <si>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</si>
  <si>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</si>
  <si>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</si>
  <si>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</si>
  <si>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</si>
  <si>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</si>
  <si>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</si>
  <si>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</si>
  <si>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</si>
  <si>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</si>
  <si>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</si>
  <si>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</si>
  <si>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</si>
  <si>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</si>
  <si>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</si>
  <si>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</si>
  <si>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</si>
  <si>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</si>
  <si>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</si>
  <si>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</si>
  <si>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</si>
  <si>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</si>
  <si>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</si>
  <si>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</si>
  <si>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</si>
  <si>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</si>
  <si>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</si>
  <si>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</si>
  <si>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</si>
  <si>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</si>
  <si>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</si>
  <si>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</si>
  <si>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</si>
  <si>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</si>
  <si>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</si>
  <si>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</si>
  <si>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</si>
  <si>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</si>
  <si>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</si>
  <si>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</si>
  <si>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</si>
  <si>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</si>
  <si>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</si>
  <si>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</si>
  <si>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</si>
  <si>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</si>
  <si>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</si>
  <si>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</si>
  <si>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</si>
  <si>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</si>
  <si>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</si>
  <si>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</si>
  <si>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</si>
  <si>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</si>
  <si>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</si>
  <si>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</si>
  <si>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</si>
  <si>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</si>
  <si>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</si>
  <si>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</si>
  <si>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</si>
  <si>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</si>
  <si>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</si>
  <si>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</si>
  <si>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</si>
  <si>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</si>
  <si>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</si>
  <si>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</si>
  <si>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</si>
  <si>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</si>
  <si>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</si>
  <si>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</si>
  <si>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</si>
  <si>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</si>
  <si>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</si>
  <si>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</si>
  <si>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</si>
  <si>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</si>
  <si>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</si>
  <si>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</si>
  <si>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</si>
  <si>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</si>
  <si>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</si>
  <si>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</si>
  <si>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</si>
  <si>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</si>
  <si>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</si>
  <si>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</si>
  <si>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</si>
  <si>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</si>
  <si>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</si>
  <si>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</si>
  <si>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</si>
  <si>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</si>
  <si>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</si>
  <si>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</si>
  <si>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</si>
  <si>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</si>
  <si>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</si>
  <si>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</si>
  <si>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</si>
  <si>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</si>
  <si>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</si>
  <si>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</si>
  <si>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</si>
  <si>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</si>
  <si>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</si>
  <si>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</si>
  <si>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</si>
  <si>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</si>
  <si>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</si>
  <si>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</si>
  <si>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</si>
  <si>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</si>
  <si>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</si>
  <si>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</si>
  <si>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</si>
  <si>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</si>
  <si>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</si>
  <si>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</si>
  <si>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</si>
  <si>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</si>
  <si>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</si>
  <si>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</si>
  <si>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</si>
  <si>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</si>
  <si>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</si>
  <si>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</si>
  <si>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</si>
  <si>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</si>
  <si>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</si>
  <si>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</si>
  <si>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</si>
  <si>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</si>
  <si>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</si>
  <si>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</si>
  <si>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</si>
  <si>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</si>
  <si>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</si>
  <si>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</si>
  <si>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</si>
  <si>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</si>
  <si>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</si>
  <si>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</si>
  <si>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</si>
  <si>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</si>
  <si>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</si>
  <si>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</si>
  <si>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</si>
  <si>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</si>
  <si>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</si>
  <si>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</si>
  <si>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</si>
  <si>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</si>
  <si>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</si>
  <si>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</si>
  <si>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</si>
  <si>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</si>
  <si>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</si>
  <si>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</si>
  <si>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</si>
  <si>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</si>
  <si>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</si>
  <si>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</si>
  <si>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</si>
  <si>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</si>
  <si>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</si>
  <si>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</si>
  <si>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</si>
  <si>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</si>
  <si>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</si>
  <si>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</si>
  <si>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</si>
  <si>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</si>
  <si>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</si>
  <si>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</si>
  <si>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</si>
  <si>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</si>
  <si>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</si>
  <si>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</si>
  <si>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</si>
  <si>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</si>
  <si>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</si>
  <si>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</si>
  <si>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</si>
  <si>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</si>
  <si>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</si>
  <si>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</si>
  <si>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</si>
  <si>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</si>
  <si>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</si>
  <si>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</si>
  <si>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</si>
  <si>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</si>
  <si>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</si>
  <si>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</si>
  <si>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</si>
  <si>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</si>
  <si>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</si>
  <si>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</si>
  <si>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</si>
  <si>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</si>
  <si>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</si>
  <si>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</si>
  <si>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</si>
  <si>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</si>
  <si>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</si>
  <si>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</si>
  <si>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</si>
  <si>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</si>
  <si>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</si>
  <si>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</si>
  <si>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</si>
  <si>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</si>
  <si>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</si>
  <si>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</si>
  <si>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</si>
  <si>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</si>
  <si>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</si>
  <si>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</si>
  <si>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</si>
  <si>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</si>
  <si>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</si>
  <si>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</si>
  <si>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</si>
  <si>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</si>
  <si>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</si>
  <si>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</si>
  <si>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</si>
  <si>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</si>
  <si>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</si>
  <si>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</si>
  <si>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</si>
  <si>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</si>
  <si>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</si>
  <si>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</si>
  <si>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</si>
  <si>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</si>
  <si>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</si>
  <si>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</si>
  <si>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</si>
  <si>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</si>
  <si>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</si>
  <si>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</si>
  <si>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</si>
  <si>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</si>
  <si>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</si>
  <si>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</si>
  <si>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</si>
  <si>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</si>
  <si>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</si>
  <si>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</si>
  <si>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</si>
  <si>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</si>
  <si>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</si>
  <si>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</si>
  <si>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</si>
  <si>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</si>
  <si>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</si>
  <si>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</si>
  <si>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</si>
  <si>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</si>
  <si>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</si>
  <si>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</si>
  <si>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</si>
  <si>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</si>
  <si>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</si>
  <si>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</si>
  <si>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</si>
  <si>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</si>
  <si>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</si>
  <si>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</si>
  <si>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</si>
  <si>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</si>
  <si>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</si>
  <si>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</si>
  <si>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</si>
  <si>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</si>
  <si>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</si>
  <si>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</si>
  <si>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</si>
  <si>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</si>
  <si>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</si>
  <si>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</si>
  <si>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</si>
  <si>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</si>
  <si>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</si>
  <si>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</si>
  <si>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</si>
  <si>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</si>
  <si>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</si>
  <si>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</si>
  <si>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</si>
  <si>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</si>
  <si>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</si>
  <si>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</si>
  <si>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</si>
  <si>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</si>
  <si>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</si>
  <si>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</si>
  <si>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</si>
  <si>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</si>
  <si>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</si>
  <si>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</si>
  <si>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</si>
  <si>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</si>
  <si>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</si>
  <si>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</si>
  <si>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</si>
  <si>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</si>
  <si>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</si>
  <si>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</si>
  <si>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</si>
  <si>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</si>
  <si>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</si>
  <si>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</si>
  <si>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</si>
  <si>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</si>
  <si>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</si>
  <si>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</si>
  <si>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</si>
  <si>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</si>
  <si>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</si>
  <si>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</si>
  <si>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</si>
  <si>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</si>
  <si>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</si>
  <si>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</si>
  <si>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</si>
  <si>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</si>
  <si>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</si>
  <si>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</si>
  <si>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</si>
  <si>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</si>
  <si>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</si>
  <si>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</si>
  <si>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</si>
  <si>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</si>
  <si>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</si>
  <si>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</si>
  <si>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</si>
  <si>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</si>
  <si>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</si>
  <si>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</si>
  <si>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</si>
  <si>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</si>
  <si>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</si>
  <si>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</si>
  <si>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</si>
  <si>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</si>
  <si>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</si>
  <si>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</si>
  <si>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</si>
  <si>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</si>
  <si>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</si>
  <si>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</si>
  <si>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</si>
  <si>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</si>
  <si>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</si>
  <si>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</si>
  <si>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</si>
  <si>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</si>
  <si>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</si>
  <si>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</si>
  <si>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</si>
  <si>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</si>
  <si>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</si>
  <si>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</si>
  <si>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</si>
  <si>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</si>
  <si>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</si>
  <si>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</si>
  <si>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</si>
  <si>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</si>
  <si>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</si>
  <si>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</si>
  <si>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</si>
  <si>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</si>
  <si>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</si>
  <si>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</si>
  <si>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</si>
  <si>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</si>
  <si>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</si>
  <si>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</si>
  <si>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</si>
  <si>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</si>
  <si>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</si>
  <si>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</si>
  <si>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</si>
  <si>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</si>
  <si>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</si>
  <si>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</si>
  <si>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</si>
  <si>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</si>
  <si>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</si>
  <si>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</si>
  <si>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</si>
  <si>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</si>
  <si>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</si>
  <si>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</si>
  <si>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</si>
  <si>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</si>
  <si>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</si>
  <si>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</si>
  <si>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</si>
  <si>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</si>
  <si>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</si>
  <si>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</si>
  <si>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</si>
  <si>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</si>
  <si>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</si>
  <si>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</si>
  <si>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</si>
  <si>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</si>
  <si>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</si>
  <si>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</si>
  <si>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</si>
  <si>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</si>
  <si>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</si>
  <si>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</si>
  <si>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</si>
  <si>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</si>
  <si>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</si>
  <si>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</si>
  <si>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</si>
  <si>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</si>
  <si>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</si>
  <si>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</si>
  <si>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</si>
  <si>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</si>
  <si>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</si>
  <si>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</si>
  <si>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</si>
  <si>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</si>
  <si>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</si>
  <si>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</si>
  <si>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</si>
  <si>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</si>
  <si>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</si>
  <si>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</si>
  <si>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</si>
  <si>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</si>
  <si>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</si>
  <si>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</si>
  <si>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</si>
  <si>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</si>
  <si>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</si>
  <si>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</si>
  <si>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</si>
  <si>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</si>
  <si>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</si>
  <si>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</si>
  <si>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</si>
  <si>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</si>
  <si>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</si>
  <si>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</si>
  <si>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</si>
  <si>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</si>
  <si>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</si>
  <si>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</si>
  <si>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</si>
  <si>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</si>
  <si>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</si>
  <si>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</si>
  <si>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</si>
  <si>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</si>
  <si>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</si>
  <si>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</si>
  <si>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</si>
  <si>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</si>
  <si>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</si>
  <si>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</si>
  <si>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</si>
  <si>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</si>
  <si>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</si>
  <si>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</si>
  <si>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</si>
  <si>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</si>
  <si>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</si>
  <si>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</si>
  <si>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</si>
  <si>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</si>
  <si>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</si>
  <si>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</si>
  <si>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</si>
  <si>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</si>
  <si>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</si>
  <si>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</si>
  <si>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</si>
  <si>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</si>
  <si>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</si>
  <si>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</si>
  <si>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</si>
  <si>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</si>
  <si>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</si>
  <si>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</si>
  <si>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</si>
  <si>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</si>
  <si>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</si>
  <si>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</si>
  <si>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</si>
  <si>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</si>
  <si>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</si>
  <si>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</si>
  <si>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</si>
  <si>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</si>
  <si>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</si>
  <si>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</si>
  <si>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</si>
  <si>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</si>
  <si>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</si>
  <si>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</si>
  <si>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</si>
  <si>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</si>
  <si>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</si>
  <si>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</si>
  <si>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</si>
  <si>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</si>
  <si>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</si>
  <si>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</si>
  <si>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</si>
  <si>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</si>
  <si>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</si>
  <si>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</si>
  <si>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</si>
  <si>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</si>
  <si>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</si>
  <si>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</si>
  <si>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</si>
  <si>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</si>
  <si>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</si>
  <si>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</si>
  <si>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</si>
  <si>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</si>
  <si>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</si>
  <si>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</si>
  <si>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</si>
  <si>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</si>
  <si>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</si>
  <si>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</si>
  <si>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</si>
  <si>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</si>
  <si>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</si>
  <si>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</si>
  <si>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</si>
  <si>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</si>
  <si>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</si>
  <si>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</si>
  <si>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</si>
  <si>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</si>
  <si>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</si>
  <si>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</si>
  <si>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</si>
  <si>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</si>
  <si>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</si>
  <si>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</si>
  <si>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</si>
  <si>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</si>
  <si>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</si>
  <si>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</si>
  <si>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</si>
  <si>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</si>
  <si>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</si>
  <si>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</si>
  <si>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</si>
  <si>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</si>
  <si>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</si>
  <si>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</si>
  <si>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</si>
  <si>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</si>
  <si>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</si>
  <si>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</si>
  <si>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</si>
  <si>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</si>
  <si>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</si>
  <si>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</si>
  <si>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</si>
  <si>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</si>
  <si>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</si>
  <si>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</si>
  <si>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</si>
  <si>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</si>
  <si>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</si>
  <si>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</si>
  <si>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</si>
  <si>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</si>
  <si>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</si>
  <si>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</si>
  <si>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</si>
  <si>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</si>
  <si>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</si>
  <si>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</si>
  <si>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</si>
  <si>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</si>
  <si>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</si>
  <si>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</si>
  <si>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</si>
  <si>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</si>
  <si>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</si>
  <si>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</si>
  <si>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</si>
  <si>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</si>
  <si>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</si>
  <si>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</si>
  <si>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</si>
  <si>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</si>
  <si>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</si>
  <si>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</si>
  <si>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</si>
  <si>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</si>
  <si>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</si>
  <si>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</si>
  <si>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</si>
  <si>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</si>
  <si>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</si>
  <si>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</si>
  <si>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</si>
  <si>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</si>
  <si>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</si>
  <si>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</si>
  <si>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</si>
  <si>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</si>
  <si>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</si>
  <si>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</si>
  <si>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</si>
  <si>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</si>
  <si>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</si>
  <si>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</si>
  <si>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</si>
  <si>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</si>
  <si>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</si>
  <si>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</si>
  <si>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</si>
  <si>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</si>
  <si>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</si>
  <si>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</si>
  <si>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</si>
  <si>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</si>
  <si>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</si>
  <si>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</si>
  <si>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</si>
  <si>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</si>
  <si>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</si>
  <si>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</si>
  <si>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</si>
  <si>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</si>
  <si>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</si>
  <si>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</si>
  <si>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</si>
  <si>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</si>
  <si>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</si>
  <si>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</si>
  <si>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</si>
  <si>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</si>
  <si>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</si>
  <si>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</si>
  <si>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</si>
  <si>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</si>
  <si>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</si>
  <si>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</si>
  <si>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</si>
  <si>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</si>
  <si>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</si>
  <si>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</si>
  <si>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</si>
  <si>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</si>
  <si>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</si>
  <si>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</si>
  <si>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</si>
  <si>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</si>
  <si>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</si>
  <si>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</si>
  <si>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</si>
  <si>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</si>
  <si>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</si>
  <si>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</si>
  <si>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</si>
  <si>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</si>
  <si>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</si>
  <si>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</si>
  <si>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</si>
  <si>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</si>
  <si>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</si>
  <si>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</si>
  <si>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</si>
  <si>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</si>
  <si>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</si>
  <si>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</si>
  <si>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</si>
  <si>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</si>
  <si>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</si>
  <si>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</si>
  <si>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</si>
  <si>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</si>
  <si>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</si>
  <si>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</si>
  <si>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</si>
  <si>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</si>
  <si>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</si>
  <si>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</si>
  <si>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</si>
  <si>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</si>
  <si>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</si>
  <si>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</si>
  <si>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</si>
  <si>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</si>
  <si>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</si>
  <si>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</si>
  <si>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</si>
  <si>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</si>
  <si>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</si>
  <si>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</si>
  <si>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</si>
  <si>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</si>
  <si>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</si>
  <si>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</si>
  <si>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</si>
  <si>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</si>
  <si>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</si>
  <si>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</si>
  <si>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</si>
  <si>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</si>
  <si>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</si>
  <si>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</si>
  <si>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</si>
  <si>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</si>
  <si>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</si>
  <si>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</si>
  <si>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</si>
  <si>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</si>
  <si>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</si>
  <si>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</si>
  <si>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</si>
  <si>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</si>
  <si>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</si>
  <si>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</si>
  <si>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</si>
  <si>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</si>
  <si>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</si>
  <si>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</si>
  <si>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</si>
  <si>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</si>
  <si>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</si>
  <si>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</si>
  <si>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</si>
  <si>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</si>
  <si>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</si>
  <si>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</si>
  <si>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</si>
  <si>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</si>
  <si>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</si>
  <si>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</si>
  <si>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</si>
  <si>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</si>
  <si>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</si>
  <si>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</si>
  <si>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</si>
  <si>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</si>
  <si>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</si>
  <si>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</si>
  <si>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</si>
  <si>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</si>
  <si>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</si>
  <si>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</si>
  <si>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</si>
  <si>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</si>
  <si>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</si>
  <si>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</si>
  <si>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</si>
  <si>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</si>
  <si>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</si>
  <si>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</si>
  <si>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</si>
  <si>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</si>
  <si>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</si>
  <si>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</si>
  <si>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</si>
  <si>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</si>
  <si>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</si>
  <si>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</si>
  <si>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</si>
  <si>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</si>
  <si>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</si>
  <si>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</si>
  <si>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</si>
  <si>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</si>
  <si>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</si>
  <si>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</si>
  <si>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</si>
  <si>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</si>
  <si>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</si>
  <si>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</si>
  <si>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</si>
  <si>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</si>
  <si>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</si>
  <si>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</si>
  <si>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</si>
  <si>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</si>
  <si>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</si>
  <si>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</si>
  <si>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</si>
  <si>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</si>
  <si>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</si>
  <si>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</si>
  <si>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</si>
  <si>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</si>
  <si>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</si>
  <si>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</si>
  <si>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</si>
  <si>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</si>
  <si>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</si>
  <si>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</si>
  <si>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</si>
  <si>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</si>
  <si>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</si>
  <si>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</si>
  <si>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</si>
  <si>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</si>
  <si>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</si>
  <si>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</si>
  <si>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</si>
  <si>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</si>
  <si>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</si>
  <si>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</si>
  <si>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</si>
  <si>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</si>
  <si>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</si>
  <si>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</si>
  <si>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</si>
  <si>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</si>
  <si>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</si>
  <si>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</si>
  <si>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</si>
  <si>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</si>
  <si>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</si>
  <si>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</si>
  <si>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</si>
  <si>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</si>
  <si>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</si>
  <si>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</si>
  <si>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</si>
  <si>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</si>
  <si>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</si>
  <si>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</si>
  <si>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</si>
  <si>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</si>
  <si>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</si>
  <si>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</si>
  <si>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</si>
  <si>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</si>
  <si>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</si>
  <si>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</si>
  <si>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</si>
  <si>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</si>
  <si>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</si>
  <si>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</si>
  <si>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</si>
  <si>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</si>
  <si>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</si>
  <si>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</si>
  <si>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</si>
  <si>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</si>
  <si>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</si>
  <si>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</si>
  <si>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</si>
  <si>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</si>
  <si>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</si>
  <si>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</si>
  <si>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</si>
  <si>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</si>
  <si>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</si>
  <si>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</si>
  <si>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</si>
  <si>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</si>
  <si>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</si>
  <si>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</si>
  <si>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</si>
  <si>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</si>
  <si>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</si>
  <si>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</si>
  <si>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</si>
  <si>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</si>
  <si>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</si>
  <si>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</si>
  <si>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</si>
  <si>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</si>
  <si>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</si>
  <si>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</si>
  <si>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</si>
  <si>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</si>
  <si>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</si>
  <si>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</si>
  <si>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</si>
  <si>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</si>
  <si>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</si>
  <si>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</si>
  <si>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</si>
  <si>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</si>
  <si>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</si>
  <si>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</si>
  <si>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</si>
  <si>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</si>
  <si>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</si>
  <si>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</si>
  <si>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</si>
  <si>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</si>
  <si>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</si>
  <si>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</si>
  <si>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</si>
  <si>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</si>
  <si>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</si>
  <si>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</si>
  <si>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</si>
  <si>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</si>
  <si>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</si>
  <si>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</si>
  <si>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</si>
  <si>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</si>
  <si>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</si>
  <si>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</si>
  <si>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</si>
  <si>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</si>
  <si>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</si>
  <si>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</si>
  <si>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</si>
  <si>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</si>
  <si>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</si>
  <si>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</si>
  <si>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</si>
  <si>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</si>
  <si>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</si>
  <si>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</si>
  <si>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</si>
  <si>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</si>
  <si>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</si>
  <si>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</si>
  <si>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</si>
  <si>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</si>
  <si>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</si>
  <si>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</si>
  <si>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</si>
  <si>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</si>
  <si>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</si>
  <si>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</si>
  <si>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</si>
  <si>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</si>
  <si>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</si>
  <si>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</si>
  <si>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</si>
  <si>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</si>
  <si>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</si>
  <si>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</si>
  <si>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</si>
  <si>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</si>
  <si>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勢力配置区分</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</si>
  <si>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</si>
  <si>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</si>
  <si>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</si>
  <si>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</si>
  <si>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</si>
  <si>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</si>
  <si>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</si>
  <si>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</si>
  <si>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</si>
  <si>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</si>
  <si>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</si>
  <si>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</si>
  <si>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</si>
  <si>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</si>
  <si>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</si>
  <si>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</si>
  <si>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</si>
  <si>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</si>
  <si>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</si>
  <si>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</si>
  <si>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</si>
  <si>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</si>
  <si>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</si>
  <si>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</si>
  <si>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</si>
  <si>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</si>
  <si>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</si>
  <si>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</si>
  <si>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</si>
  <si>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</si>
  <si>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</si>
  <si>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</si>
  <si>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</si>
  <si>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</si>
  <si>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</si>
  <si>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</si>
  <si>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</si>
  <si>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</si>
  <si>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</si>
  <si>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</si>
  <si>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</si>
  <si>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</si>
  <si>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</si>
  <si>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</si>
  <si>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</si>
  <si>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</si>
  <si>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</si>
  <si>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</si>
  <si>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</si>
  <si>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</si>
  <si>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</si>
  <si>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</si>
  <si>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</si>
  <si>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</si>
  <si>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</si>
  <si>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</si>
  <si>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</si>
  <si>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</si>
  <si>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</si>
  <si>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</si>
  <si>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</si>
  <si>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</si>
  <si>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</si>
  <si>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</si>
  <si>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</si>
  <si>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</si>
  <si>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</si>
  <si>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</si>
  <si>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</si>
  <si>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</si>
  <si>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</si>
  <si>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</si>
  <si>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</si>
  <si>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</si>
  <si>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</si>
  <si>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</si>
  <si>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</si>
  <si>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</si>
  <si>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</si>
  <si>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</si>
  <si>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</si>
  <si>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</si>
  <si>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</si>
  <si>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</si>
  <si>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</si>
  <si>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</si>
  <si>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</si>
  <si>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</si>
  <si>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</si>
  <si>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</si>
  <si>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</si>
  <si>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</si>
  <si>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</si>
  <si>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</si>
  <si>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</si>
  <si>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</si>
  <si>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</si>
  <si>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</si>
  <si>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</si>
  <si>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</si>
  <si>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</si>
  <si>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</si>
  <si>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</si>
  <si>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</si>
  <si>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</si>
  <si>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</si>
  <si>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</si>
  <si>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</si>
  <si>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</si>
  <si>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</si>
  <si>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</si>
  <si>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</si>
  <si>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</si>
  <si>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</si>
  <si>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</si>
  <si>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</si>
  <si>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</si>
  <si>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</si>
  <si>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</si>
  <si>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</si>
  <si>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</si>
  <si>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</si>
  <si>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</si>
  <si>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</si>
  <si>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</si>
  <si>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</si>
  <si>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</si>
  <si>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</si>
  <si>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</si>
  <si>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</si>
  <si>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</si>
  <si>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</si>
  <si>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</si>
  <si>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</si>
  <si>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</si>
  <si>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</si>
  <si>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</si>
  <si>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</si>
  <si>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</si>
  <si>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</si>
  <si>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</si>
  <si>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</si>
  <si>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</si>
  <si>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</si>
  <si>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</si>
  <si>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</si>
  <si>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</si>
  <si>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</si>
  <si>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</si>
  <si>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</si>
  <si>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</si>
  <si>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</si>
  <si>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</si>
  <si>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</si>
  <si>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</si>
  <si>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</si>
  <si>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</si>
  <si>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</si>
  <si>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</si>
  <si>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</si>
  <si>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</si>
  <si>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</si>
  <si>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</si>
  <si>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</si>
  <si>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</si>
  <si>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</si>
  <si>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</si>
  <si>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</si>
  <si>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</si>
  <si>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</si>
  <si>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</si>
  <si>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</si>
  <si>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</si>
  <si>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</si>
  <si>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</si>
  <si>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</si>
  <si>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</si>
  <si>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</si>
  <si>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</si>
  <si>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</si>
  <si>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</si>
  <si>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</si>
  <si>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</si>
  <si>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</si>
  <si>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</si>
  <si>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</si>
  <si>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</si>
  <si>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</si>
  <si>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</si>
  <si>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</si>
  <si>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</si>
  <si>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</si>
  <si>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</si>
  <si>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</si>
  <si>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</si>
  <si>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</si>
  <si>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</si>
  <si>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</si>
  <si>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</si>
  <si>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</si>
  <si>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</si>
  <si>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</si>
  <si>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</si>
  <si>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</si>
  <si>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</si>
  <si>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</si>
  <si>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</si>
  <si>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</si>
  <si>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</si>
  <si>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</si>
  <si>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</si>
  <si>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</si>
  <si>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</si>
  <si>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</si>
  <si>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</si>
  <si>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</si>
  <si>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</si>
  <si>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</si>
  <si>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</si>
  <si>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</si>
  <si>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</si>
  <si>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</si>
  <si>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</si>
  <si>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</si>
  <si>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</si>
  <si>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</si>
  <si>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</si>
  <si>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</si>
  <si>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</si>
  <si>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</si>
  <si>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</si>
  <si>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</si>
  <si>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</si>
  <si>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</si>
  <si>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</si>
  <si>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</si>
  <si>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</si>
  <si>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</si>
  <si>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</si>
  <si>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</si>
  <si>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</si>
  <si>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</si>
  <si>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</si>
  <si>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</si>
  <si>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</si>
  <si>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</si>
  <si>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</si>
  <si>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</si>
  <si>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</si>
  <si>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</si>
  <si>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</si>
  <si>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</si>
  <si>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</si>
  <si>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</si>
  <si>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</si>
  <si>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</si>
  <si>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</si>
  <si>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</si>
  <si>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</si>
  <si>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</si>
  <si>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</si>
  <si>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</si>
  <si>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</si>
  <si>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攻撃手段:魔法 炎+28 効果:視認不可 射程:1</t>
    <phoneticPr fontId="2"/>
  </si>
  <si>
    <t>攻撃手段:魔法 回復+75 効果:蘇生_Lv-5 射程:1</t>
    <rPh sb="8" eb="10">
      <t>カイフク</t>
    </rPh>
    <rPh sb="15" eb="17">
      <t>コウカ</t>
    </rPh>
    <rPh sb="18" eb="20">
      <t>ソセイ</t>
    </rPh>
    <phoneticPr fontId="2"/>
  </si>
  <si>
    <t>攻撃手段:魔法 回復+100 効果:蘇生_Lv-2 射程:2 待機時間1t</t>
    <rPh sb="8" eb="10">
      <t>カイフク</t>
    </rPh>
    <rPh sb="23" eb="25">
      <t>コウカ</t>
    </rPh>
    <rPh sb="26" eb="28">
      <t>ソセイ</t>
    </rPh>
    <rPh sb="34" eb="36">
      <t>シャテイ</t>
    </rPh>
    <phoneticPr fontId="2"/>
  </si>
  <si>
    <t xml:space="preserve">攻撃手段:魔法 回復+35 効果:蘇生_Lv-8 射程:1 </t>
    <rPh sb="8" eb="10">
      <t>カイフク</t>
    </rPh>
    <rPh sb="14" eb="16">
      <t>コウカ</t>
    </rPh>
    <rPh sb="17" eb="19">
      <t>ソセイ</t>
    </rPh>
    <rPh sb="25" eb="27">
      <t>シャテイ</t>
    </rPh>
    <phoneticPr fontId="2"/>
  </si>
  <si>
    <t>耐熱|炎耐性:100</t>
    <phoneticPr fontId="2"/>
  </si>
  <si>
    <t>都市不可。鉱石+大。噴火イベントあり。防御+15%。</t>
    <phoneticPr fontId="2"/>
  </si>
  <si>
    <t>蘇生_Lv-8</t>
  </si>
  <si>
    <t>蘇生_Lv-5</t>
  </si>
  <si>
    <t>蘇生_Lv-2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</si>
</sst>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66" activePane="bottomRight" state="frozen"/>
      <selection pane="topRight" activeCell="E1" sqref="E1"/>
      <selection pane="bottomLeft" activeCell="A5" sqref="A5"/>
      <selection pane="bottomRight" activeCell="A74" sqref="A74:J76"/>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1363</v>
      </c>
      <c r="F1" s="5" t="s">
        <v>79</v>
      </c>
      <c r="G1" s="18" t="s">
        <v>126</v>
      </c>
      <c r="H1" s="3" t="s">
        <v>80</v>
      </c>
      <c r="I1" s="6" t="s">
        <v>846</v>
      </c>
      <c r="J1" s="6" t="s">
        <v>848</v>
      </c>
      <c r="K1" s="8" t="s">
        <v>82</v>
      </c>
      <c r="L1" s="8"/>
      <c r="M1" s="3" t="s">
        <v>83</v>
      </c>
      <c r="N1" s="3" t="s">
        <v>1350</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1202</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1202</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1202</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1359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1360</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1361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1362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1202</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1202</v>
      </c>
    </row>
    <row r="15" spans="1:20" ht="36" outlineLevel="1" x14ac:dyDescent="0.4">
      <c r="A15" s="2">
        <v>7</v>
      </c>
      <c r="B15" s="2" t="s">
        <v>288</v>
      </c>
      <c r="E15" s="13" t="s">
        <v>128</v>
      </c>
      <c r="G15" s="19">
        <v>40</v>
      </c>
      <c r="H15" s="10" t="s">
        <v>1358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1202</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1202</v>
      </c>
    </row>
    <row r="17" spans="1:14" outlineLevel="1" x14ac:dyDescent="0.4">
      <c r="A17" s="2">
        <v>9</v>
      </c>
      <c r="B17" s="2" t="s">
        <v>734</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1202</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1202</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1202</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1202</v>
      </c>
    </row>
    <row r="22" spans="1:14" hidden="1" outlineLevel="1" collapsed="1" x14ac:dyDescent="0.4">
      <c r="B22" s="54" t="s">
        <v>501</v>
      </c>
      <c r="D22" s="2" t="s">
        <v>946</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1202</v>
      </c>
    </row>
    <row r="23" spans="1:14" hidden="1" outlineLevel="1" collapsed="1" x14ac:dyDescent="0.4">
      <c r="B23" s="48" t="s">
        <v>502</v>
      </c>
      <c r="D23" s="2" t="s">
        <v>946</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1202</v>
      </c>
    </row>
    <row r="24" spans="1:14" hidden="1" outlineLevel="1" collapsed="1" x14ac:dyDescent="0.4">
      <c r="B24" s="48" t="s">
        <v>503</v>
      </c>
      <c r="D24" s="2" t="s">
        <v>946</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1202</v>
      </c>
    </row>
    <row r="25" spans="1:14" hidden="1" outlineLevel="1" collapsed="1" x14ac:dyDescent="0.4">
      <c r="B25" s="48" t="s">
        <v>504</v>
      </c>
      <c r="D25" s="2" t="s">
        <v>946</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1202</v>
      </c>
    </row>
    <row r="26" spans="1:14" hidden="1" outlineLevel="1" collapsed="1" x14ac:dyDescent="0.4">
      <c r="B26" s="48" t="s">
        <v>505</v>
      </c>
      <c r="D26" s="2" t="s">
        <v>946</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1202</v>
      </c>
    </row>
    <row r="27" spans="1:14" hidden="1" outlineLevel="1" collapsed="1" x14ac:dyDescent="0.4">
      <c r="B27" s="48" t="s">
        <v>506</v>
      </c>
      <c r="D27" s="2" t="s">
        <v>946</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1202</v>
      </c>
    </row>
    <row r="28" spans="1:14" hidden="1" outlineLevel="1" collapsed="1" x14ac:dyDescent="0.4">
      <c r="B28" s="48" t="s">
        <v>507</v>
      </c>
      <c r="D28" s="2" t="s">
        <v>946</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1202</v>
      </c>
    </row>
    <row r="29" spans="1:14" hidden="1" outlineLevel="1" collapsed="1" x14ac:dyDescent="0.4">
      <c r="B29" s="48" t="s">
        <v>508</v>
      </c>
      <c r="D29" s="2" t="s">
        <v>946</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1202</v>
      </c>
    </row>
    <row r="30" spans="1:14" hidden="1" outlineLevel="1" collapsed="1" x14ac:dyDescent="0.4">
      <c r="B30" s="48" t="s">
        <v>509</v>
      </c>
      <c r="D30" s="2" t="s">
        <v>946</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1202</v>
      </c>
    </row>
    <row r="31" spans="1:14" hidden="1" outlineLevel="1" collapsed="1" x14ac:dyDescent="0.4">
      <c r="B31" s="48" t="s">
        <v>510</v>
      </c>
      <c r="D31" s="2" t="s">
        <v>946</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1202</v>
      </c>
    </row>
    <row r="32" spans="1:14" hidden="1" outlineLevel="1" collapsed="1" x14ac:dyDescent="0.4">
      <c r="B32" s="48" t="s">
        <v>511</v>
      </c>
      <c r="D32" s="2" t="s">
        <v>946</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1202</v>
      </c>
    </row>
    <row r="33" spans="1:14" hidden="1" outlineLevel="1" collapsed="1" x14ac:dyDescent="0.4">
      <c r="B33" s="48" t="s">
        <v>512</v>
      </c>
      <c r="D33" s="2" t="s">
        <v>946</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1202</v>
      </c>
    </row>
    <row r="34" spans="1:14" hidden="1" outlineLevel="1" collapsed="1" x14ac:dyDescent="0.4">
      <c r="B34" s="48" t="s">
        <v>513</v>
      </c>
      <c r="D34" s="2" t="s">
        <v>946</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1202</v>
      </c>
    </row>
    <row r="35" spans="1:14" hidden="1" outlineLevel="1" collapsed="1" x14ac:dyDescent="0.4">
      <c r="B35" s="48" t="s">
        <v>742</v>
      </c>
      <c r="D35" s="2" t="s">
        <v>946</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1202</v>
      </c>
    </row>
    <row r="36" spans="1:14" hidden="1" outlineLevel="1" collapsed="1" x14ac:dyDescent="0.4">
      <c r="B36" s="48" t="s">
        <v>878</v>
      </c>
      <c r="D36" s="2" t="s">
        <v>946</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1202</v>
      </c>
    </row>
    <row r="37" spans="1: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1202</v>
      </c>
    </row>
    <row r="38" spans="1: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1202</v>
      </c>
    </row>
    <row r="39" spans="1: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1202</v>
      </c>
    </row>
    <row r="40" spans="1: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1202</v>
      </c>
    </row>
    <row r="41" spans="1: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1202</v>
      </c>
    </row>
    <row r="42" spans="1: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1202</v>
      </c>
    </row>
    <row r="43" spans="1: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1202</v>
      </c>
    </row>
    <row r="44" spans="1: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1202</v>
      </c>
    </row>
    <row r="45" spans="1: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1202</v>
      </c>
    </row>
    <row r="46" spans="1: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1202</v>
      </c>
    </row>
    <row r="47" spans="1:14" ht="36" outlineLevel="1" collapsed="1" x14ac:dyDescent="0.4">
      <c r="A47" s="2">
        <v>1</v>
      </c>
      <c r="B47" s="54" t="s">
        <v>1291</v>
      </c>
      <c r="C47" s="2" t="s">
        <v>1292</v>
      </c>
      <c r="D47" s="2" t="s">
        <v>98</v>
      </c>
      <c r="E47" s="13" t="s">
        <v>1293</v>
      </c>
      <c r="G47" s="19">
        <v>4</v>
      </c>
      <c r="H47" s="6" t="s">
        <v>1294</v>
      </c>
      <c r="L47" s="15" t="str">
        <f>IF(OR(COUNTIF(クラス!$A$1:$A$1035, $B47),$B47="",COUNTIF(スキル一覧!$A$1:$A$3500, $B47)), "", "存在しない")</f>
        <v/>
      </c>
      <c r="M47" s="2" t="str">
        <f>IF(COUNTIF($B$1:$C45, $B47), "", "存在しない")</f>
        <v>存在しない</v>
      </c>
      <c r="N47" s="2" t="s">
        <v>1351</v>
      </c>
    </row>
    <row r="48" spans="1:14" ht="36" outlineLevel="1" collapsed="1" x14ac:dyDescent="0.4">
      <c r="A48" s="2">
        <v>2</v>
      </c>
      <c r="B48" s="48" t="s">
        <v>1295</v>
      </c>
      <c r="C48" s="2" t="s">
        <v>1296</v>
      </c>
      <c r="D48" s="2" t="s">
        <v>98</v>
      </c>
      <c r="E48" s="13" t="s">
        <v>1293</v>
      </c>
      <c r="G48" s="19">
        <v>8</v>
      </c>
      <c r="H48" s="10" t="s">
        <v>1357</v>
      </c>
      <c r="L48" s="15" t="str">
        <f>IF(OR(COUNTIF(クラス!$A$1:$A$1035, $B48),$B48="",COUNTIF(スキル一覧!$A$1:$A$3500, $B48)), "", "存在しない")</f>
        <v/>
      </c>
      <c r="M48" s="2" t="str">
        <f>IF(COUNTIF($B$1:$C46, $B48), "", "存在しない")</f>
        <v>存在しない</v>
      </c>
      <c r="N48" s="2" t="s">
        <v>1352</v>
      </c>
    </row>
    <row r="49" spans="2:14" ht="36" outlineLevel="1" collapsed="1" x14ac:dyDescent="0.4">
      <c r="B49" s="48" t="s">
        <v>1290</v>
      </c>
      <c r="C49" s="2" t="s">
        <v>1297</v>
      </c>
      <c r="D49" s="2" t="s">
        <v>98</v>
      </c>
      <c r="E49" s="13" t="s">
        <v>1293</v>
      </c>
      <c r="G49" s="19">
        <v>8</v>
      </c>
      <c r="H49" s="10" t="s">
        <v>1348</v>
      </c>
      <c r="L49" s="15" t="str">
        <f>IF(OR(COUNTIF(クラス!$A$1:$A$1035, $B49),$B49="",COUNTIF(スキル一覧!$A$1:$A$3500, $B49)), "", "存在しない")</f>
        <v/>
      </c>
      <c r="M49" s="2" t="str">
        <f>IF(COUNTIF($B$1:$C47, $B49), "", "存在しない")</f>
        <v>存在しない</v>
      </c>
      <c r="N49" s="2" t="s">
        <v>1355</v>
      </c>
    </row>
    <row r="50" spans="2:14" ht="36" outlineLevel="1" collapsed="1" x14ac:dyDescent="0.4">
      <c r="B50" s="48" t="s">
        <v>1298</v>
      </c>
      <c r="C50" s="2" t="s">
        <v>1299</v>
      </c>
      <c r="D50" s="2" t="s">
        <v>98</v>
      </c>
      <c r="E50" s="13" t="s">
        <v>1293</v>
      </c>
      <c r="G50" s="19">
        <v>12</v>
      </c>
      <c r="H50" s="10" t="s">
        <v>1349</v>
      </c>
      <c r="L50" s="15" t="str">
        <f>IF(OR(COUNTIF(クラス!$A$1:$A$1035, $B50),$B50="",COUNTIF(スキル一覧!$A$1:$A$3500, $B50)), "", "存在しない")</f>
        <v/>
      </c>
      <c r="M50" s="2" t="str">
        <f>IF(COUNTIF($B$1:$C48, $B50), "", "存在しない")</f>
        <v>存在しない</v>
      </c>
      <c r="N50" s="2" t="s">
        <v>1353</v>
      </c>
    </row>
    <row r="51" spans="2:14" ht="36" outlineLevel="1" collapsed="1" x14ac:dyDescent="0.4">
      <c r="B51" s="48" t="s">
        <v>1300</v>
      </c>
      <c r="C51" s="2" t="s">
        <v>1301</v>
      </c>
      <c r="D51" s="2" t="s">
        <v>98</v>
      </c>
      <c r="E51" s="13" t="s">
        <v>1293</v>
      </c>
      <c r="G51" s="19">
        <v>12</v>
      </c>
      <c r="H51" s="10" t="s">
        <v>1302</v>
      </c>
      <c r="L51" s="15" t="str">
        <f>IF(OR(COUNTIF(クラス!$A$1:$A$1035, $B51),$B51="",COUNTIF(スキル一覧!$A$1:$A$3500, $B51)), "", "存在しない")</f>
        <v/>
      </c>
      <c r="M51" s="2" t="str">
        <f>IF(COUNTIF($B$1:$C49, $B51), "", "存在しない")</f>
        <v>存在しない</v>
      </c>
      <c r="N51" s="2" t="s">
        <v>1202</v>
      </c>
    </row>
    <row r="52" spans="2:14" ht="36" outlineLevel="1" collapsed="1" x14ac:dyDescent="0.4">
      <c r="B52" s="48" t="s">
        <v>1303</v>
      </c>
      <c r="C52" s="2" t="s">
        <v>1304</v>
      </c>
      <c r="D52" s="2" t="s">
        <v>98</v>
      </c>
      <c r="E52" s="13" t="s">
        <v>1293</v>
      </c>
      <c r="G52" s="19">
        <v>16</v>
      </c>
      <c r="H52" s="10" t="s">
        <v>1347</v>
      </c>
      <c r="L52" s="15" t="str">
        <f>IF(OR(COUNTIF(クラス!$A$1:$A$1035, $B52),$B52="",COUNTIF(スキル一覧!$A$1:$A$3500, $B52)), "", "存在しない")</f>
        <v/>
      </c>
      <c r="M52" s="2" t="str">
        <f>IF(COUNTIF($B$1:$C50, $B52), "", "存在しない")</f>
        <v>存在しない</v>
      </c>
      <c r="N52" s="2" t="s">
        <v>1354</v>
      </c>
    </row>
    <row r="53" spans="2:14" ht="36" outlineLevel="1" collapsed="1" x14ac:dyDescent="0.4">
      <c r="B53" s="48" t="s">
        <v>1305</v>
      </c>
      <c r="C53" s="2" t="s">
        <v>1306</v>
      </c>
      <c r="D53" s="2" t="s">
        <v>98</v>
      </c>
      <c r="E53" s="13" t="s">
        <v>1293</v>
      </c>
      <c r="G53" s="19">
        <v>16</v>
      </c>
      <c r="H53" s="10" t="s">
        <v>1307</v>
      </c>
      <c r="L53" s="15" t="str">
        <f>IF(OR(COUNTIF(クラス!$A$1:$A$1035, $B53),$B53="",COUNTIF(スキル一覧!$A$1:$A$3500, $B53)), "", "存在しない")</f>
        <v/>
      </c>
      <c r="M53" s="2" t="str">
        <f>IF(COUNTIF($B$1:$C51, $B53), "", "存在しない")</f>
        <v>存在しない</v>
      </c>
      <c r="N53" s="2" t="s">
        <v>1202</v>
      </c>
    </row>
    <row r="54" spans="2:14" ht="36" outlineLevel="1" collapsed="1" x14ac:dyDescent="0.4">
      <c r="B54" s="48" t="s">
        <v>1308</v>
      </c>
      <c r="C54" s="2" t="s">
        <v>1309</v>
      </c>
      <c r="D54" s="2" t="s">
        <v>98</v>
      </c>
      <c r="E54" s="13" t="s">
        <v>1293</v>
      </c>
      <c r="G54" s="19">
        <v>20</v>
      </c>
      <c r="H54" s="10" t="s">
        <v>1310</v>
      </c>
      <c r="L54" s="15" t="str">
        <f>IF(OR(COUNTIF(クラス!$A$1:$A$1035, $B54),$B54="",COUNTIF(スキル一覧!$A$1:$A$3500, $B54)), "", "存在しない")</f>
        <v/>
      </c>
      <c r="M54" s="2" t="str">
        <f>IF(COUNTIF($B$1:$C52, $B54), "", "存在しない")</f>
        <v>存在しない</v>
      </c>
      <c r="N54" s="2" t="s">
        <v>1202</v>
      </c>
    </row>
    <row r="55" spans="2:14" ht="36" outlineLevel="1" collapsed="1" x14ac:dyDescent="0.4">
      <c r="B55" s="48" t="s">
        <v>1311</v>
      </c>
      <c r="C55" s="2" t="s">
        <v>1312</v>
      </c>
      <c r="D55" s="2" t="s">
        <v>98</v>
      </c>
      <c r="E55" s="13" t="s">
        <v>1293</v>
      </c>
      <c r="G55" s="19">
        <v>24</v>
      </c>
      <c r="H55" s="10" t="s">
        <v>1313</v>
      </c>
      <c r="L55" s="15" t="str">
        <f>IF(OR(COUNTIF(クラス!$A$1:$A$1035, $B55),$B55="",COUNTIF(スキル一覧!$A$1:$A$3500, $B55)), "", "存在しない")</f>
        <v/>
      </c>
      <c r="M55" s="2" t="str">
        <f>IF(COUNTIF($B$1:$C53, $B55), "", "存在しない")</f>
        <v>存在しない</v>
      </c>
      <c r="N55" s="2" t="s">
        <v>1202</v>
      </c>
    </row>
    <row r="56" spans="2:14" ht="36" outlineLevel="1" collapsed="1" x14ac:dyDescent="0.4">
      <c r="B56" s="48" t="s">
        <v>1314</v>
      </c>
      <c r="C56" s="2" t="s">
        <v>1315</v>
      </c>
      <c r="D56" s="2" t="s">
        <v>98</v>
      </c>
      <c r="E56" s="13" t="s">
        <v>1293</v>
      </c>
      <c r="G56" s="19">
        <v>8</v>
      </c>
      <c r="H56" s="10" t="s">
        <v>1316</v>
      </c>
      <c r="L56" s="15" t="str">
        <f>IF(OR(COUNTIF(クラス!$A$1:$A$1035, $B56),$B56="",COUNTIF(スキル一覧!$A$1:$A$3500, $B56)), "", "存在しない")</f>
        <v/>
      </c>
      <c r="M56" s="2" t="str">
        <f>IF(COUNTIF($B$1:$C54, $B56), "", "存在しない")</f>
        <v>存在しない</v>
      </c>
      <c r="N56" s="2" t="s">
        <v>1202</v>
      </c>
    </row>
    <row r="57" spans="2:14" ht="36" outlineLevel="1" collapsed="1" x14ac:dyDescent="0.4">
      <c r="B57" s="48" t="s">
        <v>1317</v>
      </c>
      <c r="C57" s="2" t="s">
        <v>1318</v>
      </c>
      <c r="D57" s="2" t="s">
        <v>98</v>
      </c>
      <c r="E57" s="13" t="s">
        <v>1293</v>
      </c>
      <c r="G57" s="19">
        <v>20</v>
      </c>
      <c r="H57" s="10" t="s">
        <v>1319</v>
      </c>
      <c r="L57" s="15" t="str">
        <f>IF(OR(COUNTIF(クラス!$A$1:$A$1035, $B57),$B57="",COUNTIF(スキル一覧!$A$1:$A$3500, $B57)), "", "存在しない")</f>
        <v/>
      </c>
      <c r="M57" s="2" t="str">
        <f>IF(COUNTIF($B$1:$C55, $B57), "", "存在しない")</f>
        <v>存在しない</v>
      </c>
      <c r="N57" s="2" t="s">
        <v>1202</v>
      </c>
    </row>
    <row r="58" spans="2:14" outlineLevel="1" collapsed="1" x14ac:dyDescent="0.4">
      <c r="B58" s="48" t="s">
        <v>1320</v>
      </c>
      <c r="E58" s="13" t="s">
        <v>1293</v>
      </c>
      <c r="G58" s="19">
        <v>24</v>
      </c>
      <c r="L58" s="15" t="str">
        <f>IF(OR(COUNTIF(クラス!$A$1:$A$1035, $B58),$B58="",COUNTIF(スキル一覧!$A$1:$A$3500, $B58)), "", "存在しない")</f>
        <v>存在しない</v>
      </c>
      <c r="M58" s="2" t="str">
        <f>IF(COUNTIF($B$1:$C56, $B58), "", "存在しない")</f>
        <v>存在しない</v>
      </c>
      <c r="N58" s="2" t="s">
        <v>1202</v>
      </c>
    </row>
    <row r="59" spans="2:14" outlineLevel="1" collapsed="1" x14ac:dyDescent="0.4">
      <c r="B59" s="48" t="s">
        <v>1321</v>
      </c>
      <c r="E59" s="13" t="s">
        <v>1293</v>
      </c>
      <c r="G59" s="19">
        <v>24</v>
      </c>
      <c r="L59" s="15" t="str">
        <f>IF(OR(COUNTIF(クラス!$A$1:$A$1035, $B59),$B59="",COUNTIF(スキル一覧!$A$1:$A$3500, $B59)), "", "存在しない")</f>
        <v>存在しない</v>
      </c>
      <c r="M59" s="2" t="str">
        <f>IF(COUNTIF($B$1:$C57, $B59), "", "存在しない")</f>
        <v>存在しない</v>
      </c>
      <c r="N59" s="2" t="s">
        <v>1202</v>
      </c>
    </row>
    <row r="60" spans="2:14" outlineLevel="1" collapsed="1" x14ac:dyDescent="0.4">
      <c r="B60" s="48" t="s">
        <v>1322</v>
      </c>
      <c r="E60" s="13" t="s">
        <v>1293</v>
      </c>
      <c r="G60" s="19">
        <v>12</v>
      </c>
      <c r="L60" s="15" t="str">
        <f>IF(OR(COUNTIF(クラス!$A$1:$A$1035, $B60),$B60="",COUNTIF(スキル一覧!$A$1:$A$3500, $B60)), "", "存在しない")</f>
        <v>存在しない</v>
      </c>
      <c r="M60" s="2" t="str">
        <f>IF(COUNTIF($B$1:$C58, $B60), "", "存在しない")</f>
        <v>存在しない</v>
      </c>
      <c r="N60" s="2" t="s">
        <v>1202</v>
      </c>
    </row>
    <row r="61" spans="2:14" outlineLevel="1" collapsed="1" x14ac:dyDescent="0.4">
      <c r="B61" s="48" t="s">
        <v>495</v>
      </c>
      <c r="E61" s="13" t="s">
        <v>1293</v>
      </c>
      <c r="G61" s="19">
        <v>16</v>
      </c>
      <c r="L61" s="15" t="str">
        <f>IF(OR(COUNTIF(クラス!$A$1:$A$1035, $B61),$B61="",COUNTIF(スキル一覧!$A$1:$A$3500, $B61)), "", "存在しない")</f>
        <v>存在しない</v>
      </c>
      <c r="M61" s="2" t="str">
        <f>IF(COUNTIF($B$1:$C59, $B61), "", "存在しない")</f>
        <v>存在しない</v>
      </c>
      <c r="N61" s="2" t="s">
        <v>1202</v>
      </c>
    </row>
    <row r="62" spans="2:14" outlineLevel="1" x14ac:dyDescent="0.4">
      <c r="B62" s="48" t="s">
        <v>1323</v>
      </c>
      <c r="E62" s="13" t="s">
        <v>1293</v>
      </c>
      <c r="G62" s="19">
        <v>20</v>
      </c>
      <c r="L62" s="15" t="str">
        <f>IF(OR(COUNTIF(クラス!$A$1:$A$1035, $B62),$B62="",COUNTIF(スキル一覧!$A$1:$A$3500, $B62)), "", "存在しない")</f>
        <v>存在しない</v>
      </c>
      <c r="M62" s="2" t="str">
        <f>IF(COUNTIF($B$1:$C60, $B62), "", "存在しない")</f>
        <v>存在しない</v>
      </c>
      <c r="N62" s="2" t="s">
        <v>1202</v>
      </c>
    </row>
    <row r="63" spans="2:14" outlineLevel="1" x14ac:dyDescent="0.4">
      <c r="B63" s="48" t="s">
        <v>1324</v>
      </c>
      <c r="E63" s="13" t="s">
        <v>1293</v>
      </c>
      <c r="G63" s="19">
        <v>24</v>
      </c>
      <c r="L63" s="15" t="str">
        <f>IF(OR(COUNTIF(クラス!$A$1:$A$1035, $B63),$B63="",COUNTIF(スキル一覧!$A$1:$A$3500, $B63)), "", "存在しない")</f>
        <v>存在しない</v>
      </c>
      <c r="M63" s="2" t="str">
        <f>IF(COUNTIF($B$1:$C38, $B63), "", "存在しない")</f>
        <v>存在しない</v>
      </c>
      <c r="N63" s="2" t="s">
        <v>1202</v>
      </c>
    </row>
    <row r="64" spans="2:14" outlineLevel="1" x14ac:dyDescent="0.4">
      <c r="B64" s="48" t="s">
        <v>1325</v>
      </c>
      <c r="E64" s="13" t="s">
        <v>1293</v>
      </c>
      <c r="G64" s="19">
        <v>28</v>
      </c>
      <c r="L64" s="15" t="str">
        <f>IF(OR(COUNTIF(クラス!$A$1:$A$1035, $B64),$B64="",COUNTIF(スキル一覧!$A$1:$A$3500, $B64)), "", "存在しない")</f>
        <v>存在しない</v>
      </c>
      <c r="M64" s="2" t="str">
        <f>IF(COUNTIF($B$1:$C39, $B64), "", "存在しない")</f>
        <v>存在しない</v>
      </c>
      <c r="N64" s="2" t="s">
        <v>1202</v>
      </c>
    </row>
    <row r="65" spans="1:14" ht="36" outlineLevel="1" x14ac:dyDescent="0.4">
      <c r="B65" s="48" t="s">
        <v>1326</v>
      </c>
      <c r="C65" s="2" t="s">
        <v>1327</v>
      </c>
      <c r="D65" s="2" t="s">
        <v>98</v>
      </c>
      <c r="E65" s="13" t="s">
        <v>1293</v>
      </c>
      <c r="G65" s="19">
        <v>4</v>
      </c>
      <c r="H65" s="10" t="s">
        <v>1328</v>
      </c>
      <c r="L65" s="15" t="str">
        <f>IF(OR(COUNTIF(クラス!$A$1:$A$1035, $B65),$B65="",COUNTIF(スキル一覧!$A$1:$A$3500, $B65)), "", "存在しない")</f>
        <v>存在しない</v>
      </c>
      <c r="M65" s="2" t="str">
        <f>IF(COUNTIF($B$1:$C63, $B65), "", "存在しない")</f>
        <v>存在しない</v>
      </c>
      <c r="N65" s="2" t="s">
        <v>1202</v>
      </c>
    </row>
    <row r="66" spans="1:14" ht="36" outlineLevel="1" x14ac:dyDescent="0.4">
      <c r="B66" s="48" t="s">
        <v>1329</v>
      </c>
      <c r="C66" s="2" t="s">
        <v>1330</v>
      </c>
      <c r="E66" s="13" t="s">
        <v>1293</v>
      </c>
      <c r="G66" s="19">
        <v>8</v>
      </c>
      <c r="H66" s="10" t="s">
        <v>1840</v>
      </c>
      <c r="L66" s="15" t="str">
        <f>IF(OR(COUNTIF(クラス!$A$1:$A$1035, $B66),$B66="",COUNTIF(スキル一覧!$A$1:$A$3500, $B66)), "", "存在しない")</f>
        <v>存在しない</v>
      </c>
      <c r="M66" s="2" t="str">
        <f>IF(COUNTIF($B$1:$C64, $B66), "", "存在しない")</f>
        <v>存在しない</v>
      </c>
      <c r="N66" s="2" t="s">
        <v>1202</v>
      </c>
    </row>
    <row r="67" spans="1:14" outlineLevel="1" x14ac:dyDescent="0.4">
      <c r="B67" s="48" t="s">
        <v>1331</v>
      </c>
      <c r="C67" s="2" t="s">
        <v>1332</v>
      </c>
      <c r="E67" s="13" t="s">
        <v>1293</v>
      </c>
      <c r="G67" s="19">
        <v>12</v>
      </c>
      <c r="L67" s="15" t="str">
        <f>IF(OR(COUNTIF(クラス!$A$1:$A$1035, $B67),$B67="",COUNTIF(スキル一覧!$A$1:$A$3500, $B67)), "", "存在しない")</f>
        <v>存在しない</v>
      </c>
      <c r="M67" s="2" t="str">
        <f>IF(COUNTIF($B$1:$C65, $B67), "", "存在しない")</f>
        <v>存在しない</v>
      </c>
      <c r="N67" s="2" t="s">
        <v>1202</v>
      </c>
    </row>
    <row r="68" spans="1:14" outlineLevel="1" x14ac:dyDescent="0.4">
      <c r="B68" s="48" t="s">
        <v>1333</v>
      </c>
      <c r="C68" s="2" t="s">
        <v>1334</v>
      </c>
      <c r="E68" s="13" t="s">
        <v>1293</v>
      </c>
      <c r="G68" s="19">
        <v>16</v>
      </c>
      <c r="L68" s="15" t="str">
        <f>IF(OR(COUNTIF(クラス!$A$1:$A$1035, $B68),$B68="",COUNTIF(スキル一覧!$A$1:$A$3500, $B68)), "", "存在しない")</f>
        <v>存在しない</v>
      </c>
      <c r="M68" s="2" t="str">
        <f>IF(COUNTIF($B$1:$C66, $B68), "", "存在しない")</f>
        <v>存在しない</v>
      </c>
      <c r="N68" s="2" t="s">
        <v>1202</v>
      </c>
    </row>
    <row r="69" spans="1:14" outlineLevel="1" x14ac:dyDescent="0.4">
      <c r="B69" s="2" t="s">
        <v>1335</v>
      </c>
      <c r="E69" s="13" t="s">
        <v>1293</v>
      </c>
      <c r="G69" s="19">
        <v>20</v>
      </c>
      <c r="L69" s="15" t="str">
        <f>IF(OR(COUNTIF(クラス!$A$1:$A$1035, $B69),$B69="",COUNTIF(スキル一覧!$A$1:$A$3500, $B69)), "", "存在しない")</f>
        <v>存在しない</v>
      </c>
      <c r="M69" s="2" t="str">
        <f>IF(COUNTIF($B$1:$C67, $B69), "", "存在しない")</f>
        <v>存在しない</v>
      </c>
      <c r="N69" s="2" t="s">
        <v>1202</v>
      </c>
    </row>
    <row r="70" spans="1:14" outlineLevel="1" x14ac:dyDescent="0.4">
      <c r="B70" s="2" t="s">
        <v>1336</v>
      </c>
      <c r="C70" s="2" t="s">
        <v>1337</v>
      </c>
      <c r="E70" s="13" t="s">
        <v>1293</v>
      </c>
      <c r="G70" s="19">
        <v>24</v>
      </c>
      <c r="L70" s="15" t="str">
        <f>IF(OR(COUNTIF(クラス!$A$1:$A$1035, $B70),$B70="",COUNTIF(スキル一覧!$A$1:$A$3500, $B70)), "", "存在しない")</f>
        <v>存在しない</v>
      </c>
      <c r="M70" s="2" t="str">
        <f>IF(COUNTIF($B$1:$C68, $B70), "", "存在しない")</f>
        <v>存在しない</v>
      </c>
      <c r="N70" s="2" t="s">
        <v>1202</v>
      </c>
    </row>
    <row r="71" spans="1:14" outlineLevel="1" x14ac:dyDescent="0.4">
      <c r="B71" s="48" t="s">
        <v>1338</v>
      </c>
      <c r="C71" s="2" t="s">
        <v>1339</v>
      </c>
      <c r="E71" s="13" t="s">
        <v>1293</v>
      </c>
      <c r="G71" s="19">
        <v>28</v>
      </c>
      <c r="L71" s="15" t="str">
        <f>IF(OR(COUNTIF(クラス!$A$1:$A$1035, $B71),$B71="",COUNTIF(スキル一覧!$A$1:$A$3500, $B71)), "", "存在しない")</f>
        <v>存在しない</v>
      </c>
      <c r="M71" s="2" t="str">
        <f>IF(COUNTIF($B$1:$C46, $B71), "", "存在しない")</f>
        <v>存在しない</v>
      </c>
      <c r="N71" s="2" t="s">
        <v>1202</v>
      </c>
    </row>
    <row r="72" spans="1:14" outlineLevel="1" x14ac:dyDescent="0.4">
      <c r="B72" s="48"/>
      <c r="L72" s="15" t="str">
        <f>IF(OR(COUNTIF(クラス!$A$1:$A$1035, $B72),$B72="",COUNTIF(スキル一覧!$A$1:$A$3500, $B72)), "", "存在しない")</f>
        <v/>
      </c>
      <c r="M72" s="2" t="str">
        <f>IF(COUNTIF($B$1:$C47, $B72), "", "存在しない")</f>
        <v>存在しない</v>
      </c>
      <c r="N72" s="2" t="s">
        <v>1202</v>
      </c>
    </row>
    <row r="73" spans="1:14" outlineLevel="1" x14ac:dyDescent="0.4">
      <c r="B73" s="48"/>
      <c r="L73" s="15" t="str">
        <f>IF(OR(COUNTIF(クラス!$A$1:$A$1035, $B73),$B73="",COUNTIF(スキル一覧!$A$1:$A$3500, $B73)), "", "存在しない")</f>
        <v/>
      </c>
      <c r="M73" s="2" t="str">
        <f>IF(COUNTIF($B$1:$C71, $B73), "", "存在しない")</f>
        <v>存在しない</v>
      </c>
      <c r="N73" s="2" t="s">
        <v>1202</v>
      </c>
    </row>
    <row r="74" spans="1:14" ht="36" outlineLevel="1" x14ac:dyDescent="0.4">
      <c r="A74" s="2">
        <v>3</v>
      </c>
      <c r="B74" s="48" t="s">
        <v>1564</v>
      </c>
      <c r="C74" s="2" t="s">
        <v>1567</v>
      </c>
      <c r="E74" s="13" t="s">
        <v>1569</v>
      </c>
      <c r="G74" s="19">
        <v>100</v>
      </c>
      <c r="H74" s="10" t="s">
        <v>1843</v>
      </c>
      <c r="L74" s="15" t="str">
        <f>IF(OR(COUNTIF(クラス!$A$1:$A$1035, $B74),$B74="",COUNTIF(スキル一覧!$A$1:$A$3500, $B74)), "", "存在しない")</f>
        <v/>
      </c>
      <c r="M74" s="2" t="str">
        <f>IF(COUNTIF($B$1:$C72, $B74), "", "存在しない")</f>
        <v>存在しない</v>
      </c>
      <c r="N74" s="2" t="s">
        <v>1202</v>
      </c>
    </row>
    <row r="75" spans="1:14" ht="36" outlineLevel="1" x14ac:dyDescent="0.4">
      <c r="A75" s="2">
        <v>5</v>
      </c>
      <c r="B75" s="48" t="s">
        <v>1563</v>
      </c>
      <c r="C75" s="2" t="s">
        <v>1566</v>
      </c>
      <c r="E75" s="13" t="s">
        <v>1569</v>
      </c>
      <c r="G75" s="19">
        <v>100</v>
      </c>
      <c r="H75" s="10" t="s">
        <v>1841</v>
      </c>
      <c r="L75" s="15" t="str">
        <f>IF(OR(COUNTIF(クラス!$A$1:$A$1035, $B75),$B75="",COUNTIF(スキル一覧!$A$1:$A$3500, $B75)), "", "存在しない")</f>
        <v/>
      </c>
      <c r="M75" s="2" t="str">
        <f>IF(COUNTIF($B$1:$C73, $B75), "", "存在しない")</f>
        <v>存在しない</v>
      </c>
      <c r="N75" s="2" t="s">
        <v>1202</v>
      </c>
    </row>
    <row r="76" spans="1:14" ht="36" outlineLevel="1" x14ac:dyDescent="0.4">
      <c r="A76" s="2">
        <v>6</v>
      </c>
      <c r="B76" s="48" t="s">
        <v>1565</v>
      </c>
      <c r="C76" s="2" t="s">
        <v>1568</v>
      </c>
      <c r="E76" s="13" t="s">
        <v>1569</v>
      </c>
      <c r="G76" s="19">
        <v>100</v>
      </c>
      <c r="H76" s="10" t="s">
        <v>1842</v>
      </c>
      <c r="L76" s="15" t="str">
        <f>IF(OR(COUNTIF(クラス!$A$1:$A$1035, $B76),$B76="",COUNTIF(スキル一覧!$A$1:$A$3500, $B76)), "", "存在しない")</f>
        <v/>
      </c>
      <c r="M76" s="2" t="str">
        <f>IF(COUNTIF($B$1:$C74, $B76), "", "存在しない")</f>
        <v>存在しない</v>
      </c>
      <c r="N76" s="2" t="s">
        <v>1202</v>
      </c>
    </row>
    <row r="77" spans="1:14" outlineLevel="1" x14ac:dyDescent="0.4">
      <c r="L77" s="15" t="str">
        <f>IF(OR(COUNTIF(クラス!$A$1:$A$1035, $B77),$B77="",COUNTIF(スキル一覧!$A$1:$A$3500, $B77)), "", "存在しない")</f>
        <v/>
      </c>
      <c r="M77" s="2" t="str">
        <f>IF(COUNTIF($B$1:$C75, $B77), "", "存在しない")</f>
        <v>存在しない</v>
      </c>
      <c r="N77" s="2" t="s">
        <v>1202</v>
      </c>
    </row>
    <row r="78" spans="1:14" outlineLevel="1" x14ac:dyDescent="0.4">
      <c r="B78" s="48"/>
      <c r="L78" s="15" t="str">
        <f>IF(OR(COUNTIF(クラス!$A$1:$A$1035, $B78),$B78="",COUNTIF(スキル一覧!$A$1:$A$3500, $B78)), "", "存在しない")</f>
        <v/>
      </c>
      <c r="M78" s="2" t="str">
        <f>IF(COUNTIF($B$1:$C53, $B78), "", "存在しない")</f>
        <v>存在しない</v>
      </c>
      <c r="N78" s="2" t="s">
        <v>1202</v>
      </c>
    </row>
    <row r="79" spans="1: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1202</v>
      </c>
    </row>
    <row r="80" spans="1: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1202</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1202</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1202</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1202</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1202</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1202</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1202</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1202</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1202</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1202</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1202</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1202</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1202</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1202</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1202</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1202</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1202</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1202</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1202</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1202</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1202</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1202</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1202</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1202</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1202</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1202</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1202</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1202</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1202</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1202</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1202</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1202</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1202</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1202</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1202</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1202</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1202</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1202</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1202</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1202</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1202</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1202</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1202</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1202</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1202</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1202</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1202</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1202</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1202</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1202</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1202</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1202</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1202</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1202</v>
      </c>
    </row>
    <row r="134" spans="1:14" x14ac:dyDescent="0.4">
      <c r="B134" s="2" t="s">
        <v>1176</v>
      </c>
      <c r="C134" s="2" t="s">
        <v>1177</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1202</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1202</v>
      </c>
    </row>
    <row r="136" spans="1:14" outlineLevel="1" x14ac:dyDescent="0.4">
      <c r="A136" s="2">
        <v>2</v>
      </c>
      <c r="B136" s="2" t="s">
        <v>171</v>
      </c>
      <c r="C136" s="2" t="s">
        <v>172</v>
      </c>
      <c r="E136" s="13" t="s">
        <v>128</v>
      </c>
      <c r="G136" s="19">
        <v>60</v>
      </c>
      <c r="H136" s="10" t="s">
        <v>1178</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1202</v>
      </c>
    </row>
    <row r="137" spans="1:14" outlineLevel="1" x14ac:dyDescent="0.4">
      <c r="A137" s="2">
        <v>3</v>
      </c>
      <c r="B137" s="2" t="s">
        <v>1179</v>
      </c>
      <c r="E137" s="13" t="s">
        <v>129</v>
      </c>
      <c r="H137" s="10" t="s">
        <v>1180</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1202</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1202</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1202</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1202</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1202</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1202</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1202</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1202</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1202</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1202</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1202</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1202</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1202</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1202</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1202</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1202</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1202</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1202</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1202</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1202</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1202</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1202</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1202</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1202</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1202</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1202</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1202</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1202</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1202</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1202</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1202</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1202</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1202</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1202</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1202</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1202</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1202</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1202</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1202</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1202</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1202</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1202</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1202</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1202</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1202</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1202</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1202</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1202</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1202</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1202</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1202</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1202</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1202</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1202</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1202</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1202</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1202</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1202</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1202</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1202</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1202</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1202</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1202</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1202</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1202</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1202</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1202</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1202</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1202</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1202</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1202</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1202</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1202</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1202</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1202</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1202</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1202</v>
      </c>
    </row>
    <row r="215" spans="1:14" ht="36" outlineLevel="1" x14ac:dyDescent="0.4">
      <c r="A215" s="2">
        <v>1</v>
      </c>
      <c r="B215" s="2" t="s">
        <v>1285</v>
      </c>
      <c r="C215" s="2" t="s">
        <v>1286</v>
      </c>
      <c r="D215" s="2" t="s">
        <v>1288</v>
      </c>
      <c r="E215" s="13" t="s">
        <v>1287</v>
      </c>
      <c r="G215" s="19">
        <v>50</v>
      </c>
      <c r="H215" s="10" t="s">
        <v>1289</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1202</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1202</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1202</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1202</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1202</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1202</v>
      </c>
    </row>
    <row r="221" spans="1:14" outlineLevel="1" x14ac:dyDescent="0.4">
      <c r="A221" s="2">
        <v>7</v>
      </c>
      <c r="B221" s="2" t="s">
        <v>1295</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1202</v>
      </c>
    </row>
    <row r="222" spans="1:14" outlineLevel="1" x14ac:dyDescent="0.4">
      <c r="A222" s="2">
        <v>8</v>
      </c>
      <c r="B222" s="2" t="s">
        <v>1290</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1202</v>
      </c>
    </row>
    <row r="223" spans="1:14" outlineLevel="1" x14ac:dyDescent="0.4">
      <c r="A223" s="2">
        <v>9</v>
      </c>
      <c r="B223" s="2" t="s">
        <v>1298</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1202</v>
      </c>
    </row>
    <row r="224" spans="1:14" outlineLevel="1" x14ac:dyDescent="0.4">
      <c r="A224" s="2">
        <v>10</v>
      </c>
      <c r="B224" s="2" t="s">
        <v>1356</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1202</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1202</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1202</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1202</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1202</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1202</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1202</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1202</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1202</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1202</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1202</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1202</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1202</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1202</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1202</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1202</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1202</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1202</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1202</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1202</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1202</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1202</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1202</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1202</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1202</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1202</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1202</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1202</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1202</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1202</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1202</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1202</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1202</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1202</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1202</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1202</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1202</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1202</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1202</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1202</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1202</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1202</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1202</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1202</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1202</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1202</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1202</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1202</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1202</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1202</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1202</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1202</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1202</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1202</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1202</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1202</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1202</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1202</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1202</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1202</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1202</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1202</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1202</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1202</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1202</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1202</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1202</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1202</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1202</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1202</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1202</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1202</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1202</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1202</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1202</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1202</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1202</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1202</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1202</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1202</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1202</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1202</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1202</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1202</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1202</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1202</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1202</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1202</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1202</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1202</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1202</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1202</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1202</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1202</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1202</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1202</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1202</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1202</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1202</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1202</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1202</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1202</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1202</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1202</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1202</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1202</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1202</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1202</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1202</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1202</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1202</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1202</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1202</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1202</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1202</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1202</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1202</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1202</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1202</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1202</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1202</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1202</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1202</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1202</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1202</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1202</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1202</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1202</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1202</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1202</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1202</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1202</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1202</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1202</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1202</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1202</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1202</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1202</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1202</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1202</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1202</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1202</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1202</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1202</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1202</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1202</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1202</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1202</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1202</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1202</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1202</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1202</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1202</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1202</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1202</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1202</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1202</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1202</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1202</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1202</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1202</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1202</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1202</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1202</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1202</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1202</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1202</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1202</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1202</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1202</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1202</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1202</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1202</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1202</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1202</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1202</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1202</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1202</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1202</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1202</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1202</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1202</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1202</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1202</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1202</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1202</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1202</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1202</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1202</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1202</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1202</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1202</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1202</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1202</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1202</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1202</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1202</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1202</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1202</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1202</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1202</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1202</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1202</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1202</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1202</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1202</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1202</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1202</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1202</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1202</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1202</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1202</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1202</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1202</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1202</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1202</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1202</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1202</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1202</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1202</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1202</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1202</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1202</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1202</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1202</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1202</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1202</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1202</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1202</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1202</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1202</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1202</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1202</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1202</v>
      </c>
    </row>
    <row r="459" spans="1:14" x14ac:dyDescent="0.4">
      <c r="B459" s="2" t="s">
        <v>860</v>
      </c>
      <c r="D459" s="2" t="s">
        <v>861</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1202</v>
      </c>
    </row>
    <row r="460" spans="1:14" ht="36" hidden="1" outlineLevel="1" x14ac:dyDescent="0.4">
      <c r="A460" s="2">
        <v>1</v>
      </c>
      <c r="B460" s="2" t="s">
        <v>862</v>
      </c>
      <c r="D460" s="2" t="s">
        <v>849</v>
      </c>
      <c r="E460" s="13" t="s">
        <v>128</v>
      </c>
      <c r="G460" s="19">
        <v>60</v>
      </c>
      <c r="H460" s="10" t="s">
        <v>868</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1202</v>
      </c>
    </row>
    <row r="462" spans="1:14" hidden="1" outlineLevel="1" x14ac:dyDescent="0.4">
      <c r="A462" s="2">
        <v>3</v>
      </c>
      <c r="B462" s="2" t="s">
        <v>867</v>
      </c>
      <c r="E462" s="13" t="s">
        <v>129</v>
      </c>
      <c r="H462" s="10" t="s">
        <v>866</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1202</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1202</v>
      </c>
    </row>
    <row r="465" spans="1:14" hidden="1" outlineLevel="1" x14ac:dyDescent="0.4">
      <c r="A465" s="2">
        <v>6</v>
      </c>
      <c r="B465" s="2" t="s">
        <v>863</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1202</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1202</v>
      </c>
    </row>
    <row r="468" spans="1:14" hidden="1" outlineLevel="1" x14ac:dyDescent="0.4">
      <c r="A468" s="2">
        <v>9</v>
      </c>
      <c r="B468" s="2" t="s">
        <v>864</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865</v>
      </c>
      <c r="D469" s="2" t="s">
        <v>849</v>
      </c>
      <c r="E469" s="13" t="s">
        <v>128</v>
      </c>
      <c r="G469" s="19">
        <v>80</v>
      </c>
      <c r="H469" s="10" t="s">
        <v>869</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1202</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1202</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1202</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1202</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1202</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1202</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1202</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1202</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1202</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1202</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1202</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1202</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1202</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1202</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1202</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1202</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1202</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1202</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1202</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1202</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1202</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1202</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1202</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1202</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1202</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1202</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1202</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1202</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1202</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1202</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1202</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1202</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1202</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1202</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1202</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1202</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1202</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1202</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1202</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1202</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1202</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1202</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1202</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1202</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1202</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1202</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1202</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1202</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1202</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1202</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1202</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1202</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1202</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1202</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1202</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1202</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1202</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1202</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1202</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1202</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1202</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1202</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1202</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1202</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1202</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1202</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1202</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1202</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1202</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1202</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1202</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1202</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1202</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1202</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1202</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1202</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1202</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1202</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1202</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1202</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1202</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1202</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1202</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1202</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1202</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1202</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1202</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1202</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1202</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1202</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1202</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1202</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1202</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1202</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1202</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1202</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1202</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1202</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1202</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1202</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1202</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1202</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1202</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1202</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1202</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1202</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1202</v>
      </c>
    </row>
    <row r="577" spans="1:14" ht="18.75" x14ac:dyDescent="0.4">
      <c r="B577" t="s">
        <v>814</v>
      </c>
      <c r="D577" s="7" t="s">
        <v>820</v>
      </c>
      <c r="E577" s="13" t="s">
        <v>821</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1202</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1202</v>
      </c>
    </row>
    <row r="580" spans="1:14" ht="36" hidden="1" outlineLevel="1" x14ac:dyDescent="0.4">
      <c r="A580" s="2">
        <v>3</v>
      </c>
      <c r="B580" s="2" t="str">
        <f>D577&amp;"の体"</f>
        <v>炎の体</v>
      </c>
      <c r="D580" s="7"/>
      <c r="E580" s="13" t="s">
        <v>735</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1202</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1202</v>
      </c>
    </row>
    <row r="583" spans="1:14" ht="36" hidden="1" outlineLevel="1" x14ac:dyDescent="0.4">
      <c r="A583" s="2">
        <v>6</v>
      </c>
      <c r="B583" s="2" t="str">
        <f>E577&amp;"突撃"</f>
        <v>火炎突撃</v>
      </c>
      <c r="D583" s="7" t="str">
        <f>D577</f>
        <v>炎</v>
      </c>
      <c r="E583" s="13" t="s">
        <v>735</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1202</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1202</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735</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1202</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1202</v>
      </c>
    </row>
    <row r="590" spans="1:14" ht="18.75" x14ac:dyDescent="0.4">
      <c r="B590" t="s">
        <v>815</v>
      </c>
      <c r="D590" s="2" t="s">
        <v>823</v>
      </c>
      <c r="E590" s="13" t="s">
        <v>824</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1202</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1202</v>
      </c>
    </row>
    <row r="593" spans="1:14" ht="36" hidden="1" outlineLevel="1" x14ac:dyDescent="0.4">
      <c r="A593" s="2">
        <v>3</v>
      </c>
      <c r="B593" s="2" t="str">
        <f>D590&amp;"の体"</f>
        <v>氷の体</v>
      </c>
      <c r="D593" s="7"/>
      <c r="E593" s="13" t="s">
        <v>735</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1202</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1202</v>
      </c>
    </row>
    <row r="596" spans="1:14" ht="36" hidden="1" outlineLevel="1" x14ac:dyDescent="0.4">
      <c r="A596" s="2">
        <v>6</v>
      </c>
      <c r="B596" s="2" t="str">
        <f>E590&amp;"突撃"</f>
        <v>氷結突撃</v>
      </c>
      <c r="D596" s="7" t="str">
        <f>D590</f>
        <v>氷</v>
      </c>
      <c r="E596" s="13" t="s">
        <v>735</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1202</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1202</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735</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1202</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1202</v>
      </c>
    </row>
    <row r="603" spans="1:14" ht="18.75" x14ac:dyDescent="0.4">
      <c r="B603" t="s">
        <v>816</v>
      </c>
      <c r="D603" s="2" t="s">
        <v>844</v>
      </c>
      <c r="E603" s="13" t="s">
        <v>855</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1202</v>
      </c>
    </row>
    <row r="604" spans="1:14" hidden="1" outlineLevel="1" x14ac:dyDescent="0.4">
      <c r="A604" s="2">
        <v>1</v>
      </c>
      <c r="B604" s="2" t="s">
        <v>839</v>
      </c>
      <c r="D604" s="7"/>
      <c r="E604" s="13" t="s">
        <v>472</v>
      </c>
      <c r="H604" s="10" t="s">
        <v>843</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1202</v>
      </c>
    </row>
    <row r="606" spans="1:14" hidden="1" outlineLevel="1" x14ac:dyDescent="0.4">
      <c r="A606" s="2">
        <v>3</v>
      </c>
      <c r="B606" s="2" t="s">
        <v>840</v>
      </c>
      <c r="D606" s="7"/>
      <c r="E606" s="13" t="s">
        <v>735</v>
      </c>
      <c r="F606" s="14">
        <v>5</v>
      </c>
      <c r="G606" s="19">
        <v>20</v>
      </c>
      <c r="H606" s="10" t="s">
        <v>847</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1202</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1202</v>
      </c>
    </row>
    <row r="609" spans="1:14" ht="36" hidden="1" outlineLevel="1" x14ac:dyDescent="0.4">
      <c r="A609" s="2">
        <v>6</v>
      </c>
      <c r="B609" s="2" t="s">
        <v>856</v>
      </c>
      <c r="D609" s="7" t="s">
        <v>838</v>
      </c>
      <c r="E609" s="13" t="s">
        <v>735</v>
      </c>
      <c r="F609" s="14">
        <v>5</v>
      </c>
      <c r="G609" s="19">
        <v>60</v>
      </c>
      <c r="H609" s="10" t="s">
        <v>845</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1202</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1202</v>
      </c>
    </row>
    <row r="612" spans="1:14" hidden="1" outlineLevel="1" x14ac:dyDescent="0.4">
      <c r="A612" s="2">
        <v>9</v>
      </c>
      <c r="B612" s="2" t="s">
        <v>841</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842</v>
      </c>
      <c r="D613" s="7" t="s">
        <v>838</v>
      </c>
      <c r="E613" s="13" t="s">
        <v>735</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1202</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1202</v>
      </c>
    </row>
    <row r="616" spans="1:14" ht="18.75" x14ac:dyDescent="0.4">
      <c r="B616" t="s">
        <v>817</v>
      </c>
      <c r="D616" s="2" t="s">
        <v>825</v>
      </c>
      <c r="E616" s="13" t="s">
        <v>826</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1202</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1202</v>
      </c>
    </row>
    <row r="619" spans="1:14" ht="36" hidden="1" outlineLevel="1" x14ac:dyDescent="0.4">
      <c r="A619" s="2">
        <v>3</v>
      </c>
      <c r="B619" s="2" t="str">
        <f>D616&amp;"の体"</f>
        <v>雷の体</v>
      </c>
      <c r="D619" s="7"/>
      <c r="E619" s="13" t="s">
        <v>735</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1202</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1202</v>
      </c>
    </row>
    <row r="622" spans="1:14" ht="36" hidden="1" outlineLevel="1" x14ac:dyDescent="0.4">
      <c r="A622" s="2">
        <v>6</v>
      </c>
      <c r="B622" s="2" t="str">
        <f>E616&amp;"突撃"</f>
        <v>電撃突撃</v>
      </c>
      <c r="D622" s="7" t="str">
        <f>D616</f>
        <v>雷</v>
      </c>
      <c r="E622" s="13" t="s">
        <v>735</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1202</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1202</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735</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1202</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1202</v>
      </c>
    </row>
    <row r="629" spans="1:14" ht="18.75" x14ac:dyDescent="0.4">
      <c r="B629" t="s">
        <v>818</v>
      </c>
      <c r="D629" s="2" t="s">
        <v>827</v>
      </c>
      <c r="E629" s="13" t="s">
        <v>828</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1202</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1202</v>
      </c>
    </row>
    <row r="632" spans="1:14" ht="36" hidden="1" outlineLevel="1" x14ac:dyDescent="0.4">
      <c r="A632" s="2">
        <v>3</v>
      </c>
      <c r="B632" s="2" t="str">
        <f>D629&amp;"の体"</f>
        <v>毒の体</v>
      </c>
      <c r="D632" s="7"/>
      <c r="E632" s="13" t="s">
        <v>735</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1202</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1202</v>
      </c>
    </row>
    <row r="635" spans="1:14" ht="36" hidden="1" outlineLevel="1" x14ac:dyDescent="0.4">
      <c r="A635" s="2">
        <v>6</v>
      </c>
      <c r="B635" s="2" t="str">
        <f>E629&amp;"突撃"</f>
        <v>腐蝕突撃</v>
      </c>
      <c r="D635" s="7" t="str">
        <f>D629</f>
        <v>毒</v>
      </c>
      <c r="E635" s="13" t="s">
        <v>735</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1202</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1202</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735</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1202</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1202</v>
      </c>
    </row>
    <row r="642" spans="1:14" ht="18.75" x14ac:dyDescent="0.4">
      <c r="B642" t="s">
        <v>819</v>
      </c>
      <c r="D642" s="2" t="s">
        <v>854</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1202</v>
      </c>
    </row>
    <row r="643" spans="1:14" hidden="1" outlineLevel="1" x14ac:dyDescent="0.4">
      <c r="A643" s="2">
        <v>1</v>
      </c>
      <c r="B643" s="2" t="s">
        <v>850</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1202</v>
      </c>
    </row>
    <row r="645" spans="1:14" ht="36" hidden="1" outlineLevel="1" x14ac:dyDescent="0.4">
      <c r="A645" s="2">
        <v>3</v>
      </c>
      <c r="B645" s="2" t="s">
        <v>851</v>
      </c>
      <c r="D645" s="7"/>
      <c r="E645" s="13" t="s">
        <v>735</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1202</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1202</v>
      </c>
    </row>
    <row r="648" spans="1:14" ht="36" hidden="1" outlineLevel="1" x14ac:dyDescent="0.4">
      <c r="A648" s="2">
        <v>6</v>
      </c>
      <c r="B648" s="2" t="s">
        <v>733</v>
      </c>
      <c r="D648" s="7" t="s">
        <v>849</v>
      </c>
      <c r="E648" s="13" t="s">
        <v>735</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1202</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1202</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1202</v>
      </c>
    </row>
    <row r="651" spans="1:14" hidden="1" outlineLevel="1" x14ac:dyDescent="0.4">
      <c r="A651" s="2">
        <v>9</v>
      </c>
      <c r="B651" s="2" t="s">
        <v>852</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853</v>
      </c>
      <c r="D652" s="7" t="s">
        <v>849</v>
      </c>
      <c r="E652" s="13" t="s">
        <v>735</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1202</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1202</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1202</v>
      </c>
    </row>
    <row r="656" spans="1:14" x14ac:dyDescent="0.4">
      <c r="B656" s="2" t="s">
        <v>776</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1202</v>
      </c>
    </row>
    <row r="657" spans="1:14" hidden="1" outlineLevel="1" x14ac:dyDescent="0.4">
      <c r="A657" s="2">
        <v>1</v>
      </c>
      <c r="B657" s="2" t="s">
        <v>109</v>
      </c>
      <c r="E657" s="13" t="s">
        <v>735</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1202</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1202</v>
      </c>
    </row>
    <row r="659" spans="1:14" hidden="1" outlineLevel="1" x14ac:dyDescent="0.4">
      <c r="A659" s="2">
        <v>3</v>
      </c>
      <c r="B659" s="2" t="s">
        <v>829</v>
      </c>
      <c r="E659" s="13" t="s">
        <v>735</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1202</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1202</v>
      </c>
    </row>
    <row r="661" spans="1:14" hidden="1" outlineLevel="1" x14ac:dyDescent="0.4">
      <c r="A661" s="2">
        <v>5</v>
      </c>
      <c r="B661" s="2" t="s">
        <v>834</v>
      </c>
      <c r="E661" s="13" t="s">
        <v>471</v>
      </c>
      <c r="H661" s="10" t="s">
        <v>835</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831</v>
      </c>
      <c r="E662" s="13" t="s">
        <v>735</v>
      </c>
      <c r="G662" s="19">
        <v>20</v>
      </c>
      <c r="H662" s="10" t="s">
        <v>833</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1202</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1202</v>
      </c>
    </row>
    <row r="664" spans="1:14" ht="36" hidden="1" outlineLevel="1" x14ac:dyDescent="0.4">
      <c r="A664" s="2">
        <v>8</v>
      </c>
      <c r="B664" s="2" t="s">
        <v>830</v>
      </c>
      <c r="E664" s="13" t="s">
        <v>735</v>
      </c>
      <c r="H664" s="10" t="s">
        <v>832</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837</v>
      </c>
      <c r="E665" s="13" t="s">
        <v>471</v>
      </c>
      <c r="H665" s="10" t="s">
        <v>836</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735</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1202</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1202</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1202</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1202</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1202</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1202</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1202</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1202</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1202</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1202</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1202</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1202</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1202</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1202</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1202</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1202</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1202</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1202</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1202</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1202</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1202</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1202</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1202</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1202</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1202</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1202</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1202</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1202</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1202</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1202</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1202</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1202</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1202</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1202</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1202</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1202</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1202</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1202</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1202</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1202</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1202</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1202</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1202</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1202</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1202</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1202</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1202</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1202</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1202</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1202</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1202</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1202</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1202</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1202</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1202</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1202</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1202</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1202</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1202</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1202</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1202</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1202</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1202</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1202</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1202</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1202</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1202</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1202</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1202</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1202</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1202</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1202</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1202</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1202</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1202</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1202</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1202</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1202</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1202</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1202</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1202</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1202</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1202</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1202</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1202</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1202</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1202</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1202</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1202</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1202</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51" activePane="bottomRight" state="frozen"/>
      <selection pane="topRight" activeCell="F1" sqref="F1"/>
      <selection pane="bottomLeft" activeCell="A18" sqref="A18"/>
      <selection pane="bottomRight" activeCell="D35" sqref="D35:F35"/>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892</v>
      </c>
      <c r="F1" s="22" t="s">
        <v>11</v>
      </c>
      <c r="G1" s="22" t="s">
        <v>1233</v>
      </c>
      <c r="H1" s="22" t="s">
        <v>1234</v>
      </c>
      <c r="I1" s="22" t="s">
        <v>13</v>
      </c>
      <c r="J1" s="22" t="s">
        <v>15</v>
      </c>
      <c r="K1" s="25" t="s">
        <v>17</v>
      </c>
      <c r="L1" s="22" t="s">
        <v>18</v>
      </c>
      <c r="M1" s="22" t="s">
        <v>20</v>
      </c>
      <c r="N1" s="22" t="s">
        <v>22</v>
      </c>
      <c r="O1" s="22" t="s">
        <v>29</v>
      </c>
      <c r="P1" s="20" t="s">
        <v>145</v>
      </c>
      <c r="Q1" s="20" t="s">
        <v>177</v>
      </c>
      <c r="R1" s="20" t="s">
        <v>670</v>
      </c>
      <c r="S1" s="20" t="s">
        <v>1227</v>
      </c>
      <c r="T1" s="20" t="s">
        <v>1228</v>
      </c>
      <c r="U1" s="20" t="s">
        <v>1229</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997</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908</v>
      </c>
      <c r="BS1" s="10" t="s">
        <v>905</v>
      </c>
      <c r="BT1" s="53" t="s">
        <v>477</v>
      </c>
      <c r="BU1" s="53" t="s">
        <v>478</v>
      </c>
      <c r="BV1" s="53" t="s">
        <v>479</v>
      </c>
      <c r="BW1" s="53" t="s">
        <v>480</v>
      </c>
      <c r="BX1" s="10" t="s">
        <v>907</v>
      </c>
      <c r="BY1" s="10" t="s">
        <v>910</v>
      </c>
      <c r="CA1" s="10" t="s">
        <v>913</v>
      </c>
      <c r="CB1" s="10" t="s">
        <v>915</v>
      </c>
      <c r="CC1" s="10" t="s">
        <v>916</v>
      </c>
      <c r="CD1" s="10" t="s">
        <v>914</v>
      </c>
      <c r="CE1" s="10" t="s">
        <v>917</v>
      </c>
      <c r="CF1" s="10" t="s">
        <v>918</v>
      </c>
      <c r="CG1" s="10" t="s">
        <v>748</v>
      </c>
      <c r="CH1" s="10" t="s">
        <v>749</v>
      </c>
      <c r="CI1" s="10" t="s">
        <v>989</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4" t="s">
        <v>232</v>
      </c>
      <c r="AK2" s="74"/>
      <c r="AL2" s="74"/>
      <c r="AM2" s="74"/>
      <c r="AN2" s="74"/>
      <c r="AO2" s="74"/>
      <c r="AP2" s="74"/>
      <c r="AQ2" s="74"/>
      <c r="AR2" s="74"/>
      <c r="AS2" s="74"/>
      <c r="AT2" s="74"/>
      <c r="AU2" s="74"/>
      <c r="AV2" s="74"/>
      <c r="AW2" s="74"/>
      <c r="AX2" s="74"/>
      <c r="AY2" s="7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4" t="s">
        <v>233</v>
      </c>
      <c r="AK3" s="74"/>
      <c r="AL3" s="74"/>
      <c r="AM3" s="74"/>
      <c r="AN3" s="74"/>
      <c r="AO3" s="74"/>
      <c r="AP3" s="74"/>
      <c r="AQ3" s="74"/>
      <c r="AR3" s="74"/>
      <c r="AS3" s="74"/>
      <c r="AT3" s="74"/>
      <c r="AU3" s="74"/>
      <c r="AV3" s="74"/>
      <c r="AW3" s="74"/>
      <c r="AX3" s="74"/>
      <c r="AY3" s="7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4" t="s">
        <v>234</v>
      </c>
      <c r="AK4" s="74"/>
      <c r="AL4" s="74"/>
      <c r="AM4" s="74"/>
      <c r="AN4" s="74"/>
      <c r="AO4" s="74"/>
      <c r="AP4" s="74"/>
      <c r="AQ4" s="74"/>
      <c r="AR4" s="74"/>
      <c r="AS4" s="74"/>
      <c r="AT4" s="74"/>
      <c r="AU4" s="74"/>
      <c r="AV4" s="74"/>
      <c r="AW4" s="74"/>
      <c r="AX4" s="74"/>
      <c r="AY4" s="7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4" t="s">
        <v>235</v>
      </c>
      <c r="AK5" s="74"/>
      <c r="AL5" s="74"/>
      <c r="AM5" s="74"/>
      <c r="AN5" s="74"/>
      <c r="AO5" s="74"/>
      <c r="AP5" s="74"/>
      <c r="AQ5" s="74"/>
      <c r="AR5" s="74"/>
      <c r="AS5" s="74"/>
      <c r="AT5" s="74"/>
      <c r="AU5" s="74"/>
      <c r="AV5" s="74"/>
      <c r="AW5" s="74"/>
      <c r="AX5" s="74"/>
      <c r="AY5" s="7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4" t="s">
        <v>236</v>
      </c>
      <c r="AK6" s="74"/>
      <c r="AL6" s="74"/>
      <c r="AM6" s="74"/>
      <c r="AN6" s="74"/>
      <c r="AO6" s="74"/>
      <c r="AP6" s="74"/>
      <c r="AQ6" s="74"/>
      <c r="AR6" s="74"/>
      <c r="AS6" s="74"/>
      <c r="AT6" s="74"/>
      <c r="AU6" s="74"/>
      <c r="AV6" s="74"/>
      <c r="AW6" s="74"/>
      <c r="AX6" s="74"/>
      <c r="AY6" s="7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6" t="s">
        <v>239</v>
      </c>
      <c r="AK9" s="76"/>
      <c r="AL9" s="76"/>
      <c r="AM9" s="76"/>
      <c r="AN9" s="76"/>
      <c r="AO9" s="76"/>
      <c r="AP9" s="76"/>
      <c r="AQ9" s="76"/>
      <c r="AR9" s="76"/>
      <c r="AS9" s="76"/>
      <c r="AT9" s="76"/>
      <c r="AU9" s="76"/>
      <c r="AV9" s="76"/>
      <c r="AW9" s="76"/>
      <c r="AX9" s="76"/>
      <c r="AY9" s="7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6" t="s">
        <v>240</v>
      </c>
      <c r="AK10" s="76"/>
      <c r="AL10" s="76"/>
      <c r="AM10" s="76"/>
      <c r="AN10" s="76"/>
      <c r="AO10" s="76"/>
      <c r="AP10" s="76"/>
      <c r="AQ10" s="76"/>
      <c r="AR10" s="76"/>
      <c r="AS10" s="76"/>
      <c r="AT10" s="76"/>
      <c r="AU10" s="76"/>
      <c r="AV10" s="76"/>
      <c r="AW10" s="76"/>
      <c r="AX10" s="76"/>
      <c r="AY10" s="7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6" t="s">
        <v>241</v>
      </c>
      <c r="AK11" s="76"/>
      <c r="AL11" s="76"/>
      <c r="AM11" s="76"/>
      <c r="AN11" s="76"/>
      <c r="AO11" s="76"/>
      <c r="AP11" s="76"/>
      <c r="AQ11" s="76"/>
      <c r="AR11" s="76"/>
      <c r="AS11" s="76"/>
      <c r="AT11" s="76"/>
      <c r="AU11" s="76"/>
      <c r="AV11" s="76"/>
      <c r="AW11" s="76"/>
      <c r="AX11" s="76"/>
      <c r="AY11" s="7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6" t="s">
        <v>242</v>
      </c>
      <c r="AK12" s="76"/>
      <c r="AL12" s="76"/>
      <c r="AM12" s="76"/>
      <c r="AN12" s="76"/>
      <c r="AO12" s="76"/>
      <c r="AP12" s="76"/>
      <c r="AQ12" s="76"/>
      <c r="AR12" s="76"/>
      <c r="AS12" s="76"/>
      <c r="AT12" s="76"/>
      <c r="AU12" s="76"/>
      <c r="AV12" s="76"/>
      <c r="AW12" s="76"/>
      <c r="AX12" s="76"/>
      <c r="AY12" s="7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5" t="s">
        <v>243</v>
      </c>
      <c r="AK13" s="75"/>
      <c r="AL13" s="75"/>
      <c r="AM13" s="75"/>
      <c r="AN13" s="75"/>
      <c r="AO13" s="75"/>
      <c r="AP13" s="75"/>
      <c r="AQ13" s="75"/>
      <c r="AR13" s="75"/>
      <c r="AS13" s="75"/>
      <c r="AT13" s="75"/>
      <c r="AU13" s="75"/>
      <c r="AV13" s="75"/>
      <c r="AW13" s="75"/>
      <c r="AX13" s="75"/>
      <c r="AY13" s="7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5" t="s">
        <v>244</v>
      </c>
      <c r="AK14" s="75"/>
      <c r="AL14" s="75"/>
      <c r="AM14" s="75"/>
      <c r="AN14" s="75"/>
      <c r="AO14" s="75"/>
      <c r="AP14" s="75"/>
      <c r="AQ14" s="75"/>
      <c r="AR14" s="75"/>
      <c r="AS14" s="75"/>
      <c r="AT14" s="75"/>
      <c r="AU14" s="75"/>
      <c r="AV14" s="75"/>
      <c r="AW14" s="75"/>
      <c r="AX14" s="75"/>
      <c r="AY14" s="7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997</v>
      </c>
      <c r="AJ15" s="75" t="s">
        <v>245</v>
      </c>
      <c r="AK15" s="75"/>
      <c r="AL15" s="75"/>
      <c r="AM15" s="75"/>
      <c r="AN15" s="75"/>
      <c r="AO15" s="75"/>
      <c r="AP15" s="75"/>
      <c r="AQ15" s="75"/>
      <c r="AR15" s="75"/>
      <c r="AS15" s="75"/>
      <c r="AT15" s="75"/>
      <c r="AU15" s="75"/>
      <c r="AV15" s="75"/>
      <c r="AW15" s="75"/>
      <c r="AX15" s="75"/>
      <c r="AY15" s="7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5" t="s">
        <v>246</v>
      </c>
      <c r="AK16" s="75"/>
      <c r="AL16" s="75"/>
      <c r="AM16" s="75"/>
      <c r="AN16" s="75"/>
      <c r="AO16" s="75"/>
      <c r="AP16" s="75"/>
      <c r="AQ16" s="75"/>
      <c r="AR16" s="75"/>
      <c r="AS16" s="75"/>
      <c r="AT16" s="75"/>
      <c r="AU16" s="75"/>
      <c r="AV16" s="75"/>
      <c r="AW16" s="75"/>
      <c r="AX16" s="75"/>
      <c r="AY16" s="75"/>
      <c r="BJ16" s="35"/>
      <c r="BL16" s="35"/>
      <c r="BN16" s="35"/>
      <c r="BP16" s="35"/>
    </row>
    <row r="17" spans="1:87" collapsed="1" x14ac:dyDescent="0.4">
      <c r="BS17" s="3" t="s">
        <v>906</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909</v>
      </c>
      <c r="BS18" s="53">
        <v>100</v>
      </c>
      <c r="BT18" s="52">
        <v>40</v>
      </c>
      <c r="BU18" s="52">
        <v>30</v>
      </c>
      <c r="BV18" s="52">
        <v>20</v>
      </c>
      <c r="BW18" s="52">
        <v>10</v>
      </c>
      <c r="CI18" t="s">
        <v>990</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909</v>
      </c>
      <c r="BS19" s="53">
        <v>100</v>
      </c>
      <c r="BT19" s="52">
        <v>20</v>
      </c>
      <c r="BU19" s="52">
        <v>50</v>
      </c>
      <c r="BV19" s="52">
        <v>10</v>
      </c>
      <c r="BW19" s="52">
        <v>20</v>
      </c>
      <c r="CI19" t="s">
        <v>881</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909</v>
      </c>
      <c r="BS20" s="53">
        <v>100</v>
      </c>
      <c r="BT20" s="52">
        <v>30</v>
      </c>
      <c r="BU20" s="52">
        <v>20</v>
      </c>
      <c r="BV20" s="52">
        <v>40</v>
      </c>
      <c r="BW20" s="52">
        <v>10</v>
      </c>
      <c r="CI20" t="s">
        <v>991</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909</v>
      </c>
      <c r="BS22" s="53">
        <v>110</v>
      </c>
      <c r="BT22" s="52">
        <v>20</v>
      </c>
      <c r="BU22" s="52">
        <v>20</v>
      </c>
      <c r="BV22" s="52">
        <v>50</v>
      </c>
      <c r="BW22" s="52">
        <v>20</v>
      </c>
      <c r="CI22" t="s">
        <v>883</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909</v>
      </c>
      <c r="BS23" s="53">
        <v>110</v>
      </c>
      <c r="BT23" s="52">
        <v>15</v>
      </c>
      <c r="BU23" s="52">
        <v>10</v>
      </c>
      <c r="BV23" s="52">
        <v>70</v>
      </c>
      <c r="BW23" s="52">
        <v>15</v>
      </c>
      <c r="CI23" t="s">
        <v>884</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909</v>
      </c>
      <c r="BS24" s="53">
        <v>200</v>
      </c>
      <c r="BT24" s="52">
        <v>40</v>
      </c>
      <c r="BU24" s="52">
        <v>10</v>
      </c>
      <c r="BV24" s="52">
        <v>100</v>
      </c>
      <c r="BW24" s="52">
        <v>10</v>
      </c>
      <c r="CI24" t="s">
        <v>885</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909</v>
      </c>
      <c r="BS25" s="53">
        <v>250</v>
      </c>
      <c r="BT25" s="52">
        <v>60</v>
      </c>
      <c r="BU25" s="52">
        <v>30</v>
      </c>
      <c r="BV25" s="52">
        <v>200</v>
      </c>
      <c r="BW25" s="52">
        <v>30</v>
      </c>
      <c r="CI25" t="s">
        <v>886</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909</v>
      </c>
      <c r="BS26" s="53">
        <v>70</v>
      </c>
      <c r="BT26" s="52">
        <v>30</v>
      </c>
      <c r="BU26" s="52">
        <v>20</v>
      </c>
      <c r="BV26" s="52">
        <v>10</v>
      </c>
      <c r="BW26" s="52">
        <v>10</v>
      </c>
      <c r="CI26" t="s">
        <v>887</v>
      </c>
    </row>
    <row r="27" spans="1:87" outlineLevel="1" x14ac:dyDescent="0.4">
      <c r="A27" t="s">
        <v>1130</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909</v>
      </c>
      <c r="BS27" s="53">
        <v>70</v>
      </c>
      <c r="BT27" s="52">
        <v>30</v>
      </c>
      <c r="BU27" s="52">
        <v>20</v>
      </c>
      <c r="BV27" s="52">
        <v>10</v>
      </c>
      <c r="BW27" s="52">
        <v>10</v>
      </c>
      <c r="CI27" t="s">
        <v>887</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907</v>
      </c>
      <c r="BS29" s="53">
        <v>30</v>
      </c>
      <c r="BT29" s="52">
        <v>0</v>
      </c>
      <c r="BU29" s="52">
        <v>0</v>
      </c>
      <c r="BV29" s="52">
        <v>50</v>
      </c>
      <c r="BW29" s="52">
        <v>25</v>
      </c>
      <c r="BX29" s="52">
        <v>10</v>
      </c>
      <c r="CI29" t="s">
        <v>888</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907</v>
      </c>
      <c r="BS30" s="53">
        <v>30</v>
      </c>
      <c r="BT30" s="52">
        <v>10</v>
      </c>
      <c r="BU30" s="52">
        <v>30</v>
      </c>
      <c r="BV30" s="52">
        <v>10</v>
      </c>
      <c r="BW30" s="52">
        <v>10</v>
      </c>
      <c r="BX30" s="52">
        <v>10</v>
      </c>
      <c r="CI30" t="s">
        <v>889</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910</v>
      </c>
      <c r="BS31" s="53">
        <v>50</v>
      </c>
      <c r="BT31" s="52">
        <v>0</v>
      </c>
      <c r="BU31" s="52">
        <v>0</v>
      </c>
      <c r="BV31" s="52">
        <v>50</v>
      </c>
      <c r="BW31" s="52">
        <v>25</v>
      </c>
      <c r="BX31" s="52">
        <v>0</v>
      </c>
      <c r="BY31" s="52">
        <v>50</v>
      </c>
      <c r="CI31" t="s">
        <v>890</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910</v>
      </c>
      <c r="BS33" s="53">
        <v>50</v>
      </c>
      <c r="BV33" s="52">
        <v>75</v>
      </c>
      <c r="CI33" t="s">
        <v>992</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910</v>
      </c>
      <c r="BS34" s="53">
        <v>50</v>
      </c>
      <c r="CI34" t="s">
        <v>993</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907</v>
      </c>
      <c r="BS35" s="53">
        <v>25</v>
      </c>
      <c r="BX35">
        <v>25</v>
      </c>
      <c r="CD35" t="s">
        <v>919</v>
      </c>
      <c r="CE35" t="s">
        <v>919</v>
      </c>
      <c r="CF35" t="s">
        <v>919</v>
      </c>
      <c r="CI35" t="s">
        <v>994</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919</v>
      </c>
      <c r="CE42" t="s">
        <v>919</v>
      </c>
      <c r="CF42" t="s">
        <v>919</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859</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901</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923</v>
      </c>
      <c r="CE53" t="s">
        <v>927</v>
      </c>
      <c r="CF53" t="s">
        <v>1132</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923</v>
      </c>
      <c r="CE54" t="s">
        <v>927</v>
      </c>
      <c r="CF54" t="s">
        <v>1132</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923</v>
      </c>
      <c r="CE55" t="s">
        <v>927</v>
      </c>
      <c r="CF55" t="s">
        <v>1132</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893</v>
      </c>
      <c r="CB56" t="s">
        <v>1182</v>
      </c>
      <c r="CE56" t="s">
        <v>926</v>
      </c>
      <c r="CF56" t="s">
        <v>1132</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893</v>
      </c>
      <c r="CB57" t="s">
        <v>679</v>
      </c>
      <c r="CC57" t="s">
        <v>1183</v>
      </c>
      <c r="CE57" t="s">
        <v>926</v>
      </c>
      <c r="CF57" t="s">
        <v>1132</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893</v>
      </c>
      <c r="CB58" t="s">
        <v>1181</v>
      </c>
      <c r="CD58" t="s">
        <v>924</v>
      </c>
      <c r="CE58" t="s">
        <v>927</v>
      </c>
      <c r="CF58" t="s">
        <v>1132</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893</v>
      </c>
      <c r="CB60" t="s">
        <v>1184</v>
      </c>
      <c r="CE60" t="s">
        <v>927</v>
      </c>
      <c r="CF60" t="s">
        <v>1132</v>
      </c>
      <c r="CI60" t="s">
        <v>998</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893</v>
      </c>
      <c r="CB61" t="s">
        <v>1185</v>
      </c>
      <c r="CE61" t="s">
        <v>927</v>
      </c>
      <c r="CF61" t="s">
        <v>1132</v>
      </c>
      <c r="CI61" t="s">
        <v>998</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893</v>
      </c>
      <c r="CB62" t="s">
        <v>1184</v>
      </c>
      <c r="CE62" t="s">
        <v>927</v>
      </c>
      <c r="CF62" t="s">
        <v>1132</v>
      </c>
      <c r="CI62" t="s">
        <v>998</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893</v>
      </c>
      <c r="CB64" t="s">
        <v>661</v>
      </c>
      <c r="CD64" t="s">
        <v>924</v>
      </c>
      <c r="CE64" t="s">
        <v>928</v>
      </c>
      <c r="CF64" t="s">
        <v>1132</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893</v>
      </c>
      <c r="CB65" t="s">
        <v>661</v>
      </c>
      <c r="CD65" t="s">
        <v>924</v>
      </c>
      <c r="CE65" t="s">
        <v>928</v>
      </c>
      <c r="CF65" t="s">
        <v>1132</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893</v>
      </c>
      <c r="CB66" t="s">
        <v>661</v>
      </c>
      <c r="CD66" t="s">
        <v>924</v>
      </c>
      <c r="CE66" t="s">
        <v>928</v>
      </c>
      <c r="CF66" t="s">
        <v>1132</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893</v>
      </c>
      <c r="CB68" t="s">
        <v>1186</v>
      </c>
      <c r="CD68" t="s">
        <v>924</v>
      </c>
      <c r="CE68" t="s">
        <v>928</v>
      </c>
      <c r="CF68" t="s">
        <v>1132</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893</v>
      </c>
      <c r="CB69" t="s">
        <v>679</v>
      </c>
      <c r="CC69" t="s">
        <v>1183</v>
      </c>
      <c r="CD69" t="s">
        <v>924</v>
      </c>
      <c r="CE69" t="s">
        <v>928</v>
      </c>
      <c r="CF69" t="s">
        <v>1132</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893</v>
      </c>
      <c r="CB70" t="s">
        <v>1186</v>
      </c>
      <c r="CD70" t="s">
        <v>924</v>
      </c>
      <c r="CE70" t="s">
        <v>928</v>
      </c>
      <c r="CF70" t="s">
        <v>1132</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902</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903</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904</v>
      </c>
      <c r="CB74" t="s">
        <v>1184</v>
      </c>
      <c r="CE74" t="s">
        <v>927</v>
      </c>
      <c r="CF74" t="s">
        <v>1132</v>
      </c>
      <c r="CI74" t="s">
        <v>998</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909</v>
      </c>
      <c r="BS80" s="53">
        <v>120</v>
      </c>
      <c r="BT80" s="52">
        <v>10</v>
      </c>
      <c r="BU80" s="52">
        <v>10</v>
      </c>
      <c r="BV80" s="52">
        <v>90</v>
      </c>
      <c r="BW80" s="52">
        <v>10</v>
      </c>
      <c r="CB80" t="s">
        <v>919</v>
      </c>
      <c r="CC80" t="s">
        <v>919</v>
      </c>
      <c r="CF80" t="s">
        <v>919</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909</v>
      </c>
      <c r="BS81" s="53">
        <v>110</v>
      </c>
      <c r="BT81" s="52">
        <v>10</v>
      </c>
      <c r="BU81" s="52">
        <v>10</v>
      </c>
      <c r="BV81" s="52">
        <v>80</v>
      </c>
      <c r="BW81" s="52">
        <v>10</v>
      </c>
      <c r="CB81" t="s">
        <v>919</v>
      </c>
      <c r="CC81" t="s">
        <v>919</v>
      </c>
      <c r="CF81" t="s">
        <v>919</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909</v>
      </c>
      <c r="BS82" s="53">
        <v>85</v>
      </c>
      <c r="BT82" s="52">
        <v>5</v>
      </c>
      <c r="BU82" s="52">
        <v>0</v>
      </c>
      <c r="BV82" s="52">
        <v>70</v>
      </c>
      <c r="BW82" s="52">
        <v>10</v>
      </c>
      <c r="CB82" t="s">
        <v>919</v>
      </c>
      <c r="CC82" t="s">
        <v>919</v>
      </c>
      <c r="CD82" t="s">
        <v>919</v>
      </c>
      <c r="CF82" t="s">
        <v>919</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909</v>
      </c>
      <c r="BS83" s="53">
        <v>80</v>
      </c>
      <c r="BT83" s="52">
        <v>10</v>
      </c>
      <c r="BU83" s="52">
        <v>10</v>
      </c>
      <c r="BV83" s="52">
        <v>50</v>
      </c>
      <c r="BW83" s="52">
        <v>10</v>
      </c>
      <c r="CB83" t="s">
        <v>919</v>
      </c>
      <c r="CC83" t="s">
        <v>919</v>
      </c>
      <c r="CF83" t="s">
        <v>919</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909</v>
      </c>
      <c r="BS84" s="53">
        <v>130</v>
      </c>
      <c r="BT84" s="52">
        <v>20</v>
      </c>
      <c r="BU84" s="52">
        <v>20</v>
      </c>
      <c r="BV84" s="52">
        <v>80</v>
      </c>
      <c r="BW84" s="52">
        <v>10</v>
      </c>
      <c r="CB84" t="s">
        <v>919</v>
      </c>
      <c r="CC84" t="s">
        <v>919</v>
      </c>
      <c r="CF84" t="s">
        <v>919</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909</v>
      </c>
      <c r="BS85" s="53">
        <v>130</v>
      </c>
      <c r="BT85" s="52">
        <v>10</v>
      </c>
      <c r="BU85" s="52">
        <v>0</v>
      </c>
      <c r="BV85" s="52">
        <v>90</v>
      </c>
      <c r="BW85" s="52">
        <v>30</v>
      </c>
      <c r="CB85" t="s">
        <v>919</v>
      </c>
      <c r="CC85" t="s">
        <v>919</v>
      </c>
      <c r="CD85" t="s">
        <v>919</v>
      </c>
      <c r="CF85" t="s">
        <v>919</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814</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894</v>
      </c>
      <c r="BI88" t="s">
        <v>193</v>
      </c>
      <c r="BJ88" s="36" t="s">
        <v>894</v>
      </c>
    </row>
    <row r="89" spans="1:87" x14ac:dyDescent="0.4">
      <c r="A89" t="s">
        <v>815</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894</v>
      </c>
      <c r="BI89" t="s">
        <v>193</v>
      </c>
      <c r="BJ89" s="36" t="s">
        <v>895</v>
      </c>
    </row>
    <row r="90" spans="1:87" x14ac:dyDescent="0.4">
      <c r="A90" t="s">
        <v>816</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894</v>
      </c>
      <c r="BI90" t="s">
        <v>193</v>
      </c>
      <c r="BJ90" s="36" t="s">
        <v>896</v>
      </c>
    </row>
    <row r="91" spans="1:87" x14ac:dyDescent="0.4">
      <c r="A91" t="s">
        <v>817</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894</v>
      </c>
      <c r="BI91" t="s">
        <v>193</v>
      </c>
      <c r="BJ91" s="36" t="s">
        <v>897</v>
      </c>
    </row>
    <row r="92" spans="1:87" x14ac:dyDescent="0.4">
      <c r="A92" t="s">
        <v>818</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894</v>
      </c>
      <c r="BI92" t="s">
        <v>193</v>
      </c>
      <c r="BJ92" s="36" t="s">
        <v>898</v>
      </c>
    </row>
    <row r="93" spans="1:87" x14ac:dyDescent="0.4">
      <c r="A93" t="s">
        <v>819</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894</v>
      </c>
      <c r="BI93" t="s">
        <v>193</v>
      </c>
      <c r="BJ93" s="36" t="s">
        <v>899</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857</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919</v>
      </c>
      <c r="CC96" t="s">
        <v>919</v>
      </c>
      <c r="CD96" t="s">
        <v>919</v>
      </c>
      <c r="CE96" t="s">
        <v>919</v>
      </c>
      <c r="CF96" t="s">
        <v>919</v>
      </c>
      <c r="CI96" t="s">
        <v>995</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I9" sqref="A1:I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1518</v>
      </c>
      <c r="B1" s="2" t="s">
        <v>1519</v>
      </c>
      <c r="C1" s="2" t="s">
        <v>1520</v>
      </c>
      <c r="D1" s="2" t="s">
        <v>1521</v>
      </c>
      <c r="E1" s="2" t="s">
        <v>1522</v>
      </c>
      <c r="F1" s="2" t="s">
        <v>1523</v>
      </c>
      <c r="G1" s="2" t="s">
        <v>1524</v>
      </c>
      <c r="H1" s="2" t="s">
        <v>1525</v>
      </c>
      <c r="I1" s="2" t="s">
        <v>1526</v>
      </c>
    </row>
    <row r="2" spans="1:9" x14ac:dyDescent="0.4">
      <c r="A2" t="s">
        <v>1527</v>
      </c>
      <c r="B2" t="s">
        <v>1527</v>
      </c>
      <c r="C2" t="s">
        <v>54</v>
      </c>
      <c r="D2" t="s">
        <v>1528</v>
      </c>
      <c r="E2" t="s">
        <v>1529</v>
      </c>
      <c r="F2" t="s">
        <v>1530</v>
      </c>
      <c r="G2" t="s">
        <v>1531</v>
      </c>
      <c r="H2">
        <v>110</v>
      </c>
      <c r="I2">
        <v>22</v>
      </c>
    </row>
    <row r="3" spans="1:9" x14ac:dyDescent="0.4">
      <c r="A3" t="s">
        <v>56</v>
      </c>
      <c r="B3" t="s">
        <v>56</v>
      </c>
      <c r="C3" t="s">
        <v>56</v>
      </c>
      <c r="D3" t="s">
        <v>1532</v>
      </c>
      <c r="E3" t="s">
        <v>1533</v>
      </c>
      <c r="F3" t="s">
        <v>1534</v>
      </c>
      <c r="G3" t="s">
        <v>1535</v>
      </c>
      <c r="H3">
        <v>85</v>
      </c>
      <c r="I3">
        <v>26</v>
      </c>
    </row>
    <row r="4" spans="1:9" x14ac:dyDescent="0.4">
      <c r="A4" t="s">
        <v>41</v>
      </c>
      <c r="B4" t="s">
        <v>41</v>
      </c>
      <c r="C4" t="s">
        <v>41</v>
      </c>
      <c r="D4" t="s">
        <v>1536</v>
      </c>
      <c r="E4" t="s">
        <v>1537</v>
      </c>
      <c r="F4" t="s">
        <v>1538</v>
      </c>
      <c r="G4" t="s">
        <v>1539</v>
      </c>
      <c r="H4">
        <v>145</v>
      </c>
      <c r="I4">
        <v>30</v>
      </c>
    </row>
    <row r="5" spans="1:9" x14ac:dyDescent="0.4">
      <c r="A5" t="s">
        <v>43</v>
      </c>
      <c r="B5" t="s">
        <v>43</v>
      </c>
      <c r="C5" t="s">
        <v>43</v>
      </c>
      <c r="D5" t="s">
        <v>1540</v>
      </c>
      <c r="E5" t="s">
        <v>1541</v>
      </c>
      <c r="F5" t="s">
        <v>1542</v>
      </c>
      <c r="G5" t="s">
        <v>1543</v>
      </c>
      <c r="H5">
        <v>78</v>
      </c>
      <c r="I5">
        <v>18</v>
      </c>
    </row>
    <row r="6" spans="1:9" x14ac:dyDescent="0.4">
      <c r="A6" t="s">
        <v>1544</v>
      </c>
      <c r="B6" t="s">
        <v>1544</v>
      </c>
      <c r="C6" t="s">
        <v>63</v>
      </c>
      <c r="D6" t="s">
        <v>1545</v>
      </c>
      <c r="E6" t="s">
        <v>1546</v>
      </c>
      <c r="F6" t="s">
        <v>1547</v>
      </c>
      <c r="G6" t="s">
        <v>1548</v>
      </c>
      <c r="H6">
        <v>125</v>
      </c>
      <c r="I6">
        <v>28</v>
      </c>
    </row>
    <row r="7" spans="1:9" x14ac:dyDescent="0.4">
      <c r="A7" t="s">
        <v>1549</v>
      </c>
      <c r="B7" t="s">
        <v>1549</v>
      </c>
      <c r="C7" t="s">
        <v>45</v>
      </c>
      <c r="D7" t="s">
        <v>1550</v>
      </c>
      <c r="E7" t="s">
        <v>1551</v>
      </c>
      <c r="F7" t="s">
        <v>1552</v>
      </c>
      <c r="G7" t="s">
        <v>1553</v>
      </c>
      <c r="H7">
        <v>95</v>
      </c>
      <c r="I7">
        <v>32</v>
      </c>
    </row>
    <row r="8" spans="1:9" x14ac:dyDescent="0.4">
      <c r="A8" t="s">
        <v>1554</v>
      </c>
      <c r="B8" t="s">
        <v>1554</v>
      </c>
      <c r="C8" t="s">
        <v>47</v>
      </c>
      <c r="D8" t="s">
        <v>1555</v>
      </c>
      <c r="E8" t="s">
        <v>1556</v>
      </c>
      <c r="F8" t="s">
        <v>1557</v>
      </c>
      <c r="G8" t="s">
        <v>1558</v>
      </c>
      <c r="H8">
        <v>105</v>
      </c>
      <c r="I8">
        <v>21</v>
      </c>
    </row>
    <row r="9" spans="1:9" x14ac:dyDescent="0.4">
      <c r="A9" t="s">
        <v>49</v>
      </c>
      <c r="B9" t="s">
        <v>49</v>
      </c>
      <c r="C9" t="s">
        <v>49</v>
      </c>
      <c r="D9" t="s">
        <v>1559</v>
      </c>
      <c r="E9" t="s">
        <v>1560</v>
      </c>
      <c r="F9" t="s">
        <v>1561</v>
      </c>
      <c r="G9" t="s">
        <v>1562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858</v>
      </c>
      <c r="B1" t="s">
        <v>891</v>
      </c>
      <c r="C1" t="s">
        <v>1365</v>
      </c>
      <c r="D1" t="s">
        <v>1366</v>
      </c>
      <c r="E1" t="s">
        <v>900</v>
      </c>
      <c r="F1" t="s">
        <v>978</v>
      </c>
      <c r="G1" t="s">
        <v>1174</v>
      </c>
      <c r="H1" t="s">
        <v>1021</v>
      </c>
      <c r="I1" t="s">
        <v>977</v>
      </c>
    </row>
    <row r="2" spans="1:9" x14ac:dyDescent="0.4">
      <c r="A2" t="s">
        <v>880</v>
      </c>
      <c r="B2" t="s">
        <v>55</v>
      </c>
      <c r="C2" t="s">
        <v>1367</v>
      </c>
      <c r="D2" t="s">
        <v>1368</v>
      </c>
      <c r="E2">
        <v>50</v>
      </c>
      <c r="F2">
        <v>0</v>
      </c>
      <c r="G2" s="39">
        <v>1</v>
      </c>
      <c r="H2" s="39">
        <v>0.15</v>
      </c>
      <c r="I2" t="s">
        <v>980</v>
      </c>
    </row>
    <row r="3" spans="1:9" x14ac:dyDescent="0.4">
      <c r="A3" t="s">
        <v>881</v>
      </c>
      <c r="B3" t="s">
        <v>57</v>
      </c>
      <c r="C3" t="s">
        <v>502</v>
      </c>
      <c r="D3" t="s">
        <v>1369</v>
      </c>
      <c r="E3">
        <v>50</v>
      </c>
      <c r="F3">
        <v>0</v>
      </c>
      <c r="G3" s="39">
        <v>1</v>
      </c>
      <c r="H3" s="39">
        <v>0.1</v>
      </c>
      <c r="I3" t="s">
        <v>979</v>
      </c>
    </row>
    <row r="4" spans="1:9" x14ac:dyDescent="0.4">
      <c r="A4" t="s">
        <v>882</v>
      </c>
      <c r="B4" t="s">
        <v>59</v>
      </c>
      <c r="C4" t="s">
        <v>1370</v>
      </c>
      <c r="D4" t="s">
        <v>1371</v>
      </c>
      <c r="E4">
        <v>50</v>
      </c>
      <c r="F4">
        <v>1</v>
      </c>
      <c r="G4" s="39">
        <v>1</v>
      </c>
      <c r="H4" s="39">
        <v>0.1</v>
      </c>
      <c r="I4" t="s">
        <v>981</v>
      </c>
    </row>
    <row r="5" spans="1:9" x14ac:dyDescent="0.4">
      <c r="A5" t="s">
        <v>883</v>
      </c>
      <c r="B5" t="s">
        <v>53</v>
      </c>
      <c r="C5" t="s">
        <v>1372</v>
      </c>
      <c r="D5" t="s">
        <v>1373</v>
      </c>
      <c r="E5">
        <v>60</v>
      </c>
      <c r="F5">
        <v>1</v>
      </c>
      <c r="G5" s="39">
        <v>0.8</v>
      </c>
      <c r="H5" s="39">
        <v>0.2</v>
      </c>
      <c r="I5" t="s">
        <v>980</v>
      </c>
    </row>
    <row r="6" spans="1:9" x14ac:dyDescent="0.4">
      <c r="A6" t="s">
        <v>884</v>
      </c>
      <c r="B6" t="s">
        <v>64</v>
      </c>
      <c r="C6" t="s">
        <v>1374</v>
      </c>
      <c r="D6" t="s">
        <v>1375</v>
      </c>
      <c r="E6">
        <v>25</v>
      </c>
      <c r="F6">
        <v>1</v>
      </c>
      <c r="G6" s="39">
        <v>1.25</v>
      </c>
      <c r="H6" s="39">
        <v>0.25</v>
      </c>
      <c r="I6" t="s">
        <v>985</v>
      </c>
    </row>
    <row r="7" spans="1:9" x14ac:dyDescent="0.4">
      <c r="A7" t="s">
        <v>885</v>
      </c>
      <c r="B7" t="s">
        <v>42</v>
      </c>
      <c r="C7" t="s">
        <v>1376</v>
      </c>
      <c r="D7" t="s">
        <v>1377</v>
      </c>
      <c r="E7">
        <v>25</v>
      </c>
      <c r="F7">
        <v>1</v>
      </c>
      <c r="G7" s="39">
        <v>0.8</v>
      </c>
      <c r="H7" s="39">
        <v>0.35</v>
      </c>
      <c r="I7" t="s">
        <v>982</v>
      </c>
    </row>
    <row r="8" spans="1:9" x14ac:dyDescent="0.4">
      <c r="A8" t="s">
        <v>886</v>
      </c>
      <c r="B8" t="s">
        <v>66</v>
      </c>
      <c r="C8" t="s">
        <v>1378</v>
      </c>
      <c r="D8" t="s">
        <v>1379</v>
      </c>
      <c r="E8">
        <v>15</v>
      </c>
      <c r="F8">
        <v>2</v>
      </c>
      <c r="G8" s="39">
        <v>1.2</v>
      </c>
      <c r="H8" s="39">
        <v>0.45</v>
      </c>
      <c r="I8" t="s">
        <v>984</v>
      </c>
    </row>
    <row r="9" spans="1:9" x14ac:dyDescent="0.4">
      <c r="A9" t="s">
        <v>887</v>
      </c>
      <c r="B9" t="s">
        <v>44</v>
      </c>
      <c r="C9" t="s">
        <v>1380</v>
      </c>
      <c r="D9" t="s">
        <v>1381</v>
      </c>
      <c r="E9">
        <v>75</v>
      </c>
      <c r="F9">
        <v>0</v>
      </c>
      <c r="G9" s="39">
        <v>0.5</v>
      </c>
      <c r="H9" s="39">
        <v>0.1</v>
      </c>
      <c r="I9" t="s">
        <v>983</v>
      </c>
    </row>
    <row r="10" spans="1:9" x14ac:dyDescent="0.4">
      <c r="A10" t="s">
        <v>888</v>
      </c>
      <c r="B10" t="s">
        <v>46</v>
      </c>
      <c r="C10" t="s">
        <v>1382</v>
      </c>
      <c r="D10" t="s">
        <v>1383</v>
      </c>
      <c r="E10">
        <v>10</v>
      </c>
      <c r="F10">
        <v>3</v>
      </c>
      <c r="G10" s="39">
        <v>1.5</v>
      </c>
      <c r="H10" s="39">
        <v>0.6</v>
      </c>
      <c r="I10" t="s">
        <v>987</v>
      </c>
    </row>
    <row r="11" spans="1:9" x14ac:dyDescent="0.4">
      <c r="A11" t="s">
        <v>889</v>
      </c>
      <c r="B11" t="s">
        <v>48</v>
      </c>
      <c r="C11" t="s">
        <v>1384</v>
      </c>
      <c r="D11" t="s">
        <v>1385</v>
      </c>
      <c r="E11">
        <v>15</v>
      </c>
      <c r="F11">
        <v>3</v>
      </c>
      <c r="G11" s="39">
        <v>1.5</v>
      </c>
      <c r="H11" s="39">
        <v>0.6</v>
      </c>
      <c r="I11" t="s">
        <v>986</v>
      </c>
    </row>
    <row r="12" spans="1:9" x14ac:dyDescent="0.4">
      <c r="A12" t="s">
        <v>890</v>
      </c>
      <c r="B12" t="s">
        <v>50</v>
      </c>
      <c r="C12" t="s">
        <v>1386</v>
      </c>
      <c r="D12" t="s">
        <v>1387</v>
      </c>
      <c r="E12">
        <v>10</v>
      </c>
      <c r="G12" s="39">
        <v>1.5</v>
      </c>
      <c r="H12" s="39">
        <v>0.6</v>
      </c>
      <c r="I12" t="s">
        <v>988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232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104</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951</v>
      </c>
      <c r="B12" s="17" t="s">
        <v>242</v>
      </c>
    </row>
    <row r="13" spans="1:2" ht="37.5" x14ac:dyDescent="0.4">
      <c r="A13" t="s">
        <v>230</v>
      </c>
      <c r="B13" s="17" t="s">
        <v>243</v>
      </c>
    </row>
    <row r="14" spans="1:2" ht="37.5" x14ac:dyDescent="0.4">
      <c r="A14" t="s">
        <v>5</v>
      </c>
      <c r="B14" s="17" t="s">
        <v>244</v>
      </c>
    </row>
    <row r="15" spans="1:2" ht="37.5" x14ac:dyDescent="0.4">
      <c r="A15" t="s">
        <v>997</v>
      </c>
      <c r="B15" s="17" t="s">
        <v>948</v>
      </c>
    </row>
    <row r="16" spans="1:2" ht="37.5" x14ac:dyDescent="0.4">
      <c r="A16" t="s">
        <v>6</v>
      </c>
      <c r="B16" s="17" t="s">
        <v>947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tabSelected="1" workbookViewId="0">
      <pane xSplit="8" ySplit="3" topLeftCell="BL53" activePane="bottomRight" state="frozen"/>
      <selection pane="topRight" activeCell="H1" sqref="H1"/>
      <selection pane="bottomLeft" activeCell="A4" sqref="A4"/>
      <selection pane="bottomRight" activeCell="B59" sqref="B59"/>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2" t="s">
        <v>1350</v>
      </c>
      <c r="H1" s="21" t="s">
        <v>305</v>
      </c>
      <c r="I1" s="38" t="s">
        <v>158</v>
      </c>
      <c r="J1" s="38" t="s">
        <v>159</v>
      </c>
      <c r="K1" s="38" t="s">
        <v>160</v>
      </c>
      <c r="L1" s="37" t="s">
        <v>215</v>
      </c>
      <c r="M1" s="37" t="s">
        <v>314</v>
      </c>
      <c r="N1" s="37" t="s">
        <v>175</v>
      </c>
      <c r="O1" s="37" t="s">
        <v>146</v>
      </c>
      <c r="P1" s="37" t="s">
        <v>176</v>
      </c>
      <c r="Q1" s="37" t="s">
        <v>669</v>
      </c>
      <c r="R1" s="37" t="s">
        <v>1230</v>
      </c>
      <c r="S1" s="37" t="s">
        <v>1231</v>
      </c>
      <c r="T1" s="37" t="s">
        <v>1232</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1233</v>
      </c>
      <c r="AK1" s="22" t="s">
        <v>1234</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997</v>
      </c>
      <c r="BG1" s="29" t="s">
        <v>6</v>
      </c>
      <c r="BH1" s="20" t="s">
        <v>145</v>
      </c>
      <c r="BI1" s="20" t="s">
        <v>177</v>
      </c>
      <c r="BJ1" s="20" t="s">
        <v>670</v>
      </c>
      <c r="BK1" s="20" t="s">
        <v>1227</v>
      </c>
      <c r="BL1" s="20" t="s">
        <v>1228</v>
      </c>
      <c r="BM1" s="20" t="s">
        <v>1229</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1284</v>
      </c>
      <c r="CE1" s="23" t="s">
        <v>163</v>
      </c>
      <c r="CF1" s="23" t="s">
        <v>164</v>
      </c>
      <c r="CG1" s="23" t="s">
        <v>165</v>
      </c>
      <c r="CH1" s="23" t="s">
        <v>166</v>
      </c>
      <c r="CI1" s="23" t="s">
        <v>167</v>
      </c>
      <c r="CJ1" s="23" t="s">
        <v>168</v>
      </c>
      <c r="CK1" s="23" t="s">
        <v>169</v>
      </c>
      <c r="CL1" s="23" t="s">
        <v>170</v>
      </c>
      <c r="CM1" s="23" t="s">
        <v>822</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829</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1285</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1291</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1295</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1340</v>
      </c>
      <c r="CJ47" t="s">
        <v>16</v>
      </c>
    </row>
    <row r="48" spans="1:88" ht="37.5" outlineLevel="1" x14ac:dyDescent="0.4">
      <c r="A48" s="48" t="s">
        <v>1290</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1298</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1300</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1342</v>
      </c>
      <c r="CJ50" t="s">
        <v>16</v>
      </c>
    </row>
    <row r="51" spans="1:88" ht="37.5" outlineLevel="1" x14ac:dyDescent="0.4">
      <c r="A51" s="48" t="s">
        <v>1303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1305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1344</v>
      </c>
      <c r="CJ52" t="s">
        <v>16</v>
      </c>
    </row>
    <row r="53" spans="1:88" ht="37.5" outlineLevel="1" x14ac:dyDescent="0.4">
      <c r="A53" s="48" t="s">
        <v>1308</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1343</v>
      </c>
      <c r="CJ53" t="s">
        <v>16</v>
      </c>
    </row>
    <row r="54" spans="1:88" ht="37.5" outlineLevel="1" x14ac:dyDescent="0.4">
      <c r="A54" s="48" t="s">
        <v>1311</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1343</v>
      </c>
      <c r="CJ54" t="s">
        <v>16</v>
      </c>
    </row>
    <row r="55" spans="1:88" ht="37.5" outlineLevel="1" x14ac:dyDescent="0.4">
      <c r="A55" s="48" t="s">
        <v>1314</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1345</v>
      </c>
      <c r="CF55" t="s">
        <v>1346</v>
      </c>
    </row>
    <row r="56" spans="1:88" ht="37.5" outlineLevel="1" x14ac:dyDescent="0.4">
      <c r="A56" s="48" t="s">
        <v>1317</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1341</v>
      </c>
      <c r="CJ56" t="s">
        <v>16</v>
      </c>
    </row>
    <row r="57" spans="1:88" ht="37.5" outlineLevel="1" x14ac:dyDescent="0.4">
      <c r="A57" s="48" t="s">
        <v>1564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 </v>
      </c>
      <c r="I57" t="s">
        <v>103</v>
      </c>
      <c r="L57" s="17">
        <v>35</v>
      </c>
      <c r="CB57">
        <v>1</v>
      </c>
      <c r="CF57" t="s">
        <v>1846</v>
      </c>
    </row>
    <row r="58" spans="1:88" ht="37.5" outlineLevel="1" x14ac:dyDescent="0.4">
      <c r="A58" s="48" t="s">
        <v>1563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v>
      </c>
      <c r="I58" t="s">
        <v>103</v>
      </c>
      <c r="L58" s="17">
        <v>75</v>
      </c>
      <c r="CB58">
        <v>1</v>
      </c>
      <c r="CF58" t="s">
        <v>1847</v>
      </c>
    </row>
    <row r="59" spans="1:88" ht="37.5" outlineLevel="1" x14ac:dyDescent="0.4">
      <c r="A59" s="48" t="s">
        <v>1565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 待機時間1t</v>
      </c>
      <c r="I59" t="s">
        <v>103</v>
      </c>
      <c r="L59" s="17">
        <v>100</v>
      </c>
      <c r="CB59">
        <v>2</v>
      </c>
      <c r="CF59" t="s">
        <v>1848</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340</v>
      </c>
      <c r="B1" s="17" t="s">
        <v>81</v>
      </c>
      <c r="C1" t="s">
        <v>1826</v>
      </c>
    </row>
    <row r="2" spans="1:3" x14ac:dyDescent="0.4">
      <c r="A2" t="s">
        <v>329</v>
      </c>
      <c r="B2" s="17" t="s">
        <v>341</v>
      </c>
      <c r="C2" t="s">
        <v>1827</v>
      </c>
    </row>
    <row r="3" spans="1:3" x14ac:dyDescent="0.4">
      <c r="A3" t="s">
        <v>330</v>
      </c>
      <c r="B3" s="17" t="s">
        <v>342</v>
      </c>
      <c r="C3" t="s">
        <v>1828</v>
      </c>
    </row>
    <row r="4" spans="1:3" x14ac:dyDescent="0.4">
      <c r="A4" t="s">
        <v>331</v>
      </c>
      <c r="B4" s="17" t="s">
        <v>343</v>
      </c>
      <c r="C4" t="s">
        <v>1829</v>
      </c>
    </row>
    <row r="5" spans="1:3" x14ac:dyDescent="0.4">
      <c r="A5" t="s">
        <v>332</v>
      </c>
      <c r="B5" s="17" t="s">
        <v>346</v>
      </c>
      <c r="C5" t="s">
        <v>1830</v>
      </c>
    </row>
    <row r="6" spans="1:3" ht="37.5" x14ac:dyDescent="0.4">
      <c r="A6" t="s">
        <v>333</v>
      </c>
      <c r="B6" s="17" t="s">
        <v>347</v>
      </c>
      <c r="C6" t="s">
        <v>1831</v>
      </c>
    </row>
    <row r="7" spans="1:3" x14ac:dyDescent="0.4">
      <c r="A7" t="s">
        <v>334</v>
      </c>
      <c r="B7" s="17" t="s">
        <v>348</v>
      </c>
      <c r="C7" t="s">
        <v>1832</v>
      </c>
    </row>
    <row r="8" spans="1:3" x14ac:dyDescent="0.4">
      <c r="A8" t="s">
        <v>349</v>
      </c>
      <c r="B8" s="17" t="s">
        <v>350</v>
      </c>
      <c r="C8" t="s">
        <v>1828</v>
      </c>
    </row>
    <row r="9" spans="1:3" x14ac:dyDescent="0.4">
      <c r="A9" t="s">
        <v>1235</v>
      </c>
      <c r="B9" s="17" t="s">
        <v>345</v>
      </c>
      <c r="C9" t="s">
        <v>1833</v>
      </c>
    </row>
    <row r="11" spans="1:3" x14ac:dyDescent="0.4">
      <c r="A11" t="s">
        <v>336</v>
      </c>
      <c r="C11" t="s">
        <v>1833</v>
      </c>
    </row>
    <row r="12" spans="1:3" x14ac:dyDescent="0.4">
      <c r="A12" t="s">
        <v>337</v>
      </c>
      <c r="C12" t="s">
        <v>1833</v>
      </c>
    </row>
    <row r="13" spans="1:3" x14ac:dyDescent="0.4">
      <c r="A13" t="s">
        <v>338</v>
      </c>
      <c r="C13" t="s">
        <v>1833</v>
      </c>
    </row>
    <row r="14" spans="1:3" x14ac:dyDescent="0.4">
      <c r="A14" t="s">
        <v>339</v>
      </c>
      <c r="C14" t="s">
        <v>1833</v>
      </c>
    </row>
    <row r="15" spans="1:3" x14ac:dyDescent="0.4">
      <c r="A15" t="s">
        <v>319</v>
      </c>
      <c r="B15" s="17" t="s">
        <v>1834</v>
      </c>
      <c r="C15" t="s">
        <v>1829</v>
      </c>
    </row>
    <row r="16" spans="1:3" x14ac:dyDescent="0.4">
      <c r="A16" t="s">
        <v>1340</v>
      </c>
      <c r="B16" s="17" t="s">
        <v>1835</v>
      </c>
      <c r="C16" t="s">
        <v>1829</v>
      </c>
    </row>
    <row r="17" spans="1:3" x14ac:dyDescent="0.4">
      <c r="A17" t="s">
        <v>1344</v>
      </c>
      <c r="B17" s="17" t="s">
        <v>1836</v>
      </c>
      <c r="C17" t="s">
        <v>1828</v>
      </c>
    </row>
    <row r="18" spans="1:3" x14ac:dyDescent="0.4">
      <c r="A18" t="s">
        <v>1343</v>
      </c>
      <c r="B18" s="17" t="s">
        <v>1837</v>
      </c>
      <c r="C18" t="s">
        <v>1830</v>
      </c>
    </row>
    <row r="19" spans="1:3" x14ac:dyDescent="0.4">
      <c r="A19" t="s">
        <v>1345</v>
      </c>
      <c r="B19" s="17" t="s">
        <v>1838</v>
      </c>
      <c r="C19" t="s">
        <v>1830</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S31"/>
  <sheetViews>
    <sheetView workbookViewId="0">
      <pane xSplit="2" ySplit="1" topLeftCell="AD4" activePane="bottomRight" state="frozen"/>
      <selection pane="topRight" activeCell="C1" sqref="C1"/>
      <selection pane="bottomLeft" activeCell="A2" sqref="A2"/>
      <selection pane="bottomRight" activeCell="AH17" sqref="AH17"/>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 min="62" max="69" width="10.625" customWidth="1"/>
    <col min="70" max="70" width="14.625" customWidth="1"/>
    <col min="71" max="71" width="11.625" customWidth="1"/>
  </cols>
  <sheetData>
    <row r="1" spans="1:71" s="47" customFormat="1" ht="34.5" customHeight="1" x14ac:dyDescent="0.4">
      <c r="A1" s="46" t="s">
        <v>476</v>
      </c>
      <c r="B1" s="46" t="s">
        <v>658</v>
      </c>
      <c r="C1" s="47" t="s">
        <v>954</v>
      </c>
      <c r="D1" s="47" t="s">
        <v>500</v>
      </c>
      <c r="E1" s="47" t="s">
        <v>1242</v>
      </c>
      <c r="F1" s="47" t="s">
        <v>1243</v>
      </c>
      <c r="G1" s="47" t="s">
        <v>975</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1233</v>
      </c>
      <c r="AF1" s="22" t="s">
        <v>1234</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997</v>
      </c>
      <c r="BB1" s="29" t="s">
        <v>6</v>
      </c>
      <c r="BD1" s="17" t="s">
        <v>1199</v>
      </c>
      <c r="BE1" s="17" t="s">
        <v>1200</v>
      </c>
      <c r="BF1" s="17" t="s">
        <v>1201</v>
      </c>
      <c r="BG1" s="17" t="s">
        <v>215</v>
      </c>
      <c r="BH1" t="s">
        <v>1174</v>
      </c>
      <c r="BI1" t="s">
        <v>1021</v>
      </c>
      <c r="BJ1" s="46" t="s">
        <v>1571</v>
      </c>
      <c r="BK1" s="46" t="s">
        <v>1572</v>
      </c>
      <c r="BL1" s="46" t="s">
        <v>1573</v>
      </c>
      <c r="BM1" s="46" t="s">
        <v>1574</v>
      </c>
      <c r="BN1" s="46" t="s">
        <v>1575</v>
      </c>
      <c r="BO1" s="46" t="s">
        <v>1576</v>
      </c>
      <c r="BP1" s="46" t="s">
        <v>1577</v>
      </c>
      <c r="BQ1" s="46" t="s">
        <v>1578</v>
      </c>
      <c r="BR1" s="46" t="s">
        <v>1579</v>
      </c>
      <c r="BS1" s="46" t="s">
        <v>1580</v>
      </c>
    </row>
    <row r="2" spans="1:71" ht="27" x14ac:dyDescent="0.4">
      <c r="A2" s="48" t="s">
        <v>501</v>
      </c>
      <c r="B2" s="46" t="s">
        <v>754</v>
      </c>
      <c r="C2" s="39">
        <v>0.2</v>
      </c>
      <c r="D2">
        <v>1</v>
      </c>
      <c r="E2">
        <v>1</v>
      </c>
      <c r="F2" t="s">
        <v>1244</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1688</v>
      </c>
      <c r="BM2">
        <v>26</v>
      </c>
      <c r="BN2" t="s">
        <v>1689</v>
      </c>
      <c r="BO2" t="s">
        <v>1690</v>
      </c>
    </row>
    <row r="3" spans="1:71" ht="27" x14ac:dyDescent="0.4">
      <c r="A3" s="48" t="s">
        <v>502</v>
      </c>
      <c r="B3" s="46" t="s">
        <v>949</v>
      </c>
      <c r="C3" s="39">
        <v>0.6</v>
      </c>
      <c r="D3">
        <v>3</v>
      </c>
      <c r="E3">
        <v>2</v>
      </c>
      <c r="F3" t="s">
        <v>1244</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1691</v>
      </c>
      <c r="BM3">
        <v>18</v>
      </c>
      <c r="BN3" t="s">
        <v>1692</v>
      </c>
      <c r="BO3" t="s">
        <v>1690</v>
      </c>
    </row>
    <row r="4" spans="1:71" ht="27" x14ac:dyDescent="0.4">
      <c r="A4" s="48" t="s">
        <v>504</v>
      </c>
      <c r="B4" s="46" t="s">
        <v>769</v>
      </c>
      <c r="C4" s="39">
        <v>0.5</v>
      </c>
      <c r="D4">
        <v>3</v>
      </c>
      <c r="E4">
        <v>2</v>
      </c>
      <c r="F4" t="s">
        <v>1244</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1693</v>
      </c>
      <c r="BM4">
        <v>12</v>
      </c>
      <c r="BN4" t="s">
        <v>1694</v>
      </c>
      <c r="BO4" t="s">
        <v>1690</v>
      </c>
      <c r="BQ4" t="s">
        <v>1694</v>
      </c>
    </row>
    <row r="5" spans="1:71" ht="27" x14ac:dyDescent="0.4">
      <c r="A5" s="48" t="s">
        <v>503</v>
      </c>
      <c r="B5" s="46" t="s">
        <v>768</v>
      </c>
      <c r="C5" s="39">
        <v>0.8</v>
      </c>
      <c r="D5">
        <v>5</v>
      </c>
      <c r="E5">
        <v>2</v>
      </c>
      <c r="F5" t="s">
        <v>1244</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1695</v>
      </c>
      <c r="BM5">
        <v>10</v>
      </c>
      <c r="BN5" t="s">
        <v>1696</v>
      </c>
      <c r="BO5" t="s">
        <v>1690</v>
      </c>
      <c r="BP5">
        <v>0.2</v>
      </c>
      <c r="BQ5" t="s">
        <v>1696</v>
      </c>
    </row>
    <row r="6" spans="1:71" ht="27" x14ac:dyDescent="0.4">
      <c r="A6" s="48" t="s">
        <v>506</v>
      </c>
      <c r="B6" s="46" t="s">
        <v>756</v>
      </c>
      <c r="C6" s="39">
        <v>0.5</v>
      </c>
      <c r="D6">
        <v>2</v>
      </c>
      <c r="E6">
        <v>1</v>
      </c>
      <c r="F6" t="s">
        <v>1839</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1697</v>
      </c>
      <c r="BM6">
        <v>8</v>
      </c>
      <c r="BN6" t="s">
        <v>1698</v>
      </c>
      <c r="BO6" t="s">
        <v>1690</v>
      </c>
    </row>
    <row r="7" spans="1:71" ht="27" x14ac:dyDescent="0.4">
      <c r="A7" s="48" t="s">
        <v>1247</v>
      </c>
      <c r="B7" s="46" t="s">
        <v>755</v>
      </c>
      <c r="C7" s="39">
        <v>0.4</v>
      </c>
      <c r="D7">
        <v>2</v>
      </c>
      <c r="E7">
        <v>1</v>
      </c>
      <c r="F7" t="s">
        <v>1244</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1699</v>
      </c>
      <c r="BM7">
        <v>10</v>
      </c>
      <c r="BN7" t="s">
        <v>1700</v>
      </c>
      <c r="BO7" t="s">
        <v>1690</v>
      </c>
      <c r="BQ7" t="s">
        <v>1701</v>
      </c>
    </row>
    <row r="8" spans="1:71" ht="27" x14ac:dyDescent="0.4">
      <c r="A8" s="48" t="s">
        <v>1239</v>
      </c>
      <c r="B8" s="46" t="s">
        <v>1240</v>
      </c>
      <c r="C8" s="39">
        <v>0.4</v>
      </c>
      <c r="D8">
        <v>2</v>
      </c>
      <c r="E8">
        <v>4</v>
      </c>
      <c r="F8" t="s">
        <v>1244</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1" ht="27" x14ac:dyDescent="0.4">
      <c r="A9" s="48" t="s">
        <v>507</v>
      </c>
      <c r="B9" s="46" t="s">
        <v>757</v>
      </c>
      <c r="C9" s="39">
        <v>0.75</v>
      </c>
      <c r="D9">
        <v>4</v>
      </c>
      <c r="E9">
        <v>2</v>
      </c>
      <c r="F9" t="s">
        <v>1245</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1702</v>
      </c>
      <c r="BM9">
        <v>7</v>
      </c>
      <c r="BN9" t="s">
        <v>1703</v>
      </c>
    </row>
    <row r="10" spans="1:71" ht="27" x14ac:dyDescent="0.4">
      <c r="A10" s="48" t="s">
        <v>1236</v>
      </c>
      <c r="B10" s="46" t="s">
        <v>1237</v>
      </c>
      <c r="C10" s="39">
        <v>0.3</v>
      </c>
      <c r="D10">
        <v>1</v>
      </c>
      <c r="E10">
        <v>1</v>
      </c>
      <c r="F10" t="s">
        <v>1244</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1704</v>
      </c>
      <c r="BM10">
        <v>12</v>
      </c>
      <c r="BN10" t="s">
        <v>1705</v>
      </c>
      <c r="BO10" t="s">
        <v>1690</v>
      </c>
      <c r="BQ10" t="s">
        <v>1705</v>
      </c>
    </row>
    <row r="11" spans="1:71" ht="27" x14ac:dyDescent="0.4">
      <c r="A11" s="48" t="s">
        <v>508</v>
      </c>
      <c r="B11" s="46" t="s">
        <v>758</v>
      </c>
      <c r="C11" s="39">
        <v>0.5</v>
      </c>
      <c r="D11">
        <v>4</v>
      </c>
      <c r="E11">
        <v>2</v>
      </c>
      <c r="F11" t="s">
        <v>1244</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1706</v>
      </c>
      <c r="BM11">
        <v>7</v>
      </c>
      <c r="BN11" t="s">
        <v>1707</v>
      </c>
      <c r="BO11" t="s">
        <v>1690</v>
      </c>
    </row>
    <row r="12" spans="1:71" ht="27" x14ac:dyDescent="0.4">
      <c r="A12" s="48" t="s">
        <v>509</v>
      </c>
      <c r="B12" s="46" t="s">
        <v>759</v>
      </c>
      <c r="C12" s="39">
        <v>0.65</v>
      </c>
      <c r="D12">
        <v>4</v>
      </c>
      <c r="E12">
        <v>3</v>
      </c>
      <c r="F12" t="s">
        <v>1244</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1708</v>
      </c>
      <c r="BQ12" t="s">
        <v>1709</v>
      </c>
    </row>
    <row r="13" spans="1:71" ht="27" x14ac:dyDescent="0.4">
      <c r="A13" s="48" t="s">
        <v>1241</v>
      </c>
      <c r="B13" s="46" t="s">
        <v>759</v>
      </c>
      <c r="C13" s="39">
        <v>0.65</v>
      </c>
      <c r="D13">
        <v>4</v>
      </c>
      <c r="E13">
        <v>3</v>
      </c>
      <c r="F13" t="s">
        <v>1244</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1" ht="27" x14ac:dyDescent="0.4">
      <c r="A14" s="48" t="s">
        <v>996</v>
      </c>
      <c r="B14" s="46" t="s">
        <v>760</v>
      </c>
      <c r="C14" s="39">
        <v>0.7</v>
      </c>
      <c r="D14">
        <v>5</v>
      </c>
      <c r="E14">
        <v>2</v>
      </c>
      <c r="F14" t="s">
        <v>1246</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1708</v>
      </c>
      <c r="BQ14" t="s">
        <v>1710</v>
      </c>
    </row>
    <row r="15" spans="1:71" ht="27" x14ac:dyDescent="0.4">
      <c r="A15" s="48" t="s">
        <v>511</v>
      </c>
      <c r="B15" s="46" t="s">
        <v>761</v>
      </c>
      <c r="C15" s="39">
        <v>0.9</v>
      </c>
      <c r="D15">
        <v>6</v>
      </c>
      <c r="E15">
        <v>1</v>
      </c>
      <c r="F15" t="s">
        <v>1244</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1708</v>
      </c>
      <c r="BQ15" t="s">
        <v>1711</v>
      </c>
    </row>
    <row r="16" spans="1:71" ht="27" x14ac:dyDescent="0.4">
      <c r="A16" s="48" t="s">
        <v>512</v>
      </c>
      <c r="B16" s="46" t="s">
        <v>762</v>
      </c>
      <c r="C16" s="39">
        <v>0.65</v>
      </c>
      <c r="D16">
        <v>3</v>
      </c>
      <c r="E16">
        <v>1</v>
      </c>
      <c r="F16" t="s">
        <v>1244</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1712</v>
      </c>
      <c r="BM16">
        <v>6</v>
      </c>
      <c r="BN16" t="s">
        <v>1713</v>
      </c>
      <c r="BO16" t="s">
        <v>1690</v>
      </c>
      <c r="BQ16" t="s">
        <v>1713</v>
      </c>
    </row>
    <row r="17" spans="1:71" ht="27" x14ac:dyDescent="0.4">
      <c r="A17" s="48" t="s">
        <v>513</v>
      </c>
      <c r="B17" s="46" t="s">
        <v>1845</v>
      </c>
      <c r="C17" s="39">
        <v>0.95</v>
      </c>
      <c r="D17">
        <v>6</v>
      </c>
      <c r="E17">
        <v>2</v>
      </c>
      <c r="F17" t="s">
        <v>1244</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1714</v>
      </c>
      <c r="BM17">
        <v>4</v>
      </c>
      <c r="BN17" t="s">
        <v>1715</v>
      </c>
      <c r="BO17" t="s">
        <v>1690</v>
      </c>
    </row>
    <row r="18" spans="1:71" ht="27" x14ac:dyDescent="0.4">
      <c r="A18" s="48" t="s">
        <v>742</v>
      </c>
      <c r="B18" s="46" t="s">
        <v>976</v>
      </c>
      <c r="C18" s="39">
        <v>0.9</v>
      </c>
      <c r="D18">
        <v>3</v>
      </c>
      <c r="E18">
        <v>2</v>
      </c>
      <c r="F18" t="s">
        <v>1844</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1716</v>
      </c>
    </row>
    <row r="19" spans="1:71" ht="54" x14ac:dyDescent="0.4">
      <c r="A19" s="48" t="s">
        <v>878</v>
      </c>
      <c r="B19" s="46" t="s">
        <v>879</v>
      </c>
      <c r="C19" s="39">
        <v>0.9</v>
      </c>
      <c r="D19">
        <v>4</v>
      </c>
      <c r="E19">
        <v>0</v>
      </c>
      <c r="F19" t="s">
        <v>1244</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1211</v>
      </c>
      <c r="B21" s="46"/>
      <c r="C21" s="39"/>
      <c r="G21">
        <v>15</v>
      </c>
      <c r="H21">
        <v>15</v>
      </c>
      <c r="V21" s="39"/>
      <c r="W21" s="39"/>
      <c r="X21" s="39"/>
      <c r="Y21" s="39"/>
      <c r="Z21" s="39"/>
      <c r="AA21" s="39"/>
      <c r="AB21" s="39"/>
      <c r="AC21" s="39"/>
      <c r="AK21" s="17"/>
      <c r="AL21" s="17"/>
      <c r="AS21" s="17"/>
      <c r="BE21">
        <v>5</v>
      </c>
      <c r="BG21">
        <v>10</v>
      </c>
    </row>
    <row r="22" spans="1:71" x14ac:dyDescent="0.4">
      <c r="A22" s="48" t="s">
        <v>1212</v>
      </c>
      <c r="B22" s="46"/>
      <c r="C22" s="39">
        <v>0.3</v>
      </c>
      <c r="S22">
        <v>40</v>
      </c>
      <c r="V22" s="39"/>
      <c r="W22" s="39"/>
      <c r="X22" s="39"/>
      <c r="Y22" s="39"/>
      <c r="Z22" s="39"/>
      <c r="AA22" s="39"/>
      <c r="AB22" s="39"/>
      <c r="AC22" s="39"/>
      <c r="AK22" s="17"/>
      <c r="AL22" s="17"/>
      <c r="AS22" s="17"/>
    </row>
    <row r="23" spans="1:71" x14ac:dyDescent="0.4">
      <c r="A23" s="48" t="s">
        <v>1213</v>
      </c>
      <c r="B23" s="46"/>
      <c r="C23" s="39">
        <v>0.15</v>
      </c>
      <c r="T23">
        <v>40</v>
      </c>
      <c r="V23" s="39"/>
      <c r="W23" s="39"/>
      <c r="X23" s="39"/>
      <c r="Y23" s="39"/>
      <c r="Z23" s="39"/>
      <c r="AA23" s="39"/>
      <c r="AB23" s="39"/>
      <c r="AC23" s="39"/>
      <c r="AK23" s="17"/>
      <c r="AL23" s="17"/>
      <c r="AS23" s="17"/>
    </row>
    <row r="24" spans="1:71" x14ac:dyDescent="0.4">
      <c r="A24" s="48" t="s">
        <v>1214</v>
      </c>
      <c r="B24" s="46"/>
      <c r="C24" s="39">
        <v>0.15</v>
      </c>
      <c r="U24">
        <v>40</v>
      </c>
      <c r="V24" s="39"/>
      <c r="W24" s="39"/>
      <c r="X24" s="39"/>
      <c r="Y24" s="39"/>
      <c r="Z24" s="39"/>
      <c r="AA24" s="39"/>
      <c r="AB24" s="39"/>
      <c r="AC24" s="39"/>
      <c r="AK24" s="17"/>
      <c r="AL24" s="17"/>
      <c r="AS24" s="17"/>
    </row>
    <row r="25" spans="1:71" x14ac:dyDescent="0.4">
      <c r="A25" s="48" t="s">
        <v>1215</v>
      </c>
      <c r="B25" s="46"/>
      <c r="C25" s="39">
        <v>0.1</v>
      </c>
      <c r="G25">
        <v>20</v>
      </c>
      <c r="J25">
        <v>10</v>
      </c>
      <c r="V25" s="39"/>
      <c r="W25" s="39"/>
      <c r="X25" s="39"/>
      <c r="Y25" s="39"/>
      <c r="Z25" s="39"/>
      <c r="AA25" s="39">
        <v>0.25</v>
      </c>
      <c r="AB25" s="39">
        <v>0.25</v>
      </c>
      <c r="AC25" s="39"/>
      <c r="AK25" s="17"/>
      <c r="AL25" s="17"/>
      <c r="AS25" s="17"/>
      <c r="BG25">
        <v>5</v>
      </c>
    </row>
    <row r="26" spans="1:71" x14ac:dyDescent="0.4">
      <c r="A26" s="48" t="s">
        <v>1216</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596</v>
      </c>
      <c r="B29" s="50" t="s">
        <v>763</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764</v>
      </c>
      <c r="B30" s="46" t="s">
        <v>765</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766</v>
      </c>
      <c r="B31" s="46" t="s">
        <v>767</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743</v>
      </c>
      <c r="B1" s="10" t="s">
        <v>744</v>
      </c>
      <c r="C1" s="2" t="s">
        <v>873</v>
      </c>
      <c r="D1" s="2" t="s">
        <v>1238</v>
      </c>
      <c r="E1" s="2" t="s">
        <v>858</v>
      </c>
      <c r="F1" s="2" t="s">
        <v>813</v>
      </c>
      <c r="G1" s="51" t="s">
        <v>746</v>
      </c>
      <c r="H1" s="51" t="s">
        <v>745</v>
      </c>
      <c r="I1" s="51" t="s">
        <v>874</v>
      </c>
      <c r="J1" s="10" t="s">
        <v>747</v>
      </c>
      <c r="K1" s="10" t="s">
        <v>315</v>
      </c>
      <c r="L1" s="10" t="s">
        <v>753</v>
      </c>
      <c r="M1" s="10" t="s">
        <v>750</v>
      </c>
      <c r="N1" s="10" t="s">
        <v>751</v>
      </c>
      <c r="O1" s="10" t="s">
        <v>752</v>
      </c>
      <c r="P1" s="10" t="s">
        <v>748</v>
      </c>
      <c r="Q1" s="10" t="s">
        <v>749</v>
      </c>
      <c r="R1" s="10" t="s">
        <v>1124</v>
      </c>
      <c r="S1" s="10" t="s">
        <v>1271</v>
      </c>
      <c r="W1" s="10" t="s">
        <v>1570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501</v>
      </c>
      <c r="B3" s="10" t="s">
        <v>198</v>
      </c>
      <c r="C3" t="str">
        <f>_xlfn.LET(
 _xlpm.dOK,COUNTIF(クラス!A:A,E3)&gt;0,
 _xlpm.eOK,COUNTIF(クラス!A:A,F3)&gt;0,
 IF(_xlpm.dOK,"○","×") &amp; IF(_xlpm.eOK,"○","×")
)</f>
        <v>○×</v>
      </c>
      <c r="D3" t="b">
        <v>1</v>
      </c>
      <c r="E3" t="s">
        <v>199</v>
      </c>
      <c r="G3">
        <v>5</v>
      </c>
      <c r="H3">
        <v>8</v>
      </c>
      <c r="R3" t="s">
        <v>1125</v>
      </c>
      <c r="S3" t="str">
        <f>IFERROR(VLOOKUP(B3,$U:$V,2,FALSE),"")</f>
        <v>鳥系生物の巣</v>
      </c>
      <c r="U3" t="s">
        <v>198</v>
      </c>
      <c r="V3" t="s">
        <v>1249</v>
      </c>
      <c r="W3" t="s">
        <v>1581</v>
      </c>
    </row>
    <row r="4" spans="1:23"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1250</v>
      </c>
      <c r="W4" t="s">
        <v>1582</v>
      </c>
    </row>
    <row r="5" spans="1:23" outlineLevel="1" x14ac:dyDescent="0.4">
      <c r="A5" s="2" t="s">
        <v>501</v>
      </c>
      <c r="B5" s="10" t="s">
        <v>1248</v>
      </c>
      <c r="C5" t="str">
        <f>_xlfn.LET(
 _xlpm.dOK,COUNTIF(クラス!A:A,E5)&gt;0,
 _xlpm.eOK,COUNTIF(クラス!A:A,F5)&gt;0,
 IF(_xlpm.dOK,"○","×") &amp; IF(_xlpm.eOK,"○","×")
)</f>
        <v>××</v>
      </c>
      <c r="S5" t="str">
        <f t="shared" si="0"/>
        <v>虫系の巣</v>
      </c>
      <c r="U5" t="s">
        <v>770</v>
      </c>
      <c r="V5" t="s">
        <v>1251</v>
      </c>
      <c r="W5" t="s">
        <v>1583</v>
      </c>
    </row>
    <row r="6" spans="1:23" outlineLevel="1" x14ac:dyDescent="0.4">
      <c r="A6" s="2" t="s">
        <v>501</v>
      </c>
      <c r="B6" s="10" t="s">
        <v>771</v>
      </c>
      <c r="C6" t="str">
        <f>_xlfn.LET(
 _xlpm.dOK,COUNTIF(クラス!A:A,E6)&gt;0,
 _xlpm.eOK,COUNTIF(クラス!A:A,F6)&gt;0,
 IF(_xlpm.dOK,"○","×") &amp; IF(_xlpm.eOK,"○","×")
)</f>
        <v>××</v>
      </c>
      <c r="S6" t="str">
        <f t="shared" si="0"/>
        <v>地中生物の巣</v>
      </c>
      <c r="U6" t="s">
        <v>771</v>
      </c>
      <c r="V6" t="s">
        <v>1252</v>
      </c>
      <c r="W6" t="s">
        <v>1584</v>
      </c>
    </row>
    <row r="7" spans="1:23" outlineLevel="1" x14ac:dyDescent="0.4">
      <c r="A7" s="2" t="s">
        <v>501</v>
      </c>
      <c r="B7" s="10" t="s">
        <v>772</v>
      </c>
      <c r="C7" t="str">
        <f>_xlfn.LET(
 _xlpm.dOK,COUNTIF(クラス!A:A,E7)&gt;0,
 _xlpm.eOK,COUNTIF(クラス!A:A,F7)&gt;0,
 IF(_xlpm.dOK,"○","×") &amp; IF(_xlpm.eOK,"○","×")
)</f>
        <v>○○</v>
      </c>
      <c r="D7" t="b">
        <v>1</v>
      </c>
      <c r="E7" t="s">
        <v>196</v>
      </c>
      <c r="F7" t="s">
        <v>199</v>
      </c>
      <c r="G7">
        <v>12</v>
      </c>
      <c r="H7">
        <v>15</v>
      </c>
      <c r="R7" t="s">
        <v>772</v>
      </c>
      <c r="S7" t="str">
        <f t="shared" si="0"/>
        <v>肉食生物の巣</v>
      </c>
      <c r="U7" t="s">
        <v>772</v>
      </c>
      <c r="V7" t="s">
        <v>1250</v>
      </c>
      <c r="W7" t="s">
        <v>1585</v>
      </c>
    </row>
    <row r="8" spans="1:23" ht="36" outlineLevel="1" x14ac:dyDescent="0.4">
      <c r="A8" s="2" t="s">
        <v>501</v>
      </c>
      <c r="B8" s="10" t="s">
        <v>1204</v>
      </c>
      <c r="C8" t="str">
        <f>_xlfn.LET(
 _xlpm.dOK,COUNTIF(クラス!A:A,E8)&gt;0,
 _xlpm.eOK,COUNTIF(クラス!A:A,F8)&gt;0,
 IF(_xlpm.dOK,"○","×") &amp; IF(_xlpm.eOK,"○","×")
)</f>
        <v>○○</v>
      </c>
      <c r="E8" t="s">
        <v>194</v>
      </c>
      <c r="F8" t="s">
        <v>206</v>
      </c>
      <c r="G8">
        <v>12</v>
      </c>
      <c r="H8">
        <v>15</v>
      </c>
      <c r="R8" t="s">
        <v>1204</v>
      </c>
      <c r="S8" t="str">
        <f t="shared" si="0"/>
        <v>肉食生物の巣</v>
      </c>
      <c r="U8" t="s">
        <v>1225</v>
      </c>
      <c r="V8" t="s">
        <v>1250</v>
      </c>
      <c r="W8" t="s">
        <v>1586</v>
      </c>
    </row>
    <row r="9" spans="1:23" outlineLevel="1" x14ac:dyDescent="0.4">
      <c r="A9" s="2" t="s">
        <v>501</v>
      </c>
      <c r="B9" s="10" t="s">
        <v>776</v>
      </c>
      <c r="C9" t="str">
        <f>_xlfn.LET(
 _xlpm.dOK,COUNTIF(クラス!A:A,E9)&gt;0,
 _xlpm.eOK,COUNTIF(クラス!A:A,F9)&gt;0,
 IF(_xlpm.dOK,"○","×") &amp; IF(_xlpm.eOK,"○","×")
)</f>
        <v>○×</v>
      </c>
      <c r="D9" t="b">
        <v>1</v>
      </c>
      <c r="E9" t="s">
        <v>857</v>
      </c>
      <c r="G9">
        <v>15</v>
      </c>
      <c r="H9">
        <v>20</v>
      </c>
      <c r="R9" t="s">
        <v>857</v>
      </c>
      <c r="S9" t="str">
        <f t="shared" si="0"/>
        <v>飛竜の巣</v>
      </c>
      <c r="U9" t="s">
        <v>776</v>
      </c>
      <c r="V9" t="s">
        <v>1253</v>
      </c>
      <c r="W9" t="s">
        <v>1587</v>
      </c>
    </row>
    <row r="10" spans="1:23" outlineLevel="1" x14ac:dyDescent="0.4">
      <c r="C10" t="str">
        <f>_xlfn.LET(
 _xlpm.dOK,COUNTIF(クラス!A:A,E10)&gt;0,
 _xlpm.eOK,COUNTIF(クラス!A:A,F10)&gt;0,
 IF(_xlpm.dOK,"○","×") &amp; IF(_xlpm.eOK,"○","×")
)</f>
        <v>××</v>
      </c>
      <c r="S10" t="str">
        <f t="shared" si="0"/>
        <v/>
      </c>
    </row>
    <row r="11" spans="1:23" outlineLevel="1" x14ac:dyDescent="0.4">
      <c r="A11" s="2" t="s">
        <v>1236</v>
      </c>
      <c r="B11" s="10" t="s">
        <v>194</v>
      </c>
      <c r="C11" t="str">
        <f>_xlfn.LET(
 _xlpm.dOK,COUNTIF(クラス!A:A,E11)&gt;0,
 _xlpm.eOK,COUNTIF(クラス!A:A,F11)&gt;0,
 IF(_xlpm.dOK,"○","×") &amp; IF(_xlpm.eOK,"○","×")
)</f>
        <v>○×</v>
      </c>
      <c r="D11" t="b">
        <v>1</v>
      </c>
      <c r="E11" t="s">
        <v>194</v>
      </c>
      <c r="G11">
        <v>5</v>
      </c>
      <c r="H11">
        <v>8</v>
      </c>
      <c r="R11" t="s">
        <v>1126</v>
      </c>
      <c r="S11" t="str">
        <f t="shared" si="0"/>
        <v>肉食生物の巣</v>
      </c>
      <c r="U11" t="s">
        <v>124</v>
      </c>
      <c r="V11" t="s">
        <v>1250</v>
      </c>
      <c r="W11" t="s">
        <v>1588</v>
      </c>
    </row>
    <row r="12" spans="1:23" outlineLevel="1" x14ac:dyDescent="0.4">
      <c r="A12" s="2" t="s">
        <v>1236</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1250</v>
      </c>
      <c r="W12" t="s">
        <v>1589</v>
      </c>
    </row>
    <row r="13" spans="1:23" outlineLevel="1" x14ac:dyDescent="0.4">
      <c r="A13" s="2" t="s">
        <v>1236</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1250</v>
      </c>
      <c r="W13" t="s">
        <v>1590</v>
      </c>
    </row>
    <row r="14" spans="1:23" outlineLevel="1" x14ac:dyDescent="0.4">
      <c r="A14" s="2" t="s">
        <v>1236</v>
      </c>
      <c r="B14" s="10" t="s">
        <v>800</v>
      </c>
      <c r="C14" t="str">
        <f>_xlfn.LET(
 _xlpm.dOK,COUNTIF(クラス!A:A,E14)&gt;0,
 _xlpm.eOK,COUNTIF(クラス!A:A,F14)&gt;0,
 IF(_xlpm.dOK,"○","×") &amp; IF(_xlpm.eOK,"○","×")
)</f>
        <v>○×</v>
      </c>
      <c r="E14" t="s">
        <v>195</v>
      </c>
      <c r="G14">
        <v>8</v>
      </c>
      <c r="H14">
        <v>12</v>
      </c>
      <c r="S14" t="str">
        <f t="shared" si="0"/>
        <v>地中生物の巣</v>
      </c>
      <c r="U14" t="s">
        <v>800</v>
      </c>
      <c r="V14" t="s">
        <v>1252</v>
      </c>
      <c r="W14" t="s">
        <v>1591</v>
      </c>
    </row>
    <row r="15" spans="1:23" outlineLevel="1" x14ac:dyDescent="0.4">
      <c r="A15" s="2" t="s">
        <v>1236</v>
      </c>
      <c r="B15" s="10" t="s">
        <v>772</v>
      </c>
      <c r="C15" t="str">
        <f>_xlfn.LET(
 _xlpm.dOK,COUNTIF(クラス!A:A,E15)&gt;0,
 _xlpm.eOK,COUNTIF(クラス!A:A,F15)&gt;0,
 IF(_xlpm.dOK,"○","×") &amp; IF(_xlpm.eOK,"○","×")
)</f>
        <v>○○</v>
      </c>
      <c r="D15" t="b">
        <v>1</v>
      </c>
      <c r="E15" t="s">
        <v>196</v>
      </c>
      <c r="F15" t="s">
        <v>199</v>
      </c>
      <c r="G15">
        <v>12</v>
      </c>
      <c r="H15">
        <v>15</v>
      </c>
      <c r="R15" t="s">
        <v>772</v>
      </c>
      <c r="S15" t="str">
        <f t="shared" si="0"/>
        <v>肉食生物の巣</v>
      </c>
      <c r="U15" t="s">
        <v>772</v>
      </c>
      <c r="V15" t="s">
        <v>1250</v>
      </c>
      <c r="W15" t="s">
        <v>1592</v>
      </c>
    </row>
    <row r="16" spans="1:23" ht="36" outlineLevel="1" x14ac:dyDescent="0.4">
      <c r="A16" s="2" t="s">
        <v>1236</v>
      </c>
      <c r="B16" s="10" t="s">
        <v>1204</v>
      </c>
      <c r="C16" t="str">
        <f>_xlfn.LET(
 _xlpm.dOK,COUNTIF(クラス!A:A,E16)&gt;0,
 _xlpm.eOK,COUNTIF(クラス!A:A,F16)&gt;0,
 IF(_xlpm.dOK,"○","×") &amp; IF(_xlpm.eOK,"○","×")
)</f>
        <v>○○</v>
      </c>
      <c r="E16" t="s">
        <v>194</v>
      </c>
      <c r="F16" t="s">
        <v>206</v>
      </c>
      <c r="G16">
        <v>12</v>
      </c>
      <c r="H16">
        <v>15</v>
      </c>
      <c r="R16" t="s">
        <v>1225</v>
      </c>
      <c r="S16" t="str">
        <f t="shared" si="0"/>
        <v>肉食生物の巣</v>
      </c>
      <c r="U16" t="s">
        <v>1225</v>
      </c>
      <c r="V16" t="s">
        <v>1250</v>
      </c>
      <c r="W16" t="s">
        <v>1593</v>
      </c>
    </row>
    <row r="17" spans="1:23" outlineLevel="1" x14ac:dyDescent="0.4">
      <c r="A17" s="2" t="s">
        <v>1236</v>
      </c>
      <c r="B17" s="10" t="s">
        <v>857</v>
      </c>
      <c r="C17" t="str">
        <f>_xlfn.LET(
 _xlpm.dOK,COUNTIF(クラス!A:A,E17)&gt;0,
 _xlpm.eOK,COUNTIF(クラス!A:A,F17)&gt;0,
 IF(_xlpm.dOK,"○","×") &amp; IF(_xlpm.eOK,"○","×")
)</f>
        <v>○×</v>
      </c>
      <c r="D17" t="b">
        <v>1</v>
      </c>
      <c r="E17" t="s">
        <v>857</v>
      </c>
      <c r="G17">
        <v>15</v>
      </c>
      <c r="H17">
        <v>20</v>
      </c>
      <c r="R17" t="s">
        <v>857</v>
      </c>
      <c r="S17" t="str">
        <f t="shared" si="0"/>
        <v>飛竜の巣</v>
      </c>
      <c r="U17" t="s">
        <v>776</v>
      </c>
      <c r="V17" t="s">
        <v>1253</v>
      </c>
      <c r="W17" t="s">
        <v>1594</v>
      </c>
    </row>
    <row r="18" spans="1:23" outlineLevel="1" x14ac:dyDescent="0.4">
      <c r="C18" t="str">
        <f>_xlfn.LET(
 _xlpm.dOK,COUNTIF(クラス!A:A,E18)&gt;0,
 _xlpm.eOK,COUNTIF(クラス!A:A,F18)&gt;0,
 IF(_xlpm.dOK,"○","×") &amp; IF(_xlpm.eOK,"○","×")
)</f>
        <v>××</v>
      </c>
      <c r="S18" t="str">
        <f t="shared" si="0"/>
        <v/>
      </c>
    </row>
    <row r="19" spans="1:23" outlineLevel="1" x14ac:dyDescent="0.4">
      <c r="A19" s="2" t="s">
        <v>508</v>
      </c>
      <c r="B19" s="10" t="s">
        <v>793</v>
      </c>
      <c r="C19" t="str">
        <f>_xlfn.LET(
 _xlpm.dOK,COUNTIF(クラス!A:A,E19)&gt;0,
 _xlpm.eOK,COUNTIF(クラス!A:A,F19)&gt;0,
 IF(_xlpm.dOK,"○","×") &amp; IF(_xlpm.eOK,"○","×")
)</f>
        <v>××</v>
      </c>
      <c r="S19" t="str">
        <f t="shared" si="0"/>
        <v>死霊の巣</v>
      </c>
      <c r="U19" t="s">
        <v>793</v>
      </c>
      <c r="V19" t="s">
        <v>1254</v>
      </c>
      <c r="W19" t="s">
        <v>1595</v>
      </c>
    </row>
    <row r="20" spans="1:23" outlineLevel="1" x14ac:dyDescent="0.4">
      <c r="A20" s="2" t="s">
        <v>508</v>
      </c>
      <c r="B20" s="10" t="s">
        <v>794</v>
      </c>
      <c r="C20" t="str">
        <f>_xlfn.LET(
 _xlpm.dOK,COUNTIF(クラス!A:A,E20)&gt;0,
 _xlpm.eOK,COUNTIF(クラス!A:A,F20)&gt;0,
 IF(_xlpm.dOK,"○","×") &amp; IF(_xlpm.eOK,"○","×")
)</f>
        <v>××</v>
      </c>
      <c r="S20" t="str">
        <f t="shared" si="0"/>
        <v>毒生成物の巣</v>
      </c>
      <c r="U20" t="s">
        <v>794</v>
      </c>
      <c r="V20" t="s">
        <v>1255</v>
      </c>
      <c r="W20" t="s">
        <v>1596</v>
      </c>
    </row>
    <row r="21" spans="1:23" outlineLevel="1" x14ac:dyDescent="0.4">
      <c r="A21" s="2" t="s">
        <v>508</v>
      </c>
      <c r="B21" s="10" t="s">
        <v>795</v>
      </c>
      <c r="C21" t="str">
        <f>_xlfn.LET(
 _xlpm.dOK,COUNTIF(クラス!A:A,E21)&gt;0,
 _xlpm.eOK,COUNTIF(クラス!A:A,F21)&gt;0,
 IF(_xlpm.dOK,"○","×") &amp; IF(_xlpm.eOK,"○","×")
)</f>
        <v>××</v>
      </c>
      <c r="S21" t="str">
        <f t="shared" si="0"/>
        <v>飛竜の巣</v>
      </c>
      <c r="U21" t="s">
        <v>795</v>
      </c>
      <c r="V21" t="s">
        <v>1253</v>
      </c>
      <c r="W21" t="s">
        <v>1597</v>
      </c>
    </row>
    <row r="22" spans="1:23" outlineLevel="1" x14ac:dyDescent="0.4">
      <c r="A22" s="2" t="s">
        <v>508</v>
      </c>
      <c r="B22" s="10" t="s">
        <v>796</v>
      </c>
      <c r="C22" t="str">
        <f>_xlfn.LET(
 _xlpm.dOK,COUNTIF(クラス!A:A,E22)&gt;0,
 _xlpm.eOK,COUNTIF(クラス!A:A,F22)&gt;0,
 IF(_xlpm.dOK,"○","×") &amp; IF(_xlpm.eOK,"○","×")
)</f>
        <v>××</v>
      </c>
      <c r="R22" t="s">
        <v>796</v>
      </c>
      <c r="S22" t="str">
        <f t="shared" si="0"/>
        <v>地中生物の巣</v>
      </c>
      <c r="U22" t="s">
        <v>796</v>
      </c>
      <c r="V22" t="s">
        <v>1252</v>
      </c>
      <c r="W22" t="s">
        <v>1598</v>
      </c>
    </row>
    <row r="23" spans="1:23" ht="36" outlineLevel="1" x14ac:dyDescent="0.4">
      <c r="A23" s="2" t="s">
        <v>508</v>
      </c>
      <c r="B23" s="10" t="s">
        <v>797</v>
      </c>
      <c r="C23" t="str">
        <f>_xlfn.LET(
 _xlpm.dOK,COUNTIF(クラス!A:A,E23)&gt;0,
 _xlpm.eOK,COUNTIF(クラス!A:A,F23)&gt;0,
 IF(_xlpm.dOK,"○","×") &amp; IF(_xlpm.eOK,"○","×")
)</f>
        <v>××</v>
      </c>
      <c r="R23" t="s">
        <v>1226</v>
      </c>
      <c r="S23" t="str">
        <f t="shared" si="0"/>
        <v>虫系の巣</v>
      </c>
      <c r="U23" t="s">
        <v>797</v>
      </c>
      <c r="V23" t="s">
        <v>1251</v>
      </c>
      <c r="W23" t="s">
        <v>1599</v>
      </c>
    </row>
    <row r="24" spans="1:23" outlineLevel="1" x14ac:dyDescent="0.4">
      <c r="A24" s="2" t="s">
        <v>508</v>
      </c>
      <c r="B24" s="10" t="s">
        <v>798</v>
      </c>
      <c r="C24" t="str">
        <f>_xlfn.LET(
 _xlpm.dOK,COUNTIF(クラス!A:A,E24)&gt;0,
 _xlpm.eOK,COUNTIF(クラス!A:A,F24)&gt;0,
 IF(_xlpm.dOK,"○","×") &amp; IF(_xlpm.eOK,"○","×")
)</f>
        <v>××</v>
      </c>
      <c r="S24" t="str">
        <f t="shared" si="0"/>
        <v>肉食生物の巣</v>
      </c>
      <c r="U24" t="s">
        <v>798</v>
      </c>
      <c r="V24" t="s">
        <v>1250</v>
      </c>
      <c r="W24" t="s">
        <v>1600</v>
      </c>
    </row>
    <row r="25" spans="1:23" ht="36" outlineLevel="1" x14ac:dyDescent="0.4">
      <c r="A25" s="2" t="s">
        <v>508</v>
      </c>
      <c r="B25" s="10" t="s">
        <v>799</v>
      </c>
      <c r="C25" t="str">
        <f>_xlfn.LET(
 _xlpm.dOK,COUNTIF(クラス!A:A,E25)&gt;0,
 _xlpm.eOK,COUNTIF(クラス!A:A,F25)&gt;0,
 IF(_xlpm.dOK,"○","×") &amp; IF(_xlpm.eOK,"○","×")
)</f>
        <v>××</v>
      </c>
      <c r="S25" t="str">
        <f t="shared" si="0"/>
        <v>土の輪</v>
      </c>
      <c r="U25" t="s">
        <v>799</v>
      </c>
      <c r="V25" t="s">
        <v>1256</v>
      </c>
      <c r="W25" t="s">
        <v>1601</v>
      </c>
    </row>
    <row r="26" spans="1:23" outlineLevel="1" x14ac:dyDescent="0.4">
      <c r="A26" s="2" t="s">
        <v>508</v>
      </c>
      <c r="B26" s="10" t="s">
        <v>800</v>
      </c>
      <c r="C26" t="str">
        <f>_xlfn.LET(
 _xlpm.dOK,COUNTIF(クラス!A:A,E26)&gt;0,
 _xlpm.eOK,COUNTIF(クラス!A:A,F26)&gt;0,
 IF(_xlpm.dOK,"○","×") &amp; IF(_xlpm.eOK,"○","×")
)</f>
        <v>××</v>
      </c>
      <c r="R26" t="s">
        <v>800</v>
      </c>
      <c r="S26" t="str">
        <f t="shared" si="0"/>
        <v>地中生物の巣</v>
      </c>
      <c r="U26" t="s">
        <v>800</v>
      </c>
      <c r="V26" t="s">
        <v>1252</v>
      </c>
      <c r="W26" t="s">
        <v>1602</v>
      </c>
    </row>
    <row r="27" spans="1:23" outlineLevel="1" x14ac:dyDescent="0.4">
      <c r="A27" s="2" t="s">
        <v>508</v>
      </c>
      <c r="B27" s="10" t="s">
        <v>801</v>
      </c>
      <c r="C27" t="str">
        <f>_xlfn.LET(
 _xlpm.dOK,COUNTIF(クラス!A:A,E27)&gt;0,
 _xlpm.eOK,COUNTIF(クラス!A:A,F27)&gt;0,
 IF(_xlpm.dOK,"○","×") &amp; IF(_xlpm.eOK,"○","×")
)</f>
        <v>××</v>
      </c>
      <c r="S27" t="str">
        <f t="shared" si="0"/>
        <v>死霊の巣</v>
      </c>
      <c r="U27" t="s">
        <v>801</v>
      </c>
      <c r="V27" t="s">
        <v>1254</v>
      </c>
      <c r="W27" t="s">
        <v>1603</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777</v>
      </c>
      <c r="V29" t="s">
        <v>1257</v>
      </c>
    </row>
    <row r="30" spans="1:23" x14ac:dyDescent="0.4">
      <c r="A30" s="2" t="s">
        <v>502</v>
      </c>
      <c r="B30" s="10" t="s">
        <v>777</v>
      </c>
      <c r="C30" t="str">
        <f>_xlfn.LET(
 _xlpm.dOK,COUNTIF(クラス!A:A,E30)&gt;0,
 _xlpm.eOK,COUNTIF(クラス!A:A,F30)&gt;0,
 IF(_xlpm.dOK,"○","×") &amp; IF(_xlpm.eOK,"○","×")
)</f>
        <v>××</v>
      </c>
      <c r="S30" t="str">
        <f t="shared" si="0"/>
        <v>植物生物の巣</v>
      </c>
      <c r="U30" t="s">
        <v>778</v>
      </c>
      <c r="V30" t="s">
        <v>1257</v>
      </c>
      <c r="W30" t="s">
        <v>1604</v>
      </c>
    </row>
    <row r="31" spans="1:23" outlineLevel="1" x14ac:dyDescent="0.4">
      <c r="A31" s="2" t="s">
        <v>502</v>
      </c>
      <c r="B31" s="10" t="s">
        <v>778</v>
      </c>
      <c r="C31" t="str">
        <f>_xlfn.LET(
 _xlpm.dOK,COUNTIF(クラス!A:A,E31)&gt;0,
 _xlpm.eOK,COUNTIF(クラス!A:A,F31)&gt;0,
 IF(_xlpm.dOK,"○","×") &amp; IF(_xlpm.eOK,"○","×")
)</f>
        <v>××</v>
      </c>
      <c r="R31" t="s">
        <v>1130</v>
      </c>
      <c r="S31" t="str">
        <f t="shared" si="0"/>
        <v>植物生物の巣</v>
      </c>
      <c r="U31" t="s">
        <v>779</v>
      </c>
      <c r="V31" t="s">
        <v>1250</v>
      </c>
      <c r="W31" t="s">
        <v>1605</v>
      </c>
    </row>
    <row r="32" spans="1:23" outlineLevel="1" x14ac:dyDescent="0.4">
      <c r="A32" s="2" t="s">
        <v>502</v>
      </c>
      <c r="B32" s="10" t="s">
        <v>1224</v>
      </c>
      <c r="C32" t="str">
        <f>_xlfn.LET(
 _xlpm.dOK,COUNTIF(クラス!A:A,E32)&gt;0,
 _xlpm.eOK,COUNTIF(クラス!A:A,F32)&gt;0,
 IF(_xlpm.dOK,"○","×") &amp; IF(_xlpm.eOK,"○","×")
)</f>
        <v>○○</v>
      </c>
      <c r="D32" t="b">
        <v>1</v>
      </c>
      <c r="E32" t="s">
        <v>201</v>
      </c>
      <c r="F32" t="s">
        <v>816</v>
      </c>
      <c r="G32">
        <v>15</v>
      </c>
      <c r="H32">
        <v>25</v>
      </c>
      <c r="R32" t="s">
        <v>779</v>
      </c>
      <c r="S32" t="str">
        <f t="shared" si="0"/>
        <v>肉食生物の巣</v>
      </c>
      <c r="U32" t="s">
        <v>780</v>
      </c>
      <c r="V32" t="s">
        <v>1255</v>
      </c>
      <c r="W32" t="s">
        <v>1606</v>
      </c>
    </row>
    <row r="33" spans="1:23" outlineLevel="1" x14ac:dyDescent="0.4">
      <c r="A33" s="2" t="s">
        <v>502</v>
      </c>
      <c r="B33" s="10" t="s">
        <v>780</v>
      </c>
      <c r="C33" t="str">
        <f>_xlfn.LET(
 _xlpm.dOK,COUNTIF(クラス!A:A,E33)&gt;0,
 _xlpm.eOK,COUNTIF(クラス!A:A,F33)&gt;0,
 IF(_xlpm.dOK,"○","×") &amp; IF(_xlpm.eOK,"○","×")
)</f>
        <v>××</v>
      </c>
      <c r="S33" t="str">
        <f t="shared" si="0"/>
        <v>毒生成物の巣</v>
      </c>
      <c r="U33" t="s">
        <v>781</v>
      </c>
      <c r="V33" t="s">
        <v>1257</v>
      </c>
      <c r="W33" t="s">
        <v>1607</v>
      </c>
    </row>
    <row r="34" spans="1:23" ht="36" outlineLevel="1" x14ac:dyDescent="0.4">
      <c r="A34" s="2" t="s">
        <v>502</v>
      </c>
      <c r="B34" s="10" t="s">
        <v>781</v>
      </c>
      <c r="C34" t="str">
        <f>_xlfn.LET(
 _xlpm.dOK,COUNTIF(クラス!A:A,E34)&gt;0,
 _xlpm.eOK,COUNTIF(クラス!A:A,F34)&gt;0,
 IF(_xlpm.dOK,"○","×") &amp; IF(_xlpm.eOK,"○","×")
)</f>
        <v>××</v>
      </c>
      <c r="S34" t="str">
        <f t="shared" si="0"/>
        <v>植物生物の巣</v>
      </c>
      <c r="U34" t="s">
        <v>782</v>
      </c>
      <c r="V34" t="s">
        <v>1257</v>
      </c>
      <c r="W34" t="s">
        <v>1608</v>
      </c>
    </row>
    <row r="35" spans="1:23" outlineLevel="1" x14ac:dyDescent="0.4">
      <c r="A35" s="2" t="s">
        <v>502</v>
      </c>
      <c r="B35" s="10" t="s">
        <v>782</v>
      </c>
      <c r="C35" t="str">
        <f>_xlfn.LET(
 _xlpm.dOK,COUNTIF(クラス!A:A,E35)&gt;0,
 _xlpm.eOK,COUNTIF(クラス!A:A,F35)&gt;0,
 IF(_xlpm.dOK,"○","×") &amp; IF(_xlpm.eOK,"○","×")
)</f>
        <v>××</v>
      </c>
      <c r="S35" t="str">
        <f t="shared" si="0"/>
        <v>植物生物の巣</v>
      </c>
      <c r="U35" t="s">
        <v>783</v>
      </c>
      <c r="V35" t="s">
        <v>1257</v>
      </c>
      <c r="W35" t="s">
        <v>1609</v>
      </c>
    </row>
    <row r="36" spans="1:23" outlineLevel="1" x14ac:dyDescent="0.4">
      <c r="A36" s="2" t="s">
        <v>502</v>
      </c>
      <c r="B36" s="10" t="s">
        <v>783</v>
      </c>
      <c r="C36" t="str">
        <f>_xlfn.LET(
 _xlpm.dOK,COUNTIF(クラス!A:A,E36)&gt;0,
 _xlpm.eOK,COUNTIF(クラス!A:A,F36)&gt;0,
 IF(_xlpm.dOK,"○","×") &amp; IF(_xlpm.eOK,"○","×")
)</f>
        <v>××</v>
      </c>
      <c r="S36" t="str">
        <f t="shared" si="0"/>
        <v>植物生物の巣</v>
      </c>
      <c r="U36" t="s">
        <v>784</v>
      </c>
      <c r="V36" t="s">
        <v>1258</v>
      </c>
      <c r="W36" t="s">
        <v>1610</v>
      </c>
    </row>
    <row r="37" spans="1:23" ht="36" outlineLevel="1" x14ac:dyDescent="0.4">
      <c r="A37" s="2" t="s">
        <v>502</v>
      </c>
      <c r="B37" s="10" t="s">
        <v>784</v>
      </c>
      <c r="C37" t="str">
        <f>_xlfn.LET(
 _xlpm.dOK,COUNTIF(クラス!A:A,E37)&gt;0,
 _xlpm.eOK,COUNTIF(クラス!A:A,F37)&gt;0,
 IF(_xlpm.dOK,"○","×") &amp; IF(_xlpm.eOK,"○","×")
)</f>
        <v>××</v>
      </c>
      <c r="S37" t="str">
        <f t="shared" si="0"/>
        <v>風の輪</v>
      </c>
      <c r="U37" t="s">
        <v>196</v>
      </c>
      <c r="V37" t="s">
        <v>1250</v>
      </c>
      <c r="W37" t="s">
        <v>1611</v>
      </c>
    </row>
    <row r="38" spans="1:23"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1250</v>
      </c>
      <c r="W38" t="s">
        <v>1612</v>
      </c>
    </row>
    <row r="39" spans="1:23" outlineLevel="1" x14ac:dyDescent="0.4">
      <c r="A39" s="2" t="s">
        <v>502</v>
      </c>
      <c r="B39" s="10" t="s">
        <v>194</v>
      </c>
      <c r="C39" t="str">
        <f>_xlfn.LET(
 _xlpm.dOK,COUNTIF(クラス!A:A,E39)&gt;0,
 _xlpm.eOK,COUNTIF(クラス!A:A,F39)&gt;0,
 IF(_xlpm.dOK,"○","×") &amp; IF(_xlpm.eOK,"○","×")
)</f>
        <v>○×</v>
      </c>
      <c r="E39" t="s">
        <v>194</v>
      </c>
      <c r="G39">
        <v>9</v>
      </c>
      <c r="H39">
        <v>15</v>
      </c>
      <c r="R39" t="s">
        <v>1126</v>
      </c>
      <c r="S39" t="str">
        <f t="shared" si="0"/>
        <v>肉食生物の巣</v>
      </c>
      <c r="W39" t="s">
        <v>1613</v>
      </c>
    </row>
    <row r="40" spans="1:23" outlineLevel="1" x14ac:dyDescent="0.4">
      <c r="C40" t="str">
        <f>_xlfn.LET(
 _xlpm.dOK,COUNTIF(クラス!A:A,E40)&gt;0,
 _xlpm.eOK,COUNTIF(クラス!A:A,F40)&gt;0,
 IF(_xlpm.dOK,"○","×") &amp; IF(_xlpm.eOK,"○","×")
)</f>
        <v>××</v>
      </c>
      <c r="S40" t="str">
        <f t="shared" si="0"/>
        <v/>
      </c>
      <c r="U40" t="s">
        <v>802</v>
      </c>
      <c r="V40" t="s">
        <v>1253</v>
      </c>
    </row>
    <row r="41" spans="1:23" ht="36" outlineLevel="1" x14ac:dyDescent="0.4">
      <c r="A41" s="2" t="s">
        <v>509</v>
      </c>
      <c r="B41" s="10" t="s">
        <v>802</v>
      </c>
      <c r="C41" t="str">
        <f>_xlfn.LET(
 _xlpm.dOK,COUNTIF(クラス!A:A,E41)&gt;0,
 _xlpm.eOK,COUNTIF(クラス!A:A,F41)&gt;0,
 IF(_xlpm.dOK,"○","×") &amp; IF(_xlpm.eOK,"○","×")
)</f>
        <v>××</v>
      </c>
      <c r="S41" t="str">
        <f t="shared" si="0"/>
        <v>飛竜の巣</v>
      </c>
      <c r="U41" t="s">
        <v>781</v>
      </c>
      <c r="V41" t="s">
        <v>1257</v>
      </c>
      <c r="W41" t="s">
        <v>1614</v>
      </c>
    </row>
    <row r="42" spans="1:23" ht="36" outlineLevel="1" x14ac:dyDescent="0.4">
      <c r="A42" s="2" t="s">
        <v>509</v>
      </c>
      <c r="B42" s="10" t="s">
        <v>1206</v>
      </c>
      <c r="C42" t="str">
        <f>_xlfn.LET(
 _xlpm.dOK,COUNTIF(クラス!A:A,E42)&gt;0,
 _xlpm.eOK,COUNTIF(クラス!A:A,F42)&gt;0,
 IF(_xlpm.dOK,"○","×") &amp; IF(_xlpm.eOK,"○","×")
)</f>
        <v>××</v>
      </c>
      <c r="S42" t="str">
        <f t="shared" si="0"/>
        <v>植物生物の巣</v>
      </c>
      <c r="U42" t="s">
        <v>1259</v>
      </c>
      <c r="V42" t="s">
        <v>1260</v>
      </c>
      <c r="W42" t="s">
        <v>1615</v>
      </c>
    </row>
    <row r="43" spans="1:23" ht="36" outlineLevel="1" x14ac:dyDescent="0.4">
      <c r="A43" s="2" t="s">
        <v>509</v>
      </c>
      <c r="B43" s="10" t="s">
        <v>1207</v>
      </c>
      <c r="C43" t="str">
        <f>_xlfn.LET(
 _xlpm.dOK,COUNTIF(クラス!A:A,E43)&gt;0,
 _xlpm.eOK,COUNTIF(クラス!A:A,F43)&gt;0,
 IF(_xlpm.dOK,"○","×") &amp; IF(_xlpm.eOK,"○","×")
)</f>
        <v>××</v>
      </c>
      <c r="S43" t="str">
        <f t="shared" si="0"/>
        <v>闇の輪</v>
      </c>
      <c r="U43" t="s">
        <v>1261</v>
      </c>
      <c r="V43" t="s">
        <v>1250</v>
      </c>
      <c r="W43" t="s">
        <v>1616</v>
      </c>
    </row>
    <row r="44" spans="1:23" outlineLevel="1" x14ac:dyDescent="0.4">
      <c r="A44" s="2" t="s">
        <v>509</v>
      </c>
      <c r="B44" s="10" t="s">
        <v>1208</v>
      </c>
      <c r="C44" t="str">
        <f>_xlfn.LET(
 _xlpm.dOK,COUNTIF(クラス!A:A,E44)&gt;0,
 _xlpm.eOK,COUNTIF(クラス!A:A,F44)&gt;0,
 IF(_xlpm.dOK,"○","×") &amp; IF(_xlpm.eOK,"○","×")
)</f>
        <v>××</v>
      </c>
      <c r="S44" t="str">
        <f t="shared" si="0"/>
        <v>肉食生物の巣</v>
      </c>
      <c r="U44" t="s">
        <v>1262</v>
      </c>
      <c r="V44" t="s">
        <v>1250</v>
      </c>
      <c r="W44" t="s">
        <v>1617</v>
      </c>
    </row>
    <row r="45" spans="1:23" outlineLevel="1" x14ac:dyDescent="0.4">
      <c r="A45" s="2" t="s">
        <v>509</v>
      </c>
      <c r="B45" s="10" t="s">
        <v>1205</v>
      </c>
      <c r="C45" t="str">
        <f>_xlfn.LET(
 _xlpm.dOK,COUNTIF(クラス!A:A,E45)&gt;0,
 _xlpm.eOK,COUNTIF(クラス!A:A,F45)&gt;0,
 IF(_xlpm.dOK,"○","×") &amp; IF(_xlpm.eOK,"○","×")
)</f>
        <v>××</v>
      </c>
      <c r="S45" t="str">
        <f t="shared" si="0"/>
        <v>肉食生物の巣</v>
      </c>
      <c r="U45" t="s">
        <v>803</v>
      </c>
      <c r="V45" t="s">
        <v>1252</v>
      </c>
      <c r="W45" t="s">
        <v>1618</v>
      </c>
    </row>
    <row r="46" spans="1:23" outlineLevel="1" x14ac:dyDescent="0.4">
      <c r="A46" s="2" t="s">
        <v>509</v>
      </c>
      <c r="B46" s="10" t="s">
        <v>803</v>
      </c>
      <c r="C46" t="str">
        <f>_xlfn.LET(
 _xlpm.dOK,COUNTIF(クラス!A:A,E46)&gt;0,
 _xlpm.eOK,COUNTIF(クラス!A:A,F46)&gt;0,
 IF(_xlpm.dOK,"○","×") &amp; IF(_xlpm.eOK,"○","×")
)</f>
        <v>××</v>
      </c>
      <c r="S46" t="str">
        <f t="shared" si="0"/>
        <v>地中生物の巣</v>
      </c>
      <c r="U46" t="s">
        <v>804</v>
      </c>
      <c r="V46" t="s">
        <v>1253</v>
      </c>
      <c r="W46" t="s">
        <v>1619</v>
      </c>
    </row>
    <row r="47" spans="1:23" ht="36" outlineLevel="1" x14ac:dyDescent="0.4">
      <c r="A47" s="2" t="s">
        <v>509</v>
      </c>
      <c r="B47" s="10" t="s">
        <v>804</v>
      </c>
      <c r="C47" t="str">
        <f>_xlfn.LET(
 _xlpm.dOK,COUNTIF(クラス!A:A,E47)&gt;0,
 _xlpm.eOK,COUNTIF(クラス!A:A,F47)&gt;0,
 IF(_xlpm.dOK,"○","×") &amp; IF(_xlpm.eOK,"○","×")
)</f>
        <v>××</v>
      </c>
      <c r="S47" t="str">
        <f t="shared" si="0"/>
        <v>飛竜の巣</v>
      </c>
      <c r="W47" t="s">
        <v>1620</v>
      </c>
    </row>
    <row r="48" spans="1:23" outlineLevel="1" x14ac:dyDescent="0.4">
      <c r="C48" t="str">
        <f>_xlfn.LET(
 _xlpm.dOK,COUNTIF(クラス!A:A,E48)&gt;0,
 _xlpm.eOK,COUNTIF(クラス!A:A,F48)&gt;0,
 IF(_xlpm.dOK,"○","×") &amp; IF(_xlpm.eOK,"○","×")
)</f>
        <v>××</v>
      </c>
      <c r="S48" t="str">
        <f t="shared" si="0"/>
        <v/>
      </c>
      <c r="U48" t="s">
        <v>774</v>
      </c>
      <c r="V48" t="s">
        <v>1249</v>
      </c>
    </row>
    <row r="49" spans="1:23" x14ac:dyDescent="0.4">
      <c r="C49" t="str">
        <f>_xlfn.LET(
 _xlpm.dOK,COUNTIF(クラス!A:A,E49)&gt;0,
 _xlpm.eOK,COUNTIF(クラス!A:A,F49)&gt;0,
 IF(_xlpm.dOK,"○","×") &amp; IF(_xlpm.eOK,"○","×")
)</f>
        <v>××</v>
      </c>
      <c r="S49" t="str">
        <f t="shared" si="0"/>
        <v/>
      </c>
      <c r="U49" t="s">
        <v>198</v>
      </c>
      <c r="V49" t="s">
        <v>1249</v>
      </c>
    </row>
    <row r="50" spans="1:23" x14ac:dyDescent="0.4">
      <c r="A50" s="2" t="s">
        <v>504</v>
      </c>
      <c r="B50" s="10" t="s">
        <v>774</v>
      </c>
      <c r="C50" t="str">
        <f>_xlfn.LET(
 _xlpm.dOK,COUNTIF(クラス!A:A,E50)&gt;0,
 _xlpm.eOK,COUNTIF(クラス!A:A,F50)&gt;0,
 IF(_xlpm.dOK,"○","×") &amp; IF(_xlpm.eOK,"○","×")
)</f>
        <v>○○</v>
      </c>
      <c r="D50" t="b">
        <v>1</v>
      </c>
      <c r="E50" t="s">
        <v>196</v>
      </c>
      <c r="F50" t="s">
        <v>199</v>
      </c>
      <c r="G50">
        <v>8</v>
      </c>
      <c r="H50">
        <v>12</v>
      </c>
      <c r="R50" t="s">
        <v>774</v>
      </c>
      <c r="S50" t="str">
        <f t="shared" si="0"/>
        <v>鳥系生物の巣</v>
      </c>
      <c r="U50" t="s">
        <v>74</v>
      </c>
      <c r="V50" t="s">
        <v>1256</v>
      </c>
      <c r="W50" t="s">
        <v>1621</v>
      </c>
    </row>
    <row r="51" spans="1:23" outlineLevel="1" x14ac:dyDescent="0.4">
      <c r="A51" s="2" t="s">
        <v>504</v>
      </c>
      <c r="B51" s="10" t="s">
        <v>199</v>
      </c>
      <c r="C51" t="str">
        <f>_xlfn.LET(
 _xlpm.dOK,COUNTIF(クラス!A:A,E51)&gt;0,
 _xlpm.eOK,COUNTIF(クラス!A:A,F51)&gt;0,
 IF(_xlpm.dOK,"○","×") &amp; IF(_xlpm.eOK,"○","×")
)</f>
        <v>○×</v>
      </c>
      <c r="E51" t="s">
        <v>199</v>
      </c>
      <c r="G51">
        <v>10</v>
      </c>
      <c r="H51">
        <v>15</v>
      </c>
      <c r="I51" t="s">
        <v>876</v>
      </c>
      <c r="R51" t="s">
        <v>199</v>
      </c>
      <c r="S51" t="str">
        <f t="shared" si="0"/>
        <v>鳥系生物の巣</v>
      </c>
      <c r="U51" t="s">
        <v>775</v>
      </c>
      <c r="V51" t="s">
        <v>1250</v>
      </c>
      <c r="W51" t="s">
        <v>1622</v>
      </c>
    </row>
    <row r="52" spans="1:23" ht="54" outlineLevel="1" x14ac:dyDescent="0.4">
      <c r="A52" s="2" t="s">
        <v>504</v>
      </c>
      <c r="B52" s="10" t="s">
        <v>75</v>
      </c>
      <c r="C52" t="str">
        <f>_xlfn.LET(
 _xlpm.dOK,COUNTIF(クラス!A:A,E52)&gt;0,
 _xlpm.eOK,COUNTIF(クラス!A:A,F52)&gt;0,
 IF(_xlpm.dOK,"○","×") &amp; IF(_xlpm.eOK,"○","×")
)</f>
        <v>○×</v>
      </c>
      <c r="D52" s="10"/>
      <c r="E52" s="10" t="s">
        <v>75</v>
      </c>
      <c r="G52">
        <v>7</v>
      </c>
      <c r="H52">
        <v>12</v>
      </c>
      <c r="R52" t="s">
        <v>1128</v>
      </c>
      <c r="S52" t="str">
        <f t="shared" si="0"/>
        <v>土の輪</v>
      </c>
      <c r="U52" t="s">
        <v>771</v>
      </c>
      <c r="V52" t="s">
        <v>1252</v>
      </c>
      <c r="W52" t="s">
        <v>1623</v>
      </c>
    </row>
    <row r="53" spans="1:23" outlineLevel="1" x14ac:dyDescent="0.4">
      <c r="A53" s="2" t="s">
        <v>504</v>
      </c>
      <c r="B53" s="10" t="s">
        <v>775</v>
      </c>
      <c r="C53" t="str">
        <f>_xlfn.LET(
 _xlpm.dOK,COUNTIF(クラス!A:A,E53)&gt;0,
 _xlpm.eOK,COUNTIF(クラス!A:A,F53)&gt;0,
 IF(_xlpm.dOK,"○","×") &amp; IF(_xlpm.eOK,"○","×")
)</f>
        <v>○○</v>
      </c>
      <c r="E53" t="s">
        <v>196</v>
      </c>
      <c r="F53" t="s">
        <v>195</v>
      </c>
      <c r="G53">
        <v>14</v>
      </c>
      <c r="H53">
        <v>18</v>
      </c>
      <c r="R53" t="s">
        <v>775</v>
      </c>
      <c r="S53" t="str">
        <f t="shared" si="0"/>
        <v>肉食生物の巣</v>
      </c>
      <c r="U53" t="s">
        <v>773</v>
      </c>
      <c r="V53" t="s">
        <v>1252</v>
      </c>
      <c r="W53" t="s">
        <v>1624</v>
      </c>
    </row>
    <row r="54" spans="1:23" outlineLevel="1" x14ac:dyDescent="0.4">
      <c r="A54" s="2" t="s">
        <v>504</v>
      </c>
      <c r="B54" s="10" t="s">
        <v>1209</v>
      </c>
      <c r="C54" t="str">
        <f>_xlfn.LET(
 _xlpm.dOK,COUNTIF(クラス!A:A,E54)&gt;0,
 _xlpm.eOK,COUNTIF(クラス!A:A,F54)&gt;0,
 IF(_xlpm.dOK,"○","×") &amp; IF(_xlpm.eOK,"○","×")
)</f>
        <v>××</v>
      </c>
      <c r="S54" t="str">
        <f t="shared" si="0"/>
        <v>地中生物の巣</v>
      </c>
      <c r="U54" t="s">
        <v>772</v>
      </c>
      <c r="V54" t="s">
        <v>1250</v>
      </c>
      <c r="W54" t="s">
        <v>1625</v>
      </c>
    </row>
    <row r="55" spans="1:23" ht="36" outlineLevel="1" x14ac:dyDescent="0.4">
      <c r="A55" s="2" t="s">
        <v>504</v>
      </c>
      <c r="B55" s="10" t="s">
        <v>773</v>
      </c>
      <c r="C55" t="str">
        <f>_xlfn.LET(
 _xlpm.dOK,COUNTIF(クラス!A:A,E55)&gt;0,
 _xlpm.eOK,COUNTIF(クラス!A:A,F55)&gt;0,
 IF(_xlpm.dOK,"○","×") &amp; IF(_xlpm.eOK,"○","×")
)</f>
        <v>××</v>
      </c>
      <c r="S55" t="str">
        <f t="shared" si="0"/>
        <v>地中生物の巣</v>
      </c>
      <c r="U55" t="s">
        <v>776</v>
      </c>
      <c r="V55" t="s">
        <v>1253</v>
      </c>
      <c r="W55" t="s">
        <v>1626</v>
      </c>
    </row>
    <row r="56" spans="1:23" outlineLevel="1" x14ac:dyDescent="0.4">
      <c r="A56" s="2" t="s">
        <v>504</v>
      </c>
      <c r="B56" s="10" t="s">
        <v>772</v>
      </c>
      <c r="C56" t="str">
        <f>_xlfn.LET(
 _xlpm.dOK,COUNTIF(クラス!A:A,E56)&gt;0,
 _xlpm.eOK,COUNTIF(クラス!A:A,F56)&gt;0,
 IF(_xlpm.dOK,"○","×") &amp; IF(_xlpm.eOK,"○","×")
)</f>
        <v>××</v>
      </c>
      <c r="S56" t="str">
        <f t="shared" si="0"/>
        <v>肉食生物の巣</v>
      </c>
      <c r="W56" t="s">
        <v>1627</v>
      </c>
    </row>
    <row r="57" spans="1:23" outlineLevel="1" x14ac:dyDescent="0.4">
      <c r="A57" s="2" t="s">
        <v>504</v>
      </c>
      <c r="B57" s="10" t="s">
        <v>776</v>
      </c>
      <c r="C57" t="str">
        <f>_xlfn.LET(
 _xlpm.dOK,COUNTIF(クラス!A:A,E57)&gt;0,
 _xlpm.eOK,COUNTIF(クラス!A:A,F57)&gt;0,
 IF(_xlpm.dOK,"○","×") &amp; IF(_xlpm.eOK,"○","×")
)</f>
        <v>○×</v>
      </c>
      <c r="D57" t="b">
        <v>1</v>
      </c>
      <c r="E57" t="s">
        <v>857</v>
      </c>
      <c r="G57">
        <v>15</v>
      </c>
      <c r="H57">
        <v>20</v>
      </c>
      <c r="I57" t="s">
        <v>875</v>
      </c>
      <c r="R57" t="s">
        <v>857</v>
      </c>
      <c r="S57" t="str">
        <f t="shared" si="0"/>
        <v>飛竜の巣</v>
      </c>
      <c r="U57" t="s">
        <v>1263</v>
      </c>
      <c r="V57" t="s">
        <v>1258</v>
      </c>
      <c r="W57" t="s">
        <v>1628</v>
      </c>
    </row>
    <row r="58" spans="1:23" outlineLevel="1" x14ac:dyDescent="0.4">
      <c r="C58" t="str">
        <f>_xlfn.LET(
 _xlpm.dOK,COUNTIF(クラス!A:A,E58)&gt;0,
 _xlpm.eOK,COUNTIF(クラス!A:A,F58)&gt;0,
 IF(_xlpm.dOK,"○","×") &amp; IF(_xlpm.eOK,"○","×")
)</f>
        <v>××</v>
      </c>
      <c r="S58" t="str">
        <f t="shared" si="0"/>
        <v/>
      </c>
      <c r="U58" t="s">
        <v>74</v>
      </c>
      <c r="V58" t="s">
        <v>1256</v>
      </c>
    </row>
    <row r="59" spans="1:23" outlineLevel="1" x14ac:dyDescent="0.4">
      <c r="A59" s="2" t="s">
        <v>503</v>
      </c>
      <c r="B59" s="10" t="s">
        <v>871</v>
      </c>
      <c r="C59" t="str">
        <f>_xlfn.LET(
 _xlpm.dOK,COUNTIF(クラス!A:A,E59)&gt;0,
 _xlpm.eOK,COUNTIF(クラス!A:A,F59)&gt;0,
 IF(_xlpm.dOK,"○","×") &amp; IF(_xlpm.eOK,"○","×")
)</f>
        <v>○○</v>
      </c>
      <c r="E59" t="s">
        <v>199</v>
      </c>
      <c r="F59" t="s">
        <v>817</v>
      </c>
      <c r="G59">
        <v>15</v>
      </c>
      <c r="H59">
        <v>25</v>
      </c>
      <c r="R59" t="s">
        <v>199</v>
      </c>
      <c r="S59" t="str">
        <f t="shared" si="0"/>
        <v>風の輪</v>
      </c>
      <c r="U59" t="s">
        <v>1264</v>
      </c>
      <c r="V59" t="s">
        <v>1250</v>
      </c>
      <c r="W59" t="s">
        <v>1629</v>
      </c>
    </row>
    <row r="60" spans="1:23" ht="54" outlineLevel="1" x14ac:dyDescent="0.4">
      <c r="A60" s="2" t="s">
        <v>503</v>
      </c>
      <c r="B60" s="10" t="s">
        <v>75</v>
      </c>
      <c r="C60" t="str">
        <f>_xlfn.LET(
 _xlpm.dOK,COUNTIF(クラス!A:A,E60)&gt;0,
 _xlpm.eOK,COUNTIF(クラス!A:A,F60)&gt;0,
 IF(_xlpm.dOK,"○","×") &amp; IF(_xlpm.eOK,"○","×")
)</f>
        <v>○×</v>
      </c>
      <c r="D60" s="10"/>
      <c r="E60" s="10" t="s">
        <v>75</v>
      </c>
      <c r="G60">
        <v>15</v>
      </c>
      <c r="H60">
        <v>20</v>
      </c>
      <c r="I60" t="s">
        <v>877</v>
      </c>
      <c r="R60" t="s">
        <v>1128</v>
      </c>
      <c r="S60" t="str">
        <f t="shared" si="0"/>
        <v>土の輪</v>
      </c>
      <c r="U60" t="s">
        <v>785</v>
      </c>
      <c r="V60" t="s">
        <v>1252</v>
      </c>
      <c r="W60" t="s">
        <v>1630</v>
      </c>
    </row>
    <row r="61" spans="1:23" outlineLevel="1" x14ac:dyDescent="0.4">
      <c r="A61" s="2" t="s">
        <v>503</v>
      </c>
      <c r="B61" s="10" t="s">
        <v>872</v>
      </c>
      <c r="C61" t="str">
        <f>_xlfn.LET(
 _xlpm.dOK,COUNTIF(クラス!A:A,E61)&gt;0,
 _xlpm.eOK,COUNTIF(クラス!A:A,F61)&gt;0,
 IF(_xlpm.dOK,"○","×") &amp; IF(_xlpm.eOK,"○","×")
)</f>
        <v>○○</v>
      </c>
      <c r="D61" t="b">
        <v>1</v>
      </c>
      <c r="E61" t="s">
        <v>201</v>
      </c>
      <c r="F61" t="s">
        <v>75</v>
      </c>
      <c r="G61">
        <v>25</v>
      </c>
      <c r="H61">
        <v>30</v>
      </c>
      <c r="R61" t="s">
        <v>1129</v>
      </c>
      <c r="S61" t="str">
        <f t="shared" si="0"/>
        <v>肉食生物の巣</v>
      </c>
      <c r="U61" t="s">
        <v>786</v>
      </c>
      <c r="V61" t="s">
        <v>1265</v>
      </c>
      <c r="W61" t="s">
        <v>1631</v>
      </c>
    </row>
    <row r="62" spans="1:23" ht="36" outlineLevel="1" x14ac:dyDescent="0.4">
      <c r="A62" s="2" t="s">
        <v>503</v>
      </c>
      <c r="B62" s="10" t="s">
        <v>785</v>
      </c>
      <c r="C62" t="str">
        <f>_xlfn.LET(
 _xlpm.dOK,COUNTIF(クラス!A:A,E62)&gt;0,
 _xlpm.eOK,COUNTIF(クラス!A:A,F62)&gt;0,
 IF(_xlpm.dOK,"○","×") &amp; IF(_xlpm.eOK,"○","×")
)</f>
        <v>××</v>
      </c>
      <c r="S62" t="str">
        <f t="shared" si="0"/>
        <v>地中生物の巣</v>
      </c>
      <c r="U62" t="s">
        <v>787</v>
      </c>
      <c r="V62" t="s">
        <v>1252</v>
      </c>
      <c r="W62" t="s">
        <v>1632</v>
      </c>
    </row>
    <row r="63" spans="1:23" ht="36" outlineLevel="1" x14ac:dyDescent="0.4">
      <c r="A63" s="2" t="s">
        <v>503</v>
      </c>
      <c r="B63" s="10" t="s">
        <v>786</v>
      </c>
      <c r="C63" t="str">
        <f>_xlfn.LET(
 _xlpm.dOK,COUNTIF(クラス!A:A,E63)&gt;0,
 _xlpm.eOK,COUNTIF(クラス!A:A,F63)&gt;0,
 IF(_xlpm.dOK,"○","×") &amp; IF(_xlpm.eOK,"○","×")
)</f>
        <v>××</v>
      </c>
      <c r="S63" t="str">
        <f t="shared" si="0"/>
        <v>水の輪</v>
      </c>
      <c r="U63" t="s">
        <v>788</v>
      </c>
      <c r="V63" t="s">
        <v>1253</v>
      </c>
      <c r="W63" t="s">
        <v>1633</v>
      </c>
    </row>
    <row r="64" spans="1:23" outlineLevel="1" x14ac:dyDescent="0.4">
      <c r="A64" s="2" t="s">
        <v>503</v>
      </c>
      <c r="B64" s="10" t="s">
        <v>787</v>
      </c>
      <c r="C64" t="str">
        <f>_xlfn.LET(
 _xlpm.dOK,COUNTIF(クラス!A:A,E64)&gt;0,
 _xlpm.eOK,COUNTIF(クラス!A:A,F64)&gt;0,
 IF(_xlpm.dOK,"○","×") &amp; IF(_xlpm.eOK,"○","×")
)</f>
        <v>××</v>
      </c>
      <c r="S64" t="str">
        <f t="shared" si="0"/>
        <v>地中生物の巣</v>
      </c>
      <c r="U64" t="s">
        <v>789</v>
      </c>
      <c r="V64" t="s">
        <v>1249</v>
      </c>
      <c r="W64" t="s">
        <v>1634</v>
      </c>
    </row>
    <row r="65" spans="1:23" outlineLevel="1" x14ac:dyDescent="0.4">
      <c r="A65" s="2" t="s">
        <v>503</v>
      </c>
      <c r="B65" s="10" t="s">
        <v>788</v>
      </c>
      <c r="C65" t="str">
        <f>_xlfn.LET(
 _xlpm.dOK,COUNTIF(クラス!A:A,E65)&gt;0,
 _xlpm.eOK,COUNTIF(クラス!A:A,F65)&gt;0,
 IF(_xlpm.dOK,"○","×") &amp; IF(_xlpm.eOK,"○","×")
)</f>
        <v>××</v>
      </c>
      <c r="S65" t="str">
        <f t="shared" si="0"/>
        <v>飛竜の巣</v>
      </c>
      <c r="U65" t="s">
        <v>790</v>
      </c>
      <c r="V65" t="s">
        <v>1250</v>
      </c>
      <c r="W65" t="s">
        <v>1635</v>
      </c>
    </row>
    <row r="66" spans="1:23" outlineLevel="1" x14ac:dyDescent="0.4">
      <c r="A66" s="2" t="s">
        <v>503</v>
      </c>
      <c r="B66" s="10" t="s">
        <v>789</v>
      </c>
      <c r="C66" t="str">
        <f>_xlfn.LET(
 _xlpm.dOK,COUNTIF(クラス!A:A,E66)&gt;0,
 _xlpm.eOK,COUNTIF(クラス!A:A,F66)&gt;0,
 IF(_xlpm.dOK,"○","×") &amp; IF(_xlpm.eOK,"○","×")
)</f>
        <v>××</v>
      </c>
      <c r="S66" t="str">
        <f t="shared" si="0"/>
        <v>鳥系生物の巣</v>
      </c>
      <c r="W66" t="s">
        <v>1636</v>
      </c>
    </row>
    <row r="67" spans="1:23" outlineLevel="1" x14ac:dyDescent="0.4">
      <c r="A67" s="2" t="s">
        <v>503</v>
      </c>
      <c r="B67" s="10" t="s">
        <v>790</v>
      </c>
      <c r="C67" t="str">
        <f>_xlfn.LET(
 _xlpm.dOK,COUNTIF(クラス!A:A,E67)&gt;0,
 _xlpm.eOK,COUNTIF(クラス!A:A,F67)&gt;0,
 IF(_xlpm.dOK,"○","×") &amp; IF(_xlpm.eOK,"○","×")
)</f>
        <v>××</v>
      </c>
      <c r="S67" t="str">
        <f t="shared" si="0"/>
        <v>肉食生物の巣</v>
      </c>
      <c r="U67" t="s">
        <v>787</v>
      </c>
      <c r="V67" t="s">
        <v>1252</v>
      </c>
      <c r="W67" t="s">
        <v>1637</v>
      </c>
    </row>
    <row r="68" spans="1:23" outlineLevel="1" x14ac:dyDescent="0.4">
      <c r="C68" t="str">
        <f>_xlfn.LET(
 _xlpm.dOK,COUNTIF(クラス!A:A,E68)&gt;0,
 _xlpm.eOK,COUNTIF(クラス!A:A,F68)&gt;0,
 IF(_xlpm.dOK,"○","×") &amp; IF(_xlpm.eOK,"○","×")
)</f>
        <v>××</v>
      </c>
      <c r="S68" t="str">
        <f t="shared" ref="S68:S119" si="1">IFERROR(VLOOKUP(B68,$U:$V,2,FALSE),"")</f>
        <v/>
      </c>
      <c r="U68" t="s">
        <v>776</v>
      </c>
      <c r="V68" t="s">
        <v>1253</v>
      </c>
    </row>
    <row r="69" spans="1:23" x14ac:dyDescent="0.4">
      <c r="C69" t="str">
        <f>_xlfn.LET(
 _xlpm.dOK,COUNTIF(クラス!A:A,E69)&gt;0,
 _xlpm.eOK,COUNTIF(クラス!A:A,F69)&gt;0,
 IF(_xlpm.dOK,"○","×") &amp; IF(_xlpm.eOK,"○","×")
)</f>
        <v>××</v>
      </c>
      <c r="S69" t="str">
        <f t="shared" si="1"/>
        <v/>
      </c>
      <c r="U69" t="s">
        <v>772</v>
      </c>
      <c r="V69" t="s">
        <v>1250</v>
      </c>
    </row>
    <row r="70" spans="1:23" x14ac:dyDescent="0.4">
      <c r="A70" s="2" t="s">
        <v>510</v>
      </c>
      <c r="B70" s="10" t="s">
        <v>787</v>
      </c>
      <c r="C70" t="str">
        <f>_xlfn.LET(
 _xlpm.dOK,COUNTIF(クラス!A:A,E70)&gt;0,
 _xlpm.eOK,COUNTIF(クラス!A:A,F70)&gt;0,
 IF(_xlpm.dOK,"○","×") &amp; IF(_xlpm.eOK,"○","×")
)</f>
        <v>××</v>
      </c>
      <c r="S70" t="str">
        <f t="shared" si="1"/>
        <v>地中生物の巣</v>
      </c>
      <c r="U70" t="s">
        <v>785</v>
      </c>
      <c r="V70" t="s">
        <v>1252</v>
      </c>
      <c r="W70" t="s">
        <v>1638</v>
      </c>
    </row>
    <row r="71" spans="1:23" outlineLevel="1" x14ac:dyDescent="0.4">
      <c r="A71" s="2" t="s">
        <v>510</v>
      </c>
      <c r="B71" s="10" t="s">
        <v>776</v>
      </c>
      <c r="C71" t="str">
        <f>_xlfn.LET(
 _xlpm.dOK,COUNTIF(クラス!A:A,E71)&gt;0,
 _xlpm.eOK,COUNTIF(クラス!A:A,F71)&gt;0,
 IF(_xlpm.dOK,"○","×") &amp; IF(_xlpm.eOK,"○","×")
)</f>
        <v>××</v>
      </c>
      <c r="S71" t="str">
        <f t="shared" si="1"/>
        <v>飛竜の巣</v>
      </c>
      <c r="U71" t="s">
        <v>805</v>
      </c>
      <c r="V71" t="s">
        <v>1249</v>
      </c>
      <c r="W71" t="s">
        <v>1639</v>
      </c>
    </row>
    <row r="72" spans="1:23" outlineLevel="1" x14ac:dyDescent="0.4">
      <c r="A72" s="2" t="s">
        <v>510</v>
      </c>
      <c r="B72" s="10" t="s">
        <v>772</v>
      </c>
      <c r="C72" t="str">
        <f>_xlfn.LET(
 _xlpm.dOK,COUNTIF(クラス!A:A,E72)&gt;0,
 _xlpm.eOK,COUNTIF(クラス!A:A,F72)&gt;0,
 IF(_xlpm.dOK,"○","×") &amp; IF(_xlpm.eOK,"○","×")
)</f>
        <v>××</v>
      </c>
      <c r="S72" t="str">
        <f t="shared" si="1"/>
        <v>肉食生物の巣</v>
      </c>
      <c r="W72" t="s">
        <v>1640</v>
      </c>
    </row>
    <row r="73" spans="1:23" ht="36" outlineLevel="1" x14ac:dyDescent="0.4">
      <c r="A73" s="2" t="s">
        <v>510</v>
      </c>
      <c r="B73" s="10" t="s">
        <v>785</v>
      </c>
      <c r="C73" t="str">
        <f>_xlfn.LET(
 _xlpm.dOK,COUNTIF(クラス!A:A,E73)&gt;0,
 _xlpm.eOK,COUNTIF(クラス!A:A,F73)&gt;0,
 IF(_xlpm.dOK,"○","×") &amp; IF(_xlpm.eOK,"○","×")
)</f>
        <v>××</v>
      </c>
      <c r="S73" t="str">
        <f t="shared" si="1"/>
        <v>地中生物の巣</v>
      </c>
      <c r="U73" t="s">
        <v>1266</v>
      </c>
      <c r="V73" t="s">
        <v>1260</v>
      </c>
      <c r="W73" t="s">
        <v>1641</v>
      </c>
    </row>
    <row r="74" spans="1:23" outlineLevel="1" x14ac:dyDescent="0.4">
      <c r="A74" s="2" t="s">
        <v>510</v>
      </c>
      <c r="B74" s="10" t="s">
        <v>805</v>
      </c>
      <c r="C74" t="str">
        <f>_xlfn.LET(
 _xlpm.dOK,COUNTIF(クラス!A:A,E74)&gt;0,
 _xlpm.eOK,COUNTIF(クラス!A:A,F74)&gt;0,
 IF(_xlpm.dOK,"○","×") &amp; IF(_xlpm.eOK,"○","×")
)</f>
        <v>××</v>
      </c>
      <c r="S74" t="str">
        <f t="shared" si="1"/>
        <v>鳥系生物の巣</v>
      </c>
      <c r="U74" t="s">
        <v>806</v>
      </c>
      <c r="V74" t="s">
        <v>1260</v>
      </c>
      <c r="W74" t="s">
        <v>1642</v>
      </c>
    </row>
    <row r="75" spans="1:23" outlineLevel="1" x14ac:dyDescent="0.4">
      <c r="C75" t="str">
        <f>_xlfn.LET(
 _xlpm.dOK,COUNTIF(クラス!A:A,E75)&gt;0,
 _xlpm.eOK,COUNTIF(クラス!A:A,F75)&gt;0,
 IF(_xlpm.dOK,"○","×") &amp; IF(_xlpm.eOK,"○","×")
)</f>
        <v>××</v>
      </c>
      <c r="S75" t="str">
        <f t="shared" si="1"/>
        <v/>
      </c>
      <c r="U75" t="s">
        <v>770</v>
      </c>
      <c r="V75" t="s">
        <v>1251</v>
      </c>
    </row>
    <row r="76" spans="1:23" outlineLevel="1" x14ac:dyDescent="0.4">
      <c r="A76" s="2" t="s">
        <v>511</v>
      </c>
      <c r="B76" s="10" t="s">
        <v>1210</v>
      </c>
      <c r="C76" t="str">
        <f>_xlfn.LET(
 _xlpm.dOK,COUNTIF(クラス!A:A,E76)&gt;0,
 _xlpm.eOK,COUNTIF(クラス!A:A,F76)&gt;0,
 IF(_xlpm.dOK,"○","×") &amp; IF(_xlpm.eOK,"○","×")
)</f>
        <v>××</v>
      </c>
      <c r="S76" t="str">
        <f t="shared" si="1"/>
        <v>闇の輪</v>
      </c>
      <c r="U76" t="s">
        <v>787</v>
      </c>
      <c r="V76" t="s">
        <v>1252</v>
      </c>
      <c r="W76" t="s">
        <v>1643</v>
      </c>
    </row>
    <row r="77" spans="1:23" ht="36" outlineLevel="1" x14ac:dyDescent="0.4">
      <c r="A77" s="2" t="s">
        <v>511</v>
      </c>
      <c r="B77" s="10" t="s">
        <v>806</v>
      </c>
      <c r="C77" t="str">
        <f>_xlfn.LET(
 _xlpm.dOK,COUNTIF(クラス!A:A,E77)&gt;0,
 _xlpm.eOK,COUNTIF(クラス!A:A,F77)&gt;0,
 IF(_xlpm.dOK,"○","×") &amp; IF(_xlpm.eOK,"○","×")
)</f>
        <v>××</v>
      </c>
      <c r="S77" t="str">
        <f t="shared" si="1"/>
        <v>闇の輪</v>
      </c>
      <c r="U77" t="s">
        <v>790</v>
      </c>
      <c r="V77" t="s">
        <v>1250</v>
      </c>
      <c r="W77" t="s">
        <v>1644</v>
      </c>
    </row>
    <row r="78" spans="1:23" outlineLevel="1" x14ac:dyDescent="0.4">
      <c r="A78" s="2" t="s">
        <v>511</v>
      </c>
      <c r="B78" s="10" t="s">
        <v>770</v>
      </c>
      <c r="C78" t="str">
        <f>_xlfn.LET(
 _xlpm.dOK,COUNTIF(クラス!A:A,E78)&gt;0,
 _xlpm.eOK,COUNTIF(クラス!A:A,F78)&gt;0,
 IF(_xlpm.dOK,"○","×") &amp; IF(_xlpm.eOK,"○","×")
)</f>
        <v>××</v>
      </c>
      <c r="S78" t="str">
        <f t="shared" si="1"/>
        <v>虫系の巣</v>
      </c>
      <c r="U78" t="s">
        <v>796</v>
      </c>
      <c r="V78" t="s">
        <v>1252</v>
      </c>
      <c r="W78" t="s">
        <v>1645</v>
      </c>
    </row>
    <row r="79" spans="1:23" outlineLevel="1" x14ac:dyDescent="0.4">
      <c r="A79" s="2" t="s">
        <v>511</v>
      </c>
      <c r="B79" s="10" t="s">
        <v>787</v>
      </c>
      <c r="C79" t="str">
        <f>_xlfn.LET(
 _xlpm.dOK,COUNTIF(クラス!A:A,E79)&gt;0,
 _xlpm.eOK,COUNTIF(クラス!A:A,F79)&gt;0,
 IF(_xlpm.dOK,"○","×") &amp; IF(_xlpm.eOK,"○","×")
)</f>
        <v>××</v>
      </c>
      <c r="S79" t="str">
        <f t="shared" si="1"/>
        <v>地中生物の巣</v>
      </c>
      <c r="W79" t="s">
        <v>1646</v>
      </c>
    </row>
    <row r="80" spans="1:23" outlineLevel="1" x14ac:dyDescent="0.4">
      <c r="A80" s="2" t="s">
        <v>511</v>
      </c>
      <c r="B80" s="10" t="s">
        <v>790</v>
      </c>
      <c r="C80" t="str">
        <f>_xlfn.LET(
 _xlpm.dOK,COUNTIF(クラス!A:A,E80)&gt;0,
 _xlpm.eOK,COUNTIF(クラス!A:A,F80)&gt;0,
 IF(_xlpm.dOK,"○","×") &amp; IF(_xlpm.eOK,"○","×")
)</f>
        <v>××</v>
      </c>
      <c r="R80" t="s">
        <v>790</v>
      </c>
      <c r="S80" t="str">
        <f t="shared" si="1"/>
        <v>肉食生物の巣</v>
      </c>
      <c r="U80" t="s">
        <v>791</v>
      </c>
      <c r="V80" t="s">
        <v>1265</v>
      </c>
      <c r="W80" t="s">
        <v>1647</v>
      </c>
    </row>
    <row r="81" spans="1:23" outlineLevel="1" x14ac:dyDescent="0.4">
      <c r="A81" s="2" t="s">
        <v>511</v>
      </c>
      <c r="B81" s="10" t="s">
        <v>796</v>
      </c>
      <c r="C81" t="str">
        <f>_xlfn.LET(
 _xlpm.dOK,COUNTIF(クラス!A:A,E81)&gt;0,
 _xlpm.eOK,COUNTIF(クラス!A:A,F81)&gt;0,
 IF(_xlpm.dOK,"○","×") &amp; IF(_xlpm.eOK,"○","×")
)</f>
        <v>××</v>
      </c>
      <c r="R81" t="s">
        <v>796</v>
      </c>
      <c r="S81" t="str">
        <f t="shared" si="1"/>
        <v>地中生物の巣</v>
      </c>
      <c r="U81" t="s">
        <v>1267</v>
      </c>
      <c r="V81" t="s">
        <v>1255</v>
      </c>
      <c r="W81" t="s">
        <v>1648</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791</v>
      </c>
      <c r="V83" t="s">
        <v>1265</v>
      </c>
    </row>
    <row r="84" spans="1:23" ht="36" x14ac:dyDescent="0.4">
      <c r="A84" s="2" t="s">
        <v>505</v>
      </c>
      <c r="B84" s="10" t="s">
        <v>791</v>
      </c>
      <c r="C84" t="str">
        <f>_xlfn.LET(
 _xlpm.dOK,COUNTIF(クラス!A:A,E84)&gt;0,
 _xlpm.eOK,COUNTIF(クラス!A:A,F84)&gt;0,
 IF(_xlpm.dOK,"○","×") &amp; IF(_xlpm.eOK,"○","×")
)</f>
        <v>○×</v>
      </c>
      <c r="E84" t="s">
        <v>859</v>
      </c>
      <c r="G84">
        <v>5</v>
      </c>
      <c r="H84">
        <v>10</v>
      </c>
      <c r="R84" t="s">
        <v>867</v>
      </c>
      <c r="S84" t="str">
        <f t="shared" si="1"/>
        <v>水の輪</v>
      </c>
      <c r="U84" t="s">
        <v>792</v>
      </c>
      <c r="V84" t="s">
        <v>1250</v>
      </c>
      <c r="W84" t="s">
        <v>1649</v>
      </c>
    </row>
    <row r="85" spans="1:23" ht="36" outlineLevel="1" x14ac:dyDescent="0.4">
      <c r="A85" s="2" t="s">
        <v>505</v>
      </c>
      <c r="B85" s="10" t="s">
        <v>870</v>
      </c>
      <c r="C85" t="str">
        <f>_xlfn.LET(
 _xlpm.dOK,COUNTIF(クラス!A:A,E85)&gt;0,
 _xlpm.eOK,COUNTIF(クラス!A:A,F85)&gt;0,
 IF(_xlpm.dOK,"○","×") &amp; IF(_xlpm.eOK,"○","×")
)</f>
        <v>○○</v>
      </c>
      <c r="D85" t="b">
        <v>1</v>
      </c>
      <c r="E85" t="s">
        <v>195</v>
      </c>
      <c r="F85" t="s">
        <v>818</v>
      </c>
      <c r="G85">
        <v>7</v>
      </c>
      <c r="H85">
        <v>10</v>
      </c>
      <c r="R85" t="s">
        <v>195</v>
      </c>
      <c r="S85" t="str">
        <f t="shared" si="1"/>
        <v>毒生成物の巣</v>
      </c>
      <c r="W85" t="s">
        <v>1650</v>
      </c>
    </row>
    <row r="86" spans="1:23" outlineLevel="1" x14ac:dyDescent="0.4">
      <c r="C86" t="str">
        <f>_xlfn.LET(
 _xlpm.dOK,COUNTIF(クラス!A:A,E86)&gt;0,
 _xlpm.eOK,COUNTIF(クラス!A:A,F86)&gt;0,
 IF(_xlpm.dOK,"○","×") &amp; IF(_xlpm.eOK,"○","×")
)</f>
        <v>××</v>
      </c>
      <c r="S86" t="str">
        <f t="shared" si="1"/>
        <v/>
      </c>
      <c r="U86" t="s">
        <v>792</v>
      </c>
      <c r="V86" t="s">
        <v>1250</v>
      </c>
    </row>
    <row r="87" spans="1:23" ht="36" outlineLevel="1" x14ac:dyDescent="0.4">
      <c r="A87" s="2" t="s">
        <v>506</v>
      </c>
      <c r="B87" s="10" t="s">
        <v>791</v>
      </c>
      <c r="C87" t="str">
        <f>_xlfn.LET(
 _xlpm.dOK,COUNTIF(クラス!A:A,E87)&gt;0,
 _xlpm.eOK,COUNTIF(クラス!A:A,F87)&gt;0,
 IF(_xlpm.dOK,"○","×") &amp; IF(_xlpm.eOK,"○","×")
)</f>
        <v>○×</v>
      </c>
      <c r="E87" t="s">
        <v>859</v>
      </c>
      <c r="G87">
        <v>15</v>
      </c>
      <c r="H87">
        <v>30</v>
      </c>
      <c r="R87" t="s">
        <v>867</v>
      </c>
      <c r="S87" t="str">
        <f t="shared" si="1"/>
        <v>水の輪</v>
      </c>
      <c r="U87" t="s">
        <v>791</v>
      </c>
      <c r="V87" t="s">
        <v>1265</v>
      </c>
      <c r="W87" t="s">
        <v>1651</v>
      </c>
    </row>
    <row r="88" spans="1:23" outlineLevel="1" x14ac:dyDescent="0.4">
      <c r="A88" s="2" t="s">
        <v>506</v>
      </c>
      <c r="B88" s="10" t="s">
        <v>792</v>
      </c>
      <c r="C88" t="str">
        <f>_xlfn.LET(
 _xlpm.dOK,COUNTIF(クラス!A:A,E88)&gt;0,
 _xlpm.eOK,COUNTIF(クラス!A:A,F88)&gt;0,
 IF(_xlpm.dOK,"○","×") &amp; IF(_xlpm.eOK,"○","×")
)</f>
        <v>○○</v>
      </c>
      <c r="D88" t="b">
        <v>1</v>
      </c>
      <c r="E88" t="s">
        <v>195</v>
      </c>
      <c r="F88" t="s">
        <v>819</v>
      </c>
      <c r="G88">
        <v>15</v>
      </c>
      <c r="H88">
        <v>20</v>
      </c>
      <c r="S88" t="str">
        <f t="shared" si="1"/>
        <v>肉食生物の巣</v>
      </c>
      <c r="W88" t="s">
        <v>1652</v>
      </c>
    </row>
    <row r="89" spans="1:23" outlineLevel="1" x14ac:dyDescent="0.4">
      <c r="C89" t="str">
        <f>_xlfn.LET(
 _xlpm.dOK,COUNTIF(クラス!A:A,E89)&gt;0,
 _xlpm.eOK,COUNTIF(クラス!A:A,F89)&gt;0,
 IF(_xlpm.dOK,"○","×") &amp; IF(_xlpm.eOK,"○","×")
)</f>
        <v>××</v>
      </c>
      <c r="S89" t="str">
        <f t="shared" si="1"/>
        <v/>
      </c>
      <c r="U89" t="s">
        <v>788</v>
      </c>
      <c r="V89" t="s">
        <v>1253</v>
      </c>
    </row>
    <row r="90" spans="1:23" outlineLevel="1" x14ac:dyDescent="0.4">
      <c r="A90" s="2" t="s">
        <v>507</v>
      </c>
      <c r="B90" s="10" t="s">
        <v>792</v>
      </c>
      <c r="C90" t="str">
        <f>_xlfn.LET(
 _xlpm.dOK,COUNTIF(クラス!A:A,E90)&gt;0,
 _xlpm.eOK,COUNTIF(クラス!A:A,F90)&gt;0,
 IF(_xlpm.dOK,"○","×") &amp; IF(_xlpm.eOK,"○","×")
)</f>
        <v>○○</v>
      </c>
      <c r="E90" t="s">
        <v>195</v>
      </c>
      <c r="F90" t="s">
        <v>819</v>
      </c>
      <c r="G90">
        <v>5</v>
      </c>
      <c r="H90">
        <v>20</v>
      </c>
      <c r="S90" t="str">
        <f t="shared" si="1"/>
        <v>肉食生物の巣</v>
      </c>
      <c r="U90" t="s">
        <v>808</v>
      </c>
      <c r="V90" t="s">
        <v>1268</v>
      </c>
      <c r="W90" t="s">
        <v>1653</v>
      </c>
    </row>
    <row r="91" spans="1:23" ht="36" outlineLevel="1" x14ac:dyDescent="0.4">
      <c r="A91" s="2" t="s">
        <v>507</v>
      </c>
      <c r="B91" s="10" t="s">
        <v>791</v>
      </c>
      <c r="C91" t="str">
        <f>_xlfn.LET(
 _xlpm.dOK,COUNTIF(クラス!A:A,E91)&gt;0,
 _xlpm.eOK,COUNTIF(クラス!A:A,F91)&gt;0,
 IF(_xlpm.dOK,"○","×") &amp; IF(_xlpm.eOK,"○","×")
)</f>
        <v>○×</v>
      </c>
      <c r="E91" t="s">
        <v>859</v>
      </c>
      <c r="G91">
        <v>15</v>
      </c>
      <c r="H91">
        <v>30</v>
      </c>
      <c r="R91" t="s">
        <v>867</v>
      </c>
      <c r="S91" t="str">
        <f t="shared" si="1"/>
        <v>水の輪</v>
      </c>
      <c r="U91" t="s">
        <v>809</v>
      </c>
      <c r="V91" t="s">
        <v>1268</v>
      </c>
      <c r="W91" t="s">
        <v>1654</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808</v>
      </c>
      <c r="V93" t="s">
        <v>1268</v>
      </c>
    </row>
    <row r="94" spans="1:23" x14ac:dyDescent="0.4">
      <c r="A94" s="2" t="s">
        <v>513</v>
      </c>
      <c r="B94" s="10" t="s">
        <v>788</v>
      </c>
      <c r="C94" t="str">
        <f>_xlfn.LET(
 _xlpm.dOK,COUNTIF(クラス!A:A,E94)&gt;0,
 _xlpm.eOK,COUNTIF(クラス!A:A,F94)&gt;0,
 IF(_xlpm.dOK,"○","×") &amp; IF(_xlpm.eOK,"○","×")
)</f>
        <v>××</v>
      </c>
      <c r="S94" t="str">
        <f t="shared" si="1"/>
        <v>飛竜の巣</v>
      </c>
      <c r="U94" t="s">
        <v>810</v>
      </c>
      <c r="V94" t="s">
        <v>1268</v>
      </c>
      <c r="W94" t="s">
        <v>1655</v>
      </c>
    </row>
    <row r="95" spans="1:23" ht="72" outlineLevel="1" x14ac:dyDescent="0.4">
      <c r="A95" s="2" t="s">
        <v>513</v>
      </c>
      <c r="B95" s="10" t="s">
        <v>808</v>
      </c>
      <c r="C95" t="str">
        <f>_xlfn.LET(
 _xlpm.dOK,COUNTIF(クラス!A:A,E95)&gt;0,
 _xlpm.eOK,COUNTIF(クラス!A:A,F95)&gt;0,
 IF(_xlpm.dOK,"○","×") &amp; IF(_xlpm.eOK,"○","×")
)</f>
        <v>○×</v>
      </c>
      <c r="D95" s="10"/>
      <c r="E95" s="10" t="s">
        <v>69</v>
      </c>
      <c r="G95">
        <v>15</v>
      </c>
      <c r="H95">
        <v>30</v>
      </c>
      <c r="R95" t="s">
        <v>1127</v>
      </c>
      <c r="S95" t="str">
        <f t="shared" si="1"/>
        <v>炎の輪</v>
      </c>
      <c r="U95" t="s">
        <v>1269</v>
      </c>
      <c r="V95" t="s">
        <v>1255</v>
      </c>
      <c r="W95" t="s">
        <v>1656</v>
      </c>
    </row>
    <row r="96" spans="1:23" outlineLevel="1" x14ac:dyDescent="0.4">
      <c r="A96" s="2" t="s">
        <v>513</v>
      </c>
      <c r="B96" s="10" t="s">
        <v>809</v>
      </c>
      <c r="C96" t="str">
        <f>_xlfn.LET(
 _xlpm.dOK,COUNTIF(クラス!A:A,E96)&gt;0,
 _xlpm.eOK,COUNTIF(クラス!A:A,F96)&gt;0,
 IF(_xlpm.dOK,"○","×") &amp; IF(_xlpm.eOK,"○","×")
)</f>
        <v>××</v>
      </c>
      <c r="S96" t="str">
        <f t="shared" si="1"/>
        <v>炎の輪</v>
      </c>
      <c r="W96" t="s">
        <v>1657</v>
      </c>
    </row>
    <row r="97" spans="1:23" outlineLevel="1" x14ac:dyDescent="0.4">
      <c r="C97" t="str">
        <f>_xlfn.LET(
 _xlpm.dOK,COUNTIF(クラス!A:A,E97)&gt;0,
 _xlpm.eOK,COUNTIF(クラス!A:A,F97)&gt;0,
 IF(_xlpm.dOK,"○","×") &amp; IF(_xlpm.eOK,"○","×")
)</f>
        <v>××</v>
      </c>
      <c r="S97" t="str">
        <f t="shared" si="1"/>
        <v/>
      </c>
      <c r="U97" t="s">
        <v>786</v>
      </c>
      <c r="V97" t="s">
        <v>1265</v>
      </c>
    </row>
    <row r="98" spans="1:23" outlineLevel="1" x14ac:dyDescent="0.4">
      <c r="C98" t="str">
        <f>_xlfn.LET(
 _xlpm.dOK,COUNTIF(クラス!A:A,E98)&gt;0,
 _xlpm.eOK,COUNTIF(クラス!A:A,F98)&gt;0,
 IF(_xlpm.dOK,"○","×") &amp; IF(_xlpm.eOK,"○","×")
)</f>
        <v>××</v>
      </c>
      <c r="S98" t="str">
        <f t="shared" si="1"/>
        <v/>
      </c>
      <c r="U98" t="s">
        <v>807</v>
      </c>
      <c r="V98" t="s">
        <v>1250</v>
      </c>
    </row>
    <row r="99" spans="1:23" ht="72" outlineLevel="1" x14ac:dyDescent="0.4">
      <c r="A99" s="2" t="s">
        <v>742</v>
      </c>
      <c r="B99" s="10" t="s">
        <v>808</v>
      </c>
      <c r="C99" t="str">
        <f>_xlfn.LET(
 _xlpm.dOK,COUNTIF(クラス!A:A,E99)&gt;0,
 _xlpm.eOK,COUNTIF(クラス!A:A,F99)&gt;0,
 IF(_xlpm.dOK,"○","×") &amp; IF(_xlpm.eOK,"○","×")
)</f>
        <v>○×</v>
      </c>
      <c r="D99" s="10"/>
      <c r="E99" s="10" t="s">
        <v>69</v>
      </c>
      <c r="G99">
        <v>10</v>
      </c>
      <c r="H99">
        <v>15</v>
      </c>
      <c r="R99" t="s">
        <v>1127</v>
      </c>
      <c r="S99" t="str">
        <f t="shared" si="1"/>
        <v>炎の輪</v>
      </c>
      <c r="U99" t="s">
        <v>1270</v>
      </c>
      <c r="V99" t="s">
        <v>1250</v>
      </c>
      <c r="W99" t="s">
        <v>1658</v>
      </c>
    </row>
    <row r="100" spans="1:23" ht="36" outlineLevel="1" x14ac:dyDescent="0.4">
      <c r="A100" s="2" t="s">
        <v>742</v>
      </c>
      <c r="B100" s="10" t="s">
        <v>810</v>
      </c>
      <c r="C100" t="str">
        <f>_xlfn.LET(
 _xlpm.dOK,COUNTIF(クラス!A:A,E100)&gt;0,
 _xlpm.eOK,COUNTIF(クラス!A:A,F100)&gt;0,
 IF(_xlpm.dOK,"○","×") &amp; IF(_xlpm.eOK,"○","×")
)</f>
        <v>××</v>
      </c>
      <c r="S100" t="str">
        <f t="shared" si="1"/>
        <v>炎の輪</v>
      </c>
      <c r="U100" t="s">
        <v>70</v>
      </c>
      <c r="V100" t="s">
        <v>1265</v>
      </c>
      <c r="W100" t="s">
        <v>1659</v>
      </c>
    </row>
    <row r="101" spans="1:23" outlineLevel="1" x14ac:dyDescent="0.4">
      <c r="A101" s="2" t="s">
        <v>742</v>
      </c>
      <c r="B101" s="10" t="s">
        <v>811</v>
      </c>
      <c r="C101" t="str">
        <f>_xlfn.LET(
 _xlpm.dOK,COUNTIF(クラス!A:A,E101)&gt;0,
 _xlpm.eOK,COUNTIF(クラス!A:A,F101)&gt;0,
 IF(_xlpm.dOK,"○","×") &amp; IF(_xlpm.eOK,"○","×")
)</f>
        <v>××</v>
      </c>
      <c r="S101" t="str">
        <f t="shared" si="1"/>
        <v>毒生成物の巣</v>
      </c>
      <c r="W101" t="s">
        <v>1660</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512</v>
      </c>
      <c r="B104" s="10" t="s">
        <v>786</v>
      </c>
      <c r="C104" t="str">
        <f>_xlfn.LET(
 _xlpm.dOK,COUNTIF(クラス!A:A,E104)&gt;0,
 _xlpm.eOK,COUNTIF(クラス!A:A,F104)&gt;0,
 IF(_xlpm.dOK,"○","×") &amp; IF(_xlpm.eOK,"○","×")
)</f>
        <v>××</v>
      </c>
      <c r="S104" t="str">
        <f t="shared" si="1"/>
        <v>水の輪</v>
      </c>
      <c r="W104" t="s">
        <v>1661</v>
      </c>
    </row>
    <row r="105" spans="1:23" outlineLevel="1" x14ac:dyDescent="0.4">
      <c r="A105" s="2" t="s">
        <v>512</v>
      </c>
      <c r="B105" s="10" t="s">
        <v>807</v>
      </c>
      <c r="C105" t="str">
        <f>_xlfn.LET(
 _xlpm.dOK,COUNTIF(クラス!A:A,E105)&gt;0,
 _xlpm.eOK,COUNTIF(クラス!A:A,F105)&gt;0,
 IF(_xlpm.dOK,"○","×") &amp; IF(_xlpm.eOK,"○","×")
)</f>
        <v>××</v>
      </c>
      <c r="S105" t="str">
        <f t="shared" si="1"/>
        <v>肉食生物の巣</v>
      </c>
      <c r="W105" t="s">
        <v>1662</v>
      </c>
    </row>
    <row r="106" spans="1:23" ht="36" outlineLevel="1" x14ac:dyDescent="0.4">
      <c r="A106" s="2" t="s">
        <v>512</v>
      </c>
      <c r="B106" s="10" t="s">
        <v>812</v>
      </c>
      <c r="C106" t="str">
        <f>_xlfn.LET(
 _xlpm.dOK,COUNTIF(クラス!A:A,E106)&gt;0,
 _xlpm.eOK,COUNTIF(クラス!A:A,F106)&gt;0,
 IF(_xlpm.dOK,"○","×") &amp; IF(_xlpm.eOK,"○","×")
)</f>
        <v>××</v>
      </c>
      <c r="S106" t="str">
        <f t="shared" si="1"/>
        <v>肉食生物の巣</v>
      </c>
      <c r="W106" t="s">
        <v>1663</v>
      </c>
    </row>
    <row r="107" spans="1:23"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c r="W107" t="s">
        <v>1664</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550</v>
      </c>
      <c r="B1" s="17" t="s">
        <v>164</v>
      </c>
      <c r="C1" s="17" t="s">
        <v>1570</v>
      </c>
      <c r="D1" s="17" t="s">
        <v>1677</v>
      </c>
      <c r="E1" s="17" t="s">
        <v>1678</v>
      </c>
      <c r="F1" s="17" t="s">
        <v>1679</v>
      </c>
      <c r="G1" s="17" t="s">
        <v>1680</v>
      </c>
      <c r="H1" s="17" t="s">
        <v>1681</v>
      </c>
      <c r="I1" s="17" t="s">
        <v>1682</v>
      </c>
      <c r="J1" s="17" t="s">
        <v>1683</v>
      </c>
      <c r="K1" s="17" t="s">
        <v>1684</v>
      </c>
      <c r="L1" s="17" t="s">
        <v>1685</v>
      </c>
      <c r="M1" s="17" t="s">
        <v>1686</v>
      </c>
      <c r="N1" s="17" t="s">
        <v>1687</v>
      </c>
    </row>
    <row r="2" spans="1:14" x14ac:dyDescent="0.4">
      <c r="A2" s="17" t="s">
        <v>551</v>
      </c>
      <c r="B2" s="17" t="s">
        <v>81</v>
      </c>
    </row>
    <row r="3" spans="1:14" ht="56.25" x14ac:dyDescent="0.4">
      <c r="A3" s="17" t="s">
        <v>552</v>
      </c>
      <c r="B3" s="17" t="s">
        <v>581</v>
      </c>
      <c r="C3" t="s">
        <v>1741</v>
      </c>
    </row>
    <row r="4" spans="1:14" ht="37.5" x14ac:dyDescent="0.4">
      <c r="A4" s="17" t="s">
        <v>497</v>
      </c>
      <c r="B4" s="17" t="s">
        <v>578</v>
      </c>
      <c r="C4" t="s">
        <v>1742</v>
      </c>
    </row>
    <row r="5" spans="1:14" x14ac:dyDescent="0.4">
      <c r="A5" s="17" t="s">
        <v>553</v>
      </c>
      <c r="B5" s="17" t="s">
        <v>577</v>
      </c>
      <c r="C5" t="s">
        <v>1743</v>
      </c>
    </row>
    <row r="6" spans="1:14" ht="37.5" x14ac:dyDescent="0.4">
      <c r="A6" s="17" t="s">
        <v>554</v>
      </c>
      <c r="B6" s="17" t="s">
        <v>580</v>
      </c>
      <c r="C6" t="s">
        <v>1744</v>
      </c>
    </row>
    <row r="7" spans="1:14" ht="75" x14ac:dyDescent="0.4">
      <c r="A7" s="17" t="s">
        <v>498</v>
      </c>
      <c r="B7" s="17" t="s">
        <v>576</v>
      </c>
      <c r="C7" t="s">
        <v>1745</v>
      </c>
    </row>
    <row r="8" spans="1:14" ht="37.5" x14ac:dyDescent="0.4">
      <c r="A8" s="17" t="s">
        <v>555</v>
      </c>
      <c r="B8" s="17" t="s">
        <v>579</v>
      </c>
      <c r="C8" t="s">
        <v>1746</v>
      </c>
    </row>
    <row r="9" spans="1:14" x14ac:dyDescent="0.4">
      <c r="A9" s="17" t="s">
        <v>556</v>
      </c>
      <c r="B9" s="17" t="s">
        <v>575</v>
      </c>
      <c r="C9" t="s">
        <v>1747</v>
      </c>
    </row>
    <row r="10" spans="1:14" x14ac:dyDescent="0.4">
      <c r="A10" s="17" t="s">
        <v>557</v>
      </c>
      <c r="B10" s="17" t="s">
        <v>574</v>
      </c>
      <c r="C10" t="s">
        <v>1748</v>
      </c>
    </row>
    <row r="11" spans="1:14" x14ac:dyDescent="0.4">
      <c r="A11" s="17" t="s">
        <v>558</v>
      </c>
      <c r="B11" s="17" t="s">
        <v>1364</v>
      </c>
      <c r="C11" t="s">
        <v>1749</v>
      </c>
      <c r="D11">
        <v>0.01</v>
      </c>
      <c r="E11">
        <v>1</v>
      </c>
      <c r="F11">
        <v>1</v>
      </c>
      <c r="G11">
        <v>3</v>
      </c>
      <c r="H11">
        <v>0.35</v>
      </c>
      <c r="I11">
        <v>38</v>
      </c>
      <c r="J11">
        <v>0.5</v>
      </c>
      <c r="K11">
        <v>2</v>
      </c>
      <c r="L11">
        <v>1</v>
      </c>
      <c r="M11">
        <v>3</v>
      </c>
      <c r="N11">
        <v>10</v>
      </c>
    </row>
    <row r="12" spans="1:14" x14ac:dyDescent="0.4">
      <c r="A12" s="17" t="s">
        <v>559</v>
      </c>
      <c r="B12" s="17" t="s">
        <v>560</v>
      </c>
      <c r="C12" t="s">
        <v>1750</v>
      </c>
    </row>
    <row r="15" spans="1:14" x14ac:dyDescent="0.4">
      <c r="A15" s="17" t="s">
        <v>551</v>
      </c>
      <c r="B15" s="17" t="s">
        <v>81</v>
      </c>
    </row>
    <row r="16" spans="1:14" x14ac:dyDescent="0.4">
      <c r="A16" s="17" t="s">
        <v>583</v>
      </c>
      <c r="B16" s="17" t="s">
        <v>582</v>
      </c>
      <c r="C16" t="s">
        <v>1751</v>
      </c>
    </row>
    <row r="17" spans="1:3" x14ac:dyDescent="0.4">
      <c r="A17" s="17" t="s">
        <v>561</v>
      </c>
      <c r="B17" s="17" t="s">
        <v>588</v>
      </c>
      <c r="C17" t="s">
        <v>1752</v>
      </c>
    </row>
    <row r="18" spans="1:3" x14ac:dyDescent="0.4">
      <c r="A18" s="17" t="s">
        <v>562</v>
      </c>
      <c r="B18" s="17" t="s">
        <v>587</v>
      </c>
      <c r="C18" t="s">
        <v>1753</v>
      </c>
    </row>
    <row r="19" spans="1:3" ht="37.5" x14ac:dyDescent="0.4">
      <c r="A19" s="17" t="s">
        <v>563</v>
      </c>
      <c r="B19" s="17" t="s">
        <v>589</v>
      </c>
      <c r="C19" t="s">
        <v>1754</v>
      </c>
    </row>
    <row r="20" spans="1:3" ht="56.25" x14ac:dyDescent="0.4">
      <c r="A20" s="17" t="s">
        <v>590</v>
      </c>
      <c r="B20" s="17" t="s">
        <v>591</v>
      </c>
      <c r="C20" t="s">
        <v>1755</v>
      </c>
    </row>
    <row r="21" spans="1:3" x14ac:dyDescent="0.4">
      <c r="A21" s="17" t="s">
        <v>564</v>
      </c>
      <c r="B21" s="17" t="s">
        <v>586</v>
      </c>
      <c r="C21" t="s">
        <v>1756</v>
      </c>
    </row>
    <row r="22" spans="1:3" x14ac:dyDescent="0.4">
      <c r="A22" s="17" t="s">
        <v>584</v>
      </c>
      <c r="B22" s="17" t="s">
        <v>585</v>
      </c>
      <c r="C22" t="s">
        <v>1757</v>
      </c>
    </row>
    <row r="25" spans="1:3" x14ac:dyDescent="0.4">
      <c r="A25" s="17" t="s">
        <v>551</v>
      </c>
      <c r="B25" s="17" t="s">
        <v>81</v>
      </c>
    </row>
    <row r="26" spans="1:3" x14ac:dyDescent="0.4">
      <c r="A26" s="17" t="s">
        <v>565</v>
      </c>
      <c r="B26" s="17" t="s">
        <v>597</v>
      </c>
      <c r="C26" t="s">
        <v>1758</v>
      </c>
    </row>
    <row r="27" spans="1:3" ht="56.25" x14ac:dyDescent="0.4">
      <c r="A27" s="17" t="s">
        <v>566</v>
      </c>
      <c r="B27" s="17" t="s">
        <v>598</v>
      </c>
      <c r="C27" t="s">
        <v>1759</v>
      </c>
    </row>
    <row r="28" spans="1:3" ht="37.5" x14ac:dyDescent="0.4">
      <c r="A28" s="17" t="s">
        <v>567</v>
      </c>
      <c r="B28" s="17" t="s">
        <v>592</v>
      </c>
      <c r="C28" t="s">
        <v>1760</v>
      </c>
    </row>
    <row r="29" spans="1:3" ht="37.5" x14ac:dyDescent="0.4">
      <c r="A29" s="17" t="s">
        <v>568</v>
      </c>
      <c r="B29" s="17" t="s">
        <v>593</v>
      </c>
      <c r="C29" t="s">
        <v>1761</v>
      </c>
    </row>
    <row r="30" spans="1:3" x14ac:dyDescent="0.4">
      <c r="A30" s="17" t="s">
        <v>569</v>
      </c>
      <c r="B30" s="17" t="s">
        <v>570</v>
      </c>
      <c r="C30" t="s">
        <v>1762</v>
      </c>
    </row>
    <row r="31" spans="1:3" x14ac:dyDescent="0.4">
      <c r="A31" s="17" t="s">
        <v>571</v>
      </c>
      <c r="B31" s="17" t="s">
        <v>572</v>
      </c>
      <c r="C31" t="s">
        <v>1763</v>
      </c>
    </row>
    <row r="32" spans="1:3" x14ac:dyDescent="0.4">
      <c r="A32" s="17" t="s">
        <v>594</v>
      </c>
      <c r="B32" s="17" t="s">
        <v>595</v>
      </c>
      <c r="C32" t="s">
        <v>1764</v>
      </c>
    </row>
    <row r="34" spans="1:3" x14ac:dyDescent="0.4">
      <c r="A34" s="17" t="s">
        <v>573</v>
      </c>
      <c r="B34" s="17" t="s">
        <v>599</v>
      </c>
      <c r="C34" t="s">
        <v>1765</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29" workbookViewId="0">
      <selection activeCell="A52" sqref="A50:D52"/>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944</v>
      </c>
      <c r="B1" t="s">
        <v>1394</v>
      </c>
      <c r="C1" t="s">
        <v>657</v>
      </c>
      <c r="D1" s="17" t="s">
        <v>658</v>
      </c>
      <c r="E1" t="s">
        <v>964</v>
      </c>
      <c r="F1" t="s">
        <v>1395</v>
      </c>
      <c r="G1" t="s">
        <v>1396</v>
      </c>
      <c r="H1" t="s">
        <v>1397</v>
      </c>
      <c r="I1" t="s">
        <v>1398</v>
      </c>
      <c r="J1" t="s">
        <v>1399</v>
      </c>
      <c r="K1" t="s">
        <v>1400</v>
      </c>
      <c r="L1" t="s">
        <v>1401</v>
      </c>
      <c r="M1" t="s">
        <v>1402</v>
      </c>
      <c r="N1" t="s">
        <v>1403</v>
      </c>
    </row>
    <row r="2" spans="1:14" x14ac:dyDescent="0.4">
      <c r="A2" t="s">
        <v>1404</v>
      </c>
      <c r="C2" t="s">
        <v>1405</v>
      </c>
      <c r="D2" s="17" t="s">
        <v>1406</v>
      </c>
    </row>
    <row r="3" spans="1:14" ht="37.5" x14ac:dyDescent="0.4">
      <c r="A3" t="s">
        <v>1407</v>
      </c>
      <c r="C3" t="s">
        <v>1218</v>
      </c>
      <c r="D3" s="17" t="s">
        <v>1408</v>
      </c>
    </row>
    <row r="4" spans="1:14" x14ac:dyDescent="0.4">
      <c r="A4" t="s">
        <v>1409</v>
      </c>
      <c r="C4" t="s">
        <v>1410</v>
      </c>
      <c r="D4" s="17" t="s">
        <v>1411</v>
      </c>
      <c r="E4" t="s">
        <v>1222</v>
      </c>
    </row>
    <row r="5" spans="1:14" ht="37.5" x14ac:dyDescent="0.4">
      <c r="A5" t="s">
        <v>1412</v>
      </c>
      <c r="C5" t="s">
        <v>1410</v>
      </c>
      <c r="D5" s="17" t="s">
        <v>1413</v>
      </c>
      <c r="E5" t="s">
        <v>1414</v>
      </c>
    </row>
    <row r="6" spans="1:14" ht="37.5" x14ac:dyDescent="0.4">
      <c r="A6" t="s">
        <v>1415</v>
      </c>
      <c r="C6" t="s">
        <v>1410</v>
      </c>
      <c r="D6" s="17" t="s">
        <v>1416</v>
      </c>
      <c r="E6" t="s">
        <v>1417</v>
      </c>
    </row>
    <row r="7" spans="1:14" ht="37.5" x14ac:dyDescent="0.4">
      <c r="A7" t="s">
        <v>1418</v>
      </c>
      <c r="C7" t="s">
        <v>1410</v>
      </c>
      <c r="D7" s="17" t="s">
        <v>1419</v>
      </c>
      <c r="E7" t="s">
        <v>1420</v>
      </c>
    </row>
    <row r="8" spans="1:14" ht="37.5" x14ac:dyDescent="0.4">
      <c r="A8" t="s">
        <v>1421</v>
      </c>
      <c r="C8" t="s">
        <v>1410</v>
      </c>
      <c r="D8" s="17" t="s">
        <v>1422</v>
      </c>
      <c r="E8" t="s">
        <v>1423</v>
      </c>
    </row>
    <row r="9" spans="1:14" x14ac:dyDescent="0.4">
      <c r="A9" t="s">
        <v>1424</v>
      </c>
      <c r="C9" t="s">
        <v>1424</v>
      </c>
      <c r="D9" s="17" t="s">
        <v>1425</v>
      </c>
    </row>
    <row r="10" spans="1:14" x14ac:dyDescent="0.4">
      <c r="A10" t="s">
        <v>1426</v>
      </c>
      <c r="C10" t="s">
        <v>1424</v>
      </c>
      <c r="D10" s="17" t="s">
        <v>1427</v>
      </c>
    </row>
    <row r="11" spans="1:14" x14ac:dyDescent="0.4">
      <c r="A11" t="s">
        <v>1428</v>
      </c>
      <c r="C11" t="s">
        <v>1424</v>
      </c>
      <c r="D11" s="17" t="s">
        <v>1429</v>
      </c>
    </row>
    <row r="12" spans="1:14" x14ac:dyDescent="0.4">
      <c r="A12" t="s">
        <v>1430</v>
      </c>
      <c r="C12" t="s">
        <v>1431</v>
      </c>
      <c r="D12" s="17" t="s">
        <v>1432</v>
      </c>
    </row>
    <row r="13" spans="1:14" ht="37.5" x14ac:dyDescent="0.4">
      <c r="A13" t="s">
        <v>1433</v>
      </c>
      <c r="C13" t="s">
        <v>1434</v>
      </c>
      <c r="D13" s="17" t="s">
        <v>950</v>
      </c>
    </row>
    <row r="14" spans="1:14" x14ac:dyDescent="0.4">
      <c r="A14" t="s">
        <v>247</v>
      </c>
    </row>
    <row r="15" spans="1:14" x14ac:dyDescent="0.4">
      <c r="A15" t="s">
        <v>1435</v>
      </c>
      <c r="C15" t="s">
        <v>1436</v>
      </c>
      <c r="D15" s="17" t="s">
        <v>1437</v>
      </c>
    </row>
    <row r="16" spans="1:14" x14ac:dyDescent="0.4">
      <c r="A16" t="s">
        <v>1439</v>
      </c>
      <c r="C16" t="s">
        <v>1436</v>
      </c>
      <c r="D16" s="17" t="s">
        <v>1440</v>
      </c>
    </row>
    <row r="17" spans="1:5" x14ac:dyDescent="0.4">
      <c r="A17" t="s">
        <v>1441</v>
      </c>
      <c r="C17" t="s">
        <v>1442</v>
      </c>
      <c r="D17" s="17" t="s">
        <v>1443</v>
      </c>
    </row>
    <row r="18" spans="1:5" ht="37.5" x14ac:dyDescent="0.4">
      <c r="A18" t="s">
        <v>1444</v>
      </c>
      <c r="C18" t="s">
        <v>1445</v>
      </c>
      <c r="D18" s="17" t="s">
        <v>945</v>
      </c>
    </row>
    <row r="19" spans="1:5" x14ac:dyDescent="0.4">
      <c r="A19" t="s">
        <v>1446</v>
      </c>
      <c r="C19" t="s">
        <v>1447</v>
      </c>
      <c r="D19" s="17" t="s">
        <v>1448</v>
      </c>
    </row>
    <row r="20" spans="1:5" ht="37.5" x14ac:dyDescent="0.4">
      <c r="A20" t="s">
        <v>1449</v>
      </c>
      <c r="C20" t="s">
        <v>1447</v>
      </c>
      <c r="D20" s="17" t="s">
        <v>1450</v>
      </c>
    </row>
    <row r="21" spans="1:5" x14ac:dyDescent="0.4">
      <c r="A21" t="s">
        <v>1451</v>
      </c>
      <c r="C21" t="s">
        <v>1452</v>
      </c>
      <c r="D21" s="17" t="s">
        <v>1453</v>
      </c>
    </row>
    <row r="22" spans="1:5" x14ac:dyDescent="0.4">
      <c r="A22" t="s">
        <v>1454</v>
      </c>
      <c r="C22" t="s">
        <v>1455</v>
      </c>
      <c r="D22" s="17" t="s">
        <v>1456</v>
      </c>
    </row>
    <row r="23" spans="1:5" x14ac:dyDescent="0.4">
      <c r="A23" t="s">
        <v>1457</v>
      </c>
      <c r="D23" s="17" t="s">
        <v>1458</v>
      </c>
    </row>
    <row r="24" spans="1:5" x14ac:dyDescent="0.4">
      <c r="A24" t="s">
        <v>1459</v>
      </c>
      <c r="D24" s="17" t="s">
        <v>1460</v>
      </c>
    </row>
    <row r="26" spans="1:5" x14ac:dyDescent="0.4">
      <c r="A26" t="s">
        <v>1444</v>
      </c>
    </row>
    <row r="28" spans="1:5" x14ac:dyDescent="0.4">
      <c r="A28" t="s">
        <v>1461</v>
      </c>
    </row>
    <row r="29" spans="1:5" x14ac:dyDescent="0.4">
      <c r="A29" s="43" t="s">
        <v>1462</v>
      </c>
      <c r="B29" s="43">
        <v>12</v>
      </c>
      <c r="C29" t="s">
        <v>1463</v>
      </c>
      <c r="D29" s="17" t="s">
        <v>1464</v>
      </c>
      <c r="E29" t="s">
        <v>226</v>
      </c>
    </row>
    <row r="30" spans="1:5" x14ac:dyDescent="0.4">
      <c r="A30" s="43" t="s">
        <v>1465</v>
      </c>
      <c r="B30" s="43">
        <v>13</v>
      </c>
      <c r="C30" t="s">
        <v>1463</v>
      </c>
      <c r="D30" s="17" t="s">
        <v>1466</v>
      </c>
      <c r="E30" t="s">
        <v>226</v>
      </c>
    </row>
    <row r="31" spans="1:5" x14ac:dyDescent="0.4">
      <c r="A31" s="43" t="s">
        <v>1467</v>
      </c>
      <c r="B31" s="43">
        <v>14</v>
      </c>
      <c r="C31" t="s">
        <v>1463</v>
      </c>
      <c r="D31" s="17" t="s">
        <v>1468</v>
      </c>
      <c r="E31" t="s">
        <v>226</v>
      </c>
    </row>
    <row r="32" spans="1:5" x14ac:dyDescent="0.4">
      <c r="A32" s="43" t="s">
        <v>1469</v>
      </c>
      <c r="B32" s="43">
        <v>15</v>
      </c>
      <c r="C32" t="s">
        <v>1463</v>
      </c>
      <c r="D32" s="17" t="s">
        <v>1470</v>
      </c>
      <c r="E32" t="s">
        <v>228</v>
      </c>
    </row>
    <row r="33" spans="1:5" x14ac:dyDescent="0.4">
      <c r="A33" s="42" t="s">
        <v>1471</v>
      </c>
      <c r="B33" s="42">
        <v>10</v>
      </c>
      <c r="C33" t="s">
        <v>1471</v>
      </c>
      <c r="D33" s="17" t="s">
        <v>1472</v>
      </c>
      <c r="E33" t="s">
        <v>227</v>
      </c>
    </row>
    <row r="34" spans="1:5" x14ac:dyDescent="0.4">
      <c r="A34" s="42" t="s">
        <v>1473</v>
      </c>
      <c r="B34" s="42">
        <v>9</v>
      </c>
      <c r="C34" t="s">
        <v>1471</v>
      </c>
      <c r="D34" s="17" t="s">
        <v>1474</v>
      </c>
      <c r="E34" t="s">
        <v>227</v>
      </c>
    </row>
    <row r="35" spans="1:5" x14ac:dyDescent="0.4">
      <c r="A35" s="42" t="s">
        <v>1475</v>
      </c>
      <c r="B35" s="42">
        <v>8</v>
      </c>
      <c r="C35" t="s">
        <v>1471</v>
      </c>
      <c r="D35" s="17" t="s">
        <v>1476</v>
      </c>
      <c r="E35" t="s">
        <v>227</v>
      </c>
    </row>
    <row r="36" spans="1:5" x14ac:dyDescent="0.4">
      <c r="A36" s="44" t="s">
        <v>1477</v>
      </c>
      <c r="B36" s="44">
        <v>11</v>
      </c>
      <c r="C36" t="s">
        <v>1477</v>
      </c>
      <c r="D36" s="17" t="s">
        <v>1478</v>
      </c>
      <c r="E36" t="s">
        <v>229</v>
      </c>
    </row>
    <row r="37" spans="1:5" x14ac:dyDescent="0.4">
      <c r="A37" s="44" t="s">
        <v>1479</v>
      </c>
      <c r="B37" s="44">
        <v>4</v>
      </c>
      <c r="C37" t="s">
        <v>960</v>
      </c>
      <c r="D37" s="17" t="s">
        <v>1480</v>
      </c>
      <c r="E37" t="s">
        <v>229</v>
      </c>
    </row>
    <row r="38" spans="1:5" x14ac:dyDescent="0.4">
      <c r="A38" s="44" t="s">
        <v>1481</v>
      </c>
      <c r="B38" s="44">
        <v>3</v>
      </c>
      <c r="C38" t="s">
        <v>1482</v>
      </c>
      <c r="D38" s="17" t="s">
        <v>973</v>
      </c>
      <c r="E38" t="s">
        <v>229</v>
      </c>
    </row>
    <row r="39" spans="1:5" x14ac:dyDescent="0.4">
      <c r="A39" s="44" t="s">
        <v>1483</v>
      </c>
      <c r="B39" s="44">
        <v>2</v>
      </c>
      <c r="C39" t="s">
        <v>1482</v>
      </c>
      <c r="D39" s="17" t="s">
        <v>1484</v>
      </c>
      <c r="E39" t="s">
        <v>229</v>
      </c>
    </row>
    <row r="40" spans="1:5" x14ac:dyDescent="0.4">
      <c r="A40" s="44" t="s">
        <v>1485</v>
      </c>
      <c r="B40" s="44">
        <v>1</v>
      </c>
      <c r="C40" t="s">
        <v>1482</v>
      </c>
      <c r="D40" s="17" t="s">
        <v>1486</v>
      </c>
      <c r="E40" t="s">
        <v>229</v>
      </c>
    </row>
    <row r="41" spans="1:5" x14ac:dyDescent="0.4">
      <c r="A41" s="36" t="s">
        <v>1487</v>
      </c>
      <c r="B41" s="36">
        <v>6</v>
      </c>
      <c r="C41" t="s">
        <v>959</v>
      </c>
      <c r="D41" s="17" t="s">
        <v>1488</v>
      </c>
      <c r="E41" t="s">
        <v>229</v>
      </c>
    </row>
    <row r="42" spans="1:5" x14ac:dyDescent="0.4">
      <c r="A42" s="36" t="s">
        <v>1489</v>
      </c>
      <c r="B42" s="36">
        <v>7</v>
      </c>
      <c r="C42" t="s">
        <v>1490</v>
      </c>
      <c r="D42" s="17" t="s">
        <v>1491</v>
      </c>
      <c r="E42" t="s">
        <v>229</v>
      </c>
    </row>
    <row r="43" spans="1:5" x14ac:dyDescent="0.4">
      <c r="A43" s="36" t="s">
        <v>1492</v>
      </c>
      <c r="B43" s="36">
        <v>5</v>
      </c>
      <c r="C43" t="s">
        <v>1492</v>
      </c>
      <c r="D43" s="17" t="s">
        <v>1493</v>
      </c>
      <c r="E43" t="s">
        <v>229</v>
      </c>
    </row>
    <row r="44" spans="1:5" x14ac:dyDescent="0.4">
      <c r="A44" s="56" t="s">
        <v>1494</v>
      </c>
      <c r="B44" s="56">
        <v>17</v>
      </c>
      <c r="C44" t="s">
        <v>1495</v>
      </c>
      <c r="D44" s="17" t="s">
        <v>1496</v>
      </c>
    </row>
    <row r="45" spans="1:5" x14ac:dyDescent="0.4">
      <c r="A45" s="56" t="s">
        <v>1497</v>
      </c>
      <c r="B45" s="56">
        <v>16</v>
      </c>
      <c r="C45" t="s">
        <v>1495</v>
      </c>
      <c r="D45" s="17" t="s">
        <v>1498</v>
      </c>
    </row>
    <row r="46" spans="1:5" x14ac:dyDescent="0.4">
      <c r="A46" t="s">
        <v>1499</v>
      </c>
    </row>
    <row r="47" spans="1:5" x14ac:dyDescent="0.4">
      <c r="A47" s="36" t="s">
        <v>1500</v>
      </c>
      <c r="B47" s="36"/>
    </row>
    <row r="48" spans="1:5" x14ac:dyDescent="0.4">
      <c r="A48" s="36" t="s">
        <v>1501</v>
      </c>
      <c r="B48" s="36"/>
    </row>
    <row r="49" spans="1:14" x14ac:dyDescent="0.4">
      <c r="A49" s="36" t="s">
        <v>1502</v>
      </c>
      <c r="B49" s="36"/>
    </row>
    <row r="50" spans="1:14" x14ac:dyDescent="0.4">
      <c r="A50" t="s">
        <v>1503</v>
      </c>
      <c r="C50" t="s">
        <v>1389</v>
      </c>
      <c r="D50" s="17" t="s">
        <v>1505</v>
      </c>
      <c r="F50" t="s">
        <v>1504</v>
      </c>
      <c r="G50" t="s">
        <v>1217</v>
      </c>
      <c r="H50">
        <v>1</v>
      </c>
      <c r="I50">
        <v>0</v>
      </c>
      <c r="J50">
        <v>1</v>
      </c>
      <c r="K50">
        <v>1</v>
      </c>
      <c r="L50" t="b">
        <v>0</v>
      </c>
      <c r="M50">
        <v>1</v>
      </c>
    </row>
    <row r="51" spans="1:14" x14ac:dyDescent="0.4">
      <c r="A51" t="s">
        <v>1506</v>
      </c>
      <c r="C51" t="s">
        <v>1389</v>
      </c>
      <c r="D51" s="17" t="s">
        <v>1508</v>
      </c>
      <c r="F51" t="s">
        <v>1507</v>
      </c>
      <c r="G51" t="s">
        <v>1438</v>
      </c>
      <c r="H51">
        <v>1</v>
      </c>
      <c r="I51">
        <v>4</v>
      </c>
      <c r="J51">
        <v>2.5</v>
      </c>
      <c r="K51">
        <v>4</v>
      </c>
      <c r="L51" t="b">
        <v>1</v>
      </c>
      <c r="M51">
        <v>2</v>
      </c>
    </row>
    <row r="52" spans="1:14" x14ac:dyDescent="0.4">
      <c r="A52" t="s">
        <v>1509</v>
      </c>
      <c r="C52" t="s">
        <v>1389</v>
      </c>
      <c r="D52" s="17" t="s">
        <v>1512</v>
      </c>
      <c r="F52" t="s">
        <v>1510</v>
      </c>
      <c r="G52" t="s">
        <v>1511</v>
      </c>
      <c r="H52">
        <v>3</v>
      </c>
      <c r="I52">
        <v>5</v>
      </c>
      <c r="J52">
        <v>3</v>
      </c>
      <c r="K52">
        <v>5</v>
      </c>
      <c r="L52" t="b">
        <v>1</v>
      </c>
      <c r="M52">
        <v>3</v>
      </c>
    </row>
    <row r="53" spans="1:14" x14ac:dyDescent="0.4">
      <c r="A53">
        <v>1</v>
      </c>
      <c r="C53" t="s">
        <v>1513</v>
      </c>
      <c r="D53" s="17" t="s">
        <v>1514</v>
      </c>
      <c r="N53">
        <v>1</v>
      </c>
    </row>
    <row r="54" spans="1:14" x14ac:dyDescent="0.4">
      <c r="A54">
        <v>2</v>
      </c>
      <c r="C54" t="s">
        <v>1513</v>
      </c>
      <c r="D54" s="17" t="s">
        <v>1515</v>
      </c>
      <c r="N54">
        <v>1.1499999999999999</v>
      </c>
    </row>
    <row r="55" spans="1:14" x14ac:dyDescent="0.4">
      <c r="A55">
        <v>3</v>
      </c>
      <c r="C55" t="s">
        <v>1513</v>
      </c>
      <c r="D55" s="17" t="s">
        <v>1516</v>
      </c>
      <c r="N55">
        <v>1.3</v>
      </c>
    </row>
    <row r="56" spans="1:14" x14ac:dyDescent="0.4">
      <c r="A56">
        <v>4</v>
      </c>
      <c r="C56" t="s">
        <v>1513</v>
      </c>
      <c r="D56" s="17" t="s">
        <v>1517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600</v>
      </c>
      <c r="C1" t="s">
        <v>516</v>
      </c>
      <c r="D1" t="s">
        <v>159</v>
      </c>
      <c r="E1" t="s">
        <v>517</v>
      </c>
      <c r="F1" t="s">
        <v>518</v>
      </c>
    </row>
    <row r="2" spans="1:6" x14ac:dyDescent="0.4">
      <c r="A2" t="s">
        <v>520</v>
      </c>
      <c r="B2" s="40" t="s">
        <v>519</v>
      </c>
      <c r="C2" t="s">
        <v>521</v>
      </c>
      <c r="D2" t="s">
        <v>612</v>
      </c>
      <c r="E2" t="s">
        <v>522</v>
      </c>
      <c r="F2" t="s">
        <v>523</v>
      </c>
    </row>
    <row r="3" spans="1:6" x14ac:dyDescent="0.4">
      <c r="A3" t="s">
        <v>524</v>
      </c>
      <c r="B3" s="40" t="s">
        <v>519</v>
      </c>
      <c r="C3" t="s">
        <v>521</v>
      </c>
      <c r="D3" t="s">
        <v>611</v>
      </c>
      <c r="E3" t="s">
        <v>522</v>
      </c>
      <c r="F3" t="s">
        <v>523</v>
      </c>
    </row>
    <row r="4" spans="1:6" x14ac:dyDescent="0.4">
      <c r="A4" t="s">
        <v>525</v>
      </c>
      <c r="B4" s="40" t="s">
        <v>519</v>
      </c>
      <c r="C4" t="s">
        <v>521</v>
      </c>
      <c r="D4" t="s">
        <v>610</v>
      </c>
      <c r="E4" t="s">
        <v>522</v>
      </c>
      <c r="F4" t="s">
        <v>523</v>
      </c>
    </row>
    <row r="5" spans="1:6" x14ac:dyDescent="0.4">
      <c r="A5" t="s">
        <v>526</v>
      </c>
      <c r="B5" s="40" t="s">
        <v>519</v>
      </c>
      <c r="C5" t="s">
        <v>521</v>
      </c>
      <c r="D5" t="s">
        <v>609</v>
      </c>
      <c r="E5" t="s">
        <v>522</v>
      </c>
      <c r="F5" t="s">
        <v>523</v>
      </c>
    </row>
    <row r="6" spans="1:6" x14ac:dyDescent="0.4">
      <c r="A6" t="s">
        <v>527</v>
      </c>
      <c r="B6" s="40" t="s">
        <v>519</v>
      </c>
      <c r="C6" t="s">
        <v>521</v>
      </c>
      <c r="D6" t="s">
        <v>608</v>
      </c>
      <c r="E6" t="s">
        <v>522</v>
      </c>
      <c r="F6" t="s">
        <v>523</v>
      </c>
    </row>
    <row r="7" spans="1:6" x14ac:dyDescent="0.4">
      <c r="A7" t="s">
        <v>528</v>
      </c>
      <c r="B7" s="40" t="s">
        <v>519</v>
      </c>
      <c r="C7" t="s">
        <v>521</v>
      </c>
      <c r="D7" t="s">
        <v>607</v>
      </c>
      <c r="E7" t="s">
        <v>522</v>
      </c>
      <c r="F7" t="s">
        <v>523</v>
      </c>
    </row>
    <row r="8" spans="1:6" x14ac:dyDescent="0.4">
      <c r="A8" t="s">
        <v>529</v>
      </c>
      <c r="B8" s="40" t="s">
        <v>519</v>
      </c>
      <c r="C8" t="s">
        <v>521</v>
      </c>
      <c r="D8" t="s">
        <v>606</v>
      </c>
      <c r="E8" t="s">
        <v>522</v>
      </c>
      <c r="F8" t="s">
        <v>523</v>
      </c>
    </row>
    <row r="9" spans="1:6" x14ac:dyDescent="0.4">
      <c r="A9" t="s">
        <v>530</v>
      </c>
      <c r="B9" s="40" t="s">
        <v>519</v>
      </c>
      <c r="C9" t="s">
        <v>521</v>
      </c>
      <c r="E9" t="s">
        <v>522</v>
      </c>
      <c r="F9" t="s">
        <v>523</v>
      </c>
    </row>
    <row r="10" spans="1:6" x14ac:dyDescent="0.4">
      <c r="A10" t="s">
        <v>531</v>
      </c>
      <c r="B10" s="40" t="s">
        <v>519</v>
      </c>
      <c r="C10" t="s">
        <v>521</v>
      </c>
      <c r="D10" t="s">
        <v>601</v>
      </c>
      <c r="E10" t="s">
        <v>522</v>
      </c>
      <c r="F10" t="s">
        <v>523</v>
      </c>
    </row>
    <row r="11" spans="1:6" x14ac:dyDescent="0.4">
      <c r="A11" t="s">
        <v>532</v>
      </c>
      <c r="B11" s="40" t="s">
        <v>519</v>
      </c>
      <c r="C11" t="s">
        <v>521</v>
      </c>
      <c r="D11" t="s">
        <v>605</v>
      </c>
      <c r="E11" t="s">
        <v>522</v>
      </c>
      <c r="F11" t="s">
        <v>523</v>
      </c>
    </row>
    <row r="12" spans="1:6" x14ac:dyDescent="0.4">
      <c r="A12" t="s">
        <v>533</v>
      </c>
      <c r="B12" s="40" t="s">
        <v>519</v>
      </c>
      <c r="C12" t="s">
        <v>521</v>
      </c>
      <c r="D12" t="s">
        <v>602</v>
      </c>
      <c r="E12" t="s">
        <v>522</v>
      </c>
      <c r="F12" t="s">
        <v>523</v>
      </c>
    </row>
    <row r="13" spans="1:6" x14ac:dyDescent="0.4">
      <c r="A13" t="s">
        <v>534</v>
      </c>
      <c r="B13" s="40" t="s">
        <v>519</v>
      </c>
      <c r="C13" t="s">
        <v>521</v>
      </c>
      <c r="E13" t="s">
        <v>522</v>
      </c>
      <c r="F13" t="s">
        <v>523</v>
      </c>
    </row>
    <row r="14" spans="1:6" x14ac:dyDescent="0.4">
      <c r="A14" t="s">
        <v>535</v>
      </c>
      <c r="B14" s="40" t="s">
        <v>519</v>
      </c>
      <c r="C14" t="s">
        <v>521</v>
      </c>
      <c r="D14" t="s">
        <v>603</v>
      </c>
      <c r="E14" t="s">
        <v>522</v>
      </c>
      <c r="F14" t="s">
        <v>523</v>
      </c>
    </row>
    <row r="15" spans="1:6" x14ac:dyDescent="0.4">
      <c r="A15" t="s">
        <v>536</v>
      </c>
      <c r="B15" s="40" t="s">
        <v>519</v>
      </c>
      <c r="C15" t="s">
        <v>521</v>
      </c>
      <c r="D15" t="s">
        <v>604</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613</v>
      </c>
      <c r="E19" t="s">
        <v>547</v>
      </c>
      <c r="F19" t="s">
        <v>523</v>
      </c>
    </row>
    <row r="20" spans="1:6" x14ac:dyDescent="0.4">
      <c r="A20" t="s">
        <v>548</v>
      </c>
      <c r="B20" s="40" t="s">
        <v>544</v>
      </c>
      <c r="C20" t="s">
        <v>546</v>
      </c>
      <c r="D20" t="s">
        <v>614</v>
      </c>
      <c r="E20" t="s">
        <v>547</v>
      </c>
      <c r="F20" t="s">
        <v>523</v>
      </c>
    </row>
    <row r="21" spans="1:6" x14ac:dyDescent="0.4">
      <c r="A21" t="s">
        <v>549</v>
      </c>
      <c r="B21" s="40" t="s">
        <v>544</v>
      </c>
      <c r="C21" t="s">
        <v>546</v>
      </c>
      <c r="D21" t="s">
        <v>615</v>
      </c>
      <c r="E21" t="s">
        <v>547</v>
      </c>
      <c r="F21"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736</v>
      </c>
      <c r="E1" t="s">
        <v>739</v>
      </c>
      <c r="F1" t="s">
        <v>740</v>
      </c>
      <c r="G1" t="s">
        <v>741</v>
      </c>
      <c r="H1" t="s">
        <v>517</v>
      </c>
      <c r="I1" t="s">
        <v>518</v>
      </c>
    </row>
    <row r="2" spans="1:9" x14ac:dyDescent="0.4">
      <c r="A2" s="45" t="s">
        <v>628</v>
      </c>
      <c r="B2" t="s">
        <v>629</v>
      </c>
      <c r="C2" t="s">
        <v>630</v>
      </c>
      <c r="D2" s="39">
        <v>-0.15</v>
      </c>
      <c r="H2" t="s">
        <v>738</v>
      </c>
      <c r="I2" t="s">
        <v>523</v>
      </c>
    </row>
    <row r="3" spans="1:9" x14ac:dyDescent="0.4">
      <c r="A3" s="45" t="s">
        <v>628</v>
      </c>
      <c r="B3" t="s">
        <v>632</v>
      </c>
      <c r="C3" t="s">
        <v>630</v>
      </c>
      <c r="H3" t="s">
        <v>631</v>
      </c>
      <c r="I3" t="s">
        <v>523</v>
      </c>
    </row>
    <row r="4" spans="1:9" x14ac:dyDescent="0.4">
      <c r="A4" s="45" t="s">
        <v>628</v>
      </c>
      <c r="B4" t="s">
        <v>633</v>
      </c>
      <c r="C4" t="s">
        <v>630</v>
      </c>
      <c r="H4" t="s">
        <v>631</v>
      </c>
      <c r="I4" t="s">
        <v>523</v>
      </c>
    </row>
    <row r="5" spans="1:9" x14ac:dyDescent="0.4">
      <c r="A5" s="45" t="s">
        <v>628</v>
      </c>
      <c r="B5" t="s">
        <v>634</v>
      </c>
      <c r="C5" t="s">
        <v>630</v>
      </c>
      <c r="H5" t="s">
        <v>631</v>
      </c>
      <c r="I5" t="s">
        <v>523</v>
      </c>
    </row>
    <row r="6" spans="1:9" x14ac:dyDescent="0.4">
      <c r="A6" s="45" t="s">
        <v>628</v>
      </c>
      <c r="B6" t="s">
        <v>635</v>
      </c>
      <c r="C6" t="s">
        <v>630</v>
      </c>
      <c r="H6" t="s">
        <v>631</v>
      </c>
      <c r="I6"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636</v>
      </c>
      <c r="B2" t="s">
        <v>637</v>
      </c>
      <c r="C2" t="s">
        <v>638</v>
      </c>
      <c r="D2" t="s">
        <v>523</v>
      </c>
    </row>
    <row r="3" spans="1:4" x14ac:dyDescent="0.4">
      <c r="A3" t="s">
        <v>639</v>
      </c>
      <c r="B3" t="s">
        <v>637</v>
      </c>
      <c r="C3" t="s">
        <v>638</v>
      </c>
      <c r="D3" t="s">
        <v>523</v>
      </c>
    </row>
    <row r="4" spans="1:4" x14ac:dyDescent="0.4">
      <c r="A4" t="s">
        <v>640</v>
      </c>
      <c r="B4" t="s">
        <v>637</v>
      </c>
      <c r="C4" t="s">
        <v>638</v>
      </c>
      <c r="D4" t="s">
        <v>523</v>
      </c>
    </row>
    <row r="5" spans="1:4" x14ac:dyDescent="0.4">
      <c r="A5" t="s">
        <v>641</v>
      </c>
      <c r="B5" t="s">
        <v>637</v>
      </c>
      <c r="C5" t="s">
        <v>638</v>
      </c>
      <c r="D5" t="s">
        <v>523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971</v>
      </c>
      <c r="G1" s="55" t="s">
        <v>618</v>
      </c>
      <c r="H1" s="55" t="s">
        <v>619</v>
      </c>
      <c r="I1" s="55" t="s">
        <v>617</v>
      </c>
      <c r="J1" s="55" t="s">
        <v>963</v>
      </c>
      <c r="K1" s="26" t="s">
        <v>247</v>
      </c>
      <c r="L1" s="26" t="s">
        <v>1</v>
      </c>
      <c r="M1" s="26" t="s">
        <v>2</v>
      </c>
      <c r="N1" s="26" t="s">
        <v>105</v>
      </c>
      <c r="O1" s="26" t="s">
        <v>1222</v>
      </c>
      <c r="P1" s="27" t="s">
        <v>4</v>
      </c>
      <c r="Q1" s="27" t="s">
        <v>3</v>
      </c>
      <c r="R1" s="28" t="s">
        <v>226</v>
      </c>
      <c r="S1" s="28" t="s">
        <v>227</v>
      </c>
      <c r="T1" s="28" t="s">
        <v>228</v>
      </c>
      <c r="U1" s="28" t="s">
        <v>229</v>
      </c>
      <c r="V1" s="29" t="s">
        <v>230</v>
      </c>
      <c r="W1" s="29" t="s">
        <v>5</v>
      </c>
      <c r="X1" s="29" t="s">
        <v>997</v>
      </c>
      <c r="Y1" s="29" t="s">
        <v>6</v>
      </c>
    </row>
    <row r="2" spans="1:25" x14ac:dyDescent="0.4">
      <c r="F2" s="60" t="s">
        <v>1175</v>
      </c>
      <c r="G2" s="60" t="s">
        <v>1175</v>
      </c>
      <c r="H2" s="60" t="s">
        <v>1175</v>
      </c>
      <c r="I2" s="60" t="s">
        <v>1175</v>
      </c>
      <c r="J2" s="60" t="s">
        <v>1175</v>
      </c>
      <c r="K2" s="26"/>
      <c r="L2" s="26"/>
      <c r="M2" s="26"/>
      <c r="N2" s="26"/>
      <c r="O2" s="26"/>
      <c r="P2" s="27"/>
      <c r="Q2" s="27"/>
      <c r="R2" s="28"/>
      <c r="S2" s="28"/>
      <c r="T2" s="28"/>
      <c r="U2" s="28"/>
      <c r="V2" s="29"/>
      <c r="W2" s="29"/>
      <c r="X2" s="29"/>
      <c r="Y2" s="29"/>
    </row>
    <row r="3" spans="1:25" x14ac:dyDescent="0.4">
      <c r="A3" t="s">
        <v>6</v>
      </c>
      <c r="B3" t="s">
        <v>642</v>
      </c>
      <c r="C3" t="s">
        <v>643</v>
      </c>
      <c r="D3" t="s">
        <v>644</v>
      </c>
      <c r="E3" t="s">
        <v>645</v>
      </c>
    </row>
    <row r="4" spans="1:25" x14ac:dyDescent="0.4">
      <c r="A4" t="s">
        <v>6</v>
      </c>
      <c r="B4" t="s">
        <v>646</v>
      </c>
      <c r="C4" t="s">
        <v>643</v>
      </c>
      <c r="D4" t="s">
        <v>644</v>
      </c>
      <c r="E4" t="s">
        <v>645</v>
      </c>
    </row>
    <row r="5" spans="1:25" x14ac:dyDescent="0.4">
      <c r="A5" t="s">
        <v>6</v>
      </c>
      <c r="B5" t="s">
        <v>647</v>
      </c>
      <c r="C5" t="s">
        <v>643</v>
      </c>
      <c r="D5" t="s">
        <v>644</v>
      </c>
      <c r="E5" t="s">
        <v>645</v>
      </c>
    </row>
    <row r="6" spans="1:25" x14ac:dyDescent="0.4">
      <c r="A6" t="s">
        <v>6</v>
      </c>
      <c r="B6" t="s">
        <v>648</v>
      </c>
      <c r="C6" t="s">
        <v>643</v>
      </c>
      <c r="D6" t="s">
        <v>644</v>
      </c>
      <c r="E6" t="s">
        <v>645</v>
      </c>
    </row>
    <row r="7" spans="1:25" x14ac:dyDescent="0.4">
      <c r="A7" t="s">
        <v>6</v>
      </c>
      <c r="B7" t="s">
        <v>649</v>
      </c>
      <c r="C7" t="s">
        <v>643</v>
      </c>
      <c r="D7" t="s">
        <v>644</v>
      </c>
      <c r="E7" t="s">
        <v>645</v>
      </c>
    </row>
    <row r="8" spans="1:25" x14ac:dyDescent="0.4">
      <c r="A8" t="s">
        <v>6</v>
      </c>
      <c r="B8" t="s">
        <v>650</v>
      </c>
      <c r="C8" t="s">
        <v>643</v>
      </c>
      <c r="D8" t="s">
        <v>644</v>
      </c>
      <c r="E8" t="s">
        <v>645</v>
      </c>
    </row>
    <row r="9" spans="1:25" x14ac:dyDescent="0.4">
      <c r="A9" t="s">
        <v>6</v>
      </c>
      <c r="B9" t="s">
        <v>651</v>
      </c>
      <c r="C9" t="s">
        <v>643</v>
      </c>
      <c r="D9" t="s">
        <v>644</v>
      </c>
      <c r="E9" t="s">
        <v>645</v>
      </c>
    </row>
    <row r="10" spans="1:25" x14ac:dyDescent="0.4">
      <c r="A10" t="s">
        <v>6</v>
      </c>
      <c r="B10" t="s">
        <v>652</v>
      </c>
      <c r="C10" t="s">
        <v>643</v>
      </c>
      <c r="D10" t="s">
        <v>644</v>
      </c>
      <c r="E10" t="s">
        <v>645</v>
      </c>
    </row>
    <row r="11" spans="1:25" x14ac:dyDescent="0.4">
      <c r="A11" t="s">
        <v>6</v>
      </c>
      <c r="B11" t="s">
        <v>653</v>
      </c>
      <c r="C11" t="s">
        <v>643</v>
      </c>
      <c r="D11" t="s">
        <v>644</v>
      </c>
      <c r="E11" t="s">
        <v>645</v>
      </c>
    </row>
    <row r="12" spans="1:25" x14ac:dyDescent="0.4">
      <c r="A12" t="s">
        <v>6</v>
      </c>
      <c r="B12" t="s">
        <v>654</v>
      </c>
      <c r="C12" t="s">
        <v>643</v>
      </c>
      <c r="D12" t="s">
        <v>644</v>
      </c>
      <c r="E12" t="s">
        <v>645</v>
      </c>
    </row>
    <row r="13" spans="1:25" x14ac:dyDescent="0.4">
      <c r="A13" t="s">
        <v>6</v>
      </c>
      <c r="B13" t="s">
        <v>656</v>
      </c>
      <c r="C13" t="s">
        <v>643</v>
      </c>
      <c r="D13" t="s">
        <v>644</v>
      </c>
      <c r="E13" t="s">
        <v>645</v>
      </c>
    </row>
    <row r="14" spans="1:25" x14ac:dyDescent="0.4">
      <c r="A14" t="s">
        <v>6</v>
      </c>
      <c r="B14" t="s">
        <v>655</v>
      </c>
      <c r="C14" t="s">
        <v>643</v>
      </c>
      <c r="D14" t="s">
        <v>644</v>
      </c>
      <c r="E14" t="s">
        <v>645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BD6" activePane="bottomRight" state="frozen"/>
      <selection pane="topRight" activeCell="I1" sqref="I1"/>
      <selection pane="bottomLeft" activeCell="A6" sqref="A6"/>
      <selection pane="bottomRight" activeCell="BK1" sqref="B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704</v>
      </c>
      <c r="B1" s="17" t="s">
        <v>707</v>
      </c>
      <c r="C1" s="17" t="s">
        <v>658</v>
      </c>
      <c r="D1" s="17" t="s">
        <v>1197</v>
      </c>
      <c r="E1" s="17" t="s">
        <v>1203</v>
      </c>
      <c r="F1" s="17" t="s">
        <v>1219</v>
      </c>
      <c r="G1" s="55" t="s">
        <v>971</v>
      </c>
      <c r="H1" s="55" t="s">
        <v>618</v>
      </c>
      <c r="I1" s="55" t="s">
        <v>619</v>
      </c>
      <c r="J1" s="55" t="s">
        <v>617</v>
      </c>
      <c r="K1" s="55" t="s">
        <v>963</v>
      </c>
      <c r="L1" s="57" t="s">
        <v>481</v>
      </c>
      <c r="M1" s="57" t="s">
        <v>482</v>
      </c>
      <c r="N1" s="57" t="s">
        <v>483</v>
      </c>
      <c r="O1" s="58" t="s">
        <v>484</v>
      </c>
      <c r="P1" s="58" t="s">
        <v>485</v>
      </c>
      <c r="Q1" s="58" t="s">
        <v>486</v>
      </c>
      <c r="R1" s="58" t="s">
        <v>487</v>
      </c>
      <c r="S1" s="58" t="s">
        <v>488</v>
      </c>
      <c r="T1" s="36" t="s">
        <v>489</v>
      </c>
      <c r="U1" s="36" t="s">
        <v>490</v>
      </c>
      <c r="V1" s="36" t="s">
        <v>491</v>
      </c>
      <c r="W1" s="56" t="s">
        <v>910</v>
      </c>
      <c r="X1" s="56" t="s">
        <v>907</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997</v>
      </c>
      <c r="AR1" s="29" t="s">
        <v>6</v>
      </c>
      <c r="AS1" s="17" t="s">
        <v>1198</v>
      </c>
      <c r="AT1" s="17" t="s">
        <v>1199</v>
      </c>
      <c r="AU1" s="17" t="s">
        <v>626</v>
      </c>
      <c r="AV1" s="17" t="s">
        <v>624</v>
      </c>
      <c r="AW1" s="17" t="s">
        <v>736</v>
      </c>
      <c r="AX1" s="17" t="s">
        <v>627</v>
      </c>
      <c r="AY1" s="17" t="s">
        <v>1200</v>
      </c>
      <c r="AZ1" s="17" t="s">
        <v>1201</v>
      </c>
      <c r="BA1" s="17" t="s">
        <v>215</v>
      </c>
      <c r="BB1" s="17" t="s">
        <v>954</v>
      </c>
      <c r="BC1" s="17" t="s">
        <v>657</v>
      </c>
      <c r="BD1" s="17" t="s">
        <v>1665</v>
      </c>
      <c r="BE1" s="17" t="s">
        <v>1666</v>
      </c>
      <c r="BF1" s="17" t="s">
        <v>1667</v>
      </c>
      <c r="BG1" s="17" t="s">
        <v>1668</v>
      </c>
      <c r="BH1" s="17" t="s">
        <v>1669</v>
      </c>
      <c r="BI1" s="17" t="s">
        <v>1670</v>
      </c>
      <c r="BJ1" s="17" t="s">
        <v>1671</v>
      </c>
      <c r="BK1" s="17" t="s">
        <v>1672</v>
      </c>
    </row>
    <row r="2" spans="1:63" ht="13.5" customHeight="1" x14ac:dyDescent="0.4">
      <c r="A2" t="s">
        <v>1187</v>
      </c>
      <c r="B2" t="s">
        <v>970</v>
      </c>
      <c r="C2" s="17" t="s">
        <v>1193</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1717</v>
      </c>
      <c r="BD2" t="s">
        <v>1718</v>
      </c>
      <c r="BE2">
        <v>1</v>
      </c>
      <c r="BF2">
        <v>0</v>
      </c>
      <c r="BG2">
        <v>2</v>
      </c>
      <c r="BH2" t="s">
        <v>1719</v>
      </c>
      <c r="BI2">
        <v>60</v>
      </c>
      <c r="BJ2">
        <v>20</v>
      </c>
      <c r="BK2">
        <v>1</v>
      </c>
    </row>
    <row r="3" spans="1:63" ht="13.5" customHeight="1" x14ac:dyDescent="0.4">
      <c r="A3" t="s">
        <v>1188</v>
      </c>
      <c r="B3" t="s">
        <v>1190</v>
      </c>
      <c r="C3" s="17" t="s">
        <v>1194</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1717</v>
      </c>
      <c r="BD3" t="s">
        <v>1720</v>
      </c>
      <c r="BE3">
        <v>2</v>
      </c>
      <c r="BF3">
        <v>125</v>
      </c>
      <c r="BG3">
        <v>4</v>
      </c>
      <c r="BH3" t="s">
        <v>1721</v>
      </c>
      <c r="BI3">
        <v>57</v>
      </c>
      <c r="BJ3">
        <v>50</v>
      </c>
      <c r="BK3">
        <v>2</v>
      </c>
    </row>
    <row r="4" spans="1:63" ht="13.5" customHeight="1" x14ac:dyDescent="0.4">
      <c r="A4" t="s">
        <v>1070</v>
      </c>
      <c r="B4" t="s">
        <v>1191</v>
      </c>
      <c r="C4" s="17" t="s">
        <v>1195</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1717</v>
      </c>
      <c r="BD4" t="s">
        <v>1722</v>
      </c>
      <c r="BE4">
        <v>3</v>
      </c>
      <c r="BF4">
        <v>260</v>
      </c>
      <c r="BG4">
        <v>7</v>
      </c>
      <c r="BH4" t="s">
        <v>1723</v>
      </c>
      <c r="BI4">
        <v>66</v>
      </c>
      <c r="BJ4">
        <v>100</v>
      </c>
      <c r="BK4">
        <v>3</v>
      </c>
    </row>
    <row r="5" spans="1:63" ht="13.5" customHeight="1" x14ac:dyDescent="0.4">
      <c r="A5" t="s">
        <v>1189</v>
      </c>
      <c r="B5" t="s">
        <v>1192</v>
      </c>
      <c r="C5" s="17" t="s">
        <v>1196</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1717</v>
      </c>
      <c r="BD5" t="s">
        <v>1724</v>
      </c>
      <c r="BE5">
        <v>4</v>
      </c>
      <c r="BF5">
        <v>420</v>
      </c>
      <c r="BG5">
        <v>10</v>
      </c>
      <c r="BH5" t="s">
        <v>1725</v>
      </c>
      <c r="BI5">
        <v>78</v>
      </c>
      <c r="BJ5">
        <v>150</v>
      </c>
      <c r="BK5">
        <v>7</v>
      </c>
    </row>
    <row r="6" spans="1:63" ht="37.5" x14ac:dyDescent="0.4">
      <c r="A6" t="s">
        <v>687</v>
      </c>
      <c r="B6" t="s">
        <v>713</v>
      </c>
      <c r="C6" s="17" t="s">
        <v>712</v>
      </c>
      <c r="D6" s="17">
        <v>2</v>
      </c>
      <c r="F6" s="17" t="s">
        <v>1220</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953</v>
      </c>
      <c r="B7" t="s">
        <v>713</v>
      </c>
      <c r="C7" s="17" t="s">
        <v>952</v>
      </c>
      <c r="D7" s="17">
        <v>4</v>
      </c>
      <c r="F7" s="17" t="s">
        <v>1220</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688</v>
      </c>
      <c r="B8" t="s">
        <v>713</v>
      </c>
      <c r="C8" s="17" t="s">
        <v>714</v>
      </c>
      <c r="D8" s="17">
        <v>2</v>
      </c>
      <c r="F8" s="17" t="s">
        <v>1220</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689</v>
      </c>
      <c r="B9" t="s">
        <v>713</v>
      </c>
      <c r="C9" s="17" t="s">
        <v>972</v>
      </c>
      <c r="D9" s="17">
        <v>2</v>
      </c>
      <c r="F9" s="17" t="s">
        <v>1220</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690</v>
      </c>
      <c r="B10" t="s">
        <v>713</v>
      </c>
      <c r="C10" s="17" t="s">
        <v>955</v>
      </c>
      <c r="D10" s="17">
        <v>6</v>
      </c>
      <c r="F10" s="17" t="s">
        <v>1221</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969</v>
      </c>
      <c r="B11" t="s">
        <v>970</v>
      </c>
      <c r="D11" s="17">
        <v>6</v>
      </c>
      <c r="F11" s="17" t="s">
        <v>1221</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691</v>
      </c>
      <c r="B12" t="s">
        <v>713</v>
      </c>
      <c r="C12" s="17" t="s">
        <v>715</v>
      </c>
      <c r="D12" s="17">
        <v>2</v>
      </c>
      <c r="F12" s="17" t="s">
        <v>1221</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692</v>
      </c>
      <c r="B13" t="s">
        <v>713</v>
      </c>
      <c r="C13" s="17" t="s">
        <v>716</v>
      </c>
      <c r="D13" s="17">
        <v>2</v>
      </c>
      <c r="F13" s="17" t="s">
        <v>1220</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705</v>
      </c>
      <c r="B14" t="s">
        <v>713</v>
      </c>
      <c r="C14" s="17" t="s">
        <v>974</v>
      </c>
      <c r="D14" s="17">
        <v>3</v>
      </c>
      <c r="F14" s="17" t="s">
        <v>1220</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693</v>
      </c>
      <c r="B15" t="s">
        <v>713</v>
      </c>
      <c r="C15" s="17" t="s">
        <v>717</v>
      </c>
      <c r="D15" s="17">
        <v>4</v>
      </c>
      <c r="F15" s="17" t="s">
        <v>1220</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956</v>
      </c>
      <c r="B16" t="s">
        <v>713</v>
      </c>
      <c r="C16" s="17" t="s">
        <v>957</v>
      </c>
      <c r="D16" s="17">
        <v>3</v>
      </c>
      <c r="F16" s="17" t="s">
        <v>1220</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694</v>
      </c>
      <c r="B17" t="s">
        <v>713</v>
      </c>
      <c r="C17" s="17" t="s">
        <v>718</v>
      </c>
      <c r="D17" s="17">
        <v>8</v>
      </c>
      <c r="F17" s="17" t="s">
        <v>1221</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706</v>
      </c>
      <c r="B18" t="s">
        <v>713</v>
      </c>
      <c r="C18" s="17" t="s">
        <v>719</v>
      </c>
      <c r="D18" s="17">
        <v>2</v>
      </c>
      <c r="F18" s="17" t="s">
        <v>1220</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1223</v>
      </c>
      <c r="B19" t="s">
        <v>713</v>
      </c>
      <c r="C19" s="17" t="s">
        <v>720</v>
      </c>
      <c r="D19" s="17">
        <v>4</v>
      </c>
      <c r="F19" s="17" t="s">
        <v>1221</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695</v>
      </c>
      <c r="B20" t="s">
        <v>713</v>
      </c>
      <c r="C20" s="17" t="s">
        <v>721</v>
      </c>
      <c r="D20" s="17">
        <v>8</v>
      </c>
      <c r="F20" s="17" t="s">
        <v>1221</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696</v>
      </c>
      <c r="B21" t="s">
        <v>713</v>
      </c>
      <c r="C21" s="17" t="s">
        <v>722</v>
      </c>
      <c r="D21" s="17">
        <v>16</v>
      </c>
      <c r="F21" s="17" t="s">
        <v>1220</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697</v>
      </c>
      <c r="B22" t="s">
        <v>501</v>
      </c>
      <c r="C22" s="17" t="s">
        <v>723</v>
      </c>
      <c r="D22" s="17">
        <v>2</v>
      </c>
      <c r="F22" s="17" t="s">
        <v>1221</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698</v>
      </c>
      <c r="B23" t="s">
        <v>502</v>
      </c>
      <c r="C23" s="17" t="s">
        <v>724</v>
      </c>
      <c r="D23" s="17">
        <v>2</v>
      </c>
      <c r="F23" s="17" t="s">
        <v>1221</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699</v>
      </c>
      <c r="B24" t="s">
        <v>726</v>
      </c>
      <c r="C24" s="17" t="s">
        <v>725</v>
      </c>
      <c r="D24" s="17">
        <v>2</v>
      </c>
      <c r="F24" s="17" t="s">
        <v>1221</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700</v>
      </c>
      <c r="B25" t="s">
        <v>709</v>
      </c>
      <c r="C25" s="17" t="s">
        <v>727</v>
      </c>
      <c r="D25" s="17">
        <v>2</v>
      </c>
      <c r="F25" s="17" t="s">
        <v>1221</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703</v>
      </c>
      <c r="B26" t="s">
        <v>708</v>
      </c>
      <c r="C26" s="17" t="s">
        <v>728</v>
      </c>
      <c r="D26" s="17">
        <v>2</v>
      </c>
      <c r="F26" s="17" t="s">
        <v>1221</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701</v>
      </c>
      <c r="B27" t="s">
        <v>713</v>
      </c>
      <c r="C27" s="17" t="s">
        <v>729</v>
      </c>
      <c r="D27" s="17">
        <v>2</v>
      </c>
      <c r="F27" s="17" t="s">
        <v>1221</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702</v>
      </c>
      <c r="B28" t="s">
        <v>713</v>
      </c>
      <c r="C28" s="17" t="s">
        <v>730</v>
      </c>
      <c r="D28" s="17">
        <v>2</v>
      </c>
      <c r="F28" s="17" t="s">
        <v>1221</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686</v>
      </c>
      <c r="B29" t="s">
        <v>713</v>
      </c>
      <c r="C29" s="17" t="s">
        <v>731</v>
      </c>
      <c r="D29" s="17">
        <v>2</v>
      </c>
      <c r="F29" s="17" t="s">
        <v>1221</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710</v>
      </c>
      <c r="B30" t="s">
        <v>711</v>
      </c>
      <c r="C30" s="17" t="s">
        <v>732</v>
      </c>
      <c r="D30" s="17">
        <v>2</v>
      </c>
      <c r="F30" s="17" t="s">
        <v>1221</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515</v>
      </c>
      <c r="B1" t="s">
        <v>1006</v>
      </c>
      <c r="C1" t="s">
        <v>10</v>
      </c>
      <c r="D1" t="s">
        <v>1388</v>
      </c>
      <c r="E1" t="s">
        <v>658</v>
      </c>
      <c r="F1" t="s">
        <v>616</v>
      </c>
      <c r="G1" t="s">
        <v>620</v>
      </c>
      <c r="H1" t="s">
        <v>621</v>
      </c>
      <c r="I1" t="s">
        <v>622</v>
      </c>
      <c r="J1" t="s">
        <v>623</v>
      </c>
      <c r="K1" t="s">
        <v>625</v>
      </c>
      <c r="L1" t="s">
        <v>626</v>
      </c>
      <c r="M1" t="s">
        <v>624</v>
      </c>
      <c r="N1" t="s">
        <v>736</v>
      </c>
      <c r="O1" t="s">
        <v>627</v>
      </c>
      <c r="P1" t="s">
        <v>737</v>
      </c>
      <c r="Q1" s="43" t="s">
        <v>477</v>
      </c>
      <c r="R1" s="43" t="s">
        <v>478</v>
      </c>
      <c r="S1" s="43" t="s">
        <v>479</v>
      </c>
      <c r="T1" s="43" t="s">
        <v>480</v>
      </c>
      <c r="U1" s="42" t="s">
        <v>481</v>
      </c>
      <c r="V1" s="42" t="s">
        <v>482</v>
      </c>
      <c r="W1" s="42" t="s">
        <v>483</v>
      </c>
      <c r="X1" s="44" t="s">
        <v>484</v>
      </c>
      <c r="Y1" s="44" t="s">
        <v>485</v>
      </c>
      <c r="Z1" s="44" t="s">
        <v>486</v>
      </c>
      <c r="AA1" s="44" t="s">
        <v>487</v>
      </c>
      <c r="AB1" s="44" t="s">
        <v>488</v>
      </c>
      <c r="AC1" s="36" t="s">
        <v>489</v>
      </c>
      <c r="AD1" s="36" t="s">
        <v>490</v>
      </c>
      <c r="AE1" s="36" t="s">
        <v>491</v>
      </c>
      <c r="AF1" s="56" t="s">
        <v>910</v>
      </c>
      <c r="AG1" s="56" t="s">
        <v>907</v>
      </c>
      <c r="AH1" t="s">
        <v>911</v>
      </c>
      <c r="AI1" s="36" t="s">
        <v>912</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997</v>
      </c>
      <c r="AX1" s="29" t="s">
        <v>6</v>
      </c>
      <c r="AY1" t="s">
        <v>1570</v>
      </c>
    </row>
    <row r="2" spans="1:51" x14ac:dyDescent="0.4">
      <c r="A2" t="s">
        <v>1039</v>
      </c>
      <c r="B2" t="s">
        <v>999</v>
      </c>
      <c r="C2">
        <v>1</v>
      </c>
      <c r="D2">
        <v>5</v>
      </c>
      <c r="E2" t="s">
        <v>1007</v>
      </c>
      <c r="AY2" t="s">
        <v>1766</v>
      </c>
    </row>
    <row r="3" spans="1:51" outlineLevel="1" x14ac:dyDescent="0.4">
      <c r="A3" t="s">
        <v>1040</v>
      </c>
      <c r="B3" t="s">
        <v>999</v>
      </c>
      <c r="C3">
        <v>1</v>
      </c>
      <c r="D3">
        <v>5</v>
      </c>
      <c r="E3" t="s">
        <v>1008</v>
      </c>
      <c r="AY3" t="s">
        <v>1767</v>
      </c>
    </row>
    <row r="4" spans="1:51" outlineLevel="1" x14ac:dyDescent="0.4">
      <c r="A4" t="s">
        <v>1041</v>
      </c>
      <c r="B4" t="s">
        <v>999</v>
      </c>
      <c r="C4">
        <v>1</v>
      </c>
      <c r="D4">
        <v>5</v>
      </c>
      <c r="E4" t="s">
        <v>1009</v>
      </c>
      <c r="AY4" t="s">
        <v>1768</v>
      </c>
    </row>
    <row r="5" spans="1:51" outlineLevel="1" x14ac:dyDescent="0.4">
      <c r="A5" t="s">
        <v>1042</v>
      </c>
      <c r="B5" t="s">
        <v>999</v>
      </c>
      <c r="C5">
        <v>2</v>
      </c>
      <c r="D5">
        <v>15</v>
      </c>
      <c r="E5" t="s">
        <v>1028</v>
      </c>
      <c r="AY5" t="s">
        <v>1769</v>
      </c>
    </row>
    <row r="6" spans="1:51" outlineLevel="1" x14ac:dyDescent="0.4">
      <c r="A6" t="s">
        <v>1043</v>
      </c>
      <c r="B6" t="s">
        <v>999</v>
      </c>
      <c r="C6">
        <v>2</v>
      </c>
      <c r="D6">
        <v>15</v>
      </c>
      <c r="E6" t="s">
        <v>1029</v>
      </c>
      <c r="AY6" t="s">
        <v>1770</v>
      </c>
    </row>
    <row r="7" spans="1:51" outlineLevel="1" x14ac:dyDescent="0.4">
      <c r="A7" t="s">
        <v>1044</v>
      </c>
      <c r="B7" t="s">
        <v>999</v>
      </c>
      <c r="C7">
        <v>2</v>
      </c>
      <c r="D7">
        <v>15</v>
      </c>
      <c r="E7" t="s">
        <v>1032</v>
      </c>
      <c r="AY7" t="s">
        <v>1771</v>
      </c>
    </row>
    <row r="8" spans="1:51" outlineLevel="1" x14ac:dyDescent="0.4">
      <c r="A8" t="s">
        <v>1045</v>
      </c>
      <c r="B8" t="s">
        <v>999</v>
      </c>
      <c r="C8">
        <v>3</v>
      </c>
      <c r="D8">
        <v>25</v>
      </c>
      <c r="E8" t="s">
        <v>1030</v>
      </c>
      <c r="AY8" t="s">
        <v>1772</v>
      </c>
    </row>
    <row r="9" spans="1:51" outlineLevel="1" x14ac:dyDescent="0.4">
      <c r="A9" t="s">
        <v>1033</v>
      </c>
      <c r="B9" t="s">
        <v>999</v>
      </c>
      <c r="C9">
        <v>3</v>
      </c>
      <c r="D9">
        <v>25</v>
      </c>
      <c r="E9" t="s">
        <v>1035</v>
      </c>
      <c r="AY9" t="s">
        <v>1773</v>
      </c>
    </row>
    <row r="10" spans="1:51" outlineLevel="1" x14ac:dyDescent="0.4">
      <c r="A10" t="s">
        <v>1036</v>
      </c>
      <c r="B10" t="s">
        <v>999</v>
      </c>
      <c r="C10">
        <v>3</v>
      </c>
      <c r="D10">
        <v>25</v>
      </c>
      <c r="E10" t="s">
        <v>1036</v>
      </c>
      <c r="AY10" t="s">
        <v>1774</v>
      </c>
    </row>
    <row r="11" spans="1:51" outlineLevel="1" x14ac:dyDescent="0.4">
      <c r="A11" t="s">
        <v>1046</v>
      </c>
      <c r="B11" t="s">
        <v>999</v>
      </c>
      <c r="C11">
        <v>4</v>
      </c>
      <c r="D11">
        <v>35</v>
      </c>
      <c r="E11" t="s">
        <v>1037</v>
      </c>
      <c r="AY11" t="s">
        <v>1775</v>
      </c>
    </row>
    <row r="12" spans="1:51" outlineLevel="1" x14ac:dyDescent="0.4">
      <c r="A12" t="s">
        <v>1038</v>
      </c>
      <c r="B12" t="s">
        <v>999</v>
      </c>
      <c r="C12">
        <v>4</v>
      </c>
      <c r="D12">
        <v>35</v>
      </c>
      <c r="E12" t="s">
        <v>1031</v>
      </c>
      <c r="AY12" t="s">
        <v>1776</v>
      </c>
    </row>
    <row r="13" spans="1:51" outlineLevel="1" x14ac:dyDescent="0.4">
      <c r="A13" t="s">
        <v>1047</v>
      </c>
      <c r="B13" t="s">
        <v>999</v>
      </c>
      <c r="C13">
        <v>4</v>
      </c>
      <c r="D13">
        <v>35</v>
      </c>
      <c r="E13" t="s">
        <v>1034</v>
      </c>
      <c r="AY13" t="s">
        <v>1777</v>
      </c>
    </row>
    <row r="14" spans="1:51" outlineLevel="1" x14ac:dyDescent="0.4">
      <c r="B14" t="s">
        <v>1000</v>
      </c>
      <c r="C14">
        <f t="shared" ref="C14:C21" si="0">C11+1</f>
        <v>5</v>
      </c>
    </row>
    <row r="15" spans="1:51" outlineLevel="1" x14ac:dyDescent="0.4">
      <c r="B15" t="s">
        <v>1000</v>
      </c>
      <c r="C15">
        <f t="shared" si="0"/>
        <v>5</v>
      </c>
    </row>
    <row r="16" spans="1:51" outlineLevel="1" x14ac:dyDescent="0.4">
      <c r="B16" t="s">
        <v>1000</v>
      </c>
      <c r="C16">
        <f t="shared" si="0"/>
        <v>5</v>
      </c>
    </row>
    <row r="17" spans="1:51" outlineLevel="1" x14ac:dyDescent="0.4">
      <c r="B17" t="s">
        <v>1000</v>
      </c>
      <c r="C17">
        <f t="shared" si="0"/>
        <v>6</v>
      </c>
    </row>
    <row r="18" spans="1:51" outlineLevel="1" x14ac:dyDescent="0.4">
      <c r="B18" t="s">
        <v>1000</v>
      </c>
      <c r="C18">
        <f t="shared" si="0"/>
        <v>6</v>
      </c>
    </row>
    <row r="19" spans="1:51" outlineLevel="1" x14ac:dyDescent="0.4">
      <c r="B19" t="s">
        <v>1000</v>
      </c>
      <c r="C19">
        <f t="shared" si="0"/>
        <v>6</v>
      </c>
    </row>
    <row r="20" spans="1:51" outlineLevel="1" x14ac:dyDescent="0.4">
      <c r="B20" t="s">
        <v>1000</v>
      </c>
      <c r="C20">
        <f t="shared" si="0"/>
        <v>7</v>
      </c>
    </row>
    <row r="21" spans="1:51" outlineLevel="1" x14ac:dyDescent="0.4">
      <c r="B21" t="s">
        <v>1000</v>
      </c>
      <c r="C21">
        <f t="shared" si="0"/>
        <v>7</v>
      </c>
    </row>
    <row r="22" spans="1:51" outlineLevel="1" x14ac:dyDescent="0.4">
      <c r="A22" t="s">
        <v>515</v>
      </c>
      <c r="B22" t="s">
        <v>1006</v>
      </c>
      <c r="C22" t="s">
        <v>10</v>
      </c>
      <c r="E22" t="s">
        <v>658</v>
      </c>
    </row>
    <row r="23" spans="1:51" x14ac:dyDescent="0.4">
      <c r="A23" t="s">
        <v>1100</v>
      </c>
      <c r="B23" t="s">
        <v>103</v>
      </c>
      <c r="C23">
        <v>1</v>
      </c>
      <c r="D23">
        <v>5</v>
      </c>
      <c r="E23" t="s">
        <v>1057</v>
      </c>
      <c r="AY23" t="s">
        <v>1778</v>
      </c>
    </row>
    <row r="24" spans="1:51" outlineLevel="1" x14ac:dyDescent="0.4">
      <c r="A24" t="s">
        <v>1101</v>
      </c>
      <c r="B24" t="s">
        <v>103</v>
      </c>
      <c r="C24">
        <v>1</v>
      </c>
      <c r="D24">
        <v>5</v>
      </c>
      <c r="E24" t="s">
        <v>1048</v>
      </c>
      <c r="AY24" t="s">
        <v>1779</v>
      </c>
    </row>
    <row r="25" spans="1:51" outlineLevel="1" x14ac:dyDescent="0.4">
      <c r="A25" t="s">
        <v>1102</v>
      </c>
      <c r="B25" t="s">
        <v>103</v>
      </c>
      <c r="C25">
        <v>1</v>
      </c>
      <c r="D25">
        <v>5</v>
      </c>
      <c r="E25" t="s">
        <v>1010</v>
      </c>
      <c r="AY25" t="s">
        <v>1780</v>
      </c>
    </row>
    <row r="26" spans="1:51" outlineLevel="1" x14ac:dyDescent="0.4">
      <c r="A26" t="s">
        <v>1103</v>
      </c>
      <c r="B26" t="s">
        <v>103</v>
      </c>
      <c r="C26">
        <v>2</v>
      </c>
      <c r="D26">
        <v>15</v>
      </c>
      <c r="E26" t="s">
        <v>1051</v>
      </c>
      <c r="AY26" t="s">
        <v>1781</v>
      </c>
    </row>
    <row r="27" spans="1:51" outlineLevel="1" x14ac:dyDescent="0.4">
      <c r="A27" t="s">
        <v>1104</v>
      </c>
      <c r="B27" t="s">
        <v>103</v>
      </c>
      <c r="C27">
        <v>2</v>
      </c>
      <c r="D27">
        <v>15</v>
      </c>
      <c r="E27" t="s">
        <v>1052</v>
      </c>
      <c r="AY27" t="s">
        <v>1782</v>
      </c>
    </row>
    <row r="28" spans="1:51" outlineLevel="1" x14ac:dyDescent="0.4">
      <c r="A28" t="s">
        <v>1105</v>
      </c>
      <c r="B28" t="s">
        <v>103</v>
      </c>
      <c r="C28">
        <v>2</v>
      </c>
      <c r="D28">
        <v>15</v>
      </c>
      <c r="E28" t="s">
        <v>1053</v>
      </c>
      <c r="AY28" t="s">
        <v>1783</v>
      </c>
    </row>
    <row r="29" spans="1:51" outlineLevel="1" x14ac:dyDescent="0.4">
      <c r="A29" t="s">
        <v>1106</v>
      </c>
      <c r="B29" t="s">
        <v>103</v>
      </c>
      <c r="C29">
        <v>3</v>
      </c>
      <c r="D29">
        <v>25</v>
      </c>
      <c r="E29" t="s">
        <v>1107</v>
      </c>
      <c r="AY29" t="s">
        <v>1784</v>
      </c>
    </row>
    <row r="30" spans="1:51" outlineLevel="1" x14ac:dyDescent="0.4">
      <c r="A30" t="s">
        <v>1108</v>
      </c>
      <c r="B30" t="s">
        <v>103</v>
      </c>
      <c r="C30">
        <v>3</v>
      </c>
      <c r="D30">
        <v>25</v>
      </c>
      <c r="E30" t="s">
        <v>1014</v>
      </c>
      <c r="AY30" t="s">
        <v>1785</v>
      </c>
    </row>
    <row r="31" spans="1:51" outlineLevel="1" x14ac:dyDescent="0.4">
      <c r="A31" t="s">
        <v>1049</v>
      </c>
      <c r="B31" t="s">
        <v>103</v>
      </c>
      <c r="C31">
        <v>3</v>
      </c>
      <c r="D31">
        <v>25</v>
      </c>
      <c r="E31" t="s">
        <v>1055</v>
      </c>
      <c r="AY31" t="s">
        <v>1786</v>
      </c>
    </row>
    <row r="32" spans="1:51" outlineLevel="1" x14ac:dyDescent="0.4">
      <c r="A32" t="s">
        <v>1109</v>
      </c>
      <c r="B32" t="s">
        <v>103</v>
      </c>
      <c r="C32">
        <v>4</v>
      </c>
      <c r="D32">
        <v>35</v>
      </c>
      <c r="E32" t="s">
        <v>1110</v>
      </c>
      <c r="AY32" t="s">
        <v>1787</v>
      </c>
    </row>
    <row r="33" spans="1:51" outlineLevel="1" x14ac:dyDescent="0.4">
      <c r="A33" t="s">
        <v>1111</v>
      </c>
      <c r="B33" t="s">
        <v>103</v>
      </c>
      <c r="C33">
        <v>4</v>
      </c>
      <c r="D33">
        <v>35</v>
      </c>
      <c r="E33" t="s">
        <v>1064</v>
      </c>
      <c r="AY33" t="s">
        <v>1788</v>
      </c>
    </row>
    <row r="34" spans="1:51" outlineLevel="1" x14ac:dyDescent="0.4">
      <c r="A34" t="s">
        <v>1054</v>
      </c>
      <c r="B34" t="s">
        <v>103</v>
      </c>
      <c r="C34">
        <v>4</v>
      </c>
      <c r="D34">
        <v>35</v>
      </c>
      <c r="E34" t="s">
        <v>1056</v>
      </c>
      <c r="AY34" t="s">
        <v>1789</v>
      </c>
    </row>
    <row r="35" spans="1:51" outlineLevel="1" x14ac:dyDescent="0.4">
      <c r="B35" t="s">
        <v>1001</v>
      </c>
      <c r="C35">
        <f t="shared" ref="C35:C42" si="1">C32+1</f>
        <v>5</v>
      </c>
    </row>
    <row r="36" spans="1:51" outlineLevel="1" x14ac:dyDescent="0.4">
      <c r="B36" t="s">
        <v>1001</v>
      </c>
      <c r="C36">
        <f t="shared" si="1"/>
        <v>5</v>
      </c>
    </row>
    <row r="37" spans="1:51" outlineLevel="1" x14ac:dyDescent="0.4">
      <c r="B37" t="s">
        <v>1001</v>
      </c>
      <c r="C37">
        <f t="shared" si="1"/>
        <v>5</v>
      </c>
    </row>
    <row r="38" spans="1:51" outlineLevel="1" x14ac:dyDescent="0.4">
      <c r="B38" t="s">
        <v>1001</v>
      </c>
      <c r="C38">
        <f t="shared" si="1"/>
        <v>6</v>
      </c>
    </row>
    <row r="39" spans="1:51" outlineLevel="1" x14ac:dyDescent="0.4">
      <c r="B39" t="s">
        <v>1001</v>
      </c>
      <c r="C39">
        <f t="shared" si="1"/>
        <v>6</v>
      </c>
    </row>
    <row r="40" spans="1:51" outlineLevel="1" x14ac:dyDescent="0.4">
      <c r="B40" t="s">
        <v>1001</v>
      </c>
      <c r="C40">
        <f t="shared" si="1"/>
        <v>6</v>
      </c>
    </row>
    <row r="41" spans="1:51" outlineLevel="1" x14ac:dyDescent="0.4">
      <c r="B41" t="s">
        <v>1001</v>
      </c>
      <c r="C41">
        <f t="shared" si="1"/>
        <v>7</v>
      </c>
    </row>
    <row r="42" spans="1:51" outlineLevel="1" x14ac:dyDescent="0.4">
      <c r="B42" t="s">
        <v>1001</v>
      </c>
      <c r="C42">
        <f t="shared" si="1"/>
        <v>7</v>
      </c>
    </row>
    <row r="43" spans="1:51" outlineLevel="1" x14ac:dyDescent="0.4">
      <c r="A43" t="s">
        <v>515</v>
      </c>
      <c r="B43" t="s">
        <v>1006</v>
      </c>
      <c r="C43" t="s">
        <v>10</v>
      </c>
      <c r="E43" t="s">
        <v>658</v>
      </c>
    </row>
    <row r="44" spans="1:51" x14ac:dyDescent="0.4">
      <c r="A44" t="s">
        <v>1112</v>
      </c>
      <c r="B44" t="s">
        <v>6</v>
      </c>
      <c r="C44">
        <v>1</v>
      </c>
      <c r="D44">
        <v>5</v>
      </c>
      <c r="E44" t="s">
        <v>1015</v>
      </c>
      <c r="AY44" t="s">
        <v>1790</v>
      </c>
    </row>
    <row r="45" spans="1:51" outlineLevel="1" x14ac:dyDescent="0.4">
      <c r="A45" t="s">
        <v>1113</v>
      </c>
      <c r="B45" t="s">
        <v>6</v>
      </c>
      <c r="C45">
        <v>1</v>
      </c>
      <c r="D45">
        <v>5</v>
      </c>
      <c r="E45" t="s">
        <v>1061</v>
      </c>
      <c r="AY45" t="s">
        <v>1791</v>
      </c>
    </row>
    <row r="46" spans="1:51" outlineLevel="1" x14ac:dyDescent="0.4">
      <c r="A46" t="s">
        <v>1114</v>
      </c>
      <c r="B46" t="s">
        <v>6</v>
      </c>
      <c r="C46">
        <v>1</v>
      </c>
      <c r="D46">
        <v>5</v>
      </c>
      <c r="E46" t="s">
        <v>1011</v>
      </c>
      <c r="AY46" t="s">
        <v>1792</v>
      </c>
    </row>
    <row r="47" spans="1:51" outlineLevel="1" x14ac:dyDescent="0.4">
      <c r="A47" t="s">
        <v>1115</v>
      </c>
      <c r="B47" t="s">
        <v>6</v>
      </c>
      <c r="C47">
        <v>2</v>
      </c>
      <c r="D47">
        <v>15</v>
      </c>
      <c r="E47" t="s">
        <v>1058</v>
      </c>
      <c r="AY47" t="s">
        <v>1793</v>
      </c>
    </row>
    <row r="48" spans="1:51" outlineLevel="1" x14ac:dyDescent="0.4">
      <c r="A48" t="s">
        <v>1116</v>
      </c>
      <c r="B48" t="s">
        <v>6</v>
      </c>
      <c r="C48">
        <v>2</v>
      </c>
      <c r="D48">
        <v>15</v>
      </c>
      <c r="E48" t="s">
        <v>1062</v>
      </c>
      <c r="AY48" t="s">
        <v>1794</v>
      </c>
    </row>
    <row r="49" spans="1:51" outlineLevel="1" x14ac:dyDescent="0.4">
      <c r="A49" t="s">
        <v>1117</v>
      </c>
      <c r="B49" t="s">
        <v>6</v>
      </c>
      <c r="C49">
        <v>2</v>
      </c>
      <c r="D49">
        <v>15</v>
      </c>
      <c r="E49" t="s">
        <v>1053</v>
      </c>
      <c r="AY49" t="s">
        <v>1795</v>
      </c>
    </row>
    <row r="50" spans="1:51" outlineLevel="1" x14ac:dyDescent="0.4">
      <c r="A50" t="s">
        <v>1118</v>
      </c>
      <c r="B50" t="s">
        <v>6</v>
      </c>
      <c r="C50">
        <v>3</v>
      </c>
      <c r="D50">
        <v>25</v>
      </c>
      <c r="E50" t="s">
        <v>1107</v>
      </c>
      <c r="AY50" t="s">
        <v>1796</v>
      </c>
    </row>
    <row r="51" spans="1:51" outlineLevel="1" x14ac:dyDescent="0.4">
      <c r="A51" t="s">
        <v>1119</v>
      </c>
      <c r="B51" t="s">
        <v>6</v>
      </c>
      <c r="C51">
        <v>3</v>
      </c>
      <c r="D51">
        <v>25</v>
      </c>
      <c r="E51" t="s">
        <v>1063</v>
      </c>
      <c r="AY51" t="s">
        <v>1797</v>
      </c>
    </row>
    <row r="52" spans="1:51" outlineLevel="1" x14ac:dyDescent="0.4">
      <c r="A52" t="s">
        <v>1050</v>
      </c>
      <c r="B52" t="s">
        <v>6</v>
      </c>
      <c r="C52">
        <v>3</v>
      </c>
      <c r="D52">
        <v>25</v>
      </c>
      <c r="E52" t="s">
        <v>1059</v>
      </c>
      <c r="AY52" t="s">
        <v>1798</v>
      </c>
    </row>
    <row r="53" spans="1:51" outlineLevel="1" x14ac:dyDescent="0.4">
      <c r="A53" t="s">
        <v>1120</v>
      </c>
      <c r="B53" t="s">
        <v>6</v>
      </c>
      <c r="C53">
        <v>4</v>
      </c>
      <c r="D53">
        <v>35</v>
      </c>
      <c r="E53" t="s">
        <v>1064</v>
      </c>
      <c r="AY53" t="s">
        <v>1799</v>
      </c>
    </row>
    <row r="54" spans="1:51" outlineLevel="1" x14ac:dyDescent="0.4">
      <c r="A54" t="s">
        <v>1121</v>
      </c>
      <c r="B54" t="s">
        <v>6</v>
      </c>
      <c r="C54">
        <v>4</v>
      </c>
      <c r="D54">
        <v>35</v>
      </c>
      <c r="E54" t="s">
        <v>1122</v>
      </c>
      <c r="AY54" t="s">
        <v>1800</v>
      </c>
    </row>
    <row r="55" spans="1:51" outlineLevel="1" x14ac:dyDescent="0.4">
      <c r="A55" t="s">
        <v>1123</v>
      </c>
      <c r="B55" t="s">
        <v>6</v>
      </c>
      <c r="C55">
        <v>4</v>
      </c>
      <c r="D55">
        <v>35</v>
      </c>
      <c r="E55" t="s">
        <v>1060</v>
      </c>
      <c r="AY55" t="s">
        <v>1801</v>
      </c>
    </row>
    <row r="56" spans="1:51" outlineLevel="1" x14ac:dyDescent="0.4">
      <c r="B56" t="s">
        <v>1002</v>
      </c>
      <c r="C56">
        <f t="shared" ref="C56:C64" si="2">C53+1</f>
        <v>5</v>
      </c>
    </row>
    <row r="57" spans="1:51" outlineLevel="1" x14ac:dyDescent="0.4">
      <c r="B57" t="s">
        <v>1002</v>
      </c>
      <c r="C57">
        <f t="shared" si="2"/>
        <v>5</v>
      </c>
    </row>
    <row r="58" spans="1:51" outlineLevel="1" x14ac:dyDescent="0.4">
      <c r="B58" t="s">
        <v>1002</v>
      </c>
      <c r="C58">
        <f t="shared" si="2"/>
        <v>5</v>
      </c>
    </row>
    <row r="59" spans="1:51" outlineLevel="1" x14ac:dyDescent="0.4">
      <c r="B59" t="s">
        <v>1002</v>
      </c>
      <c r="C59">
        <f t="shared" si="2"/>
        <v>6</v>
      </c>
    </row>
    <row r="60" spans="1:51" outlineLevel="1" x14ac:dyDescent="0.4">
      <c r="B60" t="s">
        <v>1002</v>
      </c>
      <c r="C60">
        <f t="shared" si="2"/>
        <v>6</v>
      </c>
    </row>
    <row r="61" spans="1:51" outlineLevel="1" x14ac:dyDescent="0.4">
      <c r="B61" t="s">
        <v>1002</v>
      </c>
      <c r="C61">
        <f t="shared" si="2"/>
        <v>6</v>
      </c>
    </row>
    <row r="62" spans="1:51" outlineLevel="1" x14ac:dyDescent="0.4">
      <c r="B62" t="s">
        <v>1002</v>
      </c>
      <c r="C62">
        <f t="shared" si="2"/>
        <v>7</v>
      </c>
    </row>
    <row r="63" spans="1:51" outlineLevel="1" x14ac:dyDescent="0.4">
      <c r="B63" t="s">
        <v>1002</v>
      </c>
      <c r="C63">
        <f t="shared" si="2"/>
        <v>7</v>
      </c>
    </row>
    <row r="64" spans="1:51" outlineLevel="1" x14ac:dyDescent="0.4">
      <c r="B64" t="s">
        <v>1002</v>
      </c>
      <c r="C64">
        <f t="shared" si="2"/>
        <v>7</v>
      </c>
    </row>
    <row r="65" spans="1:51" x14ac:dyDescent="0.4">
      <c r="A65" t="s">
        <v>1088</v>
      </c>
      <c r="B65" t="s">
        <v>659</v>
      </c>
      <c r="C65">
        <v>1</v>
      </c>
      <c r="D65">
        <v>5</v>
      </c>
      <c r="E65" t="s">
        <v>1016</v>
      </c>
      <c r="AY65" t="s">
        <v>1802</v>
      </c>
    </row>
    <row r="66" spans="1:51" outlineLevel="1" x14ac:dyDescent="0.4">
      <c r="A66" t="s">
        <v>1089</v>
      </c>
      <c r="B66" t="s">
        <v>659</v>
      </c>
      <c r="C66">
        <v>1</v>
      </c>
      <c r="D66">
        <v>5</v>
      </c>
      <c r="E66" t="s">
        <v>1022</v>
      </c>
      <c r="AY66" t="s">
        <v>1803</v>
      </c>
    </row>
    <row r="67" spans="1:51" outlineLevel="1" x14ac:dyDescent="0.4">
      <c r="A67" t="s">
        <v>1090</v>
      </c>
      <c r="B67" t="s">
        <v>659</v>
      </c>
      <c r="C67">
        <v>1</v>
      </c>
      <c r="D67">
        <v>5</v>
      </c>
      <c r="E67" t="s">
        <v>1012</v>
      </c>
      <c r="AY67" t="s">
        <v>1804</v>
      </c>
    </row>
    <row r="68" spans="1:51" outlineLevel="1" x14ac:dyDescent="0.4">
      <c r="A68" t="s">
        <v>1091</v>
      </c>
      <c r="B68" t="s">
        <v>659</v>
      </c>
      <c r="C68">
        <v>2</v>
      </c>
      <c r="D68">
        <v>15</v>
      </c>
      <c r="E68" t="s">
        <v>1018</v>
      </c>
      <c r="AY68" t="s">
        <v>1805</v>
      </c>
    </row>
    <row r="69" spans="1:51" outlineLevel="1" x14ac:dyDescent="0.4">
      <c r="A69" t="s">
        <v>1092</v>
      </c>
      <c r="B69" t="s">
        <v>659</v>
      </c>
      <c r="C69">
        <v>2</v>
      </c>
      <c r="D69">
        <v>15</v>
      </c>
      <c r="E69" t="s">
        <v>1019</v>
      </c>
      <c r="AY69" t="s">
        <v>1806</v>
      </c>
    </row>
    <row r="70" spans="1:51" outlineLevel="1" x14ac:dyDescent="0.4">
      <c r="A70" t="s">
        <v>1093</v>
      </c>
      <c r="B70" t="s">
        <v>659</v>
      </c>
      <c r="C70">
        <v>2</v>
      </c>
      <c r="D70">
        <v>15</v>
      </c>
      <c r="E70" t="s">
        <v>1023</v>
      </c>
      <c r="AY70" t="s">
        <v>1807</v>
      </c>
    </row>
    <row r="71" spans="1:51" outlineLevel="1" x14ac:dyDescent="0.4">
      <c r="A71" t="s">
        <v>1094</v>
      </c>
      <c r="B71" t="s">
        <v>659</v>
      </c>
      <c r="C71">
        <v>3</v>
      </c>
      <c r="D71">
        <v>25</v>
      </c>
      <c r="E71" t="s">
        <v>1022</v>
      </c>
      <c r="AY71" t="s">
        <v>1808</v>
      </c>
    </row>
    <row r="72" spans="1:51" outlineLevel="1" x14ac:dyDescent="0.4">
      <c r="A72" t="s">
        <v>1095</v>
      </c>
      <c r="B72" t="s">
        <v>659</v>
      </c>
      <c r="C72">
        <v>3</v>
      </c>
      <c r="D72">
        <v>25</v>
      </c>
      <c r="E72" t="s">
        <v>1025</v>
      </c>
      <c r="AY72" t="s">
        <v>1809</v>
      </c>
    </row>
    <row r="73" spans="1:51" outlineLevel="1" x14ac:dyDescent="0.4">
      <c r="A73" t="s">
        <v>1096</v>
      </c>
      <c r="B73" t="s">
        <v>659</v>
      </c>
      <c r="C73">
        <v>3</v>
      </c>
      <c r="D73">
        <v>25</v>
      </c>
      <c r="E73" t="s">
        <v>1020</v>
      </c>
      <c r="AY73" t="s">
        <v>1810</v>
      </c>
    </row>
    <row r="74" spans="1:51" outlineLevel="1" x14ac:dyDescent="0.4">
      <c r="A74" t="s">
        <v>1097</v>
      </c>
      <c r="B74" t="s">
        <v>659</v>
      </c>
      <c r="C74">
        <v>4</v>
      </c>
      <c r="D74">
        <v>35</v>
      </c>
      <c r="E74" t="s">
        <v>1024</v>
      </c>
      <c r="AY74" t="s">
        <v>1811</v>
      </c>
    </row>
    <row r="75" spans="1:51" outlineLevel="1" x14ac:dyDescent="0.4">
      <c r="A75" t="s">
        <v>1098</v>
      </c>
      <c r="B75" t="s">
        <v>659</v>
      </c>
      <c r="C75">
        <v>4</v>
      </c>
      <c r="D75">
        <v>35</v>
      </c>
      <c r="E75" t="s">
        <v>1027</v>
      </c>
      <c r="AY75" t="s">
        <v>1812</v>
      </c>
    </row>
    <row r="76" spans="1:51" outlineLevel="1" x14ac:dyDescent="0.4">
      <c r="A76" t="s">
        <v>1099</v>
      </c>
      <c r="B76" t="s">
        <v>659</v>
      </c>
      <c r="C76">
        <v>4</v>
      </c>
      <c r="D76">
        <v>35</v>
      </c>
      <c r="E76" t="s">
        <v>1026</v>
      </c>
      <c r="AY76" t="s">
        <v>1813</v>
      </c>
    </row>
    <row r="77" spans="1:51" outlineLevel="1" x14ac:dyDescent="0.4">
      <c r="B77" t="s">
        <v>1003</v>
      </c>
      <c r="C77">
        <f t="shared" ref="C77:C85" si="3">C74+1</f>
        <v>5</v>
      </c>
    </row>
    <row r="78" spans="1:51" outlineLevel="1" x14ac:dyDescent="0.4">
      <c r="B78" t="s">
        <v>1003</v>
      </c>
      <c r="C78">
        <f t="shared" si="3"/>
        <v>5</v>
      </c>
    </row>
    <row r="79" spans="1:51" outlineLevel="1" x14ac:dyDescent="0.4">
      <c r="B79" t="s">
        <v>1003</v>
      </c>
      <c r="C79">
        <f t="shared" si="3"/>
        <v>5</v>
      </c>
    </row>
    <row r="80" spans="1:51" outlineLevel="1" x14ac:dyDescent="0.4">
      <c r="B80" t="s">
        <v>1003</v>
      </c>
      <c r="C80">
        <f t="shared" si="3"/>
        <v>6</v>
      </c>
    </row>
    <row r="81" spans="1:51" outlineLevel="1" x14ac:dyDescent="0.4">
      <c r="B81" t="s">
        <v>1003</v>
      </c>
      <c r="C81">
        <f t="shared" si="3"/>
        <v>6</v>
      </c>
    </row>
    <row r="82" spans="1:51" outlineLevel="1" x14ac:dyDescent="0.4">
      <c r="B82" t="s">
        <v>1003</v>
      </c>
      <c r="C82">
        <f t="shared" si="3"/>
        <v>6</v>
      </c>
    </row>
    <row r="83" spans="1:51" outlineLevel="1" x14ac:dyDescent="0.4">
      <c r="B83" t="s">
        <v>1003</v>
      </c>
      <c r="C83">
        <f t="shared" si="3"/>
        <v>7</v>
      </c>
    </row>
    <row r="84" spans="1:51" outlineLevel="1" x14ac:dyDescent="0.4">
      <c r="B84" t="s">
        <v>1003</v>
      </c>
      <c r="C84">
        <f t="shared" si="3"/>
        <v>7</v>
      </c>
    </row>
    <row r="85" spans="1:51" outlineLevel="1" x14ac:dyDescent="0.4">
      <c r="B85" t="s">
        <v>1003</v>
      </c>
      <c r="C85">
        <f t="shared" si="3"/>
        <v>7</v>
      </c>
    </row>
    <row r="86" spans="1:51" outlineLevel="1" x14ac:dyDescent="0.4">
      <c r="A86" t="s">
        <v>1071</v>
      </c>
      <c r="B86" t="s">
        <v>1004</v>
      </c>
      <c r="C86">
        <v>1</v>
      </c>
      <c r="D86">
        <v>5</v>
      </c>
      <c r="E86" t="s">
        <v>1017</v>
      </c>
      <c r="AY86" t="s">
        <v>1814</v>
      </c>
    </row>
    <row r="87" spans="1:51" x14ac:dyDescent="0.4">
      <c r="A87" t="s">
        <v>1072</v>
      </c>
      <c r="B87" t="s">
        <v>1004</v>
      </c>
      <c r="C87">
        <v>1</v>
      </c>
      <c r="D87">
        <v>5</v>
      </c>
      <c r="E87" t="s">
        <v>1065</v>
      </c>
      <c r="AY87" t="s">
        <v>1815</v>
      </c>
    </row>
    <row r="88" spans="1:51" outlineLevel="1" x14ac:dyDescent="0.4">
      <c r="A88" t="s">
        <v>1073</v>
      </c>
      <c r="B88" t="s">
        <v>1004</v>
      </c>
      <c r="C88">
        <v>1</v>
      </c>
      <c r="D88">
        <v>5</v>
      </c>
      <c r="E88" t="s">
        <v>1013</v>
      </c>
      <c r="AY88" t="s">
        <v>1816</v>
      </c>
    </row>
    <row r="89" spans="1:51" outlineLevel="1" x14ac:dyDescent="0.4">
      <c r="A89" t="s">
        <v>1074</v>
      </c>
      <c r="B89" t="s">
        <v>1004</v>
      </c>
      <c r="C89">
        <v>2</v>
      </c>
      <c r="D89">
        <v>15</v>
      </c>
      <c r="E89" t="s">
        <v>1075</v>
      </c>
      <c r="AY89" t="s">
        <v>1817</v>
      </c>
    </row>
    <row r="90" spans="1:51" outlineLevel="1" x14ac:dyDescent="0.4">
      <c r="A90" t="s">
        <v>1076</v>
      </c>
      <c r="B90" t="s">
        <v>1004</v>
      </c>
      <c r="C90">
        <v>2</v>
      </c>
      <c r="D90">
        <v>15</v>
      </c>
      <c r="E90" t="s">
        <v>1067</v>
      </c>
      <c r="AY90" t="s">
        <v>1818</v>
      </c>
    </row>
    <row r="91" spans="1:51" outlineLevel="1" x14ac:dyDescent="0.4">
      <c r="A91" t="s">
        <v>1077</v>
      </c>
      <c r="B91" t="s">
        <v>1004</v>
      </c>
      <c r="C91">
        <v>2</v>
      </c>
      <c r="D91">
        <v>15</v>
      </c>
      <c r="E91" t="s">
        <v>1078</v>
      </c>
      <c r="AY91" t="s">
        <v>1819</v>
      </c>
    </row>
    <row r="92" spans="1:51" outlineLevel="1" x14ac:dyDescent="0.4">
      <c r="A92" t="s">
        <v>1066</v>
      </c>
      <c r="B92" t="s">
        <v>1004</v>
      </c>
      <c r="C92">
        <v>3</v>
      </c>
      <c r="D92">
        <v>25</v>
      </c>
      <c r="E92" t="s">
        <v>1079</v>
      </c>
      <c r="AY92" t="s">
        <v>1820</v>
      </c>
    </row>
    <row r="93" spans="1:51" outlineLevel="1" x14ac:dyDescent="0.4">
      <c r="A93" t="s">
        <v>1068</v>
      </c>
      <c r="B93" t="s">
        <v>1004</v>
      </c>
      <c r="C93">
        <v>3</v>
      </c>
      <c r="D93">
        <v>25</v>
      </c>
      <c r="E93" t="s">
        <v>1069</v>
      </c>
      <c r="AY93" t="s">
        <v>1821</v>
      </c>
    </row>
    <row r="94" spans="1:51" outlineLevel="1" x14ac:dyDescent="0.4">
      <c r="A94" t="s">
        <v>1080</v>
      </c>
      <c r="B94" t="s">
        <v>1004</v>
      </c>
      <c r="C94">
        <v>3</v>
      </c>
      <c r="D94">
        <v>25</v>
      </c>
      <c r="E94" t="s">
        <v>1081</v>
      </c>
      <c r="AY94" t="s">
        <v>1822</v>
      </c>
    </row>
    <row r="95" spans="1:51" outlineLevel="1" x14ac:dyDescent="0.4">
      <c r="A95" t="s">
        <v>1082</v>
      </c>
      <c r="B95" t="s">
        <v>1004</v>
      </c>
      <c r="C95">
        <v>4</v>
      </c>
      <c r="D95">
        <v>35</v>
      </c>
      <c r="E95" t="s">
        <v>1083</v>
      </c>
      <c r="AY95" t="s">
        <v>1823</v>
      </c>
    </row>
    <row r="96" spans="1:51" outlineLevel="1" x14ac:dyDescent="0.4">
      <c r="A96" t="s">
        <v>1084</v>
      </c>
      <c r="B96" t="s">
        <v>1004</v>
      </c>
      <c r="C96">
        <v>4</v>
      </c>
      <c r="D96">
        <v>35</v>
      </c>
      <c r="E96" t="s">
        <v>1085</v>
      </c>
      <c r="AY96" t="s">
        <v>1824</v>
      </c>
    </row>
    <row r="97" spans="1:51" outlineLevel="1" x14ac:dyDescent="0.4">
      <c r="A97" t="s">
        <v>1086</v>
      </c>
      <c r="B97" t="s">
        <v>1004</v>
      </c>
      <c r="C97">
        <v>4</v>
      </c>
      <c r="D97">
        <v>35</v>
      </c>
      <c r="E97" t="s">
        <v>1087</v>
      </c>
      <c r="AY97" t="s">
        <v>1825</v>
      </c>
    </row>
    <row r="98" spans="1:51" outlineLevel="1" x14ac:dyDescent="0.4">
      <c r="B98" t="s">
        <v>1005</v>
      </c>
      <c r="C98">
        <f t="shared" ref="C98:C106" si="4">C95+1</f>
        <v>5</v>
      </c>
    </row>
    <row r="99" spans="1:51" outlineLevel="1" x14ac:dyDescent="0.4">
      <c r="B99" t="s">
        <v>1005</v>
      </c>
      <c r="C99">
        <f t="shared" si="4"/>
        <v>5</v>
      </c>
    </row>
    <row r="100" spans="1:51" outlineLevel="1" x14ac:dyDescent="0.4">
      <c r="B100" t="s">
        <v>1005</v>
      </c>
      <c r="C100">
        <f t="shared" si="4"/>
        <v>5</v>
      </c>
    </row>
    <row r="101" spans="1:51" outlineLevel="1" x14ac:dyDescent="0.4">
      <c r="B101" t="s">
        <v>1005</v>
      </c>
      <c r="C101">
        <f t="shared" si="4"/>
        <v>6</v>
      </c>
    </row>
    <row r="102" spans="1:51" outlineLevel="1" x14ac:dyDescent="0.4">
      <c r="B102" t="s">
        <v>1005</v>
      </c>
      <c r="C102">
        <f t="shared" si="4"/>
        <v>6</v>
      </c>
    </row>
    <row r="103" spans="1:51" outlineLevel="1" x14ac:dyDescent="0.4">
      <c r="B103" t="s">
        <v>1005</v>
      </c>
      <c r="C103">
        <f t="shared" si="4"/>
        <v>6</v>
      </c>
    </row>
    <row r="104" spans="1:51" outlineLevel="1" x14ac:dyDescent="0.4">
      <c r="B104" t="s">
        <v>1005</v>
      </c>
      <c r="C104">
        <f t="shared" si="4"/>
        <v>7</v>
      </c>
    </row>
    <row r="105" spans="1:51" outlineLevel="1" x14ac:dyDescent="0.4">
      <c r="B105" t="s">
        <v>1005</v>
      </c>
      <c r="C105">
        <f t="shared" si="4"/>
        <v>7</v>
      </c>
    </row>
    <row r="106" spans="1:51" outlineLevel="1" x14ac:dyDescent="0.4">
      <c r="B106" t="s">
        <v>1005</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958</v>
      </c>
      <c r="B1" s="10" t="s">
        <v>9</v>
      </c>
      <c r="C1" s="3" t="s">
        <v>1138</v>
      </c>
      <c r="D1" s="4" t="s">
        <v>1139</v>
      </c>
      <c r="E1" s="4" t="s">
        <v>965</v>
      </c>
      <c r="F1" s="5" t="s">
        <v>962</v>
      </c>
      <c r="G1" s="18" t="s">
        <v>618</v>
      </c>
      <c r="H1" s="21" t="s">
        <v>619</v>
      </c>
      <c r="I1" s="18" t="s">
        <v>617</v>
      </c>
      <c r="J1" s="21" t="s">
        <v>963</v>
      </c>
      <c r="K1" s="21" t="s">
        <v>1173</v>
      </c>
      <c r="L1" s="38"/>
      <c r="M1" s="37" t="s">
        <v>215</v>
      </c>
      <c r="N1" s="37" t="s">
        <v>314</v>
      </c>
      <c r="O1" s="37" t="s">
        <v>175</v>
      </c>
      <c r="P1" s="37" t="s">
        <v>146</v>
      </c>
      <c r="Q1" s="37" t="s">
        <v>176</v>
      </c>
      <c r="R1" s="37" t="s">
        <v>669</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1233</v>
      </c>
      <c r="AI1" s="22" t="s">
        <v>1234</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997</v>
      </c>
      <c r="BE1" s="29" t="s">
        <v>6</v>
      </c>
      <c r="BF1" s="20" t="s">
        <v>145</v>
      </c>
      <c r="BG1" s="20" t="s">
        <v>177</v>
      </c>
      <c r="BH1" s="20" t="s">
        <v>670</v>
      </c>
      <c r="BI1" s="20" t="s">
        <v>1227</v>
      </c>
      <c r="BJ1" s="20" t="s">
        <v>1228</v>
      </c>
      <c r="BK1" s="20" t="s">
        <v>1229</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822</v>
      </c>
    </row>
    <row r="2" spans="1:88" s="10" customFormat="1" ht="36" x14ac:dyDescent="0.4">
      <c r="B2" s="10" t="s">
        <v>1140</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1141</v>
      </c>
      <c r="C3" t="s">
        <v>921</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1142</v>
      </c>
      <c r="C4" t="s">
        <v>921</v>
      </c>
      <c r="E4">
        <f t="shared" ref="E4:E42" si="1">MAX(F4:K4)</f>
        <v>4</v>
      </c>
      <c r="G4">
        <v>4</v>
      </c>
      <c r="S4">
        <f>$G4*15</f>
        <v>60</v>
      </c>
    </row>
    <row r="5" spans="1:88" outlineLevel="1" x14ac:dyDescent="0.4">
      <c r="A5" t="str">
        <f t="shared" si="0"/>
        <v>炎付与Ⅲ</v>
      </c>
      <c r="B5" t="s">
        <v>1143</v>
      </c>
      <c r="C5" t="s">
        <v>921</v>
      </c>
      <c r="E5">
        <f t="shared" si="1"/>
        <v>6</v>
      </c>
      <c r="G5">
        <v>6</v>
      </c>
      <c r="S5">
        <f>$G5*15</f>
        <v>90</v>
      </c>
    </row>
    <row r="6" spans="1:88" outlineLevel="1" x14ac:dyDescent="0.4">
      <c r="A6" t="str">
        <f>"氷付与"&amp;B6</f>
        <v>氷付与Ⅰ</v>
      </c>
      <c r="B6" t="s">
        <v>1141</v>
      </c>
      <c r="C6" t="s">
        <v>921</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1142</v>
      </c>
      <c r="C7" t="s">
        <v>921</v>
      </c>
      <c r="E7">
        <f t="shared" si="1"/>
        <v>4</v>
      </c>
      <c r="G7">
        <v>4</v>
      </c>
      <c r="T7">
        <f>$G7*15</f>
        <v>60</v>
      </c>
    </row>
    <row r="8" spans="1:88" outlineLevel="1" x14ac:dyDescent="0.4">
      <c r="A8" t="str">
        <f t="shared" si="2"/>
        <v>氷付与Ⅲ</v>
      </c>
      <c r="B8" t="s">
        <v>1143</v>
      </c>
      <c r="C8" t="s">
        <v>921</v>
      </c>
      <c r="E8">
        <f t="shared" si="1"/>
        <v>6</v>
      </c>
      <c r="G8">
        <v>6</v>
      </c>
      <c r="T8">
        <f>$G8*15</f>
        <v>90</v>
      </c>
    </row>
    <row r="9" spans="1:88" outlineLevel="1" x14ac:dyDescent="0.4">
      <c r="A9" t="str">
        <f>"雷付与"&amp;B9</f>
        <v>雷付与Ⅰ</v>
      </c>
      <c r="B9" t="s">
        <v>1141</v>
      </c>
      <c r="C9" t="s">
        <v>921</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1142</v>
      </c>
      <c r="C10" t="s">
        <v>921</v>
      </c>
      <c r="E10">
        <f t="shared" si="1"/>
        <v>4</v>
      </c>
      <c r="G10">
        <v>4</v>
      </c>
      <c r="U10">
        <f>$G10*15</f>
        <v>60</v>
      </c>
    </row>
    <row r="11" spans="1:88" outlineLevel="1" x14ac:dyDescent="0.4">
      <c r="A11" t="str">
        <f t="shared" si="3"/>
        <v>雷付与Ⅲ</v>
      </c>
      <c r="B11" t="s">
        <v>1143</v>
      </c>
      <c r="C11" t="s">
        <v>921</v>
      </c>
      <c r="E11">
        <f t="shared" si="1"/>
        <v>6</v>
      </c>
      <c r="G11">
        <v>6</v>
      </c>
      <c r="U11">
        <f>$G11*15</f>
        <v>90</v>
      </c>
    </row>
    <row r="12" spans="1:88" outlineLevel="1" x14ac:dyDescent="0.4">
      <c r="A12" t="str">
        <f>"毒付与"&amp;B12</f>
        <v>毒付与Ⅰ</v>
      </c>
      <c r="B12" t="s">
        <v>1141</v>
      </c>
      <c r="C12" t="s">
        <v>921</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1142</v>
      </c>
      <c r="C13" t="s">
        <v>921</v>
      </c>
      <c r="E13">
        <f t="shared" si="1"/>
        <v>4</v>
      </c>
      <c r="G13">
        <v>4</v>
      </c>
      <c r="V13">
        <f>$G13*15</f>
        <v>60</v>
      </c>
      <c r="X13" s="17"/>
    </row>
    <row r="14" spans="1:88" outlineLevel="1" x14ac:dyDescent="0.4">
      <c r="A14" t="str">
        <f t="shared" si="4"/>
        <v>毒付与Ⅲ</v>
      </c>
      <c r="B14" t="s">
        <v>1143</v>
      </c>
      <c r="C14" t="s">
        <v>921</v>
      </c>
      <c r="E14">
        <f t="shared" si="1"/>
        <v>6</v>
      </c>
      <c r="G14">
        <v>6</v>
      </c>
      <c r="V14">
        <f>$G14*15</f>
        <v>90</v>
      </c>
      <c r="X14" s="17"/>
    </row>
    <row r="15" spans="1:88" outlineLevel="1" x14ac:dyDescent="0.4">
      <c r="A15" t="str">
        <f>"光付与"&amp;B15</f>
        <v>光付与Ⅰ</v>
      </c>
      <c r="B15" t="s">
        <v>1141</v>
      </c>
      <c r="C15" t="s">
        <v>921</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1142</v>
      </c>
      <c r="C16" t="s">
        <v>921</v>
      </c>
      <c r="E16">
        <f t="shared" si="1"/>
        <v>4</v>
      </c>
      <c r="H16">
        <v>4</v>
      </c>
      <c r="W16">
        <f t="shared" ref="W16:W17" si="6">$H16*15</f>
        <v>60</v>
      </c>
      <c r="X16" s="17"/>
    </row>
    <row r="17" spans="1:68" outlineLevel="1" x14ac:dyDescent="0.4">
      <c r="A17" t="str">
        <f t="shared" si="5"/>
        <v>光付与Ⅲ</v>
      </c>
      <c r="B17" t="s">
        <v>1143</v>
      </c>
      <c r="C17" t="s">
        <v>921</v>
      </c>
      <c r="E17">
        <f t="shared" si="1"/>
        <v>6</v>
      </c>
      <c r="H17">
        <v>6</v>
      </c>
      <c r="W17">
        <f t="shared" si="6"/>
        <v>90</v>
      </c>
      <c r="X17" s="17"/>
    </row>
    <row r="18" spans="1:68" outlineLevel="1" x14ac:dyDescent="0.4">
      <c r="A18" t="str">
        <f>"闇付与"&amp;B18</f>
        <v>闇付与Ⅰ</v>
      </c>
      <c r="B18" t="s">
        <v>1141</v>
      </c>
      <c r="C18" t="s">
        <v>921</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1142</v>
      </c>
      <c r="C19" t="s">
        <v>921</v>
      </c>
      <c r="E19">
        <f t="shared" si="1"/>
        <v>4</v>
      </c>
      <c r="G19">
        <v>4</v>
      </c>
      <c r="X19">
        <f>$G19*15</f>
        <v>60</v>
      </c>
    </row>
    <row r="20" spans="1:68" outlineLevel="1" x14ac:dyDescent="0.4">
      <c r="A20" t="str">
        <f t="shared" si="7"/>
        <v>闇付与Ⅲ</v>
      </c>
      <c r="B20" t="s">
        <v>1143</v>
      </c>
      <c r="C20" t="s">
        <v>921</v>
      </c>
      <c r="E20">
        <f t="shared" si="1"/>
        <v>6</v>
      </c>
      <c r="G20">
        <v>6</v>
      </c>
      <c r="X20">
        <f t="shared" ref="X20" si="8">$G20*15</f>
        <v>90</v>
      </c>
    </row>
    <row r="21" spans="1:68" outlineLevel="1" x14ac:dyDescent="0.4">
      <c r="A21" s="2"/>
    </row>
    <row r="22" spans="1:68" outlineLevel="1" x14ac:dyDescent="0.4">
      <c r="A22" t="s">
        <v>1144</v>
      </c>
      <c r="C22" t="s">
        <v>1167</v>
      </c>
      <c r="E22">
        <f t="shared" si="1"/>
        <v>1</v>
      </c>
      <c r="H22" s="17">
        <v>1</v>
      </c>
      <c r="AG22">
        <v>5</v>
      </c>
    </row>
    <row r="23" spans="1:68" outlineLevel="1" x14ac:dyDescent="0.4">
      <c r="A23" t="s">
        <v>1145</v>
      </c>
      <c r="C23" t="s">
        <v>1167</v>
      </c>
      <c r="E23">
        <f t="shared" si="1"/>
        <v>3</v>
      </c>
      <c r="H23" s="17">
        <v>3</v>
      </c>
      <c r="AG23">
        <v>10</v>
      </c>
    </row>
    <row r="24" spans="1:68" outlineLevel="1" x14ac:dyDescent="0.4">
      <c r="A24" t="s">
        <v>1146</v>
      </c>
      <c r="C24" t="s">
        <v>1167</v>
      </c>
      <c r="E24">
        <f t="shared" si="1"/>
        <v>5</v>
      </c>
      <c r="H24" s="17">
        <v>5</v>
      </c>
      <c r="AG24">
        <v>15</v>
      </c>
    </row>
    <row r="25" spans="1:68" outlineLevel="1" x14ac:dyDescent="0.4">
      <c r="A25" t="s">
        <v>1147</v>
      </c>
      <c r="C25" t="s">
        <v>1168</v>
      </c>
      <c r="E25">
        <f t="shared" si="1"/>
        <v>1</v>
      </c>
      <c r="G25">
        <v>1</v>
      </c>
      <c r="AJ25">
        <v>10</v>
      </c>
    </row>
    <row r="26" spans="1:68" outlineLevel="1" x14ac:dyDescent="0.4">
      <c r="A26" t="s">
        <v>1148</v>
      </c>
      <c r="C26" t="s">
        <v>1168</v>
      </c>
      <c r="E26">
        <f t="shared" si="1"/>
        <v>3</v>
      </c>
      <c r="G26">
        <v>3</v>
      </c>
      <c r="AJ26">
        <v>30</v>
      </c>
    </row>
    <row r="27" spans="1:68" outlineLevel="1" x14ac:dyDescent="0.4">
      <c r="A27" t="s">
        <v>1149</v>
      </c>
      <c r="C27" t="s">
        <v>1168</v>
      </c>
      <c r="E27">
        <f t="shared" si="1"/>
        <v>5</v>
      </c>
      <c r="G27">
        <v>5</v>
      </c>
      <c r="AJ27">
        <v>50</v>
      </c>
    </row>
    <row r="28" spans="1:68" outlineLevel="1" x14ac:dyDescent="0.4">
      <c r="A28" t="s">
        <v>1150</v>
      </c>
      <c r="C28" t="s">
        <v>1167</v>
      </c>
      <c r="E28">
        <f t="shared" si="1"/>
        <v>1</v>
      </c>
      <c r="G28">
        <v>1</v>
      </c>
      <c r="AK28">
        <v>10</v>
      </c>
    </row>
    <row r="29" spans="1:68" outlineLevel="1" x14ac:dyDescent="0.4">
      <c r="A29" t="s">
        <v>1151</v>
      </c>
      <c r="C29" t="s">
        <v>1167</v>
      </c>
      <c r="E29">
        <f t="shared" si="1"/>
        <v>3</v>
      </c>
      <c r="G29">
        <v>3</v>
      </c>
      <c r="AK29">
        <v>30</v>
      </c>
    </row>
    <row r="30" spans="1:68" outlineLevel="1" x14ac:dyDescent="0.4">
      <c r="A30" t="s">
        <v>1152</v>
      </c>
      <c r="C30" t="s">
        <v>1167</v>
      </c>
      <c r="E30">
        <f t="shared" si="1"/>
        <v>5</v>
      </c>
      <c r="G30">
        <v>5</v>
      </c>
      <c r="AK30">
        <v>50</v>
      </c>
    </row>
    <row r="31" spans="1:68" outlineLevel="1" x14ac:dyDescent="0.4">
      <c r="A31" t="s">
        <v>1153</v>
      </c>
      <c r="C31" t="s">
        <v>1170</v>
      </c>
      <c r="E31">
        <f t="shared" si="1"/>
        <v>1</v>
      </c>
      <c r="G31">
        <v>1</v>
      </c>
      <c r="AL31">
        <v>10</v>
      </c>
    </row>
    <row r="32" spans="1:68" outlineLevel="1" x14ac:dyDescent="0.4">
      <c r="A32" t="s">
        <v>1154</v>
      </c>
      <c r="C32" t="s">
        <v>1170</v>
      </c>
      <c r="E32">
        <f t="shared" si="1"/>
        <v>3</v>
      </c>
      <c r="G32">
        <v>3</v>
      </c>
      <c r="AL32">
        <v>30</v>
      </c>
    </row>
    <row r="33" spans="1:41" ht="19.5" customHeight="1" outlineLevel="1" x14ac:dyDescent="0.4">
      <c r="A33" t="s">
        <v>1155</v>
      </c>
      <c r="C33" t="s">
        <v>1170</v>
      </c>
      <c r="E33">
        <f t="shared" si="1"/>
        <v>5</v>
      </c>
      <c r="G33">
        <v>5</v>
      </c>
      <c r="AL33">
        <v>50</v>
      </c>
    </row>
    <row r="34" spans="1:41" outlineLevel="1" x14ac:dyDescent="0.4">
      <c r="A34" t="s">
        <v>1156</v>
      </c>
      <c r="C34" t="s">
        <v>1171</v>
      </c>
      <c r="E34">
        <f t="shared" si="1"/>
        <v>1</v>
      </c>
      <c r="H34" s="17">
        <v>1</v>
      </c>
      <c r="AM34">
        <v>10</v>
      </c>
    </row>
    <row r="35" spans="1:41" outlineLevel="1" x14ac:dyDescent="0.4">
      <c r="A35" t="s">
        <v>1157</v>
      </c>
      <c r="C35" t="s">
        <v>1171</v>
      </c>
      <c r="E35">
        <f t="shared" si="1"/>
        <v>3</v>
      </c>
      <c r="H35" s="17">
        <v>3</v>
      </c>
      <c r="AM35">
        <v>30</v>
      </c>
    </row>
    <row r="36" spans="1:41" outlineLevel="1" x14ac:dyDescent="0.4">
      <c r="A36" t="s">
        <v>1158</v>
      </c>
      <c r="C36" t="s">
        <v>1171</v>
      </c>
      <c r="E36">
        <f t="shared" si="1"/>
        <v>5</v>
      </c>
      <c r="H36" s="17">
        <v>5</v>
      </c>
      <c r="AM36">
        <v>50</v>
      </c>
    </row>
    <row r="37" spans="1:41" outlineLevel="1" x14ac:dyDescent="0.4">
      <c r="A37" t="s">
        <v>1159</v>
      </c>
      <c r="C37" t="s">
        <v>1132</v>
      </c>
      <c r="E37">
        <f t="shared" si="1"/>
        <v>1</v>
      </c>
      <c r="G37">
        <v>1</v>
      </c>
      <c r="AN37">
        <v>10</v>
      </c>
    </row>
    <row r="38" spans="1:41" outlineLevel="1" x14ac:dyDescent="0.4">
      <c r="A38" t="s">
        <v>1160</v>
      </c>
      <c r="C38" t="s">
        <v>1132</v>
      </c>
      <c r="E38">
        <f t="shared" si="1"/>
        <v>3</v>
      </c>
      <c r="G38">
        <v>3</v>
      </c>
      <c r="AN38">
        <v>30</v>
      </c>
    </row>
    <row r="39" spans="1:41" outlineLevel="1" x14ac:dyDescent="0.4">
      <c r="A39" t="s">
        <v>1161</v>
      </c>
      <c r="C39" t="s">
        <v>1132</v>
      </c>
      <c r="E39">
        <f t="shared" si="1"/>
        <v>5</v>
      </c>
      <c r="G39">
        <v>5</v>
      </c>
      <c r="AN39">
        <v>50</v>
      </c>
    </row>
    <row r="40" spans="1:41" outlineLevel="1" x14ac:dyDescent="0.4">
      <c r="A40" t="s">
        <v>1162</v>
      </c>
      <c r="C40" t="s">
        <v>1165</v>
      </c>
      <c r="E40">
        <f t="shared" si="1"/>
        <v>1</v>
      </c>
      <c r="G40">
        <v>1</v>
      </c>
      <c r="AO40">
        <v>10</v>
      </c>
    </row>
    <row r="41" spans="1:41" outlineLevel="1" x14ac:dyDescent="0.4">
      <c r="A41" t="s">
        <v>1163</v>
      </c>
      <c r="C41" t="s">
        <v>1165</v>
      </c>
      <c r="E41">
        <f t="shared" si="1"/>
        <v>3</v>
      </c>
      <c r="G41">
        <v>3</v>
      </c>
      <c r="AO41">
        <v>30</v>
      </c>
    </row>
    <row r="42" spans="1:41" outlineLevel="1" x14ac:dyDescent="0.4">
      <c r="A42" t="s">
        <v>1164</v>
      </c>
      <c r="C42" t="s">
        <v>1165</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965</v>
      </c>
      <c r="B1" s="3" t="s">
        <v>966</v>
      </c>
      <c r="C1" s="3" t="s">
        <v>477</v>
      </c>
      <c r="D1" s="3" t="s">
        <v>478</v>
      </c>
      <c r="E1" s="3" t="s">
        <v>479</v>
      </c>
      <c r="F1" s="3" t="s">
        <v>480</v>
      </c>
      <c r="G1" s="42" t="s">
        <v>481</v>
      </c>
      <c r="H1" s="42" t="s">
        <v>482</v>
      </c>
      <c r="I1" s="42" t="s">
        <v>483</v>
      </c>
      <c r="J1" s="42" t="s">
        <v>484</v>
      </c>
      <c r="K1" s="44" t="s">
        <v>485</v>
      </c>
      <c r="L1" s="44" t="s">
        <v>486</v>
      </c>
      <c r="M1" s="44" t="s">
        <v>487</v>
      </c>
      <c r="N1" s="44" t="s">
        <v>488</v>
      </c>
      <c r="O1" s="36" t="s">
        <v>489</v>
      </c>
      <c r="P1" s="36" t="s">
        <v>490</v>
      </c>
      <c r="Q1" s="36" t="s">
        <v>491</v>
      </c>
      <c r="R1" s="36" t="s">
        <v>967</v>
      </c>
      <c r="S1" s="56" t="s">
        <v>910</v>
      </c>
      <c r="T1" s="56" t="s">
        <v>907</v>
      </c>
      <c r="U1" s="36" t="s">
        <v>1135</v>
      </c>
      <c r="V1" s="36" t="s">
        <v>1136</v>
      </c>
      <c r="W1" s="3" t="s">
        <v>1673</v>
      </c>
      <c r="X1" s="3" t="s">
        <v>1674</v>
      </c>
      <c r="Y1" s="3" t="s">
        <v>1675</v>
      </c>
      <c r="Z1" s="3" t="s">
        <v>1676</v>
      </c>
    </row>
    <row r="2" spans="1:26" x14ac:dyDescent="0.4">
      <c r="A2" s="17">
        <v>1</v>
      </c>
      <c r="B2" s="17" t="s">
        <v>961</v>
      </c>
      <c r="C2" s="17"/>
      <c r="D2" s="17"/>
      <c r="E2" s="17"/>
      <c r="F2" s="17"/>
      <c r="G2" s="17">
        <v>10</v>
      </c>
      <c r="H2" s="17">
        <v>0</v>
      </c>
      <c r="I2" s="17">
        <v>0</v>
      </c>
      <c r="J2" s="17"/>
      <c r="K2" s="17">
        <v>10</v>
      </c>
      <c r="U2" s="39">
        <v>1</v>
      </c>
      <c r="V2" s="39">
        <v>0</v>
      </c>
      <c r="W2" t="s">
        <v>1726</v>
      </c>
      <c r="X2" t="s">
        <v>1727</v>
      </c>
      <c r="Y2" t="s">
        <v>1728</v>
      </c>
      <c r="Z2">
        <v>1</v>
      </c>
    </row>
    <row r="3" spans="1:26" x14ac:dyDescent="0.4">
      <c r="A3" s="17">
        <v>2</v>
      </c>
      <c r="B3" s="17" t="s">
        <v>961</v>
      </c>
      <c r="C3" s="17"/>
      <c r="D3" s="17"/>
      <c r="E3" s="17"/>
      <c r="F3" s="17"/>
      <c r="G3" s="17">
        <v>20</v>
      </c>
      <c r="H3" s="17">
        <v>0</v>
      </c>
      <c r="I3" s="17">
        <v>0</v>
      </c>
      <c r="J3" s="17"/>
      <c r="K3" s="17">
        <v>20</v>
      </c>
      <c r="U3" s="39">
        <v>1</v>
      </c>
      <c r="V3" s="39">
        <v>0.15</v>
      </c>
      <c r="W3" t="s">
        <v>1729</v>
      </c>
      <c r="X3" t="s">
        <v>1730</v>
      </c>
      <c r="Y3" t="s">
        <v>1731</v>
      </c>
      <c r="Z3">
        <v>1.25</v>
      </c>
    </row>
    <row r="4" spans="1:26" x14ac:dyDescent="0.4">
      <c r="A4" s="17">
        <v>3</v>
      </c>
      <c r="B4" s="17" t="s">
        <v>961</v>
      </c>
      <c r="C4" s="17"/>
      <c r="D4" s="17"/>
      <c r="E4" s="17"/>
      <c r="F4" s="17"/>
      <c r="G4" s="17">
        <v>10</v>
      </c>
      <c r="H4" s="17">
        <v>10</v>
      </c>
      <c r="I4" s="17"/>
      <c r="J4" s="17"/>
      <c r="K4">
        <v>10</v>
      </c>
      <c r="L4" s="17">
        <v>10</v>
      </c>
      <c r="U4" s="39">
        <v>1</v>
      </c>
      <c r="V4" s="39">
        <v>0.3</v>
      </c>
      <c r="W4" t="s">
        <v>1732</v>
      </c>
      <c r="X4" t="s">
        <v>1733</v>
      </c>
      <c r="Y4" t="s">
        <v>1734</v>
      </c>
      <c r="Z4">
        <v>1.5</v>
      </c>
    </row>
    <row r="5" spans="1:26" x14ac:dyDescent="0.4">
      <c r="A5" s="17">
        <v>4</v>
      </c>
      <c r="B5" s="17" t="s">
        <v>961</v>
      </c>
      <c r="C5" s="17"/>
      <c r="D5" s="17"/>
      <c r="E5" s="17"/>
      <c r="F5" s="17"/>
      <c r="G5" s="17">
        <v>10</v>
      </c>
      <c r="H5" s="17">
        <v>20</v>
      </c>
      <c r="I5" s="17">
        <v>10</v>
      </c>
      <c r="J5" s="17"/>
      <c r="K5" s="17">
        <v>10</v>
      </c>
      <c r="L5" s="17">
        <v>20</v>
      </c>
      <c r="M5">
        <v>5</v>
      </c>
      <c r="N5">
        <v>5</v>
      </c>
      <c r="U5" s="39">
        <v>1</v>
      </c>
      <c r="V5" s="39">
        <v>0.5</v>
      </c>
      <c r="W5" t="s">
        <v>1735</v>
      </c>
      <c r="X5" t="s">
        <v>1736</v>
      </c>
      <c r="Y5" t="s">
        <v>1737</v>
      </c>
      <c r="Z5">
        <v>1.75</v>
      </c>
    </row>
    <row r="6" spans="1:26" x14ac:dyDescent="0.4">
      <c r="A6" s="17">
        <v>5</v>
      </c>
      <c r="B6" s="17" t="s">
        <v>961</v>
      </c>
      <c r="C6" s="17"/>
      <c r="D6" s="17"/>
      <c r="E6" s="17"/>
      <c r="F6" s="17"/>
      <c r="G6" s="17">
        <v>20</v>
      </c>
      <c r="H6" s="17">
        <v>40</v>
      </c>
      <c r="I6" s="17">
        <v>20</v>
      </c>
      <c r="J6" s="17"/>
      <c r="K6" s="17">
        <v>20</v>
      </c>
      <c r="L6" s="17">
        <v>40</v>
      </c>
      <c r="M6" s="17">
        <v>10</v>
      </c>
      <c r="N6" s="17">
        <v>10</v>
      </c>
      <c r="O6">
        <v>20</v>
      </c>
      <c r="P6">
        <v>40</v>
      </c>
      <c r="Q6">
        <v>10</v>
      </c>
      <c r="R6" t="s">
        <v>968</v>
      </c>
      <c r="U6" s="39">
        <v>1</v>
      </c>
      <c r="V6" s="39">
        <v>0.65</v>
      </c>
      <c r="W6" t="s">
        <v>1738</v>
      </c>
      <c r="X6" t="s">
        <v>1739</v>
      </c>
      <c r="Y6" t="s">
        <v>1740</v>
      </c>
      <c r="Z6">
        <v>2</v>
      </c>
    </row>
    <row r="7" spans="1:26" x14ac:dyDescent="0.4">
      <c r="A7" s="17">
        <v>6</v>
      </c>
      <c r="B7" s="17" t="s">
        <v>961</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968</v>
      </c>
      <c r="U7" s="39">
        <v>1</v>
      </c>
      <c r="V7" s="39">
        <v>0.8</v>
      </c>
    </row>
    <row r="8" spans="1:26" x14ac:dyDescent="0.4">
      <c r="A8" s="17">
        <v>7</v>
      </c>
      <c r="B8" s="17" t="s">
        <v>961</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968</v>
      </c>
      <c r="U8" s="39">
        <v>1</v>
      </c>
      <c r="V8" s="39">
        <v>1</v>
      </c>
    </row>
    <row r="9" spans="1:26" x14ac:dyDescent="0.4">
      <c r="A9" s="17">
        <v>1</v>
      </c>
      <c r="B9" t="s">
        <v>1172</v>
      </c>
      <c r="O9">
        <v>5</v>
      </c>
      <c r="P9">
        <v>10</v>
      </c>
    </row>
    <row r="10" spans="1:26" x14ac:dyDescent="0.4">
      <c r="A10" s="17">
        <v>2</v>
      </c>
      <c r="B10" t="s">
        <v>1172</v>
      </c>
      <c r="O10">
        <v>10</v>
      </c>
      <c r="P10">
        <v>20</v>
      </c>
      <c r="Q10">
        <v>5</v>
      </c>
    </row>
    <row r="11" spans="1:26" x14ac:dyDescent="0.4">
      <c r="A11" s="17">
        <v>3</v>
      </c>
      <c r="B11" t="s">
        <v>1172</v>
      </c>
      <c r="O11">
        <v>20</v>
      </c>
      <c r="P11">
        <v>40</v>
      </c>
      <c r="Q11">
        <v>10</v>
      </c>
    </row>
    <row r="12" spans="1:26" x14ac:dyDescent="0.4">
      <c r="A12" s="17">
        <v>4</v>
      </c>
      <c r="B12" t="s">
        <v>1172</v>
      </c>
      <c r="O12">
        <v>40</v>
      </c>
      <c r="P12">
        <v>80</v>
      </c>
      <c r="Q12">
        <v>20</v>
      </c>
    </row>
    <row r="13" spans="1:26" x14ac:dyDescent="0.4">
      <c r="A13" s="17">
        <v>5</v>
      </c>
      <c r="B13" t="s">
        <v>1172</v>
      </c>
      <c r="O13">
        <v>80</v>
      </c>
      <c r="P13">
        <v>160</v>
      </c>
      <c r="Q13">
        <v>40</v>
      </c>
      <c r="R13" t="s">
        <v>968</v>
      </c>
    </row>
    <row r="14" spans="1:26" x14ac:dyDescent="0.4">
      <c r="A14" s="17">
        <v>6</v>
      </c>
      <c r="B14" t="s">
        <v>1172</v>
      </c>
      <c r="O14">
        <v>160</v>
      </c>
      <c r="P14">
        <v>320</v>
      </c>
      <c r="Q14">
        <v>80</v>
      </c>
      <c r="R14" t="s">
        <v>968</v>
      </c>
    </row>
    <row r="15" spans="1:26" x14ac:dyDescent="0.4">
      <c r="A15" s="17">
        <v>7</v>
      </c>
      <c r="B15" t="s">
        <v>1172</v>
      </c>
      <c r="O15">
        <v>320</v>
      </c>
      <c r="P15">
        <v>640</v>
      </c>
      <c r="Q15">
        <v>160</v>
      </c>
      <c r="R15" t="s">
        <v>968</v>
      </c>
    </row>
    <row r="16" spans="1:26" x14ac:dyDescent="0.4">
      <c r="A16">
        <v>1</v>
      </c>
      <c r="B16" t="s">
        <v>1389</v>
      </c>
      <c r="C16">
        <v>2</v>
      </c>
      <c r="D16">
        <v>2</v>
      </c>
      <c r="E16">
        <v>2</v>
      </c>
      <c r="G16">
        <v>2</v>
      </c>
      <c r="J16">
        <v>2</v>
      </c>
      <c r="K16">
        <v>2</v>
      </c>
    </row>
    <row r="21" spans="8:9" x14ac:dyDescent="0.4">
      <c r="H21" t="s">
        <v>1272</v>
      </c>
      <c r="I21" t="s">
        <v>977</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W32"/>
  <sheetViews>
    <sheetView workbookViewId="0">
      <selection activeCell="H11" sqref="H11"/>
    </sheetView>
  </sheetViews>
  <sheetFormatPr defaultRowHeight="18.75" x14ac:dyDescent="0.4"/>
  <cols>
    <col min="4" max="4" width="7.75" bestFit="1" customWidth="1"/>
    <col min="5" max="5" width="7.25" customWidth="1"/>
    <col min="6" max="9" width="4.625" customWidth="1"/>
    <col min="10" max="10" width="6.25" customWidth="1"/>
    <col min="11" max="12" width="5.25" bestFit="1" customWidth="1"/>
    <col min="13" max="13" width="7.125" bestFit="1" customWidth="1"/>
    <col min="14" max="14" width="5.25" bestFit="1" customWidth="1"/>
    <col min="15" max="16" width="5.25" customWidth="1"/>
    <col min="17" max="17" width="13.625" bestFit="1" customWidth="1"/>
  </cols>
  <sheetData>
    <row r="1" spans="1:23" x14ac:dyDescent="0.4">
      <c r="A1" t="s">
        <v>662</v>
      </c>
      <c r="B1" t="s">
        <v>920</v>
      </c>
      <c r="C1" t="s">
        <v>1390</v>
      </c>
      <c r="D1" t="s">
        <v>667</v>
      </c>
      <c r="E1" t="s">
        <v>666</v>
      </c>
      <c r="F1" t="s">
        <v>668</v>
      </c>
      <c r="G1" t="s">
        <v>1230</v>
      </c>
      <c r="H1" t="s">
        <v>1131</v>
      </c>
      <c r="I1" t="s">
        <v>854</v>
      </c>
      <c r="J1" t="s">
        <v>175</v>
      </c>
      <c r="K1" t="s">
        <v>671</v>
      </c>
      <c r="L1" t="s">
        <v>154</v>
      </c>
      <c r="M1" t="s">
        <v>155</v>
      </c>
      <c r="N1" t="s">
        <v>161</v>
      </c>
      <c r="O1" t="s">
        <v>925</v>
      </c>
      <c r="P1" t="s">
        <v>934</v>
      </c>
      <c r="Q1" t="s">
        <v>673</v>
      </c>
      <c r="R1" t="s">
        <v>674</v>
      </c>
      <c r="S1" t="s">
        <v>675</v>
      </c>
      <c r="T1" t="s">
        <v>676</v>
      </c>
      <c r="U1" t="s">
        <v>942</v>
      </c>
      <c r="V1" s="53" t="s">
        <v>943</v>
      </c>
      <c r="W1" s="53" t="s">
        <v>481</v>
      </c>
    </row>
    <row r="2" spans="1:23" x14ac:dyDescent="0.4">
      <c r="A2" t="s">
        <v>1184</v>
      </c>
      <c r="B2" t="s">
        <v>921</v>
      </c>
      <c r="C2" t="s">
        <v>1391</v>
      </c>
      <c r="D2">
        <v>20</v>
      </c>
      <c r="E2">
        <v>40</v>
      </c>
      <c r="F2">
        <v>25</v>
      </c>
      <c r="J2">
        <v>20</v>
      </c>
      <c r="L2">
        <v>10</v>
      </c>
      <c r="M2">
        <v>135</v>
      </c>
      <c r="Q2" t="s">
        <v>672</v>
      </c>
      <c r="R2" t="s">
        <v>677</v>
      </c>
      <c r="S2" t="s">
        <v>678</v>
      </c>
      <c r="U2">
        <v>1</v>
      </c>
      <c r="V2" s="52">
        <v>0.5</v>
      </c>
      <c r="W2" s="52">
        <v>0</v>
      </c>
    </row>
    <row r="3" spans="1:23" x14ac:dyDescent="0.4">
      <c r="A3" t="s">
        <v>679</v>
      </c>
      <c r="B3" t="s">
        <v>921</v>
      </c>
      <c r="C3" t="s">
        <v>1391</v>
      </c>
      <c r="D3">
        <v>30</v>
      </c>
      <c r="E3">
        <v>50</v>
      </c>
      <c r="F3">
        <v>35</v>
      </c>
      <c r="J3">
        <v>25</v>
      </c>
      <c r="L3">
        <v>10</v>
      </c>
      <c r="M3">
        <v>135</v>
      </c>
      <c r="Q3" t="s">
        <v>682</v>
      </c>
      <c r="R3" t="s">
        <v>678</v>
      </c>
      <c r="U3">
        <v>1.25</v>
      </c>
      <c r="V3" s="52">
        <v>1</v>
      </c>
      <c r="W3" s="52">
        <v>0.1</v>
      </c>
    </row>
    <row r="4" spans="1:23" x14ac:dyDescent="0.4">
      <c r="A4" t="s">
        <v>680</v>
      </c>
      <c r="B4" t="s">
        <v>921</v>
      </c>
      <c r="C4" t="s">
        <v>1391</v>
      </c>
      <c r="D4">
        <v>40</v>
      </c>
      <c r="E4">
        <v>50</v>
      </c>
      <c r="F4">
        <v>40</v>
      </c>
      <c r="J4">
        <v>25</v>
      </c>
      <c r="L4">
        <v>10</v>
      </c>
      <c r="M4">
        <v>135</v>
      </c>
      <c r="Q4" t="s">
        <v>682</v>
      </c>
      <c r="U4">
        <v>1.5</v>
      </c>
      <c r="V4" s="52">
        <v>1.4</v>
      </c>
      <c r="W4" s="52">
        <v>0.1</v>
      </c>
    </row>
    <row r="5" spans="1:23" x14ac:dyDescent="0.4">
      <c r="A5" t="s">
        <v>1181</v>
      </c>
      <c r="B5" t="s">
        <v>921</v>
      </c>
      <c r="C5" t="s">
        <v>1391</v>
      </c>
      <c r="D5">
        <v>40</v>
      </c>
      <c r="E5">
        <v>50</v>
      </c>
      <c r="F5">
        <v>45</v>
      </c>
      <c r="J5">
        <v>25</v>
      </c>
      <c r="L5">
        <v>10</v>
      </c>
      <c r="M5">
        <v>135</v>
      </c>
      <c r="Q5" t="s">
        <v>681</v>
      </c>
      <c r="R5" t="s">
        <v>1131</v>
      </c>
      <c r="U5">
        <v>1.25</v>
      </c>
      <c r="V5" s="52">
        <v>0.6</v>
      </c>
      <c r="W5" s="52">
        <v>1.2</v>
      </c>
    </row>
    <row r="6" spans="1:23" x14ac:dyDescent="0.4">
      <c r="A6" t="s">
        <v>660</v>
      </c>
      <c r="B6" t="s">
        <v>921</v>
      </c>
      <c r="C6" t="s">
        <v>1391</v>
      </c>
      <c r="D6">
        <v>50</v>
      </c>
      <c r="E6">
        <v>50</v>
      </c>
      <c r="F6">
        <v>45</v>
      </c>
      <c r="J6">
        <v>30</v>
      </c>
      <c r="L6">
        <v>10</v>
      </c>
      <c r="M6">
        <v>125</v>
      </c>
      <c r="Q6" t="s">
        <v>681</v>
      </c>
      <c r="U6">
        <v>1.25</v>
      </c>
      <c r="V6" s="52">
        <v>1.2</v>
      </c>
      <c r="W6" s="52">
        <v>0.4</v>
      </c>
    </row>
    <row r="7" spans="1:23" x14ac:dyDescent="0.4">
      <c r="A7" t="s">
        <v>663</v>
      </c>
      <c r="B7" t="s">
        <v>921</v>
      </c>
      <c r="C7" t="s">
        <v>1391</v>
      </c>
      <c r="D7">
        <v>30</v>
      </c>
      <c r="E7">
        <v>40</v>
      </c>
      <c r="F7">
        <v>30</v>
      </c>
      <c r="J7">
        <v>20</v>
      </c>
      <c r="L7">
        <v>10</v>
      </c>
      <c r="M7">
        <v>125</v>
      </c>
      <c r="Q7" t="s">
        <v>139</v>
      </c>
      <c r="U7">
        <v>1</v>
      </c>
      <c r="V7" s="52">
        <v>0</v>
      </c>
      <c r="W7" s="52">
        <v>1</v>
      </c>
    </row>
    <row r="8" spans="1:23" x14ac:dyDescent="0.4">
      <c r="A8" t="s">
        <v>664</v>
      </c>
      <c r="B8" t="s">
        <v>921</v>
      </c>
      <c r="C8" t="s">
        <v>1391</v>
      </c>
      <c r="D8">
        <v>50</v>
      </c>
      <c r="E8">
        <v>40</v>
      </c>
      <c r="F8">
        <v>45</v>
      </c>
      <c r="J8">
        <v>25</v>
      </c>
      <c r="L8">
        <v>10</v>
      </c>
      <c r="M8">
        <v>125</v>
      </c>
      <c r="Q8" t="s">
        <v>139</v>
      </c>
      <c r="U8">
        <v>1.5</v>
      </c>
      <c r="V8" s="52">
        <v>1.6</v>
      </c>
      <c r="W8" s="52">
        <v>0.2</v>
      </c>
    </row>
    <row r="9" spans="1:23" x14ac:dyDescent="0.4">
      <c r="A9" t="s">
        <v>1185</v>
      </c>
      <c r="B9" t="s">
        <v>921</v>
      </c>
      <c r="C9" t="s">
        <v>1392</v>
      </c>
      <c r="D9">
        <v>65</v>
      </c>
      <c r="E9">
        <v>50</v>
      </c>
      <c r="F9">
        <v>25</v>
      </c>
      <c r="J9">
        <v>25</v>
      </c>
      <c r="K9">
        <v>40</v>
      </c>
      <c r="L9">
        <v>10</v>
      </c>
      <c r="M9">
        <v>135</v>
      </c>
      <c r="N9">
        <v>4</v>
      </c>
      <c r="U9">
        <v>1.25</v>
      </c>
      <c r="V9" s="52">
        <v>0.2</v>
      </c>
      <c r="W9" s="52">
        <v>1.4</v>
      </c>
    </row>
    <row r="10" spans="1:23" x14ac:dyDescent="0.4">
      <c r="A10" t="s">
        <v>665</v>
      </c>
      <c r="B10" t="s">
        <v>921</v>
      </c>
      <c r="C10" t="s">
        <v>1392</v>
      </c>
      <c r="D10">
        <v>20</v>
      </c>
      <c r="E10">
        <v>40</v>
      </c>
      <c r="F10">
        <v>10</v>
      </c>
      <c r="J10">
        <v>25</v>
      </c>
      <c r="K10">
        <v>40</v>
      </c>
      <c r="L10">
        <v>10</v>
      </c>
      <c r="M10">
        <v>140</v>
      </c>
      <c r="N10">
        <v>4</v>
      </c>
      <c r="Q10" t="s">
        <v>683</v>
      </c>
      <c r="U10">
        <v>2</v>
      </c>
      <c r="V10" s="52">
        <v>2</v>
      </c>
      <c r="W10" s="52">
        <v>0.3</v>
      </c>
    </row>
    <row r="11" spans="1:23" x14ac:dyDescent="0.4">
      <c r="A11" t="s">
        <v>1169</v>
      </c>
      <c r="B11" t="s">
        <v>921</v>
      </c>
      <c r="C11" t="s">
        <v>103</v>
      </c>
      <c r="D11">
        <v>0</v>
      </c>
      <c r="E11">
        <v>30</v>
      </c>
      <c r="F11">
        <v>30</v>
      </c>
      <c r="J11">
        <v>25</v>
      </c>
      <c r="L11">
        <v>10</v>
      </c>
      <c r="M11">
        <v>120</v>
      </c>
      <c r="Q11" t="s">
        <v>935</v>
      </c>
      <c r="U11">
        <v>2</v>
      </c>
      <c r="V11" s="52">
        <v>0.1</v>
      </c>
      <c r="W11" s="52">
        <v>1.3</v>
      </c>
    </row>
    <row r="13" spans="1:23" x14ac:dyDescent="0.4">
      <c r="A13" t="s">
        <v>1137</v>
      </c>
      <c r="B13" t="s">
        <v>921</v>
      </c>
      <c r="C13" t="s">
        <v>1393</v>
      </c>
      <c r="D13">
        <v>-5</v>
      </c>
      <c r="E13">
        <v>50</v>
      </c>
      <c r="F13">
        <v>15</v>
      </c>
      <c r="J13">
        <v>25</v>
      </c>
      <c r="L13">
        <v>10</v>
      </c>
      <c r="M13">
        <v>120</v>
      </c>
      <c r="U13">
        <v>1</v>
      </c>
      <c r="V13" s="52">
        <v>0.2</v>
      </c>
      <c r="W13" s="52">
        <v>1</v>
      </c>
    </row>
    <row r="14" spans="1:23" x14ac:dyDescent="0.4">
      <c r="A14" t="s">
        <v>684</v>
      </c>
      <c r="B14" t="s">
        <v>921</v>
      </c>
      <c r="C14" t="s">
        <v>1393</v>
      </c>
      <c r="D14">
        <v>0</v>
      </c>
      <c r="E14">
        <v>60</v>
      </c>
      <c r="F14">
        <v>20</v>
      </c>
      <c r="J14">
        <v>35</v>
      </c>
      <c r="L14">
        <v>10</v>
      </c>
      <c r="M14">
        <v>120</v>
      </c>
      <c r="U14">
        <v>1</v>
      </c>
      <c r="V14" s="52">
        <v>0.6</v>
      </c>
      <c r="W14" s="52">
        <v>0.8</v>
      </c>
    </row>
    <row r="15" spans="1:23" x14ac:dyDescent="0.4">
      <c r="A15" t="s">
        <v>685</v>
      </c>
      <c r="B15" t="s">
        <v>921</v>
      </c>
      <c r="C15" t="s">
        <v>1393</v>
      </c>
      <c r="D15">
        <v>10</v>
      </c>
      <c r="E15">
        <v>70</v>
      </c>
      <c r="F15">
        <v>25</v>
      </c>
      <c r="J15">
        <v>45</v>
      </c>
      <c r="L15">
        <v>10</v>
      </c>
      <c r="M15">
        <v>120</v>
      </c>
      <c r="U15">
        <v>1.5</v>
      </c>
      <c r="V15" s="52">
        <v>1</v>
      </c>
      <c r="W15" s="52">
        <v>1.2</v>
      </c>
    </row>
    <row r="16" spans="1:23" x14ac:dyDescent="0.4">
      <c r="V16" s="52">
        <v>0.2</v>
      </c>
      <c r="W16" s="52">
        <v>0</v>
      </c>
    </row>
    <row r="17" spans="1:23" x14ac:dyDescent="0.4">
      <c r="A17" t="s">
        <v>923</v>
      </c>
      <c r="B17" t="s">
        <v>914</v>
      </c>
      <c r="P17">
        <v>3</v>
      </c>
      <c r="Q17" t="s">
        <v>935</v>
      </c>
      <c r="U17">
        <v>1</v>
      </c>
      <c r="V17" s="52">
        <v>0.2</v>
      </c>
      <c r="W17" s="52">
        <v>0.1</v>
      </c>
    </row>
    <row r="18" spans="1:23" x14ac:dyDescent="0.4">
      <c r="A18" t="s">
        <v>922</v>
      </c>
      <c r="B18" t="s">
        <v>914</v>
      </c>
      <c r="E18">
        <v>5</v>
      </c>
      <c r="O18">
        <v>5</v>
      </c>
      <c r="P18">
        <v>10</v>
      </c>
      <c r="U18">
        <v>1.5</v>
      </c>
      <c r="V18" s="52">
        <v>0.7</v>
      </c>
      <c r="W18" s="52">
        <v>0.1</v>
      </c>
    </row>
    <row r="19" spans="1:23" x14ac:dyDescent="0.4">
      <c r="A19" t="s">
        <v>924</v>
      </c>
      <c r="B19" t="s">
        <v>914</v>
      </c>
      <c r="P19">
        <v>4</v>
      </c>
      <c r="U19">
        <v>1</v>
      </c>
      <c r="V19" s="52">
        <v>0.1</v>
      </c>
      <c r="W19" s="52">
        <v>0.3</v>
      </c>
    </row>
    <row r="20" spans="1:23" x14ac:dyDescent="0.4">
      <c r="A20" t="s">
        <v>1166</v>
      </c>
      <c r="B20" t="s">
        <v>914</v>
      </c>
      <c r="P20">
        <v>0</v>
      </c>
      <c r="Q20" t="s">
        <v>937</v>
      </c>
      <c r="R20" t="s">
        <v>938</v>
      </c>
      <c r="U20">
        <v>1</v>
      </c>
      <c r="V20" s="52">
        <v>0.1</v>
      </c>
      <c r="W20" s="52">
        <v>0.3</v>
      </c>
    </row>
    <row r="22" spans="1:23" x14ac:dyDescent="0.4">
      <c r="A22" t="s">
        <v>926</v>
      </c>
      <c r="B22" t="s">
        <v>917</v>
      </c>
      <c r="E22">
        <v>10</v>
      </c>
      <c r="O22">
        <v>10</v>
      </c>
      <c r="P22">
        <v>20</v>
      </c>
      <c r="U22">
        <v>2</v>
      </c>
      <c r="V22" s="52">
        <v>2.8</v>
      </c>
      <c r="W22" s="52">
        <v>0.25</v>
      </c>
    </row>
    <row r="23" spans="1:23" x14ac:dyDescent="0.4">
      <c r="A23" t="s">
        <v>927</v>
      </c>
      <c r="B23" t="s">
        <v>917</v>
      </c>
      <c r="P23">
        <v>10</v>
      </c>
      <c r="U23">
        <v>1.5</v>
      </c>
      <c r="V23" s="52">
        <v>0.25</v>
      </c>
      <c r="W23" s="52">
        <v>1</v>
      </c>
    </row>
    <row r="24" spans="1:23" x14ac:dyDescent="0.4">
      <c r="A24" t="s">
        <v>928</v>
      </c>
      <c r="B24" t="s">
        <v>917</v>
      </c>
      <c r="P24">
        <v>5</v>
      </c>
      <c r="Q24" t="s">
        <v>936</v>
      </c>
      <c r="U24">
        <v>1.5</v>
      </c>
      <c r="V24" s="52">
        <v>0.25</v>
      </c>
      <c r="W24" s="52">
        <v>1</v>
      </c>
    </row>
    <row r="26" spans="1:23" x14ac:dyDescent="0.4">
      <c r="A26" t="s">
        <v>1133</v>
      </c>
      <c r="B26" t="s">
        <v>918</v>
      </c>
      <c r="E26">
        <v>5</v>
      </c>
      <c r="P26">
        <v>3</v>
      </c>
      <c r="Q26" t="s">
        <v>937</v>
      </c>
    </row>
    <row r="27" spans="1:23" x14ac:dyDescent="0.4">
      <c r="A27" t="s">
        <v>1132</v>
      </c>
      <c r="B27" t="s">
        <v>918</v>
      </c>
      <c r="P27">
        <v>1</v>
      </c>
      <c r="Q27" t="s">
        <v>1134</v>
      </c>
    </row>
    <row r="29" spans="1:23" x14ac:dyDescent="0.4">
      <c r="A29" t="s">
        <v>929</v>
      </c>
      <c r="B29" t="s">
        <v>933</v>
      </c>
      <c r="Q29" t="s">
        <v>935</v>
      </c>
      <c r="U29">
        <v>1</v>
      </c>
      <c r="V29" s="52">
        <v>0.15</v>
      </c>
      <c r="W29" s="52">
        <v>0.05</v>
      </c>
    </row>
    <row r="30" spans="1:23" x14ac:dyDescent="0.4">
      <c r="A30" t="s">
        <v>930</v>
      </c>
      <c r="B30" t="s">
        <v>933</v>
      </c>
      <c r="Q30" t="s">
        <v>937</v>
      </c>
      <c r="R30" t="s">
        <v>938</v>
      </c>
      <c r="U30">
        <v>1</v>
      </c>
      <c r="V30" s="52">
        <v>0.1</v>
      </c>
      <c r="W30" s="52">
        <v>0.05</v>
      </c>
    </row>
    <row r="31" spans="1:23" x14ac:dyDescent="0.4">
      <c r="A31" t="s">
        <v>931</v>
      </c>
      <c r="B31" t="s">
        <v>933</v>
      </c>
      <c r="Q31" t="s">
        <v>939</v>
      </c>
      <c r="U31">
        <v>1</v>
      </c>
      <c r="V31" s="52">
        <v>0.1</v>
      </c>
      <c r="W31" s="52">
        <v>0.05</v>
      </c>
    </row>
    <row r="32" spans="1:23" x14ac:dyDescent="0.4">
      <c r="A32" t="s">
        <v>932</v>
      </c>
      <c r="B32" t="s">
        <v>933</v>
      </c>
      <c r="Q32" t="s">
        <v>940</v>
      </c>
      <c r="R32" t="s">
        <v>941</v>
      </c>
      <c r="U32">
        <v>1</v>
      </c>
      <c r="V32" s="52">
        <v>0.2</v>
      </c>
      <c r="W32" s="52">
        <v>0.05</v>
      </c>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1278</v>
      </c>
    </row>
    <row r="10" spans="1:12" x14ac:dyDescent="0.4">
      <c r="A10" t="s">
        <v>1274</v>
      </c>
      <c r="B10" s="71" t="s">
        <v>1272</v>
      </c>
      <c r="C10" s="71" t="s">
        <v>977</v>
      </c>
      <c r="D10" s="71" t="s">
        <v>1273</v>
      </c>
    </row>
    <row r="11" spans="1:12" ht="24" x14ac:dyDescent="0.4">
      <c r="B11" s="86" t="s">
        <v>1275</v>
      </c>
      <c r="C11" s="87" t="s">
        <v>1279</v>
      </c>
      <c r="D11" s="88"/>
      <c r="E11" t="s">
        <v>11</v>
      </c>
      <c r="F11" s="90" t="s">
        <v>1281</v>
      </c>
      <c r="G11" s="90"/>
      <c r="H11" s="90"/>
      <c r="I11" s="90"/>
      <c r="J11" s="90"/>
      <c r="K11" s="90"/>
    </row>
    <row r="12" spans="1:12" x14ac:dyDescent="0.4">
      <c r="A12" t="s">
        <v>1276</v>
      </c>
      <c r="B12" s="86"/>
      <c r="C12" s="89"/>
      <c r="D12" s="81"/>
      <c r="F12" t="s">
        <v>13</v>
      </c>
      <c r="G12" t="s">
        <v>15</v>
      </c>
      <c r="H12" t="s">
        <v>17</v>
      </c>
      <c r="I12" t="s">
        <v>1283</v>
      </c>
      <c r="J12" t="s">
        <v>20</v>
      </c>
      <c r="K12" t="s">
        <v>22</v>
      </c>
      <c r="L12" t="s">
        <v>29</v>
      </c>
    </row>
    <row r="13" spans="1:12" x14ac:dyDescent="0.4">
      <c r="B13" s="86" t="s">
        <v>13</v>
      </c>
      <c r="C13" s="89"/>
      <c r="D13" s="81"/>
      <c r="E13" t="s">
        <v>1280</v>
      </c>
      <c r="F13" t="s">
        <v>1282</v>
      </c>
      <c r="G13" t="s">
        <v>1282</v>
      </c>
      <c r="H13" t="s">
        <v>1282</v>
      </c>
      <c r="I13" t="s">
        <v>1282</v>
      </c>
      <c r="J13" t="s">
        <v>1282</v>
      </c>
      <c r="K13" t="s">
        <v>1282</v>
      </c>
      <c r="L13" t="s">
        <v>1282</v>
      </c>
    </row>
    <row r="14" spans="1:12" x14ac:dyDescent="0.4">
      <c r="A14" t="s">
        <v>1277</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2026-09-17T04:01:48Z</dcterms:modified>
</cp:coreProperties>
</file>