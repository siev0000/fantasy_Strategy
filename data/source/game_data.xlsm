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F973AB04-7201-4E34-A509-593D5B497F8C}" xr6:coauthVersionLast="47" xr6:coauthVersionMax="47" xr10:uidLastSave="{00000000-0000-0000-0000-000000000000}"/>
  <bookViews>
    <workbookView xWindow="870" yWindow="1590" windowWidth="28515" windowHeight="18975" tabRatio="799" activeTab="1"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 name="Sheet1" sheetId="25" r:id="rId23"/>
  </sheets>
  <definedNames>
    <definedName name="_xlnm._FilterDatabase" localSheetId="0" hidden="1">CS!$A$4:$T$755</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17" i="11" l="1"/>
  <c r="BJ16" i="11"/>
  <c r="BJ11" i="11"/>
  <c r="BJ10" i="11"/>
  <c r="BJ9" i="11"/>
  <c r="BJ7" i="11"/>
  <c r="BJ6" i="11"/>
  <c r="BJ5" i="11"/>
  <c r="BJ4" i="11"/>
  <c r="BJ3" i="11"/>
  <c r="BJ2" i="11"/>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4" i="4"/>
  <c r="F4" i="4"/>
  <c r="H4" i="4"/>
  <c r="E46" i="4"/>
  <c r="C46" i="3"/>
  <c r="L77" i="3"/>
  <c r="L76" i="3"/>
  <c r="L75" i="3"/>
  <c r="L74" i="3"/>
  <c r="L73" i="3"/>
  <c r="L72" i="3"/>
  <c r="L71" i="3"/>
  <c r="L70" i="3"/>
  <c r="L69" i="3"/>
  <c r="L68" i="3"/>
  <c r="L67" i="3"/>
  <c r="L66" i="3"/>
  <c r="L65" i="3"/>
  <c r="L64" i="3"/>
  <c r="L63" i="3"/>
  <c r="L85" i="3"/>
  <c r="J85" i="3"/>
  <c r="L84" i="3"/>
  <c r="J84" i="3"/>
  <c r="L83" i="3"/>
  <c r="J83" i="3"/>
  <c r="L82" i="3"/>
  <c r="J82" i="3"/>
  <c r="L81" i="3"/>
  <c r="J81" i="3"/>
  <c r="L80" i="3"/>
  <c r="J80" i="3"/>
  <c r="L79" i="3"/>
  <c r="J79" i="3"/>
  <c r="L78" i="3"/>
  <c r="L93" i="3"/>
  <c r="J93" i="3"/>
  <c r="L92" i="3"/>
  <c r="J92" i="3"/>
  <c r="L91" i="3"/>
  <c r="J91" i="3"/>
  <c r="L90" i="3"/>
  <c r="J90" i="3"/>
  <c r="L89" i="3"/>
  <c r="J89" i="3"/>
  <c r="L88" i="3"/>
  <c r="J88" i="3"/>
  <c r="L87" i="3"/>
  <c r="J87" i="3"/>
  <c r="L86" i="3"/>
  <c r="J86" i="3"/>
  <c r="L62" i="3"/>
  <c r="L61" i="3"/>
  <c r="L60" i="3"/>
  <c r="L59" i="3"/>
  <c r="L58" i="3"/>
  <c r="L57" i="3"/>
  <c r="L56" i="3"/>
  <c r="L55" i="3"/>
  <c r="L54" i="3"/>
  <c r="L53" i="3"/>
  <c r="L52" i="3"/>
  <c r="L51" i="3"/>
  <c r="L50" i="3"/>
  <c r="L49" i="3"/>
  <c r="L48" i="3"/>
  <c r="L47" i="3"/>
  <c r="L46" i="3"/>
  <c r="J46" i="3"/>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4" i="1"/>
  <c r="AY54" i="1"/>
  <c r="AZ54" i="1"/>
  <c r="BA54" i="1"/>
  <c r="BB54" i="1"/>
  <c r="BC54" i="1"/>
  <c r="BD54" i="1"/>
  <c r="BE54" i="1"/>
  <c r="BF54" i="1"/>
  <c r="BG54" i="1"/>
  <c r="AX55" i="1"/>
  <c r="AY55" i="1"/>
  <c r="AZ55" i="1"/>
  <c r="BA55" i="1"/>
  <c r="BB55" i="1"/>
  <c r="BC55" i="1"/>
  <c r="BD55" i="1"/>
  <c r="BE55" i="1"/>
  <c r="BF55" i="1"/>
  <c r="BG55" i="1"/>
  <c r="AX56" i="1"/>
  <c r="AY56" i="1"/>
  <c r="AZ56" i="1"/>
  <c r="BA56" i="1"/>
  <c r="BB56" i="1"/>
  <c r="BC56" i="1"/>
  <c r="BD56" i="1"/>
  <c r="BE56" i="1"/>
  <c r="BF56" i="1"/>
  <c r="BG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AX64" i="1"/>
  <c r="AY64" i="1"/>
  <c r="AZ64" i="1"/>
  <c r="BA64" i="1"/>
  <c r="BB64" i="1"/>
  <c r="BC64" i="1"/>
  <c r="BD64" i="1"/>
  <c r="BE64" i="1"/>
  <c r="BF64" i="1"/>
  <c r="BG64" i="1"/>
  <c r="AX65" i="1"/>
  <c r="AY65" i="1"/>
  <c r="AZ65" i="1"/>
  <c r="BA65" i="1"/>
  <c r="BB65" i="1"/>
  <c r="BC65" i="1"/>
  <c r="BD65" i="1"/>
  <c r="BE65" i="1"/>
  <c r="BF65"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E66" i="1"/>
  <c r="BF66" i="1"/>
  <c r="BG66" i="1"/>
  <c r="BC66" i="1"/>
  <c r="BD66" i="1"/>
  <c r="B13" i="4"/>
  <c r="S4"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146" i="3"/>
  <c r="J146" i="3"/>
  <c r="L145" i="3"/>
  <c r="J145" i="3"/>
  <c r="L144" i="3"/>
  <c r="J144" i="3"/>
  <c r="L143" i="3"/>
  <c r="J143" i="3"/>
  <c r="L142" i="3"/>
  <c r="J142" i="3"/>
  <c r="L141" i="3"/>
  <c r="J141" i="3"/>
  <c r="L140" i="3"/>
  <c r="J140" i="3"/>
  <c r="L139" i="3"/>
  <c r="J139" i="3"/>
  <c r="L138" i="3"/>
  <c r="J138" i="3"/>
  <c r="L137" i="3"/>
  <c r="J137" i="3"/>
  <c r="L136" i="3"/>
  <c r="J136" i="3"/>
  <c r="L135" i="3"/>
  <c r="J135" i="3"/>
  <c r="L134" i="3"/>
  <c r="J134"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5" i="3"/>
  <c r="L436" i="3"/>
  <c r="L437" i="3"/>
  <c r="L438" i="3"/>
  <c r="L440" i="3"/>
  <c r="L441" i="3"/>
  <c r="L444" i="3"/>
  <c r="L445" i="3"/>
  <c r="L446" i="3"/>
  <c r="L448" i="3"/>
  <c r="L449" i="3"/>
  <c r="L450" i="3"/>
  <c r="L451" i="3"/>
  <c r="L453" i="3"/>
  <c r="L454" i="3"/>
  <c r="L457" i="3"/>
  <c r="L458" i="3"/>
  <c r="L459" i="3"/>
  <c r="L460" i="3"/>
  <c r="L461" i="3"/>
  <c r="L462" i="3"/>
  <c r="L463" i="3"/>
  <c r="L464" i="3"/>
  <c r="L465" i="3"/>
  <c r="L466" i="3"/>
  <c r="L467" i="3"/>
  <c r="L468" i="3"/>
  <c r="L469" i="3"/>
  <c r="L470" i="3"/>
  <c r="L471" i="3"/>
  <c r="L472" i="3"/>
  <c r="L474" i="3"/>
  <c r="L475" i="3"/>
  <c r="L476" i="3"/>
  <c r="L477" i="3"/>
  <c r="L479" i="3"/>
  <c r="L480" i="3"/>
  <c r="L483" i="3"/>
  <c r="L484" i="3"/>
  <c r="L485" i="3"/>
  <c r="L487" i="3"/>
  <c r="L488" i="3"/>
  <c r="L489" i="3"/>
  <c r="L490" i="3"/>
  <c r="L492" i="3"/>
  <c r="L493"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9" i="3"/>
  <c r="L581" i="3"/>
  <c r="L582" i="3"/>
  <c r="L584" i="3"/>
  <c r="L585" i="3"/>
  <c r="L588" i="3"/>
  <c r="L589" i="3"/>
  <c r="L590" i="3"/>
  <c r="L592" i="3"/>
  <c r="L594" i="3"/>
  <c r="L595" i="3"/>
  <c r="L597" i="3"/>
  <c r="L598" i="3"/>
  <c r="L601" i="3"/>
  <c r="L602" i="3"/>
  <c r="L603" i="3"/>
  <c r="L604" i="3"/>
  <c r="L605" i="3"/>
  <c r="L606" i="3"/>
  <c r="L607" i="3"/>
  <c r="L608" i="3"/>
  <c r="L609" i="3"/>
  <c r="L610" i="3"/>
  <c r="L611" i="3"/>
  <c r="L612" i="3"/>
  <c r="L613" i="3"/>
  <c r="L614" i="3"/>
  <c r="L615" i="3"/>
  <c r="L616" i="3"/>
  <c r="L618" i="3"/>
  <c r="L620" i="3"/>
  <c r="L621" i="3"/>
  <c r="L623" i="3"/>
  <c r="L624" i="3"/>
  <c r="L627" i="3"/>
  <c r="L628" i="3"/>
  <c r="L629" i="3"/>
  <c r="L631" i="3"/>
  <c r="L633" i="3"/>
  <c r="L634" i="3"/>
  <c r="L636" i="3"/>
  <c r="L637"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94"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94" i="3"/>
  <c r="C21" i="3"/>
  <c r="L21" i="3"/>
  <c r="J21" i="3"/>
  <c r="L20"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68" i="3"/>
  <c r="J471" i="3"/>
  <c r="J470" i="3"/>
  <c r="J469" i="3"/>
  <c r="J468" i="3"/>
  <c r="J467" i="3"/>
  <c r="J466" i="3"/>
  <c r="J465" i="3"/>
  <c r="H465" i="3"/>
  <c r="J464" i="3"/>
  <c r="J463" i="3"/>
  <c r="J462" i="3"/>
  <c r="J461" i="3"/>
  <c r="J460" i="3"/>
  <c r="J459"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95" i="3"/>
  <c r="H645" i="3"/>
  <c r="H612" i="3"/>
  <c r="J5" i="3"/>
  <c r="J6" i="3"/>
  <c r="J7" i="3"/>
  <c r="J8" i="3"/>
  <c r="J9" i="3"/>
  <c r="J10" i="3"/>
  <c r="J11" i="3"/>
  <c r="J12" i="3"/>
  <c r="J13" i="3"/>
  <c r="J14" i="3"/>
  <c r="J15" i="3"/>
  <c r="J16" i="3"/>
  <c r="J17" i="3"/>
  <c r="J18" i="3"/>
  <c r="J19"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4" i="3"/>
  <c r="H652" i="3"/>
  <c r="H639" i="3"/>
  <c r="H626" i="3"/>
  <c r="H613" i="3"/>
  <c r="H600" i="3"/>
  <c r="H587" i="3"/>
  <c r="H651" i="3"/>
  <c r="H648" i="3"/>
  <c r="H643" i="3"/>
  <c r="D639" i="3"/>
  <c r="B639" i="3"/>
  <c r="H638" i="3"/>
  <c r="B638" i="3"/>
  <c r="H635" i="3"/>
  <c r="D635" i="3"/>
  <c r="B635" i="3"/>
  <c r="L635" i="3" s="1"/>
  <c r="H632" i="3"/>
  <c r="B632" i="3"/>
  <c r="L632" i="3" s="1"/>
  <c r="H630" i="3"/>
  <c r="B630" i="3"/>
  <c r="D626" i="3"/>
  <c r="B626" i="3"/>
  <c r="H625" i="3"/>
  <c r="B625" i="3"/>
  <c r="L625" i="3" s="1"/>
  <c r="H622" i="3"/>
  <c r="D622" i="3"/>
  <c r="B622" i="3"/>
  <c r="L622" i="3" s="1"/>
  <c r="H619" i="3"/>
  <c r="B619" i="3"/>
  <c r="L619" i="3" s="1"/>
  <c r="H617" i="3"/>
  <c r="B617" i="3"/>
  <c r="L617" i="3" s="1"/>
  <c r="D600" i="3"/>
  <c r="B600" i="3"/>
  <c r="H599" i="3"/>
  <c r="B599" i="3"/>
  <c r="H596" i="3"/>
  <c r="D596" i="3"/>
  <c r="B596" i="3"/>
  <c r="L596" i="3" s="1"/>
  <c r="H593" i="3"/>
  <c r="B593" i="3"/>
  <c r="L593" i="3" s="1"/>
  <c r="H591" i="3"/>
  <c r="B591" i="3"/>
  <c r="H583" i="3"/>
  <c r="H578" i="3"/>
  <c r="B578" i="3"/>
  <c r="D587" i="3"/>
  <c r="D583" i="3"/>
  <c r="H586" i="3"/>
  <c r="B586" i="3"/>
  <c r="L586" i="3" s="1"/>
  <c r="B583" i="3"/>
  <c r="H580" i="3"/>
  <c r="B580" i="3"/>
  <c r="B587" i="3"/>
  <c r="D90" i="1"/>
  <c r="D89" i="1"/>
  <c r="D88" i="1"/>
  <c r="D87" i="1"/>
  <c r="H10" i="4"/>
  <c r="H482" i="3"/>
  <c r="H495" i="3"/>
  <c r="H486" i="3"/>
  <c r="H447" i="3"/>
  <c r="H473" i="3"/>
  <c r="H434"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L6" i="3"/>
  <c r="M6" i="3"/>
  <c r="L7" i="3"/>
  <c r="M7" i="3"/>
  <c r="L8" i="3"/>
  <c r="L9" i="3"/>
  <c r="C7" i="3"/>
  <c r="L19" i="3"/>
  <c r="L18" i="3"/>
  <c r="L17" i="3"/>
  <c r="L16" i="3"/>
  <c r="L15" i="3"/>
  <c r="L14" i="3"/>
  <c r="L13" i="3"/>
  <c r="L12" i="3"/>
  <c r="L11" i="3"/>
  <c r="L10" i="3"/>
  <c r="B495" i="3"/>
  <c r="L495" i="3" s="1"/>
  <c r="H494" i="3"/>
  <c r="H491" i="3"/>
  <c r="H478" i="3"/>
  <c r="D495" i="3"/>
  <c r="D482" i="3"/>
  <c r="D456" i="3"/>
  <c r="D443" i="3"/>
  <c r="D486" i="3"/>
  <c r="D473" i="3"/>
  <c r="D447" i="3"/>
  <c r="D434" i="3"/>
  <c r="B494" i="3"/>
  <c r="B491" i="3"/>
  <c r="B486" i="3"/>
  <c r="L486" i="3" s="1"/>
  <c r="B482" i="3"/>
  <c r="H481" i="3"/>
  <c r="B481" i="3"/>
  <c r="L481" i="3" s="1"/>
  <c r="B478" i="3"/>
  <c r="L478" i="3" s="1"/>
  <c r="B473" i="3"/>
  <c r="H456" i="3"/>
  <c r="B456" i="3"/>
  <c r="H455" i="3"/>
  <c r="B455" i="3"/>
  <c r="L455" i="3" s="1"/>
  <c r="H452" i="3"/>
  <c r="B452" i="3"/>
  <c r="L452" i="3" s="1"/>
  <c r="B447" i="3"/>
  <c r="H443" i="3"/>
  <c r="H442" i="3"/>
  <c r="H439" i="3"/>
  <c r="B443" i="3"/>
  <c r="B442" i="3"/>
  <c r="BF42" i="1" s="1"/>
  <c r="B439" i="3"/>
  <c r="B434"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7" i="3" l="1"/>
  <c r="M66" i="3"/>
  <c r="M71" i="3"/>
  <c r="M76" i="3"/>
  <c r="M65" i="3"/>
  <c r="M70" i="3"/>
  <c r="M75" i="3"/>
  <c r="M64" i="3"/>
  <c r="M69" i="3"/>
  <c r="M74" i="3"/>
  <c r="M72" i="3"/>
  <c r="M63" i="3"/>
  <c r="M68" i="3"/>
  <c r="M73" i="3"/>
  <c r="M67" i="3"/>
  <c r="M85" i="3"/>
  <c r="M79" i="3"/>
  <c r="M84" i="3"/>
  <c r="M78" i="3"/>
  <c r="M83" i="3"/>
  <c r="M82" i="3"/>
  <c r="M81" i="3"/>
  <c r="M80" i="3"/>
  <c r="L443" i="3"/>
  <c r="BG42" i="1"/>
  <c r="L434" i="3"/>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689" i="3"/>
  <c r="M93" i="3"/>
  <c r="M54" i="3"/>
  <c r="M59" i="3"/>
  <c r="M87" i="3"/>
  <c r="M48" i="3"/>
  <c r="M92" i="3"/>
  <c r="M53" i="3"/>
  <c r="M58" i="3"/>
  <c r="M86" i="3"/>
  <c r="M91" i="3"/>
  <c r="M52" i="3"/>
  <c r="M57" i="3"/>
  <c r="M62" i="3"/>
  <c r="M46" i="3"/>
  <c r="M90" i="3"/>
  <c r="M51" i="3"/>
  <c r="M56" i="3"/>
  <c r="M61" i="3"/>
  <c r="M89" i="3"/>
  <c r="M50" i="3"/>
  <c r="M55" i="3"/>
  <c r="M47" i="3"/>
  <c r="M60" i="3"/>
  <c r="M88" i="3"/>
  <c r="M49" i="3"/>
  <c r="L439" i="3"/>
  <c r="BC42" i="1"/>
  <c r="M482" i="3"/>
  <c r="M600" i="3"/>
  <c r="M580" i="3"/>
  <c r="M491" i="3"/>
  <c r="M599" i="3"/>
  <c r="M34" i="3"/>
  <c r="M23" i="3"/>
  <c r="M750" i="3"/>
  <c r="M739" i="3"/>
  <c r="M705" i="3"/>
  <c r="M635" i="3"/>
  <c r="M624" i="3"/>
  <c r="L600" i="3"/>
  <c r="M442" i="3"/>
  <c r="M630" i="3"/>
  <c r="M494" i="3"/>
  <c r="M583" i="3"/>
  <c r="M39" i="3"/>
  <c r="M728" i="3"/>
  <c r="M681" i="3"/>
  <c r="L599" i="3"/>
  <c r="M585" i="3"/>
  <c r="M545" i="3"/>
  <c r="M44" i="3"/>
  <c r="M28" i="3"/>
  <c r="M715" i="3"/>
  <c r="M704" i="3"/>
  <c r="M657" i="3"/>
  <c r="M33" i="3"/>
  <c r="M22" i="3"/>
  <c r="M737" i="3"/>
  <c r="M691" i="3"/>
  <c r="M680" i="3"/>
  <c r="M633" i="3"/>
  <c r="M609" i="3"/>
  <c r="M584" i="3"/>
  <c r="M529" i="3"/>
  <c r="M38" i="3"/>
  <c r="M747" i="3"/>
  <c r="M667" i="3"/>
  <c r="M656" i="3"/>
  <c r="M43" i="3"/>
  <c r="M27" i="3"/>
  <c r="M736" i="3"/>
  <c r="M713" i="3"/>
  <c r="M643" i="3"/>
  <c r="M632" i="3"/>
  <c r="M608" i="3"/>
  <c r="L583" i="3"/>
  <c r="M569" i="3"/>
  <c r="M513" i="3"/>
  <c r="L482" i="3"/>
  <c r="M486" i="3"/>
  <c r="M455" i="3"/>
  <c r="M32" i="3"/>
  <c r="M619" i="3"/>
  <c r="M587" i="3"/>
  <c r="M447" i="3"/>
  <c r="M146" i="3"/>
  <c r="M142" i="3"/>
  <c r="M138" i="3"/>
  <c r="M134" i="3"/>
  <c r="M96" i="3"/>
  <c r="M104" i="3"/>
  <c r="M112" i="3"/>
  <c r="M120" i="3"/>
  <c r="M128"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709" i="3"/>
  <c r="M717" i="3"/>
  <c r="M725" i="3"/>
  <c r="M733" i="3"/>
  <c r="M741" i="3"/>
  <c r="M749" i="3"/>
  <c r="M97" i="3"/>
  <c r="M105" i="3"/>
  <c r="M113" i="3"/>
  <c r="M121" i="3"/>
  <c r="M129"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0" i="3"/>
  <c r="M502" i="3"/>
  <c r="M510" i="3"/>
  <c r="M518" i="3"/>
  <c r="M526" i="3"/>
  <c r="M534" i="3"/>
  <c r="M542" i="3"/>
  <c r="M550" i="3"/>
  <c r="M558" i="3"/>
  <c r="M566" i="3"/>
  <c r="M574" i="3"/>
  <c r="M582" i="3"/>
  <c r="M590" i="3"/>
  <c r="M598" i="3"/>
  <c r="M606" i="3"/>
  <c r="M614" i="3"/>
  <c r="M646" i="3"/>
  <c r="M654" i="3"/>
  <c r="M662" i="3"/>
  <c r="M670" i="3"/>
  <c r="M678" i="3"/>
  <c r="M686" i="3"/>
  <c r="M694" i="3"/>
  <c r="M702" i="3"/>
  <c r="M710" i="3"/>
  <c r="M718" i="3"/>
  <c r="M726" i="3"/>
  <c r="M145" i="3"/>
  <c r="M141" i="3"/>
  <c r="M137" i="3"/>
  <c r="M98" i="3"/>
  <c r="M106" i="3"/>
  <c r="M114" i="3"/>
  <c r="M122" i="3"/>
  <c r="M130"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63" i="3"/>
  <c r="M471" i="3"/>
  <c r="M479" i="3"/>
  <c r="M487" i="3"/>
  <c r="M503" i="3"/>
  <c r="M511" i="3"/>
  <c r="M519" i="3"/>
  <c r="M527" i="3"/>
  <c r="M535" i="3"/>
  <c r="M543" i="3"/>
  <c r="M551" i="3"/>
  <c r="M559" i="3"/>
  <c r="M567" i="3"/>
  <c r="M575" i="3"/>
  <c r="M607" i="3"/>
  <c r="M615" i="3"/>
  <c r="M623" i="3"/>
  <c r="M631" i="3"/>
  <c r="M647" i="3"/>
  <c r="M655" i="3"/>
  <c r="M663" i="3"/>
  <c r="M671" i="3"/>
  <c r="M679" i="3"/>
  <c r="M687" i="3"/>
  <c r="M695" i="3"/>
  <c r="M703" i="3"/>
  <c r="M711" i="3"/>
  <c r="M719" i="3"/>
  <c r="M727" i="3"/>
  <c r="M735" i="3"/>
  <c r="M743" i="3"/>
  <c r="M751" i="3"/>
  <c r="M99" i="3"/>
  <c r="M107" i="3"/>
  <c r="M115" i="3"/>
  <c r="M123" i="3"/>
  <c r="M131"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64" i="3"/>
  <c r="M472" i="3"/>
  <c r="M480" i="3"/>
  <c r="M488" i="3"/>
  <c r="M496" i="3"/>
  <c r="M504" i="3"/>
  <c r="M512" i="3"/>
  <c r="M520" i="3"/>
  <c r="M528" i="3"/>
  <c r="M536" i="3"/>
  <c r="M544" i="3"/>
  <c r="M552" i="3"/>
  <c r="M560" i="3"/>
  <c r="M144" i="3"/>
  <c r="M140" i="3"/>
  <c r="M136" i="3"/>
  <c r="M100" i="3"/>
  <c r="M108" i="3"/>
  <c r="M116" i="3"/>
  <c r="M124" i="3"/>
  <c r="M132"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89" i="3"/>
  <c r="M497" i="3"/>
  <c r="M505" i="3"/>
  <c r="M101" i="3"/>
  <c r="M109" i="3"/>
  <c r="M117" i="3"/>
  <c r="M125" i="3"/>
  <c r="M133"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50" i="3"/>
  <c r="M458" i="3"/>
  <c r="M466" i="3"/>
  <c r="M474" i="3"/>
  <c r="M490" i="3"/>
  <c r="M498" i="3"/>
  <c r="M506" i="3"/>
  <c r="M514" i="3"/>
  <c r="M522" i="3"/>
  <c r="M530" i="3"/>
  <c r="M538" i="3"/>
  <c r="M546" i="3"/>
  <c r="M554" i="3"/>
  <c r="M562" i="3"/>
  <c r="M570" i="3"/>
  <c r="M594" i="3"/>
  <c r="M602" i="3"/>
  <c r="M610" i="3"/>
  <c r="M618" i="3"/>
  <c r="M634" i="3"/>
  <c r="M642" i="3"/>
  <c r="M650" i="3"/>
  <c r="M658" i="3"/>
  <c r="M666" i="3"/>
  <c r="M674" i="3"/>
  <c r="M682" i="3"/>
  <c r="M690" i="3"/>
  <c r="M698" i="3"/>
  <c r="M706" i="3"/>
  <c r="M714" i="3"/>
  <c r="M722" i="3"/>
  <c r="M730" i="3"/>
  <c r="M738" i="3"/>
  <c r="M746" i="3"/>
  <c r="M754" i="3"/>
  <c r="M25" i="3"/>
  <c r="M143" i="3"/>
  <c r="M139" i="3"/>
  <c r="M135" i="3"/>
  <c r="M102" i="3"/>
  <c r="M110" i="3"/>
  <c r="M118" i="3"/>
  <c r="M126"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51" i="3"/>
  <c r="M459" i="3"/>
  <c r="M467" i="3"/>
  <c r="M475" i="3"/>
  <c r="M483" i="3"/>
  <c r="M499" i="3"/>
  <c r="M507" i="3"/>
  <c r="M515" i="3"/>
  <c r="M523" i="3"/>
  <c r="M531" i="3"/>
  <c r="M539" i="3"/>
  <c r="M547" i="3"/>
  <c r="M555" i="3"/>
  <c r="M563" i="3"/>
  <c r="M571" i="3"/>
  <c r="M579" i="3"/>
  <c r="M595" i="3"/>
  <c r="M603" i="3"/>
  <c r="M611" i="3"/>
  <c r="M95" i="3"/>
  <c r="M103" i="3"/>
  <c r="M111" i="3"/>
  <c r="M119" i="3"/>
  <c r="M127"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60" i="3"/>
  <c r="M468" i="3"/>
  <c r="M476" i="3"/>
  <c r="M484" i="3"/>
  <c r="M492" i="3"/>
  <c r="M500" i="3"/>
  <c r="M508" i="3"/>
  <c r="M516" i="3"/>
  <c r="M524" i="3"/>
  <c r="M532" i="3"/>
  <c r="M540" i="3"/>
  <c r="M548" i="3"/>
  <c r="M556" i="3"/>
  <c r="M564" i="3"/>
  <c r="M572" i="3"/>
  <c r="M588" i="3"/>
  <c r="M604" i="3"/>
  <c r="M612" i="3"/>
  <c r="M620" i="3"/>
  <c r="M628" i="3"/>
  <c r="M636" i="3"/>
  <c r="M644" i="3"/>
  <c r="M652" i="3"/>
  <c r="M660" i="3"/>
  <c r="M668" i="3"/>
  <c r="M676" i="3"/>
  <c r="M684" i="3"/>
  <c r="M692" i="3"/>
  <c r="M700" i="3"/>
  <c r="M708" i="3"/>
  <c r="M716" i="3"/>
  <c r="M724" i="3"/>
  <c r="M732" i="3"/>
  <c r="M740" i="3"/>
  <c r="M748" i="3"/>
  <c r="M578" i="3"/>
  <c r="M638" i="3"/>
  <c r="M37" i="3"/>
  <c r="M94" i="3"/>
  <c r="M745" i="3"/>
  <c r="M723" i="3"/>
  <c r="M712" i="3"/>
  <c r="M665" i="3"/>
  <c r="M593" i="3"/>
  <c r="M568" i="3"/>
  <c r="M586" i="3"/>
  <c r="M452" i="3"/>
  <c r="M456" i="3"/>
  <c r="M622" i="3"/>
  <c r="M639" i="3"/>
  <c r="M42" i="3"/>
  <c r="M26" i="3"/>
  <c r="M755" i="3"/>
  <c r="M734" i="3"/>
  <c r="M699" i="3"/>
  <c r="M688" i="3"/>
  <c r="M641" i="3"/>
  <c r="L630" i="3"/>
  <c r="L580" i="3"/>
  <c r="M553" i="3"/>
  <c r="L447" i="3"/>
  <c r="M31" i="3"/>
  <c r="M744" i="3"/>
  <c r="M675" i="3"/>
  <c r="M664" i="3"/>
  <c r="M617" i="3"/>
  <c r="M592" i="3"/>
  <c r="L494" i="3"/>
  <c r="M473" i="3"/>
  <c r="M36" i="3"/>
  <c r="M721" i="3"/>
  <c r="M651" i="3"/>
  <c r="M640" i="3"/>
  <c r="L578" i="3"/>
  <c r="M537" i="3"/>
  <c r="M591" i="3"/>
  <c r="M478" i="3"/>
  <c r="M41" i="3"/>
  <c r="M753" i="3"/>
  <c r="M697" i="3"/>
  <c r="M627" i="3"/>
  <c r="M616" i="3"/>
  <c r="L591" i="3"/>
  <c r="M577" i="3"/>
  <c r="M30" i="3"/>
  <c r="M742" i="3"/>
  <c r="M731" i="3"/>
  <c r="M720" i="3"/>
  <c r="M673" i="3"/>
  <c r="L639" i="3"/>
  <c r="M521" i="3"/>
  <c r="L491" i="3"/>
  <c r="M443" i="3"/>
  <c r="M434" i="3"/>
  <c r="M481" i="3"/>
  <c r="M439" i="3"/>
  <c r="M495" i="3"/>
  <c r="M596" i="3"/>
  <c r="M626" i="3"/>
  <c r="M35" i="3"/>
  <c r="M24" i="3"/>
  <c r="M752" i="3"/>
  <c r="M707" i="3"/>
  <c r="M696" i="3"/>
  <c r="M649" i="3"/>
  <c r="L638" i="3"/>
  <c r="L626" i="3"/>
  <c r="M601" i="3"/>
  <c r="M576" i="3"/>
  <c r="L442" i="3"/>
  <c r="M40" i="3"/>
  <c r="M683" i="3"/>
  <c r="M672" i="3"/>
  <c r="M625" i="3"/>
  <c r="L473" i="3"/>
  <c r="M45" i="3"/>
  <c r="M29" i="3"/>
  <c r="M729" i="3"/>
  <c r="M659" i="3"/>
  <c r="M648" i="3"/>
  <c r="L587" i="3"/>
  <c r="M561" i="3"/>
  <c r="L456" i="3"/>
  <c r="M20" i="3"/>
  <c r="M21" i="3"/>
  <c r="H100" i="4"/>
  <c r="C98" i="4"/>
  <c r="E95" i="4"/>
  <c r="H92" i="4"/>
  <c r="C90" i="4"/>
  <c r="E87" i="4"/>
  <c r="H84" i="4"/>
  <c r="C82" i="4"/>
  <c r="E79" i="4"/>
  <c r="H76" i="4"/>
  <c r="C74" i="4"/>
  <c r="E71" i="4"/>
  <c r="H68" i="4"/>
  <c r="C66" i="4"/>
  <c r="E63" i="4"/>
  <c r="H60" i="4"/>
  <c r="C58" i="4"/>
  <c r="E55" i="4"/>
  <c r="H52" i="4"/>
  <c r="C50" i="4"/>
  <c r="E47" i="4"/>
  <c r="H44" i="4"/>
  <c r="C42" i="4"/>
  <c r="E39" i="4"/>
  <c r="H36" i="4"/>
  <c r="C34" i="4"/>
  <c r="E31" i="4"/>
  <c r="H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H97" i="4"/>
  <c r="C95" i="4"/>
  <c r="E92" i="4"/>
  <c r="H89" i="4"/>
  <c r="C87" i="4"/>
  <c r="E84" i="4"/>
  <c r="H81" i="4"/>
  <c r="C79" i="4"/>
  <c r="E76" i="4"/>
  <c r="H73" i="4"/>
  <c r="C71" i="4"/>
  <c r="E68" i="4"/>
  <c r="H65" i="4"/>
  <c r="C63" i="4"/>
  <c r="E60" i="4"/>
  <c r="H57" i="4"/>
  <c r="C55" i="4"/>
  <c r="E52" i="4"/>
  <c r="H49" i="4"/>
  <c r="C47" i="4"/>
  <c r="E44" i="4"/>
  <c r="H41" i="4"/>
  <c r="C39" i="4"/>
  <c r="E36" i="4"/>
  <c r="H33" i="4"/>
  <c r="C31" i="4"/>
  <c r="E28" i="4"/>
  <c r="H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H94" i="4"/>
  <c r="C92" i="4"/>
  <c r="E89" i="4"/>
  <c r="H86" i="4"/>
  <c r="C84" i="4"/>
  <c r="E81" i="4"/>
  <c r="H78" i="4"/>
  <c r="C76" i="4"/>
  <c r="E73" i="4"/>
  <c r="H70" i="4"/>
  <c r="C68" i="4"/>
  <c r="E65" i="4"/>
  <c r="H62" i="4"/>
  <c r="C60" i="4"/>
  <c r="E57" i="4"/>
  <c r="H54" i="4"/>
  <c r="C52" i="4"/>
  <c r="E49" i="4"/>
  <c r="H46" i="4"/>
  <c r="C44" i="4"/>
  <c r="E41" i="4"/>
  <c r="H38" i="4"/>
  <c r="C36" i="4"/>
  <c r="E33" i="4"/>
  <c r="H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H99" i="4"/>
  <c r="C97" i="4"/>
  <c r="E94" i="4"/>
  <c r="H91" i="4"/>
  <c r="C89" i="4"/>
  <c r="E86" i="4"/>
  <c r="H83" i="4"/>
  <c r="C81" i="4"/>
  <c r="E78" i="4"/>
  <c r="H75" i="4"/>
  <c r="C73" i="4"/>
  <c r="E70" i="4"/>
  <c r="H67" i="4"/>
  <c r="C65" i="4"/>
  <c r="E62" i="4"/>
  <c r="H59" i="4"/>
  <c r="C57" i="4"/>
  <c r="E54" i="4"/>
  <c r="H51" i="4"/>
  <c r="C49" i="4"/>
  <c r="H43" i="4"/>
  <c r="C41" i="4"/>
  <c r="E38" i="4"/>
  <c r="H35" i="4"/>
  <c r="C33" i="4"/>
  <c r="E30" i="4"/>
  <c r="H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H96" i="4"/>
  <c r="C94" i="4"/>
  <c r="E91" i="4"/>
  <c r="H88" i="4"/>
  <c r="C86" i="4"/>
  <c r="E83" i="4"/>
  <c r="H80" i="4"/>
  <c r="C78" i="4"/>
  <c r="E75" i="4"/>
  <c r="H72" i="4"/>
  <c r="C70" i="4"/>
  <c r="E67" i="4"/>
  <c r="H64" i="4"/>
  <c r="C62" i="4"/>
  <c r="E59" i="4"/>
  <c r="H56" i="4"/>
  <c r="C54" i="4"/>
  <c r="E51" i="4"/>
  <c r="H48" i="4"/>
  <c r="C46" i="4"/>
  <c r="E43" i="4"/>
  <c r="H40" i="4"/>
  <c r="C38" i="4"/>
  <c r="E35" i="4"/>
  <c r="H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H93" i="4"/>
  <c r="C91" i="4"/>
  <c r="E88" i="4"/>
  <c r="H85" i="4"/>
  <c r="C83" i="4"/>
  <c r="E80" i="4"/>
  <c r="H77" i="4"/>
  <c r="C75" i="4"/>
  <c r="E72" i="4"/>
  <c r="H69" i="4"/>
  <c r="C67" i="4"/>
  <c r="E64" i="4"/>
  <c r="H61" i="4"/>
  <c r="C59" i="4"/>
  <c r="E56" i="4"/>
  <c r="H53" i="4"/>
  <c r="C51" i="4"/>
  <c r="E48" i="4"/>
  <c r="H45" i="4"/>
  <c r="C43" i="4"/>
  <c r="E40" i="4"/>
  <c r="H37" i="4"/>
  <c r="C35" i="4"/>
  <c r="E32" i="4"/>
  <c r="H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H98" i="4"/>
  <c r="C96" i="4"/>
  <c r="E93" i="4"/>
  <c r="H90" i="4"/>
  <c r="C88" i="4"/>
  <c r="E85" i="4"/>
  <c r="H82" i="4"/>
  <c r="C80" i="4"/>
  <c r="E77" i="4"/>
  <c r="H74" i="4"/>
  <c r="C72" i="4"/>
  <c r="E69" i="4"/>
  <c r="H66" i="4"/>
  <c r="C64" i="4"/>
  <c r="E61" i="4"/>
  <c r="H58" i="4"/>
  <c r="C56" i="4"/>
  <c r="E53" i="4"/>
  <c r="H50" i="4"/>
  <c r="C48" i="4"/>
  <c r="E45" i="4"/>
  <c r="H42" i="4"/>
  <c r="C40" i="4"/>
  <c r="E37" i="4"/>
  <c r="H34" i="4"/>
  <c r="C32" i="4"/>
  <c r="E29" i="4"/>
  <c r="H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H95" i="4"/>
  <c r="C93" i="4"/>
  <c r="E90" i="4"/>
  <c r="H87" i="4"/>
  <c r="C85" i="4"/>
  <c r="E82" i="4"/>
  <c r="H79" i="4"/>
  <c r="C77" i="4"/>
  <c r="E74" i="4"/>
  <c r="H71" i="4"/>
  <c r="C69" i="4"/>
  <c r="E66" i="4"/>
  <c r="H63" i="4"/>
  <c r="C61" i="4"/>
  <c r="E58" i="4"/>
  <c r="H55" i="4"/>
  <c r="C53" i="4"/>
  <c r="E50" i="4"/>
  <c r="H47" i="4"/>
  <c r="C45" i="4"/>
  <c r="E42" i="4"/>
  <c r="H39" i="4"/>
  <c r="C37" i="4"/>
  <c r="E34" i="4"/>
  <c r="H31" i="4"/>
  <c r="C29" i="4"/>
  <c r="E26" i="4"/>
  <c r="H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<sst xmlns="http://schemas.openxmlformats.org/spreadsheetml/2006/main" count="4532" uniqueCount="1853">
  <si>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</si>
  <si>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</si>
  <si>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</si>
  <si>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</si>
  <si>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</si>
  <si>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</si>
  <si>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</si>
  <si>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</si>
  <si>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</si>
  <si>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</si>
  <si>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</si>
  <si>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</si>
  <si>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</si>
  <si>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</si>
  <si>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</si>
  <si>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</si>
  <si>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</si>
  <si>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</si>
  <si>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</si>
  <si>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</si>
  <si>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</si>
  <si>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</si>
  <si>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</si>
  <si>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</si>
  <si>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</si>
  <si>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</si>
  <si>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</si>
  <si>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</si>
  <si>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</si>
  <si>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</si>
  <si>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</si>
  <si>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</si>
  <si>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</si>
  <si>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</si>
  <si>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</si>
  <si>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</si>
  <si>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</si>
  <si>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</si>
  <si>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</si>
  <si>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</si>
  <si>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</si>
  <si>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</si>
  <si>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</si>
  <si>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</si>
  <si>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</si>
  <si>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</si>
  <si>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</si>
  <si>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</si>
  <si>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</si>
  <si>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</si>
  <si>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</si>
  <si>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</si>
  <si>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</si>
  <si>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</si>
  <si>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</si>
  <si>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</si>
  <si>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</si>
  <si>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</si>
  <si>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</si>
  <si>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</si>
  <si>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</si>
  <si>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</si>
  <si>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</si>
  <si>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</si>
  <si>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</si>
  <si>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</si>
  <si>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</si>
  <si>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</si>
  <si>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</si>
  <si>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</si>
  <si>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</si>
  <si>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</si>
  <si>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</si>
  <si>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</si>
  <si>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</si>
  <si>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</si>
  <si>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</si>
  <si>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</si>
  <si>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</si>
  <si>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</si>
  <si>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</si>
  <si>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</si>
  <si>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</si>
  <si>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</si>
  <si>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</si>
  <si>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</si>
  <si>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</si>
  <si>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</si>
  <si>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</si>
  <si>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</si>
  <si>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</si>
  <si>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</si>
  <si>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</si>
  <si>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</si>
  <si>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</si>
  <si>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</si>
  <si>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</si>
  <si>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</si>
  <si>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</si>
  <si>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</si>
  <si>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</si>
  <si>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</si>
  <si>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</si>
  <si>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</si>
  <si>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</si>
  <si>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</si>
  <si>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</si>
  <si>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</si>
  <si>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</si>
  <si>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</si>
  <si>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</si>
  <si>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</si>
  <si>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</si>
  <si>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</si>
  <si>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</si>
  <si>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</si>
  <si>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</si>
  <si>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</si>
  <si>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</si>
  <si>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</si>
  <si>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</si>
  <si>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</si>
  <si>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</si>
  <si>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</si>
  <si>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</si>
  <si>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</si>
  <si>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</si>
  <si>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</si>
  <si>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</si>
  <si>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</si>
  <si>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</si>
  <si>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</si>
  <si>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</si>
  <si>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</si>
  <si>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</si>
  <si>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</si>
  <si>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</si>
  <si>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</si>
  <si>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</si>
  <si>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</si>
  <si>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</si>
  <si>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</si>
  <si>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</si>
  <si>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</si>
  <si>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</si>
  <si>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</si>
  <si>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</si>
  <si>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</si>
  <si>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</si>
  <si>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</si>
  <si>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</si>
  <si>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</si>
  <si>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</si>
  <si>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</si>
  <si>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</si>
  <si>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</si>
  <si>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</si>
  <si>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</si>
  <si>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</si>
  <si>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</si>
  <si>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</si>
  <si>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</si>
  <si>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</si>
  <si>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</si>
  <si>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</si>
  <si>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</si>
  <si>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</si>
  <si>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</si>
  <si>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</si>
  <si>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</si>
  <si>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</si>
  <si>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</si>
  <si>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</si>
  <si>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</si>
  <si>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</si>
  <si>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</si>
  <si>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</si>
  <si>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</si>
  <si>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</si>
  <si>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</si>
  <si>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</si>
  <si>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</si>
  <si>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</si>
  <si>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</si>
  <si>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</si>
  <si>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</si>
  <si>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</si>
  <si>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</si>
  <si>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</si>
  <si>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</si>
  <si>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</si>
  <si>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</si>
  <si>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</si>
  <si>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</si>
  <si>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</si>
  <si>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</si>
  <si>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</si>
  <si>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</si>
  <si>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</si>
  <si>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</si>
  <si>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</si>
  <si>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</si>
  <si>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</si>
  <si>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</si>
  <si>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</si>
  <si>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</si>
  <si>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</si>
  <si>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</si>
  <si>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</si>
  <si>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</si>
  <si>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</si>
  <si>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</si>
  <si>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</si>
  <si>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</si>
  <si>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</si>
  <si>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</si>
  <si>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</si>
  <si>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</si>
  <si>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</si>
  <si>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</si>
  <si>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</si>
  <si>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</si>
  <si>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</si>
  <si>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</si>
  <si>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</si>
  <si>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</si>
  <si>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</si>
  <si>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</si>
  <si>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</si>
  <si>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</si>
  <si>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</si>
  <si>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</si>
  <si>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</si>
  <si>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</si>
  <si>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</si>
  <si>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</si>
  <si>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</si>
  <si>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</si>
  <si>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</si>
  <si>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</si>
  <si>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</si>
  <si>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</si>
  <si>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</si>
  <si>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</si>
  <si>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</si>
  <si>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</si>
  <si>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</si>
  <si>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</si>
  <si>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</si>
  <si>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</si>
  <si>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</si>
  <si>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</si>
  <si>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</si>
  <si>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</si>
  <si>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</si>
  <si>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</si>
  <si>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</si>
  <si>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</si>
  <si>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</si>
  <si>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</si>
  <si>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</si>
  <si>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</si>
  <si>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</si>
  <si>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</si>
  <si>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</si>
  <si>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</si>
  <si>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</si>
  <si>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</si>
  <si>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</si>
  <si>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</si>
  <si>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</si>
  <si>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</si>
  <si>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</si>
  <si>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</si>
  <si>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</si>
  <si>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</si>
  <si>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</si>
  <si>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</si>
  <si>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</si>
  <si>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</si>
  <si>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</si>
  <si>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</si>
  <si>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</si>
  <si>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</si>
  <si>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</si>
  <si>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</si>
  <si>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</si>
  <si>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</si>
  <si>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</si>
  <si>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</si>
  <si>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</si>
  <si>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</si>
  <si>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</si>
  <si>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</si>
  <si>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</si>
  <si>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</si>
  <si>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</si>
  <si>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</si>
  <si>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</si>
  <si>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</si>
  <si>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</si>
  <si>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</si>
  <si>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</si>
  <si>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</si>
  <si>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</si>
  <si>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</si>
  <si>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</si>
  <si>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</si>
  <si>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</si>
  <si>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</si>
  <si>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</si>
  <si>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</si>
  <si>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</si>
  <si>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</si>
  <si>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</si>
  <si>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</si>
  <si>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</si>
  <si>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</si>
  <si>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</si>
  <si>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</si>
  <si>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</si>
  <si>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</si>
  <si>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</si>
  <si>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</si>
  <si>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</si>
  <si>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</si>
  <si>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</si>
  <si>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</si>
  <si>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</si>
  <si>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</si>
  <si>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</si>
  <si>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</si>
  <si>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</si>
  <si>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</si>
  <si>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</si>
  <si>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</si>
  <si>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</si>
  <si>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</si>
  <si>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</si>
  <si>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</si>
  <si>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</si>
  <si>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</si>
  <si>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</si>
  <si>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</si>
  <si>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</si>
  <si>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</si>
  <si>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</si>
  <si>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</si>
  <si>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</si>
  <si>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</si>
  <si>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</si>
  <si>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</si>
  <si>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</si>
  <si>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</si>
  <si>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</si>
  <si>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</si>
  <si>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</si>
  <si>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</si>
  <si>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</si>
  <si>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</si>
  <si>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</si>
  <si>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</si>
  <si>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</si>
  <si>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</si>
  <si>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</si>
  <si>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</si>
  <si>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</si>
  <si>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</si>
  <si>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</si>
  <si>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</si>
  <si>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</si>
  <si>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</si>
  <si>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</si>
  <si>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</si>
  <si>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</si>
  <si>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</si>
  <si>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</si>
  <si>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</si>
  <si>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</si>
  <si>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</si>
  <si>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</si>
  <si>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</si>
  <si>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</si>
  <si>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</si>
  <si>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</si>
  <si>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</si>
  <si>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</si>
  <si>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</si>
  <si>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</si>
  <si>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</si>
  <si>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</si>
  <si>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</si>
  <si>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</si>
  <si>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</si>
  <si>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</si>
  <si>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</si>
  <si>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</si>
  <si>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</si>
  <si>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</si>
  <si>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</si>
  <si>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</si>
  <si>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</si>
  <si>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</si>
  <si>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</si>
  <si>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</si>
  <si>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</si>
  <si>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</si>
  <si>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</si>
  <si>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</si>
  <si>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</si>
  <si>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</si>
  <si>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</si>
  <si>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</si>
  <si>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</si>
  <si>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</si>
  <si>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</si>
  <si>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</si>
  <si>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</si>
  <si>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</si>
  <si>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</si>
  <si>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</si>
  <si>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</si>
  <si>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</si>
  <si>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</si>
  <si>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</si>
  <si>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</si>
  <si>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</si>
  <si>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</si>
  <si>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</si>
  <si>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</si>
  <si>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</si>
  <si>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</si>
  <si>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</si>
  <si>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</si>
  <si>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</si>
  <si>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</si>
  <si>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</si>
  <si>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</si>
  <si>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</si>
  <si>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</si>
  <si>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</si>
  <si>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</si>
  <si>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</si>
  <si>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</si>
  <si>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</si>
  <si>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</si>
  <si>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</si>
  <si>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</si>
  <si>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</si>
  <si>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</si>
  <si>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</si>
  <si>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</si>
  <si>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</si>
  <si>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</si>
  <si>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</si>
  <si>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</si>
  <si>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</si>
  <si>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</si>
  <si>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</si>
  <si>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</si>
  <si>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</si>
  <si>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</si>
  <si>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</si>
  <si>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</si>
  <si>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</si>
  <si>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</si>
  <si>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</si>
  <si>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</si>
  <si>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</si>
  <si>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</si>
  <si>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</si>
  <si>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</si>
  <si>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</si>
  <si>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</si>
  <si>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</si>
  <si>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</si>
  <si>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</si>
  <si>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</si>
  <si>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</si>
  <si>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</si>
  <si>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</si>
  <si>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</si>
  <si>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</si>
  <si>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</si>
  <si>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</si>
  <si>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</si>
  <si>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</si>
  <si>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</si>
  <si>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</si>
  <si>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</si>
  <si>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</si>
  <si>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</si>
  <si>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</si>
  <si>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</si>
  <si>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</si>
  <si>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</si>
  <si>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</si>
  <si>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</si>
  <si>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</si>
  <si>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</si>
  <si>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</si>
  <si>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</si>
  <si>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</si>
  <si>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</si>
  <si>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</si>
  <si>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</si>
  <si>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</si>
  <si>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</si>
  <si>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</si>
  <si>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</si>
  <si>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</si>
  <si>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</si>
  <si>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</si>
  <si>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</si>
  <si>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</si>
  <si>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</si>
  <si>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</si>
  <si>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</si>
  <si>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</si>
  <si>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</si>
  <si>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</si>
  <si>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</si>
  <si>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</si>
  <si>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</si>
  <si>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</si>
  <si>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</si>
  <si>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</si>
  <si>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</si>
  <si>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</si>
  <si>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</si>
  <si>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</si>
  <si>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</si>
  <si>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</si>
  <si>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</si>
  <si>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</si>
  <si>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</si>
  <si>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</si>
  <si>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</si>
  <si>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</si>
  <si>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</si>
  <si>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</si>
  <si>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</si>
  <si>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</si>
  <si>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</si>
  <si>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</si>
  <si>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</si>
  <si>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</si>
  <si>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</si>
  <si>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</si>
  <si>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</si>
  <si>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</si>
  <si>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</si>
  <si>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</si>
  <si>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</si>
  <si>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</si>
  <si>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</si>
  <si>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</si>
  <si>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</si>
  <si>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</si>
  <si>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</si>
  <si>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</si>
  <si>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</si>
  <si>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</si>
  <si>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</si>
  <si>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</si>
  <si>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</si>
  <si>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</si>
  <si>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</si>
  <si>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</si>
  <si>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</si>
  <si>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</si>
  <si>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</si>
  <si>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</si>
  <si>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</si>
  <si>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</si>
  <si>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</si>
  <si>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</si>
  <si>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</si>
  <si>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</si>
  <si>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</si>
  <si>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</si>
  <si>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</si>
  <si>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</si>
  <si>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</si>
  <si>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</si>
  <si>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</si>
  <si>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</si>
  <si>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</si>
  <si>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</si>
  <si>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</si>
  <si>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</si>
  <si>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</si>
  <si>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</si>
  <si>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</si>
  <si>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</si>
  <si>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</si>
  <si>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</si>
  <si>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</si>
  <si>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</si>
  <si>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</si>
  <si>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</si>
  <si>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</si>
  <si>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</si>
  <si>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</si>
  <si>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</si>
  <si>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</si>
  <si>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</si>
  <si>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</si>
  <si>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</si>
  <si>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</si>
  <si>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</si>
  <si>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</si>
  <si>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</si>
  <si>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</si>
  <si>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</si>
  <si>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</si>
  <si>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</si>
  <si>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</si>
  <si>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</si>
  <si>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</si>
  <si>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</si>
  <si>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</si>
  <si>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</si>
  <si>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</si>
  <si>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</si>
  <si>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</si>
  <si>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</si>
  <si>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</si>
  <si>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</si>
  <si>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</si>
  <si>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</si>
  <si>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</si>
  <si>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</si>
  <si>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</si>
  <si>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</si>
  <si>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</si>
  <si>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</si>
  <si>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</si>
  <si>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</si>
  <si>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</si>
  <si>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</si>
  <si>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</si>
  <si>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</si>
  <si>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</si>
  <si>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</si>
  <si>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</si>
  <si>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</si>
  <si>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</si>
  <si>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</si>
  <si>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</si>
  <si>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</si>
  <si>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</si>
  <si>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</si>
  <si>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</si>
  <si>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</si>
  <si>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</si>
  <si>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</si>
  <si>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</si>
  <si>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</si>
  <si>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</si>
  <si>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</si>
  <si>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</si>
  <si>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</si>
  <si>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</si>
  <si>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</si>
  <si>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</si>
  <si>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</si>
  <si>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</si>
  <si>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</si>
  <si>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</si>
  <si>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</si>
  <si>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</si>
  <si>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</si>
  <si>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</si>
  <si>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</si>
  <si>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</si>
  <si>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</si>
  <si>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</si>
  <si>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</si>
  <si>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</si>
  <si>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</si>
  <si>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</si>
  <si>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</si>
  <si>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</si>
  <si>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</si>
  <si>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</si>
  <si>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</si>
  <si>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</si>
  <si>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</si>
  <si>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</si>
  <si>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</si>
  <si>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</si>
  <si>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</si>
  <si>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</si>
  <si>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</si>
  <si>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</si>
  <si>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</si>
  <si>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</si>
  <si>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</si>
  <si>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</si>
  <si>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</si>
  <si>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</si>
  <si>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</si>
  <si>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</si>
  <si>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</si>
  <si>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</si>
  <si>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</si>
  <si>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</si>
  <si>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</si>
  <si>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</si>
  <si>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</si>
  <si>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</si>
  <si>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</si>
  <si>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</si>
  <si>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</si>
  <si>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</si>
  <si>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</si>
  <si>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</si>
  <si>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</si>
  <si>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</si>
  <si>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</si>
  <si>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</si>
  <si>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</si>
  <si>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</si>
  <si>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</si>
  <si>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</si>
  <si>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</si>
  <si>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</si>
  <si>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</si>
  <si>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</si>
  <si>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</si>
  <si>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</si>
  <si>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</si>
  <si>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</si>
  <si>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</si>
  <si>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</si>
  <si>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</si>
  <si>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</si>
  <si>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</si>
  <si>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</si>
  <si>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</si>
  <si>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</si>
  <si>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</si>
  <si>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</si>
  <si>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</si>
  <si>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</si>
  <si>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</si>
  <si>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</si>
  <si>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</si>
  <si>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</si>
  <si>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</si>
  <si>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</si>
  <si>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</si>
  <si>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</si>
  <si>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</si>
  <si>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</si>
  <si>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</si>
  <si>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</si>
  <si>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</si>
  <si>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</si>
  <si>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</si>
  <si>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</si>
  <si>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</si>
  <si>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</si>
  <si>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</si>
  <si>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</si>
  <si>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</si>
  <si>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</si>
  <si>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</si>
  <si>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</si>
  <si>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</si>
  <si>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</si>
  <si>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</si>
  <si>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</si>
  <si>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</si>
  <si>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</si>
  <si>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</si>
  <si>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</si>
  <si>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</si>
  <si>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</si>
  <si>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</si>
  <si>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</si>
  <si>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</si>
  <si>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</si>
  <si>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</si>
  <si>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</si>
  <si>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</si>
  <si>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</si>
  <si>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</si>
  <si>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</si>
  <si>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</si>
  <si>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</si>
  <si>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</si>
  <si>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</si>
  <si>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</si>
  <si>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</si>
  <si>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</si>
  <si>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</si>
  <si>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</si>
  <si>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</si>
  <si>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</si>
  <si>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</si>
  <si>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</si>
  <si>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</si>
  <si>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</si>
  <si>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</si>
  <si>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</si>
  <si>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</si>
  <si>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</si>
  <si>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</si>
  <si>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</si>
  <si>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</si>
  <si>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</si>
  <si>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</si>
  <si>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</si>
  <si>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</si>
  <si>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</si>
  <si>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</si>
  <si>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</si>
  <si>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</si>
  <si>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</si>
  <si>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</si>
  <si>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</si>
  <si>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</si>
  <si>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</si>
  <si>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</si>
  <si>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</si>
  <si>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</si>
  <si>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</si>
  <si>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</si>
  <si>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</si>
  <si>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</si>
  <si>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</si>
  <si>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</si>
  <si>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</si>
  <si>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</si>
  <si>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</si>
  <si>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</si>
  <si>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</si>
  <si>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</si>
  <si>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</si>
  <si>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</si>
  <si>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</si>
  <si>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</si>
  <si>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</si>
  <si>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</si>
  <si>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</si>
  <si>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</si>
  <si>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</si>
  <si>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</si>
  <si>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</si>
  <si>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</si>
  <si>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</si>
  <si>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</si>
  <si>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</si>
  <si>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</si>
  <si>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</si>
  <si>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</si>
  <si>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</si>
  <si>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</si>
  <si>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</si>
  <si>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</si>
  <si>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</si>
  <si>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</si>
  <si>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</si>
  <si>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</si>
  <si>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</si>
  <si>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</si>
  <si>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</si>
  <si>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</si>
  <si>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</si>
  <si>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</si>
  <si>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</si>
  <si>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</si>
  <si>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</si>
  <si>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</si>
  <si>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</si>
  <si>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</si>
  <si>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</si>
  <si>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</si>
  <si>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</si>
  <si>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</si>
  <si>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</si>
  <si>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</si>
  <si>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</si>
  <si>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</si>
  <si>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</si>
  <si>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</si>
  <si>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</si>
  <si>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</si>
  <si>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</si>
  <si>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</si>
  <si>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</si>
  <si>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</si>
  <si>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</si>
  <si>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</si>
  <si>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</si>
  <si>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</si>
  <si>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</si>
  <si>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</si>
  <si>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</si>
  <si>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</si>
  <si>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</si>
  <si>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</si>
  <si>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</si>
  <si>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</si>
  <si>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</si>
  <si>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</si>
  <si>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</si>
  <si>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</si>
  <si>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</si>
  <si>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</si>
  <si>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</si>
  <si>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</si>
  <si>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</si>
  <si>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</si>
  <si>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</si>
  <si>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</si>
  <si>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</si>
  <si>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</si>
  <si>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</si>
  <si>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</si>
  <si>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</si>
  <si>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</si>
  <si>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</si>
  <si>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</si>
  <si>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</si>
  <si>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</si>
  <si>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</si>
  <si>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</si>
  <si>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</si>
  <si>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</si>
  <si>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</si>
  <si>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</si>
  <si>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</si>
  <si>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</si>
  <si>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</si>
  <si>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</si>
  <si>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</si>
  <si>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</si>
  <si>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</si>
  <si>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</si>
  <si>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</si>
  <si>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</si>
  <si>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</si>
  <si>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</si>
  <si>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</si>
  <si>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</si>
  <si>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</si>
  <si>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</si>
  <si>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</si>
  <si>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</si>
  <si>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</si>
  <si>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</si>
  <si>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</si>
  <si>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</si>
  <si>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</si>
  <si>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</si>
  <si>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</si>
  <si>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</si>
  <si>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</si>
  <si>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</si>
  <si>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</si>
  <si>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</si>
  <si>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</si>
  <si>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</si>
  <si>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</si>
  <si>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</si>
  <si>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</si>
  <si>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</si>
  <si>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</si>
  <si>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</si>
  <si>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</si>
  <si>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</si>
  <si>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</si>
  <si>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</si>
  <si>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</si>
  <si>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</si>
  <si>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</si>
  <si>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</si>
  <si>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</si>
  <si>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</si>
  <si>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</si>
  <si>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</si>
  <si>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</si>
  <si>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</si>
  <si>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</si>
  <si>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</si>
  <si>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</si>
  <si>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</si>
  <si>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</si>
  <si>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</si>
  <si>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</si>
  <si>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</si>
  <si>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</si>
  <si>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</si>
  <si>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</si>
  <si>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</si>
  <si>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</si>
  <si>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</si>
  <si>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</si>
  <si>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</si>
  <si>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</si>
  <si>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</si>
  <si>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</si>
  <si>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</si>
  <si>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</si>
  <si>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</si>
  <si>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</si>
  <si>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</si>
  <si>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</si>
  <si>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</si>
  <si>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</si>
  <si>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</si>
  <si>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</si>
  <si>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</si>
  <si>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</si>
  <si>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</si>
  <si>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</si>
  <si>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</si>
  <si>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</si>
  <si>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</si>
  <si>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</si>
  <si>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</si>
  <si>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</si>
  <si>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</si>
  <si>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</si>
  <si>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</si>
  <si>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</si>
  <si>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</si>
  <si>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</si>
  <si>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</si>
  <si>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</si>
  <si>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</si>
  <si>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</si>
  <si>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</si>
  <si>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</si>
  <si>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</si>
  <si>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</si>
  <si>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</si>
  <si>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</si>
  <si>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</si>
  <si>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</si>
  <si>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</si>
  <si>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</si>
  <si>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</si>
  <si>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</si>
  <si>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</si>
  <si>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</si>
  <si>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</si>
  <si>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</si>
  <si>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</si>
  <si>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</si>
  <si>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</si>
  <si>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</si>
  <si>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</si>
  <si>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</si>
  <si>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</si>
  <si>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</si>
  <si>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</si>
  <si>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</si>
  <si>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</si>
  <si>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</si>
  <si>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</si>
  <si>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</si>
  <si>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</si>
  <si>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</si>
  <si>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</si>
  <si>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</si>
  <si>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</si>
  <si>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</si>
  <si>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</si>
  <si>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</si>
  <si>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</si>
  <si>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</si>
  <si>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</si>
  <si>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</si>
  <si>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</si>
  <si>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</si>
  <si>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</si>
  <si>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</si>
  <si>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</si>
  <si>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</si>
  <si>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</si>
  <si>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</si>
  <si>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</si>
  <si>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</si>
  <si>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</si>
  <si>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</si>
  <si>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</si>
  <si>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</si>
  <si>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</si>
  <si>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</si>
  <si>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</si>
  <si>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</si>
  <si>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</si>
  <si>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</si>
  <si>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</si>
  <si>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</si>
  <si>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</si>
  <si>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</si>
  <si>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</si>
  <si>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</si>
  <si>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</si>
  <si>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</si>
  <si>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</si>
  <si>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</si>
  <si>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</si>
  <si>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</si>
  <si>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</si>
  <si>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</si>
  <si>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</si>
  <si>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</si>
  <si>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</si>
  <si>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</si>
  <si>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</si>
  <si>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</si>
  <si>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</si>
  <si>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</si>
  <si>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</si>
  <si>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</si>
  <si>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</si>
  <si>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</si>
  <si>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</si>
  <si>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</si>
  <si>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</si>
  <si>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</si>
  <si>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</si>
  <si>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</si>
  <si>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</si>
  <si>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</si>
  <si>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</si>
  <si>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</si>
  <si>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</si>
  <si>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</si>
  <si>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</si>
  <si>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</si>
  <si>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</si>
  <si>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</si>
  <si>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</si>
  <si>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</si>
  <si>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</si>
  <si>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</si>
  <si>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</si>
  <si>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</si>
  <si>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</si>
  <si>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</si>
  <si>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</si>
  <si>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</si>
  <si>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</si>
  <si>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</si>
  <si>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</si>
  <si>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</si>
  <si>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</si>
  <si>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</si>
  <si>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</si>
  <si>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</si>
  <si>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</si>
  <si>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</si>
  <si>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</si>
  <si>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</si>
  <si>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</si>
  <si>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</si>
  <si>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</si>
  <si>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</si>
  <si>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</si>
  <si>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</si>
  <si>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</si>
  <si>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</si>
  <si>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</si>
  <si>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</si>
  <si>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</si>
  <si>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</si>
  <si>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</si>
  <si>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</si>
  <si>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</si>
  <si>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</si>
  <si>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</si>
  <si>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</si>
  <si>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</si>
  <si>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</si>
  <si>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</si>
  <si>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</si>
  <si>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</si>
  <si>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</si>
  <si>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</si>
  <si>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</si>
  <si>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</si>
  <si>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</si>
  <si>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</si>
  <si>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</si>
  <si>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</si>
  <si>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</si>
  <si>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</si>
  <si>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</si>
  <si>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</si>
  <si>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</si>
  <si>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</si>
  <si>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</si>
  <si>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</si>
  <si>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</si>
  <si>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</si>
  <si>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</si>
  <si>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</si>
  <si>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</si>
  <si>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</si>
  <si>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</si>
  <si>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</si>
  <si>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</si>
  <si>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</si>
  <si>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</si>
  <si>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</si>
  <si>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</si>
  <si>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</si>
  <si>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</si>
  <si>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</si>
  <si>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</si>
  <si>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</si>
  <si>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</si>
  <si>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</si>
  <si>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</si>
  <si>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</si>
  <si>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</si>
  <si>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</si>
  <si>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</si>
  <si>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</si>
  <si>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</si>
  <si>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</si>
  <si>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</si>
  <si>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</si>
  <si>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</si>
  <si>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</si>
  <si>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</si>
  <si>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</si>
  <si>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</si>
  <si>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</si>
  <si>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</si>
  <si>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</si>
  <si>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</si>
  <si>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</si>
  <si>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</si>
  <si>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</si>
  <si>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</si>
  <si>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</si>
  <si>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</si>
  <si>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</si>
  <si>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</si>
  <si>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</si>
  <si>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</si>
  <si>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</si>
  <si>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</si>
  <si>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</si>
  <si>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</si>
  <si>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</si>
  <si>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</si>
  <si>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</si>
  <si>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</si>
  <si>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</si>
  <si>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</si>
  <si>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</si>
  <si>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</si>
  <si>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</si>
  <si>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</si>
  <si>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</si>
  <si>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</si>
  <si>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</si>
  <si>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</si>
  <si>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</si>
  <si>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</si>
  <si>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</si>
  <si>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</si>
  <si>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</si>
  <si>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</si>
  <si>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エフェクト</t>
    <phoneticPr fontId="2"/>
  </si>
  <si>
    <t>タブ切り替え</t>
    <rPh sb="2" eb="3">
      <t>キ</t>
    </rPh>
    <rPh sb="4" eb="5">
      <t>カ</t>
    </rPh>
    <phoneticPr fontId="2"/>
  </si>
  <si>
    <t>移動</t>
    <rPh sb="0" eb="2">
      <t>イドウ</t>
    </rPh>
    <phoneticPr fontId="2"/>
  </si>
  <si>
    <t>行動ボタン1</t>
    <rPh sb="0" eb="2">
      <t>コウドウ</t>
    </rPh>
    <phoneticPr fontId="2"/>
  </si>
  <si>
    <t>行動ボタン2</t>
    <rPh sb="0" eb="2">
      <t>コウドウ</t>
    </rPh>
    <phoneticPr fontId="2"/>
  </si>
  <si>
    <t>キャラ選択時</t>
    <rPh sb="3" eb="6">
      <t>センタクジ</t>
    </rPh>
    <phoneticPr fontId="2"/>
  </si>
  <si>
    <t>アイコンと名前を表示</t>
    <rPh sb="5" eb="7">
      <t>ナマエ</t>
    </rPh>
    <rPh sb="8" eb="10">
      <t>ヒョウジ</t>
    </rPh>
    <phoneticPr fontId="2"/>
  </si>
  <si>
    <t>HPの数値</t>
    <rPh sb="3" eb="5">
      <t>スウチ</t>
    </rPh>
    <phoneticPr fontId="2"/>
  </si>
  <si>
    <t>HPゲージ</t>
    <phoneticPr fontId="2"/>
  </si>
  <si>
    <t>上の数値</t>
    <rPh sb="0" eb="1">
      <t>ウエ</t>
    </rPh>
    <rPh sb="2" eb="4">
      <t>スウチ</t>
    </rPh>
    <phoneticPr fontId="2"/>
  </si>
  <si>
    <t>魔防</t>
    <rPh sb="0" eb="2">
      <t>マボウ</t>
    </rPh>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</si>
  <si>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</si>
  <si>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</si>
  <si>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</si>
  <si>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</si>
  <si>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</si>
  <si>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 xml:space="preserve">攻撃手段:魔法 炎+15 射程:1 炸裂:1 判定:魔力 追加威力:技術 </t>
    <rPh sb="0" eb="4">
      <t>コウゲキシュダン</t>
    </rPh>
    <rPh sb="5" eb="7">
      <t>マホウ</t>
    </rPh>
    <rPh sb="8" eb="9">
      <t>ホノオ</t>
    </rPh>
    <rPh sb="13" eb="15">
      <t>シャテイ</t>
    </rPh>
    <rPh sb="18" eb="20">
      <t>サクレツ</t>
    </rPh>
    <rPh sb="23" eb="25">
      <t>ハンテイ</t>
    </rPh>
    <rPh sb="26" eb="28">
      <t>マリョク</t>
    </rPh>
    <rPh sb="29" eb="33">
      <t>ツイカイリョク</t>
    </rPh>
    <rPh sb="34" eb="36">
      <t>ギジュツ</t>
    </rPh>
    <phoneticPr fontId="2"/>
  </si>
  <si>
    <t>火球</t>
  </si>
  <si>
    <t>火炎</t>
  </si>
  <si>
    <t>バーニング</t>
  </si>
  <si>
    <t>A</t>
  </si>
  <si>
    <t>攻撃手段:魔法 特殊:攻撃 炎+35 射程:1 判定:魔力</t>
  </si>
  <si>
    <t>炎の雨</t>
  </si>
  <si>
    <t>ファイアーレイン</t>
  </si>
  <si>
    <t>ファイアーボール</t>
  </si>
  <si>
    <t>落下火球</t>
  </si>
  <si>
    <t>フォール・ファイアー</t>
  </si>
  <si>
    <t>炎の壁</t>
  </si>
  <si>
    <t>ファイアー・ウォール</t>
  </si>
  <si>
    <t>効果時間2t 攻撃手段:魔法 特殊:攻撃 炎+35 射程:2 範囲:ライン 判定:魔力</t>
  </si>
  <si>
    <t>爆裂</t>
  </si>
  <si>
    <t>エクスプロージョン</t>
  </si>
  <si>
    <t>火炎放射</t>
  </si>
  <si>
    <t>バーニング・レディエーション</t>
  </si>
  <si>
    <t>攻撃手段:魔法 特殊:攻撃 炎+95 射程:2 範囲:縦 判定:魔力</t>
  </si>
  <si>
    <t>燃焼火炎</t>
  </si>
  <si>
    <t>バーニング・ナパーム</t>
  </si>
  <si>
    <t>攻撃手段:魔法 特殊:攻撃 炎+105 射程:2 範囲:爆発 判定:魔力</t>
  </si>
  <si>
    <t>煉獄</t>
  </si>
  <si>
    <t>インフェルノ</t>
  </si>
  <si>
    <t>攻撃手段:魔法 特殊:攻撃 炎+135 射程:2 範囲:爆発 判定:魔力</t>
  </si>
  <si>
    <t>煙幕</t>
  </si>
  <si>
    <t>スモーク</t>
  </si>
  <si>
    <t>攻撃手段:魔法 盲目+45 疲労+15 射程:1 範囲:炸裂 効果:設置</t>
  </si>
  <si>
    <t>炎の嵐</t>
  </si>
  <si>
    <t>ファイアーストーム</t>
  </si>
  <si>
    <t>攻撃手段:魔法 特殊:攻撃 炎+115 射程:4 範囲:全体 判定:魔力</t>
  </si>
  <si>
    <t>獄炎</t>
  </si>
  <si>
    <t>聖炎</t>
  </si>
  <si>
    <t>火山灰</t>
  </si>
  <si>
    <t>大噴火</t>
  </si>
  <si>
    <t>核火山</t>
  </si>
  <si>
    <t>地底噴火</t>
  </si>
  <si>
    <t>燃焼点</t>
  </si>
  <si>
    <t>バーン・ポイント</t>
  </si>
  <si>
    <t>攻撃手段:魔法 炎+28 効果:視認不可 射程:1</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</si>
  <si>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</si>
  <si>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</si>
  <si>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</si>
  <si>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</si>
  <si>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</si>
  <si>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</si>
  <si>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</si>
  <si>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</si>
  <si>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</si>
  <si>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</si>
  <si>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</si>
  <si>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</si>
  <si>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</si>
  <si>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</si>
  <si>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</si>
  <si>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</si>
  <si>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</si>
  <si>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</si>
  <si>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攻撃手段:魔法 特殊:攻撃 打撃+25 炎+65 射程:2 炸裂:1 判定:魔力</t>
    <phoneticPr fontId="2"/>
  </si>
  <si>
    <t>攻撃手段:魔法 特殊:攻撃 炎+49 射程:2 炸裂:0.5 判定:魔力</t>
    <rPh sb="24" eb="26">
      <t>サクレツ</t>
    </rPh>
    <phoneticPr fontId="2"/>
  </si>
  <si>
    <t>攻撃手段:魔法 特殊:攻撃 炎+56 射程:2 炸裂1 判定:魔力</t>
    <rPh sb="24" eb="26">
      <t>サクレツ</t>
    </rPh>
    <phoneticPr fontId="2"/>
  </si>
  <si>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</si>
  <si>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</si>
  <si>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</si>
  <si>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</si>
  <si>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</si>
  <si>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</si>
  <si>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</si>
  <si>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攻撃手段:魔法 炎+16 攻撃回数4 射程:2 範囲:散弾 判定:魔力</t>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</si>
  <si>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</si>
  <si>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</si>
  <si>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</si>
  <si>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</si>
  <si>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</si>
  <si>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</si>
  <si>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</si>
  <si>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</si>
  <si>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</si>
  <si>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</si>
  <si>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</si>
  <si>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</si>
  <si>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</si>
  <si>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</si>
  <si>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</si>
  <si>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</si>
  <si>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</si>
  <si>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</si>
  <si>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</si>
  <si>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</si>
  <si>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</si>
  <si>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</si>
  <si>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</si>
  <si>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</si>
  <si>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</si>
  <si>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</si>
  <si>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</si>
  <si>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</si>
  <si>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</si>
  <si>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</si>
  <si>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</si>
  <si>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</si>
  <si>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</si>
  <si>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</si>
  <si>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</si>
  <si>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</si>
  <si>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</si>
  <si>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</si>
  <si>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</si>
  <si>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</si>
  <si>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</si>
  <si>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</si>
  <si>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</si>
  <si>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</si>
  <si>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</si>
  <si>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</si>
  <si>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</si>
  <si>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</si>
  <si>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</si>
  <si>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</si>
  <si>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</si>
  <si>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</si>
  <si>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</si>
  <si>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</si>
  <si>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</si>
  <si>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</si>
  <si>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</si>
  <si>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</si>
  <si>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</si>
  <si>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</si>
  <si>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</si>
  <si>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</si>
  <si>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</si>
  <si>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</si>
  <si>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</si>
  <si>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</si>
  <si>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</si>
  <si>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</si>
  <si>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</si>
  <si>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</si>
  <si>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</si>
  <si>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</si>
  <si>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</si>
  <si>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</si>
  <si>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</si>
  <si>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</si>
  <si>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</si>
  <si>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</si>
  <si>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</si>
  <si>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</si>
  <si>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</si>
  <si>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</si>
  <si>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</si>
  <si>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</si>
  <si>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</si>
  <si>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</si>
  <si>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</si>
  <si>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</si>
  <si>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</si>
  <si>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</si>
  <si>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</si>
  <si>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</si>
  <si>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</si>
  <si>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</si>
  <si>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</si>
  <si>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</si>
  <si>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</si>
  <si>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</si>
  <si>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</si>
  <si>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</si>
  <si>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</si>
  <si>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</si>
  <si>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</si>
  <si>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</si>
  <si>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</si>
  <si>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</si>
  <si>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</si>
  <si>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</si>
  <si>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</si>
  <si>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</si>
  <si>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</si>
  <si>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</si>
  <si>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</si>
  <si>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</si>
  <si>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</si>
  <si>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</si>
  <si>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</si>
  <si>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</si>
  <si>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</si>
  <si>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</si>
  <si>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</si>
  <si>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</si>
  <si>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</si>
  <si>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</si>
  <si>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</si>
  <si>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</si>
  <si>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</si>
  <si>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</si>
  <si>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</si>
  <si>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</si>
  <si>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</si>
  <si>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</si>
  <si>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</si>
  <si>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</si>
  <si>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</si>
  <si>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</si>
  <si>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</si>
  <si>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</si>
  <si>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</si>
  <si>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</si>
  <si>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</si>
  <si>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</si>
  <si>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</si>
  <si>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</si>
  <si>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</si>
  <si>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</si>
  <si>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</si>
  <si>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</si>
  <si>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</si>
  <si>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</si>
  <si>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</si>
  <si>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</si>
  <si>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</si>
  <si>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</si>
  <si>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</si>
  <si>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</si>
  <si>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</si>
  <si>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</si>
  <si>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</si>
  <si>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</si>
  <si>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</si>
  <si>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</si>
  <si>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</si>
  <si>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</si>
  <si>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</si>
  <si>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</si>
  <si>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</si>
  <si>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</si>
  <si>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</si>
  <si>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</si>
  <si>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</si>
  <si>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</si>
  <si>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</si>
  <si>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</si>
  <si>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</si>
  <si>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</si>
  <si>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</si>
  <si>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</si>
  <si>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</si>
  <si>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</si>
  <si>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</si>
  <si>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</si>
  <si>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</si>
  <si>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</si>
  <si>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</si>
  <si>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</si>
  <si>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</si>
  <si>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</si>
  <si>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</si>
  <si>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</si>
  <si>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</si>
  <si>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</si>
  <si>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</si>
  <si>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</si>
  <si>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</si>
  <si>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</si>
  <si>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</si>
  <si>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</si>
  <si>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</si>
  <si>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</si>
  <si>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</si>
  <si>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</si>
  <si>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</si>
  <si>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</si>
  <si>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</si>
  <si>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</si>
  <si>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</si>
  <si>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</si>
  <si>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</si>
  <si>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</si>
  <si>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</si>
  <si>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</si>
  <si>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</si>
  <si>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</si>
  <si>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</si>
  <si>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</si>
  <si>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</si>
  <si>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</si>
  <si>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勢力配置区分</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</si>
  <si>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</si>
  <si>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</si>
  <si>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</si>
  <si>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</si>
  <si>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</si>
  <si>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</si>
  <si>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</si>
  <si>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</si>
  <si>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</si>
  <si>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</si>
  <si>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</si>
  <si>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</si>
  <si>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</si>
  <si>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</si>
  <si>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</si>
  <si>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</si>
  <si>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</si>
  <si>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</si>
  <si>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</si>
  <si>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</si>
  <si>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</si>
  <si>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</si>
  <si>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</si>
  <si>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</si>
  <si>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</si>
  <si>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</si>
  <si>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</si>
  <si>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</si>
  <si>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</si>
  <si>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</si>
  <si>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</si>
  <si>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</si>
  <si>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</si>
  <si>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</si>
  <si>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</si>
  <si>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</si>
  <si>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</si>
  <si>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</si>
  <si>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</si>
  <si>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</si>
  <si>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</si>
  <si>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</si>
  <si>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</si>
  <si>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</si>
  <si>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</si>
  <si>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</si>
  <si>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</si>
  <si>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</si>
  <si>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</si>
  <si>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</si>
  <si>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</si>
  <si>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</si>
  <si>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</si>
  <si>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</si>
  <si>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</si>
  <si>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</si>
  <si>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</si>
  <si>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</si>
  <si>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</si>
  <si>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</si>
  <si>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</si>
  <si>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</si>
  <si>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</si>
  <si>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</si>
  <si>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</si>
  <si>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</si>
  <si>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</si>
  <si>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</si>
  <si>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</si>
  <si>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</si>
  <si>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</si>
  <si>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</si>
  <si>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</si>
  <si>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</si>
  <si>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</si>
  <si>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</si>
  <si>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</si>
  <si>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</si>
  <si>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</si>
  <si>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</si>
  <si>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</si>
  <si>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</si>
  <si>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</si>
  <si>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</si>
  <si>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</si>
  <si>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</si>
  <si>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</si>
  <si>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</si>
  <si>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</si>
  <si>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</si>
  <si>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</si>
  <si>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</si>
  <si>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</si>
  <si>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</si>
  <si>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</si>
  <si>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</si>
  <si>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</si>
  <si>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</si>
  <si>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</si>
  <si>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</si>
  <si>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</si>
  <si>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</si>
  <si>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</si>
  <si>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</si>
  <si>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</si>
  <si>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</si>
  <si>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</si>
  <si>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</si>
  <si>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</si>
  <si>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</si>
  <si>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</si>
  <si>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</si>
  <si>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</si>
  <si>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</si>
  <si>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</si>
  <si>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</si>
  <si>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</si>
  <si>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</si>
  <si>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</si>
  <si>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</si>
  <si>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</si>
  <si>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</si>
  <si>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</si>
  <si>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</si>
  <si>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</si>
  <si>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</si>
  <si>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</si>
  <si>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</si>
  <si>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</si>
  <si>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</si>
  <si>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</si>
  <si>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</si>
  <si>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</si>
  <si>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</si>
  <si>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</si>
  <si>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</si>
  <si>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</si>
  <si>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</si>
  <si>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</si>
  <si>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</si>
  <si>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</si>
  <si>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</si>
  <si>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</si>
  <si>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</si>
  <si>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</si>
  <si>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</si>
  <si>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</si>
  <si>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</si>
  <si>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</si>
  <si>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</si>
  <si>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</si>
  <si>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</si>
  <si>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</si>
  <si>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</si>
  <si>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</si>
  <si>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</si>
  <si>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</si>
  <si>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</si>
  <si>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</si>
  <si>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</si>
  <si>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</si>
  <si>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</si>
  <si>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</si>
  <si>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</si>
  <si>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</si>
  <si>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</si>
  <si>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</si>
  <si>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</si>
  <si>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</si>
  <si>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</si>
  <si>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</si>
  <si>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</si>
  <si>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</si>
  <si>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</si>
  <si>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</si>
  <si>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</si>
  <si>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</si>
  <si>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</si>
  <si>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</si>
  <si>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</si>
  <si>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</si>
  <si>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</si>
  <si>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</si>
  <si>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</si>
  <si>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</si>
  <si>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</si>
  <si>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</si>
  <si>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</si>
  <si>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</si>
  <si>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</si>
  <si>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</si>
  <si>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</si>
  <si>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</si>
  <si>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</si>
  <si>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</si>
  <si>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</si>
  <si>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</si>
  <si>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</si>
  <si>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</si>
  <si>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</si>
  <si>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</si>
  <si>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</si>
  <si>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</si>
  <si>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</si>
  <si>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</si>
  <si>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</si>
  <si>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</si>
  <si>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</si>
  <si>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</si>
  <si>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</si>
  <si>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</si>
  <si>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</si>
  <si>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</si>
  <si>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</si>
  <si>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</si>
  <si>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</si>
  <si>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</si>
  <si>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</si>
  <si>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</si>
  <si>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</si>
  <si>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</si>
  <si>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</si>
  <si>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</si>
  <si>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</si>
  <si>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</si>
  <si>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</si>
  <si>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</si>
  <si>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</si>
  <si>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</si>
  <si>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</si>
  <si>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</si>
  <si>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</si>
  <si>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</si>
  <si>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</si>
  <si>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</si>
  <si>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</si>
  <si>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</si>
  <si>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</si>
  <si>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</si>
  <si>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</si>
  <si>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</si>
  <si>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</si>
  <si>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</si>
  <si>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</si>
  <si>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</si>
  <si>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</si>
  <si>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</si>
  <si>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</si>
  <si>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</si>
  <si>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</si>
  <si>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</si>
  <si>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</si>
  <si>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</si>
  <si>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</si>
  <si>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</si>
  <si>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</si>
  <si>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</si>
  <si>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</si>
  <si>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</si>
  <si>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</si>
  <si>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</si>
  <si>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</si>
  <si>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</si>
  <si>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攻撃手段:魔法 炎+28 効果:視認不可 射程:1</t>
    <phoneticPr fontId="2"/>
  </si>
  <si>
    <t>攻撃手段:魔法 回復+75 効果:蘇生_Lv-5 射程:1</t>
    <rPh sb="8" eb="10">
      <t>カイフク</t>
    </rPh>
    <rPh sb="15" eb="17">
      <t>コウカ</t>
    </rPh>
    <rPh sb="18" eb="20">
      <t>ソセイ</t>
    </rPh>
    <phoneticPr fontId="2"/>
  </si>
  <si>
    <t>攻撃手段:魔法 回復+100 効果:蘇生_Lv-2 射程:2 待機時間1t</t>
    <rPh sb="8" eb="10">
      <t>カイフク</t>
    </rPh>
    <rPh sb="23" eb="25">
      <t>コウカ</t>
    </rPh>
    <rPh sb="26" eb="28">
      <t>ソセイ</t>
    </rPh>
    <rPh sb="34" eb="36">
      <t>シャテイ</t>
    </rPh>
    <phoneticPr fontId="2"/>
  </si>
  <si>
    <t xml:space="preserve">攻撃手段:魔法 回復+35 効果:蘇生_Lv-8 射程:1 </t>
    <rPh sb="8" eb="10">
      <t>カイフク</t>
    </rPh>
    <rPh sb="14" eb="16">
      <t>コウカ</t>
    </rPh>
    <rPh sb="17" eb="19">
      <t>ソセイ</t>
    </rPh>
    <rPh sb="25" eb="27">
      <t>シャテイ</t>
    </rPh>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</si>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</sst>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0"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
      <sz val="14"/>
      <color theme="1"/>
      <name val="游ゴシック"/>
      <family val="3"/>
      <charset val="128"/>
      <scheme val="minor"/>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
      <patternFill patternType="solid">
        <fgColor theme="6" tint="0.39997558519241921"/>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1">
    <xf numFmtId="0" fontId="0" fillId="0" borderId="0">
      <alignment vertical="center"/>
    </xf>
  </cellStyleXfs>
  <cellXfs count="91">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16" fillId="7"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19" fillId="16"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87"/>
  <sheetViews>
    <sheetView workbookViewId="0">
      <pane xSplit="4" ySplit="4" topLeftCell="E66" activePane="bottomRight" state="frozen"/>
      <selection pane="topRight" activeCell="E1" sqref="E1"/>
      <selection pane="bottomLeft" activeCell="A5" sqref="A5"/>
      <selection pane="bottomRight" activeCell="A74" sqref="A74:J76"/>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1363</v>
      </c>
      <c r="F1" s="5" t="s">
        <v>79</v>
      </c>
      <c r="G1" s="18" t="s">
        <v>126</v>
      </c>
      <c r="H1" s="3" t="s">
        <v>80</v>
      </c>
      <c r="I1" s="6" t="s">
        <v>846</v>
      </c>
      <c r="J1" s="6" t="s">
        <v>848</v>
      </c>
      <c r="K1" s="8" t="s">
        <v>82</v>
      </c>
      <c r="L1" s="8"/>
      <c r="M1" s="3" t="s">
        <v>83</v>
      </c>
      <c r="N1" s="3" t="s">
        <v>1350</v>
      </c>
      <c r="O1" s="3" t="s">
        <v>84</v>
      </c>
      <c r="P1" s="9" t="s">
        <v>85</v>
      </c>
      <c r="Q1" s="9" t="s">
        <v>86</v>
      </c>
      <c r="R1" s="9"/>
      <c r="S1" s="9"/>
    </row>
    <row r="2" spans="1:20" ht="103.5" customHeight="1" x14ac:dyDescent="0.4">
      <c r="B2" s="10" t="s">
        <v>87</v>
      </c>
      <c r="C2" s="10" t="s">
        <v>88</v>
      </c>
      <c r="D2" s="3" t="s">
        <v>89</v>
      </c>
      <c r="E2" s="4"/>
      <c r="F2" s="5"/>
      <c r="G2" s="18"/>
      <c r="H2" s="3" t="s">
        <v>475</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1202</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1202</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1202</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1359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1360</v>
      </c>
    </row>
    <row r="11" spans="1:20" ht="36" outlineLevel="1" x14ac:dyDescent="0.4">
      <c r="A11" s="2">
        <v>3</v>
      </c>
      <c r="B11" s="2" t="s">
        <v>282</v>
      </c>
      <c r="E11" s="13" t="s">
        <v>128</v>
      </c>
      <c r="G11" s="19">
        <v>40</v>
      </c>
      <c r="H11" s="10" t="s">
        <v>327</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1361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1362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1202</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1202</v>
      </c>
    </row>
    <row r="15" spans="1:20" ht="36" outlineLevel="1" x14ac:dyDescent="0.4">
      <c r="A15" s="2">
        <v>7</v>
      </c>
      <c r="B15" s="2" t="s">
        <v>288</v>
      </c>
      <c r="E15" s="13" t="s">
        <v>128</v>
      </c>
      <c r="G15" s="19">
        <v>40</v>
      </c>
      <c r="H15" s="10" t="s">
        <v>1358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1202</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1202</v>
      </c>
    </row>
    <row r="17" spans="1:14" outlineLevel="1" x14ac:dyDescent="0.4">
      <c r="A17" s="2">
        <v>9</v>
      </c>
      <c r="B17" s="2" t="s">
        <v>734</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1202</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1202</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1202</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1202</v>
      </c>
    </row>
    <row r="22" spans="1:14" hidden="1" outlineLevel="1" collapsed="1" x14ac:dyDescent="0.4">
      <c r="B22" s="54" t="s">
        <v>501</v>
      </c>
      <c r="D22" s="2" t="s">
        <v>946</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1202</v>
      </c>
    </row>
    <row r="23" spans="1:14" hidden="1" outlineLevel="1" collapsed="1" x14ac:dyDescent="0.4">
      <c r="B23" s="48" t="s">
        <v>502</v>
      </c>
      <c r="D23" s="2" t="s">
        <v>946</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1202</v>
      </c>
    </row>
    <row r="24" spans="1:14" hidden="1" outlineLevel="1" collapsed="1" x14ac:dyDescent="0.4">
      <c r="B24" s="48" t="s">
        <v>503</v>
      </c>
      <c r="D24" s="2" t="s">
        <v>946</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1202</v>
      </c>
    </row>
    <row r="25" spans="1:14" hidden="1" outlineLevel="1" collapsed="1" x14ac:dyDescent="0.4">
      <c r="B25" s="48" t="s">
        <v>504</v>
      </c>
      <c r="D25" s="2" t="s">
        <v>946</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1202</v>
      </c>
    </row>
    <row r="26" spans="1:14" hidden="1" outlineLevel="1" collapsed="1" x14ac:dyDescent="0.4">
      <c r="B26" s="48" t="s">
        <v>505</v>
      </c>
      <c r="D26" s="2" t="s">
        <v>946</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1202</v>
      </c>
    </row>
    <row r="27" spans="1:14" hidden="1" outlineLevel="1" collapsed="1" x14ac:dyDescent="0.4">
      <c r="B27" s="48" t="s">
        <v>506</v>
      </c>
      <c r="D27" s="2" t="s">
        <v>946</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1202</v>
      </c>
    </row>
    <row r="28" spans="1:14" hidden="1" outlineLevel="1" collapsed="1" x14ac:dyDescent="0.4">
      <c r="B28" s="48" t="s">
        <v>507</v>
      </c>
      <c r="D28" s="2" t="s">
        <v>946</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1202</v>
      </c>
    </row>
    <row r="29" spans="1:14" hidden="1" outlineLevel="1" collapsed="1" x14ac:dyDescent="0.4">
      <c r="B29" s="48" t="s">
        <v>508</v>
      </c>
      <c r="D29" s="2" t="s">
        <v>946</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1202</v>
      </c>
    </row>
    <row r="30" spans="1:14" hidden="1" outlineLevel="1" collapsed="1" x14ac:dyDescent="0.4">
      <c r="B30" s="48" t="s">
        <v>509</v>
      </c>
      <c r="D30" s="2" t="s">
        <v>946</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1202</v>
      </c>
    </row>
    <row r="31" spans="1:14" hidden="1" outlineLevel="1" collapsed="1" x14ac:dyDescent="0.4">
      <c r="B31" s="48" t="s">
        <v>510</v>
      </c>
      <c r="D31" s="2" t="s">
        <v>946</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1202</v>
      </c>
    </row>
    <row r="32" spans="1:14" hidden="1" outlineLevel="1" collapsed="1" x14ac:dyDescent="0.4">
      <c r="B32" s="48" t="s">
        <v>511</v>
      </c>
      <c r="D32" s="2" t="s">
        <v>946</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1202</v>
      </c>
    </row>
    <row r="33" spans="1:14" hidden="1" outlineLevel="1" collapsed="1" x14ac:dyDescent="0.4">
      <c r="B33" s="48" t="s">
        <v>512</v>
      </c>
      <c r="D33" s="2" t="s">
        <v>946</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1202</v>
      </c>
    </row>
    <row r="34" spans="1:14" hidden="1" outlineLevel="1" collapsed="1" x14ac:dyDescent="0.4">
      <c r="B34" s="48" t="s">
        <v>513</v>
      </c>
      <c r="D34" s="2" t="s">
        <v>946</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1202</v>
      </c>
    </row>
    <row r="35" spans="1:14" hidden="1" outlineLevel="1" collapsed="1" x14ac:dyDescent="0.4">
      <c r="B35" s="48" t="s">
        <v>742</v>
      </c>
      <c r="D35" s="2" t="s">
        <v>946</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1202</v>
      </c>
    </row>
    <row r="36" spans="1:14" hidden="1" outlineLevel="1" collapsed="1" x14ac:dyDescent="0.4">
      <c r="B36" s="48" t="s">
        <v>878</v>
      </c>
      <c r="D36" s="2" t="s">
        <v>946</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1202</v>
      </c>
    </row>
    <row r="37" spans="1:14" hidden="1"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1202</v>
      </c>
    </row>
    <row r="38" spans="1:14" hidden="1"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1202</v>
      </c>
    </row>
    <row r="39" spans="1:14" hidden="1"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1202</v>
      </c>
    </row>
    <row r="40" spans="1:14" hidden="1"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1202</v>
      </c>
    </row>
    <row r="41" spans="1:14" hidden="1"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1202</v>
      </c>
    </row>
    <row r="42" spans="1:14" hidden="1"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1202</v>
      </c>
    </row>
    <row r="43" spans="1:14" hidden="1"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1202</v>
      </c>
    </row>
    <row r="44" spans="1:14" hidden="1"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1202</v>
      </c>
    </row>
    <row r="45" spans="1:14" hidden="1"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1202</v>
      </c>
    </row>
    <row r="46" spans="1:14" collapsed="1" x14ac:dyDescent="0.4">
      <c r="B46" s="48"/>
      <c r="C46" s="2" t="str">
        <f>"------------炎魔法 ------------"</f>
        <v>------------炎魔法 ------------</v>
      </c>
      <c r="J46" s="6" t="str">
        <f>IFERROR(_xlfn.LET(_xlpm.v,
VLOOKUP($I46,効果!$A:$B,COLUMN(効果!B$1),FALSE),
IF(_xlpm.v=0,"",_xlpm.v)
),"")</f>
        <v/>
      </c>
      <c r="L46" s="15" t="str">
        <f>IF(OR(COUNTIF(クラス!$A$1:$A$1035, $B46),$B46="",COUNTIF(スキル一覧!$A$1:$A$3500, $B46)), "", "存在しない")</f>
        <v/>
      </c>
      <c r="M46" s="2" t="str">
        <f>IF(COUNTIF($B$1:$C44, $B46), "", "存在しない")</f>
        <v>存在しない</v>
      </c>
      <c r="N46" s="2" t="s">
        <v>1202</v>
      </c>
    </row>
    <row r="47" spans="1:14" ht="36" outlineLevel="1" collapsed="1" x14ac:dyDescent="0.4">
      <c r="A47" s="2">
        <v>1</v>
      </c>
      <c r="B47" s="54" t="s">
        <v>1291</v>
      </c>
      <c r="C47" s="2" t="s">
        <v>1292</v>
      </c>
      <c r="D47" s="2" t="s">
        <v>98</v>
      </c>
      <c r="E47" s="13" t="s">
        <v>1293</v>
      </c>
      <c r="G47" s="19">
        <v>4</v>
      </c>
      <c r="H47" s="6" t="s">
        <v>1294</v>
      </c>
      <c r="L47" s="15" t="str">
        <f>IF(OR(COUNTIF(クラス!$A$1:$A$1035, $B47),$B47="",COUNTIF(スキル一覧!$A$1:$A$3500, $B47)), "", "存在しない")</f>
        <v/>
      </c>
      <c r="M47" s="2" t="str">
        <f>IF(COUNTIF($B$1:$C45, $B47), "", "存在しない")</f>
        <v>存在しない</v>
      </c>
      <c r="N47" s="2" t="s">
        <v>1351</v>
      </c>
    </row>
    <row r="48" spans="1:14" ht="36" outlineLevel="1" collapsed="1" x14ac:dyDescent="0.4">
      <c r="A48" s="2">
        <v>2</v>
      </c>
      <c r="B48" s="48" t="s">
        <v>1295</v>
      </c>
      <c r="C48" s="2" t="s">
        <v>1296</v>
      </c>
      <c r="D48" s="2" t="s">
        <v>98</v>
      </c>
      <c r="E48" s="13" t="s">
        <v>1293</v>
      </c>
      <c r="G48" s="19">
        <v>8</v>
      </c>
      <c r="H48" s="10" t="s">
        <v>1357</v>
      </c>
      <c r="L48" s="15" t="str">
        <f>IF(OR(COUNTIF(クラス!$A$1:$A$1035, $B48),$B48="",COUNTIF(スキル一覧!$A$1:$A$3500, $B48)), "", "存在しない")</f>
        <v/>
      </c>
      <c r="M48" s="2" t="str">
        <f>IF(COUNTIF($B$1:$C46, $B48), "", "存在しない")</f>
        <v>存在しない</v>
      </c>
      <c r="N48" s="2" t="s">
        <v>1352</v>
      </c>
    </row>
    <row r="49" spans="2:14" ht="36" outlineLevel="1" collapsed="1" x14ac:dyDescent="0.4">
      <c r="B49" s="48" t="s">
        <v>1290</v>
      </c>
      <c r="C49" s="2" t="s">
        <v>1297</v>
      </c>
      <c r="D49" s="2" t="s">
        <v>98</v>
      </c>
      <c r="E49" s="13" t="s">
        <v>1293</v>
      </c>
      <c r="G49" s="19">
        <v>8</v>
      </c>
      <c r="H49" s="10" t="s">
        <v>1348</v>
      </c>
      <c r="L49" s="15" t="str">
        <f>IF(OR(COUNTIF(クラス!$A$1:$A$1035, $B49),$B49="",COUNTIF(スキル一覧!$A$1:$A$3500, $B49)), "", "存在しない")</f>
        <v/>
      </c>
      <c r="M49" s="2" t="str">
        <f>IF(COUNTIF($B$1:$C47, $B49), "", "存在しない")</f>
        <v>存在しない</v>
      </c>
      <c r="N49" s="2" t="s">
        <v>1355</v>
      </c>
    </row>
    <row r="50" spans="2:14" ht="36" outlineLevel="1" collapsed="1" x14ac:dyDescent="0.4">
      <c r="B50" s="48" t="s">
        <v>1298</v>
      </c>
      <c r="C50" s="2" t="s">
        <v>1299</v>
      </c>
      <c r="D50" s="2" t="s">
        <v>98</v>
      </c>
      <c r="E50" s="13" t="s">
        <v>1293</v>
      </c>
      <c r="G50" s="19">
        <v>12</v>
      </c>
      <c r="H50" s="10" t="s">
        <v>1349</v>
      </c>
      <c r="L50" s="15" t="str">
        <f>IF(OR(COUNTIF(クラス!$A$1:$A$1035, $B50),$B50="",COUNTIF(スキル一覧!$A$1:$A$3500, $B50)), "", "存在しない")</f>
        <v/>
      </c>
      <c r="M50" s="2" t="str">
        <f>IF(COUNTIF($B$1:$C48, $B50), "", "存在しない")</f>
        <v>存在しない</v>
      </c>
      <c r="N50" s="2" t="s">
        <v>1353</v>
      </c>
    </row>
    <row r="51" spans="2:14" ht="36" outlineLevel="1" collapsed="1" x14ac:dyDescent="0.4">
      <c r="B51" s="48" t="s">
        <v>1300</v>
      </c>
      <c r="C51" s="2" t="s">
        <v>1301</v>
      </c>
      <c r="D51" s="2" t="s">
        <v>98</v>
      </c>
      <c r="E51" s="13" t="s">
        <v>1293</v>
      </c>
      <c r="G51" s="19">
        <v>12</v>
      </c>
      <c r="H51" s="10" t="s">
        <v>1302</v>
      </c>
      <c r="L51" s="15" t="str">
        <f>IF(OR(COUNTIF(クラス!$A$1:$A$1035, $B51),$B51="",COUNTIF(スキル一覧!$A$1:$A$3500, $B51)), "", "存在しない")</f>
        <v/>
      </c>
      <c r="M51" s="2" t="str">
        <f>IF(COUNTIF($B$1:$C49, $B51), "", "存在しない")</f>
        <v>存在しない</v>
      </c>
      <c r="N51" s="2" t="s">
        <v>1202</v>
      </c>
    </row>
    <row r="52" spans="2:14" ht="36" outlineLevel="1" collapsed="1" x14ac:dyDescent="0.4">
      <c r="B52" s="48" t="s">
        <v>1303</v>
      </c>
      <c r="C52" s="2" t="s">
        <v>1304</v>
      </c>
      <c r="D52" s="2" t="s">
        <v>98</v>
      </c>
      <c r="E52" s="13" t="s">
        <v>1293</v>
      </c>
      <c r="G52" s="19">
        <v>16</v>
      </c>
      <c r="H52" s="10" t="s">
        <v>1347</v>
      </c>
      <c r="L52" s="15" t="str">
        <f>IF(OR(COUNTIF(クラス!$A$1:$A$1035, $B52),$B52="",COUNTIF(スキル一覧!$A$1:$A$3500, $B52)), "", "存在しない")</f>
        <v/>
      </c>
      <c r="M52" s="2" t="str">
        <f>IF(COUNTIF($B$1:$C50, $B52), "", "存在しない")</f>
        <v>存在しない</v>
      </c>
      <c r="N52" s="2" t="s">
        <v>1354</v>
      </c>
    </row>
    <row r="53" spans="2:14" ht="36" outlineLevel="1" collapsed="1" x14ac:dyDescent="0.4">
      <c r="B53" s="48" t="s">
        <v>1305</v>
      </c>
      <c r="C53" s="2" t="s">
        <v>1306</v>
      </c>
      <c r="D53" s="2" t="s">
        <v>98</v>
      </c>
      <c r="E53" s="13" t="s">
        <v>1293</v>
      </c>
      <c r="G53" s="19">
        <v>16</v>
      </c>
      <c r="H53" s="10" t="s">
        <v>1307</v>
      </c>
      <c r="L53" s="15" t="str">
        <f>IF(OR(COUNTIF(クラス!$A$1:$A$1035, $B53),$B53="",COUNTIF(スキル一覧!$A$1:$A$3500, $B53)), "", "存在しない")</f>
        <v/>
      </c>
      <c r="M53" s="2" t="str">
        <f>IF(COUNTIF($B$1:$C51, $B53), "", "存在しない")</f>
        <v>存在しない</v>
      </c>
      <c r="N53" s="2" t="s">
        <v>1202</v>
      </c>
    </row>
    <row r="54" spans="2:14" ht="36" outlineLevel="1" collapsed="1" x14ac:dyDescent="0.4">
      <c r="B54" s="48" t="s">
        <v>1308</v>
      </c>
      <c r="C54" s="2" t="s">
        <v>1309</v>
      </c>
      <c r="D54" s="2" t="s">
        <v>98</v>
      </c>
      <c r="E54" s="13" t="s">
        <v>1293</v>
      </c>
      <c r="G54" s="19">
        <v>20</v>
      </c>
      <c r="H54" s="10" t="s">
        <v>1310</v>
      </c>
      <c r="L54" s="15" t="str">
        <f>IF(OR(COUNTIF(クラス!$A$1:$A$1035, $B54),$B54="",COUNTIF(スキル一覧!$A$1:$A$3500, $B54)), "", "存在しない")</f>
        <v/>
      </c>
      <c r="M54" s="2" t="str">
        <f>IF(COUNTIF($B$1:$C52, $B54), "", "存在しない")</f>
        <v>存在しない</v>
      </c>
      <c r="N54" s="2" t="s">
        <v>1202</v>
      </c>
    </row>
    <row r="55" spans="2:14" ht="36" outlineLevel="1" collapsed="1" x14ac:dyDescent="0.4">
      <c r="B55" s="48" t="s">
        <v>1311</v>
      </c>
      <c r="C55" s="2" t="s">
        <v>1312</v>
      </c>
      <c r="D55" s="2" t="s">
        <v>98</v>
      </c>
      <c r="E55" s="13" t="s">
        <v>1293</v>
      </c>
      <c r="G55" s="19">
        <v>24</v>
      </c>
      <c r="H55" s="10" t="s">
        <v>1313</v>
      </c>
      <c r="L55" s="15" t="str">
        <f>IF(OR(COUNTIF(クラス!$A$1:$A$1035, $B55),$B55="",COUNTIF(スキル一覧!$A$1:$A$3500, $B55)), "", "存在しない")</f>
        <v/>
      </c>
      <c r="M55" s="2" t="str">
        <f>IF(COUNTIF($B$1:$C53, $B55), "", "存在しない")</f>
        <v>存在しない</v>
      </c>
      <c r="N55" s="2" t="s">
        <v>1202</v>
      </c>
    </row>
    <row r="56" spans="2:14" ht="36" outlineLevel="1" collapsed="1" x14ac:dyDescent="0.4">
      <c r="B56" s="48" t="s">
        <v>1314</v>
      </c>
      <c r="C56" s="2" t="s">
        <v>1315</v>
      </c>
      <c r="D56" s="2" t="s">
        <v>98</v>
      </c>
      <c r="E56" s="13" t="s">
        <v>1293</v>
      </c>
      <c r="G56" s="19">
        <v>8</v>
      </c>
      <c r="H56" s="10" t="s">
        <v>1316</v>
      </c>
      <c r="L56" s="15" t="str">
        <f>IF(OR(COUNTIF(クラス!$A$1:$A$1035, $B56),$B56="",COUNTIF(スキル一覧!$A$1:$A$3500, $B56)), "", "存在しない")</f>
        <v/>
      </c>
      <c r="M56" s="2" t="str">
        <f>IF(COUNTIF($B$1:$C54, $B56), "", "存在しない")</f>
        <v>存在しない</v>
      </c>
      <c r="N56" s="2" t="s">
        <v>1202</v>
      </c>
    </row>
    <row r="57" spans="2:14" ht="36" outlineLevel="1" collapsed="1" x14ac:dyDescent="0.4">
      <c r="B57" s="48" t="s">
        <v>1317</v>
      </c>
      <c r="C57" s="2" t="s">
        <v>1318</v>
      </c>
      <c r="D57" s="2" t="s">
        <v>98</v>
      </c>
      <c r="E57" s="13" t="s">
        <v>1293</v>
      </c>
      <c r="G57" s="19">
        <v>20</v>
      </c>
      <c r="H57" s="10" t="s">
        <v>1319</v>
      </c>
      <c r="L57" s="15" t="str">
        <f>IF(OR(COUNTIF(クラス!$A$1:$A$1035, $B57),$B57="",COUNTIF(スキル一覧!$A$1:$A$3500, $B57)), "", "存在しない")</f>
        <v/>
      </c>
      <c r="M57" s="2" t="str">
        <f>IF(COUNTIF($B$1:$C55, $B57), "", "存在しない")</f>
        <v>存在しない</v>
      </c>
      <c r="N57" s="2" t="s">
        <v>1202</v>
      </c>
    </row>
    <row r="58" spans="2:14" outlineLevel="1" collapsed="1" x14ac:dyDescent="0.4">
      <c r="B58" s="48" t="s">
        <v>1320</v>
      </c>
      <c r="E58" s="13" t="s">
        <v>1293</v>
      </c>
      <c r="G58" s="19">
        <v>24</v>
      </c>
      <c r="L58" s="15" t="str">
        <f>IF(OR(COUNTIF(クラス!$A$1:$A$1035, $B58),$B58="",COUNTIF(スキル一覧!$A$1:$A$3500, $B58)), "", "存在しない")</f>
        <v>存在しない</v>
      </c>
      <c r="M58" s="2" t="str">
        <f>IF(COUNTIF($B$1:$C56, $B58), "", "存在しない")</f>
        <v>存在しない</v>
      </c>
      <c r="N58" s="2" t="s">
        <v>1202</v>
      </c>
    </row>
    <row r="59" spans="2:14" outlineLevel="1" collapsed="1" x14ac:dyDescent="0.4">
      <c r="B59" s="48" t="s">
        <v>1321</v>
      </c>
      <c r="E59" s="13" t="s">
        <v>1293</v>
      </c>
      <c r="G59" s="19">
        <v>24</v>
      </c>
      <c r="L59" s="15" t="str">
        <f>IF(OR(COUNTIF(クラス!$A$1:$A$1035, $B59),$B59="",COUNTIF(スキル一覧!$A$1:$A$3500, $B59)), "", "存在しない")</f>
        <v>存在しない</v>
      </c>
      <c r="M59" s="2" t="str">
        <f>IF(COUNTIF($B$1:$C57, $B59), "", "存在しない")</f>
        <v>存在しない</v>
      </c>
      <c r="N59" s="2" t="s">
        <v>1202</v>
      </c>
    </row>
    <row r="60" spans="2:14" outlineLevel="1" collapsed="1" x14ac:dyDescent="0.4">
      <c r="B60" s="48" t="s">
        <v>1322</v>
      </c>
      <c r="E60" s="13" t="s">
        <v>1293</v>
      </c>
      <c r="G60" s="19">
        <v>12</v>
      </c>
      <c r="L60" s="15" t="str">
        <f>IF(OR(COUNTIF(クラス!$A$1:$A$1035, $B60),$B60="",COUNTIF(スキル一覧!$A$1:$A$3500, $B60)), "", "存在しない")</f>
        <v>存在しない</v>
      </c>
      <c r="M60" s="2" t="str">
        <f>IF(COUNTIF($B$1:$C58, $B60), "", "存在しない")</f>
        <v>存在しない</v>
      </c>
      <c r="N60" s="2" t="s">
        <v>1202</v>
      </c>
    </row>
    <row r="61" spans="2:14" outlineLevel="1" collapsed="1" x14ac:dyDescent="0.4">
      <c r="B61" s="48" t="s">
        <v>495</v>
      </c>
      <c r="E61" s="13" t="s">
        <v>1293</v>
      </c>
      <c r="G61" s="19">
        <v>16</v>
      </c>
      <c r="L61" s="15" t="str">
        <f>IF(OR(COUNTIF(クラス!$A$1:$A$1035, $B61),$B61="",COUNTIF(スキル一覧!$A$1:$A$3500, $B61)), "", "存在しない")</f>
        <v>存在しない</v>
      </c>
      <c r="M61" s="2" t="str">
        <f>IF(COUNTIF($B$1:$C59, $B61), "", "存在しない")</f>
        <v>存在しない</v>
      </c>
      <c r="N61" s="2" t="s">
        <v>1202</v>
      </c>
    </row>
    <row r="62" spans="2:14" outlineLevel="1" x14ac:dyDescent="0.4">
      <c r="B62" s="48" t="s">
        <v>1323</v>
      </c>
      <c r="E62" s="13" t="s">
        <v>1293</v>
      </c>
      <c r="G62" s="19">
        <v>20</v>
      </c>
      <c r="L62" s="15" t="str">
        <f>IF(OR(COUNTIF(クラス!$A$1:$A$1035, $B62),$B62="",COUNTIF(スキル一覧!$A$1:$A$3500, $B62)), "", "存在しない")</f>
        <v>存在しない</v>
      </c>
      <c r="M62" s="2" t="str">
        <f>IF(COUNTIF($B$1:$C60, $B62), "", "存在しない")</f>
        <v>存在しない</v>
      </c>
      <c r="N62" s="2" t="s">
        <v>1202</v>
      </c>
    </row>
    <row r="63" spans="2:14" outlineLevel="1" x14ac:dyDescent="0.4">
      <c r="B63" s="48" t="s">
        <v>1324</v>
      </c>
      <c r="E63" s="13" t="s">
        <v>1293</v>
      </c>
      <c r="G63" s="19">
        <v>24</v>
      </c>
      <c r="L63" s="15" t="str">
        <f>IF(OR(COUNTIF(クラス!$A$1:$A$1035, $B63),$B63="",COUNTIF(スキル一覧!$A$1:$A$3500, $B63)), "", "存在しない")</f>
        <v>存在しない</v>
      </c>
      <c r="M63" s="2" t="str">
        <f>IF(COUNTIF($B$1:$C38, $B63), "", "存在しない")</f>
        <v>存在しない</v>
      </c>
      <c r="N63" s="2" t="s">
        <v>1202</v>
      </c>
    </row>
    <row r="64" spans="2:14" outlineLevel="1" x14ac:dyDescent="0.4">
      <c r="B64" s="48" t="s">
        <v>1325</v>
      </c>
      <c r="E64" s="13" t="s">
        <v>1293</v>
      </c>
      <c r="G64" s="19">
        <v>28</v>
      </c>
      <c r="L64" s="15" t="str">
        <f>IF(OR(COUNTIF(クラス!$A$1:$A$1035, $B64),$B64="",COUNTIF(スキル一覧!$A$1:$A$3500, $B64)), "", "存在しない")</f>
        <v>存在しない</v>
      </c>
      <c r="M64" s="2" t="str">
        <f>IF(COUNTIF($B$1:$C39, $B64), "", "存在しない")</f>
        <v>存在しない</v>
      </c>
      <c r="N64" s="2" t="s">
        <v>1202</v>
      </c>
    </row>
    <row r="65" spans="1:14" ht="36" outlineLevel="1" x14ac:dyDescent="0.4">
      <c r="B65" s="48" t="s">
        <v>1326</v>
      </c>
      <c r="C65" s="2" t="s">
        <v>1327</v>
      </c>
      <c r="D65" s="2" t="s">
        <v>98</v>
      </c>
      <c r="E65" s="13" t="s">
        <v>1293</v>
      </c>
      <c r="G65" s="19">
        <v>4</v>
      </c>
      <c r="H65" s="10" t="s">
        <v>1328</v>
      </c>
      <c r="L65" s="15" t="str">
        <f>IF(OR(COUNTIF(クラス!$A$1:$A$1035, $B65),$B65="",COUNTIF(スキル一覧!$A$1:$A$3500, $B65)), "", "存在しない")</f>
        <v>存在しない</v>
      </c>
      <c r="M65" s="2" t="str">
        <f>IF(COUNTIF($B$1:$C63, $B65), "", "存在しない")</f>
        <v>存在しない</v>
      </c>
      <c r="N65" s="2" t="s">
        <v>1202</v>
      </c>
    </row>
    <row r="66" spans="1:14" ht="36" outlineLevel="1" x14ac:dyDescent="0.4">
      <c r="B66" s="48" t="s">
        <v>1329</v>
      </c>
      <c r="C66" s="2" t="s">
        <v>1330</v>
      </c>
      <c r="E66" s="13" t="s">
        <v>1293</v>
      </c>
      <c r="G66" s="19">
        <v>8</v>
      </c>
      <c r="H66" s="10" t="s">
        <v>1840</v>
      </c>
      <c r="L66" s="15" t="str">
        <f>IF(OR(COUNTIF(クラス!$A$1:$A$1035, $B66),$B66="",COUNTIF(スキル一覧!$A$1:$A$3500, $B66)), "", "存在しない")</f>
        <v>存在しない</v>
      </c>
      <c r="M66" s="2" t="str">
        <f>IF(COUNTIF($B$1:$C64, $B66), "", "存在しない")</f>
        <v>存在しない</v>
      </c>
      <c r="N66" s="2" t="s">
        <v>1202</v>
      </c>
    </row>
    <row r="67" spans="1:14" outlineLevel="1" x14ac:dyDescent="0.4">
      <c r="B67" s="48" t="s">
        <v>1331</v>
      </c>
      <c r="C67" s="2" t="s">
        <v>1332</v>
      </c>
      <c r="E67" s="13" t="s">
        <v>1293</v>
      </c>
      <c r="G67" s="19">
        <v>12</v>
      </c>
      <c r="L67" s="15" t="str">
        <f>IF(OR(COUNTIF(クラス!$A$1:$A$1035, $B67),$B67="",COUNTIF(スキル一覧!$A$1:$A$3500, $B67)), "", "存在しない")</f>
        <v>存在しない</v>
      </c>
      <c r="M67" s="2" t="str">
        <f>IF(COUNTIF($B$1:$C65, $B67), "", "存在しない")</f>
        <v>存在しない</v>
      </c>
      <c r="N67" s="2" t="s">
        <v>1202</v>
      </c>
    </row>
    <row r="68" spans="1:14" outlineLevel="1" x14ac:dyDescent="0.4">
      <c r="B68" s="48" t="s">
        <v>1333</v>
      </c>
      <c r="C68" s="2" t="s">
        <v>1334</v>
      </c>
      <c r="E68" s="13" t="s">
        <v>1293</v>
      </c>
      <c r="G68" s="19">
        <v>16</v>
      </c>
      <c r="L68" s="15" t="str">
        <f>IF(OR(COUNTIF(クラス!$A$1:$A$1035, $B68),$B68="",COUNTIF(スキル一覧!$A$1:$A$3500, $B68)), "", "存在しない")</f>
        <v>存在しない</v>
      </c>
      <c r="M68" s="2" t="str">
        <f>IF(COUNTIF($B$1:$C66, $B68), "", "存在しない")</f>
        <v>存在しない</v>
      </c>
      <c r="N68" s="2" t="s">
        <v>1202</v>
      </c>
    </row>
    <row r="69" spans="1:14" outlineLevel="1" x14ac:dyDescent="0.4">
      <c r="B69" s="2" t="s">
        <v>1335</v>
      </c>
      <c r="E69" s="13" t="s">
        <v>1293</v>
      </c>
      <c r="G69" s="19">
        <v>20</v>
      </c>
      <c r="L69" s="15" t="str">
        <f>IF(OR(COUNTIF(クラス!$A$1:$A$1035, $B69),$B69="",COUNTIF(スキル一覧!$A$1:$A$3500, $B69)), "", "存在しない")</f>
        <v>存在しない</v>
      </c>
      <c r="M69" s="2" t="str">
        <f>IF(COUNTIF($B$1:$C67, $B69), "", "存在しない")</f>
        <v>存在しない</v>
      </c>
      <c r="N69" s="2" t="s">
        <v>1202</v>
      </c>
    </row>
    <row r="70" spans="1:14" outlineLevel="1" x14ac:dyDescent="0.4">
      <c r="B70" s="2" t="s">
        <v>1336</v>
      </c>
      <c r="C70" s="2" t="s">
        <v>1337</v>
      </c>
      <c r="E70" s="13" t="s">
        <v>1293</v>
      </c>
      <c r="G70" s="19">
        <v>24</v>
      </c>
      <c r="L70" s="15" t="str">
        <f>IF(OR(COUNTIF(クラス!$A$1:$A$1035, $B70),$B70="",COUNTIF(スキル一覧!$A$1:$A$3500, $B70)), "", "存在しない")</f>
        <v>存在しない</v>
      </c>
      <c r="M70" s="2" t="str">
        <f>IF(COUNTIF($B$1:$C68, $B70), "", "存在しない")</f>
        <v>存在しない</v>
      </c>
      <c r="N70" s="2" t="s">
        <v>1202</v>
      </c>
    </row>
    <row r="71" spans="1:14" outlineLevel="1" x14ac:dyDescent="0.4">
      <c r="B71" s="48" t="s">
        <v>1338</v>
      </c>
      <c r="C71" s="2" t="s">
        <v>1339</v>
      </c>
      <c r="E71" s="13" t="s">
        <v>1293</v>
      </c>
      <c r="G71" s="19">
        <v>28</v>
      </c>
      <c r="L71" s="15" t="str">
        <f>IF(OR(COUNTIF(クラス!$A$1:$A$1035, $B71),$B71="",COUNTIF(スキル一覧!$A$1:$A$3500, $B71)), "", "存在しない")</f>
        <v>存在しない</v>
      </c>
      <c r="M71" s="2" t="str">
        <f>IF(COUNTIF($B$1:$C46, $B71), "", "存在しない")</f>
        <v>存在しない</v>
      </c>
      <c r="N71" s="2" t="s">
        <v>1202</v>
      </c>
    </row>
    <row r="72" spans="1:14" outlineLevel="1" x14ac:dyDescent="0.4">
      <c r="B72" s="48"/>
      <c r="L72" s="15" t="str">
        <f>IF(OR(COUNTIF(クラス!$A$1:$A$1035, $B72),$B72="",COUNTIF(スキル一覧!$A$1:$A$3500, $B72)), "", "存在しない")</f>
        <v/>
      </c>
      <c r="M72" s="2" t="str">
        <f>IF(COUNTIF($B$1:$C47, $B72), "", "存在しない")</f>
        <v>存在しない</v>
      </c>
      <c r="N72" s="2" t="s">
        <v>1202</v>
      </c>
    </row>
    <row r="73" spans="1:14" outlineLevel="1" x14ac:dyDescent="0.4">
      <c r="B73" s="48"/>
      <c r="L73" s="15" t="str">
        <f>IF(OR(COUNTIF(クラス!$A$1:$A$1035, $B73),$B73="",COUNTIF(スキル一覧!$A$1:$A$3500, $B73)), "", "存在しない")</f>
        <v/>
      </c>
      <c r="M73" s="2" t="str">
        <f>IF(COUNTIF($B$1:$C71, $B73), "", "存在しない")</f>
        <v>存在しない</v>
      </c>
      <c r="N73" s="2" t="s">
        <v>1202</v>
      </c>
    </row>
    <row r="74" spans="1:14" ht="36" outlineLevel="1" x14ac:dyDescent="0.4">
      <c r="A74" s="2">
        <v>3</v>
      </c>
      <c r="B74" s="48" t="s">
        <v>1564</v>
      </c>
      <c r="C74" s="2" t="s">
        <v>1567</v>
      </c>
      <c r="E74" s="13" t="s">
        <v>1569</v>
      </c>
      <c r="G74" s="19">
        <v>100</v>
      </c>
      <c r="H74" s="10" t="s">
        <v>1843</v>
      </c>
      <c r="L74" s="15" t="str">
        <f>IF(OR(COUNTIF(クラス!$A$1:$A$1035, $B74),$B74="",COUNTIF(スキル一覧!$A$1:$A$3500, $B74)), "", "存在しない")</f>
        <v/>
      </c>
      <c r="M74" s="2" t="str">
        <f>IF(COUNTIF($B$1:$C72, $B74), "", "存在しない")</f>
        <v>存在しない</v>
      </c>
      <c r="N74" s="2" t="s">
        <v>1202</v>
      </c>
    </row>
    <row r="75" spans="1:14" ht="36" outlineLevel="1" x14ac:dyDescent="0.4">
      <c r="A75" s="2">
        <v>5</v>
      </c>
      <c r="B75" s="48" t="s">
        <v>1563</v>
      </c>
      <c r="C75" s="2" t="s">
        <v>1566</v>
      </c>
      <c r="E75" s="13" t="s">
        <v>1569</v>
      </c>
      <c r="G75" s="19">
        <v>100</v>
      </c>
      <c r="H75" s="10" t="s">
        <v>1841</v>
      </c>
      <c r="L75" s="15" t="str">
        <f>IF(OR(COUNTIF(クラス!$A$1:$A$1035, $B75),$B75="",COUNTIF(スキル一覧!$A$1:$A$3500, $B75)), "", "存在しない")</f>
        <v/>
      </c>
      <c r="M75" s="2" t="str">
        <f>IF(COUNTIF($B$1:$C73, $B75), "", "存在しない")</f>
        <v>存在しない</v>
      </c>
      <c r="N75" s="2" t="s">
        <v>1202</v>
      </c>
    </row>
    <row r="76" spans="1:14" ht="36" outlineLevel="1" x14ac:dyDescent="0.4">
      <c r="A76" s="2">
        <v>6</v>
      </c>
      <c r="B76" s="48" t="s">
        <v>1565</v>
      </c>
      <c r="C76" s="2" t="s">
        <v>1568</v>
      </c>
      <c r="E76" s="13" t="s">
        <v>1569</v>
      </c>
      <c r="G76" s="19">
        <v>100</v>
      </c>
      <c r="H76" s="10" t="s">
        <v>1842</v>
      </c>
      <c r="L76" s="15" t="str">
        <f>IF(OR(COUNTIF(クラス!$A$1:$A$1035, $B76),$B76="",COUNTIF(スキル一覧!$A$1:$A$3500, $B76)), "", "存在しない")</f>
        <v/>
      </c>
      <c r="M76" s="2" t="str">
        <f>IF(COUNTIF($B$1:$C74, $B76), "", "存在しない")</f>
        <v>存在しない</v>
      </c>
      <c r="N76" s="2" t="s">
        <v>1202</v>
      </c>
    </row>
    <row r="77" spans="1:14" outlineLevel="1" x14ac:dyDescent="0.4">
      <c r="L77" s="15" t="str">
        <f>IF(OR(COUNTIF(クラス!$A$1:$A$1035, $B77),$B77="",COUNTIF(スキル一覧!$A$1:$A$3500, $B77)), "", "存在しない")</f>
        <v/>
      </c>
      <c r="M77" s="2" t="str">
        <f>IF(COUNTIF($B$1:$C75, $B77), "", "存在しない")</f>
        <v>存在しない</v>
      </c>
      <c r="N77" s="2" t="s">
        <v>1202</v>
      </c>
    </row>
    <row r="78" spans="1:14" outlineLevel="1" x14ac:dyDescent="0.4">
      <c r="B78" s="48"/>
      <c r="L78" s="15" t="str">
        <f>IF(OR(COUNTIF(クラス!$A$1:$A$1035, $B78),$B78="",COUNTIF(スキル一覧!$A$1:$A$3500, $B78)), "", "存在しない")</f>
        <v/>
      </c>
      <c r="M78" s="2" t="str">
        <f>IF(COUNTIF($B$1:$C53, $B78), "", "存在しない")</f>
        <v>存在しない</v>
      </c>
      <c r="N78" s="2" t="s">
        <v>1202</v>
      </c>
    </row>
    <row r="79" spans="1:14" outlineLevel="1" x14ac:dyDescent="0.4">
      <c r="B79" s="48"/>
      <c r="J79" s="6" t="str">
        <f>IFERROR(_xlfn.LET(_xlpm.v,
VLOOKUP($I79,効果!$A:$B,COLUMN(効果!B$1),FALSE),
IF(_xlpm.v=0,"",_xlpm.v)
),"")</f>
        <v/>
      </c>
      <c r="L79" s="15" t="str">
        <f>IF(OR(COUNTIF(クラス!$A$1:$A$1035, $B79),$B79="",COUNTIF(スキル一覧!$A$1:$A$3500, $B79)), "", "存在しない")</f>
        <v/>
      </c>
      <c r="M79" s="2" t="str">
        <f>IF(COUNTIF($B$1:$C54, $B79), "", "存在しない")</f>
        <v>存在しない</v>
      </c>
      <c r="N79" s="2" t="s">
        <v>1202</v>
      </c>
    </row>
    <row r="80" spans="1:14" outlineLevel="1" x14ac:dyDescent="0.4">
      <c r="B80" s="48"/>
      <c r="J80" s="6" t="str">
        <f>IFERROR(_xlfn.LET(_xlpm.v,
VLOOKUP($I80,効果!$A:$B,COLUMN(効果!B$1),FALSE),
IF(_xlpm.v=0,"",_xlpm.v)
),"")</f>
        <v/>
      </c>
      <c r="L80" s="15" t="str">
        <f>IF(OR(COUNTIF(クラス!$A$1:$A$1035, $B80),$B80="",COUNTIF(スキル一覧!$A$1:$A$3500, $B80)), "", "存在しない")</f>
        <v/>
      </c>
      <c r="M80" s="2" t="str">
        <f>IF(COUNTIF($B$1:$C78, $B80), "", "存在しない")</f>
        <v>存在しない</v>
      </c>
      <c r="N80" s="2" t="s">
        <v>1202</v>
      </c>
    </row>
    <row r="81" spans="1:14" outlineLevel="1" x14ac:dyDescent="0.4">
      <c r="B81" s="48"/>
      <c r="J81" s="6" t="str">
        <f>IFERROR(_xlfn.LET(_xlpm.v,
VLOOKUP($I81,効果!$A:$B,COLUMN(効果!B$1),FALSE),
IF(_xlpm.v=0,"",_xlpm.v)
),"")</f>
        <v/>
      </c>
      <c r="L81" s="15" t="str">
        <f>IF(OR(COUNTIF(クラス!$A$1:$A$1035, $B81),$B81="",COUNTIF(スキル一覧!$A$1:$A$3500, $B81)), "", "存在しない")</f>
        <v/>
      </c>
      <c r="M81" s="2" t="str">
        <f>IF(COUNTIF($B$1:$C79, $B81), "", "存在しない")</f>
        <v>存在しない</v>
      </c>
      <c r="N81" s="2" t="s">
        <v>1202</v>
      </c>
    </row>
    <row r="82" spans="1:14" outlineLevel="1" x14ac:dyDescent="0.4">
      <c r="B82" s="48"/>
      <c r="J82" s="6" t="str">
        <f>IFERROR(_xlfn.LET(_xlpm.v,
VLOOKUP($I82,効果!$A:$B,COLUMN(効果!B$1),FALSE),
IF(_xlpm.v=0,"",_xlpm.v)
),"")</f>
        <v/>
      </c>
      <c r="L82" s="15" t="str">
        <f>IF(OR(COUNTIF(クラス!$A$1:$A$1035, $B82),$B82="",COUNTIF(スキル一覧!$A$1:$A$3500, $B82)), "", "存在しない")</f>
        <v/>
      </c>
      <c r="M82" s="2" t="str">
        <f>IF(COUNTIF($B$1:$C80, $B82), "", "存在しない")</f>
        <v>存在しない</v>
      </c>
      <c r="N82" s="2" t="s">
        <v>1202</v>
      </c>
    </row>
    <row r="83" spans="1:14" outlineLevel="1" x14ac:dyDescent="0.4">
      <c r="B83" s="48"/>
      <c r="J83" s="6" t="str">
        <f>IFERROR(_xlfn.LET(_xlpm.v,
VLOOKUP($I83,効果!$A:$B,COLUMN(効果!B$1),FALSE),
IF(_xlpm.v=0,"",_xlpm.v)
),"")</f>
        <v/>
      </c>
      <c r="L83" s="15" t="str">
        <f>IF(OR(COUNTIF(クラス!$A$1:$A$1035, $B83),$B83="",COUNTIF(スキル一覧!$A$1:$A$3500, $B83)), "", "存在しない")</f>
        <v/>
      </c>
      <c r="M83" s="2" t="str">
        <f>IF(COUNTIF($B$1:$C81, $B83), "", "存在しない")</f>
        <v>存在しない</v>
      </c>
      <c r="N83" s="2" t="s">
        <v>1202</v>
      </c>
    </row>
    <row r="84" spans="1:14" outlineLevel="1" x14ac:dyDescent="0.4">
      <c r="J84" s="6" t="str">
        <f>IFERROR(_xlfn.LET(_xlpm.v,
VLOOKUP($I84,効果!$A:$B,COLUMN(効果!B$1),FALSE),
IF(_xlpm.v=0,"",_xlpm.v)
),"")</f>
        <v/>
      </c>
      <c r="L84" s="15" t="str">
        <f>IF(OR(COUNTIF(クラス!$A$1:$A$1035, $B84),$B84="",COUNTIF(スキル一覧!$A$1:$A$3500, $B84)), "", "存在しない")</f>
        <v/>
      </c>
      <c r="M84" s="2" t="str">
        <f>IF(COUNTIF($B$1:$C82, $B84), "", "存在しない")</f>
        <v>存在しない</v>
      </c>
      <c r="N84" s="2" t="s">
        <v>1202</v>
      </c>
    </row>
    <row r="85" spans="1:14" outlineLevel="1" x14ac:dyDescent="0.4">
      <c r="J85" s="6" t="str">
        <f>IFERROR(_xlfn.LET(_xlpm.v,
VLOOKUP($I85,効果!$A:$B,COLUMN(効果!B$1),FALSE),
IF(_xlpm.v=0,"",_xlpm.v)
),"")</f>
        <v/>
      </c>
      <c r="L85" s="15" t="str">
        <f>IF(OR(COUNTIF(クラス!$A$1:$A$1035, $B85),$B85="",COUNTIF(スキル一覧!$A$1:$A$3500, $B85)), "", "存在しない")</f>
        <v/>
      </c>
      <c r="M85" s="2" t="str">
        <f>IF(COUNTIF($B$1:$C83, $B85), "", "存在しない")</f>
        <v>存在しない</v>
      </c>
      <c r="N85" s="2" t="s">
        <v>1202</v>
      </c>
    </row>
    <row r="86" spans="1:14" outlineLevel="1" x14ac:dyDescent="0.4">
      <c r="B86" s="48"/>
      <c r="J86" s="6" t="str">
        <f>IFERROR(_xlfn.LET(_xlpm.v,
VLOOKUP($I86,効果!$A:$B,COLUMN(効果!B$1),FALSE),
IF(_xlpm.v=0,"",_xlpm.v)
),"")</f>
        <v/>
      </c>
      <c r="L86" s="15" t="str">
        <f>IF(OR(COUNTIF(クラス!$A$1:$A$1035, $B86),$B86="",COUNTIF(スキル一覧!$A$1:$A$3500, $B86)), "", "存在しない")</f>
        <v/>
      </c>
      <c r="M86" s="2" t="str">
        <f>IF(COUNTIF($B$1:$C61, $B86), "", "存在しない")</f>
        <v>存在しない</v>
      </c>
      <c r="N86" s="2" t="s">
        <v>1202</v>
      </c>
    </row>
    <row r="87" spans="1:14" outlineLevel="1" x14ac:dyDescent="0.4">
      <c r="B87" s="48"/>
      <c r="J87" s="6" t="str">
        <f>IFERROR(_xlfn.LET(_xlpm.v,
VLOOKUP($I87,効果!$A:$B,COLUMN(効果!B$1),FALSE),
IF(_xlpm.v=0,"",_xlpm.v)
),"")</f>
        <v/>
      </c>
      <c r="L87" s="15" t="str">
        <f>IF(OR(COUNTIF(クラス!$A$1:$A$1035, $B87),$B87="",COUNTIF(スキル一覧!$A$1:$A$3500, $B87)), "", "存在しない")</f>
        <v/>
      </c>
      <c r="M87" s="2" t="str">
        <f>IF(COUNTIF($B$1:$C62, $B87), "", "存在しない")</f>
        <v>存在しない</v>
      </c>
      <c r="N87" s="2" t="s">
        <v>1202</v>
      </c>
    </row>
    <row r="88" spans="1:14" outlineLevel="1" x14ac:dyDescent="0.4">
      <c r="B88" s="48"/>
      <c r="J88" s="6" t="str">
        <f>IFERROR(_xlfn.LET(_xlpm.v,
VLOOKUP($I88,効果!$A:$B,COLUMN(効果!B$1),FALSE),
IF(_xlpm.v=0,"",_xlpm.v)
),"")</f>
        <v/>
      </c>
      <c r="L88" s="15" t="str">
        <f>IF(OR(COUNTIF(クラス!$A$1:$A$1035, $B88),$B88="",COUNTIF(スキル一覧!$A$1:$A$3500, $B88)), "", "存在しない")</f>
        <v/>
      </c>
      <c r="M88" s="2" t="str">
        <f>IF(COUNTIF($B$1:$C86, $B88), "", "存在しない")</f>
        <v>存在しない</v>
      </c>
      <c r="N88" s="2" t="s">
        <v>1202</v>
      </c>
    </row>
    <row r="89" spans="1:14" outlineLevel="1" x14ac:dyDescent="0.4">
      <c r="B89" s="48"/>
      <c r="J89" s="6" t="str">
        <f>IFERROR(_xlfn.LET(_xlpm.v,
VLOOKUP($I89,効果!$A:$B,COLUMN(効果!B$1),FALSE),
IF(_xlpm.v=0,"",_xlpm.v)
),"")</f>
        <v/>
      </c>
      <c r="L89" s="15" t="str">
        <f>IF(OR(COUNTIF(クラス!$A$1:$A$1035, $B89),$B89="",COUNTIF(スキル一覧!$A$1:$A$3500, $B89)), "", "存在しない")</f>
        <v/>
      </c>
      <c r="M89" s="2" t="str">
        <f>IF(COUNTIF($B$1:$C87, $B89), "", "存在しない")</f>
        <v>存在しない</v>
      </c>
      <c r="N89" s="2" t="s">
        <v>1202</v>
      </c>
    </row>
    <row r="90" spans="1:14" outlineLevel="1" x14ac:dyDescent="0.4">
      <c r="B90" s="48"/>
      <c r="J90" s="6" t="str">
        <f>IFERROR(_xlfn.LET(_xlpm.v,
VLOOKUP($I90,効果!$A:$B,COLUMN(効果!B$1),FALSE),
IF(_xlpm.v=0,"",_xlpm.v)
),"")</f>
        <v/>
      </c>
      <c r="L90" s="15" t="str">
        <f>IF(OR(COUNTIF(クラス!$A$1:$A$1035, $B90),$B90="",COUNTIF(スキル一覧!$A$1:$A$3500, $B90)), "", "存在しない")</f>
        <v/>
      </c>
      <c r="M90" s="2" t="str">
        <f>IF(COUNTIF($B$1:$C88, $B90), "", "存在しない")</f>
        <v>存在しない</v>
      </c>
      <c r="N90" s="2" t="s">
        <v>1202</v>
      </c>
    </row>
    <row r="91" spans="1:14" outlineLevel="1" x14ac:dyDescent="0.4">
      <c r="B91" s="48"/>
      <c r="J91" s="6" t="str">
        <f>IFERROR(_xlfn.LET(_xlpm.v,
VLOOKUP($I91,効果!$A:$B,COLUMN(効果!B$1),FALSE),
IF(_xlpm.v=0,"",_xlpm.v)
),"")</f>
        <v/>
      </c>
      <c r="L91" s="15" t="str">
        <f>IF(OR(COUNTIF(クラス!$A$1:$A$1035, $B91),$B91="",COUNTIF(スキル一覧!$A$1:$A$3500, $B91)), "", "存在しない")</f>
        <v/>
      </c>
      <c r="M91" s="2" t="str">
        <f>IF(COUNTIF($B$1:$C89, $B91), "", "存在しない")</f>
        <v>存在しない</v>
      </c>
      <c r="N91" s="2" t="s">
        <v>1202</v>
      </c>
    </row>
    <row r="92" spans="1:14" outlineLevel="1" x14ac:dyDescent="0.4">
      <c r="J92" s="6" t="str">
        <f>IFERROR(_xlfn.LET(_xlpm.v,
VLOOKUP($I92,効果!$A:$B,COLUMN(効果!B$1),FALSE),
IF(_xlpm.v=0,"",_xlpm.v)
),"")</f>
        <v/>
      </c>
      <c r="L92" s="15" t="str">
        <f>IF(OR(COUNTIF(クラス!$A$1:$A$1035, $B92),$B92="",COUNTIF(スキル一覧!$A$1:$A$3500, $B92)), "", "存在しない")</f>
        <v/>
      </c>
      <c r="M92" s="2" t="str">
        <f>IF(COUNTIF($B$1:$C90, $B92), "", "存在しない")</f>
        <v>存在しない</v>
      </c>
      <c r="N92" s="2" t="s">
        <v>1202</v>
      </c>
    </row>
    <row r="93" spans="1:14" x14ac:dyDescent="0.4">
      <c r="J93" s="6" t="str">
        <f>IFERROR(_xlfn.LET(_xlpm.v,
VLOOKUP($I93,効果!$A:$B,COLUMN(効果!B$1),FALSE),
IF(_xlpm.v=0,"",_xlpm.v)
),"")</f>
        <v/>
      </c>
      <c r="L93" s="15" t="str">
        <f>IF(OR(COUNTIF(クラス!$A$1:$A$1035, $B93),$B93="",COUNTIF(スキル一覧!$A$1:$A$3500, $B93)), "", "存在しない")</f>
        <v/>
      </c>
      <c r="M93" s="2" t="str">
        <f>IF(COUNTIF($B$1:$C91, $B93), "", "存在しない")</f>
        <v>存在しない</v>
      </c>
      <c r="N93" s="2" t="s">
        <v>1202</v>
      </c>
    </row>
    <row r="94" spans="1:14" x14ac:dyDescent="0.4">
      <c r="C94" s="2" t="s">
        <v>116</v>
      </c>
      <c r="J94" s="6" t="str">
        <f>IFERROR(_xlfn.LET(_xlpm.v,
VLOOKUP($I94,効果!$A:$B,COLUMN(効果!B$1),FALSE),
IF(_xlpm.v=0,"",_xlpm.v)
),"")</f>
        <v/>
      </c>
      <c r="L94" s="15" t="str">
        <f>IF(OR(COUNTIF(クラス!$A$1:$A$1035, $B94),$B94="",COUNTIF(スキル一覧!$A$1:$A$3500, $B94)), "", "存在しない")</f>
        <v/>
      </c>
      <c r="M94" s="2" t="str">
        <f>IF(COUNTIF($B$1:$C45, $B94), "", "存在しない")</f>
        <v>存在しない</v>
      </c>
      <c r="N94" s="2" t="s">
        <v>1202</v>
      </c>
    </row>
    <row r="95" spans="1:14" x14ac:dyDescent="0.4">
      <c r="B95" s="2" t="s">
        <v>24</v>
      </c>
      <c r="C95" s="2" t="s">
        <v>26</v>
      </c>
      <c r="D95" s="2" t="s">
        <v>77</v>
      </c>
      <c r="E95" s="13" t="s">
        <v>127</v>
      </c>
      <c r="F95" s="14" t="s">
        <v>79</v>
      </c>
      <c r="G95" s="18" t="s">
        <v>126</v>
      </c>
      <c r="H95" s="10" t="s">
        <v>80</v>
      </c>
      <c r="J95" s="6" t="str">
        <f>IFERROR(_xlfn.LET(_xlpm.v,
VLOOKUP($I95,効果!$A:$B,COLUMN(効果!B$1),FALSE),
IF(_xlpm.v=0,"",_xlpm.v)
),"")</f>
        <v/>
      </c>
      <c r="L95" s="15" t="str">
        <f>IF(OR(COUNTIF(クラス!$A$1:$A$1035, $B95),$B95="",COUNTIF(スキル一覧!$A$1:$A$3500, $B95)), "", "存在しない")</f>
        <v/>
      </c>
      <c r="M95" s="2" t="str">
        <f>IF(COUNTIF($B$1:$C94, $B95), "", "存在しない")</f>
        <v>存在しない</v>
      </c>
      <c r="N95" s="2" t="s">
        <v>1202</v>
      </c>
    </row>
    <row r="96" spans="1:14" hidden="1" outlineLevel="1" x14ac:dyDescent="0.4">
      <c r="A96" s="2">
        <v>1</v>
      </c>
      <c r="J96" s="6" t="str">
        <f>IFERROR(_xlfn.LET(_xlpm.v,
VLOOKUP($I96,効果!$A:$B,COLUMN(効果!B$1),FALSE),
IF(_xlpm.v=0,"",_xlpm.v)
),"")</f>
        <v/>
      </c>
      <c r="L96" s="15" t="str">
        <f>IF(OR(COUNTIF(クラス!$A$1:$A$1035, $B96),$B96="",COUNTIF(スキル一覧!$A$1:$A$3500, $B96)), "", "存在しない")</f>
        <v/>
      </c>
      <c r="M96" s="2" t="str">
        <f>IF(COUNTIF($B$1:$C95, $B96), "", "存在しない")</f>
        <v>存在しない</v>
      </c>
      <c r="N96" s="2" t="s">
        <v>1202</v>
      </c>
    </row>
    <row r="97" spans="1:14" hidden="1" outlineLevel="1" x14ac:dyDescent="0.4">
      <c r="A97" s="2">
        <v>2</v>
      </c>
      <c r="B97" s="2" t="s">
        <v>171</v>
      </c>
      <c r="C97" s="2" t="s">
        <v>172</v>
      </c>
      <c r="E97" s="13" t="s">
        <v>128</v>
      </c>
      <c r="G97" s="19">
        <v>60</v>
      </c>
      <c r="H97" s="10" t="s">
        <v>181</v>
      </c>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1202</v>
      </c>
    </row>
    <row r="98" spans="1:14" hidden="1" outlineLevel="1" x14ac:dyDescent="0.4">
      <c r="A98" s="2">
        <v>3</v>
      </c>
      <c r="B98" s="2" t="s">
        <v>130</v>
      </c>
      <c r="E98" s="13" t="s">
        <v>129</v>
      </c>
      <c r="H98" s="10" t="s">
        <v>131</v>
      </c>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1202</v>
      </c>
    </row>
    <row r="99" spans="1:14" hidden="1" outlineLevel="1" x14ac:dyDescent="0.4">
      <c r="A99" s="2">
        <v>4</v>
      </c>
      <c r="J99" s="6" t="str">
        <f>IFERROR(_xlfn.LET(_xlpm.v,
VLOOKUP($I99,効果!$A:$B,COLUMN(効果!B$1),FALSE),
IF(_xlpm.v=0,"",_xlpm.v)
),"")</f>
        <v/>
      </c>
      <c r="L99" s="15" t="str">
        <f>IF(OR(COUNTIF(クラス!$A$1:$A$1035, $B99),$B99="",COUNTIF(スキル一覧!$A$1:$A$3500, $B99)), "", "存在しない")</f>
        <v/>
      </c>
      <c r="M99" s="2" t="str">
        <f>IF(COUNTIF($B$1:$C98, $B99), "", "存在しない")</f>
        <v>存在しない</v>
      </c>
      <c r="N99" s="2" t="s">
        <v>1202</v>
      </c>
    </row>
    <row r="100" spans="1:14" hidden="1" outlineLevel="1" x14ac:dyDescent="0.4">
      <c r="A100" s="2">
        <v>5</v>
      </c>
      <c r="B100" s="2" t="s">
        <v>173</v>
      </c>
      <c r="C100" s="2" t="s">
        <v>174</v>
      </c>
      <c r="E100" s="13" t="s">
        <v>128</v>
      </c>
      <c r="G100" s="19">
        <v>50</v>
      </c>
      <c r="H100" s="10" t="s">
        <v>183</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1202</v>
      </c>
    </row>
    <row r="101" spans="1:14" hidden="1" outlineLevel="1" x14ac:dyDescent="0.4">
      <c r="A101" s="2">
        <v>6</v>
      </c>
      <c r="E101" s="13" t="s">
        <v>129</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1202</v>
      </c>
    </row>
    <row r="102" spans="1:14" hidden="1" outlineLevel="1" x14ac:dyDescent="0.4">
      <c r="A102" s="2">
        <v>7</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1202</v>
      </c>
    </row>
    <row r="103" spans="1:14" hidden="1" outlineLevel="1" x14ac:dyDescent="0.4">
      <c r="A103" s="2">
        <v>8</v>
      </c>
      <c r="B103" s="2" t="s">
        <v>117</v>
      </c>
      <c r="C103" s="2" t="s">
        <v>118</v>
      </c>
      <c r="E103" s="13" t="s">
        <v>128</v>
      </c>
      <c r="G103" s="19">
        <v>40</v>
      </c>
      <c r="H103" s="10" t="s">
        <v>324</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1202</v>
      </c>
    </row>
    <row r="104" spans="1:14" hidden="1" outlineLevel="1" x14ac:dyDescent="0.4">
      <c r="A104" s="2">
        <v>9</v>
      </c>
      <c r="B104" s="2" t="s">
        <v>209</v>
      </c>
      <c r="E104" s="13" t="s">
        <v>129</v>
      </c>
      <c r="H104" s="10" t="s">
        <v>180</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1202</v>
      </c>
    </row>
    <row r="105" spans="1:14" ht="36" hidden="1" outlineLevel="1" x14ac:dyDescent="0.4">
      <c r="A105" s="2">
        <v>10</v>
      </c>
      <c r="B105" s="2" t="s">
        <v>178</v>
      </c>
      <c r="C105" s="2" t="s">
        <v>179</v>
      </c>
      <c r="E105" s="13" t="s">
        <v>128</v>
      </c>
      <c r="G105" s="19">
        <v>60</v>
      </c>
      <c r="H105" s="10" t="s">
        <v>182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1202</v>
      </c>
    </row>
    <row r="106" spans="1:14" hidden="1" outlineLevel="1" x14ac:dyDescent="0.4">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1202</v>
      </c>
    </row>
    <row r="107" spans="1:14" collapsed="1" x14ac:dyDescent="0.4">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1202</v>
      </c>
    </row>
    <row r="108" spans="1:14" x14ac:dyDescent="0.4">
      <c r="B108" s="2" t="s">
        <v>119</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1202</v>
      </c>
    </row>
    <row r="109" spans="1:14" hidden="1" outlineLevel="1" x14ac:dyDescent="0.4">
      <c r="A109" s="2">
        <v>1</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1202</v>
      </c>
    </row>
    <row r="110" spans="1:14" hidden="1" outlineLevel="1" x14ac:dyDescent="0.4">
      <c r="A110" s="2">
        <v>2</v>
      </c>
      <c r="B110" s="2" t="s">
        <v>173</v>
      </c>
      <c r="C110" s="2" t="s">
        <v>174</v>
      </c>
      <c r="E110" s="13" t="s">
        <v>128</v>
      </c>
      <c r="G110" s="19">
        <v>60</v>
      </c>
      <c r="H110" s="10" t="s">
        <v>181</v>
      </c>
      <c r="J110" s="6" t="str">
        <f>IFERROR(_xlfn.LET(_xlpm.v,
VLOOKUP($I110,効果!$A:$B,COLUMN(効果!B$1),FALSE),
IF(_xlpm.v=0,"",_xlpm.v)
),"")</f>
        <v/>
      </c>
      <c r="L110" s="15" t="str">
        <f>IF(OR(COUNTIF(クラス!$A$1:$A$1035, $B110),$B110="",COUNTIF(スキル一覧!$A$1:$A$3500, $B110)), "", "存在しない")</f>
        <v/>
      </c>
      <c r="M110" s="2" t="str">
        <f>IF(COUNTIF($B$1:$C109, $B110), "", "存在しない")</f>
        <v/>
      </c>
      <c r="N110" s="2" t="s">
        <v>1202</v>
      </c>
    </row>
    <row r="111" spans="1:14" hidden="1" outlineLevel="1" x14ac:dyDescent="0.4">
      <c r="A111" s="2">
        <v>3</v>
      </c>
      <c r="B111" s="2" t="s">
        <v>130</v>
      </c>
      <c r="E111" s="13" t="s">
        <v>129</v>
      </c>
      <c r="H111" s="10" t="s">
        <v>131</v>
      </c>
      <c r="J111" s="6" t="str">
        <f>IFERROR(_xlfn.LET(_xlpm.v,
VLOOKUP($I111,効果!$A:$B,COLUMN(効果!B$1),FALSE),
IF(_xlpm.v=0,"",_xlpm.v)
),"")</f>
        <v/>
      </c>
      <c r="L111" s="15" t="str">
        <f>IF(OR(COUNTIF(クラス!$A$1:$A$1035, $B111),$B111="",COUNTIF(スキル一覧!$A$1:$A$3500, $B111)), "", "存在しない")</f>
        <v/>
      </c>
      <c r="M111" s="2" t="str">
        <f>IF(COUNTIF($B$1:$C110, $B111), "", "存在しない")</f>
        <v/>
      </c>
      <c r="N111" s="2" t="s">
        <v>1202</v>
      </c>
    </row>
    <row r="112" spans="1:14" hidden="1" outlineLevel="1" x14ac:dyDescent="0.4">
      <c r="A112" s="2">
        <v>4</v>
      </c>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1202</v>
      </c>
    </row>
    <row r="113" spans="1:14" hidden="1" outlineLevel="1" x14ac:dyDescent="0.4">
      <c r="A113" s="2">
        <v>5</v>
      </c>
      <c r="B113" s="2" t="s">
        <v>171</v>
      </c>
      <c r="C113" s="2" t="s">
        <v>172</v>
      </c>
      <c r="E113" s="13" t="s">
        <v>128</v>
      </c>
      <c r="G113" s="19">
        <v>50</v>
      </c>
      <c r="H113" s="10" t="s">
        <v>183</v>
      </c>
      <c r="J113" s="6" t="str">
        <f>IFERROR(_xlfn.LET(_xlpm.v,
VLOOKUP($I113,効果!$A:$B,COLUMN(効果!B$1),FALSE),
IF(_xlpm.v=0,"",_xlpm.v)
),"")</f>
        <v/>
      </c>
      <c r="L113" s="15" t="str">
        <f>IF(OR(COUNTIF(クラス!$A$1:$A$1035, $B113),$B113="",COUNTIF(スキル一覧!$A$1:$A$3500, $B113)), "", "存在しない")</f>
        <v/>
      </c>
      <c r="M113" s="2" t="str">
        <f>IF(COUNTIF($B$1:$C112, $B113), "", "存在しない")</f>
        <v/>
      </c>
      <c r="N113" s="2" t="s">
        <v>1202</v>
      </c>
    </row>
    <row r="114" spans="1:14" hidden="1" outlineLevel="1" x14ac:dyDescent="0.4">
      <c r="A114" s="2">
        <v>6</v>
      </c>
      <c r="B114" s="2" t="s">
        <v>224</v>
      </c>
      <c r="E114" s="13" t="s">
        <v>129</v>
      </c>
      <c r="H114" s="10" t="s">
        <v>320</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1202</v>
      </c>
    </row>
    <row r="115" spans="1:14" hidden="1" outlineLevel="1" x14ac:dyDescent="0.4">
      <c r="A115" s="2">
        <v>7</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1202</v>
      </c>
    </row>
    <row r="116" spans="1:14" hidden="1" outlineLevel="1" x14ac:dyDescent="0.4">
      <c r="A116" s="2">
        <v>8</v>
      </c>
      <c r="B116" s="2" t="s">
        <v>117</v>
      </c>
      <c r="C116" s="2" t="s">
        <v>118</v>
      </c>
      <c r="E116" s="13" t="s">
        <v>128</v>
      </c>
      <c r="G116" s="19">
        <v>40</v>
      </c>
      <c r="H116" s="10" t="s">
        <v>324</v>
      </c>
      <c r="J116" s="6" t="str">
        <f>IFERROR(_xlfn.LET(_xlpm.v,
VLOOKUP($I116,効果!$A:$B,COLUMN(効果!B$1),FALSE),
IF(_xlpm.v=0,"",_xlpm.v)
),"")</f>
        <v/>
      </c>
      <c r="L116" s="15" t="str">
        <f>IF(OR(COUNTIF(クラス!$A$1:$A$1035, $B116),$B116="",COUNTIF(スキル一覧!$A$1:$A$3500, $B116)), "", "存在しない")</f>
        <v/>
      </c>
      <c r="M116" s="2" t="str">
        <f>IF(COUNTIF($B$1:$C115, $B116), "", "存在しない")</f>
        <v/>
      </c>
      <c r="N116" s="2" t="s">
        <v>1202</v>
      </c>
    </row>
    <row r="117" spans="1:14" hidden="1" outlineLevel="1" x14ac:dyDescent="0.4">
      <c r="A117" s="2">
        <v>9</v>
      </c>
      <c r="B117" s="2" t="s">
        <v>210</v>
      </c>
      <c r="E117" s="13" t="s">
        <v>129</v>
      </c>
      <c r="H117" s="10" t="s">
        <v>211</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1202</v>
      </c>
    </row>
    <row r="118" spans="1:14" ht="36" hidden="1" outlineLevel="1" x14ac:dyDescent="0.4">
      <c r="A118" s="2">
        <v>10</v>
      </c>
      <c r="B118" s="2" t="s">
        <v>178</v>
      </c>
      <c r="C118" s="2" t="s">
        <v>179</v>
      </c>
      <c r="E118" s="13" t="s">
        <v>128</v>
      </c>
      <c r="G118" s="19">
        <v>60</v>
      </c>
      <c r="H118" s="10" t="s">
        <v>182</v>
      </c>
      <c r="J118" s="6" t="str">
        <f>IFERROR(_xlfn.LET(_xlpm.v,
VLOOKUP($I118,効果!$A:$B,COLUMN(効果!B$1),FALSE),
IF(_xlpm.v=0,"",_xlpm.v)
),"")</f>
        <v/>
      </c>
      <c r="L118" s="15" t="str">
        <f>IF(OR(COUNTIF(クラス!$A$1:$A$1035, $B118),$B118="",COUNTIF(スキル一覧!$A$1:$A$3500, $B118)), "", "存在しない")</f>
        <v/>
      </c>
      <c r="M118" s="2" t="str">
        <f>IF(COUNTIF($B$1:$C117, $B118), "", "存在しない")</f>
        <v/>
      </c>
      <c r="N118" s="2" t="s">
        <v>1202</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1202</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1202</v>
      </c>
    </row>
    <row r="121" spans="1:14" x14ac:dyDescent="0.4">
      <c r="B121" s="2" t="s">
        <v>120</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1202</v>
      </c>
    </row>
    <row r="122" spans="1:14" hidden="1" outlineLevel="1" x14ac:dyDescent="0.4">
      <c r="A122" s="2">
        <v>1</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1202</v>
      </c>
    </row>
    <row r="123" spans="1:14" hidden="1" outlineLevel="1" x14ac:dyDescent="0.4">
      <c r="A123" s="2">
        <v>2</v>
      </c>
      <c r="B123" s="2" t="s">
        <v>171</v>
      </c>
      <c r="C123" s="2" t="s">
        <v>172</v>
      </c>
      <c r="E123" s="13" t="s">
        <v>128</v>
      </c>
      <c r="G123" s="19">
        <v>60</v>
      </c>
      <c r="H123" s="10" t="s">
        <v>181</v>
      </c>
      <c r="J123" s="6" t="str">
        <f>IFERROR(_xlfn.LET(_xlpm.v,
VLOOKUP($I123,効果!$A:$B,COLUMN(効果!B$1),FALSE),
IF(_xlpm.v=0,"",_xlpm.v)
),"")</f>
        <v/>
      </c>
      <c r="L123" s="15" t="str">
        <f>IF(OR(COUNTIF(クラス!$A$1:$A$1035, $B123),$B123="",COUNTIF(スキル一覧!$A$1:$A$3500, $B123)), "", "存在しない")</f>
        <v/>
      </c>
      <c r="M123" s="2" t="str">
        <f>IF(COUNTIF($B$1:$C122, $B123), "", "存在しない")</f>
        <v/>
      </c>
      <c r="N123" s="2" t="s">
        <v>1202</v>
      </c>
    </row>
    <row r="124" spans="1:14" hidden="1" outlineLevel="1" x14ac:dyDescent="0.4">
      <c r="A124" s="2">
        <v>3</v>
      </c>
      <c r="B124" s="2" t="s">
        <v>130</v>
      </c>
      <c r="E124" s="13" t="s">
        <v>129</v>
      </c>
      <c r="H124" s="10" t="s">
        <v>131</v>
      </c>
      <c r="J124" s="6" t="str">
        <f>IFERROR(_xlfn.LET(_xlpm.v,
VLOOKUP($I124,効果!$A:$B,COLUMN(効果!B$1),FALSE),
IF(_xlpm.v=0,"",_xlpm.v)
),"")</f>
        <v/>
      </c>
      <c r="L124" s="15" t="str">
        <f>IF(OR(COUNTIF(クラス!$A$1:$A$1035, $B124),$B124="",COUNTIF(スキル一覧!$A$1:$A$3500, $B124)), "", "存在しない")</f>
        <v/>
      </c>
      <c r="M124" s="2" t="str">
        <f>IF(COUNTIF($B$1:$C123, $B124), "", "存在しない")</f>
        <v/>
      </c>
      <c r="N124" s="2" t="s">
        <v>1202</v>
      </c>
    </row>
    <row r="125" spans="1:14" hidden="1" outlineLevel="1" x14ac:dyDescent="0.4">
      <c r="A125" s="2">
        <v>4</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1202</v>
      </c>
    </row>
    <row r="126" spans="1:14" ht="36" hidden="1" outlineLevel="1" x14ac:dyDescent="0.4">
      <c r="A126" s="2">
        <v>5</v>
      </c>
      <c r="B126" s="2" t="s">
        <v>212</v>
      </c>
      <c r="C126" s="2" t="s">
        <v>213</v>
      </c>
      <c r="E126" s="13" t="s">
        <v>128</v>
      </c>
      <c r="G126" s="19">
        <v>40</v>
      </c>
      <c r="H126" s="10" t="s">
        <v>214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1202</v>
      </c>
    </row>
    <row r="127" spans="1:14" hidden="1" outlineLevel="1" x14ac:dyDescent="0.4">
      <c r="A127" s="2">
        <v>6</v>
      </c>
      <c r="E127" s="13" t="s">
        <v>129</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1202</v>
      </c>
    </row>
    <row r="128" spans="1:14" hidden="1" outlineLevel="1" x14ac:dyDescent="0.4">
      <c r="A128" s="2">
        <v>7</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1202</v>
      </c>
    </row>
    <row r="129" spans="1:14" hidden="1" outlineLevel="1" x14ac:dyDescent="0.4">
      <c r="A129" s="2">
        <v>8</v>
      </c>
      <c r="B129" s="2" t="s">
        <v>117</v>
      </c>
      <c r="C129" s="2" t="s">
        <v>118</v>
      </c>
      <c r="E129" s="13" t="s">
        <v>128</v>
      </c>
      <c r="G129" s="19">
        <v>40</v>
      </c>
      <c r="H129" s="10" t="s">
        <v>324</v>
      </c>
      <c r="J129" s="6" t="str">
        <f>IFERROR(_xlfn.LET(_xlpm.v,
VLOOKUP($I129,効果!$A:$B,COLUMN(効果!B$1),FALSE),
IF(_xlpm.v=0,"",_xlpm.v)
),"")</f>
        <v/>
      </c>
      <c r="L129" s="15" t="str">
        <f>IF(OR(COUNTIF(クラス!$A$1:$A$1035, $B129),$B129="",COUNTIF(スキル一覧!$A$1:$A$3500, $B129)), "", "存在しない")</f>
        <v/>
      </c>
      <c r="M129" s="2" t="str">
        <f>IF(COUNTIF($B$1:$C128, $B129), "", "存在しない")</f>
        <v/>
      </c>
      <c r="N129" s="2" t="s">
        <v>1202</v>
      </c>
    </row>
    <row r="130" spans="1:14" hidden="1" outlineLevel="1" x14ac:dyDescent="0.4">
      <c r="A130" s="2">
        <v>9</v>
      </c>
      <c r="B130" s="2" t="s">
        <v>209</v>
      </c>
      <c r="E130" s="13" t="s">
        <v>129</v>
      </c>
      <c r="H130" s="10" t="s">
        <v>180</v>
      </c>
      <c r="J130" s="6" t="str">
        <f>IFERROR(_xlfn.LET(_xlpm.v,
VLOOKUP($I130,効果!$A:$B,COLUMN(効果!B$1),FALSE),
IF(_xlpm.v=0,"",_xlpm.v)
),"")</f>
        <v/>
      </c>
      <c r="L130" s="15" t="str">
        <f>IF(OR(COUNTIF(クラス!$A$1:$A$1035, $B130),$B130="",COUNTIF(スキル一覧!$A$1:$A$3500, $B130)), "", "存在しない")</f>
        <v/>
      </c>
      <c r="M130" s="2" t="str">
        <f>IF(COUNTIF($B$1:$C129, $B130), "", "存在しない")</f>
        <v/>
      </c>
      <c r="N130" s="2" t="s">
        <v>1202</v>
      </c>
    </row>
    <row r="131" spans="1:14" ht="36" hidden="1" outlineLevel="1" x14ac:dyDescent="0.4">
      <c r="A131" s="2">
        <v>10</v>
      </c>
      <c r="B131" s="2" t="s">
        <v>178</v>
      </c>
      <c r="C131" s="2" t="s">
        <v>179</v>
      </c>
      <c r="E131" s="13" t="s">
        <v>128</v>
      </c>
      <c r="G131" s="19">
        <v>60</v>
      </c>
      <c r="H131" s="10" t="s">
        <v>182</v>
      </c>
      <c r="J131" s="6" t="str">
        <f>IFERROR(_xlfn.LET(_xlpm.v,
VLOOKUP($I131,効果!$A:$B,COLUMN(効果!B$1),FALSE),
IF(_xlpm.v=0,"",_xlpm.v)
),"")</f>
        <v/>
      </c>
      <c r="L131" s="15" t="str">
        <f>IF(OR(COUNTIF(クラス!$A$1:$A$1035, $B131),$B131="",COUNTIF(スキル一覧!$A$1:$A$3500, $B131)), "", "存在しない")</f>
        <v/>
      </c>
      <c r="M131" s="2" t="str">
        <f>IF(COUNTIF($B$1:$C130, $B131), "", "存在しない")</f>
        <v/>
      </c>
      <c r="N131" s="2" t="s">
        <v>1202</v>
      </c>
    </row>
    <row r="132" spans="1:14" hidden="1" outlineLevel="1" x14ac:dyDescent="0.4">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1202</v>
      </c>
    </row>
    <row r="133" spans="1:14" collapsed="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1202</v>
      </c>
    </row>
    <row r="134" spans="1:14" x14ac:dyDescent="0.4">
      <c r="B134" s="2" t="s">
        <v>1176</v>
      </c>
      <c r="C134" s="2" t="s">
        <v>1177</v>
      </c>
      <c r="J134" s="6" t="str">
        <f>IFERROR(_xlfn.LET(_xlpm.v,
VLOOKUP($I134,効果!$A:$B,COLUMN(効果!B$1),FALSE),
IF(_xlpm.v=0,"",_xlpm.v)
),"")</f>
        <v/>
      </c>
      <c r="L134" s="15" t="str">
        <f>IF(OR(COUNTIF(クラス!$A$1:$A$1035, $B134),$B134="",COUNTIF(スキル一覧!$A$1:$A$3500, $B134)), "", "存在しない")</f>
        <v>存在しない</v>
      </c>
      <c r="M134" s="2" t="str">
        <f>IF(COUNTIF($B$1:$C133, $B134), "", "存在しない")</f>
        <v>存在しない</v>
      </c>
      <c r="N134" s="2" t="s">
        <v>1202</v>
      </c>
    </row>
    <row r="135" spans="1:14" outlineLevel="1" x14ac:dyDescent="0.4">
      <c r="A135" s="2">
        <v>1</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1202</v>
      </c>
    </row>
    <row r="136" spans="1:14" outlineLevel="1" x14ac:dyDescent="0.4">
      <c r="A136" s="2">
        <v>2</v>
      </c>
      <c r="B136" s="2" t="s">
        <v>171</v>
      </c>
      <c r="C136" s="2" t="s">
        <v>172</v>
      </c>
      <c r="E136" s="13" t="s">
        <v>128</v>
      </c>
      <c r="G136" s="19">
        <v>60</v>
      </c>
      <c r="H136" s="10" t="s">
        <v>1178</v>
      </c>
      <c r="J136" s="6" t="str">
        <f>IFERROR(_xlfn.LET(_xlpm.v,
VLOOKUP($I136,効果!$A:$B,COLUMN(効果!B$1),FALSE),
IF(_xlpm.v=0,"",_xlpm.v)
),"")</f>
        <v/>
      </c>
      <c r="L136" s="15" t="str">
        <f>IF(OR(COUNTIF(クラス!$A$1:$A$1035, $B136),$B136="",COUNTIF(スキル一覧!$A$1:$A$3500, $B136)), "", "存在しない")</f>
        <v/>
      </c>
      <c r="M136" s="2" t="str">
        <f>IF(COUNTIF($B$1:$C135, $B136), "", "存在しない")</f>
        <v/>
      </c>
      <c r="N136" s="2" t="s">
        <v>1202</v>
      </c>
    </row>
    <row r="137" spans="1:14" outlineLevel="1" x14ac:dyDescent="0.4">
      <c r="A137" s="2">
        <v>3</v>
      </c>
      <c r="B137" s="2" t="s">
        <v>1179</v>
      </c>
      <c r="E137" s="13" t="s">
        <v>129</v>
      </c>
      <c r="H137" s="10" t="s">
        <v>1180</v>
      </c>
      <c r="J137" s="6" t="str">
        <f>IFERROR(_xlfn.LET(_xlpm.v,
VLOOKUP($I137,効果!$A:$B,COLUMN(効果!B$1),FALSE),
IF(_xlpm.v=0,"",_xlpm.v)
),"")</f>
        <v/>
      </c>
      <c r="L137" s="15" t="str">
        <f>IF(OR(COUNTIF(クラス!$A$1:$A$1035, $B137),$B137="",COUNTIF(スキル一覧!$A$1:$A$3500, $B137)), "", "存在しない")</f>
        <v>存在しない</v>
      </c>
      <c r="M137" s="2" t="str">
        <f>IF(COUNTIF($B$1:$C136, $B137), "", "存在しない")</f>
        <v>存在しない</v>
      </c>
      <c r="N137" s="2" t="e">
        <v>#VALUE!</v>
      </c>
    </row>
    <row r="138" spans="1:14" outlineLevel="1" x14ac:dyDescent="0.4">
      <c r="A138" s="2">
        <v>4</v>
      </c>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1202</v>
      </c>
    </row>
    <row r="139" spans="1:14" ht="36" outlineLevel="1" x14ac:dyDescent="0.4">
      <c r="A139" s="2">
        <v>5</v>
      </c>
      <c r="B139" s="2" t="s">
        <v>212</v>
      </c>
      <c r="C139" s="2" t="s">
        <v>213</v>
      </c>
      <c r="E139" s="13" t="s">
        <v>128</v>
      </c>
      <c r="G139" s="19">
        <v>40</v>
      </c>
      <c r="H139" s="10" t="s">
        <v>214</v>
      </c>
      <c r="J139" s="6" t="str">
        <f>IFERROR(_xlfn.LET(_xlpm.v,
VLOOKUP($I139,効果!$A:$B,COLUMN(効果!B$1),FALSE),
IF(_xlpm.v=0,"",_xlpm.v)
),"")</f>
        <v/>
      </c>
      <c r="L139" s="15" t="str">
        <f>IF(OR(COUNTIF(クラス!$A$1:$A$1035, $B139),$B139="",COUNTIF(スキル一覧!$A$1:$A$3500, $B139)), "", "存在しない")</f>
        <v/>
      </c>
      <c r="M139" s="2" t="str">
        <f>IF(COUNTIF($B$1:$C138, $B139), "", "存在しない")</f>
        <v/>
      </c>
      <c r="N139" s="2" t="s">
        <v>1202</v>
      </c>
    </row>
    <row r="140" spans="1:14" outlineLevel="1" x14ac:dyDescent="0.4">
      <c r="A140" s="2">
        <v>6</v>
      </c>
      <c r="E140" s="13" t="s">
        <v>129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1202</v>
      </c>
    </row>
    <row r="141" spans="1:14" outlineLevel="1" x14ac:dyDescent="0.4">
      <c r="A141" s="2">
        <v>7</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1202</v>
      </c>
    </row>
    <row r="142" spans="1:14" outlineLevel="1" x14ac:dyDescent="0.4">
      <c r="A142" s="2">
        <v>8</v>
      </c>
      <c r="B142" s="2" t="s">
        <v>117</v>
      </c>
      <c r="C142" s="2" t="s">
        <v>118</v>
      </c>
      <c r="E142" s="13" t="s">
        <v>128</v>
      </c>
      <c r="G142" s="19">
        <v>40</v>
      </c>
      <c r="H142" s="10" t="s">
        <v>324</v>
      </c>
      <c r="J142" s="6" t="str">
        <f>IFERROR(_xlfn.LET(_xlpm.v,
VLOOKUP($I142,効果!$A:$B,COLUMN(効果!B$1),FALSE),
IF(_xlpm.v=0,"",_xlpm.v)
),"")</f>
        <v/>
      </c>
      <c r="L142" s="15" t="str">
        <f>IF(OR(COUNTIF(クラス!$A$1:$A$1035, $B142),$B142="",COUNTIF(スキル一覧!$A$1:$A$3500, $B142)), "", "存在しない")</f>
        <v/>
      </c>
      <c r="M142" s="2" t="str">
        <f>IF(COUNTIF($B$1:$C141, $B142), "", "存在しない")</f>
        <v/>
      </c>
      <c r="N142" s="2" t="s">
        <v>1202</v>
      </c>
    </row>
    <row r="143" spans="1:14" outlineLevel="1" x14ac:dyDescent="0.4">
      <c r="A143" s="2">
        <v>9</v>
      </c>
      <c r="B143" s="2" t="s">
        <v>209</v>
      </c>
      <c r="E143" s="13" t="s">
        <v>129</v>
      </c>
      <c r="H143" s="10" t="s">
        <v>180</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1202</v>
      </c>
    </row>
    <row r="144" spans="1:14" ht="36" outlineLevel="1" x14ac:dyDescent="0.4">
      <c r="A144" s="2">
        <v>10</v>
      </c>
      <c r="B144" s="2" t="s">
        <v>178</v>
      </c>
      <c r="C144" s="2" t="s">
        <v>179</v>
      </c>
      <c r="E144" s="13" t="s">
        <v>128</v>
      </c>
      <c r="G144" s="19">
        <v>60</v>
      </c>
      <c r="H144" s="10" t="s">
        <v>182</v>
      </c>
      <c r="J144" s="6" t="str">
        <f>IFERROR(_xlfn.LET(_xlpm.v,
VLOOKUP($I144,効果!$A:$B,COLUMN(効果!B$1),FALSE),
IF(_xlpm.v=0,"",_xlpm.v)
),"")</f>
        <v/>
      </c>
      <c r="L144" s="15" t="str">
        <f>IF(OR(COUNTIF(クラス!$A$1:$A$1035, $B144),$B144="",COUNTIF(スキル一覧!$A$1:$A$3500, $B144)), "", "存在しない")</f>
        <v/>
      </c>
      <c r="M144" s="2" t="str">
        <f>IF(COUNTIF($B$1:$C143, $B144), "", "存在しない")</f>
        <v/>
      </c>
      <c r="N144" s="2" t="s">
        <v>1202</v>
      </c>
    </row>
    <row r="145" spans="1:14" outlineLevel="1" x14ac:dyDescent="0.4">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1202</v>
      </c>
    </row>
    <row r="146" spans="1:14"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1202</v>
      </c>
    </row>
    <row r="147" spans="1:14" x14ac:dyDescent="0.4">
      <c r="J147" s="6" t="str">
        <f>IFERROR(_xlfn.LET(_xlpm.v,
VLOOKUP($I147,効果!$A:$B,COLUMN(効果!B$1),FALSE),
IF(_xlpm.v=0,"",_xlpm.v)
),"")</f>
        <v/>
      </c>
      <c r="L147" s="15" t="str">
        <f>IF(OR(COUNTIF(クラス!$A$1:$A$1035, $B147),$B147="",COUNTIF(スキル一覧!$A$1:$A$3500, $B147)), "", "存在しない")</f>
        <v/>
      </c>
      <c r="M147" s="2" t="str">
        <f>IF(COUNTIF($B$1:$C133, $B147), "", "存在しない")</f>
        <v>存在しない</v>
      </c>
      <c r="N147" s="2" t="s">
        <v>1202</v>
      </c>
    </row>
    <row r="148" spans="1:14" x14ac:dyDescent="0.4">
      <c r="B148" s="2" t="s">
        <v>254</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1202</v>
      </c>
    </row>
    <row r="149" spans="1:14"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1202</v>
      </c>
    </row>
    <row r="150" spans="1:14" outlineLevel="1" x14ac:dyDescent="0.4">
      <c r="A150" s="2">
        <v>2</v>
      </c>
      <c r="B150" s="2" t="s">
        <v>216</v>
      </c>
      <c r="C150" s="2" t="s">
        <v>217</v>
      </c>
      <c r="E150" s="13" t="s">
        <v>128</v>
      </c>
      <c r="G150" s="19">
        <v>60</v>
      </c>
      <c r="H150" s="10" t="s">
        <v>218</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1202</v>
      </c>
    </row>
    <row r="151" spans="1:14" outlineLevel="1" x14ac:dyDescent="0.4">
      <c r="A151" s="2">
        <v>3</v>
      </c>
      <c r="B151" s="2" t="s">
        <v>225</v>
      </c>
      <c r="E151" s="13" t="s">
        <v>129</v>
      </c>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1202</v>
      </c>
    </row>
    <row r="152" spans="1:14"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1202</v>
      </c>
    </row>
    <row r="153" spans="1:14" outlineLevel="1" x14ac:dyDescent="0.4">
      <c r="A153" s="2">
        <v>5</v>
      </c>
      <c r="B153" s="2" t="s">
        <v>219</v>
      </c>
      <c r="C153" s="2" t="s">
        <v>220</v>
      </c>
      <c r="E153" s="13" t="s">
        <v>128</v>
      </c>
      <c r="G153" s="19">
        <v>60</v>
      </c>
      <c r="H153" s="10" t="s">
        <v>221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1202</v>
      </c>
    </row>
    <row r="154" spans="1:14" outlineLevel="1" x14ac:dyDescent="0.4">
      <c r="A154" s="2">
        <v>6</v>
      </c>
      <c r="B154" s="2" t="s">
        <v>274</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1202</v>
      </c>
    </row>
    <row r="155" spans="1:14"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1202</v>
      </c>
    </row>
    <row r="156" spans="1:14" outlineLevel="1" x14ac:dyDescent="0.4">
      <c r="A156" s="2">
        <v>8</v>
      </c>
      <c r="B156" s="2" t="s">
        <v>222</v>
      </c>
      <c r="C156" s="2" t="s">
        <v>223</v>
      </c>
      <c r="E156" s="13" t="s">
        <v>128</v>
      </c>
      <c r="H156" s="10" t="s">
        <v>325</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1202</v>
      </c>
    </row>
    <row r="157" spans="1:14" outlineLevel="1" x14ac:dyDescent="0.4">
      <c r="A157" s="2">
        <v>9</v>
      </c>
      <c r="E157" s="13" t="s">
        <v>129</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1202</v>
      </c>
    </row>
    <row r="158" spans="1:14" outlineLevel="1" x14ac:dyDescent="0.4">
      <c r="A158" s="2">
        <v>10</v>
      </c>
      <c r="E158" s="13" t="s">
        <v>128</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1202</v>
      </c>
    </row>
    <row r="159" spans="1:14"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1202</v>
      </c>
    </row>
    <row r="160" spans="1:14"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1202</v>
      </c>
    </row>
    <row r="161" spans="1:14" x14ac:dyDescent="0.4">
      <c r="B161" s="2" t="s">
        <v>31</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1202</v>
      </c>
    </row>
    <row r="162" spans="1:14" hidden="1"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1202</v>
      </c>
    </row>
    <row r="163" spans="1:14" hidden="1" outlineLevel="1" x14ac:dyDescent="0.4">
      <c r="A163" s="2">
        <v>2</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1202</v>
      </c>
    </row>
    <row r="164" spans="1:14" hidden="1" outlineLevel="1" x14ac:dyDescent="0.4">
      <c r="A164" s="2">
        <v>3</v>
      </c>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1202</v>
      </c>
    </row>
    <row r="165" spans="1:14" hidden="1"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1202</v>
      </c>
    </row>
    <row r="166" spans="1:14" hidden="1" outlineLevel="1" x14ac:dyDescent="0.4">
      <c r="A166" s="2">
        <v>5</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1202</v>
      </c>
    </row>
    <row r="167" spans="1:14" hidden="1" outlineLevel="1" x14ac:dyDescent="0.4">
      <c r="A167" s="2">
        <v>6</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1202</v>
      </c>
    </row>
    <row r="168" spans="1:14" hidden="1"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1202</v>
      </c>
    </row>
    <row r="169" spans="1:14" hidden="1" outlineLevel="1" x14ac:dyDescent="0.4">
      <c r="A169" s="2">
        <v>8</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1202</v>
      </c>
    </row>
    <row r="170" spans="1:14" hidden="1" outlineLevel="1" x14ac:dyDescent="0.4">
      <c r="A170" s="2">
        <v>9</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1202</v>
      </c>
    </row>
    <row r="171" spans="1:14" hidden="1" outlineLevel="1" x14ac:dyDescent="0.4">
      <c r="A171" s="2">
        <v>10</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1202</v>
      </c>
    </row>
    <row r="172" spans="1:14" hidden="1"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1202</v>
      </c>
    </row>
    <row r="173" spans="1:14" collapsed="1"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1202</v>
      </c>
    </row>
    <row r="174" spans="1:14" x14ac:dyDescent="0.4">
      <c r="B174" s="2" t="s">
        <v>33</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1202</v>
      </c>
    </row>
    <row r="175" spans="1:14" hidden="1" outlineLevel="1" x14ac:dyDescent="0.4">
      <c r="A175" s="2">
        <v>1</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1202</v>
      </c>
    </row>
    <row r="176" spans="1:14" hidden="1" outlineLevel="1" x14ac:dyDescent="0.4">
      <c r="A176" s="2">
        <v>2</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1202</v>
      </c>
    </row>
    <row r="177" spans="1:14" hidden="1" outlineLevel="1" x14ac:dyDescent="0.4">
      <c r="A177" s="2">
        <v>3</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1202</v>
      </c>
    </row>
    <row r="178" spans="1:14" hidden="1" outlineLevel="1" x14ac:dyDescent="0.4">
      <c r="A178" s="2">
        <v>4</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1202</v>
      </c>
    </row>
    <row r="179" spans="1:14" hidden="1" outlineLevel="1" x14ac:dyDescent="0.4">
      <c r="A179" s="2">
        <v>5</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1202</v>
      </c>
    </row>
    <row r="180" spans="1:14" hidden="1" outlineLevel="1" x14ac:dyDescent="0.4">
      <c r="A180" s="2">
        <v>6</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1202</v>
      </c>
    </row>
    <row r="181" spans="1:14" hidden="1" outlineLevel="1" x14ac:dyDescent="0.4">
      <c r="A181" s="2">
        <v>7</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1202</v>
      </c>
    </row>
    <row r="182" spans="1:14" hidden="1" outlineLevel="1" x14ac:dyDescent="0.4">
      <c r="A182" s="2">
        <v>8</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1202</v>
      </c>
    </row>
    <row r="183" spans="1:14" hidden="1" outlineLevel="1" x14ac:dyDescent="0.4">
      <c r="A183" s="2">
        <v>9</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1202</v>
      </c>
    </row>
    <row r="184" spans="1:14" hidden="1" outlineLevel="1" x14ac:dyDescent="0.4">
      <c r="A184" s="2">
        <v>10</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1202</v>
      </c>
    </row>
    <row r="185" spans="1:14" hidden="1" outlineLevel="1" x14ac:dyDescent="0.4">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1202</v>
      </c>
    </row>
    <row r="186" spans="1:14" collapsed="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1202</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1202</v>
      </c>
    </row>
    <row r="188" spans="1:14" x14ac:dyDescent="0.4">
      <c r="B188" s="2" t="s">
        <v>248</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1202</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1202</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1202</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1202</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1202</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1202</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1202</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1202</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1202</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1202</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1202</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1202</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1202</v>
      </c>
    </row>
    <row r="201" spans="1:14" x14ac:dyDescent="0.4">
      <c r="B201" s="2" t="s">
        <v>250</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1202</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1202</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1202</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1202</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1202</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1202</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1202</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1202</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1202</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1202</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1202</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1202</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1202</v>
      </c>
    </row>
    <row r="214" spans="1:14" x14ac:dyDescent="0.4">
      <c r="B214" s="2" t="s">
        <v>249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1202</v>
      </c>
    </row>
    <row r="215" spans="1:14" ht="36" outlineLevel="1" x14ac:dyDescent="0.4">
      <c r="A215" s="2">
        <v>1</v>
      </c>
      <c r="B215" s="2" t="s">
        <v>1285</v>
      </c>
      <c r="C215" s="2" t="s">
        <v>1286</v>
      </c>
      <c r="D215" s="2" t="s">
        <v>1288</v>
      </c>
      <c r="E215" s="13" t="s">
        <v>1287</v>
      </c>
      <c r="G215" s="19">
        <v>50</v>
      </c>
      <c r="H215" s="10" t="s">
        <v>1289</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1202</v>
      </c>
    </row>
    <row r="216" spans="1:14" outlineLevel="1" x14ac:dyDescent="0.4">
      <c r="A216" s="2">
        <v>2</v>
      </c>
      <c r="B216" s="2" t="s">
        <v>171</v>
      </c>
      <c r="J216" s="6" t="str">
        <f>IFERROR(_xlfn.LET(_xlpm.v,
VLOOKUP($I216,効果!$A:$B,COLUMN(効果!B$1),FALSE),
IF(_xlpm.v=0,"",_xlpm.v)
),"")</f>
        <v/>
      </c>
      <c r="L216" s="15" t="str">
        <f>IF(OR(COUNTIF(クラス!$A$1:$A$1035, $B216),$B216="",COUNTIF(スキル一覧!$A$1:$A$3500, $B216)), "", "存在しない")</f>
        <v/>
      </c>
      <c r="M216" s="2" t="str">
        <f>IF(COUNTIF($B$1:$C215, $B216), "", "存在しない")</f>
        <v/>
      </c>
      <c r="N216" s="2" t="s">
        <v>1202</v>
      </c>
    </row>
    <row r="217" spans="1:14" outlineLevel="1" x14ac:dyDescent="0.4">
      <c r="A217" s="2">
        <v>3</v>
      </c>
      <c r="B217" s="2" t="s">
        <v>212</v>
      </c>
      <c r="J217" s="6" t="str">
        <f>IFERROR(_xlfn.LET(_xlpm.v,
VLOOKUP($I217,効果!$A:$B,COLUMN(効果!B$1),FALSE),
IF(_xlpm.v=0,"",_xlpm.v)
),"")</f>
        <v/>
      </c>
      <c r="L217" s="15" t="str">
        <f>IF(OR(COUNTIF(クラス!$A$1:$A$1035, $B217),$B217="",COUNTIF(スキル一覧!$A$1:$A$3500, $B217)), "", "存在しない")</f>
        <v/>
      </c>
      <c r="M217" s="2" t="str">
        <f>IF(COUNTIF($B$1:$C216, $B217), "", "存在しない")</f>
        <v/>
      </c>
      <c r="N217" s="2" t="s">
        <v>1202</v>
      </c>
    </row>
    <row r="218" spans="1:14" outlineLevel="1" x14ac:dyDescent="0.4">
      <c r="A218" s="2">
        <v>4</v>
      </c>
      <c r="B218" s="2" t="s">
        <v>117</v>
      </c>
      <c r="J218" s="6" t="str">
        <f>IFERROR(_xlfn.LET(_xlpm.v,
VLOOKUP($I218,効果!$A:$B,COLUMN(効果!B$1),FALSE),
IF(_xlpm.v=0,"",_xlpm.v)
),"")</f>
        <v/>
      </c>
      <c r="L218" s="15" t="str">
        <f>IF(OR(COUNTIF(クラス!$A$1:$A$1035, $B218),$B218="",COUNTIF(スキル一覧!$A$1:$A$3500, $B218)), "", "存在しない")</f>
        <v/>
      </c>
      <c r="M218" s="2" t="str">
        <f>IF(COUNTIF($B$1:$C217, $B218), "", "存在しない")</f>
        <v/>
      </c>
      <c r="N218" s="2" t="s">
        <v>1202</v>
      </c>
    </row>
    <row r="219" spans="1:14" outlineLevel="1" x14ac:dyDescent="0.4">
      <c r="A219" s="2">
        <v>5</v>
      </c>
      <c r="B219" s="2" t="s">
        <v>178</v>
      </c>
      <c r="J219" s="6" t="str">
        <f>IFERROR(_xlfn.LET(_xlpm.v,
VLOOKUP($I219,効果!$A:$B,COLUMN(効果!B$1),FALSE),
IF(_xlpm.v=0,"",_xlpm.v)
),"")</f>
        <v/>
      </c>
      <c r="L219" s="15" t="str">
        <f>IF(OR(COUNTIF(クラス!$A$1:$A$1035, $B219),$B219="",COUNTIF(スキル一覧!$A$1:$A$3500, $B219)), "", "存在しない")</f>
        <v/>
      </c>
      <c r="M219" s="2" t="str">
        <f>IF(COUNTIF($B$1:$C218, $B219), "", "存在しない")</f>
        <v/>
      </c>
      <c r="N219" s="2" t="s">
        <v>1202</v>
      </c>
    </row>
    <row r="220" spans="1:14" outlineLevel="1" x14ac:dyDescent="0.4">
      <c r="A220" s="2">
        <v>6</v>
      </c>
      <c r="B220" s="2" t="s">
        <v>216</v>
      </c>
      <c r="J220" s="6" t="str">
        <f>IFERROR(_xlfn.LET(_xlpm.v,
VLOOKUP($I220,効果!$A:$B,COLUMN(効果!B$1),FALSE),
IF(_xlpm.v=0,"",_xlpm.v)
),"")</f>
        <v/>
      </c>
      <c r="L220" s="15" t="str">
        <f>IF(OR(COUNTIF(クラス!$A$1:$A$1035, $B220),$B220="",COUNTIF(スキル一覧!$A$1:$A$3500, $B220)), "", "存在しない")</f>
        <v/>
      </c>
      <c r="M220" s="2" t="str">
        <f>IF(COUNTIF($B$1:$C219, $B220), "", "存在しない")</f>
        <v/>
      </c>
      <c r="N220" s="2" t="s">
        <v>1202</v>
      </c>
    </row>
    <row r="221" spans="1:14" outlineLevel="1" x14ac:dyDescent="0.4">
      <c r="A221" s="2">
        <v>7</v>
      </c>
      <c r="B221" s="2" t="s">
        <v>1295</v>
      </c>
      <c r="J221" s="6" t="str">
        <f>IFERROR(_xlfn.LET(_xlpm.v,
VLOOKUP($I221,効果!$A:$B,COLUMN(効果!B$1),FALSE),
IF(_xlpm.v=0,"",_xlpm.v)
),"")</f>
        <v/>
      </c>
      <c r="L221" s="15" t="str">
        <f>IF(OR(COUNTIF(クラス!$A$1:$A$1035, $B221),$B221="",COUNTIF(スキル一覧!$A$1:$A$3500, $B221)), "", "存在しない")</f>
        <v/>
      </c>
      <c r="M221" s="2" t="str">
        <f>IF(COUNTIF($B$1:$C220, $B221), "", "存在しない")</f>
        <v/>
      </c>
      <c r="N221" s="2" t="s">
        <v>1202</v>
      </c>
    </row>
    <row r="222" spans="1:14" outlineLevel="1" x14ac:dyDescent="0.4">
      <c r="A222" s="2">
        <v>8</v>
      </c>
      <c r="B222" s="2" t="s">
        <v>1290</v>
      </c>
      <c r="J222" s="6" t="str">
        <f>IFERROR(_xlfn.LET(_xlpm.v,
VLOOKUP($I222,効果!$A:$B,COLUMN(効果!B$1),FALSE),
IF(_xlpm.v=0,"",_xlpm.v)
),"")</f>
        <v/>
      </c>
      <c r="L222" s="15" t="str">
        <f>IF(OR(COUNTIF(クラス!$A$1:$A$1035, $B222),$B222="",COUNTIF(スキル一覧!$A$1:$A$3500, $B222)), "", "存在しない")</f>
        <v/>
      </c>
      <c r="M222" s="2" t="str">
        <f>IF(COUNTIF($B$1:$C221, $B222), "", "存在しない")</f>
        <v/>
      </c>
      <c r="N222" s="2" t="s">
        <v>1202</v>
      </c>
    </row>
    <row r="223" spans="1:14" outlineLevel="1" x14ac:dyDescent="0.4">
      <c r="A223" s="2">
        <v>9</v>
      </c>
      <c r="B223" s="2" t="s">
        <v>1298</v>
      </c>
      <c r="J223" s="6" t="str">
        <f>IFERROR(_xlfn.LET(_xlpm.v,
VLOOKUP($I223,効果!$A:$B,COLUMN(効果!B$1),FALSE),
IF(_xlpm.v=0,"",_xlpm.v)
),"")</f>
        <v/>
      </c>
      <c r="L223" s="15" t="str">
        <f>IF(OR(COUNTIF(クラス!$A$1:$A$1035, $B223),$B223="",COUNTIF(スキル一覧!$A$1:$A$3500, $B223)), "", "存在しない")</f>
        <v/>
      </c>
      <c r="M223" s="2" t="str">
        <f>IF(COUNTIF($B$1:$C222, $B223), "", "存在しない")</f>
        <v/>
      </c>
      <c r="N223" s="2" t="s">
        <v>1202</v>
      </c>
    </row>
    <row r="224" spans="1:14" outlineLevel="1" x14ac:dyDescent="0.4">
      <c r="A224" s="2">
        <v>10</v>
      </c>
      <c r="B224" s="2" t="s">
        <v>1356</v>
      </c>
      <c r="J224" s="6" t="str">
        <f>IFERROR(_xlfn.LET(_xlpm.v,
VLOOKUP($I224,効果!$A:$B,COLUMN(効果!B$1),FALSE),
IF(_xlpm.v=0,"",_xlpm.v)
),"")</f>
        <v/>
      </c>
      <c r="L224" s="15" t="str">
        <f>IF(OR(COUNTIF(クラス!$A$1:$A$1035, $B224),$B224="",COUNTIF(スキル一覧!$A$1:$A$3500, $B224)), "", "存在しない")</f>
        <v/>
      </c>
      <c r="M224" s="2" t="str">
        <f>IF(COUNTIF($B$1:$C223, $B224), "", "存在しない")</f>
        <v/>
      </c>
      <c r="N224" s="2" t="s">
        <v>1202</v>
      </c>
    </row>
    <row r="225" spans="1:14" outlineLevel="1" x14ac:dyDescent="0.4">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1202</v>
      </c>
    </row>
    <row r="226" spans="1:14"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1202</v>
      </c>
    </row>
    <row r="227" spans="1:14" x14ac:dyDescent="0.4">
      <c r="B227" s="2" t="s">
        <v>37</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1202</v>
      </c>
    </row>
    <row r="228" spans="1:14" ht="36" outlineLevel="1" x14ac:dyDescent="0.4">
      <c r="A228" s="2">
        <v>1</v>
      </c>
      <c r="B228" s="2" t="s">
        <v>306</v>
      </c>
      <c r="D228" s="2" t="s">
        <v>136</v>
      </c>
      <c r="E228" s="13" t="s">
        <v>128</v>
      </c>
      <c r="H228" s="10" t="s">
        <v>307</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1202</v>
      </c>
    </row>
    <row r="229" spans="1:14" ht="36" outlineLevel="1" x14ac:dyDescent="0.4">
      <c r="A229" s="2">
        <v>2</v>
      </c>
      <c r="B229" s="2" t="s">
        <v>309</v>
      </c>
      <c r="C229" s="2" t="s">
        <v>310</v>
      </c>
      <c r="D229" s="2" t="s">
        <v>308</v>
      </c>
      <c r="E229" s="13" t="s">
        <v>128</v>
      </c>
      <c r="H229" s="10" t="s">
        <v>311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1202</v>
      </c>
    </row>
    <row r="230" spans="1:14" outlineLevel="1" x14ac:dyDescent="0.4">
      <c r="A230" s="2">
        <v>3</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1202</v>
      </c>
    </row>
    <row r="231" spans="1:14" outlineLevel="1" x14ac:dyDescent="0.4">
      <c r="A231" s="2">
        <v>4</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1202</v>
      </c>
    </row>
    <row r="232" spans="1:14" outlineLevel="1" x14ac:dyDescent="0.4">
      <c r="A232" s="2">
        <v>5</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1202</v>
      </c>
    </row>
    <row r="233" spans="1:14" outlineLevel="1" x14ac:dyDescent="0.4">
      <c r="A233" s="2">
        <v>6</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1202</v>
      </c>
    </row>
    <row r="234" spans="1:14" outlineLevel="1" x14ac:dyDescent="0.4">
      <c r="A234" s="2">
        <v>7</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1202</v>
      </c>
    </row>
    <row r="235" spans="1:14" outlineLevel="1" x14ac:dyDescent="0.4">
      <c r="A235" s="2">
        <v>8</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1202</v>
      </c>
    </row>
    <row r="236" spans="1:14" outlineLevel="1" x14ac:dyDescent="0.4">
      <c r="A236" s="2">
        <v>9</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1202</v>
      </c>
    </row>
    <row r="237" spans="1:14" outlineLevel="1" x14ac:dyDescent="0.4">
      <c r="A237" s="2">
        <v>10</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1202</v>
      </c>
    </row>
    <row r="238" spans="1:14" outlineLevel="1" x14ac:dyDescent="0.4">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1202</v>
      </c>
    </row>
    <row r="239" spans="1:14"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1202</v>
      </c>
    </row>
    <row r="240" spans="1:14" x14ac:dyDescent="0.4">
      <c r="B240" s="2" t="s">
        <v>39</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1202</v>
      </c>
    </row>
    <row r="241" spans="1:14" outlineLevel="1" x14ac:dyDescent="0.4">
      <c r="A241" s="2">
        <v>1</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1202</v>
      </c>
    </row>
    <row r="242" spans="1:14" outlineLevel="1" x14ac:dyDescent="0.4">
      <c r="A242" s="2">
        <v>2</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1202</v>
      </c>
    </row>
    <row r="243" spans="1:14" outlineLevel="1" x14ac:dyDescent="0.4">
      <c r="A243" s="2">
        <v>3</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1202</v>
      </c>
    </row>
    <row r="244" spans="1:14" outlineLevel="1" x14ac:dyDescent="0.4">
      <c r="A244" s="2">
        <v>4</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1202</v>
      </c>
    </row>
    <row r="245" spans="1:14" outlineLevel="1" x14ac:dyDescent="0.4">
      <c r="A245" s="2">
        <v>5</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1202</v>
      </c>
    </row>
    <row r="246" spans="1:14" outlineLevel="1" x14ac:dyDescent="0.4">
      <c r="A246" s="2">
        <v>6</v>
      </c>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1202</v>
      </c>
    </row>
    <row r="247" spans="1:14" outlineLevel="1" x14ac:dyDescent="0.4">
      <c r="A247" s="2">
        <v>7</v>
      </c>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1202</v>
      </c>
    </row>
    <row r="248" spans="1:14" outlineLevel="1" x14ac:dyDescent="0.4">
      <c r="A248" s="2">
        <v>8</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1202</v>
      </c>
    </row>
    <row r="249" spans="1:14" outlineLevel="1" x14ac:dyDescent="0.4">
      <c r="A249" s="2">
        <v>9</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1202</v>
      </c>
    </row>
    <row r="250" spans="1:14" outlineLevel="1" x14ac:dyDescent="0.4">
      <c r="A250" s="2">
        <v>10</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1202</v>
      </c>
    </row>
    <row r="251" spans="1:14" outlineLevel="1" x14ac:dyDescent="0.4">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1202</v>
      </c>
    </row>
    <row r="252" spans="1:14"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1202</v>
      </c>
    </row>
    <row r="253" spans="1:14" x14ac:dyDescent="0.4">
      <c r="B253" s="2" t="s">
        <v>188</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1202</v>
      </c>
    </row>
    <row r="254" spans="1:14" ht="36" hidden="1" outlineLevel="1" x14ac:dyDescent="0.4">
      <c r="A254" s="2">
        <v>1</v>
      </c>
      <c r="B254" s="2" t="s">
        <v>312</v>
      </c>
      <c r="C254" s="2" t="s">
        <v>313</v>
      </c>
      <c r="E254" s="13" t="s">
        <v>128</v>
      </c>
      <c r="G254" s="19">
        <v>100</v>
      </c>
      <c r="H254" s="10" t="s">
        <v>321</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1202</v>
      </c>
    </row>
    <row r="255" spans="1:14" hidden="1" outlineLevel="1" x14ac:dyDescent="0.4">
      <c r="A255" s="2">
        <v>2</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1202</v>
      </c>
    </row>
    <row r="256" spans="1:14" hidden="1" outlineLevel="1" x14ac:dyDescent="0.4">
      <c r="A256" s="2">
        <v>3</v>
      </c>
      <c r="B256" s="2" t="s">
        <v>473</v>
      </c>
      <c r="E256" s="13" t="s">
        <v>472</v>
      </c>
      <c r="H256" s="10" t="s">
        <v>474</v>
      </c>
      <c r="J256" s="6" t="str">
        <f>IFERROR(_xlfn.LET(_xlpm.v,
VLOOKUP($I256,効果!$A:$B,COLUMN(効果!B$1),FALSE),
IF(_xlpm.v=0,"",_xlpm.v)
),"")</f>
        <v/>
      </c>
      <c r="L256" s="15" t="str">
        <f>IF(OR(COUNTIF(クラス!$A$1:$A$1035, $B256),$B256="",COUNTIF(スキル一覧!$A$1:$A$3500, $B256)), "", "存在しない")</f>
        <v>存在しない</v>
      </c>
      <c r="M256" s="2" t="str">
        <f>IF(COUNTIF($B$1:$C255, $B256), "", "存在しない")</f>
        <v>存在しない</v>
      </c>
      <c r="N256" s="2" t="e">
        <v>#VALUE!</v>
      </c>
    </row>
    <row r="257" spans="1:14" hidden="1" outlineLevel="1" x14ac:dyDescent="0.4">
      <c r="A257" s="2">
        <v>4</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1202</v>
      </c>
    </row>
    <row r="258" spans="1:14" hidden="1" outlineLevel="1" x14ac:dyDescent="0.4">
      <c r="A258" s="2">
        <v>5</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1202</v>
      </c>
    </row>
    <row r="259" spans="1:14" hidden="1" outlineLevel="1" x14ac:dyDescent="0.4">
      <c r="A259" s="2">
        <v>6</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1202</v>
      </c>
    </row>
    <row r="260" spans="1:14" hidden="1" outlineLevel="1" x14ac:dyDescent="0.4">
      <c r="A260" s="2">
        <v>7</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1202</v>
      </c>
    </row>
    <row r="261" spans="1:14" hidden="1" outlineLevel="1" x14ac:dyDescent="0.4">
      <c r="A261" s="2">
        <v>8</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1202</v>
      </c>
    </row>
    <row r="262" spans="1:14" hidden="1" outlineLevel="1" x14ac:dyDescent="0.4">
      <c r="A262" s="2">
        <v>9</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1202</v>
      </c>
    </row>
    <row r="263" spans="1:14" hidden="1" outlineLevel="1" x14ac:dyDescent="0.4">
      <c r="A263" s="2">
        <v>10</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1202</v>
      </c>
    </row>
    <row r="264" spans="1:14" hidden="1" outlineLevel="1" x14ac:dyDescent="0.4">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1202</v>
      </c>
    </row>
    <row r="265" spans="1:14" collapsed="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1202</v>
      </c>
    </row>
    <row r="266" spans="1:14" x14ac:dyDescent="0.4">
      <c r="B266" s="2" t="s">
        <v>54</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1202</v>
      </c>
    </row>
    <row r="267" spans="1:14" x14ac:dyDescent="0.4">
      <c r="B267" s="2" t="s">
        <v>56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1202</v>
      </c>
    </row>
    <row r="268" spans="1:14" x14ac:dyDescent="0.4">
      <c r="B268" s="2" t="s">
        <v>58</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1202</v>
      </c>
    </row>
    <row r="269" spans="1:14" x14ac:dyDescent="0.4">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1202</v>
      </c>
    </row>
    <row r="270" spans="1:14" x14ac:dyDescent="0.4">
      <c r="B270" s="2" t="s">
        <v>52</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1202</v>
      </c>
    </row>
    <row r="271" spans="1:14" hidden="1" outlineLevel="1" x14ac:dyDescent="0.4">
      <c r="A271" s="2">
        <v>1</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1202</v>
      </c>
    </row>
    <row r="272" spans="1:14" hidden="1" outlineLevel="1" x14ac:dyDescent="0.4">
      <c r="A272" s="2">
        <v>2</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1202</v>
      </c>
    </row>
    <row r="273" spans="1:14" hidden="1" outlineLevel="1" x14ac:dyDescent="0.4">
      <c r="A273" s="2">
        <v>3</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1202</v>
      </c>
    </row>
    <row r="274" spans="1:14" hidden="1" outlineLevel="1" x14ac:dyDescent="0.4">
      <c r="A274" s="2">
        <v>4</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1202</v>
      </c>
    </row>
    <row r="275" spans="1:14" hidden="1" outlineLevel="1" x14ac:dyDescent="0.4">
      <c r="A275" s="2">
        <v>5</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1202</v>
      </c>
    </row>
    <row r="276" spans="1:14" hidden="1" outlineLevel="1" x14ac:dyDescent="0.4">
      <c r="A276" s="2">
        <v>6</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1202</v>
      </c>
    </row>
    <row r="277" spans="1:14" hidden="1" outlineLevel="1" x14ac:dyDescent="0.4">
      <c r="A277" s="2">
        <v>7</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1202</v>
      </c>
    </row>
    <row r="278" spans="1:14" hidden="1" outlineLevel="1" x14ac:dyDescent="0.4">
      <c r="A278" s="2">
        <v>8</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1202</v>
      </c>
    </row>
    <row r="279" spans="1:14" hidden="1" outlineLevel="1" x14ac:dyDescent="0.4">
      <c r="A279" s="2">
        <v>9</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1202</v>
      </c>
    </row>
    <row r="280" spans="1:14" hidden="1" outlineLevel="1" x14ac:dyDescent="0.4">
      <c r="A280" s="2">
        <v>10</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1202</v>
      </c>
    </row>
    <row r="281" spans="1:14" hidden="1" outlineLevel="1" x14ac:dyDescent="0.4">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1202</v>
      </c>
    </row>
    <row r="282" spans="1:14" collapsed="1" x14ac:dyDescent="0.4">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1202</v>
      </c>
    </row>
    <row r="283" spans="1:14" x14ac:dyDescent="0.4">
      <c r="B283" s="2" t="s">
        <v>63</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1202</v>
      </c>
    </row>
    <row r="284" spans="1:14" hidden="1" outlineLevel="1" x14ac:dyDescent="0.4">
      <c r="A284" s="2">
        <v>1</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1202</v>
      </c>
    </row>
    <row r="285" spans="1:14" hidden="1" outlineLevel="1" x14ac:dyDescent="0.4">
      <c r="A285" s="2">
        <v>2</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1202</v>
      </c>
    </row>
    <row r="286" spans="1:14" hidden="1" outlineLevel="1" x14ac:dyDescent="0.4">
      <c r="A286" s="2">
        <v>3</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1202</v>
      </c>
    </row>
    <row r="287" spans="1:14" hidden="1" outlineLevel="1" x14ac:dyDescent="0.4">
      <c r="A287" s="2">
        <v>4</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1202</v>
      </c>
    </row>
    <row r="288" spans="1:14" hidden="1" outlineLevel="1" x14ac:dyDescent="0.4">
      <c r="A288" s="2">
        <v>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1202</v>
      </c>
    </row>
    <row r="289" spans="1:14" hidden="1" outlineLevel="1" x14ac:dyDescent="0.4">
      <c r="A289" s="2">
        <v>6</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1202</v>
      </c>
    </row>
    <row r="290" spans="1:14" hidden="1" outlineLevel="1" x14ac:dyDescent="0.4">
      <c r="A290" s="2">
        <v>7</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1202</v>
      </c>
    </row>
    <row r="291" spans="1:14" hidden="1" outlineLevel="1" x14ac:dyDescent="0.4">
      <c r="A291" s="2">
        <v>8</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1202</v>
      </c>
    </row>
    <row r="292" spans="1:14" hidden="1" outlineLevel="1" x14ac:dyDescent="0.4">
      <c r="A292" s="2">
        <v>9</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1202</v>
      </c>
    </row>
    <row r="293" spans="1:14" hidden="1" outlineLevel="1" x14ac:dyDescent="0.4">
      <c r="A293" s="2">
        <v>10</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1202</v>
      </c>
    </row>
    <row r="294" spans="1:14" hidden="1" outlineLevel="1" x14ac:dyDescent="0.4">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1202</v>
      </c>
    </row>
    <row r="295" spans="1:14" collapsed="1" x14ac:dyDescent="0.4">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1202</v>
      </c>
    </row>
    <row r="296" spans="1:14" x14ac:dyDescent="0.4">
      <c r="B296" s="2" t="s">
        <v>41</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1202</v>
      </c>
    </row>
    <row r="297" spans="1:14" hidden="1" outlineLevel="1" x14ac:dyDescent="0.4">
      <c r="A297" s="2">
        <v>1</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1202</v>
      </c>
    </row>
    <row r="298" spans="1:14" hidden="1" outlineLevel="1" x14ac:dyDescent="0.4">
      <c r="A298" s="2">
        <v>2</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1202</v>
      </c>
    </row>
    <row r="299" spans="1:14" hidden="1" outlineLevel="1" x14ac:dyDescent="0.4">
      <c r="A299" s="2">
        <v>3</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1202</v>
      </c>
    </row>
    <row r="300" spans="1:14" hidden="1" outlineLevel="1" x14ac:dyDescent="0.4">
      <c r="A300" s="2">
        <v>4</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1202</v>
      </c>
    </row>
    <row r="301" spans="1:14" hidden="1" outlineLevel="1" x14ac:dyDescent="0.4">
      <c r="A301" s="2">
        <v>5</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1202</v>
      </c>
    </row>
    <row r="302" spans="1:14" hidden="1" outlineLevel="1" x14ac:dyDescent="0.4">
      <c r="A302" s="2">
        <v>6</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1202</v>
      </c>
    </row>
    <row r="303" spans="1:14" hidden="1" outlineLevel="1" x14ac:dyDescent="0.4">
      <c r="A303" s="2">
        <v>7</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1202</v>
      </c>
    </row>
    <row r="304" spans="1:14" hidden="1" outlineLevel="1" x14ac:dyDescent="0.4">
      <c r="A304" s="2">
        <v>8</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1202</v>
      </c>
    </row>
    <row r="305" spans="1:14" hidden="1" outlineLevel="1" x14ac:dyDescent="0.4">
      <c r="A305" s="2">
        <v>9</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1202</v>
      </c>
    </row>
    <row r="306" spans="1:14" hidden="1" outlineLevel="1" x14ac:dyDescent="0.4">
      <c r="A306" s="2">
        <v>10</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1202</v>
      </c>
    </row>
    <row r="307" spans="1:14" hidden="1" outlineLevel="1" x14ac:dyDescent="0.4">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1202</v>
      </c>
    </row>
    <row r="308" spans="1:14" collapsed="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1202</v>
      </c>
    </row>
    <row r="309" spans="1:14" x14ac:dyDescent="0.4">
      <c r="B309" s="2" t="s">
        <v>65</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1202</v>
      </c>
    </row>
    <row r="310" spans="1:14" hidden="1" outlineLevel="1" x14ac:dyDescent="0.4">
      <c r="A310" s="2">
        <v>1</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1202</v>
      </c>
    </row>
    <row r="311" spans="1:14" hidden="1" outlineLevel="1" x14ac:dyDescent="0.4">
      <c r="A311" s="2">
        <v>2</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1202</v>
      </c>
    </row>
    <row r="312" spans="1:14" hidden="1" outlineLevel="1" x14ac:dyDescent="0.4">
      <c r="A312" s="2">
        <v>3</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1202</v>
      </c>
    </row>
    <row r="313" spans="1:14" hidden="1" outlineLevel="1" x14ac:dyDescent="0.4">
      <c r="A313" s="2">
        <v>4</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1202</v>
      </c>
    </row>
    <row r="314" spans="1:14" hidden="1" outlineLevel="1" x14ac:dyDescent="0.4">
      <c r="A314" s="2">
        <v>5</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1202</v>
      </c>
    </row>
    <row r="315" spans="1:14" hidden="1" outlineLevel="1" x14ac:dyDescent="0.4">
      <c r="A315" s="2">
        <v>6</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1202</v>
      </c>
    </row>
    <row r="316" spans="1:14" hidden="1" outlineLevel="1" x14ac:dyDescent="0.4">
      <c r="A316" s="2">
        <v>7</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1202</v>
      </c>
    </row>
    <row r="317" spans="1:14" hidden="1" outlineLevel="1" x14ac:dyDescent="0.4">
      <c r="A317" s="2">
        <v>8</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1202</v>
      </c>
    </row>
    <row r="318" spans="1:14" hidden="1" outlineLevel="1" x14ac:dyDescent="0.4">
      <c r="A318" s="2">
        <v>9</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1202</v>
      </c>
    </row>
    <row r="319" spans="1:14" hidden="1" outlineLevel="1" x14ac:dyDescent="0.4">
      <c r="A319" s="2">
        <v>10</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1202</v>
      </c>
    </row>
    <row r="320" spans="1:14" hidden="1" outlineLevel="1" x14ac:dyDescent="0.4">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1202</v>
      </c>
    </row>
    <row r="321" spans="1:14" collapsed="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1202</v>
      </c>
    </row>
    <row r="322" spans="1:14" x14ac:dyDescent="0.4">
      <c r="B322" s="2" t="s">
        <v>43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1202</v>
      </c>
    </row>
    <row r="323" spans="1:14" hidden="1" outlineLevel="1" x14ac:dyDescent="0.4">
      <c r="A323" s="2">
        <v>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1202</v>
      </c>
    </row>
    <row r="324" spans="1:14" hidden="1" outlineLevel="1" x14ac:dyDescent="0.4">
      <c r="A324" s="2">
        <v>2</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1202</v>
      </c>
    </row>
    <row r="325" spans="1:14" hidden="1" outlineLevel="1" x14ac:dyDescent="0.4">
      <c r="A325" s="2">
        <v>3</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1202</v>
      </c>
    </row>
    <row r="326" spans="1:14" hidden="1" outlineLevel="1" x14ac:dyDescent="0.4">
      <c r="A326" s="2">
        <v>4</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1202</v>
      </c>
    </row>
    <row r="327" spans="1:14" hidden="1" outlineLevel="1" x14ac:dyDescent="0.4">
      <c r="A327" s="2">
        <v>5</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1202</v>
      </c>
    </row>
    <row r="328" spans="1:14" hidden="1" outlineLevel="1" x14ac:dyDescent="0.4">
      <c r="A328" s="2">
        <v>6</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1202</v>
      </c>
    </row>
    <row r="329" spans="1:14" hidden="1" outlineLevel="1" x14ac:dyDescent="0.4">
      <c r="A329" s="2">
        <v>7</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1202</v>
      </c>
    </row>
    <row r="330" spans="1:14" hidden="1" outlineLevel="1" x14ac:dyDescent="0.4">
      <c r="A330" s="2">
        <v>8</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1202</v>
      </c>
    </row>
    <row r="331" spans="1:14" hidden="1" outlineLevel="1" x14ac:dyDescent="0.4">
      <c r="A331" s="2">
        <v>9</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1202</v>
      </c>
    </row>
    <row r="332" spans="1:14" hidden="1" outlineLevel="1" x14ac:dyDescent="0.4">
      <c r="A332" s="2">
        <v>10</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1202</v>
      </c>
    </row>
    <row r="333" spans="1:14" hidden="1" outlineLevel="1" x14ac:dyDescent="0.4">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1202</v>
      </c>
    </row>
    <row r="334" spans="1:14" collapsed="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1202</v>
      </c>
    </row>
    <row r="335" spans="1:14"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1202</v>
      </c>
    </row>
    <row r="336" spans="1:14" x14ac:dyDescent="0.4">
      <c r="B336" s="2" t="s">
        <v>45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1202</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1202</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1202</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1202</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1202</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1202</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1202</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1202</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1202</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1202</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1202</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1202</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1202</v>
      </c>
    </row>
    <row r="349" spans="1:14" x14ac:dyDescent="0.4">
      <c r="B349" s="2" t="s">
        <v>47</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1202</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1202</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1202</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1202</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1202</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1202</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1202</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1202</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1202</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1202</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1202</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1202</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1202</v>
      </c>
    </row>
    <row r="362" spans="1:14" x14ac:dyDescent="0.4">
      <c r="B362" s="2" t="s">
        <v>49</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1202</v>
      </c>
    </row>
    <row r="363" spans="1:14" hidden="1" outlineLevel="1" x14ac:dyDescent="0.4">
      <c r="A363" s="2">
        <v>1</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1202</v>
      </c>
    </row>
    <row r="364" spans="1:14" hidden="1" outlineLevel="1" x14ac:dyDescent="0.4">
      <c r="A364" s="2">
        <v>2</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1202</v>
      </c>
    </row>
    <row r="365" spans="1:14" hidden="1" outlineLevel="1" x14ac:dyDescent="0.4">
      <c r="A365" s="2">
        <v>3</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1202</v>
      </c>
    </row>
    <row r="366" spans="1:14" hidden="1" outlineLevel="1" x14ac:dyDescent="0.4">
      <c r="A366" s="2">
        <v>4</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1202</v>
      </c>
    </row>
    <row r="367" spans="1:14" hidden="1" outlineLevel="1" x14ac:dyDescent="0.4">
      <c r="A367" s="2">
        <v>5</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1202</v>
      </c>
    </row>
    <row r="368" spans="1:14" hidden="1" outlineLevel="1" x14ac:dyDescent="0.4">
      <c r="A368" s="2">
        <v>6</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1202</v>
      </c>
    </row>
    <row r="369" spans="1:14" hidden="1" outlineLevel="1" x14ac:dyDescent="0.4">
      <c r="A369" s="2">
        <v>7</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1202</v>
      </c>
    </row>
    <row r="370" spans="1:14" hidden="1" outlineLevel="1" x14ac:dyDescent="0.4">
      <c r="A370" s="2">
        <v>8</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1202</v>
      </c>
    </row>
    <row r="371" spans="1:14" hidden="1" outlineLevel="1" x14ac:dyDescent="0.4">
      <c r="A371" s="2">
        <v>9</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1202</v>
      </c>
    </row>
    <row r="372" spans="1:14" hidden="1" outlineLevel="1" x14ac:dyDescent="0.4">
      <c r="A372" s="2">
        <v>10</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1202</v>
      </c>
    </row>
    <row r="373" spans="1:14" hidden="1" outlineLevel="1" x14ac:dyDescent="0.4">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1202</v>
      </c>
    </row>
    <row r="374" spans="1:14" collapsed="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1202</v>
      </c>
    </row>
    <row r="375" spans="1:14"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1202</v>
      </c>
    </row>
    <row r="376" spans="1:14" x14ac:dyDescent="0.4">
      <c r="B376" s="2" t="s">
        <v>121</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1202</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1202</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1202</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1202</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1202</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1202</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1202</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1202</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1202</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1202</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1202</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1202</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1202</v>
      </c>
    </row>
    <row r="389" spans="1:14" x14ac:dyDescent="0.4">
      <c r="B389" s="2" t="s">
        <v>122</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1202</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1202</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1202</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1202</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1202</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1202</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1202</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1202</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1202</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1202</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1202</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1202</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1202</v>
      </c>
    </row>
    <row r="402" spans="1:14" x14ac:dyDescent="0.4">
      <c r="B402" s="2" t="s">
        <v>206</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1202</v>
      </c>
    </row>
    <row r="403" spans="1:14" hidden="1" outlineLevel="1" x14ac:dyDescent="0.4">
      <c r="A403" s="2">
        <v>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1202</v>
      </c>
    </row>
    <row r="404" spans="1:14" hidden="1" outlineLevel="1" x14ac:dyDescent="0.4">
      <c r="A404" s="2">
        <v>2</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1202</v>
      </c>
    </row>
    <row r="405" spans="1:14" hidden="1" outlineLevel="1" x14ac:dyDescent="0.4">
      <c r="A405" s="2">
        <v>3</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1202</v>
      </c>
    </row>
    <row r="406" spans="1:14" hidden="1" outlineLevel="1" x14ac:dyDescent="0.4">
      <c r="A406" s="2">
        <v>4</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1202</v>
      </c>
    </row>
    <row r="407" spans="1:14" hidden="1" outlineLevel="1" x14ac:dyDescent="0.4">
      <c r="A407" s="2">
        <v>5</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1202</v>
      </c>
    </row>
    <row r="408" spans="1:14" hidden="1" outlineLevel="1" x14ac:dyDescent="0.4">
      <c r="A408" s="2">
        <v>6</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1202</v>
      </c>
    </row>
    <row r="409" spans="1:14" hidden="1" outlineLevel="1" x14ac:dyDescent="0.4">
      <c r="A409" s="2">
        <v>7</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1202</v>
      </c>
    </row>
    <row r="410" spans="1:14" hidden="1" outlineLevel="1" x14ac:dyDescent="0.4">
      <c r="A410" s="2">
        <v>8</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1202</v>
      </c>
    </row>
    <row r="411" spans="1:14" hidden="1" outlineLevel="1" x14ac:dyDescent="0.4">
      <c r="A411" s="2">
        <v>9</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1202</v>
      </c>
    </row>
    <row r="412" spans="1:14" hidden="1" outlineLevel="1" x14ac:dyDescent="0.4">
      <c r="A412" s="2">
        <v>10</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1202</v>
      </c>
    </row>
    <row r="413" spans="1:14" hidden="1" outlineLevel="1" x14ac:dyDescent="0.4">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1202</v>
      </c>
    </row>
    <row r="414" spans="1:14" collapsed="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1202</v>
      </c>
    </row>
    <row r="415" spans="1:14" x14ac:dyDescent="0.4">
      <c r="B415" s="2" t="s">
        <v>208</v>
      </c>
      <c r="J415" s="6" t="str">
        <f>IFERROR(_xlfn.LET(_xlpm.v,
VLOOKUP($I415,効果!$A:$B,COLUMN(効果!B$1),FALSE),
IF(_xlpm.v=0,"",_xlpm.v)
),"")</f>
        <v/>
      </c>
      <c r="L415" s="15" t="str">
        <f>IF(OR(COUNTIF(クラス!$A$1:$A$1035, $B415),$B415="",COUNTIF(スキル一覧!$A$1:$A$3500, $B415)), "", "存在しない")</f>
        <v>存在しない</v>
      </c>
      <c r="M415" s="2" t="str">
        <f>IF(COUNTIF($B$1:$C414, $B415), "", "存在しない")</f>
        <v>存在しない</v>
      </c>
      <c r="N415" s="2" t="s">
        <v>1202</v>
      </c>
    </row>
    <row r="416" spans="1:14" hidden="1" outlineLevel="1" x14ac:dyDescent="0.4">
      <c r="A416" s="2">
        <v>1</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1202</v>
      </c>
    </row>
    <row r="417" spans="1:14" hidden="1" outlineLevel="1" x14ac:dyDescent="0.4">
      <c r="A417" s="2">
        <v>2</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1202</v>
      </c>
    </row>
    <row r="418" spans="1:14" hidden="1" outlineLevel="1" x14ac:dyDescent="0.4">
      <c r="A418" s="2">
        <v>3</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1202</v>
      </c>
    </row>
    <row r="419" spans="1:14" hidden="1" outlineLevel="1" x14ac:dyDescent="0.4">
      <c r="A419" s="2">
        <v>4</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1202</v>
      </c>
    </row>
    <row r="420" spans="1:14" hidden="1" outlineLevel="1" x14ac:dyDescent="0.4">
      <c r="A420" s="2">
        <v>5</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1202</v>
      </c>
    </row>
    <row r="421" spans="1:14" hidden="1" outlineLevel="1" x14ac:dyDescent="0.4">
      <c r="A421" s="2">
        <v>6</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1202</v>
      </c>
    </row>
    <row r="422" spans="1:14" hidden="1" outlineLevel="1" x14ac:dyDescent="0.4">
      <c r="A422" s="2">
        <v>7</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1202</v>
      </c>
    </row>
    <row r="423" spans="1:14" hidden="1" outlineLevel="1" x14ac:dyDescent="0.4">
      <c r="A423" s="2">
        <v>8</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1202</v>
      </c>
    </row>
    <row r="424" spans="1:14" hidden="1" outlineLevel="1" x14ac:dyDescent="0.4">
      <c r="A424" s="2">
        <v>9</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1202</v>
      </c>
    </row>
    <row r="425" spans="1:14" hidden="1" outlineLevel="1" x14ac:dyDescent="0.4">
      <c r="A425" s="2">
        <v>10</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1202</v>
      </c>
    </row>
    <row r="426" spans="1:14" hidden="1" outlineLevel="1" x14ac:dyDescent="0.4">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1202</v>
      </c>
    </row>
    <row r="427" spans="1:14" collapsed="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1202</v>
      </c>
    </row>
    <row r="428" spans="1:14"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1202</v>
      </c>
    </row>
    <row r="429" spans="1:14" x14ac:dyDescent="0.4">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1202</v>
      </c>
    </row>
    <row r="430" spans="1:14" x14ac:dyDescent="0.4">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1202</v>
      </c>
    </row>
    <row r="431" spans="1:14" x14ac:dyDescent="0.4">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1202</v>
      </c>
    </row>
    <row r="432" spans="1:14" x14ac:dyDescent="0.4">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1202</v>
      </c>
    </row>
    <row r="433" spans="1:14" x14ac:dyDescent="0.4">
      <c r="B433" s="2" t="s">
        <v>68</v>
      </c>
      <c r="D433" s="2" t="s">
        <v>147</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1202</v>
      </c>
    </row>
    <row r="434" spans="1:14" ht="36" hidden="1" outlineLevel="1" x14ac:dyDescent="0.4">
      <c r="A434" s="2">
        <v>1</v>
      </c>
      <c r="B434" s="2" t="str">
        <f>D433&amp;"の拳"</f>
        <v>炎の拳</v>
      </c>
      <c r="D434" s="2" t="str">
        <f>D433</f>
        <v>炎</v>
      </c>
      <c r="E434" s="13" t="s">
        <v>128</v>
      </c>
      <c r="G434" s="19">
        <v>60</v>
      </c>
      <c r="H434" s="10" t="str">
        <f>"攻撃手段:素手 物理+15 "&amp;D433&amp;"+25 判定:攻撃"</f>
        <v>攻撃手段:素手 物理+15 炎+25 判定:攻撃</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1202</v>
      </c>
    </row>
    <row r="435" spans="1:14" hidden="1" outlineLevel="1" x14ac:dyDescent="0.4">
      <c r="A435" s="2">
        <v>2</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1202</v>
      </c>
    </row>
    <row r="436" spans="1:14" hidden="1" outlineLevel="1" x14ac:dyDescent="0.4">
      <c r="A436" s="2">
        <v>3</v>
      </c>
      <c r="B436" s="2" t="s">
        <v>278</v>
      </c>
      <c r="E436" s="13" t="s">
        <v>129</v>
      </c>
      <c r="H436" s="10" t="s">
        <v>279</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1202</v>
      </c>
    </row>
    <row r="437" spans="1:14" hidden="1" outlineLevel="1" x14ac:dyDescent="0.4">
      <c r="A437" s="2">
        <v>4</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1202</v>
      </c>
    </row>
    <row r="438" spans="1:14" hidden="1" outlineLevel="1" x14ac:dyDescent="0.4">
      <c r="A438" s="2">
        <v>5</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1202</v>
      </c>
    </row>
    <row r="439" spans="1:14" hidden="1" outlineLevel="1" x14ac:dyDescent="0.4">
      <c r="A439" s="2">
        <v>6</v>
      </c>
      <c r="B439" s="2" t="str">
        <f>D433&amp;"の魔力"</f>
        <v>炎の魔力</v>
      </c>
      <c r="E439" s="13" t="s">
        <v>129</v>
      </c>
      <c r="H439" s="10" t="str">
        <f>"条件系統:"&amp;D433&amp;" 魔力+30"</f>
        <v>条件系統:炎 魔力+30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1202</v>
      </c>
    </row>
    <row r="440" spans="1:14" hidden="1" outlineLevel="1" x14ac:dyDescent="0.4">
      <c r="A440" s="2">
        <v>7</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1202</v>
      </c>
    </row>
    <row r="441" spans="1:14" hidden="1" outlineLevel="1" x14ac:dyDescent="0.4">
      <c r="A441" s="2">
        <v>8</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1202</v>
      </c>
    </row>
    <row r="442" spans="1:14" hidden="1" outlineLevel="1" x14ac:dyDescent="0.4">
      <c r="A442" s="2">
        <v>9</v>
      </c>
      <c r="B442" s="2" t="str">
        <f>D433&amp;"の力"</f>
        <v>炎の力</v>
      </c>
      <c r="E442" s="13" t="s">
        <v>129</v>
      </c>
      <c r="H442" s="10" t="str">
        <f>"条件系統:"&amp;D433&amp;" 攻撃+30"</f>
        <v>条件系統:炎 攻撃+30</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1202</v>
      </c>
    </row>
    <row r="443" spans="1:14" ht="36" hidden="1" outlineLevel="1" x14ac:dyDescent="0.4">
      <c r="A443" s="2">
        <v>10</v>
      </c>
      <c r="B443" s="2" t="str">
        <f>D433&amp;"の吐息"</f>
        <v>炎の吐息</v>
      </c>
      <c r="D443" s="2" t="str">
        <f>D433</f>
        <v>炎</v>
      </c>
      <c r="E443" s="13" t="s">
        <v>128</v>
      </c>
      <c r="G443" s="19">
        <v>80</v>
      </c>
      <c r="H443" s="10" t="str">
        <f>"攻撃手段:吐息 "&amp;D433&amp;"+45 射程:2 範囲:放射"</f>
        <v>攻撃手段:吐息 炎+45 射程:2 範囲:放射</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1202</v>
      </c>
    </row>
    <row r="444" spans="1:14" hidden="1" outlineLevel="1" x14ac:dyDescent="0.4">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1202</v>
      </c>
    </row>
    <row r="445" spans="1:14" collapsed="1" x14ac:dyDescent="0.4">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1202</v>
      </c>
    </row>
    <row r="446" spans="1:14" x14ac:dyDescent="0.4">
      <c r="B446" s="2" t="s">
        <v>70</v>
      </c>
      <c r="D446" s="2" t="s">
        <v>148</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1202</v>
      </c>
    </row>
    <row r="447" spans="1:14" ht="36" hidden="1" outlineLevel="1" x14ac:dyDescent="0.4">
      <c r="A447" s="2">
        <v>1</v>
      </c>
      <c r="B447" s="2" t="str">
        <f>D446&amp;"の拳"</f>
        <v>氷の拳</v>
      </c>
      <c r="D447" s="2" t="str">
        <f>D446</f>
        <v>氷</v>
      </c>
      <c r="E447" s="13" t="s">
        <v>128</v>
      </c>
      <c r="G447" s="19">
        <v>60</v>
      </c>
      <c r="H447" s="10" t="str">
        <f>"攻撃手段:素手 物理+15 "&amp;D446&amp;"+25 判定:攻撃"</f>
        <v>攻撃手段:素手 物理+15 氷+25 判定:攻撃</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1202</v>
      </c>
    </row>
    <row r="448" spans="1:14" hidden="1" outlineLevel="1" x14ac:dyDescent="0.4">
      <c r="A448" s="2">
        <v>2</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1202</v>
      </c>
    </row>
    <row r="449" spans="1:14" hidden="1" outlineLevel="1" x14ac:dyDescent="0.4">
      <c r="A449" s="2">
        <v>3</v>
      </c>
      <c r="B449" s="2" t="s">
        <v>278</v>
      </c>
      <c r="E449" s="13" t="s">
        <v>129</v>
      </c>
      <c r="H449" s="10" t="s">
        <v>279</v>
      </c>
      <c r="J449" s="6" t="str">
        <f>IFERROR(_xlfn.LET(_xlpm.v,
VLOOKUP($I449,効果!$A:$B,COLUMN(効果!B$1),FALSE),
IF(_xlpm.v=0,"",_xlpm.v)
),"")</f>
        <v/>
      </c>
      <c r="L449" s="15" t="str">
        <f>IF(OR(COUNTIF(クラス!$A$1:$A$1035, $B449),$B449="",COUNTIF(スキル一覧!$A$1:$A$3500, $B449)), "", "存在しない")</f>
        <v/>
      </c>
      <c r="M449" s="2" t="str">
        <f>IF(COUNTIF($B$1:$C448, $B449), "", "存在しない")</f>
        <v/>
      </c>
      <c r="N449" s="2" t="s">
        <v>1202</v>
      </c>
    </row>
    <row r="450" spans="1:14" hidden="1" outlineLevel="1" x14ac:dyDescent="0.4">
      <c r="A450" s="2">
        <v>4</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1202</v>
      </c>
    </row>
    <row r="451" spans="1:14" hidden="1" outlineLevel="1" x14ac:dyDescent="0.4">
      <c r="A451" s="2">
        <v>5</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1202</v>
      </c>
    </row>
    <row r="452" spans="1:14" hidden="1" outlineLevel="1" x14ac:dyDescent="0.4">
      <c r="A452" s="2">
        <v>6</v>
      </c>
      <c r="B452" s="2" t="str">
        <f>D446&amp;"の魔力"</f>
        <v>氷の魔力</v>
      </c>
      <c r="E452" s="13" t="s">
        <v>129</v>
      </c>
      <c r="H452" s="10" t="str">
        <f>"条件系統:"&amp;D446&amp;" 魔力+30"</f>
        <v>条件系統:氷 魔力+30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1202</v>
      </c>
    </row>
    <row r="453" spans="1:14" hidden="1" outlineLevel="1" x14ac:dyDescent="0.4">
      <c r="A453" s="2">
        <v>7</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1202</v>
      </c>
    </row>
    <row r="454" spans="1:14" hidden="1" outlineLevel="1" x14ac:dyDescent="0.4">
      <c r="A454" s="2">
        <v>8</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1202</v>
      </c>
    </row>
    <row r="455" spans="1:14" hidden="1" outlineLevel="1" x14ac:dyDescent="0.4">
      <c r="A455" s="2">
        <v>9</v>
      </c>
      <c r="B455" s="2" t="str">
        <f>D446&amp;"の力"</f>
        <v>氷の力</v>
      </c>
      <c r="E455" s="13" t="s">
        <v>129</v>
      </c>
      <c r="H455" s="10" t="str">
        <f>"条件系統:"&amp;D446&amp;" 攻撃+30"</f>
        <v>条件系統:氷 攻撃+30</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1202</v>
      </c>
    </row>
    <row r="456" spans="1:14" ht="36" hidden="1" outlineLevel="1" x14ac:dyDescent="0.4">
      <c r="A456" s="2">
        <v>10</v>
      </c>
      <c r="B456" s="2" t="str">
        <f>D446&amp;"の吐息"</f>
        <v>氷の吐息</v>
      </c>
      <c r="D456" s="2" t="str">
        <f>D446</f>
        <v>氷</v>
      </c>
      <c r="E456" s="13" t="s">
        <v>128</v>
      </c>
      <c r="G456" s="19">
        <v>80</v>
      </c>
      <c r="H456" s="10" t="str">
        <f>"攻撃手段:吐息 "&amp;D446&amp;"+45 射程:2 範囲:放射"</f>
        <v>攻撃手段:吐息 氷+45 射程:2 範囲:放射</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1202</v>
      </c>
    </row>
    <row r="457" spans="1:14" hidden="1" outlineLevel="1"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1202</v>
      </c>
    </row>
    <row r="458" spans="1:14" collapsed="1"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1202</v>
      </c>
    </row>
    <row r="459" spans="1:14" x14ac:dyDescent="0.4">
      <c r="B459" s="2" t="s">
        <v>860</v>
      </c>
      <c r="D459" s="2" t="s">
        <v>861</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1202</v>
      </c>
    </row>
    <row r="460" spans="1:14" ht="36" hidden="1" outlineLevel="1" x14ac:dyDescent="0.4">
      <c r="A460" s="2">
        <v>1</v>
      </c>
      <c r="B460" s="2" t="s">
        <v>862</v>
      </c>
      <c r="D460" s="2" t="s">
        <v>849</v>
      </c>
      <c r="E460" s="13" t="s">
        <v>128</v>
      </c>
      <c r="G460" s="19">
        <v>60</v>
      </c>
      <c r="H460" s="10" t="s">
        <v>868</v>
      </c>
      <c r="J460" s="6" t="str">
        <f>IFERROR(_xlfn.LET(_xlpm.v,
VLOOKUP($I460,効果!$A:$B,COLUMN(効果!B$1),FALSE),
IF(_xlpm.v=0,"",_xlpm.v)
),"")</f>
        <v/>
      </c>
      <c r="L460" s="15" t="str">
        <f>IF(OR(COUNTIF(クラス!$A$1:$A$1035, $B460),$B460="",COUNTIF(スキル一覧!$A$1:$A$3500, $B460)), "", "存在しない")</f>
        <v>存在しない</v>
      </c>
      <c r="M460" s="2" t="str">
        <f>IF(COUNTIF($B$1:$C459, $B460), "", "存在しない")</f>
        <v>存在しない</v>
      </c>
      <c r="N460" s="2" t="e">
        <v>#VALUE!</v>
      </c>
    </row>
    <row r="461" spans="1:14" hidden="1" outlineLevel="1" x14ac:dyDescent="0.4">
      <c r="A461" s="2">
        <v>2</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1202</v>
      </c>
    </row>
    <row r="462" spans="1:14" hidden="1" outlineLevel="1" x14ac:dyDescent="0.4">
      <c r="A462" s="2">
        <v>3</v>
      </c>
      <c r="B462" s="2" t="s">
        <v>867</v>
      </c>
      <c r="E462" s="13" t="s">
        <v>129</v>
      </c>
      <c r="H462" s="10" t="s">
        <v>866</v>
      </c>
      <c r="J462" s="6" t="str">
        <f>IFERROR(_xlfn.LET(_xlpm.v,
VLOOKUP($I462,効果!$A:$B,COLUMN(効果!B$1),FALSE),
IF(_xlpm.v=0,"",_xlpm.v)
),"")</f>
        <v/>
      </c>
      <c r="L462" s="15" t="str">
        <f>IF(OR(COUNTIF(クラス!$A$1:$A$1035, $B462),$B462="",COUNTIF(スキル一覧!$A$1:$A$3500, $B462)), "", "存在しない")</f>
        <v>存在しない</v>
      </c>
      <c r="M462" s="2" t="str">
        <f>IF(COUNTIF($B$1:$C461, $B462), "", "存在しない")</f>
        <v>存在しない</v>
      </c>
      <c r="N462" s="2" t="e">
        <v>#VALUE!</v>
      </c>
    </row>
    <row r="463" spans="1:14" hidden="1" outlineLevel="1" x14ac:dyDescent="0.4">
      <c r="A463" s="2">
        <v>4</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1202</v>
      </c>
    </row>
    <row r="464" spans="1:14" hidden="1" outlineLevel="1" x14ac:dyDescent="0.4">
      <c r="A464" s="2">
        <v>5</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1202</v>
      </c>
    </row>
    <row r="465" spans="1:14" hidden="1" outlineLevel="1" x14ac:dyDescent="0.4">
      <c r="A465" s="2">
        <v>6</v>
      </c>
      <c r="B465" s="2" t="s">
        <v>863</v>
      </c>
      <c r="E465" s="13" t="s">
        <v>129</v>
      </c>
      <c r="H465" s="10" t="str">
        <f>"条件系統:"&amp;D459&amp;" 魔力+30"</f>
        <v>条件系統:水 魔力+30</v>
      </c>
      <c r="J465" s="6" t="str">
        <f>IFERROR(_xlfn.LET(_xlpm.v,
VLOOKUP($I465,効果!$A:$B,COLUMN(効果!B$1),FALSE),
IF(_xlpm.v=0,"",_xlpm.v)
),"")</f>
        <v/>
      </c>
      <c r="L465" s="15" t="str">
        <f>IF(OR(COUNTIF(クラス!$A$1:$A$1035, $B465),$B465="",COUNTIF(スキル一覧!$A$1:$A$3500, $B465)), "", "存在しない")</f>
        <v>存在しない</v>
      </c>
      <c r="M465" s="2" t="str">
        <f>IF(COUNTIF($B$1:$C464, $B465), "", "存在しない")</f>
        <v>存在しない</v>
      </c>
      <c r="N465" s="2" t="e">
        <v>#VALUE!</v>
      </c>
    </row>
    <row r="466" spans="1:14" hidden="1" outlineLevel="1" x14ac:dyDescent="0.4">
      <c r="A466" s="2">
        <v>7</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1202</v>
      </c>
    </row>
    <row r="467" spans="1:14" hidden="1" outlineLevel="1" x14ac:dyDescent="0.4">
      <c r="A467" s="2">
        <v>8</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1202</v>
      </c>
    </row>
    <row r="468" spans="1:14" hidden="1" outlineLevel="1" x14ac:dyDescent="0.4">
      <c r="A468" s="2">
        <v>9</v>
      </c>
      <c r="B468" s="2" t="s">
        <v>864</v>
      </c>
      <c r="E468" s="13" t="s">
        <v>129</v>
      </c>
      <c r="H468" s="10" t="str">
        <f>"条件系統:"&amp;D459&amp;" 攻撃+30"</f>
        <v>条件系統:水 攻撃+30</v>
      </c>
      <c r="J468" s="6" t="str">
        <f>IFERROR(_xlfn.LET(_xlpm.v,
VLOOKUP($I468,効果!$A:$B,COLUMN(効果!B$1),FALSE),
IF(_xlpm.v=0,"",_xlpm.v)
),"")</f>
        <v/>
      </c>
      <c r="L468" s="15" t="str">
        <f>IF(OR(COUNTIF(クラス!$A$1:$A$1035, $B468),$B468="",COUNTIF(スキル一覧!$A$1:$A$3500, $B468)), "", "存在しない")</f>
        <v>存在しない</v>
      </c>
      <c r="M468" s="2" t="str">
        <f>IF(COUNTIF($B$1:$C467, $B468), "", "存在しない")</f>
        <v>存在しない</v>
      </c>
      <c r="N468" s="2" t="e">
        <v>#VALUE!</v>
      </c>
    </row>
    <row r="469" spans="1:14" ht="36" hidden="1" outlineLevel="1" x14ac:dyDescent="0.4">
      <c r="A469" s="2">
        <v>10</v>
      </c>
      <c r="B469" s="2" t="s">
        <v>865</v>
      </c>
      <c r="D469" s="2" t="s">
        <v>849</v>
      </c>
      <c r="E469" s="13" t="s">
        <v>128</v>
      </c>
      <c r="G469" s="19">
        <v>80</v>
      </c>
      <c r="H469" s="10" t="s">
        <v>869</v>
      </c>
      <c r="I469" s="6" t="s">
        <v>422</v>
      </c>
      <c r="J469" s="6" t="str">
        <f>IFERROR(_xlfn.LET(_xlpm.v,
VLOOKUP($I469,効果!$A:$B,COLUMN(効果!B$1),FALSE),
IF(_xlpm.v=0,"",_xlpm.v)
),"")</f>
        <v>対象を後方へ移動させる</v>
      </c>
      <c r="L469" s="15" t="str">
        <f>IF(OR(COUNTIF(クラス!$A$1:$A$1035, $B469),$B469="",COUNTIF(スキル一覧!$A$1:$A$3500, $B469)), "", "存在しない")</f>
        <v>存在しない</v>
      </c>
      <c r="M469" s="2" t="str">
        <f>IF(COUNTIF($B$1:$C468, $B469), "", "存在しない")</f>
        <v>存在しない</v>
      </c>
      <c r="N469" s="2" t="e">
        <v>#VALUE!</v>
      </c>
    </row>
    <row r="470" spans="1:14" hidden="1" outlineLevel="1" x14ac:dyDescent="0.4">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1202</v>
      </c>
    </row>
    <row r="471" spans="1:14" collapsed="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1202</v>
      </c>
    </row>
    <row r="472" spans="1:14" x14ac:dyDescent="0.4">
      <c r="B472" s="2" t="s">
        <v>72</v>
      </c>
      <c r="D472" s="2" t="s">
        <v>280</v>
      </c>
      <c r="E472" s="13" t="s">
        <v>139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1202</v>
      </c>
    </row>
    <row r="473" spans="1:14" ht="36" hidden="1" outlineLevel="1" x14ac:dyDescent="0.4">
      <c r="A473" s="2">
        <v>1</v>
      </c>
      <c r="B473" s="2" t="str">
        <f>D472&amp;"の拳"</f>
        <v>風の拳</v>
      </c>
      <c r="D473" s="2" t="str">
        <f>D472</f>
        <v>風</v>
      </c>
      <c r="E473" s="13" t="s">
        <v>128</v>
      </c>
      <c r="G473" s="19">
        <v>60</v>
      </c>
      <c r="H473" s="10" t="str">
        <f>"攻撃手段:素手 物理+15 "&amp;E472&amp;"+25 判定:攻撃"</f>
        <v>攻撃手段:素手 物理+15 怯み+25 判定:攻撃</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1202</v>
      </c>
    </row>
    <row r="474" spans="1:14" hidden="1" outlineLevel="1" x14ac:dyDescent="0.4">
      <c r="A474" s="2">
        <v>2</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1202</v>
      </c>
    </row>
    <row r="475" spans="1:14" hidden="1" outlineLevel="1" x14ac:dyDescent="0.4">
      <c r="A475" s="2">
        <v>3</v>
      </c>
      <c r="B475" s="2" t="s">
        <v>278</v>
      </c>
      <c r="E475" s="13" t="s">
        <v>129</v>
      </c>
      <c r="H475" s="10" t="s">
        <v>279</v>
      </c>
      <c r="J475" s="6" t="str">
        <f>IFERROR(_xlfn.LET(_xlpm.v,
VLOOKUP($I475,効果!$A:$B,COLUMN(効果!B$1),FALSE),
IF(_xlpm.v=0,"",_xlpm.v)
),"")</f>
        <v/>
      </c>
      <c r="L475" s="15" t="str">
        <f>IF(OR(COUNTIF(クラス!$A$1:$A$1035, $B475),$B475="",COUNTIF(スキル一覧!$A$1:$A$3500, $B475)), "", "存在しない")</f>
        <v/>
      </c>
      <c r="M475" s="2" t="str">
        <f>IF(COUNTIF($B$1:$C474, $B475), "", "存在しない")</f>
        <v/>
      </c>
      <c r="N475" s="2" t="s">
        <v>1202</v>
      </c>
    </row>
    <row r="476" spans="1:14" hidden="1" outlineLevel="1" x14ac:dyDescent="0.4">
      <c r="A476" s="2">
        <v>4</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1202</v>
      </c>
    </row>
    <row r="477" spans="1:14" hidden="1" outlineLevel="1" x14ac:dyDescent="0.4">
      <c r="A477" s="2">
        <v>5</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1202</v>
      </c>
    </row>
    <row r="478" spans="1:14" hidden="1" outlineLevel="1" x14ac:dyDescent="0.4">
      <c r="A478" s="2">
        <v>6</v>
      </c>
      <c r="B478" s="2" t="str">
        <f>D472&amp;"の魔力"</f>
        <v>風の魔力</v>
      </c>
      <c r="E478" s="13" t="s">
        <v>129</v>
      </c>
      <c r="H478" s="10" t="str">
        <f>"条件系統:"&amp;D472&amp;" 魔力+30"</f>
        <v>条件系統:風 魔力+30</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1202</v>
      </c>
    </row>
    <row r="479" spans="1:14" hidden="1" outlineLevel="1" x14ac:dyDescent="0.4">
      <c r="A479" s="2">
        <v>7</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1202</v>
      </c>
    </row>
    <row r="480" spans="1:14" hidden="1" outlineLevel="1" x14ac:dyDescent="0.4">
      <c r="A480" s="2">
        <v>8</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1202</v>
      </c>
    </row>
    <row r="481" spans="1:14" hidden="1" outlineLevel="1" x14ac:dyDescent="0.4">
      <c r="A481" s="2">
        <v>9</v>
      </c>
      <c r="B481" s="2" t="str">
        <f>D472&amp;"の力"</f>
        <v>風の力</v>
      </c>
      <c r="E481" s="13" t="s">
        <v>129</v>
      </c>
      <c r="H481" s="10" t="str">
        <f>"条件系統:"&amp;D472&amp;" 攻撃+30"</f>
        <v>条件系統:風 攻撃+30</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1202</v>
      </c>
    </row>
    <row r="482" spans="1:14" ht="36" hidden="1" outlineLevel="1" x14ac:dyDescent="0.4">
      <c r="A482" s="2">
        <v>10</v>
      </c>
      <c r="B482" s="2" t="str">
        <f>D472&amp;"の吐息"</f>
        <v>風の吐息</v>
      </c>
      <c r="D482" s="2" t="str">
        <f>D472</f>
        <v>風</v>
      </c>
      <c r="E482" s="13" t="s">
        <v>128</v>
      </c>
      <c r="G482" s="19">
        <v>80</v>
      </c>
      <c r="H482" s="10" t="str">
        <f>"攻撃手段:吐息 "&amp;E472&amp;"+45 射程:2 範囲:放射"</f>
        <v>攻撃手段:吐息 怯み+45 射程:2 範囲:放射</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1202</v>
      </c>
    </row>
    <row r="483" spans="1:14" hidden="1" outlineLevel="1" x14ac:dyDescent="0.4">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1202</v>
      </c>
    </row>
    <row r="484" spans="1:14" collapsed="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1202</v>
      </c>
    </row>
    <row r="485" spans="1:14" x14ac:dyDescent="0.4">
      <c r="B485" s="2" t="s">
        <v>74</v>
      </c>
      <c r="D485" s="2" t="s">
        <v>281</v>
      </c>
      <c r="E485" s="13" t="s">
        <v>175</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1202</v>
      </c>
    </row>
    <row r="486" spans="1:14" ht="36" hidden="1" outlineLevel="1" x14ac:dyDescent="0.4">
      <c r="A486" s="2">
        <v>1</v>
      </c>
      <c r="B486" s="2" t="str">
        <f>D485&amp;"の拳"</f>
        <v>地の拳</v>
      </c>
      <c r="D486" s="2" t="str">
        <f>D485</f>
        <v>地</v>
      </c>
      <c r="E486" s="13" t="s">
        <v>128</v>
      </c>
      <c r="G486" s="19">
        <v>60</v>
      </c>
      <c r="H486" s="10" t="str">
        <f>"攻撃手段:素手 物理+15 "&amp;E485&amp;"+25 判定:攻撃"</f>
        <v>攻撃手段:素手 物理+15 ガード+25 判定:攻撃</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1202</v>
      </c>
    </row>
    <row r="487" spans="1:14" hidden="1" outlineLevel="1" x14ac:dyDescent="0.4">
      <c r="A487" s="2">
        <v>2</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1202</v>
      </c>
    </row>
    <row r="488" spans="1:14" hidden="1" outlineLevel="1" x14ac:dyDescent="0.4">
      <c r="A488" s="2">
        <v>3</v>
      </c>
      <c r="B488" s="2" t="s">
        <v>278</v>
      </c>
      <c r="E488" s="13" t="s">
        <v>129</v>
      </c>
      <c r="H488" s="10" t="s">
        <v>279</v>
      </c>
      <c r="J488" s="6" t="str">
        <f>IFERROR(_xlfn.LET(_xlpm.v,
VLOOKUP($I488,効果!$A:$B,COLUMN(効果!B$1),FALSE),
IF(_xlpm.v=0,"",_xlpm.v)
),"")</f>
        <v/>
      </c>
      <c r="L488" s="15" t="str">
        <f>IF(OR(COUNTIF(クラス!$A$1:$A$1035, $B488),$B488="",COUNTIF(スキル一覧!$A$1:$A$3500, $B488)), "", "存在しない")</f>
        <v/>
      </c>
      <c r="M488" s="2" t="str">
        <f>IF(COUNTIF($B$1:$C487, $B488), "", "存在しない")</f>
        <v/>
      </c>
      <c r="N488" s="2" t="s">
        <v>1202</v>
      </c>
    </row>
    <row r="489" spans="1:14" hidden="1" outlineLevel="1" x14ac:dyDescent="0.4">
      <c r="A489" s="2">
        <v>4</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1202</v>
      </c>
    </row>
    <row r="490" spans="1:14" hidden="1" outlineLevel="1" x14ac:dyDescent="0.4">
      <c r="A490" s="2">
        <v>5</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1202</v>
      </c>
    </row>
    <row r="491" spans="1:14" hidden="1" outlineLevel="1" x14ac:dyDescent="0.4">
      <c r="A491" s="2">
        <v>6</v>
      </c>
      <c r="B491" s="2" t="str">
        <f>D485&amp;"の魔力"</f>
        <v>地の魔力</v>
      </c>
      <c r="E491" s="13" t="s">
        <v>129</v>
      </c>
      <c r="H491" s="10" t="str">
        <f>"条件系統:"&amp;D485&amp;" 魔力+30"</f>
        <v>条件系統:地 魔力+30</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1202</v>
      </c>
    </row>
    <row r="492" spans="1:14" hidden="1" outlineLevel="1" x14ac:dyDescent="0.4">
      <c r="A492" s="2">
        <v>7</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1202</v>
      </c>
    </row>
    <row r="493" spans="1:14" hidden="1" outlineLevel="1" x14ac:dyDescent="0.4">
      <c r="A493" s="2">
        <v>8</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1202</v>
      </c>
    </row>
    <row r="494" spans="1:14" hidden="1" outlineLevel="1" x14ac:dyDescent="0.4">
      <c r="A494" s="2">
        <v>9</v>
      </c>
      <c r="B494" s="2" t="str">
        <f>D485&amp;"の力"</f>
        <v>地の力</v>
      </c>
      <c r="E494" s="13" t="s">
        <v>129</v>
      </c>
      <c r="H494" s="10" t="str">
        <f>"条件系統:"&amp;D485&amp;" 攻撃+30"</f>
        <v>条件系統:地 攻撃+30</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1202</v>
      </c>
    </row>
    <row r="495" spans="1:14" ht="36" hidden="1" outlineLevel="1" x14ac:dyDescent="0.4">
      <c r="A495" s="2">
        <v>10</v>
      </c>
      <c r="B495" s="2" t="str">
        <f>"石礫の吐息"</f>
        <v>石礫の吐息</v>
      </c>
      <c r="D495" s="2" t="str">
        <f>D485</f>
        <v>地</v>
      </c>
      <c r="E495" s="13" t="s">
        <v>128</v>
      </c>
      <c r="G495" s="19">
        <v>80</v>
      </c>
      <c r="H495" s="10" t="str">
        <f>"攻撃手段:吐息 物理+35 怯み+20 射程:2 範囲:放射"</f>
        <v>攻撃手段:吐息 物理+35 怯み+20 射程:2 範囲:放射</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1202</v>
      </c>
    </row>
    <row r="496" spans="1:14" hidden="1" outlineLevel="1" x14ac:dyDescent="0.4">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1202</v>
      </c>
    </row>
    <row r="497" spans="1:14" collapsed="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1202</v>
      </c>
    </row>
    <row r="498" spans="1:14" x14ac:dyDescent="0.4">
      <c r="B498" s="2" t="s">
        <v>196</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1202</v>
      </c>
    </row>
    <row r="499" spans="1:14" hidden="1" outlineLevel="1" x14ac:dyDescent="0.4">
      <c r="A499" s="2">
        <v>1</v>
      </c>
      <c r="B499" s="2" t="s">
        <v>282</v>
      </c>
      <c r="E499" s="13" t="s">
        <v>128</v>
      </c>
      <c r="G499" s="19">
        <v>40</v>
      </c>
      <c r="H499" s="10" t="s">
        <v>328</v>
      </c>
      <c r="J499" s="6" t="str">
        <f>IFERROR(_xlfn.LET(_xlpm.v,
VLOOKUP($I499,効果!$A:$B,COLUMN(効果!B$1),FALSE),
IF(_xlpm.v=0,"",_xlpm.v)
),"")</f>
        <v/>
      </c>
      <c r="L499" s="15" t="str">
        <f>IF(OR(COUNTIF(クラス!$A$1:$A$1035, $B499),$B499="",COUNTIF(スキル一覧!$A$1:$A$3500, $B499)), "", "存在しない")</f>
        <v/>
      </c>
      <c r="M499" s="2" t="str">
        <f>IF(COUNTIF($B$1:$C498, $B499), "", "存在しない")</f>
        <v/>
      </c>
      <c r="N499" s="2" t="s">
        <v>1202</v>
      </c>
    </row>
    <row r="500" spans="1:14" hidden="1" outlineLevel="1" x14ac:dyDescent="0.4">
      <c r="A500" s="2">
        <v>2</v>
      </c>
      <c r="B500" s="2" t="s">
        <v>283</v>
      </c>
      <c r="E500" s="13" t="s">
        <v>128</v>
      </c>
      <c r="G500" s="19">
        <v>40</v>
      </c>
      <c r="J500" s="6" t="str">
        <f>IFERROR(_xlfn.LET(_xlpm.v,
VLOOKUP($I500,効果!$A:$B,COLUMN(効果!B$1),FALSE),
IF(_xlpm.v=0,"",_xlpm.v)
),"")</f>
        <v/>
      </c>
      <c r="L500" s="15" t="str">
        <f>IF(OR(COUNTIF(クラス!$A$1:$A$1035, $B500),$B500="",COUNTIF(スキル一覧!$A$1:$A$3500, $B500)), "", "存在しない")</f>
        <v/>
      </c>
      <c r="M500" s="2" t="str">
        <f>IF(COUNTIF($B$1:$C499, $B500), "", "存在しない")</f>
        <v/>
      </c>
      <c r="N500" s="2" t="s">
        <v>1202</v>
      </c>
    </row>
    <row r="501" spans="1:14" hidden="1" outlineLevel="1" x14ac:dyDescent="0.4">
      <c r="A501" s="2">
        <v>3</v>
      </c>
      <c r="E501" s="13" t="s">
        <v>129</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1202</v>
      </c>
    </row>
    <row r="502" spans="1:14" hidden="1" outlineLevel="1" x14ac:dyDescent="0.4">
      <c r="A502" s="2">
        <v>4</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1202</v>
      </c>
    </row>
    <row r="503" spans="1:14" hidden="1" outlineLevel="1" x14ac:dyDescent="0.4">
      <c r="A503" s="2">
        <v>5</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1202</v>
      </c>
    </row>
    <row r="504" spans="1:14" hidden="1" outlineLevel="1" x14ac:dyDescent="0.4">
      <c r="A504" s="2">
        <v>6</v>
      </c>
      <c r="E504" s="13" t="s">
        <v>129</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1202</v>
      </c>
    </row>
    <row r="505" spans="1:14" hidden="1" outlineLevel="1" x14ac:dyDescent="0.4">
      <c r="A505" s="2">
        <v>7</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1202</v>
      </c>
    </row>
    <row r="506" spans="1:14" hidden="1" outlineLevel="1" x14ac:dyDescent="0.4">
      <c r="A506" s="2">
        <v>8</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1202</v>
      </c>
    </row>
    <row r="507" spans="1:14" hidden="1" outlineLevel="1" x14ac:dyDescent="0.4">
      <c r="A507" s="2">
        <v>9</v>
      </c>
      <c r="E507" s="13" t="s">
        <v>129</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1202</v>
      </c>
    </row>
    <row r="508" spans="1:14" hidden="1" outlineLevel="1" x14ac:dyDescent="0.4">
      <c r="A508" s="2">
        <v>10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1202</v>
      </c>
    </row>
    <row r="509" spans="1:14" hidden="1" outlineLevel="1" x14ac:dyDescent="0.4">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1202</v>
      </c>
    </row>
    <row r="510" spans="1:14" collapsed="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1202</v>
      </c>
    </row>
    <row r="511" spans="1:14" x14ac:dyDescent="0.4">
      <c r="B511" s="2" t="s">
        <v>124</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1202</v>
      </c>
    </row>
    <row r="512" spans="1:14" hidden="1" outlineLevel="1" x14ac:dyDescent="0.4">
      <c r="A512" s="2">
        <v>1</v>
      </c>
      <c r="B512" s="2" t="s">
        <v>282</v>
      </c>
      <c r="E512" s="13" t="s">
        <v>128</v>
      </c>
      <c r="G512" s="19">
        <v>40</v>
      </c>
      <c r="H512" s="10" t="s">
        <v>328</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1202</v>
      </c>
    </row>
    <row r="513" spans="1:14" hidden="1" outlineLevel="1" x14ac:dyDescent="0.4">
      <c r="A513" s="2">
        <v>2</v>
      </c>
      <c r="B513" s="2" t="s">
        <v>283</v>
      </c>
      <c r="E513" s="13" t="s">
        <v>128</v>
      </c>
      <c r="G513" s="19">
        <v>40</v>
      </c>
      <c r="J513" s="6" t="str">
        <f>IFERROR(_xlfn.LET(_xlpm.v,
VLOOKUP($I513,効果!$A:$B,COLUMN(効果!B$1),FALSE),
IF(_xlpm.v=0,"",_xlpm.v)
),"")</f>
        <v/>
      </c>
      <c r="L513" s="15" t="str">
        <f>IF(OR(COUNTIF(クラス!$A$1:$A$1035, $B513),$B513="",COUNTIF(スキル一覧!$A$1:$A$3500, $B513)), "", "存在しない")</f>
        <v/>
      </c>
      <c r="M513" s="2" t="str">
        <f>IF(COUNTIF($B$1:$C512, $B513), "", "存在しない")</f>
        <v/>
      </c>
      <c r="N513" s="2" t="s">
        <v>1202</v>
      </c>
    </row>
    <row r="514" spans="1:14" hidden="1" outlineLevel="1" x14ac:dyDescent="0.4">
      <c r="A514" s="2">
        <v>3</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1202</v>
      </c>
    </row>
    <row r="515" spans="1:14" hidden="1" outlineLevel="1" x14ac:dyDescent="0.4">
      <c r="A515" s="2">
        <v>4</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1202</v>
      </c>
    </row>
    <row r="516" spans="1:14" hidden="1" outlineLevel="1" x14ac:dyDescent="0.4">
      <c r="A516" s="2">
        <v>5</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1202</v>
      </c>
    </row>
    <row r="517" spans="1:14" hidden="1" outlineLevel="1" x14ac:dyDescent="0.4">
      <c r="A517" s="2">
        <v>6</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1202</v>
      </c>
    </row>
    <row r="518" spans="1:14" hidden="1" outlineLevel="1" x14ac:dyDescent="0.4">
      <c r="A518" s="2">
        <v>7</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1202</v>
      </c>
    </row>
    <row r="519" spans="1:14" hidden="1" outlineLevel="1" x14ac:dyDescent="0.4">
      <c r="A519" s="2">
        <v>8</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1202</v>
      </c>
    </row>
    <row r="520" spans="1:14" hidden="1" outlineLevel="1" x14ac:dyDescent="0.4">
      <c r="A520" s="2">
        <v>9</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1202</v>
      </c>
    </row>
    <row r="521" spans="1:14" hidden="1" outlineLevel="1" x14ac:dyDescent="0.4">
      <c r="A521" s="2">
        <v>10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1202</v>
      </c>
    </row>
    <row r="522" spans="1:14" hidden="1" outlineLevel="1" x14ac:dyDescent="0.4">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1202</v>
      </c>
    </row>
    <row r="523" spans="1:14" collapsed="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1202</v>
      </c>
    </row>
    <row r="524" spans="1:14" x14ac:dyDescent="0.4">
      <c r="B524" s="2" t="s">
        <v>125</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1202</v>
      </c>
    </row>
    <row r="525" spans="1:14" hidden="1" outlineLevel="1" x14ac:dyDescent="0.4">
      <c r="A525" s="2">
        <v>1</v>
      </c>
      <c r="B525" s="2" t="s">
        <v>283</v>
      </c>
      <c r="E525" s="13" t="s">
        <v>128</v>
      </c>
      <c r="G525" s="19">
        <v>40</v>
      </c>
      <c r="H525" s="10" t="s">
        <v>328</v>
      </c>
      <c r="J525" s="6" t="str">
        <f>IFERROR(_xlfn.LET(_xlpm.v,
VLOOKUP($I525,効果!$A:$B,COLUMN(効果!B$1),FALSE),
IF(_xlpm.v=0,"",_xlpm.v)
),"")</f>
        <v/>
      </c>
      <c r="L525" s="15" t="str">
        <f>IF(OR(COUNTIF(クラス!$A$1:$A$1035, $B525),$B525="",COUNTIF(スキル一覧!$A$1:$A$3500, $B525)), "", "存在しない")</f>
        <v/>
      </c>
      <c r="M525" s="2" t="str">
        <f>IF(COUNTIF($B$1:$C524, $B525), "", "存在しない")</f>
        <v/>
      </c>
      <c r="N525" s="2" t="s">
        <v>1202</v>
      </c>
    </row>
    <row r="526" spans="1:14" hidden="1" outlineLevel="1" x14ac:dyDescent="0.4">
      <c r="A526" s="2">
        <v>2</v>
      </c>
      <c r="B526" s="2" t="s">
        <v>286</v>
      </c>
      <c r="E526" s="13" t="s">
        <v>128</v>
      </c>
      <c r="G526" s="19">
        <v>40</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1202</v>
      </c>
    </row>
    <row r="527" spans="1:14" hidden="1" outlineLevel="1" x14ac:dyDescent="0.4">
      <c r="A527" s="2">
        <v>3</v>
      </c>
      <c r="B527" s="2" t="s">
        <v>289</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1202</v>
      </c>
    </row>
    <row r="528" spans="1:14" hidden="1" outlineLevel="1" x14ac:dyDescent="0.4">
      <c r="A528" s="2">
        <v>4</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1202</v>
      </c>
    </row>
    <row r="529" spans="1:14" hidden="1" outlineLevel="1" x14ac:dyDescent="0.4">
      <c r="A529" s="2">
        <v>5</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1202</v>
      </c>
    </row>
    <row r="530" spans="1:14" hidden="1" outlineLevel="1" x14ac:dyDescent="0.4">
      <c r="A530" s="2">
        <v>6</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1202</v>
      </c>
    </row>
    <row r="531" spans="1:14" hidden="1" outlineLevel="1" x14ac:dyDescent="0.4">
      <c r="A531" s="2">
        <v>7</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1202</v>
      </c>
    </row>
    <row r="532" spans="1:14" hidden="1" outlineLevel="1" x14ac:dyDescent="0.4">
      <c r="A532" s="2">
        <v>8</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1202</v>
      </c>
    </row>
    <row r="533" spans="1:14" hidden="1" outlineLevel="1" x14ac:dyDescent="0.4">
      <c r="A533" s="2">
        <v>9</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1202</v>
      </c>
    </row>
    <row r="534" spans="1:14" hidden="1" outlineLevel="1" x14ac:dyDescent="0.4">
      <c r="A534" s="2">
        <v>10</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1202</v>
      </c>
    </row>
    <row r="535" spans="1:14" hidden="1" outlineLevel="1" x14ac:dyDescent="0.4">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1202</v>
      </c>
    </row>
    <row r="536" spans="1:14" collapsed="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1202</v>
      </c>
    </row>
    <row r="537" spans="1:14" x14ac:dyDescent="0.4">
      <c r="B537" s="2" t="s">
        <v>198</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1202</v>
      </c>
    </row>
    <row r="538" spans="1:14" hidden="1" outlineLevel="1" x14ac:dyDescent="0.4">
      <c r="A538" s="2">
        <v>1</v>
      </c>
      <c r="B538" s="2" t="s">
        <v>282</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1202</v>
      </c>
    </row>
    <row r="539" spans="1:14" hidden="1" outlineLevel="1" x14ac:dyDescent="0.4">
      <c r="A539" s="2">
        <v>2</v>
      </c>
      <c r="B539" s="2" t="s">
        <v>283</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1202</v>
      </c>
    </row>
    <row r="540" spans="1:14" hidden="1" outlineLevel="1" x14ac:dyDescent="0.4">
      <c r="A540" s="2">
        <v>3</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1202</v>
      </c>
    </row>
    <row r="541" spans="1:14" hidden="1" outlineLevel="1" x14ac:dyDescent="0.4">
      <c r="A541" s="2">
        <v>4</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1202</v>
      </c>
    </row>
    <row r="542" spans="1:14" hidden="1" outlineLevel="1" x14ac:dyDescent="0.4">
      <c r="A542" s="2">
        <v>5</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1202</v>
      </c>
    </row>
    <row r="543" spans="1:14" hidden="1" outlineLevel="1" x14ac:dyDescent="0.4">
      <c r="A543" s="2">
        <v>6</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1202</v>
      </c>
    </row>
    <row r="544" spans="1:14" hidden="1" outlineLevel="1" x14ac:dyDescent="0.4">
      <c r="A544" s="2">
        <v>7</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1202</v>
      </c>
    </row>
    <row r="545" spans="1:14" hidden="1" outlineLevel="1" x14ac:dyDescent="0.4">
      <c r="A545" s="2">
        <v>8</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1202</v>
      </c>
    </row>
    <row r="546" spans="1:14" hidden="1" outlineLevel="1" x14ac:dyDescent="0.4">
      <c r="A546" s="2">
        <v>9</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1202</v>
      </c>
    </row>
    <row r="547" spans="1:14" hidden="1" outlineLevel="1" x14ac:dyDescent="0.4">
      <c r="A547" s="2">
        <v>10</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1202</v>
      </c>
    </row>
    <row r="548" spans="1:14" hidden="1" outlineLevel="1" x14ac:dyDescent="0.4">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1202</v>
      </c>
    </row>
    <row r="549" spans="1:14" collapsed="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1202</v>
      </c>
    </row>
    <row r="550" spans="1:14" x14ac:dyDescent="0.4">
      <c r="B550" s="2" t="s">
        <v>200</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1202</v>
      </c>
    </row>
    <row r="551" spans="1:14" hidden="1" outlineLevel="1" x14ac:dyDescent="0.4">
      <c r="A551" s="2">
        <v>1</v>
      </c>
      <c r="B551" s="2" t="s">
        <v>282</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1202</v>
      </c>
    </row>
    <row r="552" spans="1:14" hidden="1" outlineLevel="1" x14ac:dyDescent="0.4">
      <c r="A552" s="2">
        <v>2</v>
      </c>
      <c r="B552" s="2" t="s">
        <v>283</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1202</v>
      </c>
    </row>
    <row r="553" spans="1:14" hidden="1" outlineLevel="1" x14ac:dyDescent="0.4">
      <c r="A553" s="2">
        <v>3</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1202</v>
      </c>
    </row>
    <row r="554" spans="1:14" hidden="1" outlineLevel="1" x14ac:dyDescent="0.4">
      <c r="A554" s="2">
        <v>4</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1202</v>
      </c>
    </row>
    <row r="555" spans="1:14" hidden="1" outlineLevel="1" x14ac:dyDescent="0.4">
      <c r="A555" s="2">
        <v>5</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1202</v>
      </c>
    </row>
    <row r="556" spans="1:14" hidden="1" outlineLevel="1" x14ac:dyDescent="0.4">
      <c r="A556" s="2">
        <v>6</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1202</v>
      </c>
    </row>
    <row r="557" spans="1:14" hidden="1" outlineLevel="1" x14ac:dyDescent="0.4">
      <c r="A557" s="2">
        <v>7</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1202</v>
      </c>
    </row>
    <row r="558" spans="1:14" hidden="1" outlineLevel="1" x14ac:dyDescent="0.4">
      <c r="A558" s="2">
        <v>8</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1202</v>
      </c>
    </row>
    <row r="559" spans="1:14" hidden="1" outlineLevel="1" x14ac:dyDescent="0.4">
      <c r="A559" s="2">
        <v>9</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1202</v>
      </c>
    </row>
    <row r="560" spans="1:14" hidden="1" outlineLevel="1" x14ac:dyDescent="0.4">
      <c r="A560" s="2">
        <v>10</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1202</v>
      </c>
    </row>
    <row r="561" spans="1:14" hidden="1" outlineLevel="1" x14ac:dyDescent="0.4">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1202</v>
      </c>
    </row>
    <row r="562" spans="1:14" collapsed="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1202</v>
      </c>
    </row>
    <row r="563" spans="1:14" x14ac:dyDescent="0.4">
      <c r="B563" s="2" t="s">
        <v>202</v>
      </c>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1202</v>
      </c>
    </row>
    <row r="564" spans="1:14" hidden="1" outlineLevel="1" x14ac:dyDescent="0.4">
      <c r="A564" s="2">
        <v>1</v>
      </c>
      <c r="B564" s="2" t="s">
        <v>283</v>
      </c>
      <c r="J564" s="6" t="str">
        <f>IFERROR(_xlfn.LET(_xlpm.v,
VLOOKUP($I564,効果!$A:$B,COLUMN(効果!B$1),FALSE),
IF(_xlpm.v=0,"",_xlpm.v)
),"")</f>
        <v/>
      </c>
      <c r="L564" s="15" t="str">
        <f>IF(OR(COUNTIF(クラス!$A$1:$A$1035, $B564),$B564="",COUNTIF(スキル一覧!$A$1:$A$3500, $B564)), "", "存在しない")</f>
        <v/>
      </c>
      <c r="M564" s="2" t="str">
        <f>IF(COUNTIF($B$1:$C563, $B564), "", "存在しない")</f>
        <v/>
      </c>
      <c r="N564" s="2" t="s">
        <v>1202</v>
      </c>
    </row>
    <row r="565" spans="1:14" hidden="1" outlineLevel="1" x14ac:dyDescent="0.4">
      <c r="A565" s="2">
        <v>2</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1202</v>
      </c>
    </row>
    <row r="566" spans="1:14" hidden="1" outlineLevel="1" x14ac:dyDescent="0.4">
      <c r="A566" s="2">
        <v>3</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1202</v>
      </c>
    </row>
    <row r="567" spans="1:14" hidden="1" outlineLevel="1" x14ac:dyDescent="0.4">
      <c r="A567" s="2">
        <v>4</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1202</v>
      </c>
    </row>
    <row r="568" spans="1:14" hidden="1" outlineLevel="1" x14ac:dyDescent="0.4">
      <c r="A568" s="2">
        <v>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1202</v>
      </c>
    </row>
    <row r="569" spans="1:14" hidden="1" outlineLevel="1" x14ac:dyDescent="0.4">
      <c r="A569" s="2">
        <v>6</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1202</v>
      </c>
    </row>
    <row r="570" spans="1:14" hidden="1" outlineLevel="1" x14ac:dyDescent="0.4">
      <c r="A570" s="2">
        <v>7</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1202</v>
      </c>
    </row>
    <row r="571" spans="1:14" hidden="1" outlineLevel="1" x14ac:dyDescent="0.4">
      <c r="A571" s="2">
        <v>8</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1202</v>
      </c>
    </row>
    <row r="572" spans="1:14" hidden="1" outlineLevel="1" x14ac:dyDescent="0.4">
      <c r="A572" s="2">
        <v>9</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1202</v>
      </c>
    </row>
    <row r="573" spans="1:14" hidden="1" outlineLevel="1" x14ac:dyDescent="0.4">
      <c r="A573" s="2">
        <v>10</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1202</v>
      </c>
    </row>
    <row r="574" spans="1:14" hidden="1" outlineLevel="1" x14ac:dyDescent="0.4">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1202</v>
      </c>
    </row>
    <row r="575" spans="1:14" collapsed="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1202</v>
      </c>
    </row>
    <row r="576" spans="1:14"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1202</v>
      </c>
    </row>
    <row r="577" spans="1:14" ht="18.75" x14ac:dyDescent="0.4">
      <c r="B577" t="s">
        <v>814</v>
      </c>
      <c r="D577" s="7" t="s">
        <v>820</v>
      </c>
      <c r="E577" s="13" t="s">
        <v>821</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1202</v>
      </c>
    </row>
    <row r="578" spans="1:14" hidden="1" outlineLevel="1" x14ac:dyDescent="0.4">
      <c r="A578" s="2">
        <v>1</v>
      </c>
      <c r="B578" s="2" t="str">
        <f>D577&amp;"の適用"</f>
        <v>炎の適用</v>
      </c>
      <c r="D578" s="7"/>
      <c r="E578" s="13" t="s">
        <v>472</v>
      </c>
      <c r="H578" s="10" t="str">
        <f>D577&amp;"耐性+30"</f>
        <v>炎耐性+30</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A579" s="2">
        <v>2</v>
      </c>
      <c r="D579" s="7"/>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1202</v>
      </c>
    </row>
    <row r="580" spans="1:14" ht="36" hidden="1" outlineLevel="1" x14ac:dyDescent="0.4">
      <c r="A580" s="2">
        <v>3</v>
      </c>
      <c r="B580" s="2" t="str">
        <f>D577&amp;"の体"</f>
        <v>炎の体</v>
      </c>
      <c r="D580" s="7"/>
      <c r="E580" s="13" t="s">
        <v>735</v>
      </c>
      <c r="F580" s="14">
        <v>5</v>
      </c>
      <c r="G580" s="19">
        <v>20</v>
      </c>
      <c r="H580" s="10" t="str">
        <f>"効果時間6t 攻撃手段:肉体 "&amp;D577&amp;"+15 判定:攻撃"</f>
        <v>効果時間6t 攻撃手段:肉体 炎+15 判定:攻撃</v>
      </c>
      <c r="J580" s="6" t="str">
        <f>IFERROR(_xlfn.LET(_xlpm.v,
VLOOKUP($I580,効果!$A:$B,COLUMN(効果!B$1),FALSE),
IF(_xlpm.v=0,"",_xlpm.v)
),"")</f>
        <v/>
      </c>
      <c r="L580" s="15" t="str">
        <f>IF(OR(COUNTIF(クラス!$A$1:$A$1035, $B580),$B580="",COUNTIF(スキル一覧!$A$1:$A$3500, $B580)), "", "存在しない")</f>
        <v>存在しない</v>
      </c>
      <c r="M580" s="2" t="str">
        <f>IF(COUNTIF($B$1:$C579, $B580), "", "存在しない")</f>
        <v>存在しない</v>
      </c>
      <c r="N580" s="2" t="e">
        <v>#VALUE!</v>
      </c>
    </row>
    <row r="581" spans="1:14" hidden="1" outlineLevel="1" x14ac:dyDescent="0.4">
      <c r="A581" s="2">
        <v>4</v>
      </c>
      <c r="D581" s="7"/>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1202</v>
      </c>
    </row>
    <row r="582" spans="1:14" hidden="1" outlineLevel="1" x14ac:dyDescent="0.4">
      <c r="A582" s="2">
        <v>5</v>
      </c>
      <c r="D582" s="7"/>
      <c r="E582" s="13" t="s">
        <v>472</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1202</v>
      </c>
    </row>
    <row r="583" spans="1:14" ht="36" hidden="1" outlineLevel="1" x14ac:dyDescent="0.4">
      <c r="A583" s="2">
        <v>6</v>
      </c>
      <c r="B583" s="2" t="str">
        <f>E577&amp;"突撃"</f>
        <v>火炎突撃</v>
      </c>
      <c r="D583" s="7" t="str">
        <f>D577</f>
        <v>炎</v>
      </c>
      <c r="E583" s="13" t="s">
        <v>735</v>
      </c>
      <c r="F583" s="14">
        <v>5</v>
      </c>
      <c r="G583" s="19">
        <v>60</v>
      </c>
      <c r="H583" s="10" t="str">
        <f>"攻撃手段:肉体 打撃+15 "&amp;D577&amp;"+20 追加威力:速度 判定:攻撃 溜め:1t CT:5t"</f>
        <v>攻撃手段:肉体 打撃+15 炎+20 追加威力:速度 判定:攻撃 溜め:1t CT:5t</v>
      </c>
      <c r="J583" s="6" t="str">
        <f>IFERROR(_xlfn.LET(_xlpm.v,
VLOOKUP($I583,効果!$A:$B,COLUMN(効果!B$1),FALSE),
IF(_xlpm.v=0,"",_xlpm.v)
),"")</f>
        <v/>
      </c>
      <c r="L583" s="15" t="str">
        <f>IF(OR(COUNTIF(クラス!$A$1:$A$1035, $B583),$B583="",COUNTIF(スキル一覧!$A$1:$A$3500, $B583)), "", "存在しない")</f>
        <v>存在しない</v>
      </c>
      <c r="M583" s="2" t="str">
        <f>IF(COUNTIF($B$1:$C582, $B583), "", "存在しない")</f>
        <v>存在しない</v>
      </c>
      <c r="N583" s="2" t="e">
        <v>#VALUE!</v>
      </c>
    </row>
    <row r="584" spans="1:14" hidden="1" outlineLevel="1" x14ac:dyDescent="0.4">
      <c r="A584" s="2">
        <v>7</v>
      </c>
      <c r="D584" s="7"/>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1202</v>
      </c>
    </row>
    <row r="585" spans="1:14" hidden="1" outlineLevel="1" x14ac:dyDescent="0.4">
      <c r="A585" s="2">
        <v>8</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1202</v>
      </c>
    </row>
    <row r="586" spans="1:14" hidden="1" outlineLevel="1" x14ac:dyDescent="0.4">
      <c r="A586" s="2">
        <v>9</v>
      </c>
      <c r="B586" s="2" t="str">
        <f>D577&amp;"強化"</f>
        <v>炎強化</v>
      </c>
      <c r="D586" s="7"/>
      <c r="E586" s="13" t="s">
        <v>472</v>
      </c>
      <c r="H586" s="10" t="str">
        <f>"条件系統:"&amp;D577&amp;" 全威力+10"</f>
        <v>条件系統:炎 全威力+10</v>
      </c>
      <c r="J586" s="6" t="str">
        <f>IFERROR(_xlfn.LET(_xlpm.v,
VLOOKUP($I586,効果!$A:$B,COLUMN(効果!B$1),FALSE),
IF(_xlpm.v=0,"",_xlpm.v)
),"")</f>
        <v/>
      </c>
      <c r="L586" s="15" t="str">
        <f>IF(OR(COUNTIF(クラス!$A$1:$A$1035, $B586),$B586="",COUNTIF(スキル一覧!$A$1:$A$3500, $B586)), "", "存在しない")</f>
        <v>存在しない</v>
      </c>
      <c r="M586" s="2" t="str">
        <f>IF(COUNTIF($B$1:$C585, $B586), "", "存在しない")</f>
        <v>存在しない</v>
      </c>
      <c r="N586" s="2" t="e">
        <v>#VALUE!</v>
      </c>
    </row>
    <row r="587" spans="1:14" hidden="1" outlineLevel="1" x14ac:dyDescent="0.4">
      <c r="A587" s="2">
        <v>10</v>
      </c>
      <c r="B587" s="2" t="str">
        <f>D577&amp;"の唾"</f>
        <v>炎の唾</v>
      </c>
      <c r="D587" s="7" t="str">
        <f>D577</f>
        <v>炎</v>
      </c>
      <c r="E587" s="13" t="s">
        <v>735</v>
      </c>
      <c r="G587" s="19">
        <v>25</v>
      </c>
      <c r="H587" s="10" t="str">
        <f>"攻撃手段:吐息 "&amp;D577&amp;"+30 射程:2 判定:Lv"</f>
        <v>攻撃手段:吐息 炎+30 射程:2 判定:Lv</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1202</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1202</v>
      </c>
    </row>
    <row r="590" spans="1:14" ht="18.75" x14ac:dyDescent="0.4">
      <c r="B590" t="s">
        <v>815</v>
      </c>
      <c r="D590" s="2" t="s">
        <v>823</v>
      </c>
      <c r="E590" s="13" t="s">
        <v>824</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1202</v>
      </c>
    </row>
    <row r="591" spans="1:14" hidden="1" outlineLevel="1" x14ac:dyDescent="0.4">
      <c r="A591" s="2">
        <v>1</v>
      </c>
      <c r="B591" s="2" t="str">
        <f>D590&amp;"の適用"</f>
        <v>氷の適用</v>
      </c>
      <c r="D591" s="7"/>
      <c r="E591" s="13" t="s">
        <v>472</v>
      </c>
      <c r="H591" s="10" t="str">
        <f>D590&amp;"耐性+30"</f>
        <v>氷耐性+30</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A592" s="2">
        <v>2</v>
      </c>
      <c r="D592" s="7"/>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1202</v>
      </c>
    </row>
    <row r="593" spans="1:14" ht="36" hidden="1" outlineLevel="1" x14ac:dyDescent="0.4">
      <c r="A593" s="2">
        <v>3</v>
      </c>
      <c r="B593" s="2" t="str">
        <f>D590&amp;"の体"</f>
        <v>氷の体</v>
      </c>
      <c r="D593" s="7"/>
      <c r="E593" s="13" t="s">
        <v>735</v>
      </c>
      <c r="F593" s="14">
        <v>5</v>
      </c>
      <c r="G593" s="19">
        <v>20</v>
      </c>
      <c r="H593" s="10" t="str">
        <f>"効果時間6t 攻撃手段:肉体 "&amp;D590&amp;"+15 判定:攻撃"</f>
        <v>効果時間6t 攻撃手段:肉体 氷+15 判定:攻撃</v>
      </c>
      <c r="J593" s="6" t="str">
        <f>IFERROR(_xlfn.LET(_xlpm.v,
VLOOKUP($I593,効果!$A:$B,COLUMN(効果!B$1),FALSE),
IF(_xlpm.v=0,"",_xlpm.v)
),"")</f>
        <v/>
      </c>
      <c r="L593" s="15" t="str">
        <f>IF(OR(COUNTIF(クラス!$A$1:$A$1035, $B593),$B593="",COUNTIF(スキル一覧!$A$1:$A$3500, $B593)), "", "存在しない")</f>
        <v>存在しない</v>
      </c>
      <c r="M593" s="2" t="str">
        <f>IF(COUNTIF($B$1:$C592, $B593), "", "存在しない")</f>
        <v>存在しない</v>
      </c>
      <c r="N593" s="2" t="e">
        <v>#VALUE!</v>
      </c>
    </row>
    <row r="594" spans="1:14" hidden="1" outlineLevel="1" x14ac:dyDescent="0.4">
      <c r="A594" s="2">
        <v>4</v>
      </c>
      <c r="D594" s="7"/>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1202</v>
      </c>
    </row>
    <row r="595" spans="1:14" hidden="1" outlineLevel="1" x14ac:dyDescent="0.4">
      <c r="A595" s="2">
        <v>5</v>
      </c>
      <c r="D595" s="7"/>
      <c r="E595" s="13" t="s">
        <v>472</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1202</v>
      </c>
    </row>
    <row r="596" spans="1:14" ht="36" hidden="1" outlineLevel="1" x14ac:dyDescent="0.4">
      <c r="A596" s="2">
        <v>6</v>
      </c>
      <c r="B596" s="2" t="str">
        <f>E590&amp;"突撃"</f>
        <v>氷結突撃</v>
      </c>
      <c r="D596" s="7" t="str">
        <f>D590</f>
        <v>氷</v>
      </c>
      <c r="E596" s="13" t="s">
        <v>735</v>
      </c>
      <c r="F596" s="14">
        <v>5</v>
      </c>
      <c r="G596" s="19">
        <v>60</v>
      </c>
      <c r="H596" s="10" t="str">
        <f>"攻撃手段:肉体 打撃+15 "&amp;D590&amp;"+20 追加威力:速度 判定:攻撃 溜め:1t CT:5t"</f>
        <v>攻撃手段:肉体 打撃+15 氷+20 追加威力:速度 判定:攻撃 溜め:1t CT:5t</v>
      </c>
      <c r="J596" s="6" t="str">
        <f>IFERROR(_xlfn.LET(_xlpm.v,
VLOOKUP($I596,効果!$A:$B,COLUMN(効果!B$1),FALSE),
IF(_xlpm.v=0,"",_xlpm.v)
),"")</f>
        <v/>
      </c>
      <c r="L596" s="15" t="str">
        <f>IF(OR(COUNTIF(クラス!$A$1:$A$1035, $B596),$B596="",COUNTIF(スキル一覧!$A$1:$A$3500, $B596)), "", "存在しない")</f>
        <v>存在しない</v>
      </c>
      <c r="M596" s="2" t="str">
        <f>IF(COUNTIF($B$1:$C595, $B596), "", "存在しない")</f>
        <v>存在しない</v>
      </c>
      <c r="N596" s="2" t="e">
        <v>#VALUE!</v>
      </c>
    </row>
    <row r="597" spans="1:14" hidden="1" outlineLevel="1" x14ac:dyDescent="0.4">
      <c r="A597" s="2">
        <v>7</v>
      </c>
      <c r="D597" s="7"/>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1202</v>
      </c>
    </row>
    <row r="598" spans="1:14" hidden="1" outlineLevel="1" x14ac:dyDescent="0.4">
      <c r="A598" s="2">
        <v>8</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1202</v>
      </c>
    </row>
    <row r="599" spans="1:14" hidden="1" outlineLevel="1" x14ac:dyDescent="0.4">
      <c r="A599" s="2">
        <v>9</v>
      </c>
      <c r="B599" s="2" t="str">
        <f>D590&amp;"強化"</f>
        <v>氷強化</v>
      </c>
      <c r="D599" s="7"/>
      <c r="E599" s="13" t="s">
        <v>472</v>
      </c>
      <c r="H599" s="10" t="str">
        <f>"条件系統:"&amp;D590&amp;" 全威力+10"</f>
        <v>条件系統:氷 全威力+10</v>
      </c>
      <c r="J599" s="6" t="str">
        <f>IFERROR(_xlfn.LET(_xlpm.v,
VLOOKUP($I599,効果!$A:$B,COLUMN(効果!B$1),FALSE),
IF(_xlpm.v=0,"",_xlpm.v)
),"")</f>
        <v/>
      </c>
      <c r="L599" s="15" t="str">
        <f>IF(OR(COUNTIF(クラス!$A$1:$A$1035, $B599),$B599="",COUNTIF(スキル一覧!$A$1:$A$3500, $B599)), "", "存在しない")</f>
        <v>存在しない</v>
      </c>
      <c r="M599" s="2" t="str">
        <f>IF(COUNTIF($B$1:$C598, $B599), "", "存在しない")</f>
        <v>存在しない</v>
      </c>
      <c r="N599" s="2" t="e">
        <v>#VALUE!</v>
      </c>
    </row>
    <row r="600" spans="1:14" hidden="1" outlineLevel="1" x14ac:dyDescent="0.4">
      <c r="A600" s="2">
        <v>10</v>
      </c>
      <c r="B600" s="2" t="str">
        <f>D590&amp;"の唾"</f>
        <v>氷の唾</v>
      </c>
      <c r="D600" s="7" t="str">
        <f>D590</f>
        <v>氷</v>
      </c>
      <c r="E600" s="13" t="s">
        <v>735</v>
      </c>
      <c r="G600" s="19">
        <v>25</v>
      </c>
      <c r="H600" s="10" t="str">
        <f>"攻撃手段:吐息 "&amp;D590&amp;"+30 射程:2 判定:Lv"</f>
        <v>攻撃手段:吐息 氷+30 射程:2 判定:Lv</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存在しない</v>
      </c>
      <c r="N600" s="2" t="e">
        <v>#VALUE!</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1202</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1202</v>
      </c>
    </row>
    <row r="603" spans="1:14" ht="18.75" x14ac:dyDescent="0.4">
      <c r="B603" t="s">
        <v>816</v>
      </c>
      <c r="D603" s="2" t="s">
        <v>844</v>
      </c>
      <c r="E603" s="13" t="s">
        <v>855</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1202</v>
      </c>
    </row>
    <row r="604" spans="1:14" hidden="1" outlineLevel="1" x14ac:dyDescent="0.4">
      <c r="A604" s="2">
        <v>1</v>
      </c>
      <c r="B604" s="2" t="s">
        <v>839</v>
      </c>
      <c r="D604" s="7"/>
      <c r="E604" s="13" t="s">
        <v>472</v>
      </c>
      <c r="H604" s="10" t="s">
        <v>843</v>
      </c>
      <c r="J604" s="6" t="str">
        <f>IFERROR(_xlfn.LET(_xlpm.v,
VLOOKUP($I604,効果!$A:$B,COLUMN(効果!B$1),FALSE),
IF(_xlpm.v=0,"",_xlpm.v)
),"")</f>
        <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A605" s="2">
        <v>2</v>
      </c>
      <c r="D605" s="7"/>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1202</v>
      </c>
    </row>
    <row r="606" spans="1:14" hidden="1" outlineLevel="1" x14ac:dyDescent="0.4">
      <c r="A606" s="2">
        <v>3</v>
      </c>
      <c r="B606" s="2" t="s">
        <v>840</v>
      </c>
      <c r="D606" s="7"/>
      <c r="E606" s="13" t="s">
        <v>735</v>
      </c>
      <c r="F606" s="14">
        <v>5</v>
      </c>
      <c r="G606" s="19">
        <v>20</v>
      </c>
      <c r="H606" s="10" t="s">
        <v>847</v>
      </c>
      <c r="I606" s="6" t="s">
        <v>277</v>
      </c>
      <c r="J606" s="6" t="str">
        <f>IFERROR(_xlfn.LET(_xlpm.v,
VLOOKUP($I606,効果!$A:$B,COLUMN(効果!B$1),FALSE),
IF(_xlpm.v=0,"",_xlpm.v)
),"")</f>
        <v>地形効果を無視する</v>
      </c>
      <c r="L606" s="15" t="str">
        <f>IF(OR(COUNTIF(クラス!$A$1:$A$1035, $B606),$B606="",COUNTIF(スキル一覧!$A$1:$A$3500, $B606)), "", "存在しない")</f>
        <v>存在しない</v>
      </c>
      <c r="M606" s="2" t="str">
        <f>IF(COUNTIF($B$1:$C605, $B606), "", "存在しない")</f>
        <v>存在しない</v>
      </c>
      <c r="N606" s="2" t="e">
        <v>#VALUE!</v>
      </c>
    </row>
    <row r="607" spans="1:14" hidden="1" outlineLevel="1" x14ac:dyDescent="0.4">
      <c r="A607" s="2">
        <v>4</v>
      </c>
      <c r="D607" s="7"/>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1202</v>
      </c>
    </row>
    <row r="608" spans="1:14" hidden="1" outlineLevel="1" x14ac:dyDescent="0.4">
      <c r="A608" s="2">
        <v>5</v>
      </c>
      <c r="D608" s="7"/>
      <c r="E608" s="13" t="s">
        <v>472</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1202</v>
      </c>
    </row>
    <row r="609" spans="1:14" ht="36" hidden="1" outlineLevel="1" x14ac:dyDescent="0.4">
      <c r="A609" s="2">
        <v>6</v>
      </c>
      <c r="B609" s="2" t="s">
        <v>856</v>
      </c>
      <c r="D609" s="7" t="s">
        <v>838</v>
      </c>
      <c r="E609" s="13" t="s">
        <v>735</v>
      </c>
      <c r="F609" s="14">
        <v>5</v>
      </c>
      <c r="G609" s="19">
        <v>60</v>
      </c>
      <c r="H609" s="10" t="s">
        <v>845</v>
      </c>
      <c r="J609" s="6" t="str">
        <f>IFERROR(_xlfn.LET(_xlpm.v,
VLOOKUP($I609,効果!$A:$B,COLUMN(効果!B$1),FALSE),
IF(_xlpm.v=0,"",_xlpm.v)
),"")</f>
        <v/>
      </c>
      <c r="L609" s="15" t="str">
        <f>IF(OR(COUNTIF(クラス!$A$1:$A$1035, $B609),$B609="",COUNTIF(スキル一覧!$A$1:$A$3500, $B609)), "", "存在しない")</f>
        <v>存在しない</v>
      </c>
      <c r="M609" s="2" t="str">
        <f>IF(COUNTIF($B$1:$C608, $B609), "", "存在しない")</f>
        <v>存在しない</v>
      </c>
      <c r="N609" s="2" t="e">
        <v>#VALUE!</v>
      </c>
    </row>
    <row r="610" spans="1:14" hidden="1" outlineLevel="1" x14ac:dyDescent="0.4">
      <c r="A610" s="2">
        <v>7</v>
      </c>
      <c r="D610" s="7"/>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1202</v>
      </c>
    </row>
    <row r="611" spans="1:14" hidden="1" outlineLevel="1" x14ac:dyDescent="0.4">
      <c r="A611" s="2">
        <v>8</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1202</v>
      </c>
    </row>
    <row r="612" spans="1:14" hidden="1" outlineLevel="1" x14ac:dyDescent="0.4">
      <c r="A612" s="2">
        <v>9</v>
      </c>
      <c r="B612" s="2" t="s">
        <v>841</v>
      </c>
      <c r="D612" s="7"/>
      <c r="E612" s="13" t="s">
        <v>472</v>
      </c>
      <c r="H612" s="10" t="str">
        <f>"条件系統:"&amp;"風"&amp;" 全威力+10"</f>
        <v>条件系統:風 全威力+10</v>
      </c>
      <c r="J612" s="6" t="str">
        <f>IFERROR(_xlfn.LET(_xlpm.v,
VLOOKUP($I612,効果!$A:$B,COLUMN(効果!B$1),FALSE),
IF(_xlpm.v=0,"",_xlpm.v)
),"")</f>
        <v/>
      </c>
      <c r="L612" s="15" t="str">
        <f>IF(OR(COUNTIF(クラス!$A$1:$A$1035, $B612),$B612="",COUNTIF(スキル一覧!$A$1:$A$3500, $B612)), "", "存在しない")</f>
        <v>存在しない</v>
      </c>
      <c r="M612" s="2" t="str">
        <f>IF(COUNTIF($B$1:$C611, $B612), "", "存在しない")</f>
        <v>存在しない</v>
      </c>
      <c r="N612" s="2" t="e">
        <v>#VALUE!</v>
      </c>
    </row>
    <row r="613" spans="1:14" ht="36" hidden="1" outlineLevel="1" x14ac:dyDescent="0.4">
      <c r="A613" s="2">
        <v>10</v>
      </c>
      <c r="B613" s="2" t="s">
        <v>842</v>
      </c>
      <c r="D613" s="7" t="s">
        <v>838</v>
      </c>
      <c r="E613" s="13" t="s">
        <v>735</v>
      </c>
      <c r="G613" s="19">
        <v>25</v>
      </c>
      <c r="H613" s="10" t="str">
        <f>"攻撃手段:吐息 "&amp;D603&amp;"+30 射程:2 判定:Lv"</f>
        <v>攻撃手段:吐息 怯み+30 射程:2 判定:Lv</v>
      </c>
      <c r="I613" s="6" t="s">
        <v>422</v>
      </c>
      <c r="J613" s="6" t="str">
        <f>IFERROR(_xlfn.LET(_xlpm.v,
VLOOKUP($I613,効果!$A:$B,COLUMN(効果!B$1),FALSE),
IF(_xlpm.v=0,"",_xlpm.v)
),"")</f>
        <v>対象を後方へ移動させる</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J614" s="6" t="str">
        <f>IFERROR(_xlfn.LET(_xlpm.v,
VLOOKUP($I614,効果!$A:$B,COLUMN(効果!B$1),FALSE),
IF(_xlpm.v=0,"",_xlpm.v)
),"")</f>
        <v/>
      </c>
      <c r="L614" s="15" t="str">
        <f>IF(OR(COUNTIF(クラス!$A$1:$A$1035, $B614),$B614="",COUNTIF(スキル一覧!$A$1:$A$3500, $B614)), "", "存在しない")</f>
        <v/>
      </c>
      <c r="M614" s="2" t="str">
        <f>IF(COUNTIF($B$1:$C613, $B614), "", "存在しない")</f>
        <v>存在しない</v>
      </c>
      <c r="N614" s="2" t="s">
        <v>1202</v>
      </c>
    </row>
    <row r="615" spans="1:14" collapsed="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1202</v>
      </c>
    </row>
    <row r="616" spans="1:14" ht="18.75" x14ac:dyDescent="0.4">
      <c r="B616" t="s">
        <v>817</v>
      </c>
      <c r="D616" s="2" t="s">
        <v>825</v>
      </c>
      <c r="E616" s="13" t="s">
        <v>826</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1202</v>
      </c>
    </row>
    <row r="617" spans="1:14" hidden="1" outlineLevel="1" x14ac:dyDescent="0.4">
      <c r="A617" s="2">
        <v>1</v>
      </c>
      <c r="B617" s="2" t="str">
        <f>D616&amp;"の適用"</f>
        <v>雷の適用</v>
      </c>
      <c r="D617" s="7"/>
      <c r="E617" s="13" t="s">
        <v>472</v>
      </c>
      <c r="H617" s="10" t="str">
        <f>D616&amp;"耐性+30"</f>
        <v>雷耐性+30</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2</v>
      </c>
      <c r="D618" s="7"/>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1202</v>
      </c>
    </row>
    <row r="619" spans="1:14" ht="36" hidden="1" outlineLevel="1" x14ac:dyDescent="0.4">
      <c r="A619" s="2">
        <v>3</v>
      </c>
      <c r="B619" s="2" t="str">
        <f>D616&amp;"の体"</f>
        <v>雷の体</v>
      </c>
      <c r="D619" s="7"/>
      <c r="E619" s="13" t="s">
        <v>735</v>
      </c>
      <c r="F619" s="14">
        <v>5</v>
      </c>
      <c r="G619" s="19">
        <v>20</v>
      </c>
      <c r="H619" s="10" t="str">
        <f>"効果時間6t 攻撃手段:肉体 "&amp;D616&amp;"+15 判定:攻撃"</f>
        <v>効果時間6t 攻撃手段:肉体 雷+15 判定:攻撃</v>
      </c>
      <c r="J619" s="6" t="str">
        <f>IFERROR(_xlfn.LET(_xlpm.v,
VLOOKUP($I619,効果!$A:$B,COLUMN(効果!B$1),FALSE),
IF(_xlpm.v=0,"",_xlpm.v)
),"")</f>
        <v/>
      </c>
      <c r="L619" s="15" t="str">
        <f>IF(OR(COUNTIF(クラス!$A$1:$A$1035, $B619),$B619="",COUNTIF(スキル一覧!$A$1:$A$3500, $B619)), "", "存在しない")</f>
        <v>存在しない</v>
      </c>
      <c r="M619" s="2" t="str">
        <f>IF(COUNTIF($B$1:$C618, $B619), "", "存在しない")</f>
        <v>存在しない</v>
      </c>
      <c r="N619" s="2" t="e">
        <v>#VALUE!</v>
      </c>
    </row>
    <row r="620" spans="1:14" hidden="1" outlineLevel="1" x14ac:dyDescent="0.4">
      <c r="A620" s="2">
        <v>4</v>
      </c>
      <c r="D620" s="7"/>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1202</v>
      </c>
    </row>
    <row r="621" spans="1:14" hidden="1" outlineLevel="1" x14ac:dyDescent="0.4">
      <c r="A621" s="2">
        <v>5</v>
      </c>
      <c r="D621" s="7"/>
      <c r="E621" s="13" t="s">
        <v>472</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1202</v>
      </c>
    </row>
    <row r="622" spans="1:14" ht="36" hidden="1" outlineLevel="1" x14ac:dyDescent="0.4">
      <c r="A622" s="2">
        <v>6</v>
      </c>
      <c r="B622" s="2" t="str">
        <f>E616&amp;"突撃"</f>
        <v>電撃突撃</v>
      </c>
      <c r="D622" s="7" t="str">
        <f>D616</f>
        <v>雷</v>
      </c>
      <c r="E622" s="13" t="s">
        <v>735</v>
      </c>
      <c r="F622" s="14">
        <v>5</v>
      </c>
      <c r="G622" s="19">
        <v>60</v>
      </c>
      <c r="H622" s="10" t="str">
        <f>"攻撃手段:肉体 打撃+15 "&amp;D616&amp;"+20 追加威力:速度 判定:攻撃 溜め:1t CT:5t"</f>
        <v>攻撃手段:肉体 打撃+15 雷+20 追加威力:速度 判定:攻撃 溜め:1t CT:5t</v>
      </c>
      <c r="J622" s="6" t="str">
        <f>IFERROR(_xlfn.LET(_xlpm.v,
VLOOKUP($I622,効果!$A:$B,COLUMN(効果!B$1),FALSE),
IF(_xlpm.v=0,"",_xlpm.v)
),"")</f>
        <v/>
      </c>
      <c r="L622" s="15" t="str">
        <f>IF(OR(COUNTIF(クラス!$A$1:$A$1035, $B622),$B622="",COUNTIF(スキル一覧!$A$1:$A$3500, $B622)), "", "存在しない")</f>
        <v>存在しない</v>
      </c>
      <c r="M622" s="2" t="str">
        <f>IF(COUNTIF($B$1:$C621, $B622), "", "存在しない")</f>
        <v>存在しない</v>
      </c>
      <c r="N622" s="2" t="e">
        <v>#VALUE!</v>
      </c>
    </row>
    <row r="623" spans="1:14" hidden="1" outlineLevel="1" x14ac:dyDescent="0.4">
      <c r="A623" s="2">
        <v>7</v>
      </c>
      <c r="D623" s="7"/>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1202</v>
      </c>
    </row>
    <row r="624" spans="1:14" hidden="1" outlineLevel="1" x14ac:dyDescent="0.4">
      <c r="A624" s="2">
        <v>8</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1202</v>
      </c>
    </row>
    <row r="625" spans="1:14" hidden="1" outlineLevel="1" x14ac:dyDescent="0.4">
      <c r="A625" s="2">
        <v>9</v>
      </c>
      <c r="B625" s="2" t="str">
        <f>D616&amp;"強化"</f>
        <v>雷強化</v>
      </c>
      <c r="D625" s="7"/>
      <c r="E625" s="13" t="s">
        <v>472</v>
      </c>
      <c r="H625" s="10" t="str">
        <f>"条件系統:"&amp;D616&amp;" 全威力+10"</f>
        <v>条件系統:雷 全威力+10</v>
      </c>
      <c r="J625" s="6" t="str">
        <f>IFERROR(_xlfn.LET(_xlpm.v,
VLOOKUP($I625,効果!$A:$B,COLUMN(効果!B$1),FALSE),
IF(_xlpm.v=0,"",_xlpm.v)
),"")</f>
        <v/>
      </c>
      <c r="L625" s="15" t="str">
        <f>IF(OR(COUNTIF(クラス!$A$1:$A$1035, $B625),$B625="",COUNTIF(スキル一覧!$A$1:$A$3500, $B625)), "", "存在しない")</f>
        <v>存在しない</v>
      </c>
      <c r="M625" s="2" t="str">
        <f>IF(COUNTIF($B$1:$C624, $B625), "", "存在しない")</f>
        <v>存在しない</v>
      </c>
      <c r="N625" s="2" t="e">
        <v>#VALUE!</v>
      </c>
    </row>
    <row r="626" spans="1:14" hidden="1" outlineLevel="1" x14ac:dyDescent="0.4">
      <c r="A626" s="2">
        <v>10</v>
      </c>
      <c r="B626" s="2" t="str">
        <f>D616&amp;"の唾"</f>
        <v>雷の唾</v>
      </c>
      <c r="D626" s="7" t="str">
        <f>D616</f>
        <v>雷</v>
      </c>
      <c r="E626" s="13" t="s">
        <v>735</v>
      </c>
      <c r="G626" s="19">
        <v>25</v>
      </c>
      <c r="H626" s="10" t="str">
        <f>"攻撃手段:吐息 "&amp;D616&amp;"+30 射程:2 判定:Lv"</f>
        <v>攻撃手段:吐息 雷+30 射程:2 判定:Lv</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1202</v>
      </c>
    </row>
    <row r="628" spans="1:14" collapsed="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1202</v>
      </c>
    </row>
    <row r="629" spans="1:14" ht="18.75" x14ac:dyDescent="0.4">
      <c r="B629" t="s">
        <v>818</v>
      </c>
      <c r="D629" s="2" t="s">
        <v>827</v>
      </c>
      <c r="E629" s="13" t="s">
        <v>828</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1202</v>
      </c>
    </row>
    <row r="630" spans="1:14" hidden="1" outlineLevel="1" x14ac:dyDescent="0.4">
      <c r="A630" s="2">
        <v>1</v>
      </c>
      <c r="B630" s="2" t="str">
        <f>D629&amp;"の適用"</f>
        <v>毒の適用</v>
      </c>
      <c r="D630" s="7"/>
      <c r="E630" s="13" t="s">
        <v>472</v>
      </c>
      <c r="H630" s="10" t="str">
        <f>D629&amp;"耐性+30"</f>
        <v>毒耐性+30</v>
      </c>
      <c r="J630" s="6" t="str">
        <f>IFERROR(_xlfn.LET(_xlpm.v,
VLOOKUP($I630,効果!$A:$B,COLUMN(効果!B$1),FALSE),
IF(_xlpm.v=0,"",_xlpm.v)
),"")</f>
        <v/>
      </c>
      <c r="L630" s="15" t="str">
        <f>IF(OR(COUNTIF(クラス!$A$1:$A$1035, $B630),$B630="",COUNTIF(スキル一覧!$A$1:$A$3500, $B630)), "", "存在しない")</f>
        <v>存在しない</v>
      </c>
      <c r="M630" s="2" t="str">
        <f>IF(COUNTIF($B$1:$C629, $B630), "", "存在しない")</f>
        <v>存在しない</v>
      </c>
      <c r="N630" s="2" t="e">
        <v>#VALUE!</v>
      </c>
    </row>
    <row r="631" spans="1:14" hidden="1" outlineLevel="1" x14ac:dyDescent="0.4">
      <c r="A631" s="2">
        <v>2</v>
      </c>
      <c r="D631" s="7"/>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1202</v>
      </c>
    </row>
    <row r="632" spans="1:14" ht="36" hidden="1" outlineLevel="1" x14ac:dyDescent="0.4">
      <c r="A632" s="2">
        <v>3</v>
      </c>
      <c r="B632" s="2" t="str">
        <f>D629&amp;"の体"</f>
        <v>毒の体</v>
      </c>
      <c r="D632" s="7"/>
      <c r="E632" s="13" t="s">
        <v>735</v>
      </c>
      <c r="F632" s="14">
        <v>5</v>
      </c>
      <c r="G632" s="19">
        <v>20</v>
      </c>
      <c r="H632" s="10" t="str">
        <f>"効果時間6t 攻撃手段:肉体 "&amp;D629&amp;"+15 判定:攻撃"</f>
        <v>効果時間6t 攻撃手段:肉体 毒+15 判定:攻撃</v>
      </c>
      <c r="J632" s="6" t="str">
        <f>IFERROR(_xlfn.LET(_xlpm.v,
VLOOKUP($I632,効果!$A:$B,COLUMN(効果!B$1),FALSE),
IF(_xlpm.v=0,"",_xlpm.v)
),"")</f>
        <v/>
      </c>
      <c r="L632" s="15" t="str">
        <f>IF(OR(COUNTIF(クラス!$A$1:$A$1035, $B632),$B632="",COUNTIF(スキル一覧!$A$1:$A$3500, $B632)), "", "存在しない")</f>
        <v>存在しない</v>
      </c>
      <c r="M632" s="2" t="str">
        <f>IF(COUNTIF($B$1:$C631, $B632), "", "存在しない")</f>
        <v>存在しない</v>
      </c>
      <c r="N632" s="2" t="e">
        <v>#VALUE!</v>
      </c>
    </row>
    <row r="633" spans="1:14" hidden="1" outlineLevel="1" x14ac:dyDescent="0.4">
      <c r="A633" s="2">
        <v>4</v>
      </c>
      <c r="D633" s="7"/>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1202</v>
      </c>
    </row>
    <row r="634" spans="1:14" hidden="1" outlineLevel="1" x14ac:dyDescent="0.4">
      <c r="A634" s="2">
        <v>5</v>
      </c>
      <c r="D634" s="7"/>
      <c r="E634" s="13" t="s">
        <v>472</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1202</v>
      </c>
    </row>
    <row r="635" spans="1:14" ht="36" hidden="1" outlineLevel="1" x14ac:dyDescent="0.4">
      <c r="A635" s="2">
        <v>6</v>
      </c>
      <c r="B635" s="2" t="str">
        <f>E629&amp;"突撃"</f>
        <v>腐蝕突撃</v>
      </c>
      <c r="D635" s="7" t="str">
        <f>D629</f>
        <v>毒</v>
      </c>
      <c r="E635" s="13" t="s">
        <v>735</v>
      </c>
      <c r="F635" s="14">
        <v>5</v>
      </c>
      <c r="G635" s="19">
        <v>60</v>
      </c>
      <c r="H635" s="10" t="str">
        <f>"攻撃手段:肉体 打撃+15 "&amp;D629&amp;"+20 追加威力:速度 判定:攻撃 溜め:1t CT:5t"</f>
        <v>攻撃手段:肉体 打撃+15 毒+20 追加威力:速度 判定:攻撃 溜め:1t CT:5t</v>
      </c>
      <c r="J635" s="6" t="str">
        <f>IFERROR(_xlfn.LET(_xlpm.v,
VLOOKUP($I635,効果!$A:$B,COLUMN(効果!B$1),FALSE),
IF(_xlpm.v=0,"",_xlpm.v)
),"")</f>
        <v/>
      </c>
      <c r="L635" s="15" t="str">
        <f>IF(OR(COUNTIF(クラス!$A$1:$A$1035, $B635),$B635="",COUNTIF(スキル一覧!$A$1:$A$3500, $B635)), "", "存在しない")</f>
        <v>存在しない</v>
      </c>
      <c r="M635" s="2" t="str">
        <f>IF(COUNTIF($B$1:$C634, $B635), "", "存在しない")</f>
        <v>存在しない</v>
      </c>
      <c r="N635" s="2" t="e">
        <v>#VALUE!</v>
      </c>
    </row>
    <row r="636" spans="1:14" hidden="1" outlineLevel="1" x14ac:dyDescent="0.4">
      <c r="A636" s="2">
        <v>7</v>
      </c>
      <c r="D636" s="7"/>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1202</v>
      </c>
    </row>
    <row r="637" spans="1:14" hidden="1" outlineLevel="1" x14ac:dyDescent="0.4">
      <c r="A637" s="2">
        <v>8</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1202</v>
      </c>
    </row>
    <row r="638" spans="1:14" hidden="1" outlineLevel="1" x14ac:dyDescent="0.4">
      <c r="A638" s="2">
        <v>9</v>
      </c>
      <c r="B638" s="2" t="str">
        <f>D629&amp;"強化"</f>
        <v>毒強化</v>
      </c>
      <c r="D638" s="7"/>
      <c r="E638" s="13" t="s">
        <v>472</v>
      </c>
      <c r="H638" s="10" t="str">
        <f>"条件系統:"&amp;D629&amp;" 全威力+10"</f>
        <v>条件系統:毒 全威力+10</v>
      </c>
      <c r="J638" s="6" t="str">
        <f>IFERROR(_xlfn.LET(_xlpm.v,
VLOOKUP($I638,効果!$A:$B,COLUMN(効果!B$1),FALSE),
IF(_xlpm.v=0,"",_xlpm.v)
),"")</f>
        <v/>
      </c>
      <c r="L638" s="15" t="str">
        <f>IF(OR(COUNTIF(クラス!$A$1:$A$1035, $B638),$B638="",COUNTIF(スキル一覧!$A$1:$A$3500, $B638)), "", "存在しない")</f>
        <v>存在しない</v>
      </c>
      <c r="M638" s="2" t="str">
        <f>IF(COUNTIF($B$1:$C637, $B638), "", "存在しない")</f>
        <v>存在しない</v>
      </c>
      <c r="N638" s="2" t="e">
        <v>#VALUE!</v>
      </c>
    </row>
    <row r="639" spans="1:14" hidden="1" outlineLevel="1" x14ac:dyDescent="0.4">
      <c r="A639" s="2">
        <v>10</v>
      </c>
      <c r="B639" s="2" t="str">
        <f>D629&amp;"の唾"</f>
        <v>毒の唾</v>
      </c>
      <c r="D639" s="7" t="str">
        <f>D629</f>
        <v>毒</v>
      </c>
      <c r="E639" s="13" t="s">
        <v>735</v>
      </c>
      <c r="G639" s="19">
        <v>25</v>
      </c>
      <c r="H639" s="10" t="str">
        <f>"攻撃手段:吐息 "&amp;D629&amp;"+30 射程:2 判定:Lv"</f>
        <v>攻撃手段:吐息 毒+30 射程:2 判定:Lv</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idden="1" outlineLevel="1"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1202</v>
      </c>
    </row>
    <row r="641" spans="1:14" collapsed="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1202</v>
      </c>
    </row>
    <row r="642" spans="1:14" ht="18.75" x14ac:dyDescent="0.4">
      <c r="B642" t="s">
        <v>819</v>
      </c>
      <c r="D642" s="2" t="s">
        <v>854</v>
      </c>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1202</v>
      </c>
    </row>
    <row r="643" spans="1:14" hidden="1" outlineLevel="1" x14ac:dyDescent="0.4">
      <c r="A643" s="2">
        <v>1</v>
      </c>
      <c r="B643" s="2" t="s">
        <v>850</v>
      </c>
      <c r="D643" s="7"/>
      <c r="E643" s="13" t="s">
        <v>472</v>
      </c>
      <c r="H643" s="10" t="str">
        <f>D642&amp;"耐性+30"</f>
        <v>打撃耐性+30</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2</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1202</v>
      </c>
    </row>
    <row r="645" spans="1:14" ht="36" hidden="1" outlineLevel="1" x14ac:dyDescent="0.4">
      <c r="A645" s="2">
        <v>3</v>
      </c>
      <c r="B645" s="2" t="s">
        <v>851</v>
      </c>
      <c r="D645" s="7"/>
      <c r="E645" s="13" t="s">
        <v>735</v>
      </c>
      <c r="F645" s="14">
        <v>5</v>
      </c>
      <c r="G645" s="19">
        <v>20</v>
      </c>
      <c r="H645" s="10" t="str">
        <f>"効果時間6t 攻撃手段:肉体 "&amp;D642&amp;"+15 判定:攻撃"</f>
        <v>効果時間6t 攻撃手段:肉体 打撃+15 判定:攻撃</v>
      </c>
      <c r="J645" s="6" t="str">
        <f>IFERROR(_xlfn.LET(_xlpm.v,
VLOOKUP($I645,効果!$A:$B,COLUMN(効果!B$1),FALSE),
IF(_xlpm.v=0,"",_xlpm.v)
),"")</f>
        <v/>
      </c>
      <c r="L645" s="15" t="str">
        <f>IF(OR(COUNTIF(クラス!$A$1:$A$1035, $B645),$B645="",COUNTIF(スキル一覧!$A$1:$A$3500, $B645)), "", "存在しない")</f>
        <v>存在しない</v>
      </c>
      <c r="M645" s="2" t="str">
        <f>IF(COUNTIF($B$1:$C644, $B645), "", "存在しない")</f>
        <v>存在しない</v>
      </c>
      <c r="N645" s="2" t="e">
        <v>#VALUE!</v>
      </c>
    </row>
    <row r="646" spans="1:14" hidden="1" outlineLevel="1" x14ac:dyDescent="0.4">
      <c r="A646" s="2">
        <v>4</v>
      </c>
      <c r="D646" s="7"/>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1202</v>
      </c>
    </row>
    <row r="647" spans="1:14" hidden="1" outlineLevel="1" x14ac:dyDescent="0.4">
      <c r="A647" s="2">
        <v>5</v>
      </c>
      <c r="D647" s="7"/>
      <c r="E647" s="13" t="s">
        <v>472</v>
      </c>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1202</v>
      </c>
    </row>
    <row r="648" spans="1:14" ht="36" hidden="1" outlineLevel="1" x14ac:dyDescent="0.4">
      <c r="A648" s="2">
        <v>6</v>
      </c>
      <c r="B648" s="2" t="s">
        <v>733</v>
      </c>
      <c r="D648" s="7" t="s">
        <v>849</v>
      </c>
      <c r="E648" s="13" t="s">
        <v>735</v>
      </c>
      <c r="F648" s="14">
        <v>5</v>
      </c>
      <c r="G648" s="19">
        <v>60</v>
      </c>
      <c r="H648" s="10" t="str">
        <f>"攻撃手段:肉体 打撃+15 "&amp;D642&amp;"+20 追加威力:速度 判定:攻撃 溜め:1t CT:5t"</f>
        <v>攻撃手段:肉体 打撃+15 打撃+20 追加威力:速度 判定:攻撃 溜め:1t CT:5t</v>
      </c>
      <c r="J648" s="6" t="str">
        <f>IFERROR(_xlfn.LET(_xlpm.v,
VLOOKUP($I648,効果!$A:$B,COLUMN(効果!B$1),FALSE),
IF(_xlpm.v=0,"",_xlpm.v)
),"")</f>
        <v/>
      </c>
      <c r="L648" s="15" t="str">
        <f>IF(OR(COUNTIF(クラス!$A$1:$A$1035, $B648),$B648="",COUNTIF(スキル一覧!$A$1:$A$3500, $B648)), "", "存在しない")</f>
        <v>存在しない</v>
      </c>
      <c r="M648" s="2" t="str">
        <f>IF(COUNTIF($B$1:$C647, $B648), "", "存在しない")</f>
        <v/>
      </c>
      <c r="N648" s="2" t="s">
        <v>1202</v>
      </c>
    </row>
    <row r="649" spans="1:14" hidden="1" outlineLevel="1" x14ac:dyDescent="0.4">
      <c r="A649" s="2">
        <v>7</v>
      </c>
      <c r="D649" s="7"/>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1202</v>
      </c>
    </row>
    <row r="650" spans="1:14" hidden="1" outlineLevel="1" x14ac:dyDescent="0.4">
      <c r="A650" s="2">
        <v>8</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1202</v>
      </c>
    </row>
    <row r="651" spans="1:14" hidden="1" outlineLevel="1" x14ac:dyDescent="0.4">
      <c r="A651" s="2">
        <v>9</v>
      </c>
      <c r="B651" s="2" t="s">
        <v>852</v>
      </c>
      <c r="D651" s="7"/>
      <c r="E651" s="13" t="s">
        <v>472</v>
      </c>
      <c r="H651" s="10" t="str">
        <f>"条件系統:"&amp;D642&amp;" 全威力+10"</f>
        <v>条件系統:打撃 全威力+10</v>
      </c>
      <c r="J651" s="6" t="str">
        <f>IFERROR(_xlfn.LET(_xlpm.v,
VLOOKUP($I651,効果!$A:$B,COLUMN(効果!B$1),FALSE),
IF(_xlpm.v=0,"",_xlpm.v)
),"")</f>
        <v/>
      </c>
      <c r="L651" s="15" t="str">
        <f>IF(OR(COUNTIF(クラス!$A$1:$A$1035, $B651),$B651="",COUNTIF(スキル一覧!$A$1:$A$3500, $B651)), "", "存在しない")</f>
        <v>存在しない</v>
      </c>
      <c r="M651" s="2" t="str">
        <f>IF(COUNTIF($B$1:$C650, $B651), "", "存在しない")</f>
        <v>存在しない</v>
      </c>
      <c r="N651" s="2" t="e">
        <v>#VALUE!</v>
      </c>
    </row>
    <row r="652" spans="1:14" ht="36" hidden="1" outlineLevel="1" x14ac:dyDescent="0.4">
      <c r="A652" s="2">
        <v>10</v>
      </c>
      <c r="B652" s="2" t="s">
        <v>853</v>
      </c>
      <c r="D652" s="7" t="s">
        <v>849</v>
      </c>
      <c r="E652" s="13" t="s">
        <v>735</v>
      </c>
      <c r="G652" s="19">
        <v>25</v>
      </c>
      <c r="H652" s="10" t="str">
        <f>"攻撃手段:吐息 "&amp;D642&amp;"+30 射程:2 判定:Lv"</f>
        <v>攻撃手段:吐息 打撃+30 射程:2 判定:Lv</v>
      </c>
      <c r="I652" s="6" t="s">
        <v>422</v>
      </c>
      <c r="J652" s="6" t="str">
        <f>IFERROR(_xlfn.LET(_xlpm.v,
VLOOKUP($I652,効果!$A:$B,COLUMN(効果!B$1),FALSE),
IF(_xlpm.v=0,"",_xlpm.v)
),"")</f>
        <v>対象を後方へ移動させる</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1202</v>
      </c>
    </row>
    <row r="654" spans="1:14" collapsed="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1202</v>
      </c>
    </row>
    <row r="655" spans="1: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1202</v>
      </c>
    </row>
    <row r="656" spans="1:14" x14ac:dyDescent="0.4">
      <c r="B656" s="2" t="s">
        <v>776</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1202</v>
      </c>
    </row>
    <row r="657" spans="1:14" hidden="1" outlineLevel="1" x14ac:dyDescent="0.4">
      <c r="A657" s="2">
        <v>1</v>
      </c>
      <c r="B657" s="2" t="s">
        <v>109</v>
      </c>
      <c r="E657" s="13" t="s">
        <v>735</v>
      </c>
      <c r="J657" s="6" t="str">
        <f>IFERROR(_xlfn.LET(_xlpm.v,
VLOOKUP($I657,効果!$A:$B,COLUMN(効果!B$1),FALSE),
IF(_xlpm.v=0,"",_xlpm.v)
),"")</f>
        <v/>
      </c>
      <c r="L657" s="15" t="str">
        <f>IF(OR(COUNTIF(クラス!$A$1:$A$1035, $B657),$B657="",COUNTIF(スキル一覧!$A$1:$A$3500, $B657)), "", "存在しない")</f>
        <v/>
      </c>
      <c r="M657" s="2" t="str">
        <f>IF(COUNTIF($B$1:$C656, $B657), "", "存在しない")</f>
        <v/>
      </c>
      <c r="N657" s="2" t="s">
        <v>1202</v>
      </c>
    </row>
    <row r="658" spans="1:14" hidden="1" outlineLevel="1" x14ac:dyDescent="0.4">
      <c r="A658" s="2">
        <v>2</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1202</v>
      </c>
    </row>
    <row r="659" spans="1:14" hidden="1" outlineLevel="1" x14ac:dyDescent="0.4">
      <c r="A659" s="2">
        <v>3</v>
      </c>
      <c r="B659" s="2" t="s">
        <v>829</v>
      </c>
      <c r="E659" s="13" t="s">
        <v>735</v>
      </c>
      <c r="J659" s="6" t="str">
        <f>IFERROR(_xlfn.LET(_xlpm.v,
VLOOKUP($I659,効果!$A:$B,COLUMN(効果!B$1),FALSE),
IF(_xlpm.v=0,"",_xlpm.v)
),"")</f>
        <v/>
      </c>
      <c r="L659" s="15" t="str">
        <f>IF(OR(COUNTIF(クラス!$A$1:$A$1035, $B659),$B659="",COUNTIF(スキル一覧!$A$1:$A$3500, $B659)), "", "存在しない")</f>
        <v/>
      </c>
      <c r="M659" s="2" t="str">
        <f>IF(COUNTIF($B$1:$C658, $B659), "", "存在しない")</f>
        <v/>
      </c>
      <c r="N659" s="2" t="s">
        <v>1202</v>
      </c>
    </row>
    <row r="660" spans="1:14" hidden="1" outlineLevel="1" x14ac:dyDescent="0.4">
      <c r="A660" s="2">
        <v>4</v>
      </c>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1202</v>
      </c>
    </row>
    <row r="661" spans="1:14" hidden="1" outlineLevel="1" x14ac:dyDescent="0.4">
      <c r="A661" s="2">
        <v>5</v>
      </c>
      <c r="B661" s="2" t="s">
        <v>834</v>
      </c>
      <c r="E661" s="13" t="s">
        <v>471</v>
      </c>
      <c r="H661" s="10" t="s">
        <v>835</v>
      </c>
      <c r="J661" s="6" t="str">
        <f>IFERROR(_xlfn.LET(_xlpm.v,
VLOOKUP($I661,効果!$A:$B,COLUMN(効果!B$1),FALSE),
IF(_xlpm.v=0,"",_xlpm.v)
),"")</f>
        <v/>
      </c>
      <c r="L661" s="15" t="str">
        <f>IF(OR(COUNTIF(クラス!$A$1:$A$1035, $B661),$B661="",COUNTIF(スキル一覧!$A$1:$A$3500, $B661)), "", "存在しない")</f>
        <v>存在しない</v>
      </c>
      <c r="M661" s="2" t="str">
        <f>IF(COUNTIF($B$1:$C660, $B661), "", "存在しない")</f>
        <v>存在しない</v>
      </c>
      <c r="N661" s="2" t="e">
        <v>#VALUE!</v>
      </c>
    </row>
    <row r="662" spans="1:14" hidden="1" outlineLevel="1" x14ac:dyDescent="0.4">
      <c r="A662" s="2">
        <v>6</v>
      </c>
      <c r="B662" s="2" t="s">
        <v>831</v>
      </c>
      <c r="E662" s="13" t="s">
        <v>735</v>
      </c>
      <c r="G662" s="19">
        <v>20</v>
      </c>
      <c r="H662" s="10" t="s">
        <v>833</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
      </c>
      <c r="N662" s="2" t="s">
        <v>1202</v>
      </c>
    </row>
    <row r="663" spans="1:14" hidden="1" outlineLevel="1" x14ac:dyDescent="0.4">
      <c r="A663" s="2">
        <v>7</v>
      </c>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1202</v>
      </c>
    </row>
    <row r="664" spans="1:14" ht="36" hidden="1" outlineLevel="1" x14ac:dyDescent="0.4">
      <c r="A664" s="2">
        <v>8</v>
      </c>
      <c r="B664" s="2" t="s">
        <v>830</v>
      </c>
      <c r="E664" s="13" t="s">
        <v>735</v>
      </c>
      <c r="H664" s="10" t="s">
        <v>832</v>
      </c>
      <c r="J664" s="6" t="str">
        <f>IFERROR(_xlfn.LET(_xlpm.v,
VLOOKUP($I664,効果!$A:$B,COLUMN(効果!B$1),FALSE),
IF(_xlpm.v=0,"",_xlpm.v)
),"")</f>
        <v/>
      </c>
      <c r="L664" s="15" t="str">
        <f>IF(OR(COUNTIF(クラス!$A$1:$A$1035, $B664),$B664="",COUNTIF(スキル一覧!$A$1:$A$3500, $B664)), "", "存在しない")</f>
        <v>存在しない</v>
      </c>
      <c r="M664" s="2" t="str">
        <f>IF(COUNTIF($B$1:$C663, $B664), "", "存在しない")</f>
        <v>存在しない</v>
      </c>
      <c r="N664" s="2" t="e">
        <v>#VALUE!</v>
      </c>
    </row>
    <row r="665" spans="1:14" hidden="1" outlineLevel="1" x14ac:dyDescent="0.4">
      <c r="A665" s="2">
        <v>9</v>
      </c>
      <c r="B665" s="2" t="s">
        <v>837</v>
      </c>
      <c r="E665" s="13" t="s">
        <v>471</v>
      </c>
      <c r="H665" s="10" t="s">
        <v>836</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E666" s="13" t="s">
        <v>735</v>
      </c>
      <c r="G666" s="19">
        <v>20</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1202</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1202</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1202</v>
      </c>
    </row>
    <row r="669" spans="1: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1202</v>
      </c>
    </row>
    <row r="670" spans="1: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1202</v>
      </c>
    </row>
    <row r="671" spans="1: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1202</v>
      </c>
    </row>
    <row r="672" spans="1: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1202</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1202</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1202</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1202</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1202</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1202</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1202</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1202</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1202</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1202</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1202</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1202</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1202</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1202</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1202</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1202</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1202</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1202</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1202</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1202</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1202</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1202</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1202</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1202</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1202</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1202</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1202</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1202</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1202</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1202</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1202</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1202</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1202</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1202</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1202</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1202</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1202</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1202</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1202</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1202</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1202</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1202</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1202</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1202</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1202</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1202</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1202</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1202</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1202</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1202</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1202</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1202</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1202</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1202</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1202</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1202</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1202</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1202</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1202</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1202</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1202</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1202</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1202</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1202</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1202</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1202</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1202</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1202</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1202</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1202</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1202</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1202</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1202</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1202</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1202</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1202</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1202</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1202</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1202</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1202</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1202</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1202</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1202</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1202</v>
      </c>
    </row>
    <row r="756" spans="10:14" x14ac:dyDescent="0.4">
      <c r="J756" s="6" t="str">
        <f>IFERROR(_xlfn.LET(_xlpm.v,
VLOOKUP($I756,効果!$A:$B,COLUMN(効果!B$1),FALSE),
IF(_xlpm.v=0,"",_xlpm.v)
),"")</f>
        <v/>
      </c>
    </row>
    <row r="757" spans="10:14" x14ac:dyDescent="0.4">
      <c r="J757" s="6" t="str">
        <f>IFERROR(_xlfn.LET(_xlpm.v,
VLOOKUP($I757,効果!$A:$B,COLUMN(効果!B$1),FALSE),
IF(_xlpm.v=0,"",_xlpm.v)
),"")</f>
        <v/>
      </c>
    </row>
    <row r="758" spans="10:14" x14ac:dyDescent="0.4">
      <c r="J758" s="6" t="str">
        <f>IFERROR(_xlfn.LET(_xlpm.v,
VLOOKUP($I758,効果!$A:$B,COLUMN(効果!B$1),FALSE),
IF(_xlpm.v=0,"",_xlpm.v)
),"")</f>
        <v/>
      </c>
    </row>
    <row r="759" spans="10:14" x14ac:dyDescent="0.4">
      <c r="J759" s="6" t="str">
        <f>IFERROR(_xlfn.LET(_xlpm.v,
VLOOKUP($I759,効果!$A:$B,COLUMN(効果!B$1),FALSE),
IF(_xlpm.v=0,"",_xlpm.v)
),"")</f>
        <v/>
      </c>
    </row>
    <row r="760" spans="10:14" x14ac:dyDescent="0.4">
      <c r="J760" s="6" t="str">
        <f>IFERROR(_xlfn.LET(_xlpm.v,
VLOOKUP($I760,効果!$A:$B,COLUMN(効果!B$1),FALSE),
IF(_xlpm.v=0,"",_xlpm.v)
),"")</f>
        <v/>
      </c>
    </row>
    <row r="761" spans="10:14" x14ac:dyDescent="0.4">
      <c r="J761" s="6" t="str">
        <f>IFERROR(_xlfn.LET(_xlpm.v,
VLOOKUP($I761,効果!$A:$B,COLUMN(効果!B$1),FALSE),
IF(_xlpm.v=0,"",_xlpm.v)
),"")</f>
        <v/>
      </c>
    </row>
    <row r="762" spans="10:14" x14ac:dyDescent="0.4">
      <c r="J762" s="6" t="str">
        <f>IFERROR(_xlfn.LET(_xlpm.v,
VLOOKUP($I762,効果!$A:$B,COLUMN(効果!B$1),FALSE),
IF(_xlpm.v=0,"",_xlpm.v)
),"")</f>
        <v/>
      </c>
    </row>
    <row r="763" spans="10:14" x14ac:dyDescent="0.4">
      <c r="J763" s="6" t="str">
        <f>IFERROR(_xlfn.LET(_xlpm.v,
VLOOKUP($I763,効果!$A:$B,COLUMN(効果!B$1),FALSE),
IF(_xlpm.v=0,"",_xlpm.v)
),"")</f>
        <v/>
      </c>
    </row>
    <row r="764" spans="10:14" x14ac:dyDescent="0.4">
      <c r="J764" s="6" t="str">
        <f>IFERROR(_xlfn.LET(_xlpm.v,
VLOOKUP($I764,効果!$A:$B,COLUMN(効果!B$1),FALSE),
IF(_xlpm.v=0,"",_xlpm.v)
),"")</f>
        <v/>
      </c>
    </row>
    <row r="765" spans="10:14" x14ac:dyDescent="0.4">
      <c r="J765" s="6" t="str">
        <f>IFERROR(_xlfn.LET(_xlpm.v,
VLOOKUP($I765,効果!$A:$B,COLUMN(効果!B$1),FALSE),
IF(_xlpm.v=0,"",_xlpm.v)
),"")</f>
        <v/>
      </c>
    </row>
    <row r="766" spans="10:14" x14ac:dyDescent="0.4">
      <c r="J766" s="6" t="str">
        <f>IFERROR(_xlfn.LET(_xlpm.v,
VLOOKUP($I766,効果!$A:$B,COLUMN(効果!B$1),FALSE),
IF(_xlpm.v=0,"",_xlpm.v)
),"")</f>
        <v/>
      </c>
    </row>
    <row r="767" spans="10:14" x14ac:dyDescent="0.4">
      <c r="J767" s="6" t="str">
        <f>IFERROR(_xlfn.LET(_xlpm.v,
VLOOKUP($I767,効果!$A:$B,COLUMN(効果!B$1),FALSE),
IF(_xlpm.v=0,"",_xlpm.v)
),"")</f>
        <v/>
      </c>
    </row>
    <row r="768" spans="10:14" x14ac:dyDescent="0.4">
      <c r="J768" s="6" t="str">
        <f>IFERROR(_xlfn.LET(_xlpm.v,
VLOOKUP($I768,効果!$A:$B,COLUMN(効果!B$1),FALSE),
IF(_xlpm.v=0,"",_xlpm.v)
),"")</f>
        <v/>
      </c>
    </row>
    <row r="769" spans="10:10" x14ac:dyDescent="0.4">
      <c r="J769" s="6" t="str">
        <f>IFERROR(_xlfn.LET(_xlpm.v,
VLOOKUP($I769,効果!$A:$B,COLUMN(効果!B$1),FALSE),
IF(_xlpm.v=0,"",_xlpm.v)
),"")</f>
        <v/>
      </c>
    </row>
    <row r="770" spans="10:10" x14ac:dyDescent="0.4">
      <c r="J770" s="6" t="str">
        <f>IFERROR(_xlfn.LET(_xlpm.v,
VLOOKUP($I770,効果!$A:$B,COLUMN(効果!B$1),FALSE),
IF(_xlpm.v=0,"",_xlpm.v)
),"")</f>
        <v/>
      </c>
    </row>
    <row r="771" spans="10:10" x14ac:dyDescent="0.4">
      <c r="J771" s="6" t="str">
        <f>IFERROR(_xlfn.LET(_xlpm.v,
VLOOKUP($I771,効果!$A:$B,COLUMN(効果!B$1),FALSE),
IF(_xlpm.v=0,"",_xlpm.v)
),"")</f>
        <v/>
      </c>
    </row>
    <row r="772" spans="10:10" x14ac:dyDescent="0.4">
      <c r="J772" s="6" t="str">
        <f>IFERROR(_xlfn.LET(_xlpm.v,
VLOOKUP($I772,効果!$A:$B,COLUMN(効果!B$1),FALSE),
IF(_xlpm.v=0,"",_xlpm.v)
),"")</f>
        <v/>
      </c>
    </row>
    <row r="773" spans="10:10" x14ac:dyDescent="0.4">
      <c r="J773" s="6" t="str">
        <f>IFERROR(_xlfn.LET(_xlpm.v,
VLOOKUP($I773,効果!$A:$B,COLUMN(効果!B$1),FALSE),
IF(_xlpm.v=0,"",_xlpm.v)
),"")</f>
        <v/>
      </c>
    </row>
    <row r="774" spans="10:10" x14ac:dyDescent="0.4">
      <c r="J774" s="6" t="str">
        <f>IFERROR(_xlfn.LET(_xlpm.v,
VLOOKUP($I774,効果!$A:$B,COLUMN(効果!B$1),FALSE),
IF(_xlpm.v=0,"",_xlpm.v)
),"")</f>
        <v/>
      </c>
    </row>
    <row r="775" spans="10:10" x14ac:dyDescent="0.4">
      <c r="J775" s="6" t="str">
        <f>IFERROR(_xlfn.LET(_xlpm.v,
VLOOKUP($I775,効果!$A:$B,COLUMN(効果!B$1),FALSE),
IF(_xlpm.v=0,"",_xlpm.v)
),"")</f>
        <v/>
      </c>
    </row>
    <row r="776" spans="10:10" x14ac:dyDescent="0.4">
      <c r="J776" s="6" t="str">
        <f>IFERROR(_xlfn.LET(_xlpm.v,
VLOOKUP($I776,効果!$A:$B,COLUMN(効果!B$1),FALSE),
IF(_xlpm.v=0,"",_xlpm.v)
),"")</f>
        <v/>
      </c>
    </row>
    <row r="777" spans="10:10" x14ac:dyDescent="0.4">
      <c r="J777" s="6" t="str">
        <f>IFERROR(_xlfn.LET(_xlpm.v,
VLOOKUP($I777,効果!$A:$B,COLUMN(効果!B$1),FALSE),
IF(_xlpm.v=0,"",_xlpm.v)
),"")</f>
        <v/>
      </c>
    </row>
    <row r="778" spans="10:10" x14ac:dyDescent="0.4">
      <c r="J778" s="6" t="str">
        <f>IFERROR(_xlfn.LET(_xlpm.v,
VLOOKUP($I778,効果!$A:$B,COLUMN(効果!B$1),FALSE),
IF(_xlpm.v=0,"",_xlpm.v)
),"")</f>
        <v/>
      </c>
    </row>
    <row r="779" spans="10:10" x14ac:dyDescent="0.4">
      <c r="J779" s="6" t="str">
        <f>IFERROR(_xlfn.LET(_xlpm.v,
VLOOKUP($I779,効果!$A:$B,COLUMN(効果!B$1),FALSE),
IF(_xlpm.v=0,"",_xlpm.v)
),"")</f>
        <v/>
      </c>
    </row>
    <row r="780" spans="10:10" x14ac:dyDescent="0.4">
      <c r="J780" s="6" t="str">
        <f>IFERROR(_xlfn.LET(_xlpm.v,
VLOOKUP($I780,効果!$A:$B,COLUMN(効果!B$1),FALSE),
IF(_xlpm.v=0,"",_xlpm.v)
),"")</f>
        <v/>
      </c>
    </row>
    <row r="781" spans="10:10" x14ac:dyDescent="0.4">
      <c r="J781" s="6" t="str">
        <f>IFERROR(_xlfn.LET(_xlpm.v,
VLOOKUP($I781,効果!$A:$B,COLUMN(効果!B$1),FALSE),
IF(_xlpm.v=0,"",_xlpm.v)
),"")</f>
        <v/>
      </c>
    </row>
    <row r="782" spans="10:10" x14ac:dyDescent="0.4">
      <c r="J782" s="6" t="str">
        <f>IFERROR(_xlfn.LET(_xlpm.v,
VLOOKUP($I782,効果!$A:$B,COLUMN(効果!B$1),FALSE),
IF(_xlpm.v=0,"",_xlpm.v)
),"")</f>
        <v/>
      </c>
    </row>
    <row r="783" spans="10:10" x14ac:dyDescent="0.4">
      <c r="J783" s="6" t="str">
        <f>IFERROR(_xlfn.LET(_xlpm.v,
VLOOKUP($I783,効果!$A:$B,COLUMN(効果!B$1),FALSE),
IF(_xlpm.v=0,"",_xlpm.v)
),"")</f>
        <v/>
      </c>
    </row>
    <row r="784" spans="10:10"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sheetData>
  <autoFilter ref="A4:T755"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I5:I756 H47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tabSelected="1" workbookViewId="0">
      <pane xSplit="5" ySplit="17" topLeftCell="Z18" activePane="bottomRight" state="frozen"/>
      <selection pane="topRight" activeCell="F1" sqref="F1"/>
      <selection pane="bottomLeft" activeCell="A18" sqref="A18"/>
      <selection pane="bottomRight" activeCell="AQ27" sqref="AQ27"/>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892</v>
      </c>
      <c r="F1" s="22" t="s">
        <v>11</v>
      </c>
      <c r="G1" s="22" t="s">
        <v>1233</v>
      </c>
      <c r="H1" s="22" t="s">
        <v>1234</v>
      </c>
      <c r="I1" s="22" t="s">
        <v>13</v>
      </c>
      <c r="J1" s="22" t="s">
        <v>15</v>
      </c>
      <c r="K1" s="25" t="s">
        <v>17</v>
      </c>
      <c r="L1" s="22" t="s">
        <v>18</v>
      </c>
      <c r="M1" s="22" t="s">
        <v>20</v>
      </c>
      <c r="N1" s="22" t="s">
        <v>22</v>
      </c>
      <c r="O1" s="22" t="s">
        <v>29</v>
      </c>
      <c r="P1" s="20" t="s">
        <v>145</v>
      </c>
      <c r="Q1" s="20" t="s">
        <v>177</v>
      </c>
      <c r="R1" s="20" t="s">
        <v>670</v>
      </c>
      <c r="S1" s="20" t="s">
        <v>1227</v>
      </c>
      <c r="T1" s="20" t="s">
        <v>1228</v>
      </c>
      <c r="U1" s="20" t="s">
        <v>1229</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1849</v>
      </c>
      <c r="AT1" s="29" t="s">
        <v>230</v>
      </c>
      <c r="AU1" s="29" t="s">
        <v>5</v>
      </c>
      <c r="AV1" s="29" t="s">
        <v>997</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908</v>
      </c>
      <c r="BS1" s="10" t="s">
        <v>905</v>
      </c>
      <c r="BT1" s="53" t="s">
        <v>477</v>
      </c>
      <c r="BU1" s="53" t="s">
        <v>478</v>
      </c>
      <c r="BV1" s="53" t="s">
        <v>479</v>
      </c>
      <c r="BW1" s="53" t="s">
        <v>480</v>
      </c>
      <c r="BX1" s="10" t="s">
        <v>907</v>
      </c>
      <c r="BY1" s="10" t="s">
        <v>910</v>
      </c>
      <c r="CA1" s="10" t="s">
        <v>913</v>
      </c>
      <c r="CB1" s="10" t="s">
        <v>915</v>
      </c>
      <c r="CC1" s="10" t="s">
        <v>916</v>
      </c>
      <c r="CD1" s="10" t="s">
        <v>914</v>
      </c>
      <c r="CE1" s="10" t="s">
        <v>917</v>
      </c>
      <c r="CF1" s="10" t="s">
        <v>918</v>
      </c>
      <c r="CG1" s="10" t="s">
        <v>748</v>
      </c>
      <c r="CH1" s="10" t="s">
        <v>749</v>
      </c>
      <c r="CI1" s="10" t="s">
        <v>989</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6" t="s">
        <v>232</v>
      </c>
      <c r="AK2" s="76"/>
      <c r="AL2" s="76"/>
      <c r="AM2" s="76"/>
      <c r="AN2" s="76"/>
      <c r="AO2" s="76"/>
      <c r="AP2" s="76"/>
      <c r="AQ2" s="76"/>
      <c r="AR2" s="76"/>
      <c r="AS2" s="76"/>
      <c r="AT2" s="76"/>
      <c r="AU2" s="76"/>
      <c r="AV2" s="76"/>
      <c r="AW2" s="76"/>
      <c r="AX2" s="76"/>
      <c r="AY2" s="76"/>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6" t="s">
        <v>233</v>
      </c>
      <c r="AK3" s="76"/>
      <c r="AL3" s="76"/>
      <c r="AM3" s="76"/>
      <c r="AN3" s="76"/>
      <c r="AO3" s="76"/>
      <c r="AP3" s="76"/>
      <c r="AQ3" s="76"/>
      <c r="AR3" s="76"/>
      <c r="AS3" s="76"/>
      <c r="AT3" s="76"/>
      <c r="AU3" s="76"/>
      <c r="AV3" s="76"/>
      <c r="AW3" s="76"/>
      <c r="AX3" s="76"/>
      <c r="AY3" s="76"/>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6" t="s">
        <v>234</v>
      </c>
      <c r="AK4" s="76"/>
      <c r="AL4" s="76"/>
      <c r="AM4" s="76"/>
      <c r="AN4" s="76"/>
      <c r="AO4" s="76"/>
      <c r="AP4" s="76"/>
      <c r="AQ4" s="76"/>
      <c r="AR4" s="76"/>
      <c r="AS4" s="76"/>
      <c r="AT4" s="76"/>
      <c r="AU4" s="76"/>
      <c r="AV4" s="76"/>
      <c r="AW4" s="76"/>
      <c r="AX4" s="76"/>
      <c r="AY4" s="76"/>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6" t="s">
        <v>235</v>
      </c>
      <c r="AK5" s="76"/>
      <c r="AL5" s="76"/>
      <c r="AM5" s="76"/>
      <c r="AN5" s="76"/>
      <c r="AO5" s="76"/>
      <c r="AP5" s="76"/>
      <c r="AQ5" s="76"/>
      <c r="AR5" s="76"/>
      <c r="AS5" s="76"/>
      <c r="AT5" s="76"/>
      <c r="AU5" s="76"/>
      <c r="AV5" s="76"/>
      <c r="AW5" s="76"/>
      <c r="AX5" s="76"/>
      <c r="AY5" s="76"/>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6" t="s">
        <v>236</v>
      </c>
      <c r="AK6" s="76"/>
      <c r="AL6" s="76"/>
      <c r="AM6" s="76"/>
      <c r="AN6" s="76"/>
      <c r="AO6" s="76"/>
      <c r="AP6" s="76"/>
      <c r="AQ6" s="76"/>
      <c r="AR6" s="76"/>
      <c r="AS6" s="76"/>
      <c r="AT6" s="76"/>
      <c r="AU6" s="76"/>
      <c r="AV6" s="76"/>
      <c r="AW6" s="76"/>
      <c r="AX6" s="76"/>
      <c r="AY6" s="76"/>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4" t="s">
        <v>237</v>
      </c>
      <c r="AK7" s="74"/>
      <c r="AL7" s="74"/>
      <c r="AM7" s="74"/>
      <c r="AN7" s="74"/>
      <c r="AO7" s="74"/>
      <c r="AP7" s="74"/>
      <c r="AQ7" s="74"/>
      <c r="AR7" s="74"/>
      <c r="AS7" s="74"/>
      <c r="AT7" s="74"/>
      <c r="AU7" s="74"/>
      <c r="AV7" s="74"/>
      <c r="AW7" s="74"/>
      <c r="AX7" s="74"/>
      <c r="AY7" s="74"/>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4" t="s">
        <v>238</v>
      </c>
      <c r="AK8" s="74"/>
      <c r="AL8" s="74"/>
      <c r="AM8" s="74"/>
      <c r="AN8" s="74"/>
      <c r="AO8" s="74"/>
      <c r="AP8" s="74"/>
      <c r="AQ8" s="74"/>
      <c r="AR8" s="74"/>
      <c r="AS8" s="74"/>
      <c r="AT8" s="74"/>
      <c r="AU8" s="74"/>
      <c r="AV8" s="74"/>
      <c r="AW8" s="74"/>
      <c r="AX8" s="74"/>
      <c r="AY8" s="74"/>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5" t="s">
        <v>239</v>
      </c>
      <c r="AK9" s="75"/>
      <c r="AL9" s="75"/>
      <c r="AM9" s="75"/>
      <c r="AN9" s="75"/>
      <c r="AO9" s="75"/>
      <c r="AP9" s="75"/>
      <c r="AQ9" s="75"/>
      <c r="AR9" s="75"/>
      <c r="AS9" s="75"/>
      <c r="AT9" s="75"/>
      <c r="AU9" s="75"/>
      <c r="AV9" s="75"/>
      <c r="AW9" s="75"/>
      <c r="AX9" s="75"/>
      <c r="AY9" s="75"/>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5" t="s">
        <v>240</v>
      </c>
      <c r="AK10" s="75"/>
      <c r="AL10" s="75"/>
      <c r="AM10" s="75"/>
      <c r="AN10" s="75"/>
      <c r="AO10" s="75"/>
      <c r="AP10" s="75"/>
      <c r="AQ10" s="75"/>
      <c r="AR10" s="75"/>
      <c r="AS10" s="75"/>
      <c r="AT10" s="75"/>
      <c r="AU10" s="75"/>
      <c r="AV10" s="75"/>
      <c r="AW10" s="75"/>
      <c r="AX10" s="75"/>
      <c r="AY10" s="75"/>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5" t="s">
        <v>241</v>
      </c>
      <c r="AK11" s="75"/>
      <c r="AL11" s="75"/>
      <c r="AM11" s="75"/>
      <c r="AN11" s="75"/>
      <c r="AO11" s="75"/>
      <c r="AP11" s="75"/>
      <c r="AQ11" s="75"/>
      <c r="AR11" s="75"/>
      <c r="AS11" s="75"/>
      <c r="AT11" s="75"/>
      <c r="AU11" s="75"/>
      <c r="AV11" s="75"/>
      <c r="AW11" s="75"/>
      <c r="AX11" s="75"/>
      <c r="AY11" s="75"/>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5" t="s">
        <v>242</v>
      </c>
      <c r="AK12" s="75"/>
      <c r="AL12" s="75"/>
      <c r="AM12" s="75"/>
      <c r="AN12" s="75"/>
      <c r="AO12" s="75"/>
      <c r="AP12" s="75"/>
      <c r="AQ12" s="75"/>
      <c r="AR12" s="75"/>
      <c r="AS12" s="75"/>
      <c r="AT12" s="75"/>
      <c r="AU12" s="75"/>
      <c r="AV12" s="75"/>
      <c r="AW12" s="75"/>
      <c r="AX12" s="75"/>
      <c r="AY12" s="75"/>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3" t="s">
        <v>243</v>
      </c>
      <c r="AK13" s="73"/>
      <c r="AL13" s="73"/>
      <c r="AM13" s="73"/>
      <c r="AN13" s="73"/>
      <c r="AO13" s="73"/>
      <c r="AP13" s="73"/>
      <c r="AQ13" s="73"/>
      <c r="AR13" s="73"/>
      <c r="AS13" s="73"/>
      <c r="AT13" s="73"/>
      <c r="AU13" s="73"/>
      <c r="AV13" s="73"/>
      <c r="AW13" s="73"/>
      <c r="AX13" s="73"/>
      <c r="AY13" s="73"/>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3" t="s">
        <v>244</v>
      </c>
      <c r="AK14" s="73"/>
      <c r="AL14" s="73"/>
      <c r="AM14" s="73"/>
      <c r="AN14" s="73"/>
      <c r="AO14" s="73"/>
      <c r="AP14" s="73"/>
      <c r="AQ14" s="73"/>
      <c r="AR14" s="73"/>
      <c r="AS14" s="73"/>
      <c r="AT14" s="73"/>
      <c r="AU14" s="73"/>
      <c r="AV14" s="73"/>
      <c r="AW14" s="73"/>
      <c r="AX14" s="73"/>
      <c r="AY14" s="73"/>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997</v>
      </c>
      <c r="AJ15" s="73" t="s">
        <v>245</v>
      </c>
      <c r="AK15" s="73"/>
      <c r="AL15" s="73"/>
      <c r="AM15" s="73"/>
      <c r="AN15" s="73"/>
      <c r="AO15" s="73"/>
      <c r="AP15" s="73"/>
      <c r="AQ15" s="73"/>
      <c r="AR15" s="73"/>
      <c r="AS15" s="73"/>
      <c r="AT15" s="73"/>
      <c r="AU15" s="73"/>
      <c r="AV15" s="73"/>
      <c r="AW15" s="73"/>
      <c r="AX15" s="73"/>
      <c r="AY15" s="73"/>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3" t="s">
        <v>246</v>
      </c>
      <c r="AK16" s="73"/>
      <c r="AL16" s="73"/>
      <c r="AM16" s="73"/>
      <c r="AN16" s="73"/>
      <c r="AO16" s="73"/>
      <c r="AP16" s="73"/>
      <c r="AQ16" s="73"/>
      <c r="AR16" s="73"/>
      <c r="AS16" s="73"/>
      <c r="AT16" s="73"/>
      <c r="AU16" s="73"/>
      <c r="AV16" s="73"/>
      <c r="AW16" s="73"/>
      <c r="AX16" s="73"/>
      <c r="AY16" s="73"/>
      <c r="BJ16" s="35"/>
      <c r="BL16" s="35"/>
      <c r="BN16" s="35"/>
      <c r="BP16" s="35"/>
    </row>
    <row r="17" spans="1:87" collapsed="1" x14ac:dyDescent="0.4">
      <c r="BS17" s="3" t="s">
        <v>906</v>
      </c>
      <c r="BT17" s="53" t="s">
        <v>477</v>
      </c>
      <c r="BU17" s="53" t="s">
        <v>478</v>
      </c>
      <c r="BV17" s="53" t="s">
        <v>479</v>
      </c>
      <c r="BW17" s="53" t="s">
        <v>480</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INDEX(CS!$B$1:$B$12876,MATCH($A18,CS!$B:$B,0)+COLUMN(A$1),1))</f>
        <v>エルフ</v>
      </c>
      <c r="AY18" t="str">
        <f>IF($A18="","", INDEX(CS!$B$1:$B$12876,MATCH($A18,CS!$B:$B,0)+COLUMN(B$1),1))</f>
        <v>ドワーフ</v>
      </c>
      <c r="AZ18">
        <f>IF($A18="","", INDEX(CS!$B$1:$B$12876,MATCH($A18,CS!$B:$B,0)+COLUMN(C$1),1))</f>
        <v>0</v>
      </c>
      <c r="BA18" t="str">
        <f>IF($A18="","", INDEX(CS!$B$1:$B$12876,MATCH($A18,CS!$B:$B,0)+COLUMN(D$1),1))</f>
        <v>ビーストマン</v>
      </c>
      <c r="BB18">
        <f>IF($A18="","", INDEX(CS!$B$1:$B$12876,MATCH($A18,CS!$B:$B,0)+COLUMN(E$1),1))</f>
        <v>0</v>
      </c>
      <c r="BC18">
        <f>IF($A18="","", INDEX(CS!$B$1:$B$12876,MATCH($A18,CS!$B:$B,0)+COLUMN(F$1),1))</f>
        <v>0</v>
      </c>
      <c r="BD18">
        <f>IF($A18="","", INDEX(CS!$B$1:$B$12876,MATCH($A18,CS!$B:$B,0)+COLUMN(G$1),1))</f>
        <v>0</v>
      </c>
      <c r="BE18">
        <f>IF($A18="","", INDEX(CS!$B$1:$B$12876,MATCH($A18,CS!$B:$B,0)+COLUMN(H$1),1))</f>
        <v>0</v>
      </c>
      <c r="BF18">
        <f>IF($A18="","", INDEX(CS!$B$1:$B$12876,MATCH($A18,CS!$B:$B,0)+COLUMN(I$1),1))</f>
        <v>0</v>
      </c>
      <c r="BG18">
        <f>IF($A18="","", INDEX(CS!$B$1:$B$12876,MATCH($A18,CS!$B:$B,0)+COLUMN(J$1),1))</f>
        <v>0</v>
      </c>
      <c r="BR18" t="s">
        <v>909</v>
      </c>
      <c r="BS18" s="53">
        <v>100</v>
      </c>
      <c r="BT18" s="52">
        <v>40</v>
      </c>
      <c r="BU18" s="52">
        <v>30</v>
      </c>
      <c r="BV18" s="52">
        <v>20</v>
      </c>
      <c r="BW18" s="52">
        <v>10</v>
      </c>
      <c r="CI18" t="s">
        <v>990</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INDEX(CS!$B$1:$B$12876,MATCH($A19,CS!$B:$B,0)+COLUMN(A$1),1))</f>
        <v>ドワーフ</v>
      </c>
      <c r="AY19">
        <f>IF($A19="","", INDEX(CS!$B$1:$B$12876,MATCH($A19,CS!$B:$B,0)+COLUMN(B$1),1))</f>
        <v>0</v>
      </c>
      <c r="AZ19" t="str">
        <f>IF($A19="","", INDEX(CS!$B$1:$B$12876,MATCH($A19,CS!$B:$B,0)+COLUMN(C$1),1))</f>
        <v>ビーストマン</v>
      </c>
      <c r="BA19">
        <f>IF($A19="","", INDEX(CS!$B$1:$B$12876,MATCH($A19,CS!$B:$B,0)+COLUMN(D$1),1))</f>
        <v>0</v>
      </c>
      <c r="BB19">
        <f>IF($A19="","", INDEX(CS!$B$1:$B$12876,MATCH($A19,CS!$B:$B,0)+COLUMN(E$1),1))</f>
        <v>0</v>
      </c>
      <c r="BC19">
        <f>IF($A19="","", INDEX(CS!$B$1:$B$12876,MATCH($A19,CS!$B:$B,0)+COLUMN(F$1),1))</f>
        <v>0</v>
      </c>
      <c r="BD19">
        <f>IF($A19="","", INDEX(CS!$B$1:$B$12876,MATCH($A19,CS!$B:$B,0)+COLUMN(G$1),1))</f>
        <v>0</v>
      </c>
      <c r="BE19">
        <f>IF($A19="","", INDEX(CS!$B$1:$B$12876,MATCH($A19,CS!$B:$B,0)+COLUMN(H$1),1))</f>
        <v>0</v>
      </c>
      <c r="BF19">
        <f>IF($A19="","", INDEX(CS!$B$1:$B$12876,MATCH($A19,CS!$B:$B,0)+COLUMN(I$1),1))</f>
        <v>0</v>
      </c>
      <c r="BG19">
        <f>IF($A19="","", INDEX(CS!$B$1:$B$12876,MATCH($A19,CS!$B:$B,0)+COLUMN(J$1),1))</f>
        <v>0</v>
      </c>
      <c r="BR19" t="s">
        <v>909</v>
      </c>
      <c r="BS19" s="53">
        <v>100</v>
      </c>
      <c r="BT19" s="52">
        <v>20</v>
      </c>
      <c r="BU19" s="52">
        <v>50</v>
      </c>
      <c r="BV19" s="52">
        <v>10</v>
      </c>
      <c r="BW19" s="52">
        <v>20</v>
      </c>
      <c r="CI19" t="s">
        <v>881</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INDEX(CS!$B$1:$B$12876,MATCH($A20,CS!$B:$B,0)+COLUMN(A$1),1))</f>
        <v>0</v>
      </c>
      <c r="AY20" t="str">
        <f>IF($A20="","", INDEX(CS!$B$1:$B$12876,MATCH($A20,CS!$B:$B,0)+COLUMN(B$1),1))</f>
        <v>ビーストマン</v>
      </c>
      <c r="AZ20">
        <f>IF($A20="","", INDEX(CS!$B$1:$B$12876,MATCH($A20,CS!$B:$B,0)+COLUMN(C$1),1))</f>
        <v>0</v>
      </c>
      <c r="BA20">
        <f>IF($A20="","", INDEX(CS!$B$1:$B$12876,MATCH($A20,CS!$B:$B,0)+COLUMN(D$1),1))</f>
        <v>0</v>
      </c>
      <c r="BB20">
        <f>IF($A20="","", INDEX(CS!$B$1:$B$12876,MATCH($A20,CS!$B:$B,0)+COLUMN(E$1),1))</f>
        <v>0</v>
      </c>
      <c r="BC20">
        <f>IF($A20="","", INDEX(CS!$B$1:$B$12876,MATCH($A20,CS!$B:$B,0)+COLUMN(F$1),1))</f>
        <v>0</v>
      </c>
      <c r="BD20">
        <f>IF($A20="","", INDEX(CS!$B$1:$B$12876,MATCH($A20,CS!$B:$B,0)+COLUMN(G$1),1))</f>
        <v>0</v>
      </c>
      <c r="BE20">
        <f>IF($A20="","", INDEX(CS!$B$1:$B$12876,MATCH($A20,CS!$B:$B,0)+COLUMN(H$1),1))</f>
        <v>0</v>
      </c>
      <c r="BF20">
        <f>IF($A20="","", INDEX(CS!$B$1:$B$12876,MATCH($A20,CS!$B:$B,0)+COLUMN(I$1),1))</f>
        <v>0</v>
      </c>
      <c r="BG20">
        <f>IF($A20="","", INDEX(CS!$B$1:$B$12876,MATCH($A20,CS!$B:$B,0)+COLUMN(J$1),1))</f>
        <v>0</v>
      </c>
      <c r="BR20" t="s">
        <v>909</v>
      </c>
      <c r="BS20" s="53">
        <v>100</v>
      </c>
      <c r="BT20" s="52">
        <v>30</v>
      </c>
      <c r="BU20" s="52">
        <v>20</v>
      </c>
      <c r="BV20" s="52">
        <v>40</v>
      </c>
      <c r="BW20" s="52">
        <v>10</v>
      </c>
      <c r="CI20" t="s">
        <v>991</v>
      </c>
    </row>
    <row r="21" spans="1:87" outlineLevel="1" x14ac:dyDescent="0.4">
      <c r="D21" t="str">
        <f t="shared" si="0"/>
        <v>0/0/0</v>
      </c>
      <c r="AX21" t="str">
        <f>IF($A21="","", INDEX(CS!$B$1:$B$12876,MATCH($A21,CS!$B:$B,0)+COLUMN(A$1),1))</f>
        <v/>
      </c>
      <c r="AY21" t="str">
        <f>IF($A21="","", INDEX(CS!$B$1:$B$12876,MATCH($A21,CS!$B:$B,0)+COLUMN(B$1),1))</f>
        <v/>
      </c>
      <c r="AZ21" t="str">
        <f>IF($A21="","", INDEX(CS!$B$1:$B$12876,MATCH($A21,CS!$B:$B,0)+COLUMN(C$1),1))</f>
        <v/>
      </c>
      <c r="BA21" t="str">
        <f>IF($A21="","", INDEX(CS!$B$1:$B$12876,MATCH($A21,CS!$B:$B,0)+COLUMN(D$1),1))</f>
        <v/>
      </c>
      <c r="BB21" t="str">
        <f>IF($A21="","", INDEX(CS!$B$1:$B$12876,MATCH($A21,CS!$B:$B,0)+COLUMN(E$1),1))</f>
        <v/>
      </c>
      <c r="BC21" t="str">
        <f>IF($A21="","", INDEX(CS!$B$1:$B$12876,MATCH($A21,CS!$B:$B,0)+COLUMN(F$1),1))</f>
        <v/>
      </c>
      <c r="BD21" t="str">
        <f>IF($A21="","", INDEX(CS!$B$1:$B$12876,MATCH($A21,CS!$B:$B,0)+COLUMN(G$1),1))</f>
        <v/>
      </c>
      <c r="BE21" t="str">
        <f>IF($A21="","", INDEX(CS!$B$1:$B$12876,MATCH($A21,CS!$B:$B,0)+COLUMN(H$1),1))</f>
        <v/>
      </c>
      <c r="BF21" t="str">
        <f>IF($A21="","", INDEX(CS!$B$1:$B$12876,MATCH($A21,CS!$B:$B,0)+COLUMN(I$1),1))</f>
        <v/>
      </c>
      <c r="BG21" t="str">
        <f>IF($A21="","", INDEX(CS!$B$1:$B$12876,MATCH($A21,CS!$B:$B,0)+COLUMN(J$1),1))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INDEX(CS!$B$1:$B$12876,MATCH($A22,CS!$B:$B,0)+COLUMN(A$1),1))</f>
        <v>0</v>
      </c>
      <c r="AY22">
        <f>IF($A22="","", INDEX(CS!$B$1:$B$12876,MATCH($A22,CS!$B:$B,0)+COLUMN(B$1),1))</f>
        <v>0</v>
      </c>
      <c r="AZ22">
        <f>IF($A22="","", INDEX(CS!$B$1:$B$12876,MATCH($A22,CS!$B:$B,0)+COLUMN(C$1),1))</f>
        <v>0</v>
      </c>
      <c r="BA22">
        <f>IF($A22="","", INDEX(CS!$B$1:$B$12876,MATCH($A22,CS!$B:$B,0)+COLUMN(D$1),1))</f>
        <v>0</v>
      </c>
      <c r="BB22">
        <f>IF($A22="","", INDEX(CS!$B$1:$B$12876,MATCH($A22,CS!$B:$B,0)+COLUMN(E$1),1))</f>
        <v>0</v>
      </c>
      <c r="BC22">
        <f>IF($A22="","", INDEX(CS!$B$1:$B$12876,MATCH($A22,CS!$B:$B,0)+COLUMN(F$1),1))</f>
        <v>0</v>
      </c>
      <c r="BD22">
        <f>IF($A22="","", INDEX(CS!$B$1:$B$12876,MATCH($A22,CS!$B:$B,0)+COLUMN(G$1),1))</f>
        <v>0</v>
      </c>
      <c r="BE22">
        <f>IF($A22="","", INDEX(CS!$B$1:$B$12876,MATCH($A22,CS!$B:$B,0)+COLUMN(H$1),1))</f>
        <v>0</v>
      </c>
      <c r="BF22">
        <f>IF($A22="","", INDEX(CS!$B$1:$B$12876,MATCH($A22,CS!$B:$B,0)+COLUMN(I$1),1))</f>
        <v>0</v>
      </c>
      <c r="BG22">
        <f>IF($A22="","", INDEX(CS!$B$1:$B$12876,MATCH($A22,CS!$B:$B,0)+COLUMN(J$1),1))</f>
        <v>0</v>
      </c>
      <c r="BR22" t="s">
        <v>909</v>
      </c>
      <c r="BS22" s="53">
        <v>110</v>
      </c>
      <c r="BT22" s="52">
        <v>20</v>
      </c>
      <c r="BU22" s="52">
        <v>20</v>
      </c>
      <c r="BV22" s="52">
        <v>50</v>
      </c>
      <c r="BW22" s="52">
        <v>20</v>
      </c>
      <c r="CI22" t="s">
        <v>883</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INDEX(CS!$B$1:$B$12876,MATCH($A23,CS!$B:$B,0)+COLUMN(A$1),1))</f>
        <v>0</v>
      </c>
      <c r="AY23">
        <f>IF($A23="","", INDEX(CS!$B$1:$B$12876,MATCH($A23,CS!$B:$B,0)+COLUMN(B$1),1))</f>
        <v>0</v>
      </c>
      <c r="AZ23">
        <f>IF($A23="","", INDEX(CS!$B$1:$B$12876,MATCH($A23,CS!$B:$B,0)+COLUMN(C$1),1))</f>
        <v>0</v>
      </c>
      <c r="BA23">
        <f>IF($A23="","", INDEX(CS!$B$1:$B$12876,MATCH($A23,CS!$B:$B,0)+COLUMN(D$1),1))</f>
        <v>0</v>
      </c>
      <c r="BB23">
        <f>IF($A23="","", INDEX(CS!$B$1:$B$12876,MATCH($A23,CS!$B:$B,0)+COLUMN(E$1),1))</f>
        <v>0</v>
      </c>
      <c r="BC23">
        <f>IF($A23="","", INDEX(CS!$B$1:$B$12876,MATCH($A23,CS!$B:$B,0)+COLUMN(F$1),1))</f>
        <v>0</v>
      </c>
      <c r="BD23">
        <f>IF($A23="","", INDEX(CS!$B$1:$B$12876,MATCH($A23,CS!$B:$B,0)+COLUMN(G$1),1))</f>
        <v>0</v>
      </c>
      <c r="BE23">
        <f>IF($A23="","", INDEX(CS!$B$1:$B$12876,MATCH($A23,CS!$B:$B,0)+COLUMN(H$1),1))</f>
        <v>0</v>
      </c>
      <c r="BF23">
        <f>IF($A23="","", INDEX(CS!$B$1:$B$12876,MATCH($A23,CS!$B:$B,0)+COLUMN(I$1),1))</f>
        <v>0</v>
      </c>
      <c r="BG23">
        <f>IF($A23="","", INDEX(CS!$B$1:$B$12876,MATCH($A23,CS!$B:$B,0)+COLUMN(J$1),1))</f>
        <v>0</v>
      </c>
      <c r="BR23" t="s">
        <v>909</v>
      </c>
      <c r="BS23" s="53">
        <v>110</v>
      </c>
      <c r="BT23" s="52">
        <v>15</v>
      </c>
      <c r="BU23" s="52">
        <v>10</v>
      </c>
      <c r="BV23" s="52">
        <v>70</v>
      </c>
      <c r="BW23" s="52">
        <v>15</v>
      </c>
      <c r="CI23" t="s">
        <v>884</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INDEX(CS!$B$1:$B$12876,MATCH($A24,CS!$B:$B,0)+COLUMN(A$1),1))</f>
        <v>0</v>
      </c>
      <c r="AY24">
        <f>IF($A24="","", INDEX(CS!$B$1:$B$12876,MATCH($A24,CS!$B:$B,0)+COLUMN(B$1),1))</f>
        <v>0</v>
      </c>
      <c r="AZ24">
        <f>IF($A24="","", INDEX(CS!$B$1:$B$12876,MATCH($A24,CS!$B:$B,0)+COLUMN(C$1),1))</f>
        <v>0</v>
      </c>
      <c r="BA24">
        <f>IF($A24="","", INDEX(CS!$B$1:$B$12876,MATCH($A24,CS!$B:$B,0)+COLUMN(D$1),1))</f>
        <v>0</v>
      </c>
      <c r="BB24">
        <f>IF($A24="","", INDEX(CS!$B$1:$B$12876,MATCH($A24,CS!$B:$B,0)+COLUMN(E$1),1))</f>
        <v>0</v>
      </c>
      <c r="BC24">
        <f>IF($A24="","", INDEX(CS!$B$1:$B$12876,MATCH($A24,CS!$B:$B,0)+COLUMN(F$1),1))</f>
        <v>0</v>
      </c>
      <c r="BD24">
        <f>IF($A24="","", INDEX(CS!$B$1:$B$12876,MATCH($A24,CS!$B:$B,0)+COLUMN(G$1),1))</f>
        <v>0</v>
      </c>
      <c r="BE24">
        <f>IF($A24="","", INDEX(CS!$B$1:$B$12876,MATCH($A24,CS!$B:$B,0)+COLUMN(H$1),1))</f>
        <v>0</v>
      </c>
      <c r="BF24">
        <f>IF($A24="","", INDEX(CS!$B$1:$B$12876,MATCH($A24,CS!$B:$B,0)+COLUMN(I$1),1))</f>
        <v>0</v>
      </c>
      <c r="BG24">
        <f>IF($A24="","", INDEX(CS!$B$1:$B$12876,MATCH($A24,CS!$B:$B,0)+COLUMN(J$1),1))</f>
        <v>0</v>
      </c>
      <c r="BR24" t="s">
        <v>909</v>
      </c>
      <c r="BS24" s="53">
        <v>200</v>
      </c>
      <c r="BT24" s="52">
        <v>40</v>
      </c>
      <c r="BU24" s="52">
        <v>10</v>
      </c>
      <c r="BV24" s="52">
        <v>100</v>
      </c>
      <c r="BW24" s="52">
        <v>10</v>
      </c>
      <c r="CI24" t="s">
        <v>885</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INDEX(CS!$B$1:$B$12876,MATCH($A25,CS!$B:$B,0)+COLUMN(A$1),1))</f>
        <v>0</v>
      </c>
      <c r="AY25">
        <f>IF($A25="","", INDEX(CS!$B$1:$B$12876,MATCH($A25,CS!$B:$B,0)+COLUMN(B$1),1))</f>
        <v>0</v>
      </c>
      <c r="AZ25">
        <f>IF($A25="","", INDEX(CS!$B$1:$B$12876,MATCH($A25,CS!$B:$B,0)+COLUMN(C$1),1))</f>
        <v>0</v>
      </c>
      <c r="BA25">
        <f>IF($A25="","", INDEX(CS!$B$1:$B$12876,MATCH($A25,CS!$B:$B,0)+COLUMN(D$1),1))</f>
        <v>0</v>
      </c>
      <c r="BB25">
        <f>IF($A25="","", INDEX(CS!$B$1:$B$12876,MATCH($A25,CS!$B:$B,0)+COLUMN(E$1),1))</f>
        <v>0</v>
      </c>
      <c r="BC25">
        <f>IF($A25="","", INDEX(CS!$B$1:$B$12876,MATCH($A25,CS!$B:$B,0)+COLUMN(F$1),1))</f>
        <v>0</v>
      </c>
      <c r="BD25">
        <f>IF($A25="","", INDEX(CS!$B$1:$B$12876,MATCH($A25,CS!$B:$B,0)+COLUMN(G$1),1))</f>
        <v>0</v>
      </c>
      <c r="BE25">
        <f>IF($A25="","", INDEX(CS!$B$1:$B$12876,MATCH($A25,CS!$B:$B,0)+COLUMN(H$1),1))</f>
        <v>0</v>
      </c>
      <c r="BF25">
        <f>IF($A25="","", INDEX(CS!$B$1:$B$12876,MATCH($A25,CS!$B:$B,0)+COLUMN(I$1),1))</f>
        <v>0</v>
      </c>
      <c r="BG25">
        <f>IF($A25="","", INDEX(CS!$B$1:$B$12876,MATCH($A25,CS!$B:$B,0)+COLUMN(J$1),1))</f>
        <v>0</v>
      </c>
      <c r="BR25" t="s">
        <v>909</v>
      </c>
      <c r="BS25" s="53">
        <v>250</v>
      </c>
      <c r="BT25" s="52">
        <v>60</v>
      </c>
      <c r="BU25" s="52">
        <v>30</v>
      </c>
      <c r="BV25" s="52">
        <v>200</v>
      </c>
      <c r="BW25" s="52">
        <v>30</v>
      </c>
      <c r="CI25" t="s">
        <v>886</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INDEX(CS!$B$1:$B$12876,MATCH($A26,CS!$B:$B,0)+COLUMN(A$1),1))</f>
        <v>0</v>
      </c>
      <c r="AY26">
        <f>IF($A26="","", INDEX(CS!$B$1:$B$12876,MATCH($A26,CS!$B:$B,0)+COLUMN(B$1),1))</f>
        <v>0</v>
      </c>
      <c r="AZ26">
        <f>IF($A26="","", INDEX(CS!$B$1:$B$12876,MATCH($A26,CS!$B:$B,0)+COLUMN(C$1),1))</f>
        <v>0</v>
      </c>
      <c r="BA26">
        <f>IF($A26="","", INDEX(CS!$B$1:$B$12876,MATCH($A26,CS!$B:$B,0)+COLUMN(D$1),1))</f>
        <v>0</v>
      </c>
      <c r="BB26">
        <f>IF($A26="","", INDEX(CS!$B$1:$B$12876,MATCH($A26,CS!$B:$B,0)+COLUMN(E$1),1))</f>
        <v>0</v>
      </c>
      <c r="BC26">
        <f>IF($A26="","", INDEX(CS!$B$1:$B$12876,MATCH($A26,CS!$B:$B,0)+COLUMN(F$1),1))</f>
        <v>0</v>
      </c>
      <c r="BD26">
        <f>IF($A26="","", INDEX(CS!$B$1:$B$12876,MATCH($A26,CS!$B:$B,0)+COLUMN(G$1),1))</f>
        <v>0</v>
      </c>
      <c r="BE26">
        <f>IF($A26="","", INDEX(CS!$B$1:$B$12876,MATCH($A26,CS!$B:$B,0)+COLUMN(H$1),1))</f>
        <v>0</v>
      </c>
      <c r="BF26">
        <f>IF($A26="","", INDEX(CS!$B$1:$B$12876,MATCH($A26,CS!$B:$B,0)+COLUMN(I$1),1))</f>
        <v>0</v>
      </c>
      <c r="BG26">
        <f>IF($A26="","", INDEX(CS!$B$1:$B$12876,MATCH($A26,CS!$B:$B,0)+COLUMN(J$1),1))</f>
        <v>0</v>
      </c>
      <c r="BR26" t="s">
        <v>909</v>
      </c>
      <c r="BS26" s="53">
        <v>70</v>
      </c>
      <c r="BT26" s="52">
        <v>30</v>
      </c>
      <c r="BU26" s="52">
        <v>20</v>
      </c>
      <c r="BV26" s="52">
        <v>10</v>
      </c>
      <c r="BW26" s="52">
        <v>10</v>
      </c>
      <c r="CI26" t="s">
        <v>887</v>
      </c>
    </row>
    <row r="27" spans="1:87" outlineLevel="1" x14ac:dyDescent="0.4">
      <c r="A27" t="s">
        <v>1130</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INDEX(CS!$B$1:$B$12876,MATCH($A27,CS!$B:$B,0)+COLUMN(A$1),1))</f>
        <v>#N/A</v>
      </c>
      <c r="AY27" t="e">
        <f>IF($A27="","", INDEX(CS!$B$1:$B$12876,MATCH($A27,CS!$B:$B,0)+COLUMN(B$1),1))</f>
        <v>#N/A</v>
      </c>
      <c r="AZ27" t="e">
        <f>IF($A27="","", INDEX(CS!$B$1:$B$12876,MATCH($A27,CS!$B:$B,0)+COLUMN(C$1),1))</f>
        <v>#N/A</v>
      </c>
      <c r="BA27" t="e">
        <f>IF($A27="","", INDEX(CS!$B$1:$B$12876,MATCH($A27,CS!$B:$B,0)+COLUMN(D$1),1))</f>
        <v>#N/A</v>
      </c>
      <c r="BB27" t="e">
        <f>IF($A27="","", INDEX(CS!$B$1:$B$12876,MATCH($A27,CS!$B:$B,0)+COLUMN(E$1),1))</f>
        <v>#N/A</v>
      </c>
      <c r="BC27" t="e">
        <f>IF($A27="","", INDEX(CS!$B$1:$B$12876,MATCH($A27,CS!$B:$B,0)+COLUMN(F$1),1))</f>
        <v>#N/A</v>
      </c>
      <c r="BD27" t="e">
        <f>IF($A27="","", INDEX(CS!$B$1:$B$12876,MATCH($A27,CS!$B:$B,0)+COLUMN(G$1),1))</f>
        <v>#N/A</v>
      </c>
      <c r="BE27" t="e">
        <f>IF($A27="","", INDEX(CS!$B$1:$B$12876,MATCH($A27,CS!$B:$B,0)+COLUMN(H$1),1))</f>
        <v>#N/A</v>
      </c>
      <c r="BF27" t="e">
        <f>IF($A27="","", INDEX(CS!$B$1:$B$12876,MATCH($A27,CS!$B:$B,0)+COLUMN(I$1),1))</f>
        <v>#N/A</v>
      </c>
      <c r="BG27" t="e">
        <f>IF($A27="","", INDEX(CS!$B$1:$B$12876,MATCH($A27,CS!$B:$B,0)+COLUMN(J$1),1))</f>
        <v>#N/A</v>
      </c>
      <c r="BR27" t="s">
        <v>909</v>
      </c>
      <c r="BS27" s="53">
        <v>70</v>
      </c>
      <c r="BT27" s="52">
        <v>30</v>
      </c>
      <c r="BU27" s="52">
        <v>20</v>
      </c>
      <c r="BV27" s="52">
        <v>10</v>
      </c>
      <c r="BW27" s="52">
        <v>10</v>
      </c>
      <c r="CI27" t="s">
        <v>887</v>
      </c>
    </row>
    <row r="28" spans="1:87" outlineLevel="1" x14ac:dyDescent="0.4">
      <c r="D28" t="str">
        <f t="shared" si="0"/>
        <v>0/0/0</v>
      </c>
      <c r="E28">
        <v>1</v>
      </c>
      <c r="AX28" t="str">
        <f>IF($A28="","", INDEX(CS!$B$1:$B$12876,MATCH($A28,CS!$B:$B,0)+COLUMN(A$1),1))</f>
        <v/>
      </c>
      <c r="AY28" t="str">
        <f>IF($A28="","", INDEX(CS!$B$1:$B$12876,MATCH($A28,CS!$B:$B,0)+COLUMN(B$1),1))</f>
        <v/>
      </c>
      <c r="AZ28" t="str">
        <f>IF($A28="","", INDEX(CS!$B$1:$B$12876,MATCH($A28,CS!$B:$B,0)+COLUMN(C$1),1))</f>
        <v/>
      </c>
      <c r="BA28" t="str">
        <f>IF($A28="","", INDEX(CS!$B$1:$B$12876,MATCH($A28,CS!$B:$B,0)+COLUMN(D$1),1))</f>
        <v/>
      </c>
      <c r="BB28" t="str">
        <f>IF($A28="","", INDEX(CS!$B$1:$B$12876,MATCH($A28,CS!$B:$B,0)+COLUMN(E$1),1))</f>
        <v/>
      </c>
      <c r="BC28" t="str">
        <f>IF($A28="","", INDEX(CS!$B$1:$B$12876,MATCH($A28,CS!$B:$B,0)+COLUMN(F$1),1))</f>
        <v/>
      </c>
      <c r="BD28" t="str">
        <f>IF($A28="","", INDEX(CS!$B$1:$B$12876,MATCH($A28,CS!$B:$B,0)+COLUMN(G$1),1))</f>
        <v/>
      </c>
      <c r="BE28" t="str">
        <f>IF($A28="","", INDEX(CS!$B$1:$B$12876,MATCH($A28,CS!$B:$B,0)+COLUMN(H$1),1))</f>
        <v/>
      </c>
      <c r="BF28" t="str">
        <f>IF($A28="","", INDEX(CS!$B$1:$B$12876,MATCH($A28,CS!$B:$B,0)+COLUMN(I$1),1))</f>
        <v/>
      </c>
      <c r="BG28" t="str">
        <f>IF($A28="","", INDEX(CS!$B$1:$B$12876,MATCH($A28,CS!$B:$B,0)+COLUMN(J$1),1))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INDEX(CS!$B$1:$B$12876,MATCH($A29,CS!$B:$B,0)+COLUMN(A$1),1))</f>
        <v>0</v>
      </c>
      <c r="AY29">
        <f>IF($A29="","", INDEX(CS!$B$1:$B$12876,MATCH($A29,CS!$B:$B,0)+COLUMN(B$1),1))</f>
        <v>0</v>
      </c>
      <c r="AZ29">
        <f>IF($A29="","", INDEX(CS!$B$1:$B$12876,MATCH($A29,CS!$B:$B,0)+COLUMN(C$1),1))</f>
        <v>0</v>
      </c>
      <c r="BA29">
        <f>IF($A29="","", INDEX(CS!$B$1:$B$12876,MATCH($A29,CS!$B:$B,0)+COLUMN(D$1),1))</f>
        <v>0</v>
      </c>
      <c r="BB29">
        <f>IF($A29="","", INDEX(CS!$B$1:$B$12876,MATCH($A29,CS!$B:$B,0)+COLUMN(E$1),1))</f>
        <v>0</v>
      </c>
      <c r="BC29">
        <f>IF($A29="","", INDEX(CS!$B$1:$B$12876,MATCH($A29,CS!$B:$B,0)+COLUMN(F$1),1))</f>
        <v>0</v>
      </c>
      <c r="BD29">
        <f>IF($A29="","", INDEX(CS!$B$1:$B$12876,MATCH($A29,CS!$B:$B,0)+COLUMN(G$1),1))</f>
        <v>0</v>
      </c>
      <c r="BE29">
        <f>IF($A29="","", INDEX(CS!$B$1:$B$12876,MATCH($A29,CS!$B:$B,0)+COLUMN(H$1),1))</f>
        <v>0</v>
      </c>
      <c r="BF29">
        <f>IF($A29="","", INDEX(CS!$B$1:$B$12876,MATCH($A29,CS!$B:$B,0)+COLUMN(I$1),1))</f>
        <v>0</v>
      </c>
      <c r="BG29">
        <f>IF($A29="","", INDEX(CS!$B$1:$B$12876,MATCH($A29,CS!$B:$B,0)+COLUMN(J$1),1))</f>
        <v>0</v>
      </c>
      <c r="BR29" t="s">
        <v>907</v>
      </c>
      <c r="BS29" s="53">
        <v>30</v>
      </c>
      <c r="BT29" s="52">
        <v>0</v>
      </c>
      <c r="BU29" s="52">
        <v>0</v>
      </c>
      <c r="BV29" s="52">
        <v>50</v>
      </c>
      <c r="BW29" s="52">
        <v>25</v>
      </c>
      <c r="BX29" s="52">
        <v>10</v>
      </c>
      <c r="CI29" t="s">
        <v>888</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INDEX(CS!$B$1:$B$12876,MATCH($A30,CS!$B:$B,0)+COLUMN(A$1),1))</f>
        <v>0</v>
      </c>
      <c r="AY30">
        <f>IF($A30="","", INDEX(CS!$B$1:$B$12876,MATCH($A30,CS!$B:$B,0)+COLUMN(B$1),1))</f>
        <v>0</v>
      </c>
      <c r="AZ30">
        <f>IF($A30="","", INDEX(CS!$B$1:$B$12876,MATCH($A30,CS!$B:$B,0)+COLUMN(C$1),1))</f>
        <v>0</v>
      </c>
      <c r="BA30">
        <f>IF($A30="","", INDEX(CS!$B$1:$B$12876,MATCH($A30,CS!$B:$B,0)+COLUMN(D$1),1))</f>
        <v>0</v>
      </c>
      <c r="BB30">
        <f>IF($A30="","", INDEX(CS!$B$1:$B$12876,MATCH($A30,CS!$B:$B,0)+COLUMN(E$1),1))</f>
        <v>0</v>
      </c>
      <c r="BC30">
        <f>IF($A30="","", INDEX(CS!$B$1:$B$12876,MATCH($A30,CS!$B:$B,0)+COLUMN(F$1),1))</f>
        <v>0</v>
      </c>
      <c r="BD30">
        <f>IF($A30="","", INDEX(CS!$B$1:$B$12876,MATCH($A30,CS!$B:$B,0)+COLUMN(G$1),1))</f>
        <v>0</v>
      </c>
      <c r="BE30">
        <f>IF($A30="","", INDEX(CS!$B$1:$B$12876,MATCH($A30,CS!$B:$B,0)+COLUMN(H$1),1))</f>
        <v>0</v>
      </c>
      <c r="BF30">
        <f>IF($A30="","", INDEX(CS!$B$1:$B$12876,MATCH($A30,CS!$B:$B,0)+COLUMN(I$1),1))</f>
        <v>0</v>
      </c>
      <c r="BG30">
        <f>IF($A30="","", INDEX(CS!$B$1:$B$12876,MATCH($A30,CS!$B:$B,0)+COLUMN(J$1),1))</f>
        <v>0</v>
      </c>
      <c r="BR30" t="s">
        <v>907</v>
      </c>
      <c r="BS30" s="53">
        <v>30</v>
      </c>
      <c r="BT30" s="52">
        <v>10</v>
      </c>
      <c r="BU30" s="52">
        <v>30</v>
      </c>
      <c r="BV30" s="52">
        <v>10</v>
      </c>
      <c r="BW30" s="52">
        <v>10</v>
      </c>
      <c r="BX30" s="52">
        <v>10</v>
      </c>
      <c r="CI30" t="s">
        <v>889</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INDEX(CS!$B$1:$B$12876,MATCH($A31,CS!$B:$B,0)+COLUMN(A$1),1))</f>
        <v>0</v>
      </c>
      <c r="AY31">
        <f>IF($A31="","", INDEX(CS!$B$1:$B$12876,MATCH($A31,CS!$B:$B,0)+COLUMN(B$1),1))</f>
        <v>0</v>
      </c>
      <c r="AZ31">
        <f>IF($A31="","", INDEX(CS!$B$1:$B$12876,MATCH($A31,CS!$B:$B,0)+COLUMN(C$1),1))</f>
        <v>0</v>
      </c>
      <c r="BA31">
        <f>IF($A31="","", INDEX(CS!$B$1:$B$12876,MATCH($A31,CS!$B:$B,0)+COLUMN(D$1),1))</f>
        <v>0</v>
      </c>
      <c r="BB31">
        <f>IF($A31="","", INDEX(CS!$B$1:$B$12876,MATCH($A31,CS!$B:$B,0)+COLUMN(E$1),1))</f>
        <v>0</v>
      </c>
      <c r="BC31">
        <f>IF($A31="","", INDEX(CS!$B$1:$B$12876,MATCH($A31,CS!$B:$B,0)+COLUMN(F$1),1))</f>
        <v>0</v>
      </c>
      <c r="BD31">
        <f>IF($A31="","", INDEX(CS!$B$1:$B$12876,MATCH($A31,CS!$B:$B,0)+COLUMN(G$1),1))</f>
        <v>0</v>
      </c>
      <c r="BE31">
        <f>IF($A31="","", INDEX(CS!$B$1:$B$12876,MATCH($A31,CS!$B:$B,0)+COLUMN(H$1),1))</f>
        <v>0</v>
      </c>
      <c r="BF31">
        <f>IF($A31="","", INDEX(CS!$B$1:$B$12876,MATCH($A31,CS!$B:$B,0)+COLUMN(I$1),1))</f>
        <v>0</v>
      </c>
      <c r="BG31">
        <f>IF($A31="","", INDEX(CS!$B$1:$B$12876,MATCH($A31,CS!$B:$B,0)+COLUMN(J$1),1))</f>
        <v>0</v>
      </c>
      <c r="BR31" t="s">
        <v>910</v>
      </c>
      <c r="BS31" s="53">
        <v>50</v>
      </c>
      <c r="BT31" s="52">
        <v>0</v>
      </c>
      <c r="BU31" s="52">
        <v>0</v>
      </c>
      <c r="BV31" s="52">
        <v>50</v>
      </c>
      <c r="BW31" s="52">
        <v>25</v>
      </c>
      <c r="BX31" s="52">
        <v>0</v>
      </c>
      <c r="BY31" s="52">
        <v>50</v>
      </c>
      <c r="CI31" t="s">
        <v>890</v>
      </c>
    </row>
    <row r="32" spans="1:87" outlineLevel="1" x14ac:dyDescent="0.4">
      <c r="C32" t="s">
        <v>62</v>
      </c>
      <c r="D32" t="str">
        <f t="shared" si="0"/>
        <v>0/0/0</v>
      </c>
      <c r="E32">
        <v>1</v>
      </c>
      <c r="AX32" t="str">
        <f>IF($A32="","", INDEX(CS!$B$1:$B$12876,MATCH($A32,CS!$B:$B,0)+COLUMN(A$1),1))</f>
        <v/>
      </c>
      <c r="AY32" t="str">
        <f>IF($A32="","", INDEX(CS!$B$1:$B$12876,MATCH($A32,CS!$B:$B,0)+COLUMN(B$1),1))</f>
        <v/>
      </c>
      <c r="AZ32" t="str">
        <f>IF($A32="","", INDEX(CS!$B$1:$B$12876,MATCH($A32,CS!$B:$B,0)+COLUMN(C$1),1))</f>
        <v/>
      </c>
      <c r="BA32" t="str">
        <f>IF($A32="","", INDEX(CS!$B$1:$B$12876,MATCH($A32,CS!$B:$B,0)+COLUMN(D$1),1))</f>
        <v/>
      </c>
      <c r="BB32" t="str">
        <f>IF($A32="","", INDEX(CS!$B$1:$B$12876,MATCH($A32,CS!$B:$B,0)+COLUMN(E$1),1))</f>
        <v/>
      </c>
      <c r="BC32" t="str">
        <f>IF($A32="","", INDEX(CS!$B$1:$B$12876,MATCH($A32,CS!$B:$B,0)+COLUMN(F$1),1))</f>
        <v/>
      </c>
      <c r="BD32" t="str">
        <f>IF($A32="","", INDEX(CS!$B$1:$B$12876,MATCH($A32,CS!$B:$B,0)+COLUMN(G$1),1))</f>
        <v/>
      </c>
      <c r="BE32" t="str">
        <f>IF($A32="","", INDEX(CS!$B$1:$B$12876,MATCH($A32,CS!$B:$B,0)+COLUMN(H$1),1))</f>
        <v/>
      </c>
      <c r="BF32" t="str">
        <f>IF($A32="","", INDEX(CS!$B$1:$B$12876,MATCH($A32,CS!$B:$B,0)+COLUMN(I$1),1))</f>
        <v/>
      </c>
      <c r="BG32" t="str">
        <f>IF($A32="","", INDEX(CS!$B$1:$B$12876,MATCH($A32,CS!$B:$B,0)+COLUMN(J$1),1))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INDEX(CS!$B$1:$B$12876,MATCH($A33,CS!$B:$B,0)+COLUMN(A$1),1))</f>
        <v>0</v>
      </c>
      <c r="AY33">
        <f>IF($A33="","", INDEX(CS!$B$1:$B$12876,MATCH($A33,CS!$B:$B,0)+COLUMN(B$1),1))</f>
        <v>0</v>
      </c>
      <c r="AZ33">
        <f>IF($A33="","", INDEX(CS!$B$1:$B$12876,MATCH($A33,CS!$B:$B,0)+COLUMN(C$1),1))</f>
        <v>0</v>
      </c>
      <c r="BA33">
        <f>IF($A33="","", INDEX(CS!$B$1:$B$12876,MATCH($A33,CS!$B:$B,0)+COLUMN(D$1),1))</f>
        <v>0</v>
      </c>
      <c r="BB33">
        <f>IF($A33="","", INDEX(CS!$B$1:$B$12876,MATCH($A33,CS!$B:$B,0)+COLUMN(E$1),1))</f>
        <v>0</v>
      </c>
      <c r="BC33">
        <f>IF($A33="","", INDEX(CS!$B$1:$B$12876,MATCH($A33,CS!$B:$B,0)+COLUMN(F$1),1))</f>
        <v>0</v>
      </c>
      <c r="BD33">
        <f>IF($A33="","", INDEX(CS!$B$1:$B$12876,MATCH($A33,CS!$B:$B,0)+COLUMN(G$1),1))</f>
        <v>0</v>
      </c>
      <c r="BE33">
        <f>IF($A33="","", INDEX(CS!$B$1:$B$12876,MATCH($A33,CS!$B:$B,0)+COLUMN(H$1),1))</f>
        <v>0</v>
      </c>
      <c r="BF33">
        <f>IF($A33="","", INDEX(CS!$B$1:$B$12876,MATCH($A33,CS!$B:$B,0)+COLUMN(I$1),1))</f>
        <v>0</v>
      </c>
      <c r="BG33">
        <f>IF($A33="","", INDEX(CS!$B$1:$B$12876,MATCH($A33,CS!$B:$B,0)+COLUMN(J$1),1))</f>
        <v>0</v>
      </c>
      <c r="BR33" t="s">
        <v>910</v>
      </c>
      <c r="BS33" s="53">
        <v>50</v>
      </c>
      <c r="BV33" s="52">
        <v>75</v>
      </c>
      <c r="CI33" t="s">
        <v>992</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INDEX(CS!$B$1:$B$12876,MATCH($A34,CS!$B:$B,0)+COLUMN(A$1),1))</f>
        <v>0</v>
      </c>
      <c r="AY34">
        <f>IF($A34="","", INDEX(CS!$B$1:$B$12876,MATCH($A34,CS!$B:$B,0)+COLUMN(B$1),1))</f>
        <v>0</v>
      </c>
      <c r="AZ34">
        <f>IF($A34="","", INDEX(CS!$B$1:$B$12876,MATCH($A34,CS!$B:$B,0)+COLUMN(C$1),1))</f>
        <v>0</v>
      </c>
      <c r="BA34">
        <f>IF($A34="","", INDEX(CS!$B$1:$B$12876,MATCH($A34,CS!$B:$B,0)+COLUMN(D$1),1))</f>
        <v>0</v>
      </c>
      <c r="BB34">
        <f>IF($A34="","", INDEX(CS!$B$1:$B$12876,MATCH($A34,CS!$B:$B,0)+COLUMN(E$1),1))</f>
        <v>0</v>
      </c>
      <c r="BC34">
        <f>IF($A34="","", INDEX(CS!$B$1:$B$12876,MATCH($A34,CS!$B:$B,0)+COLUMN(F$1),1))</f>
        <v>0</v>
      </c>
      <c r="BD34">
        <f>IF($A34="","", INDEX(CS!$B$1:$B$12876,MATCH($A34,CS!$B:$B,0)+COLUMN(G$1),1))</f>
        <v>0</v>
      </c>
      <c r="BE34">
        <f>IF($A34="","", INDEX(CS!$B$1:$B$12876,MATCH($A34,CS!$B:$B,0)+COLUMN(H$1),1))</f>
        <v>0</v>
      </c>
      <c r="BF34">
        <f>IF($A34="","", INDEX(CS!$B$1:$B$12876,MATCH($A34,CS!$B:$B,0)+COLUMN(I$1),1))</f>
        <v>0</v>
      </c>
      <c r="BG34">
        <f>IF($A34="","", INDEX(CS!$B$1:$B$12876,MATCH($A34,CS!$B:$B,0)+COLUMN(J$1),1))</f>
        <v>0</v>
      </c>
      <c r="BR34" t="s">
        <v>910</v>
      </c>
      <c r="BS34" s="53">
        <v>50</v>
      </c>
      <c r="CI34" t="s">
        <v>993</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INDEX(CS!$B$1:$B$12876,MATCH($A35,CS!$B:$B,0)+COLUMN(A$1),1))</f>
        <v>0</v>
      </c>
      <c r="AY35">
        <f>IF($A35="","", INDEX(CS!$B$1:$B$12876,MATCH($A35,CS!$B:$B,0)+COLUMN(B$1),1))</f>
        <v>0</v>
      </c>
      <c r="AZ35">
        <f>IF($A35="","", INDEX(CS!$B$1:$B$12876,MATCH($A35,CS!$B:$B,0)+COLUMN(C$1),1))</f>
        <v>0</v>
      </c>
      <c r="BA35">
        <f>IF($A35="","", INDEX(CS!$B$1:$B$12876,MATCH($A35,CS!$B:$B,0)+COLUMN(D$1),1))</f>
        <v>0</v>
      </c>
      <c r="BB35">
        <f>IF($A35="","", INDEX(CS!$B$1:$B$12876,MATCH($A35,CS!$B:$B,0)+COLUMN(E$1),1))</f>
        <v>0</v>
      </c>
      <c r="BC35">
        <f>IF($A35="","", INDEX(CS!$B$1:$B$12876,MATCH($A35,CS!$B:$B,0)+COLUMN(F$1),1))</f>
        <v>0</v>
      </c>
      <c r="BD35">
        <f>IF($A35="","", INDEX(CS!$B$1:$B$12876,MATCH($A35,CS!$B:$B,0)+COLUMN(G$1),1))</f>
        <v>0</v>
      </c>
      <c r="BE35">
        <f>IF($A35="","", INDEX(CS!$B$1:$B$12876,MATCH($A35,CS!$B:$B,0)+COLUMN(H$1),1))</f>
        <v>0</v>
      </c>
      <c r="BF35">
        <f>IF($A35="","", INDEX(CS!$B$1:$B$12876,MATCH($A35,CS!$B:$B,0)+COLUMN(I$1),1))</f>
        <v>0</v>
      </c>
      <c r="BG35">
        <f>IF($A35="","", INDEX(CS!$B$1:$B$12876,MATCH($A35,CS!$B:$B,0)+COLUMN(J$1),1))</f>
        <v>0</v>
      </c>
      <c r="BR35" t="s">
        <v>907</v>
      </c>
      <c r="BS35" s="53">
        <v>25</v>
      </c>
      <c r="BX35">
        <v>25</v>
      </c>
      <c r="CD35" t="s">
        <v>919</v>
      </c>
      <c r="CE35" t="s">
        <v>919</v>
      </c>
      <c r="CF35" t="s">
        <v>919</v>
      </c>
      <c r="CI35" t="s">
        <v>994</v>
      </c>
    </row>
    <row r="36" spans="1:87" outlineLevel="1" x14ac:dyDescent="0.4">
      <c r="C36" t="s">
        <v>62</v>
      </c>
      <c r="D36" t="str">
        <f t="shared" si="2"/>
        <v>0/0/0</v>
      </c>
      <c r="E36">
        <v>1</v>
      </c>
      <c r="AX36" t="str">
        <f>IF($A36="","", INDEX(CS!$B$1:$B$12876,MATCH($A36,CS!$B:$B,0)+COLUMN(A$1),1))</f>
        <v/>
      </c>
      <c r="AY36" t="str">
        <f>IF($A36="","", INDEX(CS!$B$1:$B$12876,MATCH($A36,CS!$B:$B,0)+COLUMN(B$1),1))</f>
        <v/>
      </c>
      <c r="AZ36" t="str">
        <f>IF($A36="","", INDEX(CS!$B$1:$B$12876,MATCH($A36,CS!$B:$B,0)+COLUMN(C$1),1))</f>
        <v/>
      </c>
      <c r="BA36" t="str">
        <f>IF($A36="","", INDEX(CS!$B$1:$B$12876,MATCH($A36,CS!$B:$B,0)+COLUMN(D$1),1))</f>
        <v/>
      </c>
      <c r="BB36" t="str">
        <f>IF($A36="","", INDEX(CS!$B$1:$B$12876,MATCH($A36,CS!$B:$B,0)+COLUMN(E$1),1))</f>
        <v/>
      </c>
      <c r="BC36" t="str">
        <f>IF($A36="","", INDEX(CS!$B$1:$B$12876,MATCH($A36,CS!$B:$B,0)+COLUMN(F$1),1))</f>
        <v/>
      </c>
      <c r="BD36" t="str">
        <f>IF($A36="","", INDEX(CS!$B$1:$B$12876,MATCH($A36,CS!$B:$B,0)+COLUMN(G$1),1))</f>
        <v/>
      </c>
      <c r="BE36" t="str">
        <f>IF($A36="","", INDEX(CS!$B$1:$B$12876,MATCH($A36,CS!$B:$B,0)+COLUMN(H$1),1))</f>
        <v/>
      </c>
      <c r="BF36" t="str">
        <f>IF($A36="","", INDEX(CS!$B$1:$B$12876,MATCH($A36,CS!$B:$B,0)+COLUMN(I$1),1))</f>
        <v/>
      </c>
      <c r="BG36" t="str">
        <f>IF($A36="","", INDEX(CS!$B$1:$B$12876,MATCH($A36,CS!$B:$B,0)+COLUMN(J$1),1))</f>
        <v/>
      </c>
    </row>
    <row r="37" spans="1:87" outlineLevel="1" x14ac:dyDescent="0.4">
      <c r="C37" t="s">
        <v>62</v>
      </c>
      <c r="D37" t="str">
        <f t="shared" si="2"/>
        <v>0/0/0</v>
      </c>
      <c r="E37">
        <v>1</v>
      </c>
      <c r="AX37" t="str">
        <f>IF($A37="","", INDEX(CS!$B$1:$B$12876,MATCH($A37,CS!$B:$B,0)+COLUMN(A$1),1))</f>
        <v/>
      </c>
      <c r="AY37" t="str">
        <f>IF($A37="","", INDEX(CS!$B$1:$B$12876,MATCH($A37,CS!$B:$B,0)+COLUMN(B$1),1))</f>
        <v/>
      </c>
      <c r="AZ37" t="str">
        <f>IF($A37="","", INDEX(CS!$B$1:$B$12876,MATCH($A37,CS!$B:$B,0)+COLUMN(C$1),1))</f>
        <v/>
      </c>
      <c r="BA37" t="str">
        <f>IF($A37="","", INDEX(CS!$B$1:$B$12876,MATCH($A37,CS!$B:$B,0)+COLUMN(D$1),1))</f>
        <v/>
      </c>
      <c r="BB37" t="str">
        <f>IF($A37="","", INDEX(CS!$B$1:$B$12876,MATCH($A37,CS!$B:$B,0)+COLUMN(E$1),1))</f>
        <v/>
      </c>
      <c r="BC37" t="str">
        <f>IF($A37="","", INDEX(CS!$B$1:$B$12876,MATCH($A37,CS!$B:$B,0)+COLUMN(F$1),1))</f>
        <v/>
      </c>
      <c r="BD37" t="str">
        <f>IF($A37="","", INDEX(CS!$B$1:$B$12876,MATCH($A37,CS!$B:$B,0)+COLUMN(G$1),1))</f>
        <v/>
      </c>
      <c r="BE37" t="str">
        <f>IF($A37="","", INDEX(CS!$B$1:$B$12876,MATCH($A37,CS!$B:$B,0)+COLUMN(H$1),1))</f>
        <v/>
      </c>
      <c r="BF37" t="str">
        <f>IF($A37="","", INDEX(CS!$B$1:$B$12876,MATCH($A37,CS!$B:$B,0)+COLUMN(I$1),1))</f>
        <v/>
      </c>
      <c r="BG37" t="str">
        <f>IF($A37="","", INDEX(CS!$B$1:$B$12876,MATCH($A37,CS!$B:$B,0)+COLUMN(J$1),1))</f>
        <v/>
      </c>
    </row>
    <row r="38" spans="1:87" outlineLevel="1" x14ac:dyDescent="0.4">
      <c r="C38" t="s">
        <v>62</v>
      </c>
      <c r="D38" t="str">
        <f t="shared" si="2"/>
        <v>0/0/0</v>
      </c>
      <c r="E38">
        <v>1</v>
      </c>
      <c r="AX38" t="str">
        <f>IF($A38="","", INDEX(CS!$B$1:$B$12876,MATCH($A38,CS!$B:$B,0)+COLUMN(A$1),1))</f>
        <v/>
      </c>
      <c r="AY38" t="str">
        <f>IF($A38="","", INDEX(CS!$B$1:$B$12876,MATCH($A38,CS!$B:$B,0)+COLUMN(B$1),1))</f>
        <v/>
      </c>
      <c r="AZ38" t="str">
        <f>IF($A38="","", INDEX(CS!$B$1:$B$12876,MATCH($A38,CS!$B:$B,0)+COLUMN(C$1),1))</f>
        <v/>
      </c>
      <c r="BA38" t="str">
        <f>IF($A38="","", INDEX(CS!$B$1:$B$12876,MATCH($A38,CS!$B:$B,0)+COLUMN(D$1),1))</f>
        <v/>
      </c>
      <c r="BB38" t="str">
        <f>IF($A38="","", INDEX(CS!$B$1:$B$12876,MATCH($A38,CS!$B:$B,0)+COLUMN(E$1),1))</f>
        <v/>
      </c>
      <c r="BC38" t="str">
        <f>IF($A38="","", INDEX(CS!$B$1:$B$12876,MATCH($A38,CS!$B:$B,0)+COLUMN(F$1),1))</f>
        <v/>
      </c>
      <c r="BD38" t="str">
        <f>IF($A38="","", INDEX(CS!$B$1:$B$12876,MATCH($A38,CS!$B:$B,0)+COLUMN(G$1),1))</f>
        <v/>
      </c>
      <c r="BE38" t="str">
        <f>IF($A38="","", INDEX(CS!$B$1:$B$12876,MATCH($A38,CS!$B:$B,0)+COLUMN(H$1),1))</f>
        <v/>
      </c>
      <c r="BF38" t="str">
        <f>IF($A38="","", INDEX(CS!$B$1:$B$12876,MATCH($A38,CS!$B:$B,0)+COLUMN(I$1),1))</f>
        <v/>
      </c>
      <c r="BG38" t="str">
        <f>IF($A38="","", INDEX(CS!$B$1:$B$12876,MATCH($A38,CS!$B:$B,0)+COLUMN(J$1),1))</f>
        <v/>
      </c>
    </row>
    <row r="39" spans="1:87" outlineLevel="1" x14ac:dyDescent="0.4">
      <c r="C39" t="s">
        <v>62</v>
      </c>
      <c r="D39" t="str">
        <f t="shared" si="2"/>
        <v>0/0/0</v>
      </c>
      <c r="E39">
        <v>1</v>
      </c>
      <c r="AX39" t="str">
        <f>IF($A39="","", INDEX(CS!$B$1:$B$12876,MATCH($A39,CS!$B:$B,0)+COLUMN(A$1),1))</f>
        <v/>
      </c>
      <c r="AY39" t="str">
        <f>IF($A39="","", INDEX(CS!$B$1:$B$12876,MATCH($A39,CS!$B:$B,0)+COLUMN(B$1),1))</f>
        <v/>
      </c>
      <c r="AZ39" t="str">
        <f>IF($A39="","", INDEX(CS!$B$1:$B$12876,MATCH($A39,CS!$B:$B,0)+COLUMN(C$1),1))</f>
        <v/>
      </c>
      <c r="BA39" t="str">
        <f>IF($A39="","", INDEX(CS!$B$1:$B$12876,MATCH($A39,CS!$B:$B,0)+COLUMN(D$1),1))</f>
        <v/>
      </c>
      <c r="BB39" t="str">
        <f>IF($A39="","", INDEX(CS!$B$1:$B$12876,MATCH($A39,CS!$B:$B,0)+COLUMN(E$1),1))</f>
        <v/>
      </c>
      <c r="BC39" t="str">
        <f>IF($A39="","", INDEX(CS!$B$1:$B$12876,MATCH($A39,CS!$B:$B,0)+COLUMN(F$1),1))</f>
        <v/>
      </c>
      <c r="BD39" t="str">
        <f>IF($A39="","", INDEX(CS!$B$1:$B$12876,MATCH($A39,CS!$B:$B,0)+COLUMN(G$1),1))</f>
        <v/>
      </c>
      <c r="BE39" t="str">
        <f>IF($A39="","", INDEX(CS!$B$1:$B$12876,MATCH($A39,CS!$B:$B,0)+COLUMN(H$1),1))</f>
        <v/>
      </c>
      <c r="BF39" t="str">
        <f>IF($A39="","", INDEX(CS!$B$1:$B$12876,MATCH($A39,CS!$B:$B,0)+COLUMN(I$1),1))</f>
        <v/>
      </c>
      <c r="BG39" t="str">
        <f>IF($A39="","", INDEX(CS!$B$1:$B$12876,MATCH($A39,CS!$B:$B,0)+COLUMN(J$1),1))</f>
        <v/>
      </c>
    </row>
    <row r="40" spans="1:87" outlineLevel="1" x14ac:dyDescent="0.4">
      <c r="C40" t="s">
        <v>62</v>
      </c>
      <c r="D40" t="str">
        <f t="shared" si="2"/>
        <v>0/0/0</v>
      </c>
      <c r="E40">
        <v>1</v>
      </c>
      <c r="AX40" t="str">
        <f>IF($A40="","", INDEX(CS!$B$1:$B$12876,MATCH($A40,CS!$B:$B,0)+COLUMN(A$1),1))</f>
        <v/>
      </c>
      <c r="AY40" t="str">
        <f>IF($A40="","", INDEX(CS!$B$1:$B$12876,MATCH($A40,CS!$B:$B,0)+COLUMN(B$1),1))</f>
        <v/>
      </c>
      <c r="AZ40" t="str">
        <f>IF($A40="","", INDEX(CS!$B$1:$B$12876,MATCH($A40,CS!$B:$B,0)+COLUMN(C$1),1))</f>
        <v/>
      </c>
      <c r="BA40" t="str">
        <f>IF($A40="","", INDEX(CS!$B$1:$B$12876,MATCH($A40,CS!$B:$B,0)+COLUMN(D$1),1))</f>
        <v/>
      </c>
      <c r="BB40" t="str">
        <f>IF($A40="","", INDEX(CS!$B$1:$B$12876,MATCH($A40,CS!$B:$B,0)+COLUMN(E$1),1))</f>
        <v/>
      </c>
      <c r="BC40" t="str">
        <f>IF($A40="","", INDEX(CS!$B$1:$B$12876,MATCH($A40,CS!$B:$B,0)+COLUMN(F$1),1))</f>
        <v/>
      </c>
      <c r="BD40" t="str">
        <f>IF($A40="","", INDEX(CS!$B$1:$B$12876,MATCH($A40,CS!$B:$B,0)+COLUMN(G$1),1))</f>
        <v/>
      </c>
      <c r="BE40" t="str">
        <f>IF($A40="","", INDEX(CS!$B$1:$B$12876,MATCH($A40,CS!$B:$B,0)+COLUMN(H$1),1))</f>
        <v/>
      </c>
      <c r="BF40" t="str">
        <f>IF($A40="","", INDEX(CS!$B$1:$B$12876,MATCH($A40,CS!$B:$B,0)+COLUMN(I$1),1))</f>
        <v/>
      </c>
      <c r="BG40" t="str">
        <f>IF($A40="","", INDEX(CS!$B$1:$B$12876,MATCH($A40,CS!$B:$B,0)+COLUMN(J$1),1))</f>
        <v/>
      </c>
    </row>
    <row r="41" spans="1:87" x14ac:dyDescent="0.4">
      <c r="C41" t="s">
        <v>62</v>
      </c>
      <c r="D41" t="str">
        <f t="shared" si="2"/>
        <v>0/0/0</v>
      </c>
      <c r="E41">
        <v>1</v>
      </c>
      <c r="AX41" t="str">
        <f>IF($A41="","", INDEX(CS!$B$1:$B$12876,MATCH($A41,CS!$B:$B,0)+COLUMN(A$1),1))</f>
        <v/>
      </c>
      <c r="AY41" t="str">
        <f>IF($A41="","", INDEX(CS!$B$1:$B$12876,MATCH($A41,CS!$B:$B,0)+COLUMN(B$1),1))</f>
        <v/>
      </c>
      <c r="AZ41" t="str">
        <f>IF($A41="","", INDEX(CS!$B$1:$B$12876,MATCH($A41,CS!$B:$B,0)+COLUMN(C$1),1))</f>
        <v/>
      </c>
      <c r="BA41" t="str">
        <f>IF($A41="","", INDEX(CS!$B$1:$B$12876,MATCH($A41,CS!$B:$B,0)+COLUMN(D$1),1))</f>
        <v/>
      </c>
      <c r="BB41" t="str">
        <f>IF($A41="","", INDEX(CS!$B$1:$B$12876,MATCH($A41,CS!$B:$B,0)+COLUMN(E$1),1))</f>
        <v/>
      </c>
      <c r="BC41" t="str">
        <f>IF($A41="","", INDEX(CS!$B$1:$B$12876,MATCH($A41,CS!$B:$B,0)+COLUMN(F$1),1))</f>
        <v/>
      </c>
      <c r="BD41" t="str">
        <f>IF($A41="","", INDEX(CS!$B$1:$B$12876,MATCH($A41,CS!$B:$B,0)+COLUMN(G$1),1))</f>
        <v/>
      </c>
      <c r="BE41" t="str">
        <f>IF($A41="","", INDEX(CS!$B$1:$B$12876,MATCH($A41,CS!$B:$B,0)+COLUMN(H$1),1))</f>
        <v/>
      </c>
      <c r="BF41" t="str">
        <f>IF($A41="","", INDEX(CS!$B$1:$B$12876,MATCH($A41,CS!$B:$B,0)+COLUMN(I$1),1))</f>
        <v/>
      </c>
      <c r="BG41" t="str">
        <f>IF($A41="","", INDEX(CS!$B$1:$B$12876,MATCH($A41,CS!$B:$B,0)+COLUMN(J$1),1))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INDEX(CS!$B$1:$B$12876,MATCH($A42,CS!$B:$B,0)+COLUMN(A$1),1))</f>
        <v>炎の拳</v>
      </c>
      <c r="AY42">
        <f>IF($A42="","", INDEX(CS!$B$1:$B$12876,MATCH($A42,CS!$B:$B,0)+COLUMN(B$1),1))</f>
        <v>0</v>
      </c>
      <c r="AZ42" t="str">
        <f>IF($A42="","", INDEX(CS!$B$1:$B$12876,MATCH($A42,CS!$B:$B,0)+COLUMN(C$1),1))</f>
        <v>浮遊</v>
      </c>
      <c r="BA42">
        <f>IF($A42="","", INDEX(CS!$B$1:$B$12876,MATCH($A42,CS!$B:$B,0)+COLUMN(D$1),1))</f>
        <v>0</v>
      </c>
      <c r="BB42">
        <f>IF($A42="","", INDEX(CS!$B$1:$B$12876,MATCH($A42,CS!$B:$B,0)+COLUMN(E$1),1))</f>
        <v>0</v>
      </c>
      <c r="BC42" t="str">
        <f>IF($A42="","", INDEX(CS!$B$1:$B$12876,MATCH($A42,CS!$B:$B,0)+COLUMN(F$1),1))</f>
        <v>炎の魔力</v>
      </c>
      <c r="BD42">
        <f>IF($A42="","", INDEX(CS!$B$1:$B$12876,MATCH($A42,CS!$B:$B,0)+COLUMN(G$1),1))</f>
        <v>0</v>
      </c>
      <c r="BE42">
        <f>IF($A42="","", INDEX(CS!$B$1:$B$12876,MATCH($A42,CS!$B:$B,0)+COLUMN(H$1),1))</f>
        <v>0</v>
      </c>
      <c r="BF42" t="str">
        <f>IF($A42="","", INDEX(CS!$B$1:$B$12876,MATCH($A42,CS!$B:$B,0)+COLUMN(I$1),1))</f>
        <v>炎の力</v>
      </c>
      <c r="BG42" t="str">
        <f>IF($A42="","", INDEX(CS!$B$1:$B$12876,MATCH($A42,CS!$B:$B,0)+COLUMN(J$1),1))</f>
        <v>炎の吐息</v>
      </c>
      <c r="CD42" t="s">
        <v>919</v>
      </c>
      <c r="CE42" t="s">
        <v>919</v>
      </c>
      <c r="CF42" t="s">
        <v>919</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INDEX(CS!$B$1:$B$12876,MATCH($A43,CS!$B:$B,0)+COLUMN(A$1),1))</f>
        <v>氷の拳</v>
      </c>
      <c r="AY43">
        <f>IF($A43="","", INDEX(CS!$B$1:$B$12876,MATCH($A43,CS!$B:$B,0)+COLUMN(B$1),1))</f>
        <v>0</v>
      </c>
      <c r="AZ43" t="str">
        <f>IF($A43="","", INDEX(CS!$B$1:$B$12876,MATCH($A43,CS!$B:$B,0)+COLUMN(C$1),1))</f>
        <v>浮遊</v>
      </c>
      <c r="BA43">
        <f>IF($A43="","", INDEX(CS!$B$1:$B$12876,MATCH($A43,CS!$B:$B,0)+COLUMN(D$1),1))</f>
        <v>0</v>
      </c>
      <c r="BB43">
        <f>IF($A43="","", INDEX(CS!$B$1:$B$12876,MATCH($A43,CS!$B:$B,0)+COLUMN(E$1),1))</f>
        <v>0</v>
      </c>
      <c r="BC43" t="str">
        <f>IF($A43="","", INDEX(CS!$B$1:$B$12876,MATCH($A43,CS!$B:$B,0)+COLUMN(F$1),1))</f>
        <v>氷の魔力</v>
      </c>
      <c r="BD43">
        <f>IF($A43="","", INDEX(CS!$B$1:$B$12876,MATCH($A43,CS!$B:$B,0)+COLUMN(G$1),1))</f>
        <v>0</v>
      </c>
      <c r="BE43">
        <f>IF($A43="","", INDEX(CS!$B$1:$B$12876,MATCH($A43,CS!$B:$B,0)+COLUMN(H$1),1))</f>
        <v>0</v>
      </c>
      <c r="BF43" t="str">
        <f>IF($A43="","", INDEX(CS!$B$1:$B$12876,MATCH($A43,CS!$B:$B,0)+COLUMN(I$1),1))</f>
        <v>氷の力</v>
      </c>
      <c r="BG43" t="str">
        <f>IF($A43="","", INDEX(CS!$B$1:$B$12876,MATCH($A43,CS!$B:$B,0)+COLUMN(J$1),1))</f>
        <v>氷の吐息</v>
      </c>
      <c r="CI43" t="s">
        <v>67</v>
      </c>
    </row>
    <row r="44" spans="1:87" x14ac:dyDescent="0.4">
      <c r="A44" s="1" t="s">
        <v>859</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INDEX(CS!$B$1:$B$12876,MATCH($A44,CS!$B:$B,0)+COLUMN(A$1),1))</f>
        <v>水の拳</v>
      </c>
      <c r="AY44">
        <f>IF($A44="","", INDEX(CS!$B$1:$B$12876,MATCH($A44,CS!$B:$B,0)+COLUMN(B$1),1))</f>
        <v>0</v>
      </c>
      <c r="AZ44" t="str">
        <f>IF($A44="","", INDEX(CS!$B$1:$B$12876,MATCH($A44,CS!$B:$B,0)+COLUMN(C$1),1))</f>
        <v>水の精霊</v>
      </c>
      <c r="BA44">
        <f>IF($A44="","", INDEX(CS!$B$1:$B$12876,MATCH($A44,CS!$B:$B,0)+COLUMN(D$1),1))</f>
        <v>0</v>
      </c>
      <c r="BB44">
        <f>IF($A44="","", INDEX(CS!$B$1:$B$12876,MATCH($A44,CS!$B:$B,0)+COLUMN(E$1),1))</f>
        <v>0</v>
      </c>
      <c r="BC44" t="str">
        <f>IF($A44="","", INDEX(CS!$B$1:$B$12876,MATCH($A44,CS!$B:$B,0)+COLUMN(F$1),1))</f>
        <v>水の魔力</v>
      </c>
      <c r="BD44">
        <f>IF($A44="","", INDEX(CS!$B$1:$B$12876,MATCH($A44,CS!$B:$B,0)+COLUMN(G$1),1))</f>
        <v>0</v>
      </c>
      <c r="BE44">
        <f>IF($A44="","", INDEX(CS!$B$1:$B$12876,MATCH($A44,CS!$B:$B,0)+COLUMN(H$1),1))</f>
        <v>0</v>
      </c>
      <c r="BF44" t="str">
        <f>IF($A44="","", INDEX(CS!$B$1:$B$12876,MATCH($A44,CS!$B:$B,0)+COLUMN(I$1),1))</f>
        <v>水の力</v>
      </c>
      <c r="BG44" t="str">
        <f>IF($A44="","", INDEX(CS!$B$1:$B$12876,MATCH($A44,CS!$B:$B,0)+COLUMN(J$1),1))</f>
        <v>水の吐息</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INDEX(CS!$B$1:$B$12876,MATCH($A45,CS!$B:$B,0)+COLUMN(A$1),1))</f>
        <v>風の拳</v>
      </c>
      <c r="AY45">
        <f>IF($A45="","", INDEX(CS!$B$1:$B$12876,MATCH($A45,CS!$B:$B,0)+COLUMN(B$1),1))</f>
        <v>0</v>
      </c>
      <c r="AZ45" t="str">
        <f>IF($A45="","", INDEX(CS!$B$1:$B$12876,MATCH($A45,CS!$B:$B,0)+COLUMN(C$1),1))</f>
        <v>浮遊</v>
      </c>
      <c r="BA45">
        <f>IF($A45="","", INDEX(CS!$B$1:$B$12876,MATCH($A45,CS!$B:$B,0)+COLUMN(D$1),1))</f>
        <v>0</v>
      </c>
      <c r="BB45">
        <f>IF($A45="","", INDEX(CS!$B$1:$B$12876,MATCH($A45,CS!$B:$B,0)+COLUMN(E$1),1))</f>
        <v>0</v>
      </c>
      <c r="BC45" t="str">
        <f>IF($A45="","", INDEX(CS!$B$1:$B$12876,MATCH($A45,CS!$B:$B,0)+COLUMN(F$1),1))</f>
        <v>風の魔力</v>
      </c>
      <c r="BD45">
        <f>IF($A45="","", INDEX(CS!$B$1:$B$12876,MATCH($A45,CS!$B:$B,0)+COLUMN(G$1),1))</f>
        <v>0</v>
      </c>
      <c r="BE45">
        <f>IF($A45="","", INDEX(CS!$B$1:$B$12876,MATCH($A45,CS!$B:$B,0)+COLUMN(H$1),1))</f>
        <v>0</v>
      </c>
      <c r="BF45" t="str">
        <f>IF($A45="","", INDEX(CS!$B$1:$B$12876,MATCH($A45,CS!$B:$B,0)+COLUMN(I$1),1))</f>
        <v>風の力</v>
      </c>
      <c r="BG45" t="str">
        <f>IF($A45="","", INDEX(CS!$B$1:$B$12876,MATCH($A45,CS!$B:$B,0)+COLUMN(J$1),1))</f>
        <v>風の吐息</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INDEX(CS!$B$1:$B$12876,MATCH($A46,CS!$B:$B,0)+COLUMN(A$1),1))</f>
        <v>地の拳</v>
      </c>
      <c r="AY46">
        <f>IF($A46="","", INDEX(CS!$B$1:$B$12876,MATCH($A46,CS!$B:$B,0)+COLUMN(B$1),1))</f>
        <v>0</v>
      </c>
      <c r="AZ46" t="str">
        <f>IF($A46="","", INDEX(CS!$B$1:$B$12876,MATCH($A46,CS!$B:$B,0)+COLUMN(C$1),1))</f>
        <v>浮遊</v>
      </c>
      <c r="BA46">
        <f>IF($A46="","", INDEX(CS!$B$1:$B$12876,MATCH($A46,CS!$B:$B,0)+COLUMN(D$1),1))</f>
        <v>0</v>
      </c>
      <c r="BB46">
        <f>IF($A46="","", INDEX(CS!$B$1:$B$12876,MATCH($A46,CS!$B:$B,0)+COLUMN(E$1),1))</f>
        <v>0</v>
      </c>
      <c r="BC46" t="str">
        <f>IF($A46="","", INDEX(CS!$B$1:$B$12876,MATCH($A46,CS!$B:$B,0)+COLUMN(F$1),1))</f>
        <v>地の魔力</v>
      </c>
      <c r="BD46">
        <f>IF($A46="","", INDEX(CS!$B$1:$B$12876,MATCH($A46,CS!$B:$B,0)+COLUMN(G$1),1))</f>
        <v>0</v>
      </c>
      <c r="BE46">
        <f>IF($A46="","", INDEX(CS!$B$1:$B$12876,MATCH($A46,CS!$B:$B,0)+COLUMN(H$1),1))</f>
        <v>0</v>
      </c>
      <c r="BF46" t="str">
        <f>IF($A46="","", INDEX(CS!$B$1:$B$12876,MATCH($A46,CS!$B:$B,0)+COLUMN(I$1),1))</f>
        <v>地の力</v>
      </c>
      <c r="BG46" t="str">
        <f>IF($A46="","", INDEX(CS!$B$1:$B$12876,MATCH($A46,CS!$B:$B,0)+COLUMN(J$1),1))</f>
        <v>石礫の吐息</v>
      </c>
      <c r="CI46" t="s">
        <v>67</v>
      </c>
    </row>
    <row r="47" spans="1:87" x14ac:dyDescent="0.4">
      <c r="C47" t="s">
        <v>62</v>
      </c>
      <c r="D47" t="str">
        <f t="shared" si="2"/>
        <v>0/0/0</v>
      </c>
      <c r="E47">
        <v>1</v>
      </c>
      <c r="AX47" t="str">
        <f>IF($A47="","", INDEX(CS!$B$1:$B$12876,MATCH($A47,CS!$B:$B,0)+COLUMN(A$1),1))</f>
        <v/>
      </c>
      <c r="AY47" t="str">
        <f>IF($A47="","", INDEX(CS!$B$1:$B$12876,MATCH($A47,CS!$B:$B,0)+COLUMN(B$1),1))</f>
        <v/>
      </c>
      <c r="AZ47" t="str">
        <f>IF($A47="","", INDEX(CS!$B$1:$B$12876,MATCH($A47,CS!$B:$B,0)+COLUMN(C$1),1))</f>
        <v/>
      </c>
      <c r="BA47" t="str">
        <f>IF($A47="","", INDEX(CS!$B$1:$B$12876,MATCH($A47,CS!$B:$B,0)+COLUMN(D$1),1))</f>
        <v/>
      </c>
      <c r="BB47" t="str">
        <f>IF($A47="","", INDEX(CS!$B$1:$B$12876,MATCH($A47,CS!$B:$B,0)+COLUMN(E$1),1))</f>
        <v/>
      </c>
      <c r="BC47" t="str">
        <f>IF($A47="","", INDEX(CS!$B$1:$B$12876,MATCH($A47,CS!$B:$B,0)+COLUMN(F$1),1))</f>
        <v/>
      </c>
      <c r="BD47" t="str">
        <f>IF($A47="","", INDEX(CS!$B$1:$B$12876,MATCH($A47,CS!$B:$B,0)+COLUMN(G$1),1))</f>
        <v/>
      </c>
      <c r="BE47" t="str">
        <f>IF($A47="","", INDEX(CS!$B$1:$B$12876,MATCH($A47,CS!$B:$B,0)+COLUMN(H$1),1))</f>
        <v/>
      </c>
      <c r="BF47" t="str">
        <f>IF($A47="","", INDEX(CS!$B$1:$B$12876,MATCH($A47,CS!$B:$B,0)+COLUMN(I$1),1))</f>
        <v/>
      </c>
      <c r="BG47" t="str">
        <f>IF($A47="","", INDEX(CS!$B$1:$B$12876,MATCH($A47,CS!$B:$B,0)+COLUMN(J$1),1))</f>
        <v/>
      </c>
    </row>
    <row r="48" spans="1:87" x14ac:dyDescent="0.4">
      <c r="C48" t="s">
        <v>62</v>
      </c>
      <c r="D48" t="str">
        <f t="shared" si="2"/>
        <v>0/0/0</v>
      </c>
      <c r="E48">
        <v>1</v>
      </c>
      <c r="AX48" t="str">
        <f>IF($A48="","", INDEX(CS!$B$1:$B$12876,MATCH($A48,CS!$B:$B,0)+COLUMN(A$1),1))</f>
        <v/>
      </c>
      <c r="AY48" t="str">
        <f>IF($A48="","", INDEX(CS!$B$1:$B$12876,MATCH($A48,CS!$B:$B,0)+COLUMN(B$1),1))</f>
        <v/>
      </c>
      <c r="AZ48" t="str">
        <f>IF($A48="","", INDEX(CS!$B$1:$B$12876,MATCH($A48,CS!$B:$B,0)+COLUMN(C$1),1))</f>
        <v/>
      </c>
      <c r="BA48" t="str">
        <f>IF($A48="","", INDEX(CS!$B$1:$B$12876,MATCH($A48,CS!$B:$B,0)+COLUMN(D$1),1))</f>
        <v/>
      </c>
      <c r="BB48" t="str">
        <f>IF($A48="","", INDEX(CS!$B$1:$B$12876,MATCH($A48,CS!$B:$B,0)+COLUMN(E$1),1))</f>
        <v/>
      </c>
      <c r="BC48" t="str">
        <f>IF($A48="","", INDEX(CS!$B$1:$B$12876,MATCH($A48,CS!$B:$B,0)+COLUMN(F$1),1))</f>
        <v/>
      </c>
      <c r="BD48" t="str">
        <f>IF($A48="","", INDEX(CS!$B$1:$B$12876,MATCH($A48,CS!$B:$B,0)+COLUMN(G$1),1))</f>
        <v/>
      </c>
      <c r="BE48" t="str">
        <f>IF($A48="","", INDEX(CS!$B$1:$B$12876,MATCH($A48,CS!$B:$B,0)+COLUMN(H$1),1))</f>
        <v/>
      </c>
      <c r="BF48" t="str">
        <f>IF($A48="","", INDEX(CS!$B$1:$B$12876,MATCH($A48,CS!$B:$B,0)+COLUMN(I$1),1))</f>
        <v/>
      </c>
      <c r="BG48" t="str">
        <f>IF($A48="","", INDEX(CS!$B$1:$B$12876,MATCH($A48,CS!$B:$B,0)+COLUMN(J$1),1))</f>
        <v/>
      </c>
    </row>
    <row r="49" spans="1:87" x14ac:dyDescent="0.4">
      <c r="C49" t="s">
        <v>62</v>
      </c>
      <c r="D49" t="str">
        <f t="shared" si="2"/>
        <v>0/0/0</v>
      </c>
      <c r="E49">
        <v>1</v>
      </c>
      <c r="AX49" t="str">
        <f>IF($A49="","", INDEX(CS!$B$1:$B$12876,MATCH($A49,CS!$B:$B,0)+COLUMN(A$1),1))</f>
        <v/>
      </c>
      <c r="AY49" t="str">
        <f>IF($A49="","", INDEX(CS!$B$1:$B$12876,MATCH($A49,CS!$B:$B,0)+COLUMN(B$1),1))</f>
        <v/>
      </c>
      <c r="AZ49" t="str">
        <f>IF($A49="","", INDEX(CS!$B$1:$B$12876,MATCH($A49,CS!$B:$B,0)+COLUMN(C$1),1))</f>
        <v/>
      </c>
      <c r="BA49" t="str">
        <f>IF($A49="","", INDEX(CS!$B$1:$B$12876,MATCH($A49,CS!$B:$B,0)+COLUMN(D$1),1))</f>
        <v/>
      </c>
      <c r="BB49" t="str">
        <f>IF($A49="","", INDEX(CS!$B$1:$B$12876,MATCH($A49,CS!$B:$B,0)+COLUMN(E$1),1))</f>
        <v/>
      </c>
      <c r="BC49" t="str">
        <f>IF($A49="","", INDEX(CS!$B$1:$B$12876,MATCH($A49,CS!$B:$B,0)+COLUMN(F$1),1))</f>
        <v/>
      </c>
      <c r="BD49" t="str">
        <f>IF($A49="","", INDEX(CS!$B$1:$B$12876,MATCH($A49,CS!$B:$B,0)+COLUMN(G$1),1))</f>
        <v/>
      </c>
      <c r="BE49" t="str">
        <f>IF($A49="","", INDEX(CS!$B$1:$B$12876,MATCH($A49,CS!$B:$B,0)+COLUMN(H$1),1))</f>
        <v/>
      </c>
      <c r="BF49" t="str">
        <f>IF($A49="","", INDEX(CS!$B$1:$B$12876,MATCH($A49,CS!$B:$B,0)+COLUMN(I$1),1))</f>
        <v/>
      </c>
      <c r="BG49" t="str">
        <f>IF($A49="","", INDEX(CS!$B$1:$B$12876,MATCH($A49,CS!$B:$B,0)+COLUMN(J$1),1))</f>
        <v/>
      </c>
    </row>
    <row r="50" spans="1:87" x14ac:dyDescent="0.4">
      <c r="C50" t="s">
        <v>62</v>
      </c>
      <c r="D50" t="str">
        <f t="shared" si="2"/>
        <v>0/0/0</v>
      </c>
      <c r="E50">
        <v>1</v>
      </c>
      <c r="AX50" t="str">
        <f>IF($A50="","", INDEX(CS!$B$1:$B$12876,MATCH($A50,CS!$B:$B,0)+COLUMN(A$1),1))</f>
        <v/>
      </c>
      <c r="AY50" t="str">
        <f>IF($A50="","", INDEX(CS!$B$1:$B$12876,MATCH($A50,CS!$B:$B,0)+COLUMN(B$1),1))</f>
        <v/>
      </c>
      <c r="AZ50" t="str">
        <f>IF($A50="","", INDEX(CS!$B$1:$B$12876,MATCH($A50,CS!$B:$B,0)+COLUMN(C$1),1))</f>
        <v/>
      </c>
      <c r="BA50" t="str">
        <f>IF($A50="","", INDEX(CS!$B$1:$B$12876,MATCH($A50,CS!$B:$B,0)+COLUMN(D$1),1))</f>
        <v/>
      </c>
      <c r="BB50" t="str">
        <f>IF($A50="","", INDEX(CS!$B$1:$B$12876,MATCH($A50,CS!$B:$B,0)+COLUMN(E$1),1))</f>
        <v/>
      </c>
      <c r="BC50" t="str">
        <f>IF($A50="","", INDEX(CS!$B$1:$B$12876,MATCH($A50,CS!$B:$B,0)+COLUMN(F$1),1))</f>
        <v/>
      </c>
      <c r="BD50" t="str">
        <f>IF($A50="","", INDEX(CS!$B$1:$B$12876,MATCH($A50,CS!$B:$B,0)+COLUMN(G$1),1))</f>
        <v/>
      </c>
      <c r="BE50" t="str">
        <f>IF($A50="","", INDEX(CS!$B$1:$B$12876,MATCH($A50,CS!$B:$B,0)+COLUMN(H$1),1))</f>
        <v/>
      </c>
      <c r="BF50" t="str">
        <f>IF($A50="","", INDEX(CS!$B$1:$B$12876,MATCH($A50,CS!$B:$B,0)+COLUMN(I$1),1))</f>
        <v/>
      </c>
      <c r="BG50" t="str">
        <f>IF($A50="","", INDEX(CS!$B$1:$B$12876,MATCH($A50,CS!$B:$B,0)+COLUMN(J$1),1))</f>
        <v/>
      </c>
    </row>
    <row r="51" spans="1:87" x14ac:dyDescent="0.4">
      <c r="C51" t="s">
        <v>62</v>
      </c>
      <c r="D51" t="str">
        <f t="shared" si="2"/>
        <v>0/0/0</v>
      </c>
      <c r="E51">
        <v>1</v>
      </c>
      <c r="AX51" t="str">
        <f>IF($A51="","", INDEX(CS!$B$1:$B$12876,MATCH($A51,CS!$B:$B,0)+COLUMN(A$1),1))</f>
        <v/>
      </c>
      <c r="AY51" t="str">
        <f>IF($A51="","", INDEX(CS!$B$1:$B$12876,MATCH($A51,CS!$B:$B,0)+COLUMN(B$1),1))</f>
        <v/>
      </c>
      <c r="AZ51" t="str">
        <f>IF($A51="","", INDEX(CS!$B$1:$B$12876,MATCH($A51,CS!$B:$B,0)+COLUMN(C$1),1))</f>
        <v/>
      </c>
      <c r="BA51" t="str">
        <f>IF($A51="","", INDEX(CS!$B$1:$B$12876,MATCH($A51,CS!$B:$B,0)+COLUMN(D$1),1))</f>
        <v/>
      </c>
      <c r="BB51" t="str">
        <f>IF($A51="","", INDEX(CS!$B$1:$B$12876,MATCH($A51,CS!$B:$B,0)+COLUMN(E$1),1))</f>
        <v/>
      </c>
      <c r="BC51" t="str">
        <f>IF($A51="","", INDEX(CS!$B$1:$B$12876,MATCH($A51,CS!$B:$B,0)+COLUMN(F$1),1))</f>
        <v/>
      </c>
      <c r="BD51" t="str">
        <f>IF($A51="","", INDEX(CS!$B$1:$B$12876,MATCH($A51,CS!$B:$B,0)+COLUMN(G$1),1))</f>
        <v/>
      </c>
      <c r="BE51" t="str">
        <f>IF($A51="","", INDEX(CS!$B$1:$B$12876,MATCH($A51,CS!$B:$B,0)+COLUMN(H$1),1))</f>
        <v/>
      </c>
      <c r="BF51" t="str">
        <f>IF($A51="","", INDEX(CS!$B$1:$B$12876,MATCH($A51,CS!$B:$B,0)+COLUMN(I$1),1))</f>
        <v/>
      </c>
      <c r="BG51" t="str">
        <f>IF($A51="","", INDEX(CS!$B$1:$B$12876,MATCH($A51,CS!$B:$B,0)+COLUMN(J$1),1))</f>
        <v/>
      </c>
    </row>
    <row r="52" spans="1:87" x14ac:dyDescent="0.4">
      <c r="B52" t="s">
        <v>901</v>
      </c>
      <c r="D52" t="str">
        <f t="shared" si="2"/>
        <v>0/0/0</v>
      </c>
      <c r="E52">
        <v>1</v>
      </c>
      <c r="AX52" t="str">
        <f>IF($A52="","", INDEX(CS!$B$1:$B$12876,MATCH($A52,CS!$B:$B,0)+COLUMN(A$1),1))</f>
        <v/>
      </c>
      <c r="AY52" t="str">
        <f>IF($A52="","", INDEX(CS!$B$1:$B$12876,MATCH($A52,CS!$B:$B,0)+COLUMN(B$1),1))</f>
        <v/>
      </c>
      <c r="AZ52" t="str">
        <f>IF($A52="","", INDEX(CS!$B$1:$B$12876,MATCH($A52,CS!$B:$B,0)+COLUMN(C$1),1))</f>
        <v/>
      </c>
      <c r="BA52" t="str">
        <f>IF($A52="","", INDEX(CS!$B$1:$B$12876,MATCH($A52,CS!$B:$B,0)+COLUMN(D$1),1))</f>
        <v/>
      </c>
      <c r="BB52" t="str">
        <f>IF($A52="","", INDEX(CS!$B$1:$B$12876,MATCH($A52,CS!$B:$B,0)+COLUMN(E$1),1))</f>
        <v/>
      </c>
      <c r="BC52" t="str">
        <f>IF($A52="","", INDEX(CS!$B$1:$B$12876,MATCH($A52,CS!$B:$B,0)+COLUMN(F$1),1))</f>
        <v/>
      </c>
      <c r="BD52" t="str">
        <f>IF($A52="","", INDEX(CS!$B$1:$B$12876,MATCH($A52,CS!$B:$B,0)+COLUMN(G$1),1))</f>
        <v/>
      </c>
      <c r="BE52" t="str">
        <f>IF($A52="","", INDEX(CS!$B$1:$B$12876,MATCH($A52,CS!$B:$B,0)+COLUMN(H$1),1))</f>
        <v/>
      </c>
      <c r="BF52" t="str">
        <f>IF($A52="","", INDEX(CS!$B$1:$B$12876,MATCH($A52,CS!$B:$B,0)+COLUMN(I$1),1))</f>
        <v/>
      </c>
      <c r="BG52" t="str">
        <f>IF($A52="","", INDEX(CS!$B$1:$B$12876,MATCH($A52,CS!$B:$B,0)+COLUMN(J$1),1))</f>
        <v/>
      </c>
    </row>
    <row r="53" spans="1:87" x14ac:dyDescent="0.4">
      <c r="AX53" t="str">
        <f>IF($A53="","", INDEX(CS!$B$1:$B$12876,MATCH($A53,CS!$B:$B,0)+COLUMN(A$1),1))</f>
        <v/>
      </c>
      <c r="AY53" t="str">
        <f>IF($A53="","", INDEX(CS!$B$1:$B$12876,MATCH($A53,CS!$B:$B,0)+COLUMN(B$1),1))</f>
        <v/>
      </c>
      <c r="AZ53" t="str">
        <f>IF($A53="","", INDEX(CS!$B$1:$B$12876,MATCH($A53,CS!$B:$B,0)+COLUMN(C$1),1))</f>
        <v/>
      </c>
      <c r="BA53" t="str">
        <f>IF($A53="","", INDEX(CS!$B$1:$B$12876,MATCH($A53,CS!$B:$B,0)+COLUMN(D$1),1))</f>
        <v/>
      </c>
      <c r="BB53" t="str">
        <f>IF($A53="","", INDEX(CS!$B$1:$B$12876,MATCH($A53,CS!$B:$B,0)+COLUMN(E$1),1))</f>
        <v/>
      </c>
      <c r="BC53" t="str">
        <f>IF($A53="","", INDEX(CS!$B$1:$B$12876,MATCH($A53,CS!$B:$B,0)+COLUMN(F$1),1))</f>
        <v/>
      </c>
      <c r="BD53" t="str">
        <f>IF($A53="","", INDEX(CS!$B$1:$B$12876,MATCH($A53,CS!$B:$B,0)+COLUMN(G$1),1))</f>
        <v/>
      </c>
      <c r="BE53" t="str">
        <f>IF($A53="","", INDEX(CS!$B$1:$B$12876,MATCH($A53,CS!$B:$B,0)+COLUMN(H$1),1))</f>
        <v/>
      </c>
      <c r="BF53" t="str">
        <f>IF($A53="","", INDEX(CS!$B$1:$B$12876,MATCH($A53,CS!$B:$B,0)+COLUMN(I$1),1))</f>
        <v/>
      </c>
      <c r="BG53" t="str">
        <f>IF($A53="","", INDEX(CS!$B$1:$B$12876,MATCH($A53,CS!$B:$B,0)+COLUMN(J$1),1))</f>
        <v/>
      </c>
      <c r="CD53" t="s">
        <v>923</v>
      </c>
      <c r="CE53" t="s">
        <v>927</v>
      </c>
      <c r="CF53" t="s">
        <v>1132</v>
      </c>
    </row>
    <row r="54" spans="1:87" x14ac:dyDescent="0.4">
      <c r="AX54" t="str">
        <f>IF($A54="","", INDEX(CS!$B$1:$B$12876,MATCH($A54,CS!$B:$B,0)+COLUMN(A$1),1))</f>
        <v/>
      </c>
      <c r="AY54" t="str">
        <f>IF($A54="","", INDEX(CS!$B$1:$B$12876,MATCH($A54,CS!$B:$B,0)+COLUMN(B$1),1))</f>
        <v/>
      </c>
      <c r="AZ54" t="str">
        <f>IF($A54="","", INDEX(CS!$B$1:$B$12876,MATCH($A54,CS!$B:$B,0)+COLUMN(C$1),1))</f>
        <v/>
      </c>
      <c r="BA54" t="str">
        <f>IF($A54="","", INDEX(CS!$B$1:$B$12876,MATCH($A54,CS!$B:$B,0)+COLUMN(D$1),1))</f>
        <v/>
      </c>
      <c r="BB54" t="str">
        <f>IF($A54="","", INDEX(CS!$B$1:$B$12876,MATCH($A54,CS!$B:$B,0)+COLUMN(E$1),1))</f>
        <v/>
      </c>
      <c r="BC54" t="str">
        <f>IF($A54="","", INDEX(CS!$B$1:$B$12876,MATCH($A54,CS!$B:$B,0)+COLUMN(F$1),1))</f>
        <v/>
      </c>
      <c r="BD54" t="str">
        <f>IF($A54="","", INDEX(CS!$B$1:$B$12876,MATCH($A54,CS!$B:$B,0)+COLUMN(G$1),1))</f>
        <v/>
      </c>
      <c r="BE54" t="str">
        <f>IF($A54="","", INDEX(CS!$B$1:$B$12876,MATCH($A54,CS!$B:$B,0)+COLUMN(H$1),1))</f>
        <v/>
      </c>
      <c r="BF54" t="str">
        <f>IF($A54="","", INDEX(CS!$B$1:$B$12876,MATCH($A54,CS!$B:$B,0)+COLUMN(I$1),1))</f>
        <v/>
      </c>
      <c r="BG54" t="str">
        <f>IF($A54="","", INDEX(CS!$B$1:$B$12876,MATCH($A54,CS!$B:$B,0)+COLUMN(J$1),1))</f>
        <v/>
      </c>
      <c r="CD54" t="s">
        <v>923</v>
      </c>
      <c r="CE54" t="s">
        <v>927</v>
      </c>
      <c r="CF54" t="s">
        <v>1132</v>
      </c>
    </row>
    <row r="55" spans="1:87" x14ac:dyDescent="0.4">
      <c r="AX55" t="str">
        <f>IF($A55="","", INDEX(CS!$B$1:$B$12876,MATCH($A55,CS!$B:$B,0)+COLUMN(A$1),1))</f>
        <v/>
      </c>
      <c r="AY55" t="str">
        <f>IF($A55="","", INDEX(CS!$B$1:$B$12876,MATCH($A55,CS!$B:$B,0)+COLUMN(B$1),1))</f>
        <v/>
      </c>
      <c r="AZ55" t="str">
        <f>IF($A55="","", INDEX(CS!$B$1:$B$12876,MATCH($A55,CS!$B:$B,0)+COLUMN(C$1),1))</f>
        <v/>
      </c>
      <c r="BA55" t="str">
        <f>IF($A55="","", INDEX(CS!$B$1:$B$12876,MATCH($A55,CS!$B:$B,0)+COLUMN(D$1),1))</f>
        <v/>
      </c>
      <c r="BB55" t="str">
        <f>IF($A55="","", INDEX(CS!$B$1:$B$12876,MATCH($A55,CS!$B:$B,0)+COLUMN(E$1),1))</f>
        <v/>
      </c>
      <c r="BC55" t="str">
        <f>IF($A55="","", INDEX(CS!$B$1:$B$12876,MATCH($A55,CS!$B:$B,0)+COLUMN(F$1),1))</f>
        <v/>
      </c>
      <c r="BD55" t="str">
        <f>IF($A55="","", INDEX(CS!$B$1:$B$12876,MATCH($A55,CS!$B:$B,0)+COLUMN(G$1),1))</f>
        <v/>
      </c>
      <c r="BE55" t="str">
        <f>IF($A55="","", INDEX(CS!$B$1:$B$12876,MATCH($A55,CS!$B:$B,0)+COLUMN(H$1),1))</f>
        <v/>
      </c>
      <c r="BF55" t="str">
        <f>IF($A55="","", INDEX(CS!$B$1:$B$12876,MATCH($A55,CS!$B:$B,0)+COLUMN(I$1),1))</f>
        <v/>
      </c>
      <c r="BG55" t="str">
        <f>IF($A55="","", INDEX(CS!$B$1:$B$12876,MATCH($A55,CS!$B:$B,0)+COLUMN(J$1),1))</f>
        <v/>
      </c>
      <c r="CD55" t="s">
        <v>923</v>
      </c>
      <c r="CE55" t="s">
        <v>927</v>
      </c>
      <c r="CF55" t="s">
        <v>1132</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INDEX(CS!$B$1:$B$12876,MATCH($A56,CS!$B:$B,0)+COLUMN(A$1),1))</f>
        <v>0</v>
      </c>
      <c r="AY56" t="str">
        <f>IF($A56="","", INDEX(CS!$B$1:$B$12876,MATCH($A56,CS!$B:$B,0)+COLUMN(B$1),1))</f>
        <v>闘気撃</v>
      </c>
      <c r="AZ56" t="str">
        <f>IF($A56="","", INDEX(CS!$B$1:$B$12876,MATCH($A56,CS!$B:$B,0)+COLUMN(C$1),1))</f>
        <v>武器の扱い</v>
      </c>
      <c r="BA56">
        <f>IF($A56="","", INDEX(CS!$B$1:$B$12876,MATCH($A56,CS!$B:$B,0)+COLUMN(D$1),1))</f>
        <v>0</v>
      </c>
      <c r="BB56" t="str">
        <f>IF($A56="","", INDEX(CS!$B$1:$B$12876,MATCH($A56,CS!$B:$B,0)+COLUMN(E$1),1))</f>
        <v>闘気守</v>
      </c>
      <c r="BC56">
        <f>IF($A56="","", INDEX(CS!$B$1:$B$12876,MATCH($A56,CS!$B:$B,0)+COLUMN(F$1),1))</f>
        <v>0</v>
      </c>
      <c r="BD56">
        <f>IF($A56="","", INDEX(CS!$B$1:$B$12876,MATCH($A56,CS!$B:$B,0)+COLUMN(G$1),1))</f>
        <v>0</v>
      </c>
      <c r="BE56" t="str">
        <f>IF($A56="","", INDEX(CS!$B$1:$B$12876,MATCH($A56,CS!$B:$B,0)+COLUMN(H$1),1))</f>
        <v>雄叫び</v>
      </c>
      <c r="BF56" t="str">
        <f>IF($A56="","", INDEX(CS!$B$1:$B$12876,MATCH($A56,CS!$B:$B,0)+COLUMN(I$1),1))</f>
        <v>武器の攻め</v>
      </c>
      <c r="BG56" t="str">
        <f>IF($A56="","", INDEX(CS!$B$1:$B$12876,MATCH($A56,CS!$B:$B,0)+COLUMN(J$1),1))</f>
        <v>一閃撃</v>
      </c>
      <c r="BH56" t="s">
        <v>893</v>
      </c>
      <c r="CB56" t="s">
        <v>1182</v>
      </c>
      <c r="CE56" t="s">
        <v>926</v>
      </c>
      <c r="CF56" t="s">
        <v>1132</v>
      </c>
      <c r="CI56" t="s">
        <v>27</v>
      </c>
    </row>
    <row r="57" spans="1:87" outlineLevel="1" x14ac:dyDescent="0.4">
      <c r="A57" t="s">
        <v>184</v>
      </c>
      <c r="B57" t="s">
        <v>186</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INDEX(CS!$B$1:$B$12876,MATCH($A57,CS!$B:$B,0)+COLUMN(A$1),1))</f>
        <v>0</v>
      </c>
      <c r="AY57" t="str">
        <f>IF($A57="","", INDEX(CS!$B$1:$B$12876,MATCH($A57,CS!$B:$B,0)+COLUMN(B$1),1))</f>
        <v>闘気守</v>
      </c>
      <c r="AZ57" t="str">
        <f>IF($A57="","", INDEX(CS!$B$1:$B$12876,MATCH($A57,CS!$B:$B,0)+COLUMN(C$1),1))</f>
        <v>武器の扱い</v>
      </c>
      <c r="BA57">
        <f>IF($A57="","", INDEX(CS!$B$1:$B$12876,MATCH($A57,CS!$B:$B,0)+COLUMN(D$1),1))</f>
        <v>0</v>
      </c>
      <c r="BB57" t="str">
        <f>IF($A57="","", INDEX(CS!$B$1:$B$12876,MATCH($A57,CS!$B:$B,0)+COLUMN(E$1),1))</f>
        <v>闘気撃</v>
      </c>
      <c r="BC57" t="str">
        <f>IF($A57="","", INDEX(CS!$B$1:$B$12876,MATCH($A57,CS!$B:$B,0)+COLUMN(F$1),1))</f>
        <v>反撃</v>
      </c>
      <c r="BD57">
        <f>IF($A57="","", INDEX(CS!$B$1:$B$12876,MATCH($A57,CS!$B:$B,0)+COLUMN(G$1),1))</f>
        <v>0</v>
      </c>
      <c r="BE57" t="str">
        <f>IF($A57="","", INDEX(CS!$B$1:$B$12876,MATCH($A57,CS!$B:$B,0)+COLUMN(H$1),1))</f>
        <v>雄叫び</v>
      </c>
      <c r="BF57" t="str">
        <f>IF($A57="","", INDEX(CS!$B$1:$B$12876,MATCH($A57,CS!$B:$B,0)+COLUMN(I$1),1))</f>
        <v>武器の守り</v>
      </c>
      <c r="BG57" t="str">
        <f>IF($A57="","", INDEX(CS!$B$1:$B$12876,MATCH($A57,CS!$B:$B,0)+COLUMN(J$1),1))</f>
        <v>一閃撃</v>
      </c>
      <c r="BH57" t="s">
        <v>893</v>
      </c>
      <c r="CB57" t="s">
        <v>679</v>
      </c>
      <c r="CC57" t="s">
        <v>1183</v>
      </c>
      <c r="CE57" t="s">
        <v>926</v>
      </c>
      <c r="CF57" t="s">
        <v>1132</v>
      </c>
      <c r="CI57" t="s">
        <v>27</v>
      </c>
    </row>
    <row r="58" spans="1:87" outlineLevel="1" x14ac:dyDescent="0.4">
      <c r="A58" t="s">
        <v>185</v>
      </c>
      <c r="B58" t="s">
        <v>187</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INDEX(CS!$B$1:$B$12876,MATCH($A58,CS!$B:$B,0)+COLUMN(A$1),1))</f>
        <v>0</v>
      </c>
      <c r="AY58" t="str">
        <f>IF($A58="","", INDEX(CS!$B$1:$B$12876,MATCH($A58,CS!$B:$B,0)+COLUMN(B$1),1))</f>
        <v>闘気撃</v>
      </c>
      <c r="AZ58" t="str">
        <f>IF($A58="","", INDEX(CS!$B$1:$B$12876,MATCH($A58,CS!$B:$B,0)+COLUMN(C$1),1))</f>
        <v>武器の扱い</v>
      </c>
      <c r="BA58">
        <f>IF($A58="","", INDEX(CS!$B$1:$B$12876,MATCH($A58,CS!$B:$B,0)+COLUMN(D$1),1))</f>
        <v>0</v>
      </c>
      <c r="BB58" t="str">
        <f>IF($A58="","", INDEX(CS!$B$1:$B$12876,MATCH($A58,CS!$B:$B,0)+COLUMN(E$1),1))</f>
        <v>闘気速</v>
      </c>
      <c r="BC58">
        <f>IF($A58="","", INDEX(CS!$B$1:$B$12876,MATCH($A58,CS!$B:$B,0)+COLUMN(F$1),1))</f>
        <v>0</v>
      </c>
      <c r="BD58">
        <f>IF($A58="","", INDEX(CS!$B$1:$B$12876,MATCH($A58,CS!$B:$B,0)+COLUMN(G$1),1))</f>
        <v>0</v>
      </c>
      <c r="BE58" t="str">
        <f>IF($A58="","", INDEX(CS!$B$1:$B$12876,MATCH($A58,CS!$B:$B,0)+COLUMN(H$1),1))</f>
        <v>雄叫び</v>
      </c>
      <c r="BF58" t="str">
        <f>IF($A58="","", INDEX(CS!$B$1:$B$12876,MATCH($A58,CS!$B:$B,0)+COLUMN(I$1),1))</f>
        <v>武器の攻め</v>
      </c>
      <c r="BG58" t="str">
        <f>IF($A58="","", INDEX(CS!$B$1:$B$12876,MATCH($A58,CS!$B:$B,0)+COLUMN(J$1),1))</f>
        <v>一閃撃</v>
      </c>
      <c r="BH58" t="s">
        <v>893</v>
      </c>
      <c r="CB58" t="s">
        <v>1181</v>
      </c>
      <c r="CD58" t="s">
        <v>924</v>
      </c>
      <c r="CE58" t="s">
        <v>927</v>
      </c>
      <c r="CF58" t="s">
        <v>1132</v>
      </c>
      <c r="CI58" t="s">
        <v>27</v>
      </c>
    </row>
    <row r="59" spans="1:87" outlineLevel="1" x14ac:dyDescent="0.4">
      <c r="C59" t="s">
        <v>51</v>
      </c>
      <c r="D59" t="str">
        <f t="shared" si="4"/>
        <v>0/0/0</v>
      </c>
      <c r="E59">
        <v>1</v>
      </c>
      <c r="AX59" t="str">
        <f>IF($A59="","", INDEX(CS!$B$1:$B$12876,MATCH($A59,CS!$B:$B,0)+COLUMN(A$1),1))</f>
        <v/>
      </c>
      <c r="AY59" t="str">
        <f>IF($A59="","", INDEX(CS!$B$1:$B$12876,MATCH($A59,CS!$B:$B,0)+COLUMN(B$1),1))</f>
        <v/>
      </c>
      <c r="AZ59" t="str">
        <f>IF($A59="","", INDEX(CS!$B$1:$B$12876,MATCH($A59,CS!$B:$B,0)+COLUMN(C$1),1))</f>
        <v/>
      </c>
      <c r="BA59" t="str">
        <f>IF($A59="","", INDEX(CS!$B$1:$B$12876,MATCH($A59,CS!$B:$B,0)+COLUMN(D$1),1))</f>
        <v/>
      </c>
      <c r="BB59" t="str">
        <f>IF($A59="","", INDEX(CS!$B$1:$B$12876,MATCH($A59,CS!$B:$B,0)+COLUMN(E$1),1))</f>
        <v/>
      </c>
      <c r="BC59" t="str">
        <f>IF($A59="","", INDEX(CS!$B$1:$B$12876,MATCH($A59,CS!$B:$B,0)+COLUMN(F$1),1))</f>
        <v/>
      </c>
      <c r="BD59" t="str">
        <f>IF($A59="","", INDEX(CS!$B$1:$B$12876,MATCH($A59,CS!$B:$B,0)+COLUMN(G$1),1))</f>
        <v/>
      </c>
      <c r="BE59" t="str">
        <f>IF($A59="","", INDEX(CS!$B$1:$B$12876,MATCH($A59,CS!$B:$B,0)+COLUMN(H$1),1))</f>
        <v/>
      </c>
      <c r="BF59" t="str">
        <f>IF($A59="","", INDEX(CS!$B$1:$B$12876,MATCH($A59,CS!$B:$B,0)+COLUMN(I$1),1))</f>
        <v/>
      </c>
      <c r="BG59" t="str">
        <f>IF($A59="","", INDEX(CS!$B$1:$B$12876,MATCH($A59,CS!$B:$B,0)+COLUMN(J$1),1))</f>
        <v/>
      </c>
    </row>
    <row r="60" spans="1:87" outlineLevel="1" x14ac:dyDescent="0.4">
      <c r="A60" t="s">
        <v>254</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INDEX(CS!$B$1:$B$12876,MATCH($A60,CS!$B:$B,0)+COLUMN(A$1),1))</f>
        <v>0</v>
      </c>
      <c r="AY60" t="str">
        <f>IF($A60="","", INDEX(CS!$B$1:$B$12876,MATCH($A60,CS!$B:$B,0)+COLUMN(B$1),1))</f>
        <v>急所撃</v>
      </c>
      <c r="AZ60" t="str">
        <f>IF($A60="","", INDEX(CS!$B$1:$B$12876,MATCH($A60,CS!$B:$B,0)+COLUMN(C$1),1))</f>
        <v>隠密</v>
      </c>
      <c r="BA60">
        <f>IF($A60="","", INDEX(CS!$B$1:$B$12876,MATCH($A60,CS!$B:$B,0)+COLUMN(D$1),1))</f>
        <v>0</v>
      </c>
      <c r="BB60" t="str">
        <f>IF($A60="","", INDEX(CS!$B$1:$B$12876,MATCH($A60,CS!$B:$B,0)+COLUMN(E$1),1))</f>
        <v>痛撃</v>
      </c>
      <c r="BC60" t="str">
        <f>IF($A60="","", INDEX(CS!$B$1:$B$12876,MATCH($A60,CS!$B:$B,0)+COLUMN(F$1),1))</f>
        <v>罠技術</v>
      </c>
      <c r="BD60">
        <f>IF($A60="","", INDEX(CS!$B$1:$B$12876,MATCH($A60,CS!$B:$B,0)+COLUMN(G$1),1))</f>
        <v>0</v>
      </c>
      <c r="BE60" t="str">
        <f>IF($A60="","", INDEX(CS!$B$1:$B$12876,MATCH($A60,CS!$B:$B,0)+COLUMN(H$1),1))</f>
        <v>狙い</v>
      </c>
      <c r="BF60">
        <f>IF($A60="","", INDEX(CS!$B$1:$B$12876,MATCH($A60,CS!$B:$B,0)+COLUMN(I$1),1))</f>
        <v>0</v>
      </c>
      <c r="BG60">
        <f>IF($A60="","", INDEX(CS!$B$1:$B$12876,MATCH($A60,CS!$B:$B,0)+COLUMN(J$1),1))</f>
        <v>0</v>
      </c>
      <c r="BH60" t="s">
        <v>893</v>
      </c>
      <c r="CB60" t="s">
        <v>1184</v>
      </c>
      <c r="CE60" t="s">
        <v>927</v>
      </c>
      <c r="CF60" t="s">
        <v>1132</v>
      </c>
      <c r="CI60" t="s">
        <v>998</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INDEX(CS!$B$1:$B$12876,MATCH($A61,CS!$B:$B,0)+COLUMN(A$1),1))</f>
        <v>0</v>
      </c>
      <c r="AY61">
        <f>IF($A61="","", INDEX(CS!$B$1:$B$12876,MATCH($A61,CS!$B:$B,0)+COLUMN(B$1),1))</f>
        <v>0</v>
      </c>
      <c r="AZ61">
        <f>IF($A61="","", INDEX(CS!$B$1:$B$12876,MATCH($A61,CS!$B:$B,0)+COLUMN(C$1),1))</f>
        <v>0</v>
      </c>
      <c r="BA61">
        <f>IF($A61="","", INDEX(CS!$B$1:$B$12876,MATCH($A61,CS!$B:$B,0)+COLUMN(D$1),1))</f>
        <v>0</v>
      </c>
      <c r="BB61">
        <f>IF($A61="","", INDEX(CS!$B$1:$B$12876,MATCH($A61,CS!$B:$B,0)+COLUMN(E$1),1))</f>
        <v>0</v>
      </c>
      <c r="BC61">
        <f>IF($A61="","", INDEX(CS!$B$1:$B$12876,MATCH($A61,CS!$B:$B,0)+COLUMN(F$1),1))</f>
        <v>0</v>
      </c>
      <c r="BD61">
        <f>IF($A61="","", INDEX(CS!$B$1:$B$12876,MATCH($A61,CS!$B:$B,0)+COLUMN(G$1),1))</f>
        <v>0</v>
      </c>
      <c r="BE61">
        <f>IF($A61="","", INDEX(CS!$B$1:$B$12876,MATCH($A61,CS!$B:$B,0)+COLUMN(H$1),1))</f>
        <v>0</v>
      </c>
      <c r="BF61">
        <f>IF($A61="","", INDEX(CS!$B$1:$B$12876,MATCH($A61,CS!$B:$B,0)+COLUMN(I$1),1))</f>
        <v>0</v>
      </c>
      <c r="BG61">
        <f>IF($A61="","", INDEX(CS!$B$1:$B$12876,MATCH($A61,CS!$B:$B,0)+COLUMN(J$1),1))</f>
        <v>0</v>
      </c>
      <c r="BH61" t="s">
        <v>893</v>
      </c>
      <c r="CB61" t="s">
        <v>1185</v>
      </c>
      <c r="CE61" t="s">
        <v>927</v>
      </c>
      <c r="CF61" t="s">
        <v>1132</v>
      </c>
      <c r="CI61" t="s">
        <v>998</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INDEX(CS!$B$1:$B$12876,MATCH($A62,CS!$B:$B,0)+COLUMN(A$1),1))</f>
        <v>0</v>
      </c>
      <c r="AY62">
        <f>IF($A62="","", INDEX(CS!$B$1:$B$12876,MATCH($A62,CS!$B:$B,0)+COLUMN(B$1),1))</f>
        <v>0</v>
      </c>
      <c r="AZ62">
        <f>IF($A62="","", INDEX(CS!$B$1:$B$12876,MATCH($A62,CS!$B:$B,0)+COLUMN(C$1),1))</f>
        <v>0</v>
      </c>
      <c r="BA62">
        <f>IF($A62="","", INDEX(CS!$B$1:$B$12876,MATCH($A62,CS!$B:$B,0)+COLUMN(D$1),1))</f>
        <v>0</v>
      </c>
      <c r="BB62">
        <f>IF($A62="","", INDEX(CS!$B$1:$B$12876,MATCH($A62,CS!$B:$B,0)+COLUMN(E$1),1))</f>
        <v>0</v>
      </c>
      <c r="BC62">
        <f>IF($A62="","", INDEX(CS!$B$1:$B$12876,MATCH($A62,CS!$B:$B,0)+COLUMN(F$1),1))</f>
        <v>0</v>
      </c>
      <c r="BD62">
        <f>IF($A62="","", INDEX(CS!$B$1:$B$12876,MATCH($A62,CS!$B:$B,0)+COLUMN(G$1),1))</f>
        <v>0</v>
      </c>
      <c r="BE62">
        <f>IF($A62="","", INDEX(CS!$B$1:$B$12876,MATCH($A62,CS!$B:$B,0)+COLUMN(H$1),1))</f>
        <v>0</v>
      </c>
      <c r="BF62">
        <f>IF($A62="","", INDEX(CS!$B$1:$B$12876,MATCH($A62,CS!$B:$B,0)+COLUMN(I$1),1))</f>
        <v>0</v>
      </c>
      <c r="BG62">
        <f>IF($A62="","", INDEX(CS!$B$1:$B$12876,MATCH($A62,CS!$B:$B,0)+COLUMN(J$1),1))</f>
        <v>0</v>
      </c>
      <c r="BH62" t="s">
        <v>893</v>
      </c>
      <c r="CB62" t="s">
        <v>1184</v>
      </c>
      <c r="CE62" t="s">
        <v>927</v>
      </c>
      <c r="CF62" t="s">
        <v>1132</v>
      </c>
      <c r="CI62" t="s">
        <v>998</v>
      </c>
    </row>
    <row r="63" spans="1:87" outlineLevel="1" x14ac:dyDescent="0.4">
      <c r="C63" t="s">
        <v>51</v>
      </c>
      <c r="D63" t="str">
        <f t="shared" si="4"/>
        <v>0/0/0</v>
      </c>
      <c r="E63">
        <v>1</v>
      </c>
      <c r="AX63" t="str">
        <f>IF($A63="","", INDEX(CS!$B$1:$B$12876,MATCH($A63,CS!$B:$B,0)+COLUMN(A$1),1))</f>
        <v/>
      </c>
      <c r="AY63" t="str">
        <f>IF($A63="","", INDEX(CS!$B$1:$B$12876,MATCH($A63,CS!$B:$B,0)+COLUMN(B$1),1))</f>
        <v/>
      </c>
      <c r="AZ63" t="str">
        <f>IF($A63="","", INDEX(CS!$B$1:$B$12876,MATCH($A63,CS!$B:$B,0)+COLUMN(C$1),1))</f>
        <v/>
      </c>
      <c r="BA63" t="str">
        <f>IF($A63="","", INDEX(CS!$B$1:$B$12876,MATCH($A63,CS!$B:$B,0)+COLUMN(D$1),1))</f>
        <v/>
      </c>
      <c r="BB63" t="str">
        <f>IF($A63="","", INDEX(CS!$B$1:$B$12876,MATCH($A63,CS!$B:$B,0)+COLUMN(E$1),1))</f>
        <v/>
      </c>
      <c r="BC63" t="str">
        <f>IF($A63="","", INDEX(CS!$B$1:$B$12876,MATCH($A63,CS!$B:$B,0)+COLUMN(F$1),1))</f>
        <v/>
      </c>
      <c r="BD63" t="str">
        <f>IF($A63="","", INDEX(CS!$B$1:$B$12876,MATCH($A63,CS!$B:$B,0)+COLUMN(G$1),1))</f>
        <v/>
      </c>
      <c r="BE63" t="str">
        <f>IF($A63="","", INDEX(CS!$B$1:$B$12876,MATCH($A63,CS!$B:$B,0)+COLUMN(H$1),1))</f>
        <v/>
      </c>
      <c r="BF63" t="str">
        <f>IF($A63="","", INDEX(CS!$B$1:$B$12876,MATCH($A63,CS!$B:$B,0)+COLUMN(I$1),1))</f>
        <v/>
      </c>
      <c r="BG63" t="str">
        <f>IF($A63="","", INDEX(CS!$B$1:$B$12876,MATCH($A63,CS!$B:$B,0)+COLUMN(J$1),1))</f>
        <v/>
      </c>
    </row>
    <row r="64" spans="1:87" outlineLevel="1" x14ac:dyDescent="0.4">
      <c r="A64" t="s">
        <v>248</v>
      </c>
      <c r="B64" t="s">
        <v>251</v>
      </c>
      <c r="C64" t="s">
        <v>51</v>
      </c>
      <c r="D64" t="str">
        <f t="shared" si="4"/>
        <v>710/470/240</v>
      </c>
      <c r="E64">
        <v>1</v>
      </c>
      <c r="F64">
        <v>60</v>
      </c>
      <c r="I64">
        <v>50</v>
      </c>
      <c r="J64">
        <v>55</v>
      </c>
      <c r="K64" s="24">
        <v>90</v>
      </c>
      <c r="L64">
        <v>90</v>
      </c>
      <c r="M64">
        <v>50</v>
      </c>
      <c r="N64">
        <v>75</v>
      </c>
      <c r="AK64">
        <v>90</v>
      </c>
      <c r="AT64">
        <v>50</v>
      </c>
      <c r="AV64">
        <v>100</v>
      </c>
      <c r="AX64">
        <f>IF($A64="","", INDEX(CS!$B$1:$B$12876,MATCH($A64,CS!$B:$B,0)+COLUMN(A$1),1))</f>
        <v>0</v>
      </c>
      <c r="AY64">
        <f>IF($A64="","", INDEX(CS!$B$1:$B$12876,MATCH($A64,CS!$B:$B,0)+COLUMN(B$1),1))</f>
        <v>0</v>
      </c>
      <c r="AZ64">
        <f>IF($A64="","", INDEX(CS!$B$1:$B$12876,MATCH($A64,CS!$B:$B,0)+COLUMN(C$1),1))</f>
        <v>0</v>
      </c>
      <c r="BA64">
        <f>IF($A64="","", INDEX(CS!$B$1:$B$12876,MATCH($A64,CS!$B:$B,0)+COLUMN(D$1),1))</f>
        <v>0</v>
      </c>
      <c r="BB64">
        <f>IF($A64="","", INDEX(CS!$B$1:$B$12876,MATCH($A64,CS!$B:$B,0)+COLUMN(E$1),1))</f>
        <v>0</v>
      </c>
      <c r="BC64">
        <f>IF($A64="","", INDEX(CS!$B$1:$B$12876,MATCH($A64,CS!$B:$B,0)+COLUMN(F$1),1))</f>
        <v>0</v>
      </c>
      <c r="BD64">
        <f>IF($A64="","", INDEX(CS!$B$1:$B$12876,MATCH($A64,CS!$B:$B,0)+COLUMN(G$1),1))</f>
        <v>0</v>
      </c>
      <c r="BE64">
        <f>IF($A64="","", INDEX(CS!$B$1:$B$12876,MATCH($A64,CS!$B:$B,0)+COLUMN(H$1),1))</f>
        <v>0</v>
      </c>
      <c r="BF64">
        <f>IF($A64="","", INDEX(CS!$B$1:$B$12876,MATCH($A64,CS!$B:$B,0)+COLUMN(I$1),1))</f>
        <v>0</v>
      </c>
      <c r="BG64">
        <f>IF($A64="","", INDEX(CS!$B$1:$B$12876,MATCH($A64,CS!$B:$B,0)+COLUMN(J$1),1))</f>
        <v>0</v>
      </c>
      <c r="BH64" t="s">
        <v>893</v>
      </c>
      <c r="CB64" t="s">
        <v>661</v>
      </c>
      <c r="CD64" t="s">
        <v>924</v>
      </c>
      <c r="CE64" t="s">
        <v>928</v>
      </c>
      <c r="CF64" t="s">
        <v>1132</v>
      </c>
      <c r="CI64" t="s">
        <v>251</v>
      </c>
    </row>
    <row r="65" spans="1:87" outlineLevel="1" x14ac:dyDescent="0.4">
      <c r="A65" t="s">
        <v>250</v>
      </c>
      <c r="B65" t="s">
        <v>252</v>
      </c>
      <c r="C65" t="s">
        <v>51</v>
      </c>
      <c r="D65" t="str">
        <f t="shared" si="4"/>
        <v>710/465/245</v>
      </c>
      <c r="E65">
        <v>1</v>
      </c>
      <c r="F65">
        <v>60</v>
      </c>
      <c r="I65">
        <v>50</v>
      </c>
      <c r="J65">
        <v>55</v>
      </c>
      <c r="K65" s="24">
        <v>85</v>
      </c>
      <c r="L65">
        <v>90</v>
      </c>
      <c r="M65">
        <v>50</v>
      </c>
      <c r="N65">
        <v>75</v>
      </c>
      <c r="AK65">
        <v>75</v>
      </c>
      <c r="AL65">
        <v>50</v>
      </c>
      <c r="AM65">
        <v>20</v>
      </c>
      <c r="AV65">
        <v>100</v>
      </c>
      <c r="AX65">
        <f>IF($A65="","", INDEX(CS!$B$1:$B$12876,MATCH($A65,CS!$B:$B,0)+COLUMN(A$1),1))</f>
        <v>0</v>
      </c>
      <c r="AY65">
        <f>IF($A65="","", INDEX(CS!$B$1:$B$12876,MATCH($A65,CS!$B:$B,0)+COLUMN(B$1),1))</f>
        <v>0</v>
      </c>
      <c r="AZ65">
        <f>IF($A65="","", INDEX(CS!$B$1:$B$12876,MATCH($A65,CS!$B:$B,0)+COLUMN(C$1),1))</f>
        <v>0</v>
      </c>
      <c r="BA65">
        <f>IF($A65="","", INDEX(CS!$B$1:$B$12876,MATCH($A65,CS!$B:$B,0)+COLUMN(D$1),1))</f>
        <v>0</v>
      </c>
      <c r="BB65">
        <f>IF($A65="","", INDEX(CS!$B$1:$B$12876,MATCH($A65,CS!$B:$B,0)+COLUMN(E$1),1))</f>
        <v>0</v>
      </c>
      <c r="BC65">
        <f>IF($A65="","", INDEX(CS!$B$1:$B$12876,MATCH($A65,CS!$B:$B,0)+COLUMN(F$1),1))</f>
        <v>0</v>
      </c>
      <c r="BD65">
        <f>IF($A65="","", INDEX(CS!$B$1:$B$12876,MATCH($A65,CS!$B:$B,0)+COLUMN(G$1),1))</f>
        <v>0</v>
      </c>
      <c r="BE65">
        <f>IF($A65="","", INDEX(CS!$B$1:$B$12876,MATCH($A65,CS!$B:$B,0)+COLUMN(H$1),1))</f>
        <v>0</v>
      </c>
      <c r="BF65">
        <f>IF($A65="","", INDEX(CS!$B$1:$B$12876,MATCH($A65,CS!$B:$B,0)+COLUMN(I$1),1))</f>
        <v>0</v>
      </c>
      <c r="BG65">
        <f>IF($A65="","", INDEX(CS!$B$1:$B$12876,MATCH($A65,CS!$B:$B,0)+COLUMN(J$1),1))</f>
        <v>0</v>
      </c>
      <c r="BH65" t="s">
        <v>893</v>
      </c>
      <c r="CB65" t="s">
        <v>661</v>
      </c>
      <c r="CD65" t="s">
        <v>924</v>
      </c>
      <c r="CE65" t="s">
        <v>928</v>
      </c>
      <c r="CF65" t="s">
        <v>1132</v>
      </c>
      <c r="CI65" t="s">
        <v>251</v>
      </c>
    </row>
    <row r="66" spans="1:87" outlineLevel="1" x14ac:dyDescent="0.4">
      <c r="A66" t="s">
        <v>249</v>
      </c>
      <c r="B66" t="s">
        <v>253</v>
      </c>
      <c r="C66" t="s">
        <v>51</v>
      </c>
      <c r="D66" t="str">
        <f t="shared" si="4"/>
        <v>710/465/245</v>
      </c>
      <c r="E66">
        <v>1</v>
      </c>
      <c r="F66">
        <v>65</v>
      </c>
      <c r="I66">
        <v>55</v>
      </c>
      <c r="J66">
        <v>65</v>
      </c>
      <c r="K66" s="24">
        <v>85</v>
      </c>
      <c r="L66">
        <v>70</v>
      </c>
      <c r="M66">
        <v>50</v>
      </c>
      <c r="N66">
        <v>75</v>
      </c>
      <c r="AK66">
        <v>50</v>
      </c>
      <c r="AM66">
        <v>95</v>
      </c>
      <c r="AV66">
        <v>100</v>
      </c>
      <c r="AX66" t="str">
        <f>IF($A66="","", INDEX(CS!$B$1:$B$12876,MATCH($A66,CS!$B:$B,0)+COLUMN(A$1),1))</f>
        <v>爆薬</v>
      </c>
      <c r="AY66" t="str">
        <f>IF($A66="","", INDEX(CS!$B$1:$B$12876,MATCH($A66,CS!$B:$B,0)+COLUMN(B$1),1))</f>
        <v>闘気撃</v>
      </c>
      <c r="AZ66" t="str">
        <f>IF($A66="","", INDEX(CS!$B$1:$B$12876,MATCH($A66,CS!$B:$B,0)+COLUMN(C$1),1))</f>
        <v>闘気速</v>
      </c>
      <c r="BA66" t="str">
        <f>IF($A66="","", INDEX(CS!$B$1:$B$12876,MATCH($A66,CS!$B:$B,0)+COLUMN(D$1),1))</f>
        <v>雄叫び</v>
      </c>
      <c r="BB66" t="str">
        <f>IF($A66="","", INDEX(CS!$B$1:$B$12876,MATCH($A66,CS!$B:$B,0)+COLUMN(E$1),1))</f>
        <v>一閃撃</v>
      </c>
      <c r="BC66" t="str">
        <f>IF($A66="","", INDEX(CS!$B$1:$B$12876,MATCH($A66,CS!$B:$B,0)+COLUMN(F$1),1))</f>
        <v>急所撃</v>
      </c>
      <c r="BD66" t="str">
        <f>IF($A66="","", INDEX(CS!$B$1:$B$12876,MATCH($A66,CS!$B:$B,0)+COLUMN(G$1),1))</f>
        <v>炎の雨</v>
      </c>
      <c r="BE66" t="str">
        <f>IF($A66="","", INDEX(CS!$B$1:$B$12876,MATCH($A66,CS!$B:$B,0)+COLUMN(H$1),1))</f>
        <v>火球</v>
      </c>
      <c r="BF66" t="str">
        <f>IF($A66="","", INDEX(CS!$B$1:$B$12876,MATCH($A66,CS!$B:$B,0)+COLUMN(I$1),1))</f>
        <v>落下火球</v>
      </c>
      <c r="BG66" t="str">
        <f>IF($A66="","", INDEX(CS!$B$1:$B$12876,MATCH($A66,CS!$B:$B,0)+COLUMN(J$1),1))</f>
        <v>爆裂</v>
      </c>
      <c r="BH66" t="s">
        <v>893</v>
      </c>
      <c r="CB66" t="s">
        <v>661</v>
      </c>
      <c r="CD66" t="s">
        <v>924</v>
      </c>
      <c r="CE66" t="s">
        <v>928</v>
      </c>
      <c r="CF66" t="s">
        <v>1132</v>
      </c>
      <c r="CI66" t="s">
        <v>251</v>
      </c>
    </row>
    <row r="67" spans="1:87" outlineLevel="1" x14ac:dyDescent="0.4">
      <c r="C67" t="s">
        <v>51</v>
      </c>
      <c r="D67" t="str">
        <f t="shared" si="4"/>
        <v>0/0/0</v>
      </c>
      <c r="E67">
        <v>1</v>
      </c>
      <c r="AX67" t="str">
        <f>IF($A67="","", INDEX(CS!$B$1:$B$12876,MATCH($A67,CS!$B:$B,0)+COLUMN(A$1),1))</f>
        <v/>
      </c>
      <c r="AY67" t="str">
        <f>IF($A67="","", INDEX(CS!$B$1:$B$12876,MATCH($A67,CS!$B:$B,0)+COLUMN(B$1),1))</f>
        <v/>
      </c>
      <c r="AZ67" t="str">
        <f>IF($A67="","", INDEX(CS!$B$1:$B$12876,MATCH($A67,CS!$B:$B,0)+COLUMN(C$1),1))</f>
        <v/>
      </c>
      <c r="BA67" t="str">
        <f>IF($A67="","", INDEX(CS!$B$1:$B$12876,MATCH($A67,CS!$B:$B,0)+COLUMN(D$1),1))</f>
        <v/>
      </c>
      <c r="BB67" t="str">
        <f>IF($A67="","", INDEX(CS!$B$1:$B$12876,MATCH($A67,CS!$B:$B,0)+COLUMN(E$1),1))</f>
        <v/>
      </c>
      <c r="BC67" t="str">
        <f>IF($A67="","", INDEX(CS!$B$1:$B$12876,MATCH($A67,CS!$B:$B,0)+COLUMN(F$1),1))</f>
        <v/>
      </c>
      <c r="BD67" t="str">
        <f>IF($A67="","", INDEX(CS!$B$1:$B$12876,MATCH($A67,CS!$B:$B,0)+COLUMN(G$1),1))</f>
        <v/>
      </c>
      <c r="BE67" t="str">
        <f>IF($A67="","", INDEX(CS!$B$1:$B$12876,MATCH($A67,CS!$B:$B,0)+COLUMN(H$1),1))</f>
        <v/>
      </c>
      <c r="BF67" t="str">
        <f>IF($A67="","", INDEX(CS!$B$1:$B$12876,MATCH($A67,CS!$B:$B,0)+COLUMN(I$1),1))</f>
        <v/>
      </c>
      <c r="BG67" t="str">
        <f>IF($A67="","", INDEX(CS!$B$1:$B$12876,MATCH($A67,CS!$B:$B,0)+COLUMN(J$1),1))</f>
        <v/>
      </c>
    </row>
    <row r="68" spans="1:87" outlineLevel="1" x14ac:dyDescent="0.4">
      <c r="A68" t="s">
        <v>38</v>
      </c>
      <c r="B68" t="s">
        <v>192</v>
      </c>
      <c r="C68" t="s">
        <v>51</v>
      </c>
      <c r="D68" t="str">
        <f t="shared" si="4"/>
        <v>710/485/225</v>
      </c>
      <c r="E68">
        <v>1</v>
      </c>
      <c r="F68">
        <v>75</v>
      </c>
      <c r="I68">
        <v>70</v>
      </c>
      <c r="J68">
        <v>70</v>
      </c>
      <c r="K68" s="24">
        <v>75</v>
      </c>
      <c r="L68">
        <v>70</v>
      </c>
      <c r="M68">
        <v>50</v>
      </c>
      <c r="N68">
        <v>75</v>
      </c>
      <c r="AK68">
        <v>75</v>
      </c>
      <c r="AT68">
        <v>50</v>
      </c>
      <c r="AW68">
        <v>100</v>
      </c>
      <c r="AX68" t="str">
        <f>IF($A68="","", INDEX(CS!$B$1:$B$12876,MATCH($A68,CS!$B:$B,0)+COLUMN(A$1),1))</f>
        <v>光粒</v>
      </c>
      <c r="AY68" t="str">
        <f>IF($A68="","", INDEX(CS!$B$1:$B$12876,MATCH($A68,CS!$B:$B,0)+COLUMN(B$1),1))</f>
        <v>軽回復</v>
      </c>
      <c r="AZ68">
        <f>IF($A68="","", INDEX(CS!$B$1:$B$12876,MATCH($A68,CS!$B:$B,0)+COLUMN(C$1),1))</f>
        <v>0</v>
      </c>
      <c r="BA68">
        <f>IF($A68="","", INDEX(CS!$B$1:$B$12876,MATCH($A68,CS!$B:$B,0)+COLUMN(D$1),1))</f>
        <v>0</v>
      </c>
      <c r="BB68">
        <f>IF($A68="","", INDEX(CS!$B$1:$B$12876,MATCH($A68,CS!$B:$B,0)+COLUMN(E$1),1))</f>
        <v>0</v>
      </c>
      <c r="BC68">
        <f>IF($A68="","", INDEX(CS!$B$1:$B$12876,MATCH($A68,CS!$B:$B,0)+COLUMN(F$1),1))</f>
        <v>0</v>
      </c>
      <c r="BD68">
        <f>IF($A68="","", INDEX(CS!$B$1:$B$12876,MATCH($A68,CS!$B:$B,0)+COLUMN(G$1),1))</f>
        <v>0</v>
      </c>
      <c r="BE68">
        <f>IF($A68="","", INDEX(CS!$B$1:$B$12876,MATCH($A68,CS!$B:$B,0)+COLUMN(H$1),1))</f>
        <v>0</v>
      </c>
      <c r="BF68">
        <f>IF($A68="","", INDEX(CS!$B$1:$B$12876,MATCH($A68,CS!$B:$B,0)+COLUMN(I$1),1))</f>
        <v>0</v>
      </c>
      <c r="BG68">
        <f>IF($A68="","", INDEX(CS!$B$1:$B$12876,MATCH($A68,CS!$B:$B,0)+COLUMN(J$1),1))</f>
        <v>0</v>
      </c>
      <c r="BH68" t="s">
        <v>893</v>
      </c>
      <c r="CB68" t="s">
        <v>1186</v>
      </c>
      <c r="CD68" t="s">
        <v>924</v>
      </c>
      <c r="CE68" t="s">
        <v>928</v>
      </c>
      <c r="CF68" t="s">
        <v>1132</v>
      </c>
      <c r="CI68" t="s">
        <v>192</v>
      </c>
    </row>
    <row r="69" spans="1:87" outlineLevel="1" x14ac:dyDescent="0.4">
      <c r="A69" t="s">
        <v>40</v>
      </c>
      <c r="B69" t="s">
        <v>191</v>
      </c>
      <c r="C69" t="s">
        <v>51</v>
      </c>
      <c r="D69" t="str">
        <f t="shared" si="4"/>
        <v>710/485/225</v>
      </c>
      <c r="E69">
        <v>1</v>
      </c>
      <c r="F69">
        <v>85</v>
      </c>
      <c r="I69">
        <v>70</v>
      </c>
      <c r="J69">
        <v>85</v>
      </c>
      <c r="K69" s="24">
        <v>55</v>
      </c>
      <c r="L69">
        <v>60</v>
      </c>
      <c r="M69">
        <v>55</v>
      </c>
      <c r="N69">
        <v>75</v>
      </c>
      <c r="AI69">
        <v>50</v>
      </c>
      <c r="AK69">
        <v>50</v>
      </c>
      <c r="AT69">
        <v>50</v>
      </c>
      <c r="AW69">
        <v>75</v>
      </c>
      <c r="AX69">
        <f>IF($A69="","", INDEX(CS!$B$1:$B$12876,MATCH($A69,CS!$B:$B,0)+COLUMN(A$1),1))</f>
        <v>0</v>
      </c>
      <c r="AY69">
        <f>IF($A69="","", INDEX(CS!$B$1:$B$12876,MATCH($A69,CS!$B:$B,0)+COLUMN(B$1),1))</f>
        <v>0</v>
      </c>
      <c r="AZ69">
        <f>IF($A69="","", INDEX(CS!$B$1:$B$12876,MATCH($A69,CS!$B:$B,0)+COLUMN(C$1),1))</f>
        <v>0</v>
      </c>
      <c r="BA69">
        <f>IF($A69="","", INDEX(CS!$B$1:$B$12876,MATCH($A69,CS!$B:$B,0)+COLUMN(D$1),1))</f>
        <v>0</v>
      </c>
      <c r="BB69">
        <f>IF($A69="","", INDEX(CS!$B$1:$B$12876,MATCH($A69,CS!$B:$B,0)+COLUMN(E$1),1))</f>
        <v>0</v>
      </c>
      <c r="BC69">
        <f>IF($A69="","", INDEX(CS!$B$1:$B$12876,MATCH($A69,CS!$B:$B,0)+COLUMN(F$1),1))</f>
        <v>0</v>
      </c>
      <c r="BD69">
        <f>IF($A69="","", INDEX(CS!$B$1:$B$12876,MATCH($A69,CS!$B:$B,0)+COLUMN(G$1),1))</f>
        <v>0</v>
      </c>
      <c r="BE69">
        <f>IF($A69="","", INDEX(CS!$B$1:$B$12876,MATCH($A69,CS!$B:$B,0)+COLUMN(H$1),1))</f>
        <v>0</v>
      </c>
      <c r="BF69">
        <f>IF($A69="","", INDEX(CS!$B$1:$B$12876,MATCH($A69,CS!$B:$B,0)+COLUMN(I$1),1))</f>
        <v>0</v>
      </c>
      <c r="BG69">
        <f>IF($A69="","", INDEX(CS!$B$1:$B$12876,MATCH($A69,CS!$B:$B,0)+COLUMN(J$1),1))</f>
        <v>0</v>
      </c>
      <c r="BH69" t="s">
        <v>893</v>
      </c>
      <c r="CB69" t="s">
        <v>679</v>
      </c>
      <c r="CC69" t="s">
        <v>1183</v>
      </c>
      <c r="CD69" t="s">
        <v>924</v>
      </c>
      <c r="CE69" t="s">
        <v>928</v>
      </c>
      <c r="CF69" t="s">
        <v>1132</v>
      </c>
      <c r="CI69" t="s">
        <v>192</v>
      </c>
    </row>
    <row r="70" spans="1:87" outlineLevel="1" x14ac:dyDescent="0.4">
      <c r="A70" t="s">
        <v>189</v>
      </c>
      <c r="B70" t="s">
        <v>190</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INDEX(CS!$B$1:$B$12876,MATCH($A70,CS!$B:$B,0)+COLUMN(A$1),1))</f>
        <v>植物の絡み</v>
      </c>
      <c r="AY70">
        <f>IF($A70="","", INDEX(CS!$B$1:$B$12876,MATCH($A70,CS!$B:$B,0)+COLUMN(B$1),1))</f>
        <v>0</v>
      </c>
      <c r="AZ70" t="str">
        <f>IF($A70="","", INDEX(CS!$B$1:$B$12876,MATCH($A70,CS!$B:$B,0)+COLUMN(C$1),1))</f>
        <v>森の歩み</v>
      </c>
      <c r="BA70">
        <f>IF($A70="","", INDEX(CS!$B$1:$B$12876,MATCH($A70,CS!$B:$B,0)+COLUMN(D$1),1))</f>
        <v>0</v>
      </c>
      <c r="BB70">
        <f>IF($A70="","", INDEX(CS!$B$1:$B$12876,MATCH($A70,CS!$B:$B,0)+COLUMN(E$1),1))</f>
        <v>0</v>
      </c>
      <c r="BC70">
        <f>IF($A70="","", INDEX(CS!$B$1:$B$12876,MATCH($A70,CS!$B:$B,0)+COLUMN(F$1),1))</f>
        <v>0</v>
      </c>
      <c r="BD70">
        <f>IF($A70="","", INDEX(CS!$B$1:$B$12876,MATCH($A70,CS!$B:$B,0)+COLUMN(G$1),1))</f>
        <v>0</v>
      </c>
      <c r="BE70">
        <f>IF($A70="","", INDEX(CS!$B$1:$B$12876,MATCH($A70,CS!$B:$B,0)+COLUMN(H$1),1))</f>
        <v>0</v>
      </c>
      <c r="BF70">
        <f>IF($A70="","", INDEX(CS!$B$1:$B$12876,MATCH($A70,CS!$B:$B,0)+COLUMN(I$1),1))</f>
        <v>0</v>
      </c>
      <c r="BG70">
        <f>IF($A70="","", INDEX(CS!$B$1:$B$12876,MATCH($A70,CS!$B:$B,0)+COLUMN(J$1),1))</f>
        <v>0</v>
      </c>
      <c r="BH70" t="s">
        <v>893</v>
      </c>
      <c r="CB70" t="s">
        <v>1186</v>
      </c>
      <c r="CD70" t="s">
        <v>924</v>
      </c>
      <c r="CE70" t="s">
        <v>928</v>
      </c>
      <c r="CF70" t="s">
        <v>1132</v>
      </c>
      <c r="CI70" t="s">
        <v>192</v>
      </c>
    </row>
    <row r="71" spans="1:87" outlineLevel="1" x14ac:dyDescent="0.4">
      <c r="C71" t="s">
        <v>51</v>
      </c>
      <c r="D71" t="str">
        <f t="shared" si="4"/>
        <v>0/0/0</v>
      </c>
      <c r="E71">
        <v>1</v>
      </c>
      <c r="AX71" t="str">
        <f>IF($A71="","", INDEX(CS!$B$1:$B$12876,MATCH($A71,CS!$B:$B,0)+COLUMN(A$1),1))</f>
        <v/>
      </c>
      <c r="AY71" t="str">
        <f>IF($A71="","", INDEX(CS!$B$1:$B$12876,MATCH($A71,CS!$B:$B,0)+COLUMN(B$1),1))</f>
        <v/>
      </c>
      <c r="AZ71" t="str">
        <f>IF($A71="","", INDEX(CS!$B$1:$B$12876,MATCH($A71,CS!$B:$B,0)+COLUMN(C$1),1))</f>
        <v/>
      </c>
      <c r="BA71" t="str">
        <f>IF($A71="","", INDEX(CS!$B$1:$B$12876,MATCH($A71,CS!$B:$B,0)+COLUMN(D$1),1))</f>
        <v/>
      </c>
      <c r="BB71" t="str">
        <f>IF($A71="","", INDEX(CS!$B$1:$B$12876,MATCH($A71,CS!$B:$B,0)+COLUMN(E$1),1))</f>
        <v/>
      </c>
      <c r="BC71" t="str">
        <f>IF($A71="","", INDEX(CS!$B$1:$B$12876,MATCH($A71,CS!$B:$B,0)+COLUMN(F$1),1))</f>
        <v/>
      </c>
      <c r="BD71" t="str">
        <f>IF($A71="","", INDEX(CS!$B$1:$B$12876,MATCH($A71,CS!$B:$B,0)+COLUMN(G$1),1))</f>
        <v/>
      </c>
      <c r="BE71" t="str">
        <f>IF($A71="","", INDEX(CS!$B$1:$B$12876,MATCH($A71,CS!$B:$B,0)+COLUMN(H$1),1))</f>
        <v/>
      </c>
      <c r="BF71" t="str">
        <f>IF($A71="","", INDEX(CS!$B$1:$B$12876,MATCH($A71,CS!$B:$B,0)+COLUMN(I$1),1))</f>
        <v/>
      </c>
      <c r="BG71" t="str">
        <f>IF($A71="","", INDEX(CS!$B$1:$B$12876,MATCH($A71,CS!$B:$B,0)+COLUMN(J$1),1))</f>
        <v/>
      </c>
    </row>
    <row r="72" spans="1:87" x14ac:dyDescent="0.4">
      <c r="D72" t="str">
        <f t="shared" ref="D72" si="5">SUM(AI72:AW72,F72:N72)&amp;"/"&amp;SUM(F72:N72)&amp;"/"&amp;SUM(AI72:AW72)</f>
        <v>0/0/0</v>
      </c>
      <c r="AX72" t="str">
        <f>IF($A72="","", INDEX(CS!$B$1:$B$12876,MATCH($A72,CS!$B:$B,0)+COLUMN(A$1),1))</f>
        <v/>
      </c>
      <c r="AY72" t="str">
        <f>IF($A72="","", INDEX(CS!$B$1:$B$12876,MATCH($A72,CS!$B:$B,0)+COLUMN(B$1),1))</f>
        <v/>
      </c>
      <c r="AZ72" t="str">
        <f>IF($A72="","", INDEX(CS!$B$1:$B$12876,MATCH($A72,CS!$B:$B,0)+COLUMN(C$1),1))</f>
        <v/>
      </c>
      <c r="BA72" t="str">
        <f>IF($A72="","", INDEX(CS!$B$1:$B$12876,MATCH($A72,CS!$B:$B,0)+COLUMN(D$1),1))</f>
        <v/>
      </c>
      <c r="BB72" t="str">
        <f>IF($A72="","", INDEX(CS!$B$1:$B$12876,MATCH($A72,CS!$B:$B,0)+COLUMN(E$1),1))</f>
        <v/>
      </c>
      <c r="BC72" t="str">
        <f>IF($A72="","", INDEX(CS!$B$1:$B$12876,MATCH($A72,CS!$B:$B,0)+COLUMN(F$1),1))</f>
        <v/>
      </c>
      <c r="BD72" t="str">
        <f>IF($A72="","", INDEX(CS!$B$1:$B$12876,MATCH($A72,CS!$B:$B,0)+COLUMN(G$1),1))</f>
        <v/>
      </c>
      <c r="BE72" t="str">
        <f>IF($A72="","", INDEX(CS!$B$1:$B$12876,MATCH($A72,CS!$B:$B,0)+COLUMN(H$1),1))</f>
        <v/>
      </c>
      <c r="BF72" t="str">
        <f>IF($A72="","", INDEX(CS!$B$1:$B$12876,MATCH($A72,CS!$B:$B,0)+COLUMN(I$1),1))</f>
        <v/>
      </c>
      <c r="BG72" t="str">
        <f>IF($A72="","", INDEX(CS!$B$1:$B$12876,MATCH($A72,CS!$B:$B,0)+COLUMN(J$1),1))</f>
        <v/>
      </c>
    </row>
    <row r="73" spans="1:87" x14ac:dyDescent="0.4">
      <c r="B73" t="s">
        <v>902</v>
      </c>
      <c r="D73" t="str">
        <f t="shared" ref="D73" si="6">SUM(AI73:AW73,F73:N73)&amp;"/"&amp;SUM(F73:N73)&amp;"/"&amp;SUM(AI73:AW73)</f>
        <v>0/0/0</v>
      </c>
      <c r="E73">
        <v>1</v>
      </c>
      <c r="AX73" t="str">
        <f>IF($A73="","", INDEX(CS!$B$1:$B$12876,MATCH($A73,CS!$B:$B,0)+COLUMN(A$1),1))</f>
        <v/>
      </c>
      <c r="AY73" t="str">
        <f>IF($A73="","", INDEX(CS!$B$1:$B$12876,MATCH($A73,CS!$B:$B,0)+COLUMN(B$1),1))</f>
        <v/>
      </c>
      <c r="AZ73" t="str">
        <f>IF($A73="","", INDEX(CS!$B$1:$B$12876,MATCH($A73,CS!$B:$B,0)+COLUMN(C$1),1))</f>
        <v/>
      </c>
      <c r="BA73" t="str">
        <f>IF($A73="","", INDEX(CS!$B$1:$B$12876,MATCH($A73,CS!$B:$B,0)+COLUMN(D$1),1))</f>
        <v/>
      </c>
      <c r="BB73" t="str">
        <f>IF($A73="","", INDEX(CS!$B$1:$B$12876,MATCH($A73,CS!$B:$B,0)+COLUMN(E$1),1))</f>
        <v/>
      </c>
      <c r="BC73" t="str">
        <f>IF($A73="","", INDEX(CS!$B$1:$B$12876,MATCH($A73,CS!$B:$B,0)+COLUMN(F$1),1))</f>
        <v/>
      </c>
      <c r="BD73" t="str">
        <f>IF($A73="","", INDEX(CS!$B$1:$B$12876,MATCH($A73,CS!$B:$B,0)+COLUMN(G$1),1))</f>
        <v/>
      </c>
      <c r="BE73" t="str">
        <f>IF($A73="","", INDEX(CS!$B$1:$B$12876,MATCH($A73,CS!$B:$B,0)+COLUMN(H$1),1))</f>
        <v/>
      </c>
      <c r="BF73" t="str">
        <f>IF($A73="","", INDEX(CS!$B$1:$B$12876,MATCH($A73,CS!$B:$B,0)+COLUMN(I$1),1))</f>
        <v/>
      </c>
      <c r="BG73" t="str">
        <f>IF($A73="","", INDEX(CS!$B$1:$B$12876,MATCH($A73,CS!$B:$B,0)+COLUMN(J$1),1))</f>
        <v/>
      </c>
    </row>
    <row r="74" spans="1:87" outlineLevel="1" x14ac:dyDescent="0.4">
      <c r="A74" t="s">
        <v>903</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INDEX(CS!$B$1:$B$12876,MATCH($A74,CS!$B:$B,0)+COLUMN(A$1),1))</f>
        <v>#N/A</v>
      </c>
      <c r="AY74" t="e">
        <f>IF($A74="","", INDEX(CS!$B$1:$B$12876,MATCH($A74,CS!$B:$B,0)+COLUMN(B$1),1))</f>
        <v>#N/A</v>
      </c>
      <c r="AZ74" t="e">
        <f>IF($A74="","", INDEX(CS!$B$1:$B$12876,MATCH($A74,CS!$B:$B,0)+COLUMN(C$1),1))</f>
        <v>#N/A</v>
      </c>
      <c r="BA74" t="e">
        <f>IF($A74="","", INDEX(CS!$B$1:$B$12876,MATCH($A74,CS!$B:$B,0)+COLUMN(D$1),1))</f>
        <v>#N/A</v>
      </c>
      <c r="BB74" t="e">
        <f>IF($A74="","", INDEX(CS!$B$1:$B$12876,MATCH($A74,CS!$B:$B,0)+COLUMN(E$1),1))</f>
        <v>#N/A</v>
      </c>
      <c r="BC74" t="e">
        <f>IF($A74="","", INDEX(CS!$B$1:$B$12876,MATCH($A74,CS!$B:$B,0)+COLUMN(F$1),1))</f>
        <v>#N/A</v>
      </c>
      <c r="BD74" t="e">
        <f>IF($A74="","", INDEX(CS!$B$1:$B$12876,MATCH($A74,CS!$B:$B,0)+COLUMN(G$1),1))</f>
        <v>#N/A</v>
      </c>
      <c r="BE74" t="e">
        <f>IF($A74="","", INDEX(CS!$B$1:$B$12876,MATCH($A74,CS!$B:$B,0)+COLUMN(H$1),1))</f>
        <v>#N/A</v>
      </c>
      <c r="BF74" t="e">
        <f>IF($A74="","", INDEX(CS!$B$1:$B$12876,MATCH($A74,CS!$B:$B,0)+COLUMN(I$1),1))</f>
        <v>#N/A</v>
      </c>
      <c r="BG74" t="e">
        <f>IF($A74="","", INDEX(CS!$B$1:$B$12876,MATCH($A74,CS!$B:$B,0)+COLUMN(J$1),1))</f>
        <v>#N/A</v>
      </c>
      <c r="BI74" t="s">
        <v>904</v>
      </c>
      <c r="CB74" t="s">
        <v>1184</v>
      </c>
      <c r="CE74" t="s">
        <v>927</v>
      </c>
      <c r="CF74" t="s">
        <v>1132</v>
      </c>
      <c r="CI74" t="s">
        <v>998</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INDEX(CS!$B$1:$B$12876,MATCH($A75,CS!$B:$B,0)+COLUMN(A$1),1))</f>
        <v/>
      </c>
      <c r="AY75" t="str">
        <f>IF($A75="","", INDEX(CS!$B$1:$B$12876,MATCH($A75,CS!$B:$B,0)+COLUMN(B$1),1))</f>
        <v/>
      </c>
      <c r="AZ75" t="str">
        <f>IF($A75="","", INDEX(CS!$B$1:$B$12876,MATCH($A75,CS!$B:$B,0)+COLUMN(C$1),1))</f>
        <v/>
      </c>
      <c r="BA75" t="str">
        <f>IF($A75="","", INDEX(CS!$B$1:$B$12876,MATCH($A75,CS!$B:$B,0)+COLUMN(D$1),1))</f>
        <v/>
      </c>
      <c r="BB75" t="str">
        <f>IF($A75="","", INDEX(CS!$B$1:$B$12876,MATCH($A75,CS!$B:$B,0)+COLUMN(E$1),1))</f>
        <v/>
      </c>
      <c r="BC75" t="str">
        <f>IF($A75="","", INDEX(CS!$B$1:$B$12876,MATCH($A75,CS!$B:$B,0)+COLUMN(F$1),1))</f>
        <v/>
      </c>
      <c r="BD75" t="str">
        <f>IF($A75="","", INDEX(CS!$B$1:$B$12876,MATCH($A75,CS!$B:$B,0)+COLUMN(G$1),1))</f>
        <v/>
      </c>
      <c r="BE75" t="str">
        <f>IF($A75="","", INDEX(CS!$B$1:$B$12876,MATCH($A75,CS!$B:$B,0)+COLUMN(H$1),1))</f>
        <v/>
      </c>
      <c r="BF75" t="str">
        <f>IF($A75="","", INDEX(CS!$B$1:$B$12876,MATCH($A75,CS!$B:$B,0)+COLUMN(I$1),1))</f>
        <v/>
      </c>
      <c r="BG75" t="str">
        <f>IF($A75="","", INDEX(CS!$B$1:$B$12876,MATCH($A75,CS!$B:$B,0)+COLUMN(J$1),1))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INDEX(CS!$B$1:$B$12876,MATCH($A76,CS!$B:$B,0)+COLUMN(A$1),1))</f>
        <v/>
      </c>
      <c r="AY76" t="str">
        <f>IF($A76="","", INDEX(CS!$B$1:$B$12876,MATCH($A76,CS!$B:$B,0)+COLUMN(B$1),1))</f>
        <v/>
      </c>
      <c r="AZ76" t="str">
        <f>IF($A76="","", INDEX(CS!$B$1:$B$12876,MATCH($A76,CS!$B:$B,0)+COLUMN(C$1),1))</f>
        <v/>
      </c>
      <c r="BA76" t="str">
        <f>IF($A76="","", INDEX(CS!$B$1:$B$12876,MATCH($A76,CS!$B:$B,0)+COLUMN(D$1),1))</f>
        <v/>
      </c>
      <c r="BB76" t="str">
        <f>IF($A76="","", INDEX(CS!$B$1:$B$12876,MATCH($A76,CS!$B:$B,0)+COLUMN(E$1),1))</f>
        <v/>
      </c>
      <c r="BC76" t="str">
        <f>IF($A76="","", INDEX(CS!$B$1:$B$12876,MATCH($A76,CS!$B:$B,0)+COLUMN(F$1),1))</f>
        <v/>
      </c>
      <c r="BD76" t="str">
        <f>IF($A76="","", INDEX(CS!$B$1:$B$12876,MATCH($A76,CS!$B:$B,0)+COLUMN(G$1),1))</f>
        <v/>
      </c>
      <c r="BE76" t="str">
        <f>IF($A76="","", INDEX(CS!$B$1:$B$12876,MATCH($A76,CS!$B:$B,0)+COLUMN(H$1),1))</f>
        <v/>
      </c>
      <c r="BF76" t="str">
        <f>IF($A76="","", INDEX(CS!$B$1:$B$12876,MATCH($A76,CS!$B:$B,0)+COLUMN(I$1),1))</f>
        <v/>
      </c>
      <c r="BG76" t="str">
        <f>IF($A76="","", INDEX(CS!$B$1:$B$12876,MATCH($A76,CS!$B:$B,0)+COLUMN(J$1),1))</f>
        <v/>
      </c>
    </row>
    <row r="77" spans="1:87" outlineLevel="1" x14ac:dyDescent="0.4">
      <c r="C77" t="s">
        <v>51</v>
      </c>
      <c r="D77" t="str">
        <f>SUM(AI77:AW77,F77:N77)&amp;"/"&amp;SUM(F77:N77)&amp;"/"&amp;SUM(AI77:AW77)</f>
        <v>0/0/0</v>
      </c>
      <c r="E77">
        <v>1</v>
      </c>
      <c r="AX77" t="str">
        <f>IF($A77="","", INDEX(CS!$B$1:$B$12876,MATCH($A77,CS!$B:$B,0)+COLUMN(A$1),1))</f>
        <v/>
      </c>
      <c r="AY77" t="str">
        <f>IF($A77="","", INDEX(CS!$B$1:$B$12876,MATCH($A77,CS!$B:$B,0)+COLUMN(B$1),1))</f>
        <v/>
      </c>
      <c r="AZ77" t="str">
        <f>IF($A77="","", INDEX(CS!$B$1:$B$12876,MATCH($A77,CS!$B:$B,0)+COLUMN(C$1),1))</f>
        <v/>
      </c>
      <c r="BA77" t="str">
        <f>IF($A77="","", INDEX(CS!$B$1:$B$12876,MATCH($A77,CS!$B:$B,0)+COLUMN(D$1),1))</f>
        <v/>
      </c>
      <c r="BB77" t="str">
        <f>IF($A77="","", INDEX(CS!$B$1:$B$12876,MATCH($A77,CS!$B:$B,0)+COLUMN(E$1),1))</f>
        <v/>
      </c>
      <c r="BC77" t="str">
        <f>IF($A77="","", INDEX(CS!$B$1:$B$12876,MATCH($A77,CS!$B:$B,0)+COLUMN(F$1),1))</f>
        <v/>
      </c>
      <c r="BD77" t="str">
        <f>IF($A77="","", INDEX(CS!$B$1:$B$12876,MATCH($A77,CS!$B:$B,0)+COLUMN(G$1),1))</f>
        <v/>
      </c>
      <c r="BE77" t="str">
        <f>IF($A77="","", INDEX(CS!$B$1:$B$12876,MATCH($A77,CS!$B:$B,0)+COLUMN(H$1),1))</f>
        <v/>
      </c>
      <c r="BF77" t="str">
        <f>IF($A77="","", INDEX(CS!$B$1:$B$12876,MATCH($A77,CS!$B:$B,0)+COLUMN(I$1),1))</f>
        <v/>
      </c>
      <c r="BG77" t="str">
        <f>IF($A77="","", INDEX(CS!$B$1:$B$12876,MATCH($A77,CS!$B:$B,0)+COLUMN(J$1),1))</f>
        <v/>
      </c>
    </row>
    <row r="78" spans="1:87" x14ac:dyDescent="0.4">
      <c r="D78" t="str">
        <f t="shared" si="2"/>
        <v>0/0/0</v>
      </c>
      <c r="E78">
        <v>1</v>
      </c>
      <c r="AX78" t="str">
        <f>IF($A78="","", INDEX(CS!$B$1:$B$12876,MATCH($A78,CS!$B:$B,0)+COLUMN(A$1),1))</f>
        <v/>
      </c>
      <c r="AY78" t="str">
        <f>IF($A78="","", INDEX(CS!$B$1:$B$12876,MATCH($A78,CS!$B:$B,0)+COLUMN(B$1),1))</f>
        <v/>
      </c>
      <c r="AZ78" t="str">
        <f>IF($A78="","", INDEX(CS!$B$1:$B$12876,MATCH($A78,CS!$B:$B,0)+COLUMN(C$1),1))</f>
        <v/>
      </c>
      <c r="BA78" t="str">
        <f>IF($A78="","", INDEX(CS!$B$1:$B$12876,MATCH($A78,CS!$B:$B,0)+COLUMN(D$1),1))</f>
        <v/>
      </c>
      <c r="BB78" t="str">
        <f>IF($A78="","", INDEX(CS!$B$1:$B$12876,MATCH($A78,CS!$B:$B,0)+COLUMN(E$1),1))</f>
        <v/>
      </c>
      <c r="BC78" t="str">
        <f>IF($A78="","", INDEX(CS!$B$1:$B$12876,MATCH($A78,CS!$B:$B,0)+COLUMN(F$1),1))</f>
        <v/>
      </c>
      <c r="BD78" t="str">
        <f>IF($A78="","", INDEX(CS!$B$1:$B$12876,MATCH($A78,CS!$B:$B,0)+COLUMN(G$1),1))</f>
        <v/>
      </c>
      <c r="BE78" t="str">
        <f>IF($A78="","", INDEX(CS!$B$1:$B$12876,MATCH($A78,CS!$B:$B,0)+COLUMN(H$1),1))</f>
        <v/>
      </c>
      <c r="BF78" t="str">
        <f>IF($A78="","", INDEX(CS!$B$1:$B$12876,MATCH($A78,CS!$B:$B,0)+COLUMN(I$1),1))</f>
        <v/>
      </c>
      <c r="BG78" t="str">
        <f>IF($A78="","", INDEX(CS!$B$1:$B$12876,MATCH($A78,CS!$B:$B,0)+COLUMN(J$1),1))</f>
        <v/>
      </c>
    </row>
    <row r="79" spans="1:87" ht="20.25" customHeight="1" x14ac:dyDescent="0.4">
      <c r="D79" t="str">
        <f t="shared" si="2"/>
        <v>0/0/0</v>
      </c>
      <c r="E79">
        <v>1</v>
      </c>
      <c r="AX79" t="str">
        <f>IF($A79="","", INDEX(CS!$B$1:$B$12876,MATCH($A79,CS!$B:$B,0)+COLUMN(A$1),1))</f>
        <v/>
      </c>
      <c r="AY79" t="str">
        <f>IF($A79="","", INDEX(CS!$B$1:$B$12876,MATCH($A79,CS!$B:$B,0)+COLUMN(B$1),1))</f>
        <v/>
      </c>
      <c r="AZ79" t="str">
        <f>IF($A79="","", INDEX(CS!$B$1:$B$12876,MATCH($A79,CS!$B:$B,0)+COLUMN(C$1),1))</f>
        <v/>
      </c>
      <c r="BA79" t="str">
        <f>IF($A79="","", INDEX(CS!$B$1:$B$12876,MATCH($A79,CS!$B:$B,0)+COLUMN(D$1),1))</f>
        <v/>
      </c>
      <c r="BB79" t="str">
        <f>IF($A79="","", INDEX(CS!$B$1:$B$12876,MATCH($A79,CS!$B:$B,0)+COLUMN(E$1),1))</f>
        <v/>
      </c>
      <c r="BC79" t="str">
        <f>IF($A79="","", INDEX(CS!$B$1:$B$12876,MATCH($A79,CS!$B:$B,0)+COLUMN(F$1),1))</f>
        <v/>
      </c>
      <c r="BD79" t="str">
        <f>IF($A79="","", INDEX(CS!$B$1:$B$12876,MATCH($A79,CS!$B:$B,0)+COLUMN(G$1),1))</f>
        <v/>
      </c>
      <c r="BE79" t="str">
        <f>IF($A79="","", INDEX(CS!$B$1:$B$12876,MATCH($A79,CS!$B:$B,0)+COLUMN(H$1),1))</f>
        <v/>
      </c>
      <c r="BF79" t="str">
        <f>IF($A79="","", INDEX(CS!$B$1:$B$12876,MATCH($A79,CS!$B:$B,0)+COLUMN(I$1),1))</f>
        <v/>
      </c>
      <c r="BG79" t="str">
        <f>IF($A79="","", INDEX(CS!$B$1:$B$12876,MATCH($A79,CS!$B:$B,0)+COLUMN(J$1),1))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INDEX(CS!$B$1:$B$12876,MATCH($A80,CS!$B:$B,0)+COLUMN(A$1),1))</f>
        <v>爪</v>
      </c>
      <c r="AY80" t="str">
        <f>IF($A80="","", INDEX(CS!$B$1:$B$12876,MATCH($A80,CS!$B:$B,0)+COLUMN(B$1),1))</f>
        <v>牙</v>
      </c>
      <c r="AZ80">
        <f>IF($A80="","", INDEX(CS!$B$1:$B$12876,MATCH($A80,CS!$B:$B,0)+COLUMN(C$1),1))</f>
        <v>0</v>
      </c>
      <c r="BA80">
        <f>IF($A80="","", INDEX(CS!$B$1:$B$12876,MATCH($A80,CS!$B:$B,0)+COLUMN(D$1),1))</f>
        <v>0</v>
      </c>
      <c r="BB80">
        <f>IF($A80="","", INDEX(CS!$B$1:$B$12876,MATCH($A80,CS!$B:$B,0)+COLUMN(E$1),1))</f>
        <v>0</v>
      </c>
      <c r="BC80">
        <f>IF($A80="","", INDEX(CS!$B$1:$B$12876,MATCH($A80,CS!$B:$B,0)+COLUMN(F$1),1))</f>
        <v>0</v>
      </c>
      <c r="BD80">
        <f>IF($A80="","", INDEX(CS!$B$1:$B$12876,MATCH($A80,CS!$B:$B,0)+COLUMN(G$1),1))</f>
        <v>0</v>
      </c>
      <c r="BE80">
        <f>IF($A80="","", INDEX(CS!$B$1:$B$12876,MATCH($A80,CS!$B:$B,0)+COLUMN(H$1),1))</f>
        <v>0</v>
      </c>
      <c r="BF80">
        <f>IF($A80="","", INDEX(CS!$B$1:$B$12876,MATCH($A80,CS!$B:$B,0)+COLUMN(I$1),1))</f>
        <v>0</v>
      </c>
      <c r="BG80">
        <f>IF($A80="","", INDEX(CS!$B$1:$B$12876,MATCH($A80,CS!$B:$B,0)+COLUMN(J$1),1))</f>
        <v>0</v>
      </c>
      <c r="BR80" t="s">
        <v>909</v>
      </c>
      <c r="BS80" s="53">
        <v>120</v>
      </c>
      <c r="BT80" s="52">
        <v>10</v>
      </c>
      <c r="BU80" s="52">
        <v>10</v>
      </c>
      <c r="BV80" s="52">
        <v>90</v>
      </c>
      <c r="BW80" s="52">
        <v>10</v>
      </c>
      <c r="CB80" t="s">
        <v>919</v>
      </c>
      <c r="CC80" t="s">
        <v>919</v>
      </c>
      <c r="CF80" t="s">
        <v>919</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INDEX(CS!$B$1:$B$12876,MATCH($A81,CS!$B:$B,0)+COLUMN(A$1),1))</f>
        <v>爪</v>
      </c>
      <c r="AY81" t="str">
        <f>IF($A81="","", INDEX(CS!$B$1:$B$12876,MATCH($A81,CS!$B:$B,0)+COLUMN(B$1),1))</f>
        <v>牙</v>
      </c>
      <c r="AZ81">
        <f>IF($A81="","", INDEX(CS!$B$1:$B$12876,MATCH($A81,CS!$B:$B,0)+COLUMN(C$1),1))</f>
        <v>0</v>
      </c>
      <c r="BA81">
        <f>IF($A81="","", INDEX(CS!$B$1:$B$12876,MATCH($A81,CS!$B:$B,0)+COLUMN(D$1),1))</f>
        <v>0</v>
      </c>
      <c r="BB81">
        <f>IF($A81="","", INDEX(CS!$B$1:$B$12876,MATCH($A81,CS!$B:$B,0)+COLUMN(E$1),1))</f>
        <v>0</v>
      </c>
      <c r="BC81">
        <f>IF($A81="","", INDEX(CS!$B$1:$B$12876,MATCH($A81,CS!$B:$B,0)+COLUMN(F$1),1))</f>
        <v>0</v>
      </c>
      <c r="BD81">
        <f>IF($A81="","", INDEX(CS!$B$1:$B$12876,MATCH($A81,CS!$B:$B,0)+COLUMN(G$1),1))</f>
        <v>0</v>
      </c>
      <c r="BE81">
        <f>IF($A81="","", INDEX(CS!$B$1:$B$12876,MATCH($A81,CS!$B:$B,0)+COLUMN(H$1),1))</f>
        <v>0</v>
      </c>
      <c r="BF81">
        <f>IF($A81="","", INDEX(CS!$B$1:$B$12876,MATCH($A81,CS!$B:$B,0)+COLUMN(I$1),1))</f>
        <v>0</v>
      </c>
      <c r="BG81">
        <f>IF($A81="","", INDEX(CS!$B$1:$B$12876,MATCH($A81,CS!$B:$B,0)+COLUMN(J$1),1))</f>
        <v>0</v>
      </c>
      <c r="BR81" t="s">
        <v>909</v>
      </c>
      <c r="BS81" s="53">
        <v>110</v>
      </c>
      <c r="BT81" s="52">
        <v>10</v>
      </c>
      <c r="BU81" s="52">
        <v>10</v>
      </c>
      <c r="BV81" s="52">
        <v>80</v>
      </c>
      <c r="BW81" s="52">
        <v>10</v>
      </c>
      <c r="CB81" t="s">
        <v>919</v>
      </c>
      <c r="CC81" t="s">
        <v>919</v>
      </c>
      <c r="CF81" t="s">
        <v>919</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INDEX(CS!$B$1:$B$12876,MATCH($A82,CS!$B:$B,0)+COLUMN(A$1),1))</f>
        <v>牙</v>
      </c>
      <c r="AY82" t="str">
        <f>IF($A82="","", INDEX(CS!$B$1:$B$12876,MATCH($A82,CS!$B:$B,0)+COLUMN(B$1),1))</f>
        <v>尾</v>
      </c>
      <c r="AZ82" t="str">
        <f>IF($A82="","", INDEX(CS!$B$1:$B$12876,MATCH($A82,CS!$B:$B,0)+COLUMN(C$1),1))</f>
        <v>尾の巻き付き</v>
      </c>
      <c r="BA82">
        <f>IF($A82="","", INDEX(CS!$B$1:$B$12876,MATCH($A82,CS!$B:$B,0)+COLUMN(D$1),1))</f>
        <v>0</v>
      </c>
      <c r="BB82">
        <f>IF($A82="","", INDEX(CS!$B$1:$B$12876,MATCH($A82,CS!$B:$B,0)+COLUMN(E$1),1))</f>
        <v>0</v>
      </c>
      <c r="BC82">
        <f>IF($A82="","", INDEX(CS!$B$1:$B$12876,MATCH($A82,CS!$B:$B,0)+COLUMN(F$1),1))</f>
        <v>0</v>
      </c>
      <c r="BD82">
        <f>IF($A82="","", INDEX(CS!$B$1:$B$12876,MATCH($A82,CS!$B:$B,0)+COLUMN(G$1),1))</f>
        <v>0</v>
      </c>
      <c r="BE82">
        <f>IF($A82="","", INDEX(CS!$B$1:$B$12876,MATCH($A82,CS!$B:$B,0)+COLUMN(H$1),1))</f>
        <v>0</v>
      </c>
      <c r="BF82">
        <f>IF($A82="","", INDEX(CS!$B$1:$B$12876,MATCH($A82,CS!$B:$B,0)+COLUMN(I$1),1))</f>
        <v>0</v>
      </c>
      <c r="BG82">
        <f>IF($A82="","", INDEX(CS!$B$1:$B$12876,MATCH($A82,CS!$B:$B,0)+COLUMN(J$1),1))</f>
        <v>0</v>
      </c>
      <c r="BR82" t="s">
        <v>909</v>
      </c>
      <c r="BS82" s="53">
        <v>85</v>
      </c>
      <c r="BT82" s="52">
        <v>5</v>
      </c>
      <c r="BU82" s="52">
        <v>0</v>
      </c>
      <c r="BV82" s="52">
        <v>70</v>
      </c>
      <c r="BW82" s="52">
        <v>10</v>
      </c>
      <c r="CB82" t="s">
        <v>919</v>
      </c>
      <c r="CC82" t="s">
        <v>919</v>
      </c>
      <c r="CD82" t="s">
        <v>919</v>
      </c>
      <c r="CF82" t="s">
        <v>919</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INDEX(CS!$B$1:$B$12876,MATCH($A83,CS!$B:$B,0)+COLUMN(A$1),1))</f>
        <v>爪</v>
      </c>
      <c r="AY83" t="str">
        <f>IF($A83="","", INDEX(CS!$B$1:$B$12876,MATCH($A83,CS!$B:$B,0)+COLUMN(B$1),1))</f>
        <v>牙</v>
      </c>
      <c r="AZ83">
        <f>IF($A83="","", INDEX(CS!$B$1:$B$12876,MATCH($A83,CS!$B:$B,0)+COLUMN(C$1),1))</f>
        <v>0</v>
      </c>
      <c r="BA83">
        <f>IF($A83="","", INDEX(CS!$B$1:$B$12876,MATCH($A83,CS!$B:$B,0)+COLUMN(D$1),1))</f>
        <v>0</v>
      </c>
      <c r="BB83">
        <f>IF($A83="","", INDEX(CS!$B$1:$B$12876,MATCH($A83,CS!$B:$B,0)+COLUMN(E$1),1))</f>
        <v>0</v>
      </c>
      <c r="BC83">
        <f>IF($A83="","", INDEX(CS!$B$1:$B$12876,MATCH($A83,CS!$B:$B,0)+COLUMN(F$1),1))</f>
        <v>0</v>
      </c>
      <c r="BD83">
        <f>IF($A83="","", INDEX(CS!$B$1:$B$12876,MATCH($A83,CS!$B:$B,0)+COLUMN(G$1),1))</f>
        <v>0</v>
      </c>
      <c r="BE83">
        <f>IF($A83="","", INDEX(CS!$B$1:$B$12876,MATCH($A83,CS!$B:$B,0)+COLUMN(H$1),1))</f>
        <v>0</v>
      </c>
      <c r="BF83">
        <f>IF($A83="","", INDEX(CS!$B$1:$B$12876,MATCH($A83,CS!$B:$B,0)+COLUMN(I$1),1))</f>
        <v>0</v>
      </c>
      <c r="BG83">
        <f>IF($A83="","", INDEX(CS!$B$1:$B$12876,MATCH($A83,CS!$B:$B,0)+COLUMN(J$1),1))</f>
        <v>0</v>
      </c>
      <c r="BR83" t="s">
        <v>909</v>
      </c>
      <c r="BS83" s="53">
        <v>80</v>
      </c>
      <c r="BT83" s="52">
        <v>10</v>
      </c>
      <c r="BU83" s="52">
        <v>10</v>
      </c>
      <c r="BV83" s="52">
        <v>50</v>
      </c>
      <c r="BW83" s="52">
        <v>10</v>
      </c>
      <c r="CB83" t="s">
        <v>919</v>
      </c>
      <c r="CC83" t="s">
        <v>919</v>
      </c>
      <c r="CF83" t="s">
        <v>919</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INDEX(CS!$B$1:$B$12876,MATCH($A84,CS!$B:$B,0)+COLUMN(A$1),1))</f>
        <v>爪</v>
      </c>
      <c r="AY84" t="str">
        <f>IF($A84="","", INDEX(CS!$B$1:$B$12876,MATCH($A84,CS!$B:$B,0)+COLUMN(B$1),1))</f>
        <v>牙</v>
      </c>
      <c r="AZ84">
        <f>IF($A84="","", INDEX(CS!$B$1:$B$12876,MATCH($A84,CS!$B:$B,0)+COLUMN(C$1),1))</f>
        <v>0</v>
      </c>
      <c r="BA84">
        <f>IF($A84="","", INDEX(CS!$B$1:$B$12876,MATCH($A84,CS!$B:$B,0)+COLUMN(D$1),1))</f>
        <v>0</v>
      </c>
      <c r="BB84">
        <f>IF($A84="","", INDEX(CS!$B$1:$B$12876,MATCH($A84,CS!$B:$B,0)+COLUMN(E$1),1))</f>
        <v>0</v>
      </c>
      <c r="BC84">
        <f>IF($A84="","", INDEX(CS!$B$1:$B$12876,MATCH($A84,CS!$B:$B,0)+COLUMN(F$1),1))</f>
        <v>0</v>
      </c>
      <c r="BD84">
        <f>IF($A84="","", INDEX(CS!$B$1:$B$12876,MATCH($A84,CS!$B:$B,0)+COLUMN(G$1),1))</f>
        <v>0</v>
      </c>
      <c r="BE84">
        <f>IF($A84="","", INDEX(CS!$B$1:$B$12876,MATCH($A84,CS!$B:$B,0)+COLUMN(H$1),1))</f>
        <v>0</v>
      </c>
      <c r="BF84">
        <f>IF($A84="","", INDEX(CS!$B$1:$B$12876,MATCH($A84,CS!$B:$B,0)+COLUMN(I$1),1))</f>
        <v>0</v>
      </c>
      <c r="BG84">
        <f>IF($A84="","", INDEX(CS!$B$1:$B$12876,MATCH($A84,CS!$B:$B,0)+COLUMN(J$1),1))</f>
        <v>0</v>
      </c>
      <c r="BR84" t="s">
        <v>909</v>
      </c>
      <c r="BS84" s="53">
        <v>130</v>
      </c>
      <c r="BT84" s="52">
        <v>20</v>
      </c>
      <c r="BU84" s="52">
        <v>20</v>
      </c>
      <c r="BV84" s="52">
        <v>80</v>
      </c>
      <c r="BW84" s="52">
        <v>10</v>
      </c>
      <c r="CB84" t="s">
        <v>919</v>
      </c>
      <c r="CC84" t="s">
        <v>919</v>
      </c>
      <c r="CF84" t="s">
        <v>919</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INDEX(CS!$B$1:$B$12876,MATCH($A85,CS!$B:$B,0)+COLUMN(A$1),1))</f>
        <v>牙</v>
      </c>
      <c r="AY85">
        <f>IF($A85="","", INDEX(CS!$B$1:$B$12876,MATCH($A85,CS!$B:$B,0)+COLUMN(B$1),1))</f>
        <v>0</v>
      </c>
      <c r="AZ85">
        <f>IF($A85="","", INDEX(CS!$B$1:$B$12876,MATCH($A85,CS!$B:$B,0)+COLUMN(C$1),1))</f>
        <v>0</v>
      </c>
      <c r="BA85">
        <f>IF($A85="","", INDEX(CS!$B$1:$B$12876,MATCH($A85,CS!$B:$B,0)+COLUMN(D$1),1))</f>
        <v>0</v>
      </c>
      <c r="BB85">
        <f>IF($A85="","", INDEX(CS!$B$1:$B$12876,MATCH($A85,CS!$B:$B,0)+COLUMN(E$1),1))</f>
        <v>0</v>
      </c>
      <c r="BC85">
        <f>IF($A85="","", INDEX(CS!$B$1:$B$12876,MATCH($A85,CS!$B:$B,0)+COLUMN(F$1),1))</f>
        <v>0</v>
      </c>
      <c r="BD85">
        <f>IF($A85="","", INDEX(CS!$B$1:$B$12876,MATCH($A85,CS!$B:$B,0)+COLUMN(G$1),1))</f>
        <v>0</v>
      </c>
      <c r="BE85">
        <f>IF($A85="","", INDEX(CS!$B$1:$B$12876,MATCH($A85,CS!$B:$B,0)+COLUMN(H$1),1))</f>
        <v>0</v>
      </c>
      <c r="BF85">
        <f>IF($A85="","", INDEX(CS!$B$1:$B$12876,MATCH($A85,CS!$B:$B,0)+COLUMN(I$1),1))</f>
        <v>0</v>
      </c>
      <c r="BG85">
        <f>IF($A85="","", INDEX(CS!$B$1:$B$12876,MATCH($A85,CS!$B:$B,0)+COLUMN(J$1),1))</f>
        <v>0</v>
      </c>
      <c r="BR85" t="s">
        <v>909</v>
      </c>
      <c r="BS85" s="53">
        <v>130</v>
      </c>
      <c r="BT85" s="52">
        <v>10</v>
      </c>
      <c r="BU85" s="52">
        <v>0</v>
      </c>
      <c r="BV85" s="52">
        <v>90</v>
      </c>
      <c r="BW85" s="52">
        <v>30</v>
      </c>
      <c r="CB85" t="s">
        <v>919</v>
      </c>
      <c r="CC85" t="s">
        <v>919</v>
      </c>
      <c r="CD85" t="s">
        <v>919</v>
      </c>
      <c r="CF85" t="s">
        <v>919</v>
      </c>
      <c r="CI85" t="s">
        <v>193</v>
      </c>
    </row>
    <row r="86" spans="1:87" x14ac:dyDescent="0.4">
      <c r="C86" t="s">
        <v>193</v>
      </c>
      <c r="D86" t="str">
        <f t="shared" si="2"/>
        <v>0/0/0</v>
      </c>
      <c r="E86">
        <v>1</v>
      </c>
      <c r="AX86" t="str">
        <f>IF($A86="","", INDEX(CS!$B$1:$B$12876,MATCH($A86,CS!$B:$B,0)+COLUMN(A$1),1))</f>
        <v/>
      </c>
      <c r="AY86" t="str">
        <f>IF($A86="","", INDEX(CS!$B$1:$B$12876,MATCH($A86,CS!$B:$B,0)+COLUMN(B$1),1))</f>
        <v/>
      </c>
      <c r="AZ86" t="str">
        <f>IF($A86="","", INDEX(CS!$B$1:$B$12876,MATCH($A86,CS!$B:$B,0)+COLUMN(C$1),1))</f>
        <v/>
      </c>
      <c r="BA86" t="str">
        <f>IF($A86="","", INDEX(CS!$B$1:$B$12876,MATCH($A86,CS!$B:$B,0)+COLUMN(D$1),1))</f>
        <v/>
      </c>
      <c r="BB86" t="str">
        <f>IF($A86="","", INDEX(CS!$B$1:$B$12876,MATCH($A86,CS!$B:$B,0)+COLUMN(E$1),1))</f>
        <v/>
      </c>
      <c r="BC86" t="str">
        <f>IF($A86="","", INDEX(CS!$B$1:$B$12876,MATCH($A86,CS!$B:$B,0)+COLUMN(F$1),1))</f>
        <v/>
      </c>
      <c r="BD86" t="str">
        <f>IF($A86="","", INDEX(CS!$B$1:$B$12876,MATCH($A86,CS!$B:$B,0)+COLUMN(G$1),1))</f>
        <v/>
      </c>
      <c r="BE86" t="str">
        <f>IF($A86="","", INDEX(CS!$B$1:$B$12876,MATCH($A86,CS!$B:$B,0)+COLUMN(H$1),1))</f>
        <v/>
      </c>
      <c r="BF86" t="str">
        <f>IF($A86="","", INDEX(CS!$B$1:$B$12876,MATCH($A86,CS!$B:$B,0)+COLUMN(I$1),1))</f>
        <v/>
      </c>
      <c r="BG86" t="str">
        <f>IF($A86="","", INDEX(CS!$B$1:$B$12876,MATCH($A86,CS!$B:$B,0)+COLUMN(J$1),1))</f>
        <v/>
      </c>
    </row>
    <row r="87" spans="1:87" x14ac:dyDescent="0.4">
      <c r="C87" t="s">
        <v>193</v>
      </c>
      <c r="D87" t="str">
        <f t="shared" ref="D87:D90" si="7">SUM(AI87:AW87,F87:N87)&amp;"/"&amp;SUM(F87:N87)&amp;"/"&amp;SUM(AI87:AW87)</f>
        <v>0/0/0</v>
      </c>
      <c r="E87">
        <v>1</v>
      </c>
      <c r="AX87" t="str">
        <f>IF($A87="","", INDEX(CS!$B$1:$B$12876,MATCH($A87,CS!$B:$B,0)+COLUMN(A$1),1))</f>
        <v/>
      </c>
      <c r="AY87" t="str">
        <f>IF($A87="","", INDEX(CS!$B$1:$B$12876,MATCH($A87,CS!$B:$B,0)+COLUMN(B$1),1))</f>
        <v/>
      </c>
      <c r="AZ87" t="str">
        <f>IF($A87="","", INDEX(CS!$B$1:$B$12876,MATCH($A87,CS!$B:$B,0)+COLUMN(C$1),1))</f>
        <v/>
      </c>
      <c r="BA87" t="str">
        <f>IF($A87="","", INDEX(CS!$B$1:$B$12876,MATCH($A87,CS!$B:$B,0)+COLUMN(D$1),1))</f>
        <v/>
      </c>
      <c r="BB87" t="str">
        <f>IF($A87="","", INDEX(CS!$B$1:$B$12876,MATCH($A87,CS!$B:$B,0)+COLUMN(E$1),1))</f>
        <v/>
      </c>
      <c r="BC87" t="str">
        <f>IF($A87="","", INDEX(CS!$B$1:$B$12876,MATCH($A87,CS!$B:$B,0)+COLUMN(F$1),1))</f>
        <v/>
      </c>
      <c r="BD87" t="str">
        <f>IF($A87="","", INDEX(CS!$B$1:$B$12876,MATCH($A87,CS!$B:$B,0)+COLUMN(G$1),1))</f>
        <v/>
      </c>
      <c r="BE87" t="str">
        <f>IF($A87="","", INDEX(CS!$B$1:$B$12876,MATCH($A87,CS!$B:$B,0)+COLUMN(H$1),1))</f>
        <v/>
      </c>
      <c r="BF87" t="str">
        <f>IF($A87="","", INDEX(CS!$B$1:$B$12876,MATCH($A87,CS!$B:$B,0)+COLUMN(I$1),1))</f>
        <v/>
      </c>
      <c r="BG87" t="str">
        <f>IF($A87="","", INDEX(CS!$B$1:$B$12876,MATCH($A87,CS!$B:$B,0)+COLUMN(J$1),1))</f>
        <v/>
      </c>
    </row>
    <row r="88" spans="1:87" x14ac:dyDescent="0.4">
      <c r="A88" t="s">
        <v>814</v>
      </c>
      <c r="C88" t="s">
        <v>193</v>
      </c>
      <c r="D88" t="str">
        <f t="shared" si="7"/>
        <v>0/0/0</v>
      </c>
      <c r="E88">
        <v>1</v>
      </c>
      <c r="V88" s="17">
        <v>50</v>
      </c>
      <c r="W88" s="17">
        <v>-30</v>
      </c>
      <c r="AX88" t="str">
        <f>IF($A88="","", INDEX(CS!$B$1:$B$12876,MATCH($A88,CS!$B:$B,0)+COLUMN(A$1),1))</f>
        <v>炎の適用</v>
      </c>
      <c r="AY88">
        <f>IF($A88="","", INDEX(CS!$B$1:$B$12876,MATCH($A88,CS!$B:$B,0)+COLUMN(B$1),1))</f>
        <v>0</v>
      </c>
      <c r="AZ88" t="str">
        <f>IF($A88="","", INDEX(CS!$B$1:$B$12876,MATCH($A88,CS!$B:$B,0)+COLUMN(C$1),1))</f>
        <v>炎の体</v>
      </c>
      <c r="BA88">
        <f>IF($A88="","", INDEX(CS!$B$1:$B$12876,MATCH($A88,CS!$B:$B,0)+COLUMN(D$1),1))</f>
        <v>0</v>
      </c>
      <c r="BB88">
        <f>IF($A88="","", INDEX(CS!$B$1:$B$12876,MATCH($A88,CS!$B:$B,0)+COLUMN(E$1),1))</f>
        <v>0</v>
      </c>
      <c r="BC88" t="str">
        <f>IF($A88="","", INDEX(CS!$B$1:$B$12876,MATCH($A88,CS!$B:$B,0)+COLUMN(F$1),1))</f>
        <v>火炎突撃</v>
      </c>
      <c r="BD88">
        <f>IF($A88="","", INDEX(CS!$B$1:$B$12876,MATCH($A88,CS!$B:$B,0)+COLUMN(G$1),1))</f>
        <v>0</v>
      </c>
      <c r="BE88">
        <f>IF($A88="","", INDEX(CS!$B$1:$B$12876,MATCH($A88,CS!$B:$B,0)+COLUMN(H$1),1))</f>
        <v>0</v>
      </c>
      <c r="BF88" t="str">
        <f>IF($A88="","", INDEX(CS!$B$1:$B$12876,MATCH($A88,CS!$B:$B,0)+COLUMN(I$1),1))</f>
        <v>炎強化</v>
      </c>
      <c r="BG88" t="str">
        <f>IF($A88="","", INDEX(CS!$B$1:$B$12876,MATCH($A88,CS!$B:$B,0)+COLUMN(J$1),1))</f>
        <v>炎の唾</v>
      </c>
      <c r="BH88" t="s">
        <v>894</v>
      </c>
      <c r="BI88" t="s">
        <v>193</v>
      </c>
      <c r="BJ88" s="36" t="s">
        <v>894</v>
      </c>
    </row>
    <row r="89" spans="1:87" x14ac:dyDescent="0.4">
      <c r="A89" t="s">
        <v>815</v>
      </c>
      <c r="C89" t="s">
        <v>193</v>
      </c>
      <c r="D89" t="str">
        <f t="shared" si="7"/>
        <v>0/0/0</v>
      </c>
      <c r="E89">
        <v>1</v>
      </c>
      <c r="V89" s="17">
        <v>-30</v>
      </c>
      <c r="W89" s="17">
        <v>50</v>
      </c>
      <c r="AX89" t="str">
        <f>IF($A89="","", INDEX(CS!$B$1:$B$12876,MATCH($A89,CS!$B:$B,0)+COLUMN(A$1),1))</f>
        <v>氷の適用</v>
      </c>
      <c r="AY89">
        <f>IF($A89="","", INDEX(CS!$B$1:$B$12876,MATCH($A89,CS!$B:$B,0)+COLUMN(B$1),1))</f>
        <v>0</v>
      </c>
      <c r="AZ89" t="str">
        <f>IF($A89="","", INDEX(CS!$B$1:$B$12876,MATCH($A89,CS!$B:$B,0)+COLUMN(C$1),1))</f>
        <v>氷の体</v>
      </c>
      <c r="BA89">
        <f>IF($A89="","", INDEX(CS!$B$1:$B$12876,MATCH($A89,CS!$B:$B,0)+COLUMN(D$1),1))</f>
        <v>0</v>
      </c>
      <c r="BB89">
        <f>IF($A89="","", INDEX(CS!$B$1:$B$12876,MATCH($A89,CS!$B:$B,0)+COLUMN(E$1),1))</f>
        <v>0</v>
      </c>
      <c r="BC89" t="str">
        <f>IF($A89="","", INDEX(CS!$B$1:$B$12876,MATCH($A89,CS!$B:$B,0)+COLUMN(F$1),1))</f>
        <v>氷結突撃</v>
      </c>
      <c r="BD89">
        <f>IF($A89="","", INDEX(CS!$B$1:$B$12876,MATCH($A89,CS!$B:$B,0)+COLUMN(G$1),1))</f>
        <v>0</v>
      </c>
      <c r="BE89">
        <f>IF($A89="","", INDEX(CS!$B$1:$B$12876,MATCH($A89,CS!$B:$B,0)+COLUMN(H$1),1))</f>
        <v>0</v>
      </c>
      <c r="BF89" t="str">
        <f>IF($A89="","", INDEX(CS!$B$1:$B$12876,MATCH($A89,CS!$B:$B,0)+COLUMN(I$1),1))</f>
        <v>氷強化</v>
      </c>
      <c r="BG89" t="str">
        <f>IF($A89="","", INDEX(CS!$B$1:$B$12876,MATCH($A89,CS!$B:$B,0)+COLUMN(J$1),1))</f>
        <v>氷の唾</v>
      </c>
      <c r="BH89" t="s">
        <v>894</v>
      </c>
      <c r="BI89" t="s">
        <v>193</v>
      </c>
      <c r="BJ89" s="36" t="s">
        <v>895</v>
      </c>
    </row>
    <row r="90" spans="1:87" x14ac:dyDescent="0.4">
      <c r="A90" t="s">
        <v>816</v>
      </c>
      <c r="C90" t="s">
        <v>193</v>
      </c>
      <c r="D90" t="str">
        <f t="shared" si="7"/>
        <v>0/0/0</v>
      </c>
      <c r="E90">
        <v>1</v>
      </c>
      <c r="AX90" t="str">
        <f>IF($A90="","", INDEX(CS!$B$1:$B$12876,MATCH($A90,CS!$B:$B,0)+COLUMN(A$1),1))</f>
        <v>風の適用</v>
      </c>
      <c r="AY90">
        <f>IF($A90="","", INDEX(CS!$B$1:$B$12876,MATCH($A90,CS!$B:$B,0)+COLUMN(B$1),1))</f>
        <v>0</v>
      </c>
      <c r="AZ90" t="str">
        <f>IF($A90="","", INDEX(CS!$B$1:$B$12876,MATCH($A90,CS!$B:$B,0)+COLUMN(C$1),1))</f>
        <v>風の体</v>
      </c>
      <c r="BA90">
        <f>IF($A90="","", INDEX(CS!$B$1:$B$12876,MATCH($A90,CS!$B:$B,0)+COLUMN(D$1),1))</f>
        <v>0</v>
      </c>
      <c r="BB90">
        <f>IF($A90="","", INDEX(CS!$B$1:$B$12876,MATCH($A90,CS!$B:$B,0)+COLUMN(E$1),1))</f>
        <v>0</v>
      </c>
      <c r="BC90" t="str">
        <f>IF($A90="","", INDEX(CS!$B$1:$B$12876,MATCH($A90,CS!$B:$B,0)+COLUMN(F$1),1))</f>
        <v>暴風突撃</v>
      </c>
      <c r="BD90">
        <f>IF($A90="","", INDEX(CS!$B$1:$B$12876,MATCH($A90,CS!$B:$B,0)+COLUMN(G$1),1))</f>
        <v>0</v>
      </c>
      <c r="BE90">
        <f>IF($A90="","", INDEX(CS!$B$1:$B$12876,MATCH($A90,CS!$B:$B,0)+COLUMN(H$1),1))</f>
        <v>0</v>
      </c>
      <c r="BF90" t="str">
        <f>IF($A90="","", INDEX(CS!$B$1:$B$12876,MATCH($A90,CS!$B:$B,0)+COLUMN(I$1),1))</f>
        <v>風強化</v>
      </c>
      <c r="BG90" t="str">
        <f>IF($A90="","", INDEX(CS!$B$1:$B$12876,MATCH($A90,CS!$B:$B,0)+COLUMN(J$1),1))</f>
        <v>風の唾</v>
      </c>
      <c r="BH90" t="s">
        <v>894</v>
      </c>
      <c r="BI90" t="s">
        <v>193</v>
      </c>
      <c r="BJ90" s="36" t="s">
        <v>896</v>
      </c>
    </row>
    <row r="91" spans="1:87" x14ac:dyDescent="0.4">
      <c r="A91" t="s">
        <v>817</v>
      </c>
      <c r="C91" t="s">
        <v>193</v>
      </c>
      <c r="D91" t="str">
        <f t="shared" si="2"/>
        <v>0/0/0</v>
      </c>
      <c r="E91">
        <v>1</v>
      </c>
      <c r="U91" s="17">
        <v>50</v>
      </c>
      <c r="X91" s="17">
        <v>50</v>
      </c>
      <c r="AX91" t="str">
        <f>IF($A91="","", INDEX(CS!$B$1:$B$12876,MATCH($A91,CS!$B:$B,0)+COLUMN(A$1),1))</f>
        <v>雷の適用</v>
      </c>
      <c r="AY91">
        <f>IF($A91="","", INDEX(CS!$B$1:$B$12876,MATCH($A91,CS!$B:$B,0)+COLUMN(B$1),1))</f>
        <v>0</v>
      </c>
      <c r="AZ91" t="str">
        <f>IF($A91="","", INDEX(CS!$B$1:$B$12876,MATCH($A91,CS!$B:$B,0)+COLUMN(C$1),1))</f>
        <v>雷の体</v>
      </c>
      <c r="BA91">
        <f>IF($A91="","", INDEX(CS!$B$1:$B$12876,MATCH($A91,CS!$B:$B,0)+COLUMN(D$1),1))</f>
        <v>0</v>
      </c>
      <c r="BB91">
        <f>IF($A91="","", INDEX(CS!$B$1:$B$12876,MATCH($A91,CS!$B:$B,0)+COLUMN(E$1),1))</f>
        <v>0</v>
      </c>
      <c r="BC91" t="str">
        <f>IF($A91="","", INDEX(CS!$B$1:$B$12876,MATCH($A91,CS!$B:$B,0)+COLUMN(F$1),1))</f>
        <v>電撃突撃</v>
      </c>
      <c r="BD91">
        <f>IF($A91="","", INDEX(CS!$B$1:$B$12876,MATCH($A91,CS!$B:$B,0)+COLUMN(G$1),1))</f>
        <v>0</v>
      </c>
      <c r="BE91">
        <f>IF($A91="","", INDEX(CS!$B$1:$B$12876,MATCH($A91,CS!$B:$B,0)+COLUMN(H$1),1))</f>
        <v>0</v>
      </c>
      <c r="BF91" t="str">
        <f>IF($A91="","", INDEX(CS!$B$1:$B$12876,MATCH($A91,CS!$B:$B,0)+COLUMN(I$1),1))</f>
        <v>雷強化</v>
      </c>
      <c r="BG91" t="str">
        <f>IF($A91="","", INDEX(CS!$B$1:$B$12876,MATCH($A91,CS!$B:$B,0)+COLUMN(J$1),1))</f>
        <v>雷の唾</v>
      </c>
      <c r="BH91" t="s">
        <v>894</v>
      </c>
      <c r="BI91" t="s">
        <v>193</v>
      </c>
      <c r="BJ91" s="36" t="s">
        <v>897</v>
      </c>
    </row>
    <row r="92" spans="1:87" x14ac:dyDescent="0.4">
      <c r="A92" t="s">
        <v>818</v>
      </c>
      <c r="C92" t="s">
        <v>193</v>
      </c>
      <c r="D92" t="str">
        <f t="shared" si="2"/>
        <v>0/0/0</v>
      </c>
      <c r="E92">
        <v>1</v>
      </c>
      <c r="Y92" s="17">
        <v>50</v>
      </c>
      <c r="Z92" s="17">
        <v>-30</v>
      </c>
      <c r="AX92" t="str">
        <f>IF($A92="","", INDEX(CS!$B$1:$B$12876,MATCH($A92,CS!$B:$B,0)+COLUMN(A$1),1))</f>
        <v>毒の適用</v>
      </c>
      <c r="AY92">
        <f>IF($A92="","", INDEX(CS!$B$1:$B$12876,MATCH($A92,CS!$B:$B,0)+COLUMN(B$1),1))</f>
        <v>0</v>
      </c>
      <c r="AZ92" t="str">
        <f>IF($A92="","", INDEX(CS!$B$1:$B$12876,MATCH($A92,CS!$B:$B,0)+COLUMN(C$1),1))</f>
        <v>毒の体</v>
      </c>
      <c r="BA92">
        <f>IF($A92="","", INDEX(CS!$B$1:$B$12876,MATCH($A92,CS!$B:$B,0)+COLUMN(D$1),1))</f>
        <v>0</v>
      </c>
      <c r="BB92">
        <f>IF($A92="","", INDEX(CS!$B$1:$B$12876,MATCH($A92,CS!$B:$B,0)+COLUMN(E$1),1))</f>
        <v>0</v>
      </c>
      <c r="BC92" t="str">
        <f>IF($A92="","", INDEX(CS!$B$1:$B$12876,MATCH($A92,CS!$B:$B,0)+COLUMN(F$1),1))</f>
        <v>腐蝕突撃</v>
      </c>
      <c r="BD92">
        <f>IF($A92="","", INDEX(CS!$B$1:$B$12876,MATCH($A92,CS!$B:$B,0)+COLUMN(G$1),1))</f>
        <v>0</v>
      </c>
      <c r="BE92">
        <f>IF($A92="","", INDEX(CS!$B$1:$B$12876,MATCH($A92,CS!$B:$B,0)+COLUMN(H$1),1))</f>
        <v>0</v>
      </c>
      <c r="BF92" t="str">
        <f>IF($A92="","", INDEX(CS!$B$1:$B$12876,MATCH($A92,CS!$B:$B,0)+COLUMN(I$1),1))</f>
        <v>毒強化</v>
      </c>
      <c r="BG92" t="str">
        <f>IF($A92="","", INDEX(CS!$B$1:$B$12876,MATCH($A92,CS!$B:$B,0)+COLUMN(J$1),1))</f>
        <v>毒の唾</v>
      </c>
      <c r="BH92" t="s">
        <v>894</v>
      </c>
      <c r="BI92" t="s">
        <v>193</v>
      </c>
      <c r="BJ92" s="36" t="s">
        <v>898</v>
      </c>
    </row>
    <row r="93" spans="1:87" x14ac:dyDescent="0.4">
      <c r="A93" t="s">
        <v>819</v>
      </c>
      <c r="C93" t="s">
        <v>193</v>
      </c>
      <c r="D93" t="str">
        <f t="shared" si="2"/>
        <v>0/0/0</v>
      </c>
      <c r="E93">
        <v>1</v>
      </c>
      <c r="W93" s="17">
        <v>30</v>
      </c>
      <c r="AE93">
        <v>30</v>
      </c>
      <c r="AX93" t="str">
        <f>IF($A93="","", INDEX(CS!$B$1:$B$12876,MATCH($A93,CS!$B:$B,0)+COLUMN(A$1),1))</f>
        <v>水の適用</v>
      </c>
      <c r="AY93">
        <f>IF($A93="","", INDEX(CS!$B$1:$B$12876,MATCH($A93,CS!$B:$B,0)+COLUMN(B$1),1))</f>
        <v>0</v>
      </c>
      <c r="AZ93" t="str">
        <f>IF($A93="","", INDEX(CS!$B$1:$B$12876,MATCH($A93,CS!$B:$B,0)+COLUMN(C$1),1))</f>
        <v>水の体</v>
      </c>
      <c r="BA93">
        <f>IF($A93="","", INDEX(CS!$B$1:$B$12876,MATCH($A93,CS!$B:$B,0)+COLUMN(D$1),1))</f>
        <v>0</v>
      </c>
      <c r="BB93">
        <f>IF($A93="","", INDEX(CS!$B$1:$B$12876,MATCH($A93,CS!$B:$B,0)+COLUMN(E$1),1))</f>
        <v>0</v>
      </c>
      <c r="BC93" t="str">
        <f>IF($A93="","", INDEX(CS!$B$1:$B$12876,MATCH($A93,CS!$B:$B,0)+COLUMN(F$1),1))</f>
        <v>突撃</v>
      </c>
      <c r="BD93">
        <f>IF($A93="","", INDEX(CS!$B$1:$B$12876,MATCH($A93,CS!$B:$B,0)+COLUMN(G$1),1))</f>
        <v>0</v>
      </c>
      <c r="BE93">
        <f>IF($A93="","", INDEX(CS!$B$1:$B$12876,MATCH($A93,CS!$B:$B,0)+COLUMN(H$1),1))</f>
        <v>0</v>
      </c>
      <c r="BF93" t="str">
        <f>IF($A93="","", INDEX(CS!$B$1:$B$12876,MATCH($A93,CS!$B:$B,0)+COLUMN(I$1),1))</f>
        <v>水強化</v>
      </c>
      <c r="BG93" t="str">
        <f>IF($A93="","", INDEX(CS!$B$1:$B$12876,MATCH($A93,CS!$B:$B,0)+COLUMN(J$1),1))</f>
        <v>水の唾</v>
      </c>
      <c r="BH93" t="s">
        <v>894</v>
      </c>
      <c r="BI93" t="s">
        <v>193</v>
      </c>
      <c r="BJ93" s="36" t="s">
        <v>899</v>
      </c>
    </row>
    <row r="94" spans="1:87" x14ac:dyDescent="0.4">
      <c r="C94" t="s">
        <v>193</v>
      </c>
      <c r="D94" t="str">
        <f t="shared" si="2"/>
        <v>0/0/0</v>
      </c>
      <c r="E94">
        <v>1</v>
      </c>
      <c r="AX94" t="str">
        <f>IF($A94="","", INDEX(CS!$B$1:$B$12876,MATCH($A94,CS!$B:$B,0)+COLUMN(A$1),1))</f>
        <v/>
      </c>
      <c r="AY94" t="str">
        <f>IF($A94="","", INDEX(CS!$B$1:$B$12876,MATCH($A94,CS!$B:$B,0)+COLUMN(B$1),1))</f>
        <v/>
      </c>
      <c r="AZ94" t="str">
        <f>IF($A94="","", INDEX(CS!$B$1:$B$12876,MATCH($A94,CS!$B:$B,0)+COLUMN(C$1),1))</f>
        <v/>
      </c>
      <c r="BA94" t="str">
        <f>IF($A94="","", INDEX(CS!$B$1:$B$12876,MATCH($A94,CS!$B:$B,0)+COLUMN(D$1),1))</f>
        <v/>
      </c>
      <c r="BB94" t="str">
        <f>IF($A94="","", INDEX(CS!$B$1:$B$12876,MATCH($A94,CS!$B:$B,0)+COLUMN(E$1),1))</f>
        <v/>
      </c>
      <c r="BC94" t="str">
        <f>IF($A94="","", INDEX(CS!$B$1:$B$12876,MATCH($A94,CS!$B:$B,0)+COLUMN(F$1),1))</f>
        <v/>
      </c>
      <c r="BD94" t="str">
        <f>IF($A94="","", INDEX(CS!$B$1:$B$12876,MATCH($A94,CS!$B:$B,0)+COLUMN(G$1),1))</f>
        <v/>
      </c>
      <c r="BE94" t="str">
        <f>IF($A94="","", INDEX(CS!$B$1:$B$12876,MATCH($A94,CS!$B:$B,0)+COLUMN(H$1),1))</f>
        <v/>
      </c>
      <c r="BF94" t="str">
        <f>IF($A94="","", INDEX(CS!$B$1:$B$12876,MATCH($A94,CS!$B:$B,0)+COLUMN(I$1),1))</f>
        <v/>
      </c>
      <c r="BG94" t="str">
        <f>IF($A94="","", INDEX(CS!$B$1:$B$12876,MATCH($A94,CS!$B:$B,0)+COLUMN(J$1),1))</f>
        <v/>
      </c>
    </row>
    <row r="95" spans="1:87" x14ac:dyDescent="0.4">
      <c r="C95" t="s">
        <v>193</v>
      </c>
      <c r="D95" t="str">
        <f t="shared" si="2"/>
        <v>0/0/0</v>
      </c>
      <c r="E95">
        <v>1</v>
      </c>
      <c r="AX95" t="str">
        <f>IF($A95="","", INDEX(CS!$B$1:$B$12876,MATCH($A95,CS!$B:$B,0)+COLUMN(A$1),1))</f>
        <v/>
      </c>
      <c r="AY95" t="str">
        <f>IF($A95="","", INDEX(CS!$B$1:$B$12876,MATCH($A95,CS!$B:$B,0)+COLUMN(B$1),1))</f>
        <v/>
      </c>
      <c r="AZ95" t="str">
        <f>IF($A95="","", INDEX(CS!$B$1:$B$12876,MATCH($A95,CS!$B:$B,0)+COLUMN(C$1),1))</f>
        <v/>
      </c>
      <c r="BA95" t="str">
        <f>IF($A95="","", INDEX(CS!$B$1:$B$12876,MATCH($A95,CS!$B:$B,0)+COLUMN(D$1),1))</f>
        <v/>
      </c>
      <c r="BB95" t="str">
        <f>IF($A95="","", INDEX(CS!$B$1:$B$12876,MATCH($A95,CS!$B:$B,0)+COLUMN(E$1),1))</f>
        <v/>
      </c>
      <c r="BC95" t="str">
        <f>IF($A95="","", INDEX(CS!$B$1:$B$12876,MATCH($A95,CS!$B:$B,0)+COLUMN(F$1),1))</f>
        <v/>
      </c>
      <c r="BD95" t="str">
        <f>IF($A95="","", INDEX(CS!$B$1:$B$12876,MATCH($A95,CS!$B:$B,0)+COLUMN(G$1),1))</f>
        <v/>
      </c>
      <c r="BE95" t="str">
        <f>IF($A95="","", INDEX(CS!$B$1:$B$12876,MATCH($A95,CS!$B:$B,0)+COLUMN(H$1),1))</f>
        <v/>
      </c>
      <c r="BF95" t="str">
        <f>IF($A95="","", INDEX(CS!$B$1:$B$12876,MATCH($A95,CS!$B:$B,0)+COLUMN(I$1),1))</f>
        <v/>
      </c>
      <c r="BG95" t="str">
        <f>IF($A95="","", INDEX(CS!$B$1:$B$12876,MATCH($A95,CS!$B:$B,0)+COLUMN(J$1),1))</f>
        <v/>
      </c>
      <c r="BS95" s="53"/>
      <c r="BT95" s="53"/>
      <c r="BU95" s="53"/>
      <c r="BV95" s="53"/>
      <c r="BW95" s="53"/>
    </row>
    <row r="96" spans="1:87" x14ac:dyDescent="0.4">
      <c r="A96" t="s">
        <v>857</v>
      </c>
      <c r="C96" t="s">
        <v>193</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INDEX(CS!$B$1:$B$12876,MATCH($A96,CS!$B:$B,0)+COLUMN(A$1),1))</f>
        <v>爪</v>
      </c>
      <c r="AY96">
        <f>IF($A96="","", INDEX(CS!$B$1:$B$12876,MATCH($A96,CS!$B:$B,0)+COLUMN(B$1),1))</f>
        <v>0</v>
      </c>
      <c r="AZ96" t="str">
        <f>IF($A96="","", INDEX(CS!$B$1:$B$12876,MATCH($A96,CS!$B:$B,0)+COLUMN(C$1),1))</f>
        <v>翼</v>
      </c>
      <c r="BA96">
        <f>IF($A96="","", INDEX(CS!$B$1:$B$12876,MATCH($A96,CS!$B:$B,0)+COLUMN(D$1),1))</f>
        <v>0</v>
      </c>
      <c r="BB96" t="str">
        <f>IF($A96="","", INDEX(CS!$B$1:$B$12876,MATCH($A96,CS!$B:$B,0)+COLUMN(E$1),1))</f>
        <v>威圧</v>
      </c>
      <c r="BC96" t="str">
        <f>IF($A96="","", INDEX(CS!$B$1:$B$12876,MATCH($A96,CS!$B:$B,0)+COLUMN(F$1),1))</f>
        <v>毒の唾</v>
      </c>
      <c r="BD96">
        <f>IF($A96="","", INDEX(CS!$B$1:$B$12876,MATCH($A96,CS!$B:$B,0)+COLUMN(G$1),1))</f>
        <v>0</v>
      </c>
      <c r="BE96" t="str">
        <f>IF($A96="","", INDEX(CS!$B$1:$B$12876,MATCH($A96,CS!$B:$B,0)+COLUMN(H$1),1))</f>
        <v>毒の尾</v>
      </c>
      <c r="BF96" t="str">
        <f>IF($A96="","", INDEX(CS!$B$1:$B$12876,MATCH($A96,CS!$B:$B,0)+COLUMN(I$1),1))</f>
        <v>外皮</v>
      </c>
      <c r="BG96">
        <f>IF($A96="","", INDEX(CS!$B$1:$B$12876,MATCH($A96,CS!$B:$B,0)+COLUMN(J$1),1))</f>
        <v>0</v>
      </c>
      <c r="BS96" s="53">
        <v>200</v>
      </c>
      <c r="BT96" s="52">
        <v>0</v>
      </c>
      <c r="BU96" s="52">
        <v>0</v>
      </c>
      <c r="BV96" s="52">
        <v>180</v>
      </c>
      <c r="BW96" s="52">
        <v>20</v>
      </c>
      <c r="CB96" t="s">
        <v>919</v>
      </c>
      <c r="CC96" t="s">
        <v>919</v>
      </c>
      <c r="CD96" t="s">
        <v>919</v>
      </c>
      <c r="CE96" t="s">
        <v>919</v>
      </c>
      <c r="CF96" t="s">
        <v>919</v>
      </c>
      <c r="CI96" t="s">
        <v>995</v>
      </c>
    </row>
    <row r="97" spans="3:59" x14ac:dyDescent="0.4">
      <c r="C97" t="s">
        <v>193</v>
      </c>
      <c r="D97" t="str">
        <f t="shared" si="8"/>
        <v>0/0/0</v>
      </c>
      <c r="E97">
        <v>1</v>
      </c>
      <c r="AX97" t="str">
        <f>IF($A97="","", INDEX(CS!$B$1:$B$12876,MATCH($A97,CS!$B:$B,0)+COLUMN(A$1),1))</f>
        <v/>
      </c>
      <c r="AY97" t="str">
        <f>IF($A97="","", INDEX(CS!$B$1:$B$12876,MATCH($A97,CS!$B:$B,0)+COLUMN(B$1),1))</f>
        <v/>
      </c>
      <c r="AZ97" t="str">
        <f>IF($A97="","", INDEX(CS!$B$1:$B$12876,MATCH($A97,CS!$B:$B,0)+COLUMN(C$1),1))</f>
        <v/>
      </c>
      <c r="BA97" t="str">
        <f>IF($A97="","", INDEX(CS!$B$1:$B$12876,MATCH($A97,CS!$B:$B,0)+COLUMN(D$1),1))</f>
        <v/>
      </c>
      <c r="BB97" t="str">
        <f>IF($A97="","", INDEX(CS!$B$1:$B$12876,MATCH($A97,CS!$B:$B,0)+COLUMN(E$1),1))</f>
        <v/>
      </c>
      <c r="BC97" t="str">
        <f>IF($A97="","", INDEX(CS!$B$1:$B$12876,MATCH($A97,CS!$B:$B,0)+COLUMN(F$1),1))</f>
        <v/>
      </c>
      <c r="BD97" t="str">
        <f>IF($A97="","", INDEX(CS!$B$1:$B$12876,MATCH($A97,CS!$B:$B,0)+COLUMN(G$1),1))</f>
        <v/>
      </c>
      <c r="BE97" t="str">
        <f>IF($A97="","", INDEX(CS!$B$1:$B$12876,MATCH($A97,CS!$B:$B,0)+COLUMN(H$1),1))</f>
        <v/>
      </c>
      <c r="BF97" t="str">
        <f>IF($A97="","", INDEX(CS!$B$1:$B$12876,MATCH($A97,CS!$B:$B,0)+COLUMN(I$1),1))</f>
        <v/>
      </c>
      <c r="BG97" t="str">
        <f>IF($A97="","", INDEX(CS!$B$1:$B$12876,MATCH($A97,CS!$B:$B,0)+COLUMN(J$1),1))</f>
        <v/>
      </c>
    </row>
    <row r="98" spans="3:59" x14ac:dyDescent="0.4">
      <c r="C98" t="s">
        <v>193</v>
      </c>
      <c r="D98" t="str">
        <f t="shared" si="8"/>
        <v>0/0/0</v>
      </c>
      <c r="E98">
        <v>1</v>
      </c>
      <c r="AX98" t="str">
        <f>IF($A98="","", INDEX(CS!$B$1:$B$12876,MATCH($A98,CS!$B:$B,0)+COLUMN(A$1),1))</f>
        <v/>
      </c>
      <c r="AY98" t="str">
        <f>IF($A98="","", INDEX(CS!$B$1:$B$12876,MATCH($A98,CS!$B:$B,0)+COLUMN(B$1),1))</f>
        <v/>
      </c>
      <c r="AZ98" t="str">
        <f>IF($A98="","", INDEX(CS!$B$1:$B$12876,MATCH($A98,CS!$B:$B,0)+COLUMN(C$1),1))</f>
        <v/>
      </c>
      <c r="BA98" t="str">
        <f>IF($A98="","", INDEX(CS!$B$1:$B$12876,MATCH($A98,CS!$B:$B,0)+COLUMN(D$1),1))</f>
        <v/>
      </c>
      <c r="BB98" t="str">
        <f>IF($A98="","", INDEX(CS!$B$1:$B$12876,MATCH($A98,CS!$B:$B,0)+COLUMN(E$1),1))</f>
        <v/>
      </c>
      <c r="BC98" t="str">
        <f>IF($A98="","", INDEX(CS!$B$1:$B$12876,MATCH($A98,CS!$B:$B,0)+COLUMN(F$1),1))</f>
        <v/>
      </c>
      <c r="BD98" t="str">
        <f>IF($A98="","", INDEX(CS!$B$1:$B$12876,MATCH($A98,CS!$B:$B,0)+COLUMN(G$1),1))</f>
        <v/>
      </c>
      <c r="BE98" t="str">
        <f>IF($A98="","", INDEX(CS!$B$1:$B$12876,MATCH($A98,CS!$B:$B,0)+COLUMN(H$1),1))</f>
        <v/>
      </c>
      <c r="BF98" t="str">
        <f>IF($A98="","", INDEX(CS!$B$1:$B$12876,MATCH($A98,CS!$B:$B,0)+COLUMN(I$1),1))</f>
        <v/>
      </c>
      <c r="BG98" t="str">
        <f>IF($A98="","", INDEX(CS!$B$1:$B$12876,MATCH($A98,CS!$B:$B,0)+COLUMN(J$1),1))</f>
        <v/>
      </c>
    </row>
    <row r="99" spans="3:59" x14ac:dyDescent="0.4">
      <c r="C99" t="s">
        <v>193</v>
      </c>
      <c r="D99" t="str">
        <f t="shared" si="8"/>
        <v>0/0/0</v>
      </c>
      <c r="E99">
        <v>1</v>
      </c>
      <c r="AX99" t="str">
        <f>IF($A99="","", INDEX(CS!$B$1:$B$12876,MATCH($A99,CS!$B:$B,0)+COLUMN(A$1),1))</f>
        <v/>
      </c>
      <c r="AY99" t="str">
        <f>IF($A99="","", INDEX(CS!$B$1:$B$12876,MATCH($A99,CS!$B:$B,0)+COLUMN(B$1),1))</f>
        <v/>
      </c>
      <c r="AZ99" t="str">
        <f>IF($A99="","", INDEX(CS!$B$1:$B$12876,MATCH($A99,CS!$B:$B,0)+COLUMN(C$1),1))</f>
        <v/>
      </c>
      <c r="BA99" t="str">
        <f>IF($A99="","", INDEX(CS!$B$1:$B$12876,MATCH($A99,CS!$B:$B,0)+COLUMN(D$1),1))</f>
        <v/>
      </c>
      <c r="BB99" t="str">
        <f>IF($A99="","", INDEX(CS!$B$1:$B$12876,MATCH($A99,CS!$B:$B,0)+COLUMN(E$1),1))</f>
        <v/>
      </c>
      <c r="BC99" t="str">
        <f>IF($A99="","", INDEX(CS!$B$1:$B$12876,MATCH($A99,CS!$B:$B,0)+COLUMN(F$1),1))</f>
        <v/>
      </c>
      <c r="BD99" t="str">
        <f>IF($A99="","", INDEX(CS!$B$1:$B$12876,MATCH($A99,CS!$B:$B,0)+COLUMN(G$1),1))</f>
        <v/>
      </c>
      <c r="BE99" t="str">
        <f>IF($A99="","", INDEX(CS!$B$1:$B$12876,MATCH($A99,CS!$B:$B,0)+COLUMN(H$1),1))</f>
        <v/>
      </c>
      <c r="BF99" t="str">
        <f>IF($A99="","", INDEX(CS!$B$1:$B$12876,MATCH($A99,CS!$B:$B,0)+COLUMN(I$1),1))</f>
        <v/>
      </c>
      <c r="BG99" t="str">
        <f>IF($A99="","", INDEX(CS!$B$1:$B$12876,MATCH($A99,CS!$B:$B,0)+COLUMN(J$1),1))</f>
        <v/>
      </c>
    </row>
    <row r="100" spans="3:59" x14ac:dyDescent="0.4">
      <c r="C100" t="s">
        <v>193</v>
      </c>
      <c r="D100" t="str">
        <f t="shared" si="8"/>
        <v>0/0/0</v>
      </c>
      <c r="E100">
        <v>1</v>
      </c>
      <c r="AX100" t="str">
        <f>IF($A100="","", INDEX(CS!$B$1:$B$12876,MATCH($A100,CS!$B:$B,0)+COLUMN(A$1),1))</f>
        <v/>
      </c>
      <c r="AY100" t="str">
        <f>IF($A100="","", INDEX(CS!$B$1:$B$12876,MATCH($A100,CS!$B:$B,0)+COLUMN(B$1),1))</f>
        <v/>
      </c>
      <c r="AZ100" t="str">
        <f>IF($A100="","", INDEX(CS!$B$1:$B$12876,MATCH($A100,CS!$B:$B,0)+COLUMN(C$1),1))</f>
        <v/>
      </c>
      <c r="BA100" t="str">
        <f>IF($A100="","", INDEX(CS!$B$1:$B$12876,MATCH($A100,CS!$B:$B,0)+COLUMN(D$1),1))</f>
        <v/>
      </c>
      <c r="BB100" t="str">
        <f>IF($A100="","", INDEX(CS!$B$1:$B$12876,MATCH($A100,CS!$B:$B,0)+COLUMN(E$1),1))</f>
        <v/>
      </c>
      <c r="BC100" t="str">
        <f>IF($A100="","", INDEX(CS!$B$1:$B$12876,MATCH($A100,CS!$B:$B,0)+COLUMN(F$1),1))</f>
        <v/>
      </c>
      <c r="BD100" t="str">
        <f>IF($A100="","", INDEX(CS!$B$1:$B$12876,MATCH($A100,CS!$B:$B,0)+COLUMN(G$1),1))</f>
        <v/>
      </c>
      <c r="BE100" t="str">
        <f>IF($A100="","", INDEX(CS!$B$1:$B$12876,MATCH($A100,CS!$B:$B,0)+COLUMN(H$1),1))</f>
        <v/>
      </c>
      <c r="BF100" t="str">
        <f>IF($A100="","", INDEX(CS!$B$1:$B$12876,MATCH($A100,CS!$B:$B,0)+COLUMN(I$1),1))</f>
        <v/>
      </c>
      <c r="BG100" t="str">
        <f>IF($A100="","", INDEX(CS!$B$1:$B$12876,MATCH($A100,CS!$B:$B,0)+COLUMN(J$1),1))</f>
        <v/>
      </c>
    </row>
    <row r="101" spans="3:59" x14ac:dyDescent="0.4">
      <c r="C101" t="s">
        <v>193</v>
      </c>
      <c r="D101" t="str">
        <f t="shared" si="8"/>
        <v>0/0/0</v>
      </c>
      <c r="E101">
        <v>1</v>
      </c>
      <c r="AX101" t="str">
        <f>IF($A101="","", INDEX(CS!$B$1:$B$12876,MATCH($A101,CS!$B:$B,0)+COLUMN(A$1),1))</f>
        <v/>
      </c>
      <c r="AY101" t="str">
        <f>IF($A101="","", INDEX(CS!$B$1:$B$12876,MATCH($A101,CS!$B:$B,0)+COLUMN(B$1),1))</f>
        <v/>
      </c>
      <c r="AZ101" t="str">
        <f>IF($A101="","", INDEX(CS!$B$1:$B$12876,MATCH($A101,CS!$B:$B,0)+COLUMN(C$1),1))</f>
        <v/>
      </c>
      <c r="BA101" t="str">
        <f>IF($A101="","", INDEX(CS!$B$1:$B$12876,MATCH($A101,CS!$B:$B,0)+COLUMN(D$1),1))</f>
        <v/>
      </c>
      <c r="BB101" t="str">
        <f>IF($A101="","", INDEX(CS!$B$1:$B$12876,MATCH($A101,CS!$B:$B,0)+COLUMN(E$1),1))</f>
        <v/>
      </c>
      <c r="BC101" t="str">
        <f>IF($A101="","", INDEX(CS!$B$1:$B$12876,MATCH($A101,CS!$B:$B,0)+COLUMN(F$1),1))</f>
        <v/>
      </c>
      <c r="BD101" t="str">
        <f>IF($A101="","", INDEX(CS!$B$1:$B$12876,MATCH($A101,CS!$B:$B,0)+COLUMN(G$1),1))</f>
        <v/>
      </c>
      <c r="BE101" t="str">
        <f>IF($A101="","", INDEX(CS!$B$1:$B$12876,MATCH($A101,CS!$B:$B,0)+COLUMN(H$1),1))</f>
        <v/>
      </c>
      <c r="BF101" t="str">
        <f>IF($A101="","", INDEX(CS!$B$1:$B$12876,MATCH($A101,CS!$B:$B,0)+COLUMN(I$1),1))</f>
        <v/>
      </c>
      <c r="BG101" t="str">
        <f>IF($A101="","", INDEX(CS!$B$1:$B$12876,MATCH($A101,CS!$B:$B,0)+COLUMN(J$1),1))</f>
        <v/>
      </c>
    </row>
    <row r="102" spans="3:59" x14ac:dyDescent="0.4">
      <c r="C102" t="s">
        <v>193</v>
      </c>
      <c r="D102" t="str">
        <f t="shared" si="8"/>
        <v>0/0/0</v>
      </c>
      <c r="E102">
        <v>1</v>
      </c>
      <c r="AX102" t="str">
        <f>IF($A102="","", INDEX(CS!$B$1:$B$12876,MATCH($A102,CS!$B:$B,0)+COLUMN(A$1),1))</f>
        <v/>
      </c>
      <c r="AY102" t="str">
        <f>IF($A102="","", INDEX(CS!$B$1:$B$12876,MATCH($A102,CS!$B:$B,0)+COLUMN(B$1),1))</f>
        <v/>
      </c>
      <c r="AZ102" t="str">
        <f>IF($A102="","", INDEX(CS!$B$1:$B$12876,MATCH($A102,CS!$B:$B,0)+COLUMN(C$1),1))</f>
        <v/>
      </c>
      <c r="BA102" t="str">
        <f>IF($A102="","", INDEX(CS!$B$1:$B$12876,MATCH($A102,CS!$B:$B,0)+COLUMN(D$1),1))</f>
        <v/>
      </c>
      <c r="BB102" t="str">
        <f>IF($A102="","", INDEX(CS!$B$1:$B$12876,MATCH($A102,CS!$B:$B,0)+COLUMN(E$1),1))</f>
        <v/>
      </c>
      <c r="BC102" t="str">
        <f>IF($A102="","", INDEX(CS!$B$1:$B$12876,MATCH($A102,CS!$B:$B,0)+COLUMN(F$1),1))</f>
        <v/>
      </c>
      <c r="BD102" t="str">
        <f>IF($A102="","", INDEX(CS!$B$1:$B$12876,MATCH($A102,CS!$B:$B,0)+COLUMN(G$1),1))</f>
        <v/>
      </c>
      <c r="BE102" t="str">
        <f>IF($A102="","", INDEX(CS!$B$1:$B$12876,MATCH($A102,CS!$B:$B,0)+COLUMN(H$1),1))</f>
        <v/>
      </c>
      <c r="BF102" t="str">
        <f>IF($A102="","", INDEX(CS!$B$1:$B$12876,MATCH($A102,CS!$B:$B,0)+COLUMN(I$1),1))</f>
        <v/>
      </c>
      <c r="BG102" t="str">
        <f>IF($A102="","", INDEX(CS!$B$1:$B$12876,MATCH($A102,CS!$B:$B,0)+COLUMN(J$1),1))</f>
        <v/>
      </c>
    </row>
    <row r="103" spans="3:59" x14ac:dyDescent="0.4">
      <c r="C103" t="s">
        <v>193</v>
      </c>
      <c r="D103" t="str">
        <f t="shared" si="8"/>
        <v>0/0/0</v>
      </c>
      <c r="E103">
        <v>1</v>
      </c>
      <c r="AX103" t="str">
        <f>IF($A103="","", INDEX(CS!$B$1:$B$12876,MATCH($A103,CS!$B:$B,0)+COLUMN(A$1),1))</f>
        <v/>
      </c>
      <c r="AY103" t="str">
        <f>IF($A103="","", INDEX(CS!$B$1:$B$12876,MATCH($A103,CS!$B:$B,0)+COLUMN(B$1),1))</f>
        <v/>
      </c>
      <c r="AZ103" t="str">
        <f>IF($A103="","", INDEX(CS!$B$1:$B$12876,MATCH($A103,CS!$B:$B,0)+COLUMN(C$1),1))</f>
        <v/>
      </c>
      <c r="BA103" t="str">
        <f>IF($A103="","", INDEX(CS!$B$1:$B$12876,MATCH($A103,CS!$B:$B,0)+COLUMN(D$1),1))</f>
        <v/>
      </c>
      <c r="BB103" t="str">
        <f>IF($A103="","", INDEX(CS!$B$1:$B$12876,MATCH($A103,CS!$B:$B,0)+COLUMN(E$1),1))</f>
        <v/>
      </c>
      <c r="BC103" t="str">
        <f>IF($A103="","", INDEX(CS!$B$1:$B$12876,MATCH($A103,CS!$B:$B,0)+COLUMN(F$1),1))</f>
        <v/>
      </c>
      <c r="BD103" t="str">
        <f>IF($A103="","", INDEX(CS!$B$1:$B$12876,MATCH($A103,CS!$B:$B,0)+COLUMN(G$1),1))</f>
        <v/>
      </c>
      <c r="BE103" t="str">
        <f>IF($A103="","", INDEX(CS!$B$1:$B$12876,MATCH($A103,CS!$B:$B,0)+COLUMN(H$1),1))</f>
        <v/>
      </c>
      <c r="BF103" t="str">
        <f>IF($A103="","", INDEX(CS!$B$1:$B$12876,MATCH($A103,CS!$B:$B,0)+COLUMN(I$1),1))</f>
        <v/>
      </c>
      <c r="BG103" t="str">
        <f>IF($A103="","", INDEX(CS!$B$1:$B$12876,MATCH($A103,CS!$B:$B,0)+COLUMN(J$1),1))</f>
        <v/>
      </c>
    </row>
    <row r="104" spans="3:59" x14ac:dyDescent="0.4">
      <c r="C104" t="s">
        <v>193</v>
      </c>
      <c r="D104" t="str">
        <f t="shared" si="8"/>
        <v>0/0/0</v>
      </c>
      <c r="E104">
        <v>1</v>
      </c>
      <c r="AX104" t="str">
        <f>IF($A104="","", INDEX(CS!$B$1:$B$12876,MATCH($A104,CS!$B:$B,0)+COLUMN(A$1),1))</f>
        <v/>
      </c>
      <c r="AY104" t="str">
        <f>IF($A104="","", INDEX(CS!$B$1:$B$12876,MATCH($A104,CS!$B:$B,0)+COLUMN(B$1),1))</f>
        <v/>
      </c>
      <c r="AZ104" t="str">
        <f>IF($A104="","", INDEX(CS!$B$1:$B$12876,MATCH($A104,CS!$B:$B,0)+COLUMN(C$1),1))</f>
        <v/>
      </c>
      <c r="BA104" t="str">
        <f>IF($A104="","", INDEX(CS!$B$1:$B$12876,MATCH($A104,CS!$B:$B,0)+COLUMN(D$1),1))</f>
        <v/>
      </c>
      <c r="BB104" t="str">
        <f>IF($A104="","", INDEX(CS!$B$1:$B$12876,MATCH($A104,CS!$B:$B,0)+COLUMN(E$1),1))</f>
        <v/>
      </c>
      <c r="BC104" t="str">
        <f>IF($A104="","", INDEX(CS!$B$1:$B$12876,MATCH($A104,CS!$B:$B,0)+COLUMN(F$1),1))</f>
        <v/>
      </c>
      <c r="BD104" t="str">
        <f>IF($A104="","", INDEX(CS!$B$1:$B$12876,MATCH($A104,CS!$B:$B,0)+COLUMN(G$1),1))</f>
        <v/>
      </c>
      <c r="BE104" t="str">
        <f>IF($A104="","", INDEX(CS!$B$1:$B$12876,MATCH($A104,CS!$B:$B,0)+COLUMN(H$1),1))</f>
        <v/>
      </c>
      <c r="BF104" t="str">
        <f>IF($A104="","", INDEX(CS!$B$1:$B$12876,MATCH($A104,CS!$B:$B,0)+COLUMN(I$1),1))</f>
        <v/>
      </c>
      <c r="BG104" t="str">
        <f>IF($A104="","", INDEX(CS!$B$1:$B$12876,MATCH($A104,CS!$B:$B,0)+COLUMN(J$1),1))</f>
        <v/>
      </c>
    </row>
    <row r="105" spans="3:59" x14ac:dyDescent="0.4">
      <c r="C105" t="s">
        <v>193</v>
      </c>
      <c r="D105" t="str">
        <f t="shared" si="8"/>
        <v>0/0/0</v>
      </c>
      <c r="E105">
        <v>1</v>
      </c>
      <c r="AX105" t="str">
        <f>IF($A105="","", INDEX(CS!$B$1:$B$12876,MATCH($A105,CS!$B:$B,0)+COLUMN(A$1),1))</f>
        <v/>
      </c>
      <c r="AY105" t="str">
        <f>IF($A105="","", INDEX(CS!$B$1:$B$12876,MATCH($A105,CS!$B:$B,0)+COLUMN(B$1),1))</f>
        <v/>
      </c>
      <c r="AZ105" t="str">
        <f>IF($A105="","", INDEX(CS!$B$1:$B$12876,MATCH($A105,CS!$B:$B,0)+COLUMN(C$1),1))</f>
        <v/>
      </c>
      <c r="BA105" t="str">
        <f>IF($A105="","", INDEX(CS!$B$1:$B$12876,MATCH($A105,CS!$B:$B,0)+COLUMN(D$1),1))</f>
        <v/>
      </c>
      <c r="BB105" t="str">
        <f>IF($A105="","", INDEX(CS!$B$1:$B$12876,MATCH($A105,CS!$B:$B,0)+COLUMN(E$1),1))</f>
        <v/>
      </c>
      <c r="BC105" t="str">
        <f>IF($A105="","", INDEX(CS!$B$1:$B$12876,MATCH($A105,CS!$B:$B,0)+COLUMN(F$1),1))</f>
        <v/>
      </c>
      <c r="BD105" t="str">
        <f>IF($A105="","", INDEX(CS!$B$1:$B$12876,MATCH($A105,CS!$B:$B,0)+COLUMN(G$1),1))</f>
        <v/>
      </c>
      <c r="BE105" t="str">
        <f>IF($A105="","", INDEX(CS!$B$1:$B$12876,MATCH($A105,CS!$B:$B,0)+COLUMN(H$1),1))</f>
        <v/>
      </c>
      <c r="BF105" t="str">
        <f>IF($A105="","", INDEX(CS!$B$1:$B$12876,MATCH($A105,CS!$B:$B,0)+COLUMN(I$1),1))</f>
        <v/>
      </c>
      <c r="BG105" t="str">
        <f>IF($A105="","", INDEX(CS!$B$1:$B$12876,MATCH($A105,CS!$B:$B,0)+COLUMN(J$1),1))</f>
        <v/>
      </c>
    </row>
    <row r="106" spans="3:59" x14ac:dyDescent="0.4">
      <c r="C106" t="s">
        <v>193</v>
      </c>
      <c r="D106" t="str">
        <f t="shared" si="8"/>
        <v>0/0/0</v>
      </c>
      <c r="E106">
        <v>1</v>
      </c>
      <c r="AX106" t="str">
        <f>IF($A106="","", INDEX(CS!$B$1:$B$12876,MATCH($A106,CS!$B:$B,0)+COLUMN(A$1),1))</f>
        <v/>
      </c>
      <c r="AY106" t="str">
        <f>IF($A106="","", INDEX(CS!$B$1:$B$12876,MATCH($A106,CS!$B:$B,0)+COLUMN(B$1),1))</f>
        <v/>
      </c>
      <c r="AZ106" t="str">
        <f>IF($A106="","", INDEX(CS!$B$1:$B$12876,MATCH($A106,CS!$B:$B,0)+COLUMN(C$1),1))</f>
        <v/>
      </c>
      <c r="BA106" t="str">
        <f>IF($A106="","", INDEX(CS!$B$1:$B$12876,MATCH($A106,CS!$B:$B,0)+COLUMN(D$1),1))</f>
        <v/>
      </c>
      <c r="BB106" t="str">
        <f>IF($A106="","", INDEX(CS!$B$1:$B$12876,MATCH($A106,CS!$B:$B,0)+COLUMN(E$1),1))</f>
        <v/>
      </c>
      <c r="BC106" t="str">
        <f>IF($A106="","", INDEX(CS!$B$1:$B$12876,MATCH($A106,CS!$B:$B,0)+COLUMN(F$1),1))</f>
        <v/>
      </c>
      <c r="BD106" t="str">
        <f>IF($A106="","", INDEX(CS!$B$1:$B$12876,MATCH($A106,CS!$B:$B,0)+COLUMN(G$1),1))</f>
        <v/>
      </c>
      <c r="BE106" t="str">
        <f>IF($A106="","", INDEX(CS!$B$1:$B$12876,MATCH($A106,CS!$B:$B,0)+COLUMN(H$1),1))</f>
        <v/>
      </c>
      <c r="BF106" t="str">
        <f>IF($A106="","", INDEX(CS!$B$1:$B$12876,MATCH($A106,CS!$B:$B,0)+COLUMN(I$1),1))</f>
        <v/>
      </c>
      <c r="BG106" t="str">
        <f>IF($A106="","", INDEX(CS!$B$1:$B$12876,MATCH($A106,CS!$B:$B,0)+COLUMN(J$1),1))</f>
        <v/>
      </c>
    </row>
    <row r="107" spans="3:59" x14ac:dyDescent="0.4">
      <c r="C107" t="s">
        <v>193</v>
      </c>
      <c r="D107" t="str">
        <f t="shared" si="8"/>
        <v>0/0/0</v>
      </c>
      <c r="E107">
        <v>1</v>
      </c>
      <c r="AX107" t="str">
        <f>IF($A107="","", INDEX(CS!$B$1:$B$12876,MATCH($A107,CS!$B:$B,0)+COLUMN(A$1),1))</f>
        <v/>
      </c>
      <c r="AY107" t="str">
        <f>IF($A107="","", INDEX(CS!$B$1:$B$12876,MATCH($A107,CS!$B:$B,0)+COLUMN(B$1),1))</f>
        <v/>
      </c>
      <c r="AZ107" t="str">
        <f>IF($A107="","", INDEX(CS!$B$1:$B$12876,MATCH($A107,CS!$B:$B,0)+COLUMN(C$1),1))</f>
        <v/>
      </c>
      <c r="BA107" t="str">
        <f>IF($A107="","", INDEX(CS!$B$1:$B$12876,MATCH($A107,CS!$B:$B,0)+COLUMN(D$1),1))</f>
        <v/>
      </c>
      <c r="BB107" t="str">
        <f>IF($A107="","", INDEX(CS!$B$1:$B$12876,MATCH($A107,CS!$B:$B,0)+COLUMN(E$1),1))</f>
        <v/>
      </c>
      <c r="BC107" t="str">
        <f>IF($A107="","", INDEX(CS!$B$1:$B$12876,MATCH($A107,CS!$B:$B,0)+COLUMN(F$1),1))</f>
        <v/>
      </c>
      <c r="BD107" t="str">
        <f>IF($A107="","", INDEX(CS!$B$1:$B$12876,MATCH($A107,CS!$B:$B,0)+COLUMN(G$1),1))</f>
        <v/>
      </c>
      <c r="BE107" t="str">
        <f>IF($A107="","", INDEX(CS!$B$1:$B$12876,MATCH($A107,CS!$B:$B,0)+COLUMN(H$1),1))</f>
        <v/>
      </c>
      <c r="BF107" t="str">
        <f>IF($A107="","", INDEX(CS!$B$1:$B$12876,MATCH($A107,CS!$B:$B,0)+COLUMN(I$1),1))</f>
        <v/>
      </c>
      <c r="BG107" t="str">
        <f>IF($A107="","", INDEX(CS!$B$1:$B$12876,MATCH($A107,CS!$B:$B,0)+COLUMN(J$1),1))</f>
        <v/>
      </c>
    </row>
    <row r="108" spans="3:59" x14ac:dyDescent="0.4">
      <c r="C108" t="s">
        <v>193</v>
      </c>
      <c r="D108" t="str">
        <f t="shared" si="8"/>
        <v>0/0/0</v>
      </c>
      <c r="E108">
        <v>1</v>
      </c>
      <c r="AX108" t="str">
        <f>IF($A108="","", INDEX(CS!$B$1:$B$12876,MATCH($A108,CS!$B:$B,0)+COLUMN(A$1),1))</f>
        <v/>
      </c>
      <c r="AY108" t="str">
        <f>IF($A108="","", INDEX(CS!$B$1:$B$12876,MATCH($A108,CS!$B:$B,0)+COLUMN(B$1),1))</f>
        <v/>
      </c>
      <c r="AZ108" t="str">
        <f>IF($A108="","", INDEX(CS!$B$1:$B$12876,MATCH($A108,CS!$B:$B,0)+COLUMN(C$1),1))</f>
        <v/>
      </c>
      <c r="BA108" t="str">
        <f>IF($A108="","", INDEX(CS!$B$1:$B$12876,MATCH($A108,CS!$B:$B,0)+COLUMN(D$1),1))</f>
        <v/>
      </c>
      <c r="BB108" t="str">
        <f>IF($A108="","", INDEX(CS!$B$1:$B$12876,MATCH($A108,CS!$B:$B,0)+COLUMN(E$1),1))</f>
        <v/>
      </c>
      <c r="BC108" t="str">
        <f>IF($A108="","", INDEX(CS!$B$1:$B$12876,MATCH($A108,CS!$B:$B,0)+COLUMN(F$1),1))</f>
        <v/>
      </c>
      <c r="BD108" t="str">
        <f>IF($A108="","", INDEX(CS!$B$1:$B$12876,MATCH($A108,CS!$B:$B,0)+COLUMN(G$1),1))</f>
        <v/>
      </c>
      <c r="BE108" t="str">
        <f>IF($A108="","", INDEX(CS!$B$1:$B$12876,MATCH($A108,CS!$B:$B,0)+COLUMN(H$1),1))</f>
        <v/>
      </c>
      <c r="BF108" t="str">
        <f>IF($A108="","", INDEX(CS!$B$1:$B$12876,MATCH($A108,CS!$B:$B,0)+COLUMN(I$1),1))</f>
        <v/>
      </c>
      <c r="BG108" t="str">
        <f>IF($A108="","", INDEX(CS!$B$1:$B$12876,MATCH($A108,CS!$B:$B,0)+COLUMN(J$1),1))</f>
        <v/>
      </c>
    </row>
    <row r="109" spans="3:59" x14ac:dyDescent="0.4">
      <c r="C109" t="s">
        <v>193</v>
      </c>
      <c r="D109" t="str">
        <f t="shared" si="8"/>
        <v>0/0/0</v>
      </c>
      <c r="E109">
        <v>1</v>
      </c>
      <c r="AX109" t="str">
        <f>IF($A109="","", INDEX(CS!$B$1:$B$12876,MATCH($A109,CS!$B:$B,0)+COLUMN(A$1),1))</f>
        <v/>
      </c>
      <c r="AY109" t="str">
        <f>IF($A109="","", INDEX(CS!$B$1:$B$12876,MATCH($A109,CS!$B:$B,0)+COLUMN(B$1),1))</f>
        <v/>
      </c>
      <c r="AZ109" t="str">
        <f>IF($A109="","", INDEX(CS!$B$1:$B$12876,MATCH($A109,CS!$B:$B,0)+COLUMN(C$1),1))</f>
        <v/>
      </c>
      <c r="BA109" t="str">
        <f>IF($A109="","", INDEX(CS!$B$1:$B$12876,MATCH($A109,CS!$B:$B,0)+COLUMN(D$1),1))</f>
        <v/>
      </c>
      <c r="BB109" t="str">
        <f>IF($A109="","", INDEX(CS!$B$1:$B$12876,MATCH($A109,CS!$B:$B,0)+COLUMN(E$1),1))</f>
        <v/>
      </c>
      <c r="BC109" t="str">
        <f>IF($A109="","", INDEX(CS!$B$1:$B$12876,MATCH($A109,CS!$B:$B,0)+COLUMN(F$1),1))</f>
        <v/>
      </c>
      <c r="BD109" t="str">
        <f>IF($A109="","", INDEX(CS!$B$1:$B$12876,MATCH($A109,CS!$B:$B,0)+COLUMN(G$1),1))</f>
        <v/>
      </c>
      <c r="BE109" t="str">
        <f>IF($A109="","", INDEX(CS!$B$1:$B$12876,MATCH($A109,CS!$B:$B,0)+COLUMN(H$1),1))</f>
        <v/>
      </c>
      <c r="BF109" t="str">
        <f>IF($A109="","", INDEX(CS!$B$1:$B$12876,MATCH($A109,CS!$B:$B,0)+COLUMN(I$1),1))</f>
        <v/>
      </c>
      <c r="BG109" t="str">
        <f>IF($A109="","", INDEX(CS!$B$1:$B$12876,MATCH($A109,CS!$B:$B,0)+COLUMN(J$1),1))</f>
        <v/>
      </c>
    </row>
    <row r="110" spans="3:59" x14ac:dyDescent="0.4">
      <c r="C110" t="s">
        <v>193</v>
      </c>
      <c r="D110" t="str">
        <f t="shared" si="8"/>
        <v>0/0/0</v>
      </c>
      <c r="E110">
        <v>1</v>
      </c>
      <c r="AX110" t="str">
        <f>IF($A110="","", INDEX(CS!$B$1:$B$12876,MATCH($A110,CS!$B:$B,0)+COLUMN(A$1),1))</f>
        <v/>
      </c>
      <c r="AY110" t="str">
        <f>IF($A110="","", INDEX(CS!$B$1:$B$12876,MATCH($A110,CS!$B:$B,0)+COLUMN(B$1),1))</f>
        <v/>
      </c>
      <c r="AZ110" t="str">
        <f>IF($A110="","", INDEX(CS!$B$1:$B$12876,MATCH($A110,CS!$B:$B,0)+COLUMN(C$1),1))</f>
        <v/>
      </c>
      <c r="BA110" t="str">
        <f>IF($A110="","", INDEX(CS!$B$1:$B$12876,MATCH($A110,CS!$B:$B,0)+COLUMN(D$1),1))</f>
        <v/>
      </c>
      <c r="BB110" t="str">
        <f>IF($A110="","", INDEX(CS!$B$1:$B$12876,MATCH($A110,CS!$B:$B,0)+COLUMN(E$1),1))</f>
        <v/>
      </c>
      <c r="BC110" t="str">
        <f>IF($A110="","", INDEX(CS!$B$1:$B$12876,MATCH($A110,CS!$B:$B,0)+COLUMN(F$1),1))</f>
        <v/>
      </c>
      <c r="BD110" t="str">
        <f>IF($A110="","", INDEX(CS!$B$1:$B$12876,MATCH($A110,CS!$B:$B,0)+COLUMN(G$1),1))</f>
        <v/>
      </c>
      <c r="BE110" t="str">
        <f>IF($A110="","", INDEX(CS!$B$1:$B$12876,MATCH($A110,CS!$B:$B,0)+COLUMN(H$1),1))</f>
        <v/>
      </c>
      <c r="BF110" t="str">
        <f>IF($A110="","", INDEX(CS!$B$1:$B$12876,MATCH($A110,CS!$B:$B,0)+COLUMN(I$1),1))</f>
        <v/>
      </c>
      <c r="BG110" t="str">
        <f>IF($A110="","", INDEX(CS!$B$1:$B$12876,MATCH($A110,CS!$B:$B,0)+COLUMN(J$1),1))</f>
        <v/>
      </c>
    </row>
    <row r="111" spans="3:59" x14ac:dyDescent="0.4">
      <c r="C111" t="s">
        <v>193</v>
      </c>
      <c r="D111" t="str">
        <f t="shared" si="8"/>
        <v>0/0/0</v>
      </c>
      <c r="E111">
        <v>1</v>
      </c>
      <c r="AX111" t="str">
        <f>IF($A111="","", INDEX(CS!$B$1:$B$12876,MATCH($A111,CS!$B:$B,0)+COLUMN(A$1),1))</f>
        <v/>
      </c>
      <c r="AY111" t="str">
        <f>IF($A111="","", INDEX(CS!$B$1:$B$12876,MATCH($A111,CS!$B:$B,0)+COLUMN(B$1),1))</f>
        <v/>
      </c>
      <c r="AZ111" t="str">
        <f>IF($A111="","", INDEX(CS!$B$1:$B$12876,MATCH($A111,CS!$B:$B,0)+COLUMN(C$1),1))</f>
        <v/>
      </c>
      <c r="BA111" t="str">
        <f>IF($A111="","", INDEX(CS!$B$1:$B$12876,MATCH($A111,CS!$B:$B,0)+COLUMN(D$1),1))</f>
        <v/>
      </c>
      <c r="BB111" t="str">
        <f>IF($A111="","", INDEX(CS!$B$1:$B$12876,MATCH($A111,CS!$B:$B,0)+COLUMN(E$1),1))</f>
        <v/>
      </c>
      <c r="BC111" t="str">
        <f>IF($A111="","", INDEX(CS!$B$1:$B$12876,MATCH($A111,CS!$B:$B,0)+COLUMN(F$1),1))</f>
        <v/>
      </c>
      <c r="BD111" t="str">
        <f>IF($A111="","", INDEX(CS!$B$1:$B$12876,MATCH($A111,CS!$B:$B,0)+COLUMN(G$1),1))</f>
        <v/>
      </c>
      <c r="BE111" t="str">
        <f>IF($A111="","", INDEX(CS!$B$1:$B$12876,MATCH($A111,CS!$B:$B,0)+COLUMN(H$1),1))</f>
        <v/>
      </c>
      <c r="BF111" t="str">
        <f>IF($A111="","", INDEX(CS!$B$1:$B$12876,MATCH($A111,CS!$B:$B,0)+COLUMN(I$1),1))</f>
        <v/>
      </c>
      <c r="BG111" t="str">
        <f>IF($A111="","", INDEX(CS!$B$1:$B$12876,MATCH($A111,CS!$B:$B,0)+COLUMN(J$1),1))</f>
        <v/>
      </c>
    </row>
    <row r="112" spans="3:59" x14ac:dyDescent="0.4">
      <c r="C112" t="s">
        <v>193</v>
      </c>
      <c r="D112" t="str">
        <f t="shared" si="8"/>
        <v>0/0/0</v>
      </c>
      <c r="E112">
        <v>1</v>
      </c>
      <c r="AX112" t="str">
        <f>IF($A112="","", INDEX(CS!$B$1:$B$12876,MATCH($A112,CS!$B:$B,0)+COLUMN(A$1),1))</f>
        <v/>
      </c>
      <c r="AY112" t="str">
        <f>IF($A112="","", INDEX(CS!$B$1:$B$12876,MATCH($A112,CS!$B:$B,0)+COLUMN(B$1),1))</f>
        <v/>
      </c>
      <c r="AZ112" t="str">
        <f>IF($A112="","", INDEX(CS!$B$1:$B$12876,MATCH($A112,CS!$B:$B,0)+COLUMN(C$1),1))</f>
        <v/>
      </c>
      <c r="BA112" t="str">
        <f>IF($A112="","", INDEX(CS!$B$1:$B$12876,MATCH($A112,CS!$B:$B,0)+COLUMN(D$1),1))</f>
        <v/>
      </c>
      <c r="BB112" t="str">
        <f>IF($A112="","", INDEX(CS!$B$1:$B$12876,MATCH($A112,CS!$B:$B,0)+COLUMN(E$1),1))</f>
        <v/>
      </c>
      <c r="BC112" t="str">
        <f>IF($A112="","", INDEX(CS!$B$1:$B$12876,MATCH($A112,CS!$B:$B,0)+COLUMN(F$1),1))</f>
        <v/>
      </c>
      <c r="BD112" t="str">
        <f>IF($A112="","", INDEX(CS!$B$1:$B$12876,MATCH($A112,CS!$B:$B,0)+COLUMN(G$1),1))</f>
        <v/>
      </c>
      <c r="BE112" t="str">
        <f>IF($A112="","", INDEX(CS!$B$1:$B$12876,MATCH($A112,CS!$B:$B,0)+COLUMN(H$1),1))</f>
        <v/>
      </c>
      <c r="BF112" t="str">
        <f>IF($A112="","", INDEX(CS!$B$1:$B$12876,MATCH($A112,CS!$B:$B,0)+COLUMN(I$1),1))</f>
        <v/>
      </c>
      <c r="BG112" t="str">
        <f>IF($A112="","", INDEX(CS!$B$1:$B$12876,MATCH($A112,CS!$B:$B,0)+COLUMN(J$1),1))</f>
        <v/>
      </c>
    </row>
    <row r="113" spans="3:59" x14ac:dyDescent="0.4">
      <c r="C113" t="s">
        <v>193</v>
      </c>
      <c r="D113" t="str">
        <f t="shared" si="8"/>
        <v>0/0/0</v>
      </c>
      <c r="E113">
        <v>1</v>
      </c>
      <c r="AX113" t="str">
        <f>IF($A113="","", INDEX(CS!$B$1:$B$12876,MATCH($A113,CS!$B:$B,0)+COLUMN(A$1),1))</f>
        <v/>
      </c>
      <c r="AY113" t="str">
        <f>IF($A113="","", INDEX(CS!$B$1:$B$12876,MATCH($A113,CS!$B:$B,0)+COLUMN(B$1),1))</f>
        <v/>
      </c>
      <c r="AZ113" t="str">
        <f>IF($A113="","", INDEX(CS!$B$1:$B$12876,MATCH($A113,CS!$B:$B,0)+COLUMN(C$1),1))</f>
        <v/>
      </c>
      <c r="BA113" t="str">
        <f>IF($A113="","", INDEX(CS!$B$1:$B$12876,MATCH($A113,CS!$B:$B,0)+COLUMN(D$1),1))</f>
        <v/>
      </c>
      <c r="BB113" t="str">
        <f>IF($A113="","", INDEX(CS!$B$1:$B$12876,MATCH($A113,CS!$B:$B,0)+COLUMN(E$1),1))</f>
        <v/>
      </c>
      <c r="BC113" t="str">
        <f>IF($A113="","", INDEX(CS!$B$1:$B$12876,MATCH($A113,CS!$B:$B,0)+COLUMN(F$1),1))</f>
        <v/>
      </c>
      <c r="BD113" t="str">
        <f>IF($A113="","", INDEX(CS!$B$1:$B$12876,MATCH($A113,CS!$B:$B,0)+COLUMN(G$1),1))</f>
        <v/>
      </c>
      <c r="BE113" t="str">
        <f>IF($A113="","", INDEX(CS!$B$1:$B$12876,MATCH($A113,CS!$B:$B,0)+COLUMN(H$1),1))</f>
        <v/>
      </c>
      <c r="BF113" t="str">
        <f>IF($A113="","", INDEX(CS!$B$1:$B$12876,MATCH($A113,CS!$B:$B,0)+COLUMN(I$1),1))</f>
        <v/>
      </c>
      <c r="BG113" t="str">
        <f>IF($A113="","", INDEX(CS!$B$1:$B$12876,MATCH($A113,CS!$B:$B,0)+COLUMN(J$1),1))</f>
        <v/>
      </c>
    </row>
    <row r="114" spans="3:59" x14ac:dyDescent="0.4">
      <c r="C114" t="s">
        <v>193</v>
      </c>
      <c r="D114" t="str">
        <f t="shared" si="8"/>
        <v>0/0/0</v>
      </c>
      <c r="E114">
        <v>1</v>
      </c>
      <c r="AX114" t="str">
        <f>IF($A114="","", INDEX(CS!$B$1:$B$12876,MATCH($A114,CS!$B:$B,0)+COLUMN(A$1),1))</f>
        <v/>
      </c>
      <c r="AY114" t="str">
        <f>IF($A114="","", INDEX(CS!$B$1:$B$12876,MATCH($A114,CS!$B:$B,0)+COLUMN(B$1),1))</f>
        <v/>
      </c>
      <c r="AZ114" t="str">
        <f>IF($A114="","", INDEX(CS!$B$1:$B$12876,MATCH($A114,CS!$B:$B,0)+COLUMN(C$1),1))</f>
        <v/>
      </c>
      <c r="BA114" t="str">
        <f>IF($A114="","", INDEX(CS!$B$1:$B$12876,MATCH($A114,CS!$B:$B,0)+COLUMN(D$1),1))</f>
        <v/>
      </c>
      <c r="BB114" t="str">
        <f>IF($A114="","", INDEX(CS!$B$1:$B$12876,MATCH($A114,CS!$B:$B,0)+COLUMN(E$1),1))</f>
        <v/>
      </c>
      <c r="BC114" t="str">
        <f>IF($A114="","", INDEX(CS!$B$1:$B$12876,MATCH($A114,CS!$B:$B,0)+COLUMN(F$1),1))</f>
        <v/>
      </c>
      <c r="BD114" t="str">
        <f>IF($A114="","", INDEX(CS!$B$1:$B$12876,MATCH($A114,CS!$B:$B,0)+COLUMN(G$1),1))</f>
        <v/>
      </c>
      <c r="BE114" t="str">
        <f>IF($A114="","", INDEX(CS!$B$1:$B$12876,MATCH($A114,CS!$B:$B,0)+COLUMN(H$1),1))</f>
        <v/>
      </c>
      <c r="BF114" t="str">
        <f>IF($A114="","", INDEX(CS!$B$1:$B$12876,MATCH($A114,CS!$B:$B,0)+COLUMN(I$1),1))</f>
        <v/>
      </c>
      <c r="BG114" t="str">
        <f>IF($A114="","", INDEX(CS!$B$1:$B$12876,MATCH($A114,CS!$B:$B,0)+COLUMN(J$1),1))</f>
        <v/>
      </c>
    </row>
    <row r="115" spans="3:59" x14ac:dyDescent="0.4">
      <c r="C115" t="s">
        <v>193</v>
      </c>
      <c r="D115" t="str">
        <f t="shared" si="8"/>
        <v>0/0/0</v>
      </c>
      <c r="E115">
        <v>1</v>
      </c>
      <c r="AX115" t="str">
        <f>IF($A115="","", INDEX(CS!$B$1:$B$12876,MATCH($A115,CS!$B:$B,0)+COLUMN(A$1),1))</f>
        <v/>
      </c>
      <c r="AY115" t="str">
        <f>IF($A115="","", INDEX(CS!$B$1:$B$12876,MATCH($A115,CS!$B:$B,0)+COLUMN(B$1),1))</f>
        <v/>
      </c>
      <c r="AZ115" t="str">
        <f>IF($A115="","", INDEX(CS!$B$1:$B$12876,MATCH($A115,CS!$B:$B,0)+COLUMN(C$1),1))</f>
        <v/>
      </c>
      <c r="BA115" t="str">
        <f>IF($A115="","", INDEX(CS!$B$1:$B$12876,MATCH($A115,CS!$B:$B,0)+COLUMN(D$1),1))</f>
        <v/>
      </c>
      <c r="BB115" t="str">
        <f>IF($A115="","", INDEX(CS!$B$1:$B$12876,MATCH($A115,CS!$B:$B,0)+COLUMN(E$1),1))</f>
        <v/>
      </c>
      <c r="BC115" t="str">
        <f>IF($A115="","", INDEX(CS!$B$1:$B$12876,MATCH($A115,CS!$B:$B,0)+COLUMN(F$1),1))</f>
        <v/>
      </c>
      <c r="BD115" t="str">
        <f>IF($A115="","", INDEX(CS!$B$1:$B$12876,MATCH($A115,CS!$B:$B,0)+COLUMN(G$1),1))</f>
        <v/>
      </c>
      <c r="BE115" t="str">
        <f>IF($A115="","", INDEX(CS!$B$1:$B$12876,MATCH($A115,CS!$B:$B,0)+COLUMN(H$1),1))</f>
        <v/>
      </c>
      <c r="BF115" t="str">
        <f>IF($A115="","", INDEX(CS!$B$1:$B$12876,MATCH($A115,CS!$B:$B,0)+COLUMN(I$1),1))</f>
        <v/>
      </c>
      <c r="BG115" t="str">
        <f>IF($A115="","", INDEX(CS!$B$1:$B$12876,MATCH($A115,CS!$B:$B,0)+COLUMN(J$1),1))</f>
        <v/>
      </c>
    </row>
    <row r="116" spans="3:59" x14ac:dyDescent="0.4">
      <c r="C116" t="s">
        <v>193</v>
      </c>
      <c r="D116" t="str">
        <f t="shared" si="8"/>
        <v>0/0/0</v>
      </c>
      <c r="E116">
        <v>1</v>
      </c>
      <c r="AX116" t="str">
        <f>IF($A116="","", INDEX(CS!$B$1:$B$12876,MATCH($A116,CS!$B:$B,0)+COLUMN(A$1),1))</f>
        <v/>
      </c>
      <c r="AY116" t="str">
        <f>IF($A116="","", INDEX(CS!$B$1:$B$12876,MATCH($A116,CS!$B:$B,0)+COLUMN(B$1),1))</f>
        <v/>
      </c>
      <c r="AZ116" t="str">
        <f>IF($A116="","", INDEX(CS!$B$1:$B$12876,MATCH($A116,CS!$B:$B,0)+COLUMN(C$1),1))</f>
        <v/>
      </c>
      <c r="BA116" t="str">
        <f>IF($A116="","", INDEX(CS!$B$1:$B$12876,MATCH($A116,CS!$B:$B,0)+COLUMN(D$1),1))</f>
        <v/>
      </c>
      <c r="BB116" t="str">
        <f>IF($A116="","", INDEX(CS!$B$1:$B$12876,MATCH($A116,CS!$B:$B,0)+COLUMN(E$1),1))</f>
        <v/>
      </c>
      <c r="BC116" t="str">
        <f>IF($A116="","", INDEX(CS!$B$1:$B$12876,MATCH($A116,CS!$B:$B,0)+COLUMN(F$1),1))</f>
        <v/>
      </c>
      <c r="BD116" t="str">
        <f>IF($A116="","", INDEX(CS!$B$1:$B$12876,MATCH($A116,CS!$B:$B,0)+COLUMN(G$1),1))</f>
        <v/>
      </c>
      <c r="BE116" t="str">
        <f>IF($A116="","", INDEX(CS!$B$1:$B$12876,MATCH($A116,CS!$B:$B,0)+COLUMN(H$1),1))</f>
        <v/>
      </c>
      <c r="BF116" t="str">
        <f>IF($A116="","", INDEX(CS!$B$1:$B$12876,MATCH($A116,CS!$B:$B,0)+COLUMN(I$1),1))</f>
        <v/>
      </c>
      <c r="BG116" t="str">
        <f>IF($A116="","", INDEX(CS!$B$1:$B$12876,MATCH($A116,CS!$B:$B,0)+COLUMN(J$1),1))</f>
        <v/>
      </c>
    </row>
    <row r="117" spans="3:59" x14ac:dyDescent="0.4">
      <c r="C117" t="s">
        <v>193</v>
      </c>
      <c r="D117" t="str">
        <f t="shared" si="8"/>
        <v>0/0/0</v>
      </c>
      <c r="E117">
        <v>1</v>
      </c>
      <c r="AX117" t="str">
        <f>IF($A117="","", INDEX(CS!$B$1:$B$12876,MATCH($A117,CS!$B:$B,0)+COLUMN(A$1),1))</f>
        <v/>
      </c>
      <c r="AY117" t="str">
        <f>IF($A117="","", INDEX(CS!$B$1:$B$12876,MATCH($A117,CS!$B:$B,0)+COLUMN(B$1),1))</f>
        <v/>
      </c>
      <c r="AZ117" t="str">
        <f>IF($A117="","", INDEX(CS!$B$1:$B$12876,MATCH($A117,CS!$B:$B,0)+COLUMN(C$1),1))</f>
        <v/>
      </c>
      <c r="BA117" t="str">
        <f>IF($A117="","", INDEX(CS!$B$1:$B$12876,MATCH($A117,CS!$B:$B,0)+COLUMN(D$1),1))</f>
        <v/>
      </c>
      <c r="BB117" t="str">
        <f>IF($A117="","", INDEX(CS!$B$1:$B$12876,MATCH($A117,CS!$B:$B,0)+COLUMN(E$1),1))</f>
        <v/>
      </c>
      <c r="BC117" t="str">
        <f>IF($A117="","", INDEX(CS!$B$1:$B$12876,MATCH($A117,CS!$B:$B,0)+COLUMN(F$1),1))</f>
        <v/>
      </c>
      <c r="BD117" t="str">
        <f>IF($A117="","", INDEX(CS!$B$1:$B$12876,MATCH($A117,CS!$B:$B,0)+COLUMN(G$1),1))</f>
        <v/>
      </c>
      <c r="BE117" t="str">
        <f>IF($A117="","", INDEX(CS!$B$1:$B$12876,MATCH($A117,CS!$B:$B,0)+COLUMN(H$1),1))</f>
        <v/>
      </c>
      <c r="BF117" t="str">
        <f>IF($A117="","", INDEX(CS!$B$1:$B$12876,MATCH($A117,CS!$B:$B,0)+COLUMN(I$1),1))</f>
        <v/>
      </c>
      <c r="BG117" t="str">
        <f>IF($A117="","", INDEX(CS!$B$1:$B$12876,MATCH($A117,CS!$B:$B,0)+COLUMN(J$1),1))</f>
        <v/>
      </c>
    </row>
    <row r="118" spans="3:59" x14ac:dyDescent="0.4">
      <c r="C118" t="s">
        <v>193</v>
      </c>
      <c r="D118" t="str">
        <f t="shared" si="8"/>
        <v>0/0/0</v>
      </c>
      <c r="E118">
        <v>1</v>
      </c>
      <c r="AX118" t="str">
        <f>IF($A118="","", INDEX(CS!$B$1:$B$12876,MATCH($A118,CS!$B:$B,0)+COLUMN(A$1),1))</f>
        <v/>
      </c>
      <c r="AY118" t="str">
        <f>IF($A118="","", INDEX(CS!$B$1:$B$12876,MATCH($A118,CS!$B:$B,0)+COLUMN(B$1),1))</f>
        <v/>
      </c>
      <c r="AZ118" t="str">
        <f>IF($A118="","", INDEX(CS!$B$1:$B$12876,MATCH($A118,CS!$B:$B,0)+COLUMN(C$1),1))</f>
        <v/>
      </c>
      <c r="BA118" t="str">
        <f>IF($A118="","", INDEX(CS!$B$1:$B$12876,MATCH($A118,CS!$B:$B,0)+COLUMN(D$1),1))</f>
        <v/>
      </c>
      <c r="BB118" t="str">
        <f>IF($A118="","", INDEX(CS!$B$1:$B$12876,MATCH($A118,CS!$B:$B,0)+COLUMN(E$1),1))</f>
        <v/>
      </c>
      <c r="BC118" t="str">
        <f>IF($A118="","", INDEX(CS!$B$1:$B$12876,MATCH($A118,CS!$B:$B,0)+COLUMN(F$1),1))</f>
        <v/>
      </c>
      <c r="BD118" t="str">
        <f>IF($A118="","", INDEX(CS!$B$1:$B$12876,MATCH($A118,CS!$B:$B,0)+COLUMN(G$1),1))</f>
        <v/>
      </c>
      <c r="BE118" t="str">
        <f>IF($A118="","", INDEX(CS!$B$1:$B$12876,MATCH($A118,CS!$B:$B,0)+COLUMN(H$1),1))</f>
        <v/>
      </c>
      <c r="BF118" t="str">
        <f>IF($A118="","", INDEX(CS!$B$1:$B$12876,MATCH($A118,CS!$B:$B,0)+COLUMN(I$1),1))</f>
        <v/>
      </c>
      <c r="BG118" t="str">
        <f>IF($A118="","", INDEX(CS!$B$1:$B$12876,MATCH($A118,CS!$B:$B,0)+COLUMN(J$1),1))</f>
        <v/>
      </c>
    </row>
    <row r="119" spans="3:59" x14ac:dyDescent="0.4">
      <c r="C119" t="s">
        <v>193</v>
      </c>
      <c r="D119" t="str">
        <f t="shared" si="8"/>
        <v>0/0/0</v>
      </c>
      <c r="E119">
        <v>1</v>
      </c>
      <c r="AX119" t="str">
        <f>IF($A119="","", INDEX(CS!$B$1:$B$12876,MATCH($A119,CS!$B:$B,0)+COLUMN(A$1),1))</f>
        <v/>
      </c>
      <c r="AY119" t="str">
        <f>IF($A119="","", INDEX(CS!$B$1:$B$12876,MATCH($A119,CS!$B:$B,0)+COLUMN(B$1),1))</f>
        <v/>
      </c>
      <c r="AZ119" t="str">
        <f>IF($A119="","", INDEX(CS!$B$1:$B$12876,MATCH($A119,CS!$B:$B,0)+COLUMN(C$1),1))</f>
        <v/>
      </c>
      <c r="BA119" t="str">
        <f>IF($A119="","", INDEX(CS!$B$1:$B$12876,MATCH($A119,CS!$B:$B,0)+COLUMN(D$1),1))</f>
        <v/>
      </c>
      <c r="BB119" t="str">
        <f>IF($A119="","", INDEX(CS!$B$1:$B$12876,MATCH($A119,CS!$B:$B,0)+COLUMN(E$1),1))</f>
        <v/>
      </c>
      <c r="BC119" t="str">
        <f>IF($A119="","", INDEX(CS!$B$1:$B$12876,MATCH($A119,CS!$B:$B,0)+COLUMN(F$1),1))</f>
        <v/>
      </c>
      <c r="BD119" t="str">
        <f>IF($A119="","", INDEX(CS!$B$1:$B$12876,MATCH($A119,CS!$B:$B,0)+COLUMN(G$1),1))</f>
        <v/>
      </c>
      <c r="BE119" t="str">
        <f>IF($A119="","", INDEX(CS!$B$1:$B$12876,MATCH($A119,CS!$B:$B,0)+COLUMN(H$1),1))</f>
        <v/>
      </c>
      <c r="BF119" t="str">
        <f>IF($A119="","", INDEX(CS!$B$1:$B$12876,MATCH($A119,CS!$B:$B,0)+COLUMN(I$1),1))</f>
        <v/>
      </c>
      <c r="BG119" t="str">
        <f>IF($A119="","", INDEX(CS!$B$1:$B$12876,MATCH($A119,CS!$B:$B,0)+COLUMN(J$1),1))</f>
        <v/>
      </c>
    </row>
    <row r="120" spans="3:59" x14ac:dyDescent="0.4">
      <c r="C120" t="s">
        <v>193</v>
      </c>
      <c r="D120" t="str">
        <f t="shared" si="8"/>
        <v>0/0/0</v>
      </c>
      <c r="E120">
        <v>1</v>
      </c>
      <c r="AX120" t="str">
        <f>IF($A120="","", INDEX(CS!$B$1:$B$12876,MATCH($A120,CS!$B:$B,0)+COLUMN(A$1),1))</f>
        <v/>
      </c>
      <c r="AY120" t="str">
        <f>IF($A120="","", INDEX(CS!$B$1:$B$12876,MATCH($A120,CS!$B:$B,0)+COLUMN(B$1),1))</f>
        <v/>
      </c>
      <c r="AZ120" t="str">
        <f>IF($A120="","", INDEX(CS!$B$1:$B$12876,MATCH($A120,CS!$B:$B,0)+COLUMN(C$1),1))</f>
        <v/>
      </c>
      <c r="BA120" t="str">
        <f>IF($A120="","", INDEX(CS!$B$1:$B$12876,MATCH($A120,CS!$B:$B,0)+COLUMN(D$1),1))</f>
        <v/>
      </c>
      <c r="BB120" t="str">
        <f>IF($A120="","", INDEX(CS!$B$1:$B$12876,MATCH($A120,CS!$B:$B,0)+COLUMN(E$1),1))</f>
        <v/>
      </c>
      <c r="BC120" t="str">
        <f>IF($A120="","", INDEX(CS!$B$1:$B$12876,MATCH($A120,CS!$B:$B,0)+COLUMN(F$1),1))</f>
        <v/>
      </c>
      <c r="BD120" t="str">
        <f>IF($A120="","", INDEX(CS!$B$1:$B$12876,MATCH($A120,CS!$B:$B,0)+COLUMN(G$1),1))</f>
        <v/>
      </c>
      <c r="BE120" t="str">
        <f>IF($A120="","", INDEX(CS!$B$1:$B$12876,MATCH($A120,CS!$B:$B,0)+COLUMN(H$1),1))</f>
        <v/>
      </c>
      <c r="BF120" t="str">
        <f>IF($A120="","", INDEX(CS!$B$1:$B$12876,MATCH($A120,CS!$B:$B,0)+COLUMN(I$1),1))</f>
        <v/>
      </c>
      <c r="BG120" t="str">
        <f>IF($A120="","", INDEX(CS!$B$1:$B$12876,MATCH($A120,CS!$B:$B,0)+COLUMN(J$1),1))</f>
        <v/>
      </c>
    </row>
    <row r="121" spans="3:59" x14ac:dyDescent="0.4">
      <c r="C121" t="s">
        <v>193</v>
      </c>
      <c r="D121" t="str">
        <f t="shared" si="8"/>
        <v>0/0/0</v>
      </c>
      <c r="E121">
        <v>1</v>
      </c>
      <c r="AX121" t="str">
        <f>IF($A121="","", INDEX(CS!$B$1:$B$12876,MATCH($A121,CS!$B:$B,0)+COLUMN(A$1),1))</f>
        <v/>
      </c>
      <c r="AY121" t="str">
        <f>IF($A121="","", INDEX(CS!$B$1:$B$12876,MATCH($A121,CS!$B:$B,0)+COLUMN(B$1),1))</f>
        <v/>
      </c>
      <c r="AZ121" t="str">
        <f>IF($A121="","", INDEX(CS!$B$1:$B$12876,MATCH($A121,CS!$B:$B,0)+COLUMN(C$1),1))</f>
        <v/>
      </c>
      <c r="BA121" t="str">
        <f>IF($A121="","", INDEX(CS!$B$1:$B$12876,MATCH($A121,CS!$B:$B,0)+COLUMN(D$1),1))</f>
        <v/>
      </c>
      <c r="BB121" t="str">
        <f>IF($A121="","", INDEX(CS!$B$1:$B$12876,MATCH($A121,CS!$B:$B,0)+COLUMN(E$1),1))</f>
        <v/>
      </c>
      <c r="BC121" t="str">
        <f>IF($A121="","", INDEX(CS!$B$1:$B$12876,MATCH($A121,CS!$B:$B,0)+COLUMN(F$1),1))</f>
        <v/>
      </c>
      <c r="BD121" t="str">
        <f>IF($A121="","", INDEX(CS!$B$1:$B$12876,MATCH($A121,CS!$B:$B,0)+COLUMN(G$1),1))</f>
        <v/>
      </c>
      <c r="BE121" t="str">
        <f>IF($A121="","", INDEX(CS!$B$1:$B$12876,MATCH($A121,CS!$B:$B,0)+COLUMN(H$1),1))</f>
        <v/>
      </c>
      <c r="BF121" t="str">
        <f>IF($A121="","", INDEX(CS!$B$1:$B$12876,MATCH($A121,CS!$B:$B,0)+COLUMN(I$1),1))</f>
        <v/>
      </c>
      <c r="BG121" t="str">
        <f>IF($A121="","", INDEX(CS!$B$1:$B$12876,MATCH($A121,CS!$B:$B,0)+COLUMN(J$1),1))</f>
        <v/>
      </c>
    </row>
    <row r="122" spans="3:59" x14ac:dyDescent="0.4">
      <c r="C122" t="s">
        <v>193</v>
      </c>
      <c r="D122" t="str">
        <f t="shared" si="8"/>
        <v>0/0/0</v>
      </c>
      <c r="E122">
        <v>1</v>
      </c>
      <c r="AX122" t="str">
        <f>IF($A122="","", INDEX(CS!$B$1:$B$12876,MATCH($A122,CS!$B:$B,0)+COLUMN(A$1),1))</f>
        <v/>
      </c>
      <c r="AY122" t="str">
        <f>IF($A122="","", INDEX(CS!$B$1:$B$12876,MATCH($A122,CS!$B:$B,0)+COLUMN(B$1),1))</f>
        <v/>
      </c>
      <c r="AZ122" t="str">
        <f>IF($A122="","", INDEX(CS!$B$1:$B$12876,MATCH($A122,CS!$B:$B,0)+COLUMN(C$1),1))</f>
        <v/>
      </c>
      <c r="BA122" t="str">
        <f>IF($A122="","", INDEX(CS!$B$1:$B$12876,MATCH($A122,CS!$B:$B,0)+COLUMN(D$1),1))</f>
        <v/>
      </c>
      <c r="BB122" t="str">
        <f>IF($A122="","", INDEX(CS!$B$1:$B$12876,MATCH($A122,CS!$B:$B,0)+COLUMN(E$1),1))</f>
        <v/>
      </c>
      <c r="BC122" t="str">
        <f>IF($A122="","", INDEX(CS!$B$1:$B$12876,MATCH($A122,CS!$B:$B,0)+COLUMN(F$1),1))</f>
        <v/>
      </c>
      <c r="BD122" t="str">
        <f>IF($A122="","", INDEX(CS!$B$1:$B$12876,MATCH($A122,CS!$B:$B,0)+COLUMN(G$1),1))</f>
        <v/>
      </c>
      <c r="BE122" t="str">
        <f>IF($A122="","", INDEX(CS!$B$1:$B$12876,MATCH($A122,CS!$B:$B,0)+COLUMN(H$1),1))</f>
        <v/>
      </c>
      <c r="BF122" t="str">
        <f>IF($A122="","", INDEX(CS!$B$1:$B$12876,MATCH($A122,CS!$B:$B,0)+COLUMN(I$1),1))</f>
        <v/>
      </c>
      <c r="BG122" t="str">
        <f>IF($A122="","", INDEX(CS!$B$1:$B$12876,MATCH($A122,CS!$B:$B,0)+COLUMN(J$1),1))</f>
        <v/>
      </c>
    </row>
    <row r="123" spans="3:59" x14ac:dyDescent="0.4">
      <c r="C123" t="s">
        <v>193</v>
      </c>
      <c r="D123" t="str">
        <f t="shared" si="8"/>
        <v>0/0/0</v>
      </c>
      <c r="E123">
        <v>1</v>
      </c>
      <c r="AX123" t="str">
        <f>IF($A123="","", INDEX(CS!$B$1:$B$12876,MATCH($A123,CS!$B:$B,0)+COLUMN(A$1),1))</f>
        <v/>
      </c>
      <c r="AY123" t="str">
        <f>IF($A123="","", INDEX(CS!$B$1:$B$12876,MATCH($A123,CS!$B:$B,0)+COLUMN(B$1),1))</f>
        <v/>
      </c>
      <c r="AZ123" t="str">
        <f>IF($A123="","", INDEX(CS!$B$1:$B$12876,MATCH($A123,CS!$B:$B,0)+COLUMN(C$1),1))</f>
        <v/>
      </c>
      <c r="BA123" t="str">
        <f>IF($A123="","", INDEX(CS!$B$1:$B$12876,MATCH($A123,CS!$B:$B,0)+COLUMN(D$1),1))</f>
        <v/>
      </c>
      <c r="BB123" t="str">
        <f>IF($A123="","", INDEX(CS!$B$1:$B$12876,MATCH($A123,CS!$B:$B,0)+COLUMN(E$1),1))</f>
        <v/>
      </c>
      <c r="BC123" t="str">
        <f>IF($A123="","", INDEX(CS!$B$1:$B$12876,MATCH($A123,CS!$B:$B,0)+COLUMN(F$1),1))</f>
        <v/>
      </c>
      <c r="BD123" t="str">
        <f>IF($A123="","", INDEX(CS!$B$1:$B$12876,MATCH($A123,CS!$B:$B,0)+COLUMN(G$1),1))</f>
        <v/>
      </c>
      <c r="BE123" t="str">
        <f>IF($A123="","", INDEX(CS!$B$1:$B$12876,MATCH($A123,CS!$B:$B,0)+COLUMN(H$1),1))</f>
        <v/>
      </c>
      <c r="BF123" t="str">
        <f>IF($A123="","", INDEX(CS!$B$1:$B$12876,MATCH($A123,CS!$B:$B,0)+COLUMN(I$1),1))</f>
        <v/>
      </c>
      <c r="BG123" t="str">
        <f>IF($A123="","", INDEX(CS!$B$1:$B$12876,MATCH($A123,CS!$B:$B,0)+COLUMN(J$1),1))</f>
        <v/>
      </c>
    </row>
    <row r="124" spans="3:59" x14ac:dyDescent="0.4">
      <c r="C124" t="s">
        <v>193</v>
      </c>
      <c r="D124" t="str">
        <f t="shared" si="8"/>
        <v>0/0/0</v>
      </c>
      <c r="E124">
        <v>1</v>
      </c>
      <c r="AX124" t="str">
        <f>IF($A124="","", INDEX(CS!$B$1:$B$12876,MATCH($A124,CS!$B:$B,0)+COLUMN(A$1),1))</f>
        <v/>
      </c>
      <c r="AY124" t="str">
        <f>IF($A124="","", INDEX(CS!$B$1:$B$12876,MATCH($A124,CS!$B:$B,0)+COLUMN(B$1),1))</f>
        <v/>
      </c>
      <c r="AZ124" t="str">
        <f>IF($A124="","", INDEX(CS!$B$1:$B$12876,MATCH($A124,CS!$B:$B,0)+COLUMN(C$1),1))</f>
        <v/>
      </c>
      <c r="BA124" t="str">
        <f>IF($A124="","", INDEX(CS!$B$1:$B$12876,MATCH($A124,CS!$B:$B,0)+COLUMN(D$1),1))</f>
        <v/>
      </c>
      <c r="BB124" t="str">
        <f>IF($A124="","", INDEX(CS!$B$1:$B$12876,MATCH($A124,CS!$B:$B,0)+COLUMN(E$1),1))</f>
        <v/>
      </c>
      <c r="BC124" t="str">
        <f>IF($A124="","", INDEX(CS!$B$1:$B$12876,MATCH($A124,CS!$B:$B,0)+COLUMN(F$1),1))</f>
        <v/>
      </c>
      <c r="BD124" t="str">
        <f>IF($A124="","", INDEX(CS!$B$1:$B$12876,MATCH($A124,CS!$B:$B,0)+COLUMN(G$1),1))</f>
        <v/>
      </c>
      <c r="BE124" t="str">
        <f>IF($A124="","", INDEX(CS!$B$1:$B$12876,MATCH($A124,CS!$B:$B,0)+COLUMN(H$1),1))</f>
        <v/>
      </c>
      <c r="BF124" t="str">
        <f>IF($A124="","", INDEX(CS!$B$1:$B$12876,MATCH($A124,CS!$B:$B,0)+COLUMN(I$1),1))</f>
        <v/>
      </c>
      <c r="BG124" t="str">
        <f>IF($A124="","", INDEX(CS!$B$1:$B$12876,MATCH($A124,CS!$B:$B,0)+COLUMN(J$1),1))</f>
        <v/>
      </c>
    </row>
    <row r="125" spans="3:59" x14ac:dyDescent="0.4">
      <c r="C125" t="s">
        <v>193</v>
      </c>
      <c r="D125" t="str">
        <f t="shared" si="8"/>
        <v>0/0/0</v>
      </c>
      <c r="E125">
        <v>1</v>
      </c>
      <c r="AX125" t="str">
        <f>IF($A125="","", INDEX(CS!$B$1:$B$12876,MATCH($A125,CS!$B:$B,0)+COLUMN(A$1),1))</f>
        <v/>
      </c>
      <c r="AY125" t="str">
        <f>IF($A125="","", INDEX(CS!$B$1:$B$12876,MATCH($A125,CS!$B:$B,0)+COLUMN(B$1),1))</f>
        <v/>
      </c>
      <c r="AZ125" t="str">
        <f>IF($A125="","", INDEX(CS!$B$1:$B$12876,MATCH($A125,CS!$B:$B,0)+COLUMN(C$1),1))</f>
        <v/>
      </c>
      <c r="BA125" t="str">
        <f>IF($A125="","", INDEX(CS!$B$1:$B$12876,MATCH($A125,CS!$B:$B,0)+COLUMN(D$1),1))</f>
        <v/>
      </c>
      <c r="BB125" t="str">
        <f>IF($A125="","", INDEX(CS!$B$1:$B$12876,MATCH($A125,CS!$B:$B,0)+COLUMN(E$1),1))</f>
        <v/>
      </c>
      <c r="BC125" t="str">
        <f>IF($A125="","", INDEX(CS!$B$1:$B$12876,MATCH($A125,CS!$B:$B,0)+COLUMN(F$1),1))</f>
        <v/>
      </c>
      <c r="BD125" t="str">
        <f>IF($A125="","", INDEX(CS!$B$1:$B$12876,MATCH($A125,CS!$B:$B,0)+COLUMN(G$1),1))</f>
        <v/>
      </c>
      <c r="BE125" t="str">
        <f>IF($A125="","", INDEX(CS!$B$1:$B$12876,MATCH($A125,CS!$B:$B,0)+COLUMN(H$1),1))</f>
        <v/>
      </c>
      <c r="BF125" t="str">
        <f>IF($A125="","", INDEX(CS!$B$1:$B$12876,MATCH($A125,CS!$B:$B,0)+COLUMN(I$1),1))</f>
        <v/>
      </c>
      <c r="BG125" t="str">
        <f>IF($A125="","", INDEX(CS!$B$1:$B$12876,MATCH($A125,CS!$B:$B,0)+COLUMN(J$1),1))</f>
        <v/>
      </c>
    </row>
    <row r="126" spans="3:59" x14ac:dyDescent="0.4">
      <c r="C126" t="s">
        <v>193</v>
      </c>
      <c r="D126" t="str">
        <f t="shared" si="8"/>
        <v>0/0/0</v>
      </c>
      <c r="E126">
        <v>1</v>
      </c>
      <c r="AX126" t="str">
        <f>IF($A126="","", INDEX(CS!$B$1:$B$12876,MATCH($A126,CS!$B:$B,0)+COLUMN(A$1),1))</f>
        <v/>
      </c>
      <c r="AY126" t="str">
        <f>IF($A126="","", INDEX(CS!$B$1:$B$12876,MATCH($A126,CS!$B:$B,0)+COLUMN(B$1),1))</f>
        <v/>
      </c>
      <c r="AZ126" t="str">
        <f>IF($A126="","", INDEX(CS!$B$1:$B$12876,MATCH($A126,CS!$B:$B,0)+COLUMN(C$1),1))</f>
        <v/>
      </c>
      <c r="BA126" t="str">
        <f>IF($A126="","", INDEX(CS!$B$1:$B$12876,MATCH($A126,CS!$B:$B,0)+COLUMN(D$1),1))</f>
        <v/>
      </c>
      <c r="BB126" t="str">
        <f>IF($A126="","", INDEX(CS!$B$1:$B$12876,MATCH($A126,CS!$B:$B,0)+COLUMN(E$1),1))</f>
        <v/>
      </c>
      <c r="BC126" t="str">
        <f>IF($A126="","", INDEX(CS!$B$1:$B$12876,MATCH($A126,CS!$B:$B,0)+COLUMN(F$1),1))</f>
        <v/>
      </c>
      <c r="BD126" t="str">
        <f>IF($A126="","", INDEX(CS!$B$1:$B$12876,MATCH($A126,CS!$B:$B,0)+COLUMN(G$1),1))</f>
        <v/>
      </c>
      <c r="BE126" t="str">
        <f>IF($A126="","", INDEX(CS!$B$1:$B$12876,MATCH($A126,CS!$B:$B,0)+COLUMN(H$1),1))</f>
        <v/>
      </c>
      <c r="BF126" t="str">
        <f>IF($A126="","", INDEX(CS!$B$1:$B$12876,MATCH($A126,CS!$B:$B,0)+COLUMN(I$1),1))</f>
        <v/>
      </c>
      <c r="BG126" t="str">
        <f>IF($A126="","", INDEX(CS!$B$1:$B$12876,MATCH($A126,CS!$B:$B,0)+COLUMN(J$1),1))</f>
        <v/>
      </c>
    </row>
    <row r="127" spans="3:59" x14ac:dyDescent="0.4">
      <c r="C127" t="s">
        <v>193</v>
      </c>
      <c r="D127" t="str">
        <f t="shared" si="8"/>
        <v>0/0/0</v>
      </c>
      <c r="E127">
        <v>1</v>
      </c>
      <c r="AX127" t="str">
        <f>IF($A127="","", INDEX(CS!$B$1:$B$12876,MATCH($A127,CS!$B:$B,0)+COLUMN(A$1),1))</f>
        <v/>
      </c>
      <c r="AY127" t="str">
        <f>IF($A127="","", INDEX(CS!$B$1:$B$12876,MATCH($A127,CS!$B:$B,0)+COLUMN(B$1),1))</f>
        <v/>
      </c>
      <c r="AZ127" t="str">
        <f>IF($A127="","", INDEX(CS!$B$1:$B$12876,MATCH($A127,CS!$B:$B,0)+COLUMN(C$1),1))</f>
        <v/>
      </c>
      <c r="BA127" t="str">
        <f>IF($A127="","", INDEX(CS!$B$1:$B$12876,MATCH($A127,CS!$B:$B,0)+COLUMN(D$1),1))</f>
        <v/>
      </c>
      <c r="BB127" t="str">
        <f>IF($A127="","", INDEX(CS!$B$1:$B$12876,MATCH($A127,CS!$B:$B,0)+COLUMN(E$1),1))</f>
        <v/>
      </c>
      <c r="BC127" t="str">
        <f>IF($A127="","", INDEX(CS!$B$1:$B$12876,MATCH($A127,CS!$B:$B,0)+COLUMN(F$1),1))</f>
        <v/>
      </c>
      <c r="BD127" t="str">
        <f>IF($A127="","", INDEX(CS!$B$1:$B$12876,MATCH($A127,CS!$B:$B,0)+COLUMN(G$1),1))</f>
        <v/>
      </c>
      <c r="BE127" t="str">
        <f>IF($A127="","", INDEX(CS!$B$1:$B$12876,MATCH($A127,CS!$B:$B,0)+COLUMN(H$1),1))</f>
        <v/>
      </c>
      <c r="BF127" t="str">
        <f>IF($A127="","", INDEX(CS!$B$1:$B$12876,MATCH($A127,CS!$B:$B,0)+COLUMN(I$1),1))</f>
        <v/>
      </c>
      <c r="BG127" t="str">
        <f>IF($A127="","", INDEX(CS!$B$1:$B$12876,MATCH($A127,CS!$B:$B,0)+COLUMN(J$1),1))</f>
        <v/>
      </c>
    </row>
    <row r="128" spans="3:59" x14ac:dyDescent="0.4">
      <c r="C128" t="s">
        <v>193</v>
      </c>
      <c r="D128" t="str">
        <f t="shared" si="8"/>
        <v>0/0/0</v>
      </c>
      <c r="E128">
        <v>1</v>
      </c>
      <c r="AX128" t="str">
        <f>IF($A128="","", INDEX(CS!$B$1:$B$12876,MATCH($A128,CS!$B:$B,0)+COLUMN(A$1),1))</f>
        <v/>
      </c>
      <c r="AY128" t="str">
        <f>IF($A128="","", INDEX(CS!$B$1:$B$12876,MATCH($A128,CS!$B:$B,0)+COLUMN(B$1),1))</f>
        <v/>
      </c>
      <c r="AZ128" t="str">
        <f>IF($A128="","", INDEX(CS!$B$1:$B$12876,MATCH($A128,CS!$B:$B,0)+COLUMN(C$1),1))</f>
        <v/>
      </c>
      <c r="BA128" t="str">
        <f>IF($A128="","", INDEX(CS!$B$1:$B$12876,MATCH($A128,CS!$B:$B,0)+COLUMN(D$1),1))</f>
        <v/>
      </c>
      <c r="BB128" t="str">
        <f>IF($A128="","", INDEX(CS!$B$1:$B$12876,MATCH($A128,CS!$B:$B,0)+COLUMN(E$1),1))</f>
        <v/>
      </c>
      <c r="BC128" t="str">
        <f>IF($A128="","", INDEX(CS!$B$1:$B$12876,MATCH($A128,CS!$B:$B,0)+COLUMN(F$1),1))</f>
        <v/>
      </c>
      <c r="BD128" t="str">
        <f>IF($A128="","", INDEX(CS!$B$1:$B$12876,MATCH($A128,CS!$B:$B,0)+COLUMN(G$1),1))</f>
        <v/>
      </c>
      <c r="BE128" t="str">
        <f>IF($A128="","", INDEX(CS!$B$1:$B$12876,MATCH($A128,CS!$B:$B,0)+COLUMN(H$1),1))</f>
        <v/>
      </c>
      <c r="BF128" t="str">
        <f>IF($A128="","", INDEX(CS!$B$1:$B$12876,MATCH($A128,CS!$B:$B,0)+COLUMN(I$1),1))</f>
        <v/>
      </c>
      <c r="BG128" t="str">
        <f>IF($A128="","", INDEX(CS!$B$1:$B$12876,MATCH($A128,CS!$B:$B,0)+COLUMN(J$1),1))</f>
        <v/>
      </c>
    </row>
    <row r="129" spans="3:59" x14ac:dyDescent="0.4">
      <c r="C129" t="s">
        <v>193</v>
      </c>
      <c r="D129" t="str">
        <f t="shared" si="8"/>
        <v>0/0/0</v>
      </c>
      <c r="E129">
        <v>1</v>
      </c>
      <c r="AX129" t="str">
        <f>IF($A129="","", INDEX(CS!$B$1:$B$12876,MATCH($A129,CS!$B:$B,0)+COLUMN(A$1),1))</f>
        <v/>
      </c>
      <c r="AY129" t="str">
        <f>IF($A129="","", INDEX(CS!$B$1:$B$12876,MATCH($A129,CS!$B:$B,0)+COLUMN(B$1),1))</f>
        <v/>
      </c>
      <c r="AZ129" t="str">
        <f>IF($A129="","", INDEX(CS!$B$1:$B$12876,MATCH($A129,CS!$B:$B,0)+COLUMN(C$1),1))</f>
        <v/>
      </c>
      <c r="BA129" t="str">
        <f>IF($A129="","", INDEX(CS!$B$1:$B$12876,MATCH($A129,CS!$B:$B,0)+COLUMN(D$1),1))</f>
        <v/>
      </c>
      <c r="BB129" t="str">
        <f>IF($A129="","", INDEX(CS!$B$1:$B$12876,MATCH($A129,CS!$B:$B,0)+COLUMN(E$1),1))</f>
        <v/>
      </c>
      <c r="BC129" t="str">
        <f>IF($A129="","", INDEX(CS!$B$1:$B$12876,MATCH($A129,CS!$B:$B,0)+COLUMN(F$1),1))</f>
        <v/>
      </c>
      <c r="BD129" t="str">
        <f>IF($A129="","", INDEX(CS!$B$1:$B$12876,MATCH($A129,CS!$B:$B,0)+COLUMN(G$1),1))</f>
        <v/>
      </c>
      <c r="BE129" t="str">
        <f>IF($A129="","", INDEX(CS!$B$1:$B$12876,MATCH($A129,CS!$B:$B,0)+COLUMN(H$1),1))</f>
        <v/>
      </c>
      <c r="BF129" t="str">
        <f>IF($A129="","", INDEX(CS!$B$1:$B$12876,MATCH($A129,CS!$B:$B,0)+COLUMN(I$1),1))</f>
        <v/>
      </c>
      <c r="BG129" t="str">
        <f>IF($A129="","", INDEX(CS!$B$1:$B$12876,MATCH($A129,CS!$B:$B,0)+COLUMN(J$1),1))</f>
        <v/>
      </c>
    </row>
    <row r="130" spans="3:59" x14ac:dyDescent="0.4">
      <c r="C130" t="s">
        <v>193</v>
      </c>
      <c r="D130" t="str">
        <f t="shared" si="8"/>
        <v>0/0/0</v>
      </c>
      <c r="E130">
        <v>1</v>
      </c>
      <c r="AX130" t="str">
        <f>IF($A130="","", INDEX(CS!$B$1:$B$12876,MATCH($A130,CS!$B:$B,0)+COLUMN(A$1),1))</f>
        <v/>
      </c>
      <c r="AY130" t="str">
        <f>IF($A130="","", INDEX(CS!$B$1:$B$12876,MATCH($A130,CS!$B:$B,0)+COLUMN(B$1),1))</f>
        <v/>
      </c>
      <c r="AZ130" t="str">
        <f>IF($A130="","", INDEX(CS!$B$1:$B$12876,MATCH($A130,CS!$B:$B,0)+COLUMN(C$1),1))</f>
        <v/>
      </c>
      <c r="BA130" t="str">
        <f>IF($A130="","", INDEX(CS!$B$1:$B$12876,MATCH($A130,CS!$B:$B,0)+COLUMN(D$1),1))</f>
        <v/>
      </c>
      <c r="BB130" t="str">
        <f>IF($A130="","", INDEX(CS!$B$1:$B$12876,MATCH($A130,CS!$B:$B,0)+COLUMN(E$1),1))</f>
        <v/>
      </c>
      <c r="BC130" t="str">
        <f>IF($A130="","", INDEX(CS!$B$1:$B$12876,MATCH($A130,CS!$B:$B,0)+COLUMN(F$1),1))</f>
        <v/>
      </c>
      <c r="BD130" t="str">
        <f>IF($A130="","", INDEX(CS!$B$1:$B$12876,MATCH($A130,CS!$B:$B,0)+COLUMN(G$1),1))</f>
        <v/>
      </c>
      <c r="BE130" t="str">
        <f>IF($A130="","", INDEX(CS!$B$1:$B$12876,MATCH($A130,CS!$B:$B,0)+COLUMN(H$1),1))</f>
        <v/>
      </c>
      <c r="BF130" t="str">
        <f>IF($A130="","", INDEX(CS!$B$1:$B$12876,MATCH($A130,CS!$B:$B,0)+COLUMN(I$1),1))</f>
        <v/>
      </c>
      <c r="BG130" t="str">
        <f>IF($A130="","", INDEX(CS!$B$1:$B$12876,MATCH($A130,CS!$B:$B,0)+COLUMN(J$1),1))</f>
        <v/>
      </c>
    </row>
    <row r="131" spans="3:59" x14ac:dyDescent="0.4">
      <c r="C131" t="s">
        <v>193</v>
      </c>
      <c r="D131" t="str">
        <f t="shared" si="8"/>
        <v>0/0/0</v>
      </c>
      <c r="E131">
        <v>1</v>
      </c>
      <c r="AX131" t="str">
        <f>IF($A131="","", INDEX(CS!$B$1:$B$12876,MATCH($A131,CS!$B:$B,0)+COLUMN(A$1),1))</f>
        <v/>
      </c>
      <c r="AY131" t="str">
        <f>IF($A131="","", INDEX(CS!$B$1:$B$12876,MATCH($A131,CS!$B:$B,0)+COLUMN(B$1),1))</f>
        <v/>
      </c>
      <c r="AZ131" t="str">
        <f>IF($A131="","", INDEX(CS!$B$1:$B$12876,MATCH($A131,CS!$B:$B,0)+COLUMN(C$1),1))</f>
        <v/>
      </c>
      <c r="BA131" t="str">
        <f>IF($A131="","", INDEX(CS!$B$1:$B$12876,MATCH($A131,CS!$B:$B,0)+COLUMN(D$1),1))</f>
        <v/>
      </c>
      <c r="BB131" t="str">
        <f>IF($A131="","", INDEX(CS!$B$1:$B$12876,MATCH($A131,CS!$B:$B,0)+COLUMN(E$1),1))</f>
        <v/>
      </c>
      <c r="BC131" t="str">
        <f>IF($A131="","", INDEX(CS!$B$1:$B$12876,MATCH($A131,CS!$B:$B,0)+COLUMN(F$1),1))</f>
        <v/>
      </c>
      <c r="BD131" t="str">
        <f>IF($A131="","", INDEX(CS!$B$1:$B$12876,MATCH($A131,CS!$B:$B,0)+COLUMN(G$1),1))</f>
        <v/>
      </c>
      <c r="BE131" t="str">
        <f>IF($A131="","", INDEX(CS!$B$1:$B$12876,MATCH($A131,CS!$B:$B,0)+COLUMN(H$1),1))</f>
        <v/>
      </c>
      <c r="BF131" t="str">
        <f>IF($A131="","", INDEX(CS!$B$1:$B$12876,MATCH($A131,CS!$B:$B,0)+COLUMN(I$1),1))</f>
        <v/>
      </c>
      <c r="BG131" t="str">
        <f>IF($A131="","", INDEX(CS!$B$1:$B$12876,MATCH($A131,CS!$B:$B,0)+COLUMN(J$1),1))</f>
        <v/>
      </c>
    </row>
    <row r="132" spans="3:59" x14ac:dyDescent="0.4">
      <c r="C132" t="s">
        <v>193</v>
      </c>
      <c r="D132" t="str">
        <f t="shared" si="8"/>
        <v>0/0/0</v>
      </c>
      <c r="E132">
        <v>1</v>
      </c>
      <c r="AX132" t="str">
        <f>IF($A132="","", INDEX(CS!$B$1:$B$12876,MATCH($A132,CS!$B:$B,0)+COLUMN(A$1),1))</f>
        <v/>
      </c>
      <c r="AY132" t="str">
        <f>IF($A132="","", INDEX(CS!$B$1:$B$12876,MATCH($A132,CS!$B:$B,0)+COLUMN(B$1),1))</f>
        <v/>
      </c>
      <c r="AZ132" t="str">
        <f>IF($A132="","", INDEX(CS!$B$1:$B$12876,MATCH($A132,CS!$B:$B,0)+COLUMN(C$1),1))</f>
        <v/>
      </c>
      <c r="BA132" t="str">
        <f>IF($A132="","", INDEX(CS!$B$1:$B$12876,MATCH($A132,CS!$B:$B,0)+COLUMN(D$1),1))</f>
        <v/>
      </c>
      <c r="BB132" t="str">
        <f>IF($A132="","", INDEX(CS!$B$1:$B$12876,MATCH($A132,CS!$B:$B,0)+COLUMN(E$1),1))</f>
        <v/>
      </c>
      <c r="BC132" t="str">
        <f>IF($A132="","", INDEX(CS!$B$1:$B$12876,MATCH($A132,CS!$B:$B,0)+COLUMN(F$1),1))</f>
        <v/>
      </c>
      <c r="BD132" t="str">
        <f>IF($A132="","", INDEX(CS!$B$1:$B$12876,MATCH($A132,CS!$B:$B,0)+COLUMN(G$1),1))</f>
        <v/>
      </c>
      <c r="BE132" t="str">
        <f>IF($A132="","", INDEX(CS!$B$1:$B$12876,MATCH($A132,CS!$B:$B,0)+COLUMN(H$1),1))</f>
        <v/>
      </c>
      <c r="BF132" t="str">
        <f>IF($A132="","", INDEX(CS!$B$1:$B$12876,MATCH($A132,CS!$B:$B,0)+COLUMN(I$1),1))</f>
        <v/>
      </c>
      <c r="BG132" t="str">
        <f>IF($A132="","", INDEX(CS!$B$1:$B$12876,MATCH($A132,CS!$B:$B,0)+COLUMN(J$1),1))</f>
        <v/>
      </c>
    </row>
    <row r="133" spans="3:59" x14ac:dyDescent="0.4">
      <c r="C133" t="s">
        <v>193</v>
      </c>
      <c r="D133" t="str">
        <f t="shared" si="8"/>
        <v>0/0/0</v>
      </c>
      <c r="E133">
        <v>1</v>
      </c>
      <c r="AX133" t="str">
        <f>IF($A133="","", INDEX(CS!$B$1:$B$12876,MATCH($A133,CS!$B:$B,0)+COLUMN(A$1),1))</f>
        <v/>
      </c>
      <c r="AY133" t="str">
        <f>IF($A133="","", INDEX(CS!$B$1:$B$12876,MATCH($A133,CS!$B:$B,0)+COLUMN(B$1),1))</f>
        <v/>
      </c>
      <c r="AZ133" t="str">
        <f>IF($A133="","", INDEX(CS!$B$1:$B$12876,MATCH($A133,CS!$B:$B,0)+COLUMN(C$1),1))</f>
        <v/>
      </c>
      <c r="BA133" t="str">
        <f>IF($A133="","", INDEX(CS!$B$1:$B$12876,MATCH($A133,CS!$B:$B,0)+COLUMN(D$1),1))</f>
        <v/>
      </c>
      <c r="BB133" t="str">
        <f>IF($A133="","", INDEX(CS!$B$1:$B$12876,MATCH($A133,CS!$B:$B,0)+COLUMN(E$1),1))</f>
        <v/>
      </c>
      <c r="BC133" t="str">
        <f>IF($A133="","", INDEX(CS!$B$1:$B$12876,MATCH($A133,CS!$B:$B,0)+COLUMN(F$1),1))</f>
        <v/>
      </c>
      <c r="BD133" t="str">
        <f>IF($A133="","", INDEX(CS!$B$1:$B$12876,MATCH($A133,CS!$B:$B,0)+COLUMN(G$1),1))</f>
        <v/>
      </c>
      <c r="BE133" t="str">
        <f>IF($A133="","", INDEX(CS!$B$1:$B$12876,MATCH($A133,CS!$B:$B,0)+COLUMN(H$1),1))</f>
        <v/>
      </c>
      <c r="BF133" t="str">
        <f>IF($A133="","", INDEX(CS!$B$1:$B$12876,MATCH($A133,CS!$B:$B,0)+COLUMN(I$1),1))</f>
        <v/>
      </c>
      <c r="BG133" t="str">
        <f>IF($A133="","", INDEX(CS!$B$1:$B$12876,MATCH($A133,CS!$B:$B,0)+COLUMN(J$1),1))</f>
        <v/>
      </c>
    </row>
    <row r="134" spans="3:59" x14ac:dyDescent="0.4">
      <c r="C134" t="s">
        <v>193</v>
      </c>
      <c r="D134" t="str">
        <f t="shared" si="8"/>
        <v>0/0/0</v>
      </c>
      <c r="E134">
        <v>1</v>
      </c>
      <c r="AX134" t="str">
        <f>IF($A134="","", INDEX(CS!$B$1:$B$12876,MATCH($A134,CS!$B:$B,0)+COLUMN(A$1),1))</f>
        <v/>
      </c>
      <c r="AY134" t="str">
        <f>IF($A134="","", INDEX(CS!$B$1:$B$12876,MATCH($A134,CS!$B:$B,0)+COLUMN(B$1),1))</f>
        <v/>
      </c>
      <c r="AZ134" t="str">
        <f>IF($A134="","", INDEX(CS!$B$1:$B$12876,MATCH($A134,CS!$B:$B,0)+COLUMN(C$1),1))</f>
        <v/>
      </c>
      <c r="BA134" t="str">
        <f>IF($A134="","", INDEX(CS!$B$1:$B$12876,MATCH($A134,CS!$B:$B,0)+COLUMN(D$1),1))</f>
        <v/>
      </c>
      <c r="BB134" t="str">
        <f>IF($A134="","", INDEX(CS!$B$1:$B$12876,MATCH($A134,CS!$B:$B,0)+COLUMN(E$1),1))</f>
        <v/>
      </c>
      <c r="BC134" t="str">
        <f>IF($A134="","", INDEX(CS!$B$1:$B$12876,MATCH($A134,CS!$B:$B,0)+COLUMN(F$1),1))</f>
        <v/>
      </c>
      <c r="BD134" t="str">
        <f>IF($A134="","", INDEX(CS!$B$1:$B$12876,MATCH($A134,CS!$B:$B,0)+COLUMN(G$1),1))</f>
        <v/>
      </c>
      <c r="BE134" t="str">
        <f>IF($A134="","", INDEX(CS!$B$1:$B$12876,MATCH($A134,CS!$B:$B,0)+COLUMN(H$1),1))</f>
        <v/>
      </c>
      <c r="BF134" t="str">
        <f>IF($A134="","", INDEX(CS!$B$1:$B$12876,MATCH($A134,CS!$B:$B,0)+COLUMN(I$1),1))</f>
        <v/>
      </c>
      <c r="BG134" t="str">
        <f>IF($A134="","", INDEX(CS!$B$1:$B$12876,MATCH($A134,CS!$B:$B,0)+COLUMN(J$1),1))</f>
        <v/>
      </c>
    </row>
    <row r="135" spans="3:59" x14ac:dyDescent="0.4">
      <c r="C135" t="s">
        <v>193</v>
      </c>
      <c r="D135" t="str">
        <f t="shared" si="8"/>
        <v>0/0/0</v>
      </c>
      <c r="E135">
        <v>1</v>
      </c>
      <c r="AX135" t="str">
        <f>IF($A135="","", INDEX(CS!$B$1:$B$12876,MATCH($A135,CS!$B:$B,0)+COLUMN(A$1),1))</f>
        <v/>
      </c>
      <c r="AY135" t="str">
        <f>IF($A135="","", INDEX(CS!$B$1:$B$12876,MATCH($A135,CS!$B:$B,0)+COLUMN(B$1),1))</f>
        <v/>
      </c>
      <c r="AZ135" t="str">
        <f>IF($A135="","", INDEX(CS!$B$1:$B$12876,MATCH($A135,CS!$B:$B,0)+COLUMN(C$1),1))</f>
        <v/>
      </c>
      <c r="BA135" t="str">
        <f>IF($A135="","", INDEX(CS!$B$1:$B$12876,MATCH($A135,CS!$B:$B,0)+COLUMN(D$1),1))</f>
        <v/>
      </c>
      <c r="BB135" t="str">
        <f>IF($A135="","", INDEX(CS!$B$1:$B$12876,MATCH($A135,CS!$B:$B,0)+COLUMN(E$1),1))</f>
        <v/>
      </c>
      <c r="BC135" t="str">
        <f>IF($A135="","", INDEX(CS!$B$1:$B$12876,MATCH($A135,CS!$B:$B,0)+COLUMN(F$1),1))</f>
        <v/>
      </c>
      <c r="BD135" t="str">
        <f>IF($A135="","", INDEX(CS!$B$1:$B$12876,MATCH($A135,CS!$B:$B,0)+COLUMN(G$1),1))</f>
        <v/>
      </c>
      <c r="BE135" t="str">
        <f>IF($A135="","", INDEX(CS!$B$1:$B$12876,MATCH($A135,CS!$B:$B,0)+COLUMN(H$1),1))</f>
        <v/>
      </c>
      <c r="BF135" t="str">
        <f>IF($A135="","", INDEX(CS!$B$1:$B$12876,MATCH($A135,CS!$B:$B,0)+COLUMN(I$1),1))</f>
        <v/>
      </c>
      <c r="BG135" t="str">
        <f>IF($A135="","", INDEX(CS!$B$1:$B$12876,MATCH($A135,CS!$B:$B,0)+COLUMN(J$1),1))</f>
        <v/>
      </c>
    </row>
    <row r="136" spans="3:59" x14ac:dyDescent="0.4">
      <c r="C136" t="s">
        <v>193</v>
      </c>
      <c r="D136" t="str">
        <f t="shared" si="8"/>
        <v>0/0/0</v>
      </c>
      <c r="E136">
        <v>1</v>
      </c>
      <c r="AX136" t="str">
        <f>IF($A136="","", INDEX(CS!$B$1:$B$12876,MATCH($A136,CS!$B:$B,0)+COLUMN(A$1),1))</f>
        <v/>
      </c>
      <c r="AY136" t="str">
        <f>IF($A136="","", INDEX(CS!$B$1:$B$12876,MATCH($A136,CS!$B:$B,0)+COLUMN(B$1),1))</f>
        <v/>
      </c>
      <c r="AZ136" t="str">
        <f>IF($A136="","", INDEX(CS!$B$1:$B$12876,MATCH($A136,CS!$B:$B,0)+COLUMN(C$1),1))</f>
        <v/>
      </c>
      <c r="BA136" t="str">
        <f>IF($A136="","", INDEX(CS!$B$1:$B$12876,MATCH($A136,CS!$B:$B,0)+COLUMN(D$1),1))</f>
        <v/>
      </c>
      <c r="BB136" t="str">
        <f>IF($A136="","", INDEX(CS!$B$1:$B$12876,MATCH($A136,CS!$B:$B,0)+COLUMN(E$1),1))</f>
        <v/>
      </c>
      <c r="BC136" t="str">
        <f>IF($A136="","", INDEX(CS!$B$1:$B$12876,MATCH($A136,CS!$B:$B,0)+COLUMN(F$1),1))</f>
        <v/>
      </c>
      <c r="BD136" t="str">
        <f>IF($A136="","", INDEX(CS!$B$1:$B$12876,MATCH($A136,CS!$B:$B,0)+COLUMN(G$1),1))</f>
        <v/>
      </c>
      <c r="BE136" t="str">
        <f>IF($A136="","", INDEX(CS!$B$1:$B$12876,MATCH($A136,CS!$B:$B,0)+COLUMN(H$1),1))</f>
        <v/>
      </c>
      <c r="BF136" t="str">
        <f>IF($A136="","", INDEX(CS!$B$1:$B$12876,MATCH($A136,CS!$B:$B,0)+COLUMN(I$1),1))</f>
        <v/>
      </c>
      <c r="BG136" t="str">
        <f>IF($A136="","", INDEX(CS!$B$1:$B$12876,MATCH($A136,CS!$B:$B,0)+COLUMN(J$1),1))</f>
        <v/>
      </c>
    </row>
    <row r="137" spans="3:59" x14ac:dyDescent="0.4">
      <c r="C137" t="s">
        <v>193</v>
      </c>
      <c r="D137" t="str">
        <f t="shared" si="8"/>
        <v>0/0/0</v>
      </c>
      <c r="E137">
        <v>1</v>
      </c>
      <c r="AX137" t="str">
        <f>IF($A137="","", INDEX(CS!$B$1:$B$12876,MATCH($A137,CS!$B:$B,0)+COLUMN(A$1),1))</f>
        <v/>
      </c>
      <c r="AY137" t="str">
        <f>IF($A137="","", INDEX(CS!$B$1:$B$12876,MATCH($A137,CS!$B:$B,0)+COLUMN(B$1),1))</f>
        <v/>
      </c>
      <c r="AZ137" t="str">
        <f>IF($A137="","", INDEX(CS!$B$1:$B$12876,MATCH($A137,CS!$B:$B,0)+COLUMN(C$1),1))</f>
        <v/>
      </c>
      <c r="BA137" t="str">
        <f>IF($A137="","", INDEX(CS!$B$1:$B$12876,MATCH($A137,CS!$B:$B,0)+COLUMN(D$1),1))</f>
        <v/>
      </c>
      <c r="BB137" t="str">
        <f>IF($A137="","", INDEX(CS!$B$1:$B$12876,MATCH($A137,CS!$B:$B,0)+COLUMN(E$1),1))</f>
        <v/>
      </c>
      <c r="BC137" t="str">
        <f>IF($A137="","", INDEX(CS!$B$1:$B$12876,MATCH($A137,CS!$B:$B,0)+COLUMN(F$1),1))</f>
        <v/>
      </c>
      <c r="BD137" t="str">
        <f>IF($A137="","", INDEX(CS!$B$1:$B$12876,MATCH($A137,CS!$B:$B,0)+COLUMN(G$1),1))</f>
        <v/>
      </c>
      <c r="BE137" t="str">
        <f>IF($A137="","", INDEX(CS!$B$1:$B$12876,MATCH($A137,CS!$B:$B,0)+COLUMN(H$1),1))</f>
        <v/>
      </c>
      <c r="BF137" t="str">
        <f>IF($A137="","", INDEX(CS!$B$1:$B$12876,MATCH($A137,CS!$B:$B,0)+COLUMN(I$1),1))</f>
        <v/>
      </c>
      <c r="BG137" t="str">
        <f>IF($A137="","", INDEX(CS!$B$1:$B$12876,MATCH($A137,CS!$B:$B,0)+COLUMN(J$1),1))</f>
        <v/>
      </c>
    </row>
    <row r="138" spans="3:59" x14ac:dyDescent="0.4">
      <c r="C138" t="s">
        <v>193</v>
      </c>
      <c r="D138" t="str">
        <f t="shared" si="8"/>
        <v>0/0/0</v>
      </c>
      <c r="E138">
        <v>1</v>
      </c>
      <c r="AX138" t="str">
        <f>IF($A138="","", INDEX(CS!$B$1:$B$12876,MATCH($A138,CS!$B:$B,0)+COLUMN(A$1),1))</f>
        <v/>
      </c>
      <c r="AY138" t="str">
        <f>IF($A138="","", INDEX(CS!$B$1:$B$12876,MATCH($A138,CS!$B:$B,0)+COLUMN(B$1),1))</f>
        <v/>
      </c>
      <c r="AZ138" t="str">
        <f>IF($A138="","", INDEX(CS!$B$1:$B$12876,MATCH($A138,CS!$B:$B,0)+COLUMN(C$1),1))</f>
        <v/>
      </c>
      <c r="BA138" t="str">
        <f>IF($A138="","", INDEX(CS!$B$1:$B$12876,MATCH($A138,CS!$B:$B,0)+COLUMN(D$1),1))</f>
        <v/>
      </c>
      <c r="BB138" t="str">
        <f>IF($A138="","", INDEX(CS!$B$1:$B$12876,MATCH($A138,CS!$B:$B,0)+COLUMN(E$1),1))</f>
        <v/>
      </c>
      <c r="BC138" t="str">
        <f>IF($A138="","", INDEX(CS!$B$1:$B$12876,MATCH($A138,CS!$B:$B,0)+COLUMN(F$1),1))</f>
        <v/>
      </c>
      <c r="BD138" t="str">
        <f>IF($A138="","", INDEX(CS!$B$1:$B$12876,MATCH($A138,CS!$B:$B,0)+COLUMN(G$1),1))</f>
        <v/>
      </c>
      <c r="BE138" t="str">
        <f>IF($A138="","", INDEX(CS!$B$1:$B$12876,MATCH($A138,CS!$B:$B,0)+COLUMN(H$1),1))</f>
        <v/>
      </c>
      <c r="BF138" t="str">
        <f>IF($A138="","", INDEX(CS!$B$1:$B$12876,MATCH($A138,CS!$B:$B,0)+COLUMN(I$1),1))</f>
        <v/>
      </c>
      <c r="BG138" t="str">
        <f>IF($A138="","", INDEX(CS!$B$1:$B$12876,MATCH($A138,CS!$B:$B,0)+COLUMN(J$1),1))</f>
        <v/>
      </c>
    </row>
    <row r="139" spans="3:59" x14ac:dyDescent="0.4">
      <c r="C139" t="s">
        <v>193</v>
      </c>
      <c r="D139" t="str">
        <f t="shared" si="8"/>
        <v>0/0/0</v>
      </c>
      <c r="E139">
        <v>1</v>
      </c>
      <c r="AX139" t="str">
        <f>IF($A139="","", INDEX(CS!$B$1:$B$12876,MATCH($A139,CS!$B:$B,0)+COLUMN(A$1),1))</f>
        <v/>
      </c>
      <c r="AY139" t="str">
        <f>IF($A139="","", INDEX(CS!$B$1:$B$12876,MATCH($A139,CS!$B:$B,0)+COLUMN(B$1),1))</f>
        <v/>
      </c>
      <c r="AZ139" t="str">
        <f>IF($A139="","", INDEX(CS!$B$1:$B$12876,MATCH($A139,CS!$B:$B,0)+COLUMN(C$1),1))</f>
        <v/>
      </c>
      <c r="BA139" t="str">
        <f>IF($A139="","", INDEX(CS!$B$1:$B$12876,MATCH($A139,CS!$B:$B,0)+COLUMN(D$1),1))</f>
        <v/>
      </c>
      <c r="BB139" t="str">
        <f>IF($A139="","", INDEX(CS!$B$1:$B$12876,MATCH($A139,CS!$B:$B,0)+COLUMN(E$1),1))</f>
        <v/>
      </c>
      <c r="BC139" t="str">
        <f>IF($A139="","", INDEX(CS!$B$1:$B$12876,MATCH($A139,CS!$B:$B,0)+COLUMN(F$1),1))</f>
        <v/>
      </c>
      <c r="BD139" t="str">
        <f>IF($A139="","", INDEX(CS!$B$1:$B$12876,MATCH($A139,CS!$B:$B,0)+COLUMN(G$1),1))</f>
        <v/>
      </c>
      <c r="BE139" t="str">
        <f>IF($A139="","", INDEX(CS!$B$1:$B$12876,MATCH($A139,CS!$B:$B,0)+COLUMN(H$1),1))</f>
        <v/>
      </c>
      <c r="BF139" t="str">
        <f>IF($A139="","", INDEX(CS!$B$1:$B$12876,MATCH($A139,CS!$B:$B,0)+COLUMN(I$1),1))</f>
        <v/>
      </c>
      <c r="BG139" t="str">
        <f>IF($A139="","", INDEX(CS!$B$1:$B$12876,MATCH($A139,CS!$B:$B,0)+COLUMN(J$1),1))</f>
        <v/>
      </c>
    </row>
    <row r="140" spans="3:59" x14ac:dyDescent="0.4">
      <c r="C140" t="s">
        <v>193</v>
      </c>
      <c r="D140" t="str">
        <f t="shared" si="8"/>
        <v>0/0/0</v>
      </c>
      <c r="E140">
        <v>1</v>
      </c>
      <c r="AX140" t="str">
        <f>IF($A140="","", INDEX(CS!$B$1:$B$12876,MATCH($A140,CS!$B:$B,0)+COLUMN(A$1),1))</f>
        <v/>
      </c>
      <c r="AY140" t="str">
        <f>IF($A140="","", INDEX(CS!$B$1:$B$12876,MATCH($A140,CS!$B:$B,0)+COLUMN(B$1),1))</f>
        <v/>
      </c>
      <c r="AZ140" t="str">
        <f>IF($A140="","", INDEX(CS!$B$1:$B$12876,MATCH($A140,CS!$B:$B,0)+COLUMN(C$1),1))</f>
        <v/>
      </c>
      <c r="BA140" t="str">
        <f>IF($A140="","", INDEX(CS!$B$1:$B$12876,MATCH($A140,CS!$B:$B,0)+COLUMN(D$1),1))</f>
        <v/>
      </c>
      <c r="BB140" t="str">
        <f>IF($A140="","", INDEX(CS!$B$1:$B$12876,MATCH($A140,CS!$B:$B,0)+COLUMN(E$1),1))</f>
        <v/>
      </c>
      <c r="BC140" t="str">
        <f>IF($A140="","", INDEX(CS!$B$1:$B$12876,MATCH($A140,CS!$B:$B,0)+COLUMN(F$1),1))</f>
        <v/>
      </c>
      <c r="BD140" t="str">
        <f>IF($A140="","", INDEX(CS!$B$1:$B$12876,MATCH($A140,CS!$B:$B,0)+COLUMN(G$1),1))</f>
        <v/>
      </c>
      <c r="BE140" t="str">
        <f>IF($A140="","", INDEX(CS!$B$1:$B$12876,MATCH($A140,CS!$B:$B,0)+COLUMN(H$1),1))</f>
        <v/>
      </c>
      <c r="BF140" t="str">
        <f>IF($A140="","", INDEX(CS!$B$1:$B$12876,MATCH($A140,CS!$B:$B,0)+COLUMN(I$1),1))</f>
        <v/>
      </c>
      <c r="BG140" t="str">
        <f>IF($A140="","", INDEX(CS!$B$1:$B$12876,MATCH($A140,CS!$B:$B,0)+COLUMN(J$1),1))</f>
        <v/>
      </c>
    </row>
    <row r="141" spans="3:59" x14ac:dyDescent="0.4">
      <c r="C141" t="s">
        <v>193</v>
      </c>
      <c r="D141" t="str">
        <f t="shared" si="8"/>
        <v>0/0/0</v>
      </c>
      <c r="E141">
        <v>1</v>
      </c>
      <c r="AX141" t="str">
        <f>IF($A141="","", INDEX(CS!$B$1:$B$12876,MATCH($A141,CS!$B:$B,0)+COLUMN(A$1),1))</f>
        <v/>
      </c>
      <c r="AY141" t="str">
        <f>IF($A141="","", INDEX(CS!$B$1:$B$12876,MATCH($A141,CS!$B:$B,0)+COLUMN(B$1),1))</f>
        <v/>
      </c>
      <c r="AZ141" t="str">
        <f>IF($A141="","", INDEX(CS!$B$1:$B$12876,MATCH($A141,CS!$B:$B,0)+COLUMN(C$1),1))</f>
        <v/>
      </c>
      <c r="BA141" t="str">
        <f>IF($A141="","", INDEX(CS!$B$1:$B$12876,MATCH($A141,CS!$B:$B,0)+COLUMN(D$1),1))</f>
        <v/>
      </c>
      <c r="BB141" t="str">
        <f>IF($A141="","", INDEX(CS!$B$1:$B$12876,MATCH($A141,CS!$B:$B,0)+COLUMN(E$1),1))</f>
        <v/>
      </c>
      <c r="BC141" t="str">
        <f>IF($A141="","", INDEX(CS!$B$1:$B$12876,MATCH($A141,CS!$B:$B,0)+COLUMN(F$1),1))</f>
        <v/>
      </c>
      <c r="BD141" t="str">
        <f>IF($A141="","", INDEX(CS!$B$1:$B$12876,MATCH($A141,CS!$B:$B,0)+COLUMN(G$1),1))</f>
        <v/>
      </c>
      <c r="BE141" t="str">
        <f>IF($A141="","", INDEX(CS!$B$1:$B$12876,MATCH($A141,CS!$B:$B,0)+COLUMN(H$1),1))</f>
        <v/>
      </c>
      <c r="BF141" t="str">
        <f>IF($A141="","", INDEX(CS!$B$1:$B$12876,MATCH($A141,CS!$B:$B,0)+COLUMN(I$1),1))</f>
        <v/>
      </c>
      <c r="BG141" t="str">
        <f>IF($A141="","", INDEX(CS!$B$1:$B$12876,MATCH($A141,CS!$B:$B,0)+COLUMN(J$1),1))</f>
        <v/>
      </c>
    </row>
    <row r="142" spans="3:59" x14ac:dyDescent="0.4">
      <c r="C142" t="s">
        <v>193</v>
      </c>
      <c r="D142" t="str">
        <f t="shared" si="8"/>
        <v>0/0/0</v>
      </c>
      <c r="E142">
        <v>1</v>
      </c>
      <c r="AX142" t="str">
        <f>IF($A142="","", INDEX(CS!$B$1:$B$12876,MATCH($A142,CS!$B:$B,0)+COLUMN(A$1),1))</f>
        <v/>
      </c>
      <c r="AY142" t="str">
        <f>IF($A142="","", INDEX(CS!$B$1:$B$12876,MATCH($A142,CS!$B:$B,0)+COLUMN(B$1),1))</f>
        <v/>
      </c>
      <c r="AZ142" t="str">
        <f>IF($A142="","", INDEX(CS!$B$1:$B$12876,MATCH($A142,CS!$B:$B,0)+COLUMN(C$1),1))</f>
        <v/>
      </c>
      <c r="BA142" t="str">
        <f>IF($A142="","", INDEX(CS!$B$1:$B$12876,MATCH($A142,CS!$B:$B,0)+COLUMN(D$1),1))</f>
        <v/>
      </c>
      <c r="BB142" t="str">
        <f>IF($A142="","", INDEX(CS!$B$1:$B$12876,MATCH($A142,CS!$B:$B,0)+COLUMN(E$1),1))</f>
        <v/>
      </c>
      <c r="BC142" t="str">
        <f>IF($A142="","", INDEX(CS!$B$1:$B$12876,MATCH($A142,CS!$B:$B,0)+COLUMN(F$1),1))</f>
        <v/>
      </c>
      <c r="BD142" t="str">
        <f>IF($A142="","", INDEX(CS!$B$1:$B$12876,MATCH($A142,CS!$B:$B,0)+COLUMN(G$1),1))</f>
        <v/>
      </c>
      <c r="BE142" t="str">
        <f>IF($A142="","", INDEX(CS!$B$1:$B$12876,MATCH($A142,CS!$B:$B,0)+COLUMN(H$1),1))</f>
        <v/>
      </c>
      <c r="BF142" t="str">
        <f>IF($A142="","", INDEX(CS!$B$1:$B$12876,MATCH($A142,CS!$B:$B,0)+COLUMN(I$1),1))</f>
        <v/>
      </c>
      <c r="BG142" t="str">
        <f>IF($A142="","", INDEX(CS!$B$1:$B$12876,MATCH($A142,CS!$B:$B,0)+COLUMN(J$1),1))</f>
        <v/>
      </c>
    </row>
    <row r="143" spans="3:59" x14ac:dyDescent="0.4">
      <c r="C143" t="s">
        <v>193</v>
      </c>
      <c r="D143" t="str">
        <f t="shared" si="8"/>
        <v>0/0/0</v>
      </c>
      <c r="E143">
        <v>1</v>
      </c>
      <c r="AX143" t="str">
        <f>IF($A143="","", INDEX(CS!$B$1:$B$12876,MATCH($A143,CS!$B:$B,0)+COLUMN(A$1),1))</f>
        <v/>
      </c>
      <c r="AY143" t="str">
        <f>IF($A143="","", INDEX(CS!$B$1:$B$12876,MATCH($A143,CS!$B:$B,0)+COLUMN(B$1),1))</f>
        <v/>
      </c>
      <c r="AZ143" t="str">
        <f>IF($A143="","", INDEX(CS!$B$1:$B$12876,MATCH($A143,CS!$B:$B,0)+COLUMN(C$1),1))</f>
        <v/>
      </c>
      <c r="BA143" t="str">
        <f>IF($A143="","", INDEX(CS!$B$1:$B$12876,MATCH($A143,CS!$B:$B,0)+COLUMN(D$1),1))</f>
        <v/>
      </c>
      <c r="BB143" t="str">
        <f>IF($A143="","", INDEX(CS!$B$1:$B$12876,MATCH($A143,CS!$B:$B,0)+COLUMN(E$1),1))</f>
        <v/>
      </c>
      <c r="BC143" t="str">
        <f>IF($A143="","", INDEX(CS!$B$1:$B$12876,MATCH($A143,CS!$B:$B,0)+COLUMN(F$1),1))</f>
        <v/>
      </c>
      <c r="BD143" t="str">
        <f>IF($A143="","", INDEX(CS!$B$1:$B$12876,MATCH($A143,CS!$B:$B,0)+COLUMN(G$1),1))</f>
        <v/>
      </c>
      <c r="BE143" t="str">
        <f>IF($A143="","", INDEX(CS!$B$1:$B$12876,MATCH($A143,CS!$B:$B,0)+COLUMN(H$1),1))</f>
        <v/>
      </c>
      <c r="BF143" t="str">
        <f>IF($A143="","", INDEX(CS!$B$1:$B$12876,MATCH($A143,CS!$B:$B,0)+COLUMN(I$1),1))</f>
        <v/>
      </c>
      <c r="BG143" t="str">
        <f>IF($A143="","", INDEX(CS!$B$1:$B$12876,MATCH($A143,CS!$B:$B,0)+COLUMN(J$1),1))</f>
        <v/>
      </c>
    </row>
    <row r="144" spans="3:59" x14ac:dyDescent="0.4">
      <c r="C144" t="s">
        <v>193</v>
      </c>
      <c r="D144" t="str">
        <f t="shared" si="8"/>
        <v>0/0/0</v>
      </c>
      <c r="E144">
        <v>1</v>
      </c>
      <c r="AX144" t="str">
        <f>IF($A144="","", INDEX(CS!$B$1:$B$12876,MATCH($A144,CS!$B:$B,0)+COLUMN(A$1),1))</f>
        <v/>
      </c>
      <c r="AY144" t="str">
        <f>IF($A144="","", INDEX(CS!$B$1:$B$12876,MATCH($A144,CS!$B:$B,0)+COLUMN(B$1),1))</f>
        <v/>
      </c>
      <c r="AZ144" t="str">
        <f>IF($A144="","", INDEX(CS!$B$1:$B$12876,MATCH($A144,CS!$B:$B,0)+COLUMN(C$1),1))</f>
        <v/>
      </c>
      <c r="BA144" t="str">
        <f>IF($A144="","", INDEX(CS!$B$1:$B$12876,MATCH($A144,CS!$B:$B,0)+COLUMN(D$1),1))</f>
        <v/>
      </c>
      <c r="BB144" t="str">
        <f>IF($A144="","", INDEX(CS!$B$1:$B$12876,MATCH($A144,CS!$B:$B,0)+COLUMN(E$1),1))</f>
        <v/>
      </c>
      <c r="BC144" t="str">
        <f>IF($A144="","", INDEX(CS!$B$1:$B$12876,MATCH($A144,CS!$B:$B,0)+COLUMN(F$1),1))</f>
        <v/>
      </c>
      <c r="BD144" t="str">
        <f>IF($A144="","", INDEX(CS!$B$1:$B$12876,MATCH($A144,CS!$B:$B,0)+COLUMN(G$1),1))</f>
        <v/>
      </c>
      <c r="BE144" t="str">
        <f>IF($A144="","", INDEX(CS!$B$1:$B$12876,MATCH($A144,CS!$B:$B,0)+COLUMN(H$1),1))</f>
        <v/>
      </c>
      <c r="BF144" t="str">
        <f>IF($A144="","", INDEX(CS!$B$1:$B$12876,MATCH($A144,CS!$B:$B,0)+COLUMN(I$1),1))</f>
        <v/>
      </c>
      <c r="BG144" t="str">
        <f>IF($A144="","", INDEX(CS!$B$1:$B$12876,MATCH($A144,CS!$B:$B,0)+COLUMN(J$1),1))</f>
        <v/>
      </c>
    </row>
    <row r="145" spans="3:59" x14ac:dyDescent="0.4">
      <c r="C145" t="s">
        <v>193</v>
      </c>
      <c r="D145" t="str">
        <f t="shared" si="8"/>
        <v>0/0/0</v>
      </c>
      <c r="E145">
        <v>1</v>
      </c>
      <c r="AX145" t="str">
        <f>IF($A145="","", INDEX(CS!$B$1:$B$12876,MATCH($A145,CS!$B:$B,0)+COLUMN(A$1),1))</f>
        <v/>
      </c>
      <c r="AY145" t="str">
        <f>IF($A145="","", INDEX(CS!$B$1:$B$12876,MATCH($A145,CS!$B:$B,0)+COLUMN(B$1),1))</f>
        <v/>
      </c>
      <c r="AZ145" t="str">
        <f>IF($A145="","", INDEX(CS!$B$1:$B$12876,MATCH($A145,CS!$B:$B,0)+COLUMN(C$1),1))</f>
        <v/>
      </c>
      <c r="BA145" t="str">
        <f>IF($A145="","", INDEX(CS!$B$1:$B$12876,MATCH($A145,CS!$B:$B,0)+COLUMN(D$1),1))</f>
        <v/>
      </c>
      <c r="BB145" t="str">
        <f>IF($A145="","", INDEX(CS!$B$1:$B$12876,MATCH($A145,CS!$B:$B,0)+COLUMN(E$1),1))</f>
        <v/>
      </c>
      <c r="BC145" t="str">
        <f>IF($A145="","", INDEX(CS!$B$1:$B$12876,MATCH($A145,CS!$B:$B,0)+COLUMN(F$1),1))</f>
        <v/>
      </c>
      <c r="BD145" t="str">
        <f>IF($A145="","", INDEX(CS!$B$1:$B$12876,MATCH($A145,CS!$B:$B,0)+COLUMN(G$1),1))</f>
        <v/>
      </c>
      <c r="BE145" t="str">
        <f>IF($A145="","", INDEX(CS!$B$1:$B$12876,MATCH($A145,CS!$B:$B,0)+COLUMN(H$1),1))</f>
        <v/>
      </c>
      <c r="BF145" t="str">
        <f>IF($A145="","", INDEX(CS!$B$1:$B$12876,MATCH($A145,CS!$B:$B,0)+COLUMN(I$1),1))</f>
        <v/>
      </c>
      <c r="BG145" t="str">
        <f>IF($A145="","", INDEX(CS!$B$1:$B$12876,MATCH($A145,CS!$B:$B,0)+COLUMN(J$1),1))</f>
        <v/>
      </c>
    </row>
    <row r="146" spans="3:59" x14ac:dyDescent="0.4">
      <c r="C146" t="s">
        <v>193</v>
      </c>
      <c r="D146" t="str">
        <f t="shared" si="8"/>
        <v>0/0/0</v>
      </c>
      <c r="E146">
        <v>1</v>
      </c>
      <c r="AX146" t="str">
        <f>IF($A146="","", INDEX(CS!$B$1:$B$12876,MATCH($A146,CS!$B:$B,0)+COLUMN(A$1),1))</f>
        <v/>
      </c>
      <c r="AY146" t="str">
        <f>IF($A146="","", INDEX(CS!$B$1:$B$12876,MATCH($A146,CS!$B:$B,0)+COLUMN(B$1),1))</f>
        <v/>
      </c>
      <c r="AZ146" t="str">
        <f>IF($A146="","", INDEX(CS!$B$1:$B$12876,MATCH($A146,CS!$B:$B,0)+COLUMN(C$1),1))</f>
        <v/>
      </c>
      <c r="BA146" t="str">
        <f>IF($A146="","", INDEX(CS!$B$1:$B$12876,MATCH($A146,CS!$B:$B,0)+COLUMN(D$1),1))</f>
        <v/>
      </c>
      <c r="BB146" t="str">
        <f>IF($A146="","", INDEX(CS!$B$1:$B$12876,MATCH($A146,CS!$B:$B,0)+COLUMN(E$1),1))</f>
        <v/>
      </c>
      <c r="BC146" t="str">
        <f>IF($A146="","", INDEX(CS!$B$1:$B$12876,MATCH($A146,CS!$B:$B,0)+COLUMN(F$1),1))</f>
        <v/>
      </c>
      <c r="BD146" t="str">
        <f>IF($A146="","", INDEX(CS!$B$1:$B$12876,MATCH($A146,CS!$B:$B,0)+COLUMN(G$1),1))</f>
        <v/>
      </c>
      <c r="BE146" t="str">
        <f>IF($A146="","", INDEX(CS!$B$1:$B$12876,MATCH($A146,CS!$B:$B,0)+COLUMN(H$1),1))</f>
        <v/>
      </c>
      <c r="BF146" t="str">
        <f>IF($A146="","", INDEX(CS!$B$1:$B$12876,MATCH($A146,CS!$B:$B,0)+COLUMN(I$1),1))</f>
        <v/>
      </c>
      <c r="BG146" t="str">
        <f>IF($A146="","", INDEX(CS!$B$1:$B$12876,MATCH($A146,CS!$B:$B,0)+COLUMN(J$1),1))</f>
        <v/>
      </c>
    </row>
    <row r="147" spans="3:59" x14ac:dyDescent="0.4">
      <c r="C147" t="s">
        <v>193</v>
      </c>
      <c r="D147" t="str">
        <f t="shared" si="8"/>
        <v>0/0/0</v>
      </c>
      <c r="E147">
        <v>1</v>
      </c>
      <c r="AX147" t="str">
        <f>IF($A147="","", INDEX(CS!$B$1:$B$12876,MATCH($A147,CS!$B:$B,0)+COLUMN(A$1),1))</f>
        <v/>
      </c>
      <c r="AY147" t="str">
        <f>IF($A147="","", INDEX(CS!$B$1:$B$12876,MATCH($A147,CS!$B:$B,0)+COLUMN(B$1),1))</f>
        <v/>
      </c>
      <c r="AZ147" t="str">
        <f>IF($A147="","", INDEX(CS!$B$1:$B$12876,MATCH($A147,CS!$B:$B,0)+COLUMN(C$1),1))</f>
        <v/>
      </c>
      <c r="BA147" t="str">
        <f>IF($A147="","", INDEX(CS!$B$1:$B$12876,MATCH($A147,CS!$B:$B,0)+COLUMN(D$1),1))</f>
        <v/>
      </c>
      <c r="BB147" t="str">
        <f>IF($A147="","", INDEX(CS!$B$1:$B$12876,MATCH($A147,CS!$B:$B,0)+COLUMN(E$1),1))</f>
        <v/>
      </c>
      <c r="BC147" t="str">
        <f>IF($A147="","", INDEX(CS!$B$1:$B$12876,MATCH($A147,CS!$B:$B,0)+COLUMN(F$1),1))</f>
        <v/>
      </c>
      <c r="BD147" t="str">
        <f>IF($A147="","", INDEX(CS!$B$1:$B$12876,MATCH($A147,CS!$B:$B,0)+COLUMN(G$1),1))</f>
        <v/>
      </c>
      <c r="BE147" t="str">
        <f>IF($A147="","", INDEX(CS!$B$1:$B$12876,MATCH($A147,CS!$B:$B,0)+COLUMN(H$1),1))</f>
        <v/>
      </c>
      <c r="BF147" t="str">
        <f>IF($A147="","", INDEX(CS!$B$1:$B$12876,MATCH($A147,CS!$B:$B,0)+COLUMN(I$1),1))</f>
        <v/>
      </c>
      <c r="BG147" t="str">
        <f>IF($A147="","", INDEX(CS!$B$1:$B$12876,MATCH($A147,CS!$B:$B,0)+COLUMN(J$1),1))</f>
        <v/>
      </c>
    </row>
    <row r="148" spans="3:59" x14ac:dyDescent="0.4">
      <c r="C148" t="s">
        <v>193</v>
      </c>
      <c r="D148" t="str">
        <f t="shared" si="8"/>
        <v>0/0/0</v>
      </c>
      <c r="E148">
        <v>1</v>
      </c>
      <c r="AX148" t="str">
        <f>IF($A148="","", INDEX(CS!$B$1:$B$12876,MATCH($A148,CS!$B:$B,0)+COLUMN(A$1),1))</f>
        <v/>
      </c>
      <c r="AY148" t="str">
        <f>IF($A148="","", INDEX(CS!$B$1:$B$12876,MATCH($A148,CS!$B:$B,0)+COLUMN(B$1),1))</f>
        <v/>
      </c>
      <c r="AZ148" t="str">
        <f>IF($A148="","", INDEX(CS!$B$1:$B$12876,MATCH($A148,CS!$B:$B,0)+COLUMN(C$1),1))</f>
        <v/>
      </c>
      <c r="BA148" t="str">
        <f>IF($A148="","", INDEX(CS!$B$1:$B$12876,MATCH($A148,CS!$B:$B,0)+COLUMN(D$1),1))</f>
        <v/>
      </c>
      <c r="BB148" t="str">
        <f>IF($A148="","", INDEX(CS!$B$1:$B$12876,MATCH($A148,CS!$B:$B,0)+COLUMN(E$1),1))</f>
        <v/>
      </c>
      <c r="BC148" t="str">
        <f>IF($A148="","", INDEX(CS!$B$1:$B$12876,MATCH($A148,CS!$B:$B,0)+COLUMN(F$1),1))</f>
        <v/>
      </c>
      <c r="BD148" t="str">
        <f>IF($A148="","", INDEX(CS!$B$1:$B$12876,MATCH($A148,CS!$B:$B,0)+COLUMN(G$1),1))</f>
        <v/>
      </c>
      <c r="BE148" t="str">
        <f>IF($A148="","", INDEX(CS!$B$1:$B$12876,MATCH($A148,CS!$B:$B,0)+COLUMN(H$1),1))</f>
        <v/>
      </c>
      <c r="BF148" t="str">
        <f>IF($A148="","", INDEX(CS!$B$1:$B$12876,MATCH($A148,CS!$B:$B,0)+COLUMN(I$1),1))</f>
        <v/>
      </c>
      <c r="BG148" t="str">
        <f>IF($A148="","", INDEX(CS!$B$1:$B$12876,MATCH($A148,CS!$B:$B,0)+COLUMN(J$1),1))</f>
        <v/>
      </c>
    </row>
    <row r="149" spans="3:59" x14ac:dyDescent="0.4">
      <c r="C149" t="s">
        <v>193</v>
      </c>
      <c r="D149" t="str">
        <f t="shared" si="8"/>
        <v>0/0/0</v>
      </c>
      <c r="E149">
        <v>1</v>
      </c>
      <c r="AX149" t="str">
        <f>IF($A149="","", INDEX(CS!$B$1:$B$12876,MATCH($A149,CS!$B:$B,0)+COLUMN(A$1),1))</f>
        <v/>
      </c>
      <c r="AY149" t="str">
        <f>IF($A149="","", INDEX(CS!$B$1:$B$12876,MATCH($A149,CS!$B:$B,0)+COLUMN(B$1),1))</f>
        <v/>
      </c>
      <c r="AZ149" t="str">
        <f>IF($A149="","", INDEX(CS!$B$1:$B$12876,MATCH($A149,CS!$B:$B,0)+COLUMN(C$1),1))</f>
        <v/>
      </c>
      <c r="BA149" t="str">
        <f>IF($A149="","", INDEX(CS!$B$1:$B$12876,MATCH($A149,CS!$B:$B,0)+COLUMN(D$1),1))</f>
        <v/>
      </c>
      <c r="BB149" t="str">
        <f>IF($A149="","", INDEX(CS!$B$1:$B$12876,MATCH($A149,CS!$B:$B,0)+COLUMN(E$1),1))</f>
        <v/>
      </c>
      <c r="BC149" t="str">
        <f>IF($A149="","", INDEX(CS!$B$1:$B$12876,MATCH($A149,CS!$B:$B,0)+COLUMN(F$1),1))</f>
        <v/>
      </c>
      <c r="BD149" t="str">
        <f>IF($A149="","", INDEX(CS!$B$1:$B$12876,MATCH($A149,CS!$B:$B,0)+COLUMN(G$1),1))</f>
        <v/>
      </c>
      <c r="BE149" t="str">
        <f>IF($A149="","", INDEX(CS!$B$1:$B$12876,MATCH($A149,CS!$B:$B,0)+COLUMN(H$1),1))</f>
        <v/>
      </c>
      <c r="BF149" t="str">
        <f>IF($A149="","", INDEX(CS!$B$1:$B$12876,MATCH($A149,CS!$B:$B,0)+COLUMN(I$1),1))</f>
        <v/>
      </c>
      <c r="BG149" t="str">
        <f>IF($A149="","", INDEX(CS!$B$1:$B$12876,MATCH($A149,CS!$B:$B,0)+COLUMN(J$1),1))</f>
        <v/>
      </c>
    </row>
    <row r="150" spans="3:59" x14ac:dyDescent="0.4">
      <c r="C150" t="s">
        <v>193</v>
      </c>
      <c r="D150" t="str">
        <f t="shared" si="8"/>
        <v>0/0/0</v>
      </c>
      <c r="E150">
        <v>1</v>
      </c>
      <c r="AX150" t="str">
        <f>IF($A150="","", INDEX(CS!$B$1:$B$12876,MATCH($A150,CS!$B:$B,0)+COLUMN(A$1),1))</f>
        <v/>
      </c>
      <c r="AY150" t="str">
        <f>IF($A150="","", INDEX(CS!$B$1:$B$12876,MATCH($A150,CS!$B:$B,0)+COLUMN(B$1),1))</f>
        <v/>
      </c>
      <c r="AZ150" t="str">
        <f>IF($A150="","", INDEX(CS!$B$1:$B$12876,MATCH($A150,CS!$B:$B,0)+COLUMN(C$1),1))</f>
        <v/>
      </c>
      <c r="BA150" t="str">
        <f>IF($A150="","", INDEX(CS!$B$1:$B$12876,MATCH($A150,CS!$B:$B,0)+COLUMN(D$1),1))</f>
        <v/>
      </c>
      <c r="BB150" t="str">
        <f>IF($A150="","", INDEX(CS!$B$1:$B$12876,MATCH($A150,CS!$B:$B,0)+COLUMN(E$1),1))</f>
        <v/>
      </c>
      <c r="BC150" t="str">
        <f>IF($A150="","", INDEX(CS!$B$1:$B$12876,MATCH($A150,CS!$B:$B,0)+COLUMN(F$1),1))</f>
        <v/>
      </c>
      <c r="BD150" t="str">
        <f>IF($A150="","", INDEX(CS!$B$1:$B$12876,MATCH($A150,CS!$B:$B,0)+COLUMN(G$1),1))</f>
        <v/>
      </c>
      <c r="BE150" t="str">
        <f>IF($A150="","", INDEX(CS!$B$1:$B$12876,MATCH($A150,CS!$B:$B,0)+COLUMN(H$1),1))</f>
        <v/>
      </c>
      <c r="BF150" t="str">
        <f>IF($A150="","", INDEX(CS!$B$1:$B$12876,MATCH($A150,CS!$B:$B,0)+COLUMN(I$1),1))</f>
        <v/>
      </c>
      <c r="BG150" t="str">
        <f>IF($A150="","", INDEX(CS!$B$1:$B$12876,MATCH($A150,CS!$B:$B,0)+COLUMN(J$1),1))</f>
        <v/>
      </c>
    </row>
    <row r="151" spans="3:59" x14ac:dyDescent="0.4">
      <c r="C151" t="s">
        <v>193</v>
      </c>
      <c r="D151" t="str">
        <f t="shared" si="8"/>
        <v>0/0/0</v>
      </c>
      <c r="E151">
        <v>1</v>
      </c>
      <c r="AX151" t="str">
        <f>IF($A151="","", INDEX(CS!$B$1:$B$12876,MATCH($A151,CS!$B:$B,0)+COLUMN(A$1),1))</f>
        <v/>
      </c>
      <c r="AY151" t="str">
        <f>IF($A151="","", INDEX(CS!$B$1:$B$12876,MATCH($A151,CS!$B:$B,0)+COLUMN(B$1),1))</f>
        <v/>
      </c>
      <c r="AZ151" t="str">
        <f>IF($A151="","", INDEX(CS!$B$1:$B$12876,MATCH($A151,CS!$B:$B,0)+COLUMN(C$1),1))</f>
        <v/>
      </c>
      <c r="BA151" t="str">
        <f>IF($A151="","", INDEX(CS!$B$1:$B$12876,MATCH($A151,CS!$B:$B,0)+COLUMN(D$1),1))</f>
        <v/>
      </c>
      <c r="BB151" t="str">
        <f>IF($A151="","", INDEX(CS!$B$1:$B$12876,MATCH($A151,CS!$B:$B,0)+COLUMN(E$1),1))</f>
        <v/>
      </c>
      <c r="BC151" t="str">
        <f>IF($A151="","", INDEX(CS!$B$1:$B$12876,MATCH($A151,CS!$B:$B,0)+COLUMN(F$1),1))</f>
        <v/>
      </c>
      <c r="BD151" t="str">
        <f>IF($A151="","", INDEX(CS!$B$1:$B$12876,MATCH($A151,CS!$B:$B,0)+COLUMN(G$1),1))</f>
        <v/>
      </c>
      <c r="BE151" t="str">
        <f>IF($A151="","", INDEX(CS!$B$1:$B$12876,MATCH($A151,CS!$B:$B,0)+COLUMN(H$1),1))</f>
        <v/>
      </c>
      <c r="BF151" t="str">
        <f>IF($A151="","", INDEX(CS!$B$1:$B$12876,MATCH($A151,CS!$B:$B,0)+COLUMN(I$1),1))</f>
        <v/>
      </c>
      <c r="BG151" t="str">
        <f>IF($A151="","", INDEX(CS!$B$1:$B$12876,MATCH($A151,CS!$B:$B,0)+COLUMN(J$1),1))</f>
        <v/>
      </c>
    </row>
    <row r="152" spans="3:59" x14ac:dyDescent="0.4">
      <c r="C152" t="s">
        <v>193</v>
      </c>
      <c r="D152" t="str">
        <f t="shared" si="8"/>
        <v>0/0/0</v>
      </c>
      <c r="E152">
        <v>1</v>
      </c>
      <c r="AX152" t="str">
        <f>IF($A152="","", INDEX(CS!$B$1:$B$12876,MATCH($A152,CS!$B:$B,0)+COLUMN(A$1),1))</f>
        <v/>
      </c>
      <c r="AY152" t="str">
        <f>IF($A152="","", INDEX(CS!$B$1:$B$12876,MATCH($A152,CS!$B:$B,0)+COLUMN(B$1),1))</f>
        <v/>
      </c>
      <c r="AZ152" t="str">
        <f>IF($A152="","", INDEX(CS!$B$1:$B$12876,MATCH($A152,CS!$B:$B,0)+COLUMN(C$1),1))</f>
        <v/>
      </c>
      <c r="BA152" t="str">
        <f>IF($A152="","", INDEX(CS!$B$1:$B$12876,MATCH($A152,CS!$B:$B,0)+COLUMN(D$1),1))</f>
        <v/>
      </c>
      <c r="BB152" t="str">
        <f>IF($A152="","", INDEX(CS!$B$1:$B$12876,MATCH($A152,CS!$B:$B,0)+COLUMN(E$1),1))</f>
        <v/>
      </c>
      <c r="BC152" t="str">
        <f>IF($A152="","", INDEX(CS!$B$1:$B$12876,MATCH($A152,CS!$B:$B,0)+COLUMN(F$1),1))</f>
        <v/>
      </c>
      <c r="BD152" t="str">
        <f>IF($A152="","", INDEX(CS!$B$1:$B$12876,MATCH($A152,CS!$B:$B,0)+COLUMN(G$1),1))</f>
        <v/>
      </c>
      <c r="BE152" t="str">
        <f>IF($A152="","", INDEX(CS!$B$1:$B$12876,MATCH($A152,CS!$B:$B,0)+COLUMN(H$1),1))</f>
        <v/>
      </c>
      <c r="BF152" t="str">
        <f>IF($A152="","", INDEX(CS!$B$1:$B$12876,MATCH($A152,CS!$B:$B,0)+COLUMN(I$1),1))</f>
        <v/>
      </c>
      <c r="BG152" t="str">
        <f>IF($A152="","", INDEX(CS!$B$1:$B$12876,MATCH($A152,CS!$B:$B,0)+COLUMN(J$1),1))</f>
        <v/>
      </c>
    </row>
    <row r="153" spans="3:59" x14ac:dyDescent="0.4">
      <c r="C153" t="s">
        <v>193</v>
      </c>
      <c r="D153" t="str">
        <f t="shared" si="8"/>
        <v>0/0/0</v>
      </c>
      <c r="E153">
        <v>1</v>
      </c>
      <c r="AX153" t="str">
        <f>IF($A153="","", INDEX(CS!$B$1:$B$12876,MATCH($A153,CS!$B:$B,0)+COLUMN(A$1),1))</f>
        <v/>
      </c>
      <c r="AY153" t="str">
        <f>IF($A153="","", INDEX(CS!$B$1:$B$12876,MATCH($A153,CS!$B:$B,0)+COLUMN(B$1),1))</f>
        <v/>
      </c>
      <c r="AZ153" t="str">
        <f>IF($A153="","", INDEX(CS!$B$1:$B$12876,MATCH($A153,CS!$B:$B,0)+COLUMN(C$1),1))</f>
        <v/>
      </c>
      <c r="BA153" t="str">
        <f>IF($A153="","", INDEX(CS!$B$1:$B$12876,MATCH($A153,CS!$B:$B,0)+COLUMN(D$1),1))</f>
        <v/>
      </c>
      <c r="BB153" t="str">
        <f>IF($A153="","", INDEX(CS!$B$1:$B$12876,MATCH($A153,CS!$B:$B,0)+COLUMN(E$1),1))</f>
        <v/>
      </c>
      <c r="BC153" t="str">
        <f>IF($A153="","", INDEX(CS!$B$1:$B$12876,MATCH($A153,CS!$B:$B,0)+COLUMN(F$1),1))</f>
        <v/>
      </c>
      <c r="BD153" t="str">
        <f>IF($A153="","", INDEX(CS!$B$1:$B$12876,MATCH($A153,CS!$B:$B,0)+COLUMN(G$1),1))</f>
        <v/>
      </c>
      <c r="BE153" t="str">
        <f>IF($A153="","", INDEX(CS!$B$1:$B$12876,MATCH($A153,CS!$B:$B,0)+COLUMN(H$1),1))</f>
        <v/>
      </c>
      <c r="BF153" t="str">
        <f>IF($A153="","", INDEX(CS!$B$1:$B$12876,MATCH($A153,CS!$B:$B,0)+COLUMN(I$1),1))</f>
        <v/>
      </c>
      <c r="BG153" t="str">
        <f>IF($A153="","", INDEX(CS!$B$1:$B$12876,MATCH($A153,CS!$B:$B,0)+COLUMN(J$1),1))</f>
        <v/>
      </c>
    </row>
    <row r="154" spans="3:59" x14ac:dyDescent="0.4">
      <c r="C154" t="s">
        <v>193</v>
      </c>
      <c r="D154" t="str">
        <f t="shared" si="8"/>
        <v>0/0/0</v>
      </c>
      <c r="E154">
        <v>1</v>
      </c>
      <c r="AX154" t="str">
        <f>IF($A154="","", INDEX(CS!$B$1:$B$12876,MATCH($A154,CS!$B:$B,0)+COLUMN(A$1),1))</f>
        <v/>
      </c>
      <c r="AY154" t="str">
        <f>IF($A154="","", INDEX(CS!$B$1:$B$12876,MATCH($A154,CS!$B:$B,0)+COLUMN(B$1),1))</f>
        <v/>
      </c>
      <c r="AZ154" t="str">
        <f>IF($A154="","", INDEX(CS!$B$1:$B$12876,MATCH($A154,CS!$B:$B,0)+COLUMN(C$1),1))</f>
        <v/>
      </c>
      <c r="BA154" t="str">
        <f>IF($A154="","", INDEX(CS!$B$1:$B$12876,MATCH($A154,CS!$B:$B,0)+COLUMN(D$1),1))</f>
        <v/>
      </c>
      <c r="BB154" t="str">
        <f>IF($A154="","", INDEX(CS!$B$1:$B$12876,MATCH($A154,CS!$B:$B,0)+COLUMN(E$1),1))</f>
        <v/>
      </c>
      <c r="BC154" t="str">
        <f>IF($A154="","", INDEX(CS!$B$1:$B$12876,MATCH($A154,CS!$B:$B,0)+COLUMN(F$1),1))</f>
        <v/>
      </c>
      <c r="BD154" t="str">
        <f>IF($A154="","", INDEX(CS!$B$1:$B$12876,MATCH($A154,CS!$B:$B,0)+COLUMN(G$1),1))</f>
        <v/>
      </c>
      <c r="BE154" t="str">
        <f>IF($A154="","", INDEX(CS!$B$1:$B$12876,MATCH($A154,CS!$B:$B,0)+COLUMN(H$1),1))</f>
        <v/>
      </c>
      <c r="BF154" t="str">
        <f>IF($A154="","", INDEX(CS!$B$1:$B$12876,MATCH($A154,CS!$B:$B,0)+COLUMN(I$1),1))</f>
        <v/>
      </c>
      <c r="BG154" t="str">
        <f>IF($A154="","", INDEX(CS!$B$1:$B$12876,MATCH($A154,CS!$B:$B,0)+COLUMN(J$1),1))</f>
        <v/>
      </c>
    </row>
    <row r="155" spans="3:59" x14ac:dyDescent="0.4">
      <c r="C155" t="s">
        <v>193</v>
      </c>
      <c r="D155" t="str">
        <f t="shared" si="8"/>
        <v>0/0/0</v>
      </c>
      <c r="E155">
        <v>1</v>
      </c>
      <c r="AX155" t="str">
        <f>IF($A155="","", INDEX(CS!$B$1:$B$12876,MATCH($A155,CS!$B:$B,0)+COLUMN(A$1),1))</f>
        <v/>
      </c>
      <c r="AY155" t="str">
        <f>IF($A155="","", INDEX(CS!$B$1:$B$12876,MATCH($A155,CS!$B:$B,0)+COLUMN(B$1),1))</f>
        <v/>
      </c>
      <c r="AZ155" t="str">
        <f>IF($A155="","", INDEX(CS!$B$1:$B$12876,MATCH($A155,CS!$B:$B,0)+COLUMN(C$1),1))</f>
        <v/>
      </c>
      <c r="BA155" t="str">
        <f>IF($A155="","", INDEX(CS!$B$1:$B$12876,MATCH($A155,CS!$B:$B,0)+COLUMN(D$1),1))</f>
        <v/>
      </c>
      <c r="BB155" t="str">
        <f>IF($A155="","", INDEX(CS!$B$1:$B$12876,MATCH($A155,CS!$B:$B,0)+COLUMN(E$1),1))</f>
        <v/>
      </c>
      <c r="BC155" t="str">
        <f>IF($A155="","", INDEX(CS!$B$1:$B$12876,MATCH($A155,CS!$B:$B,0)+COLUMN(F$1),1))</f>
        <v/>
      </c>
      <c r="BD155" t="str">
        <f>IF($A155="","", INDEX(CS!$B$1:$B$12876,MATCH($A155,CS!$B:$B,0)+COLUMN(G$1),1))</f>
        <v/>
      </c>
      <c r="BE155" t="str">
        <f>IF($A155="","", INDEX(CS!$B$1:$B$12876,MATCH($A155,CS!$B:$B,0)+COLUMN(H$1),1))</f>
        <v/>
      </c>
      <c r="BF155" t="str">
        <f>IF($A155="","", INDEX(CS!$B$1:$B$12876,MATCH($A155,CS!$B:$B,0)+COLUMN(I$1),1))</f>
        <v/>
      </c>
      <c r="BG155" t="str">
        <f>IF($A155="","", INDEX(CS!$B$1:$B$12876,MATCH($A155,CS!$B:$B,0)+COLUMN(J$1),1))</f>
        <v/>
      </c>
    </row>
    <row r="156" spans="3:59" x14ac:dyDescent="0.4">
      <c r="C156" t="s">
        <v>193</v>
      </c>
      <c r="D156" t="str">
        <f t="shared" si="8"/>
        <v>0/0/0</v>
      </c>
      <c r="E156">
        <v>1</v>
      </c>
      <c r="AX156" t="str">
        <f>IF($A156="","", INDEX(CS!$B$1:$B$12876,MATCH($A156,CS!$B:$B,0)+COLUMN(A$1),1))</f>
        <v/>
      </c>
      <c r="AY156" t="str">
        <f>IF($A156="","", INDEX(CS!$B$1:$B$12876,MATCH($A156,CS!$B:$B,0)+COLUMN(B$1),1))</f>
        <v/>
      </c>
      <c r="AZ156" t="str">
        <f>IF($A156="","", INDEX(CS!$B$1:$B$12876,MATCH($A156,CS!$B:$B,0)+COLUMN(C$1),1))</f>
        <v/>
      </c>
      <c r="BA156" t="str">
        <f>IF($A156="","", INDEX(CS!$B$1:$B$12876,MATCH($A156,CS!$B:$B,0)+COLUMN(D$1),1))</f>
        <v/>
      </c>
      <c r="BB156" t="str">
        <f>IF($A156="","", INDEX(CS!$B$1:$B$12876,MATCH($A156,CS!$B:$B,0)+COLUMN(E$1),1))</f>
        <v/>
      </c>
      <c r="BC156" t="str">
        <f>IF($A156="","", INDEX(CS!$B$1:$B$12876,MATCH($A156,CS!$B:$B,0)+COLUMN(F$1),1))</f>
        <v/>
      </c>
      <c r="BD156" t="str">
        <f>IF($A156="","", INDEX(CS!$B$1:$B$12876,MATCH($A156,CS!$B:$B,0)+COLUMN(G$1),1))</f>
        <v/>
      </c>
      <c r="BE156" t="str">
        <f>IF($A156="","", INDEX(CS!$B$1:$B$12876,MATCH($A156,CS!$B:$B,0)+COLUMN(H$1),1))</f>
        <v/>
      </c>
      <c r="BF156" t="str">
        <f>IF($A156="","", INDEX(CS!$B$1:$B$12876,MATCH($A156,CS!$B:$B,0)+COLUMN(I$1),1))</f>
        <v/>
      </c>
      <c r="BG156" t="str">
        <f>IF($A156="","", INDEX(CS!$B$1:$B$12876,MATCH($A156,CS!$B:$B,0)+COLUMN(J$1),1))</f>
        <v/>
      </c>
    </row>
    <row r="157" spans="3:59" x14ac:dyDescent="0.4">
      <c r="C157" t="s">
        <v>193</v>
      </c>
      <c r="D157" t="str">
        <f t="shared" si="8"/>
        <v>0/0/0</v>
      </c>
      <c r="E157">
        <v>1</v>
      </c>
      <c r="AX157" t="str">
        <f>IF($A157="","", INDEX(CS!$B$1:$B$12876,MATCH($A157,CS!$B:$B,0)+COLUMN(A$1),1))</f>
        <v/>
      </c>
      <c r="AY157" t="str">
        <f>IF($A157="","", INDEX(CS!$B$1:$B$12876,MATCH($A157,CS!$B:$B,0)+COLUMN(B$1),1))</f>
        <v/>
      </c>
      <c r="AZ157" t="str">
        <f>IF($A157="","", INDEX(CS!$B$1:$B$12876,MATCH($A157,CS!$B:$B,0)+COLUMN(C$1),1))</f>
        <v/>
      </c>
      <c r="BA157" t="str">
        <f>IF($A157="","", INDEX(CS!$B$1:$B$12876,MATCH($A157,CS!$B:$B,0)+COLUMN(D$1),1))</f>
        <v/>
      </c>
      <c r="BB157" t="str">
        <f>IF($A157="","", INDEX(CS!$B$1:$B$12876,MATCH($A157,CS!$B:$B,0)+COLUMN(E$1),1))</f>
        <v/>
      </c>
      <c r="BC157" t="str">
        <f>IF($A157="","", INDEX(CS!$B$1:$B$12876,MATCH($A157,CS!$B:$B,0)+COLUMN(F$1),1))</f>
        <v/>
      </c>
      <c r="BD157" t="str">
        <f>IF($A157="","", INDEX(CS!$B$1:$B$12876,MATCH($A157,CS!$B:$B,0)+COLUMN(G$1),1))</f>
        <v/>
      </c>
      <c r="BE157" t="str">
        <f>IF($A157="","", INDEX(CS!$B$1:$B$12876,MATCH($A157,CS!$B:$B,0)+COLUMN(H$1),1))</f>
        <v/>
      </c>
      <c r="BF157" t="str">
        <f>IF($A157="","", INDEX(CS!$B$1:$B$12876,MATCH($A157,CS!$B:$B,0)+COLUMN(I$1),1))</f>
        <v/>
      </c>
      <c r="BG157" t="str">
        <f>IF($A157="","", INDEX(CS!$B$1:$B$12876,MATCH($A157,CS!$B:$B,0)+COLUMN(J$1),1))</f>
        <v/>
      </c>
    </row>
    <row r="158" spans="3:59" x14ac:dyDescent="0.4">
      <c r="C158" t="s">
        <v>193</v>
      </c>
      <c r="D158" t="str">
        <f t="shared" si="8"/>
        <v>0/0/0</v>
      </c>
      <c r="E158">
        <v>1</v>
      </c>
      <c r="AX158" t="str">
        <f>IF($A158="","", INDEX(CS!$B$1:$B$12876,MATCH($A158,CS!$B:$B,0)+COLUMN(A$1),1))</f>
        <v/>
      </c>
      <c r="AY158" t="str">
        <f>IF($A158="","", INDEX(CS!$B$1:$B$12876,MATCH($A158,CS!$B:$B,0)+COLUMN(B$1),1))</f>
        <v/>
      </c>
      <c r="AZ158" t="str">
        <f>IF($A158="","", INDEX(CS!$B$1:$B$12876,MATCH($A158,CS!$B:$B,0)+COLUMN(C$1),1))</f>
        <v/>
      </c>
      <c r="BA158" t="str">
        <f>IF($A158="","", INDEX(CS!$B$1:$B$12876,MATCH($A158,CS!$B:$B,0)+COLUMN(D$1),1))</f>
        <v/>
      </c>
      <c r="BB158" t="str">
        <f>IF($A158="","", INDEX(CS!$B$1:$B$12876,MATCH($A158,CS!$B:$B,0)+COLUMN(E$1),1))</f>
        <v/>
      </c>
      <c r="BC158" t="str">
        <f>IF($A158="","", INDEX(CS!$B$1:$B$12876,MATCH($A158,CS!$B:$B,0)+COLUMN(F$1),1))</f>
        <v/>
      </c>
      <c r="BD158" t="str">
        <f>IF($A158="","", INDEX(CS!$B$1:$B$12876,MATCH($A158,CS!$B:$B,0)+COLUMN(G$1),1))</f>
        <v/>
      </c>
      <c r="BE158" t="str">
        <f>IF($A158="","", INDEX(CS!$B$1:$B$12876,MATCH($A158,CS!$B:$B,0)+COLUMN(H$1),1))</f>
        <v/>
      </c>
      <c r="BF158" t="str">
        <f>IF($A158="","", INDEX(CS!$B$1:$B$12876,MATCH($A158,CS!$B:$B,0)+COLUMN(I$1),1))</f>
        <v/>
      </c>
      <c r="BG158" t="str">
        <f>IF($A158="","", INDEX(CS!$B$1:$B$12876,MATCH($A158,CS!$B:$B,0)+COLUMN(J$1),1))</f>
        <v/>
      </c>
    </row>
    <row r="159" spans="3:59" x14ac:dyDescent="0.4">
      <c r="C159" t="s">
        <v>193</v>
      </c>
      <c r="D159" t="str">
        <f t="shared" si="8"/>
        <v>0/0/0</v>
      </c>
      <c r="E159">
        <v>1</v>
      </c>
      <c r="AX159" t="str">
        <f>IF($A159="","", INDEX(CS!$B$1:$B$12876,MATCH($A159,CS!$B:$B,0)+COLUMN(A$1),1))</f>
        <v/>
      </c>
      <c r="AY159" t="str">
        <f>IF($A159="","", INDEX(CS!$B$1:$B$12876,MATCH($A159,CS!$B:$B,0)+COLUMN(B$1),1))</f>
        <v/>
      </c>
      <c r="AZ159" t="str">
        <f>IF($A159="","", INDEX(CS!$B$1:$B$12876,MATCH($A159,CS!$B:$B,0)+COLUMN(C$1),1))</f>
        <v/>
      </c>
      <c r="BA159" t="str">
        <f>IF($A159="","", INDEX(CS!$B$1:$B$12876,MATCH($A159,CS!$B:$B,0)+COLUMN(D$1),1))</f>
        <v/>
      </c>
      <c r="BB159" t="str">
        <f>IF($A159="","", INDEX(CS!$B$1:$B$12876,MATCH($A159,CS!$B:$B,0)+COLUMN(E$1),1))</f>
        <v/>
      </c>
      <c r="BC159" t="str">
        <f>IF($A159="","", INDEX(CS!$B$1:$B$12876,MATCH($A159,CS!$B:$B,0)+COLUMN(F$1),1))</f>
        <v/>
      </c>
      <c r="BD159" t="str">
        <f>IF($A159="","", INDEX(CS!$B$1:$B$12876,MATCH($A159,CS!$B:$B,0)+COLUMN(G$1),1))</f>
        <v/>
      </c>
      <c r="BE159" t="str">
        <f>IF($A159="","", INDEX(CS!$B$1:$B$12876,MATCH($A159,CS!$B:$B,0)+COLUMN(H$1),1))</f>
        <v/>
      </c>
      <c r="BF159" t="str">
        <f>IF($A159="","", INDEX(CS!$B$1:$B$12876,MATCH($A159,CS!$B:$B,0)+COLUMN(I$1),1))</f>
        <v/>
      </c>
      <c r="BG159" t="str">
        <f>IF($A159="","", INDEX(CS!$B$1:$B$12876,MATCH($A159,CS!$B:$B,0)+COLUMN(J$1),1))</f>
        <v/>
      </c>
    </row>
    <row r="160" spans="3:59" x14ac:dyDescent="0.4">
      <c r="C160" t="s">
        <v>193</v>
      </c>
      <c r="D160" t="str">
        <f t="shared" ref="D160:D219" si="9">SUM(AI160:AW160,F160:N160)&amp;"/"&amp;SUM(F160:N160)&amp;"/"&amp;SUM(AI160:AW160)</f>
        <v>0/0/0</v>
      </c>
      <c r="E160">
        <v>1</v>
      </c>
      <c r="AX160" t="str">
        <f>IF($A160="","", INDEX(CS!$B$1:$B$12876,MATCH($A160,CS!$B:$B,0)+COLUMN(A$1),1))</f>
        <v/>
      </c>
      <c r="AY160" t="str">
        <f>IF($A160="","", INDEX(CS!$B$1:$B$12876,MATCH($A160,CS!$B:$B,0)+COLUMN(B$1),1))</f>
        <v/>
      </c>
      <c r="AZ160" t="str">
        <f>IF($A160="","", INDEX(CS!$B$1:$B$12876,MATCH($A160,CS!$B:$B,0)+COLUMN(C$1),1))</f>
        <v/>
      </c>
      <c r="BA160" t="str">
        <f>IF($A160="","", INDEX(CS!$B$1:$B$12876,MATCH($A160,CS!$B:$B,0)+COLUMN(D$1),1))</f>
        <v/>
      </c>
      <c r="BB160" t="str">
        <f>IF($A160="","", INDEX(CS!$B$1:$B$12876,MATCH($A160,CS!$B:$B,0)+COLUMN(E$1),1))</f>
        <v/>
      </c>
      <c r="BC160" t="str">
        <f>IF($A160="","", INDEX(CS!$B$1:$B$12876,MATCH($A160,CS!$B:$B,0)+COLUMN(F$1),1))</f>
        <v/>
      </c>
      <c r="BD160" t="str">
        <f>IF($A160="","", INDEX(CS!$B$1:$B$12876,MATCH($A160,CS!$B:$B,0)+COLUMN(G$1),1))</f>
        <v/>
      </c>
      <c r="BE160" t="str">
        <f>IF($A160="","", INDEX(CS!$B$1:$B$12876,MATCH($A160,CS!$B:$B,0)+COLUMN(H$1),1))</f>
        <v/>
      </c>
      <c r="BF160" t="str">
        <f>IF($A160="","", INDEX(CS!$B$1:$B$12876,MATCH($A160,CS!$B:$B,0)+COLUMN(I$1),1))</f>
        <v/>
      </c>
      <c r="BG160" t="str">
        <f>IF($A160="","", INDEX(CS!$B$1:$B$12876,MATCH($A160,CS!$B:$B,0)+COLUMN(J$1),1))</f>
        <v/>
      </c>
    </row>
    <row r="161" spans="3:59" x14ac:dyDescent="0.4">
      <c r="C161" t="s">
        <v>193</v>
      </c>
      <c r="D161" t="str">
        <f t="shared" si="9"/>
        <v>0/0/0</v>
      </c>
      <c r="E161">
        <v>1</v>
      </c>
      <c r="AX161" t="str">
        <f>IF($A161="","", INDEX(CS!$B$1:$B$12876,MATCH($A161,CS!$B:$B,0)+COLUMN(A$1),1))</f>
        <v/>
      </c>
      <c r="AY161" t="str">
        <f>IF($A161="","", INDEX(CS!$B$1:$B$12876,MATCH($A161,CS!$B:$B,0)+COLUMN(B$1),1))</f>
        <v/>
      </c>
      <c r="AZ161" t="str">
        <f>IF($A161="","", INDEX(CS!$B$1:$B$12876,MATCH($A161,CS!$B:$B,0)+COLUMN(C$1),1))</f>
        <v/>
      </c>
      <c r="BA161" t="str">
        <f>IF($A161="","", INDEX(CS!$B$1:$B$12876,MATCH($A161,CS!$B:$B,0)+COLUMN(D$1),1))</f>
        <v/>
      </c>
      <c r="BB161" t="str">
        <f>IF($A161="","", INDEX(CS!$B$1:$B$12876,MATCH($A161,CS!$B:$B,0)+COLUMN(E$1),1))</f>
        <v/>
      </c>
      <c r="BC161" t="str">
        <f>IF($A161="","", INDEX(CS!$B$1:$B$12876,MATCH($A161,CS!$B:$B,0)+COLUMN(F$1),1))</f>
        <v/>
      </c>
      <c r="BD161" t="str">
        <f>IF($A161="","", INDEX(CS!$B$1:$B$12876,MATCH($A161,CS!$B:$B,0)+COLUMN(G$1),1))</f>
        <v/>
      </c>
      <c r="BE161" t="str">
        <f>IF($A161="","", INDEX(CS!$B$1:$B$12876,MATCH($A161,CS!$B:$B,0)+COLUMN(H$1),1))</f>
        <v/>
      </c>
      <c r="BF161" t="str">
        <f>IF($A161="","", INDEX(CS!$B$1:$B$12876,MATCH($A161,CS!$B:$B,0)+COLUMN(I$1),1))</f>
        <v/>
      </c>
      <c r="BG161" t="str">
        <f>IF($A161="","", INDEX(CS!$B$1:$B$12876,MATCH($A161,CS!$B:$B,0)+COLUMN(J$1),1))</f>
        <v/>
      </c>
    </row>
    <row r="162" spans="3:59" x14ac:dyDescent="0.4">
      <c r="C162" t="s">
        <v>193</v>
      </c>
      <c r="D162" t="str">
        <f t="shared" si="9"/>
        <v>0/0/0</v>
      </c>
      <c r="E162">
        <v>1</v>
      </c>
      <c r="AX162" t="str">
        <f>IF($A162="","", INDEX(CS!$B$1:$B$12876,MATCH($A162,CS!$B:$B,0)+COLUMN(A$1),1))</f>
        <v/>
      </c>
      <c r="AY162" t="str">
        <f>IF($A162="","", INDEX(CS!$B$1:$B$12876,MATCH($A162,CS!$B:$B,0)+COLUMN(B$1),1))</f>
        <v/>
      </c>
      <c r="AZ162" t="str">
        <f>IF($A162="","", INDEX(CS!$B$1:$B$12876,MATCH($A162,CS!$B:$B,0)+COLUMN(C$1),1))</f>
        <v/>
      </c>
      <c r="BA162" t="str">
        <f>IF($A162="","", INDEX(CS!$B$1:$B$12876,MATCH($A162,CS!$B:$B,0)+COLUMN(D$1),1))</f>
        <v/>
      </c>
      <c r="BB162" t="str">
        <f>IF($A162="","", INDEX(CS!$B$1:$B$12876,MATCH($A162,CS!$B:$B,0)+COLUMN(E$1),1))</f>
        <v/>
      </c>
      <c r="BC162" t="str">
        <f>IF($A162="","", INDEX(CS!$B$1:$B$12876,MATCH($A162,CS!$B:$B,0)+COLUMN(F$1),1))</f>
        <v/>
      </c>
      <c r="BD162" t="str">
        <f>IF($A162="","", INDEX(CS!$B$1:$B$12876,MATCH($A162,CS!$B:$B,0)+COLUMN(G$1),1))</f>
        <v/>
      </c>
      <c r="BE162" t="str">
        <f>IF($A162="","", INDEX(CS!$B$1:$B$12876,MATCH($A162,CS!$B:$B,0)+COLUMN(H$1),1))</f>
        <v/>
      </c>
      <c r="BF162" t="str">
        <f>IF($A162="","", INDEX(CS!$B$1:$B$12876,MATCH($A162,CS!$B:$B,0)+COLUMN(I$1),1))</f>
        <v/>
      </c>
      <c r="BG162" t="str">
        <f>IF($A162="","", INDEX(CS!$B$1:$B$12876,MATCH($A162,CS!$B:$B,0)+COLUMN(J$1),1))</f>
        <v/>
      </c>
    </row>
    <row r="163" spans="3:59" x14ac:dyDescent="0.4">
      <c r="C163" t="s">
        <v>193</v>
      </c>
      <c r="D163" t="str">
        <f t="shared" si="9"/>
        <v>0/0/0</v>
      </c>
      <c r="E163">
        <v>1</v>
      </c>
      <c r="AX163" t="str">
        <f>IF($A163="","", INDEX(CS!$B$1:$B$12876,MATCH($A163,CS!$B:$B,0)+COLUMN(A$1),1))</f>
        <v/>
      </c>
      <c r="AY163" t="str">
        <f>IF($A163="","", INDEX(CS!$B$1:$B$12876,MATCH($A163,CS!$B:$B,0)+COLUMN(B$1),1))</f>
        <v/>
      </c>
      <c r="AZ163" t="str">
        <f>IF($A163="","", INDEX(CS!$B$1:$B$12876,MATCH($A163,CS!$B:$B,0)+COLUMN(C$1),1))</f>
        <v/>
      </c>
      <c r="BA163" t="str">
        <f>IF($A163="","", INDEX(CS!$B$1:$B$12876,MATCH($A163,CS!$B:$B,0)+COLUMN(D$1),1))</f>
        <v/>
      </c>
      <c r="BB163" t="str">
        <f>IF($A163="","", INDEX(CS!$B$1:$B$12876,MATCH($A163,CS!$B:$B,0)+COLUMN(E$1),1))</f>
        <v/>
      </c>
      <c r="BC163" t="str">
        <f>IF($A163="","", INDEX(CS!$B$1:$B$12876,MATCH($A163,CS!$B:$B,0)+COLUMN(F$1),1))</f>
        <v/>
      </c>
      <c r="BD163" t="str">
        <f>IF($A163="","", INDEX(CS!$B$1:$B$12876,MATCH($A163,CS!$B:$B,0)+COLUMN(G$1),1))</f>
        <v/>
      </c>
      <c r="BE163" t="str">
        <f>IF($A163="","", INDEX(CS!$B$1:$B$12876,MATCH($A163,CS!$B:$B,0)+COLUMN(H$1),1))</f>
        <v/>
      </c>
      <c r="BF163" t="str">
        <f>IF($A163="","", INDEX(CS!$B$1:$B$12876,MATCH($A163,CS!$B:$B,0)+COLUMN(I$1),1))</f>
        <v/>
      </c>
      <c r="BG163" t="str">
        <f>IF($A163="","", INDEX(CS!$B$1:$B$12876,MATCH($A163,CS!$B:$B,0)+COLUMN(J$1),1))</f>
        <v/>
      </c>
    </row>
    <row r="164" spans="3:59" x14ac:dyDescent="0.4">
      <c r="C164" t="s">
        <v>193</v>
      </c>
      <c r="D164" t="str">
        <f t="shared" si="9"/>
        <v>0/0/0</v>
      </c>
      <c r="E164">
        <v>1</v>
      </c>
      <c r="AX164" t="str">
        <f>IF($A164="","", INDEX(CS!$B$1:$B$12876,MATCH($A164,CS!$B:$B,0)+COLUMN(A$1),1))</f>
        <v/>
      </c>
      <c r="AY164" t="str">
        <f>IF($A164="","", INDEX(CS!$B$1:$B$12876,MATCH($A164,CS!$B:$B,0)+COLUMN(B$1),1))</f>
        <v/>
      </c>
      <c r="AZ164" t="str">
        <f>IF($A164="","", INDEX(CS!$B$1:$B$12876,MATCH($A164,CS!$B:$B,0)+COLUMN(C$1),1))</f>
        <v/>
      </c>
      <c r="BA164" t="str">
        <f>IF($A164="","", INDEX(CS!$B$1:$B$12876,MATCH($A164,CS!$B:$B,0)+COLUMN(D$1),1))</f>
        <v/>
      </c>
      <c r="BB164" t="str">
        <f>IF($A164="","", INDEX(CS!$B$1:$B$12876,MATCH($A164,CS!$B:$B,0)+COLUMN(E$1),1))</f>
        <v/>
      </c>
      <c r="BC164" t="str">
        <f>IF($A164="","", INDEX(CS!$B$1:$B$12876,MATCH($A164,CS!$B:$B,0)+COLUMN(F$1),1))</f>
        <v/>
      </c>
      <c r="BD164" t="str">
        <f>IF($A164="","", INDEX(CS!$B$1:$B$12876,MATCH($A164,CS!$B:$B,0)+COLUMN(G$1),1))</f>
        <v/>
      </c>
      <c r="BE164" t="str">
        <f>IF($A164="","", INDEX(CS!$B$1:$B$12876,MATCH($A164,CS!$B:$B,0)+COLUMN(H$1),1))</f>
        <v/>
      </c>
      <c r="BF164" t="str">
        <f>IF($A164="","", INDEX(CS!$B$1:$B$12876,MATCH($A164,CS!$B:$B,0)+COLUMN(I$1),1))</f>
        <v/>
      </c>
      <c r="BG164" t="str">
        <f>IF($A164="","", INDEX(CS!$B$1:$B$12876,MATCH($A164,CS!$B:$B,0)+COLUMN(J$1),1))</f>
        <v/>
      </c>
    </row>
    <row r="165" spans="3:59" x14ac:dyDescent="0.4">
      <c r="C165" t="s">
        <v>193</v>
      </c>
      <c r="D165" t="str">
        <f t="shared" si="9"/>
        <v>0/0/0</v>
      </c>
      <c r="E165">
        <v>1</v>
      </c>
      <c r="AX165" t="str">
        <f>IF($A165="","", INDEX(CS!$B$1:$B$12876,MATCH($A165,CS!$B:$B,0)+COLUMN(A$1),1))</f>
        <v/>
      </c>
      <c r="AY165" t="str">
        <f>IF($A165="","", INDEX(CS!$B$1:$B$12876,MATCH($A165,CS!$B:$B,0)+COLUMN(B$1),1))</f>
        <v/>
      </c>
      <c r="AZ165" t="str">
        <f>IF($A165="","", INDEX(CS!$B$1:$B$12876,MATCH($A165,CS!$B:$B,0)+COLUMN(C$1),1))</f>
        <v/>
      </c>
      <c r="BA165" t="str">
        <f>IF($A165="","", INDEX(CS!$B$1:$B$12876,MATCH($A165,CS!$B:$B,0)+COLUMN(D$1),1))</f>
        <v/>
      </c>
      <c r="BB165" t="str">
        <f>IF($A165="","", INDEX(CS!$B$1:$B$12876,MATCH($A165,CS!$B:$B,0)+COLUMN(E$1),1))</f>
        <v/>
      </c>
      <c r="BC165" t="str">
        <f>IF($A165="","", INDEX(CS!$B$1:$B$12876,MATCH($A165,CS!$B:$B,0)+COLUMN(F$1),1))</f>
        <v/>
      </c>
      <c r="BD165" t="str">
        <f>IF($A165="","", INDEX(CS!$B$1:$B$12876,MATCH($A165,CS!$B:$B,0)+COLUMN(G$1),1))</f>
        <v/>
      </c>
      <c r="BE165" t="str">
        <f>IF($A165="","", INDEX(CS!$B$1:$B$12876,MATCH($A165,CS!$B:$B,0)+COLUMN(H$1),1))</f>
        <v/>
      </c>
      <c r="BF165" t="str">
        <f>IF($A165="","", INDEX(CS!$B$1:$B$12876,MATCH($A165,CS!$B:$B,0)+COLUMN(I$1),1))</f>
        <v/>
      </c>
      <c r="BG165" t="str">
        <f>IF($A165="","", INDEX(CS!$B$1:$B$12876,MATCH($A165,CS!$B:$B,0)+COLUMN(J$1),1))</f>
        <v/>
      </c>
    </row>
    <row r="166" spans="3:59" x14ac:dyDescent="0.4">
      <c r="C166" t="s">
        <v>193</v>
      </c>
      <c r="D166" t="str">
        <f t="shared" si="9"/>
        <v>0/0/0</v>
      </c>
      <c r="E166">
        <v>1</v>
      </c>
      <c r="AX166" t="str">
        <f>IF($A166="","", INDEX(CS!$B$1:$B$12876,MATCH($A166,CS!$B:$B,0)+COLUMN(A$1),1))</f>
        <v/>
      </c>
      <c r="AY166" t="str">
        <f>IF($A166="","", INDEX(CS!$B$1:$B$12876,MATCH($A166,CS!$B:$B,0)+COLUMN(B$1),1))</f>
        <v/>
      </c>
      <c r="AZ166" t="str">
        <f>IF($A166="","", INDEX(CS!$B$1:$B$12876,MATCH($A166,CS!$B:$B,0)+COLUMN(C$1),1))</f>
        <v/>
      </c>
      <c r="BA166" t="str">
        <f>IF($A166="","", INDEX(CS!$B$1:$B$12876,MATCH($A166,CS!$B:$B,0)+COLUMN(D$1),1))</f>
        <v/>
      </c>
      <c r="BB166" t="str">
        <f>IF($A166="","", INDEX(CS!$B$1:$B$12876,MATCH($A166,CS!$B:$B,0)+COLUMN(E$1),1))</f>
        <v/>
      </c>
      <c r="BC166" t="str">
        <f>IF($A166="","", INDEX(CS!$B$1:$B$12876,MATCH($A166,CS!$B:$B,0)+COLUMN(F$1),1))</f>
        <v/>
      </c>
      <c r="BD166" t="str">
        <f>IF($A166="","", INDEX(CS!$B$1:$B$12876,MATCH($A166,CS!$B:$B,0)+COLUMN(G$1),1))</f>
        <v/>
      </c>
      <c r="BE166" t="str">
        <f>IF($A166="","", INDEX(CS!$B$1:$B$12876,MATCH($A166,CS!$B:$B,0)+COLUMN(H$1),1))</f>
        <v/>
      </c>
      <c r="BF166" t="str">
        <f>IF($A166="","", INDEX(CS!$B$1:$B$12876,MATCH($A166,CS!$B:$B,0)+COLUMN(I$1),1))</f>
        <v/>
      </c>
      <c r="BG166" t="str">
        <f>IF($A166="","", INDEX(CS!$B$1:$B$12876,MATCH($A166,CS!$B:$B,0)+COLUMN(J$1),1))</f>
        <v/>
      </c>
    </row>
    <row r="167" spans="3:59" x14ac:dyDescent="0.4">
      <c r="C167" t="s">
        <v>193</v>
      </c>
      <c r="D167" t="str">
        <f t="shared" si="9"/>
        <v>0/0/0</v>
      </c>
      <c r="E167">
        <v>1</v>
      </c>
      <c r="AX167" t="str">
        <f>IF($A167="","", INDEX(CS!$B$1:$B$12876,MATCH($A167,CS!$B:$B,0)+COLUMN(A$1),1))</f>
        <v/>
      </c>
      <c r="AY167" t="str">
        <f>IF($A167="","", INDEX(CS!$B$1:$B$12876,MATCH($A167,CS!$B:$B,0)+COLUMN(B$1),1))</f>
        <v/>
      </c>
      <c r="AZ167" t="str">
        <f>IF($A167="","", INDEX(CS!$B$1:$B$12876,MATCH($A167,CS!$B:$B,0)+COLUMN(C$1),1))</f>
        <v/>
      </c>
      <c r="BA167" t="str">
        <f>IF($A167="","", INDEX(CS!$B$1:$B$12876,MATCH($A167,CS!$B:$B,0)+COLUMN(D$1),1))</f>
        <v/>
      </c>
      <c r="BB167" t="str">
        <f>IF($A167="","", INDEX(CS!$B$1:$B$12876,MATCH($A167,CS!$B:$B,0)+COLUMN(E$1),1))</f>
        <v/>
      </c>
      <c r="BC167" t="str">
        <f>IF($A167="","", INDEX(CS!$B$1:$B$12876,MATCH($A167,CS!$B:$B,0)+COLUMN(F$1),1))</f>
        <v/>
      </c>
      <c r="BD167" t="str">
        <f>IF($A167="","", INDEX(CS!$B$1:$B$12876,MATCH($A167,CS!$B:$B,0)+COLUMN(G$1),1))</f>
        <v/>
      </c>
      <c r="BE167" t="str">
        <f>IF($A167="","", INDEX(CS!$B$1:$B$12876,MATCH($A167,CS!$B:$B,0)+COLUMN(H$1),1))</f>
        <v/>
      </c>
      <c r="BF167" t="str">
        <f>IF($A167="","", INDEX(CS!$B$1:$B$12876,MATCH($A167,CS!$B:$B,0)+COLUMN(I$1),1))</f>
        <v/>
      </c>
      <c r="BG167" t="str">
        <f>IF($A167="","", INDEX(CS!$B$1:$B$12876,MATCH($A167,CS!$B:$B,0)+COLUMN(J$1),1))</f>
        <v/>
      </c>
    </row>
    <row r="168" spans="3:59" x14ac:dyDescent="0.4">
      <c r="C168" t="s">
        <v>193</v>
      </c>
      <c r="D168" t="str">
        <f t="shared" si="9"/>
        <v>0/0/0</v>
      </c>
      <c r="E168">
        <v>1</v>
      </c>
      <c r="AX168" t="str">
        <f>IF($A168="","", INDEX(CS!$B$1:$B$12876,MATCH($A168,CS!$B:$B,0)+COLUMN(A$1),1))</f>
        <v/>
      </c>
      <c r="AY168" t="str">
        <f>IF($A168="","", INDEX(CS!$B$1:$B$12876,MATCH($A168,CS!$B:$B,0)+COLUMN(B$1),1))</f>
        <v/>
      </c>
      <c r="AZ168" t="str">
        <f>IF($A168="","", INDEX(CS!$B$1:$B$12876,MATCH($A168,CS!$B:$B,0)+COLUMN(C$1),1))</f>
        <v/>
      </c>
      <c r="BA168" t="str">
        <f>IF($A168="","", INDEX(CS!$B$1:$B$12876,MATCH($A168,CS!$B:$B,0)+COLUMN(D$1),1))</f>
        <v/>
      </c>
      <c r="BB168" t="str">
        <f>IF($A168="","", INDEX(CS!$B$1:$B$12876,MATCH($A168,CS!$B:$B,0)+COLUMN(E$1),1))</f>
        <v/>
      </c>
      <c r="BC168" t="str">
        <f>IF($A168="","", INDEX(CS!$B$1:$B$12876,MATCH($A168,CS!$B:$B,0)+COLUMN(F$1),1))</f>
        <v/>
      </c>
      <c r="BD168" t="str">
        <f>IF($A168="","", INDEX(CS!$B$1:$B$12876,MATCH($A168,CS!$B:$B,0)+COLUMN(G$1),1))</f>
        <v/>
      </c>
      <c r="BE168" t="str">
        <f>IF($A168="","", INDEX(CS!$B$1:$B$12876,MATCH($A168,CS!$B:$B,0)+COLUMN(H$1),1))</f>
        <v/>
      </c>
      <c r="BF168" t="str">
        <f>IF($A168="","", INDEX(CS!$B$1:$B$12876,MATCH($A168,CS!$B:$B,0)+COLUMN(I$1),1))</f>
        <v/>
      </c>
      <c r="BG168" t="str">
        <f>IF($A168="","", INDEX(CS!$B$1:$B$12876,MATCH($A168,CS!$B:$B,0)+COLUMN(J$1),1))</f>
        <v/>
      </c>
    </row>
    <row r="169" spans="3:59" x14ac:dyDescent="0.4">
      <c r="C169" t="s">
        <v>193</v>
      </c>
      <c r="D169" t="str">
        <f t="shared" si="9"/>
        <v>0/0/0</v>
      </c>
      <c r="E169">
        <v>1</v>
      </c>
      <c r="AX169" t="str">
        <f>IF($A169="","", INDEX(CS!$B$1:$B$12876,MATCH($A169,CS!$B:$B,0)+COLUMN(A$1),1))</f>
        <v/>
      </c>
      <c r="AY169" t="str">
        <f>IF($A169="","", INDEX(CS!$B$1:$B$12876,MATCH($A169,CS!$B:$B,0)+COLUMN(B$1),1))</f>
        <v/>
      </c>
      <c r="AZ169" t="str">
        <f>IF($A169="","", INDEX(CS!$B$1:$B$12876,MATCH($A169,CS!$B:$B,0)+COLUMN(C$1),1))</f>
        <v/>
      </c>
      <c r="BA169" t="str">
        <f>IF($A169="","", INDEX(CS!$B$1:$B$12876,MATCH($A169,CS!$B:$B,0)+COLUMN(D$1),1))</f>
        <v/>
      </c>
      <c r="BB169" t="str">
        <f>IF($A169="","", INDEX(CS!$B$1:$B$12876,MATCH($A169,CS!$B:$B,0)+COLUMN(E$1),1))</f>
        <v/>
      </c>
      <c r="BC169" t="str">
        <f>IF($A169="","", INDEX(CS!$B$1:$B$12876,MATCH($A169,CS!$B:$B,0)+COLUMN(F$1),1))</f>
        <v/>
      </c>
      <c r="BD169" t="str">
        <f>IF($A169="","", INDEX(CS!$B$1:$B$12876,MATCH($A169,CS!$B:$B,0)+COLUMN(G$1),1))</f>
        <v/>
      </c>
      <c r="BE169" t="str">
        <f>IF($A169="","", INDEX(CS!$B$1:$B$12876,MATCH($A169,CS!$B:$B,0)+COLUMN(H$1),1))</f>
        <v/>
      </c>
      <c r="BF169" t="str">
        <f>IF($A169="","", INDEX(CS!$B$1:$B$12876,MATCH($A169,CS!$B:$B,0)+COLUMN(I$1),1))</f>
        <v/>
      </c>
      <c r="BG169" t="str">
        <f>IF($A169="","", INDEX(CS!$B$1:$B$12876,MATCH($A169,CS!$B:$B,0)+COLUMN(J$1),1))</f>
        <v/>
      </c>
    </row>
    <row r="170" spans="3:59" x14ac:dyDescent="0.4">
      <c r="C170" t="s">
        <v>193</v>
      </c>
      <c r="D170" t="str">
        <f t="shared" si="9"/>
        <v>0/0/0</v>
      </c>
      <c r="E170">
        <v>1</v>
      </c>
      <c r="AX170" t="str">
        <f>IF($A170="","", INDEX(CS!$B$1:$B$12876,MATCH($A170,CS!$B:$B,0)+COLUMN(A$1),1))</f>
        <v/>
      </c>
      <c r="AY170" t="str">
        <f>IF($A170="","", INDEX(CS!$B$1:$B$12876,MATCH($A170,CS!$B:$B,0)+COLUMN(B$1),1))</f>
        <v/>
      </c>
      <c r="AZ170" t="str">
        <f>IF($A170="","", INDEX(CS!$B$1:$B$12876,MATCH($A170,CS!$B:$B,0)+COLUMN(C$1),1))</f>
        <v/>
      </c>
      <c r="BA170" t="str">
        <f>IF($A170="","", INDEX(CS!$B$1:$B$12876,MATCH($A170,CS!$B:$B,0)+COLUMN(D$1),1))</f>
        <v/>
      </c>
      <c r="BB170" t="str">
        <f>IF($A170="","", INDEX(CS!$B$1:$B$12876,MATCH($A170,CS!$B:$B,0)+COLUMN(E$1),1))</f>
        <v/>
      </c>
      <c r="BC170" t="str">
        <f>IF($A170="","", INDEX(CS!$B$1:$B$12876,MATCH($A170,CS!$B:$B,0)+COLUMN(F$1),1))</f>
        <v/>
      </c>
      <c r="BD170" t="str">
        <f>IF($A170="","", INDEX(CS!$B$1:$B$12876,MATCH($A170,CS!$B:$B,0)+COLUMN(G$1),1))</f>
        <v/>
      </c>
      <c r="BE170" t="str">
        <f>IF($A170="","", INDEX(CS!$B$1:$B$12876,MATCH($A170,CS!$B:$B,0)+COLUMN(H$1),1))</f>
        <v/>
      </c>
      <c r="BF170" t="str">
        <f>IF($A170="","", INDEX(CS!$B$1:$B$12876,MATCH($A170,CS!$B:$B,0)+COLUMN(I$1),1))</f>
        <v/>
      </c>
      <c r="BG170" t="str">
        <f>IF($A170="","", INDEX(CS!$B$1:$B$12876,MATCH($A170,CS!$B:$B,0)+COLUMN(J$1),1))</f>
        <v/>
      </c>
    </row>
    <row r="171" spans="3:59" x14ac:dyDescent="0.4">
      <c r="C171" t="s">
        <v>193</v>
      </c>
      <c r="D171" t="str">
        <f t="shared" si="9"/>
        <v>0/0/0</v>
      </c>
      <c r="E171">
        <v>1</v>
      </c>
      <c r="AX171" t="str">
        <f>IF($A171="","", INDEX(CS!$B$1:$B$12876,MATCH($A171,CS!$B:$B,0)+COLUMN(A$1),1))</f>
        <v/>
      </c>
      <c r="AY171" t="str">
        <f>IF($A171="","", INDEX(CS!$B$1:$B$12876,MATCH($A171,CS!$B:$B,0)+COLUMN(B$1),1))</f>
        <v/>
      </c>
      <c r="AZ171" t="str">
        <f>IF($A171="","", INDEX(CS!$B$1:$B$12876,MATCH($A171,CS!$B:$B,0)+COLUMN(C$1),1))</f>
        <v/>
      </c>
      <c r="BA171" t="str">
        <f>IF($A171="","", INDEX(CS!$B$1:$B$12876,MATCH($A171,CS!$B:$B,0)+COLUMN(D$1),1))</f>
        <v/>
      </c>
      <c r="BB171" t="str">
        <f>IF($A171="","", INDEX(CS!$B$1:$B$12876,MATCH($A171,CS!$B:$B,0)+COLUMN(E$1),1))</f>
        <v/>
      </c>
      <c r="BC171" t="str">
        <f>IF($A171="","", INDEX(CS!$B$1:$B$12876,MATCH($A171,CS!$B:$B,0)+COLUMN(F$1),1))</f>
        <v/>
      </c>
      <c r="BD171" t="str">
        <f>IF($A171="","", INDEX(CS!$B$1:$B$12876,MATCH($A171,CS!$B:$B,0)+COLUMN(G$1),1))</f>
        <v/>
      </c>
      <c r="BE171" t="str">
        <f>IF($A171="","", INDEX(CS!$B$1:$B$12876,MATCH($A171,CS!$B:$B,0)+COLUMN(H$1),1))</f>
        <v/>
      </c>
      <c r="BF171" t="str">
        <f>IF($A171="","", INDEX(CS!$B$1:$B$12876,MATCH($A171,CS!$B:$B,0)+COLUMN(I$1),1))</f>
        <v/>
      </c>
      <c r="BG171" t="str">
        <f>IF($A171="","", INDEX(CS!$B$1:$B$12876,MATCH($A171,CS!$B:$B,0)+COLUMN(J$1),1))</f>
        <v/>
      </c>
    </row>
    <row r="172" spans="3:59" x14ac:dyDescent="0.4">
      <c r="C172" t="s">
        <v>193</v>
      </c>
      <c r="D172" t="str">
        <f t="shared" si="9"/>
        <v>0/0/0</v>
      </c>
      <c r="E172">
        <v>1</v>
      </c>
      <c r="AX172" t="str">
        <f>IF($A172="","", INDEX(CS!$B$1:$B$12876,MATCH($A172,CS!$B:$B,0)+COLUMN(A$1),1))</f>
        <v/>
      </c>
      <c r="AY172" t="str">
        <f>IF($A172="","", INDEX(CS!$B$1:$B$12876,MATCH($A172,CS!$B:$B,0)+COLUMN(B$1),1))</f>
        <v/>
      </c>
      <c r="AZ172" t="str">
        <f>IF($A172="","", INDEX(CS!$B$1:$B$12876,MATCH($A172,CS!$B:$B,0)+COLUMN(C$1),1))</f>
        <v/>
      </c>
      <c r="BA172" t="str">
        <f>IF($A172="","", INDEX(CS!$B$1:$B$12876,MATCH($A172,CS!$B:$B,0)+COLUMN(D$1),1))</f>
        <v/>
      </c>
      <c r="BB172" t="str">
        <f>IF($A172="","", INDEX(CS!$B$1:$B$12876,MATCH($A172,CS!$B:$B,0)+COLUMN(E$1),1))</f>
        <v/>
      </c>
      <c r="BC172" t="str">
        <f>IF($A172="","", INDEX(CS!$B$1:$B$12876,MATCH($A172,CS!$B:$B,0)+COLUMN(F$1),1))</f>
        <v/>
      </c>
      <c r="BD172" t="str">
        <f>IF($A172="","", INDEX(CS!$B$1:$B$12876,MATCH($A172,CS!$B:$B,0)+COLUMN(G$1),1))</f>
        <v/>
      </c>
      <c r="BE172" t="str">
        <f>IF($A172="","", INDEX(CS!$B$1:$B$12876,MATCH($A172,CS!$B:$B,0)+COLUMN(H$1),1))</f>
        <v/>
      </c>
      <c r="BF172" t="str">
        <f>IF($A172="","", INDEX(CS!$B$1:$B$12876,MATCH($A172,CS!$B:$B,0)+COLUMN(I$1),1))</f>
        <v/>
      </c>
      <c r="BG172" t="str">
        <f>IF($A172="","", INDEX(CS!$B$1:$B$12876,MATCH($A172,CS!$B:$B,0)+COLUMN(J$1),1))</f>
        <v/>
      </c>
    </row>
    <row r="173" spans="3:59" x14ac:dyDescent="0.4">
      <c r="C173" t="s">
        <v>193</v>
      </c>
      <c r="D173" t="str">
        <f t="shared" si="9"/>
        <v>0/0/0</v>
      </c>
      <c r="E173">
        <v>1</v>
      </c>
      <c r="AX173" t="str">
        <f>IF($A173="","", INDEX(CS!$B$1:$B$12876,MATCH($A173,CS!$B:$B,0)+COLUMN(A$1),1))</f>
        <v/>
      </c>
      <c r="AY173" t="str">
        <f>IF($A173="","", INDEX(CS!$B$1:$B$12876,MATCH($A173,CS!$B:$B,0)+COLUMN(B$1),1))</f>
        <v/>
      </c>
      <c r="AZ173" t="str">
        <f>IF($A173="","", INDEX(CS!$B$1:$B$12876,MATCH($A173,CS!$B:$B,0)+COLUMN(C$1),1))</f>
        <v/>
      </c>
      <c r="BA173" t="str">
        <f>IF($A173="","", INDEX(CS!$B$1:$B$12876,MATCH($A173,CS!$B:$B,0)+COLUMN(D$1),1))</f>
        <v/>
      </c>
      <c r="BB173" t="str">
        <f>IF($A173="","", INDEX(CS!$B$1:$B$12876,MATCH($A173,CS!$B:$B,0)+COLUMN(E$1),1))</f>
        <v/>
      </c>
      <c r="BC173" t="str">
        <f>IF($A173="","", INDEX(CS!$B$1:$B$12876,MATCH($A173,CS!$B:$B,0)+COLUMN(F$1),1))</f>
        <v/>
      </c>
      <c r="BD173" t="str">
        <f>IF($A173="","", INDEX(CS!$B$1:$B$12876,MATCH($A173,CS!$B:$B,0)+COLUMN(G$1),1))</f>
        <v/>
      </c>
      <c r="BE173" t="str">
        <f>IF($A173="","", INDEX(CS!$B$1:$B$12876,MATCH($A173,CS!$B:$B,0)+COLUMN(H$1),1))</f>
        <v/>
      </c>
      <c r="BF173" t="str">
        <f>IF($A173="","", INDEX(CS!$B$1:$B$12876,MATCH($A173,CS!$B:$B,0)+COLUMN(I$1),1))</f>
        <v/>
      </c>
      <c r="BG173" t="str">
        <f>IF($A173="","", INDEX(CS!$B$1:$B$12876,MATCH($A173,CS!$B:$B,0)+COLUMN(J$1),1))</f>
        <v/>
      </c>
    </row>
    <row r="174" spans="3:59" x14ac:dyDescent="0.4">
      <c r="C174" t="s">
        <v>193</v>
      </c>
      <c r="D174" t="str">
        <f t="shared" si="9"/>
        <v>0/0/0</v>
      </c>
      <c r="E174">
        <v>1</v>
      </c>
      <c r="AX174" t="str">
        <f>IF($A174="","", INDEX(CS!$B$1:$B$12876,MATCH($A174,CS!$B:$B,0)+COLUMN(A$1),1))</f>
        <v/>
      </c>
      <c r="AY174" t="str">
        <f>IF($A174="","", INDEX(CS!$B$1:$B$12876,MATCH($A174,CS!$B:$B,0)+COLUMN(B$1),1))</f>
        <v/>
      </c>
      <c r="AZ174" t="str">
        <f>IF($A174="","", INDEX(CS!$B$1:$B$12876,MATCH($A174,CS!$B:$B,0)+COLUMN(C$1),1))</f>
        <v/>
      </c>
      <c r="BA174" t="str">
        <f>IF($A174="","", INDEX(CS!$B$1:$B$12876,MATCH($A174,CS!$B:$B,0)+COLUMN(D$1),1))</f>
        <v/>
      </c>
      <c r="BB174" t="str">
        <f>IF($A174="","", INDEX(CS!$B$1:$B$12876,MATCH($A174,CS!$B:$B,0)+COLUMN(E$1),1))</f>
        <v/>
      </c>
      <c r="BC174" t="str">
        <f>IF($A174="","", INDEX(CS!$B$1:$B$12876,MATCH($A174,CS!$B:$B,0)+COLUMN(F$1),1))</f>
        <v/>
      </c>
      <c r="BD174" t="str">
        <f>IF($A174="","", INDEX(CS!$B$1:$B$12876,MATCH($A174,CS!$B:$B,0)+COLUMN(G$1),1))</f>
        <v/>
      </c>
      <c r="BE174" t="str">
        <f>IF($A174="","", INDEX(CS!$B$1:$B$12876,MATCH($A174,CS!$B:$B,0)+COLUMN(H$1),1))</f>
        <v/>
      </c>
      <c r="BF174" t="str">
        <f>IF($A174="","", INDEX(CS!$B$1:$B$12876,MATCH($A174,CS!$B:$B,0)+COLUMN(I$1),1))</f>
        <v/>
      </c>
      <c r="BG174" t="str">
        <f>IF($A174="","", INDEX(CS!$B$1:$B$12876,MATCH($A174,CS!$B:$B,0)+COLUMN(J$1),1))</f>
        <v/>
      </c>
    </row>
    <row r="175" spans="3:59" x14ac:dyDescent="0.4">
      <c r="C175" t="s">
        <v>193</v>
      </c>
      <c r="D175" t="str">
        <f t="shared" si="9"/>
        <v>0/0/0</v>
      </c>
      <c r="E175">
        <v>1</v>
      </c>
      <c r="AX175" t="str">
        <f>IF($A175="","", INDEX(CS!$B$1:$B$12876,MATCH($A175,CS!$B:$B,0)+COLUMN(A$1),1))</f>
        <v/>
      </c>
      <c r="AY175" t="str">
        <f>IF($A175="","", INDEX(CS!$B$1:$B$12876,MATCH($A175,CS!$B:$B,0)+COLUMN(B$1),1))</f>
        <v/>
      </c>
      <c r="AZ175" t="str">
        <f>IF($A175="","", INDEX(CS!$B$1:$B$12876,MATCH($A175,CS!$B:$B,0)+COLUMN(C$1),1))</f>
        <v/>
      </c>
      <c r="BA175" t="str">
        <f>IF($A175="","", INDEX(CS!$B$1:$B$12876,MATCH($A175,CS!$B:$B,0)+COLUMN(D$1),1))</f>
        <v/>
      </c>
      <c r="BB175" t="str">
        <f>IF($A175="","", INDEX(CS!$B$1:$B$12876,MATCH($A175,CS!$B:$B,0)+COLUMN(E$1),1))</f>
        <v/>
      </c>
      <c r="BC175" t="str">
        <f>IF($A175="","", INDEX(CS!$B$1:$B$12876,MATCH($A175,CS!$B:$B,0)+COLUMN(F$1),1))</f>
        <v/>
      </c>
      <c r="BD175" t="str">
        <f>IF($A175="","", INDEX(CS!$B$1:$B$12876,MATCH($A175,CS!$B:$B,0)+COLUMN(G$1),1))</f>
        <v/>
      </c>
      <c r="BE175" t="str">
        <f>IF($A175="","", INDEX(CS!$B$1:$B$12876,MATCH($A175,CS!$B:$B,0)+COLUMN(H$1),1))</f>
        <v/>
      </c>
      <c r="BF175" t="str">
        <f>IF($A175="","", INDEX(CS!$B$1:$B$12876,MATCH($A175,CS!$B:$B,0)+COLUMN(I$1),1))</f>
        <v/>
      </c>
      <c r="BG175" t="str">
        <f>IF($A175="","", INDEX(CS!$B$1:$B$12876,MATCH($A175,CS!$B:$B,0)+COLUMN(J$1),1))</f>
        <v/>
      </c>
    </row>
    <row r="176" spans="3:59" x14ac:dyDescent="0.4">
      <c r="C176" t="s">
        <v>193</v>
      </c>
      <c r="D176" t="str">
        <f t="shared" si="9"/>
        <v>0/0/0</v>
      </c>
      <c r="E176">
        <v>1</v>
      </c>
      <c r="AX176" t="str">
        <f>IF($A176="","", INDEX(CS!$B$1:$B$12876,MATCH($A176,CS!$B:$B,0)+COLUMN(A$1),1))</f>
        <v/>
      </c>
      <c r="AY176" t="str">
        <f>IF($A176="","", INDEX(CS!$B$1:$B$12876,MATCH($A176,CS!$B:$B,0)+COLUMN(B$1),1))</f>
        <v/>
      </c>
      <c r="AZ176" t="str">
        <f>IF($A176="","", INDEX(CS!$B$1:$B$12876,MATCH($A176,CS!$B:$B,0)+COLUMN(C$1),1))</f>
        <v/>
      </c>
      <c r="BA176" t="str">
        <f>IF($A176="","", INDEX(CS!$B$1:$B$12876,MATCH($A176,CS!$B:$B,0)+COLUMN(D$1),1))</f>
        <v/>
      </c>
      <c r="BB176" t="str">
        <f>IF($A176="","", INDEX(CS!$B$1:$B$12876,MATCH($A176,CS!$B:$B,0)+COLUMN(E$1),1))</f>
        <v/>
      </c>
      <c r="BC176" t="str">
        <f>IF($A176="","", INDEX(CS!$B$1:$B$12876,MATCH($A176,CS!$B:$B,0)+COLUMN(F$1),1))</f>
        <v/>
      </c>
      <c r="BD176" t="str">
        <f>IF($A176="","", INDEX(CS!$B$1:$B$12876,MATCH($A176,CS!$B:$B,0)+COLUMN(G$1),1))</f>
        <v/>
      </c>
      <c r="BE176" t="str">
        <f>IF($A176="","", INDEX(CS!$B$1:$B$12876,MATCH($A176,CS!$B:$B,0)+COLUMN(H$1),1))</f>
        <v/>
      </c>
      <c r="BF176" t="str">
        <f>IF($A176="","", INDEX(CS!$B$1:$B$12876,MATCH($A176,CS!$B:$B,0)+COLUMN(I$1),1))</f>
        <v/>
      </c>
      <c r="BG176" t="str">
        <f>IF($A176="","", INDEX(CS!$B$1:$B$12876,MATCH($A176,CS!$B:$B,0)+COLUMN(J$1),1))</f>
        <v/>
      </c>
    </row>
    <row r="177" spans="3:59" x14ac:dyDescent="0.4">
      <c r="C177" t="s">
        <v>193</v>
      </c>
      <c r="D177" t="str">
        <f t="shared" si="9"/>
        <v>0/0/0</v>
      </c>
      <c r="E177">
        <v>1</v>
      </c>
      <c r="AX177" t="str">
        <f>IF($A177="","", INDEX(CS!$B$1:$B$12876,MATCH($A177,CS!$B:$B,0)+COLUMN(A$1),1))</f>
        <v/>
      </c>
      <c r="AY177" t="str">
        <f>IF($A177="","", INDEX(CS!$B$1:$B$12876,MATCH($A177,CS!$B:$B,0)+COLUMN(B$1),1))</f>
        <v/>
      </c>
      <c r="AZ177" t="str">
        <f>IF($A177="","", INDEX(CS!$B$1:$B$12876,MATCH($A177,CS!$B:$B,0)+COLUMN(C$1),1))</f>
        <v/>
      </c>
      <c r="BA177" t="str">
        <f>IF($A177="","", INDEX(CS!$B$1:$B$12876,MATCH($A177,CS!$B:$B,0)+COLUMN(D$1),1))</f>
        <v/>
      </c>
      <c r="BB177" t="str">
        <f>IF($A177="","", INDEX(CS!$B$1:$B$12876,MATCH($A177,CS!$B:$B,0)+COLUMN(E$1),1))</f>
        <v/>
      </c>
      <c r="BC177" t="str">
        <f>IF($A177="","", INDEX(CS!$B$1:$B$12876,MATCH($A177,CS!$B:$B,0)+COLUMN(F$1),1))</f>
        <v/>
      </c>
      <c r="BD177" t="str">
        <f>IF($A177="","", INDEX(CS!$B$1:$B$12876,MATCH($A177,CS!$B:$B,0)+COLUMN(G$1),1))</f>
        <v/>
      </c>
      <c r="BE177" t="str">
        <f>IF($A177="","", INDEX(CS!$B$1:$B$12876,MATCH($A177,CS!$B:$B,0)+COLUMN(H$1),1))</f>
        <v/>
      </c>
      <c r="BF177" t="str">
        <f>IF($A177="","", INDEX(CS!$B$1:$B$12876,MATCH($A177,CS!$B:$B,0)+COLUMN(I$1),1))</f>
        <v/>
      </c>
      <c r="BG177" t="str">
        <f>IF($A177="","", INDEX(CS!$B$1:$B$12876,MATCH($A177,CS!$B:$B,0)+COLUMN(J$1),1))</f>
        <v/>
      </c>
    </row>
    <row r="178" spans="3:59" x14ac:dyDescent="0.4">
      <c r="C178" t="s">
        <v>193</v>
      </c>
      <c r="D178" t="str">
        <f t="shared" si="9"/>
        <v>0/0/0</v>
      </c>
      <c r="E178">
        <v>1</v>
      </c>
      <c r="AX178" t="str">
        <f>IF($A178="","", INDEX(CS!$B$1:$B$12876,MATCH($A178,CS!$B:$B,0)+COLUMN(A$1),1))</f>
        <v/>
      </c>
      <c r="AY178" t="str">
        <f>IF($A178="","", INDEX(CS!$B$1:$B$12876,MATCH($A178,CS!$B:$B,0)+COLUMN(B$1),1))</f>
        <v/>
      </c>
      <c r="AZ178" t="str">
        <f>IF($A178="","", INDEX(CS!$B$1:$B$12876,MATCH($A178,CS!$B:$B,0)+COLUMN(C$1),1))</f>
        <v/>
      </c>
      <c r="BA178" t="str">
        <f>IF($A178="","", INDEX(CS!$B$1:$B$12876,MATCH($A178,CS!$B:$B,0)+COLUMN(D$1),1))</f>
        <v/>
      </c>
      <c r="BB178" t="str">
        <f>IF($A178="","", INDEX(CS!$B$1:$B$12876,MATCH($A178,CS!$B:$B,0)+COLUMN(E$1),1))</f>
        <v/>
      </c>
      <c r="BC178" t="str">
        <f>IF($A178="","", INDEX(CS!$B$1:$B$12876,MATCH($A178,CS!$B:$B,0)+COLUMN(F$1),1))</f>
        <v/>
      </c>
      <c r="BD178" t="str">
        <f>IF($A178="","", INDEX(CS!$B$1:$B$12876,MATCH($A178,CS!$B:$B,0)+COLUMN(G$1),1))</f>
        <v/>
      </c>
      <c r="BE178" t="str">
        <f>IF($A178="","", INDEX(CS!$B$1:$B$12876,MATCH($A178,CS!$B:$B,0)+COLUMN(H$1),1))</f>
        <v/>
      </c>
      <c r="BF178" t="str">
        <f>IF($A178="","", INDEX(CS!$B$1:$B$12876,MATCH($A178,CS!$B:$B,0)+COLUMN(I$1),1))</f>
        <v/>
      </c>
      <c r="BG178" t="str">
        <f>IF($A178="","", INDEX(CS!$B$1:$B$12876,MATCH($A178,CS!$B:$B,0)+COLUMN(J$1),1))</f>
        <v/>
      </c>
    </row>
    <row r="179" spans="3:59" x14ac:dyDescent="0.4">
      <c r="C179" t="s">
        <v>193</v>
      </c>
      <c r="D179" t="str">
        <f t="shared" si="9"/>
        <v>0/0/0</v>
      </c>
      <c r="E179">
        <v>1</v>
      </c>
      <c r="AX179" t="str">
        <f>IF($A179="","", INDEX(CS!$B$1:$B$12876,MATCH($A179,CS!$B:$B,0)+COLUMN(A$1),1))</f>
        <v/>
      </c>
      <c r="AY179" t="str">
        <f>IF($A179="","", INDEX(CS!$B$1:$B$12876,MATCH($A179,CS!$B:$B,0)+COLUMN(B$1),1))</f>
        <v/>
      </c>
      <c r="AZ179" t="str">
        <f>IF($A179="","", INDEX(CS!$B$1:$B$12876,MATCH($A179,CS!$B:$B,0)+COLUMN(C$1),1))</f>
        <v/>
      </c>
      <c r="BA179" t="str">
        <f>IF($A179="","", INDEX(CS!$B$1:$B$12876,MATCH($A179,CS!$B:$B,0)+COLUMN(D$1),1))</f>
        <v/>
      </c>
      <c r="BB179" t="str">
        <f>IF($A179="","", INDEX(CS!$B$1:$B$12876,MATCH($A179,CS!$B:$B,0)+COLUMN(E$1),1))</f>
        <v/>
      </c>
      <c r="BC179" t="str">
        <f>IF($A179="","", INDEX(CS!$B$1:$B$12876,MATCH($A179,CS!$B:$B,0)+COLUMN(F$1),1))</f>
        <v/>
      </c>
      <c r="BD179" t="str">
        <f>IF($A179="","", INDEX(CS!$B$1:$B$12876,MATCH($A179,CS!$B:$B,0)+COLUMN(G$1),1))</f>
        <v/>
      </c>
      <c r="BE179" t="str">
        <f>IF($A179="","", INDEX(CS!$B$1:$B$12876,MATCH($A179,CS!$B:$B,0)+COLUMN(H$1),1))</f>
        <v/>
      </c>
      <c r="BF179" t="str">
        <f>IF($A179="","", INDEX(CS!$B$1:$B$12876,MATCH($A179,CS!$B:$B,0)+COLUMN(I$1),1))</f>
        <v/>
      </c>
      <c r="BG179" t="str">
        <f>IF($A179="","", INDEX(CS!$B$1:$B$12876,MATCH($A179,CS!$B:$B,0)+COLUMN(J$1),1))</f>
        <v/>
      </c>
    </row>
    <row r="180" spans="3:59" x14ac:dyDescent="0.4">
      <c r="C180" t="s">
        <v>193</v>
      </c>
      <c r="D180" t="str">
        <f t="shared" si="9"/>
        <v>0/0/0</v>
      </c>
      <c r="E180">
        <v>1</v>
      </c>
      <c r="AX180" t="str">
        <f>IF($A180="","", INDEX(CS!$B$1:$B$12876,MATCH($A180,CS!$B:$B,0)+COLUMN(A$1),1))</f>
        <v/>
      </c>
      <c r="AY180" t="str">
        <f>IF($A180="","", INDEX(CS!$B$1:$B$12876,MATCH($A180,CS!$B:$B,0)+COLUMN(B$1),1))</f>
        <v/>
      </c>
      <c r="AZ180" t="str">
        <f>IF($A180="","", INDEX(CS!$B$1:$B$12876,MATCH($A180,CS!$B:$B,0)+COLUMN(C$1),1))</f>
        <v/>
      </c>
      <c r="BA180" t="str">
        <f>IF($A180="","", INDEX(CS!$B$1:$B$12876,MATCH($A180,CS!$B:$B,0)+COLUMN(D$1),1))</f>
        <v/>
      </c>
      <c r="BB180" t="str">
        <f>IF($A180="","", INDEX(CS!$B$1:$B$12876,MATCH($A180,CS!$B:$B,0)+COLUMN(E$1),1))</f>
        <v/>
      </c>
      <c r="BC180" t="str">
        <f>IF($A180="","", INDEX(CS!$B$1:$B$12876,MATCH($A180,CS!$B:$B,0)+COLUMN(F$1),1))</f>
        <v/>
      </c>
      <c r="BD180" t="str">
        <f>IF($A180="","", INDEX(CS!$B$1:$B$12876,MATCH($A180,CS!$B:$B,0)+COLUMN(G$1),1))</f>
        <v/>
      </c>
      <c r="BE180" t="str">
        <f>IF($A180="","", INDEX(CS!$B$1:$B$12876,MATCH($A180,CS!$B:$B,0)+COLUMN(H$1),1))</f>
        <v/>
      </c>
      <c r="BF180" t="str">
        <f>IF($A180="","", INDEX(CS!$B$1:$B$12876,MATCH($A180,CS!$B:$B,0)+COLUMN(I$1),1))</f>
        <v/>
      </c>
      <c r="BG180" t="str">
        <f>IF($A180="","", INDEX(CS!$B$1:$B$12876,MATCH($A180,CS!$B:$B,0)+COLUMN(J$1),1))</f>
        <v/>
      </c>
    </row>
    <row r="181" spans="3:59" x14ac:dyDescent="0.4">
      <c r="C181" t="s">
        <v>193</v>
      </c>
      <c r="D181" t="str">
        <f t="shared" si="9"/>
        <v>0/0/0</v>
      </c>
      <c r="E181">
        <v>1</v>
      </c>
      <c r="AX181" t="str">
        <f>IF($A181="","", INDEX(CS!$B$1:$B$12876,MATCH($A181,CS!$B:$B,0)+COLUMN(A$1),1))</f>
        <v/>
      </c>
      <c r="AY181" t="str">
        <f>IF($A181="","", INDEX(CS!$B$1:$B$12876,MATCH($A181,CS!$B:$B,0)+COLUMN(B$1),1))</f>
        <v/>
      </c>
      <c r="AZ181" t="str">
        <f>IF($A181="","", INDEX(CS!$B$1:$B$12876,MATCH($A181,CS!$B:$B,0)+COLUMN(C$1),1))</f>
        <v/>
      </c>
      <c r="BA181" t="str">
        <f>IF($A181="","", INDEX(CS!$B$1:$B$12876,MATCH($A181,CS!$B:$B,0)+COLUMN(D$1),1))</f>
        <v/>
      </c>
      <c r="BB181" t="str">
        <f>IF($A181="","", INDEX(CS!$B$1:$B$12876,MATCH($A181,CS!$B:$B,0)+COLUMN(E$1),1))</f>
        <v/>
      </c>
      <c r="BC181" t="str">
        <f>IF($A181="","", INDEX(CS!$B$1:$B$12876,MATCH($A181,CS!$B:$B,0)+COLUMN(F$1),1))</f>
        <v/>
      </c>
      <c r="BD181" t="str">
        <f>IF($A181="","", INDEX(CS!$B$1:$B$12876,MATCH($A181,CS!$B:$B,0)+COLUMN(G$1),1))</f>
        <v/>
      </c>
      <c r="BE181" t="str">
        <f>IF($A181="","", INDEX(CS!$B$1:$B$12876,MATCH($A181,CS!$B:$B,0)+COLUMN(H$1),1))</f>
        <v/>
      </c>
      <c r="BF181" t="str">
        <f>IF($A181="","", INDEX(CS!$B$1:$B$12876,MATCH($A181,CS!$B:$B,0)+COLUMN(I$1),1))</f>
        <v/>
      </c>
      <c r="BG181" t="str">
        <f>IF($A181="","", INDEX(CS!$B$1:$B$12876,MATCH($A181,CS!$B:$B,0)+COLUMN(J$1),1))</f>
        <v/>
      </c>
    </row>
    <row r="182" spans="3:59" x14ac:dyDescent="0.4">
      <c r="C182" t="s">
        <v>193</v>
      </c>
      <c r="D182" t="str">
        <f t="shared" si="9"/>
        <v>0/0/0</v>
      </c>
      <c r="E182">
        <v>1</v>
      </c>
      <c r="AX182" t="str">
        <f>IF($A182="","", INDEX(CS!$B$1:$B$12876,MATCH($A182,CS!$B:$B,0)+COLUMN(A$1),1))</f>
        <v/>
      </c>
      <c r="AY182" t="str">
        <f>IF($A182="","", INDEX(CS!$B$1:$B$12876,MATCH($A182,CS!$B:$B,0)+COLUMN(B$1),1))</f>
        <v/>
      </c>
      <c r="AZ182" t="str">
        <f>IF($A182="","", INDEX(CS!$B$1:$B$12876,MATCH($A182,CS!$B:$B,0)+COLUMN(C$1),1))</f>
        <v/>
      </c>
      <c r="BA182" t="str">
        <f>IF($A182="","", INDEX(CS!$B$1:$B$12876,MATCH($A182,CS!$B:$B,0)+COLUMN(D$1),1))</f>
        <v/>
      </c>
      <c r="BB182" t="str">
        <f>IF($A182="","", INDEX(CS!$B$1:$B$12876,MATCH($A182,CS!$B:$B,0)+COLUMN(E$1),1))</f>
        <v/>
      </c>
      <c r="BC182" t="str">
        <f>IF($A182="","", INDEX(CS!$B$1:$B$12876,MATCH($A182,CS!$B:$B,0)+COLUMN(F$1),1))</f>
        <v/>
      </c>
      <c r="BD182" t="str">
        <f>IF($A182="","", INDEX(CS!$B$1:$B$12876,MATCH($A182,CS!$B:$B,0)+COLUMN(G$1),1))</f>
        <v/>
      </c>
      <c r="BE182" t="str">
        <f>IF($A182="","", INDEX(CS!$B$1:$B$12876,MATCH($A182,CS!$B:$B,0)+COLUMN(H$1),1))</f>
        <v/>
      </c>
      <c r="BF182" t="str">
        <f>IF($A182="","", INDEX(CS!$B$1:$B$12876,MATCH($A182,CS!$B:$B,0)+COLUMN(I$1),1))</f>
        <v/>
      </c>
      <c r="BG182" t="str">
        <f>IF($A182="","", INDEX(CS!$B$1:$B$12876,MATCH($A182,CS!$B:$B,0)+COLUMN(J$1),1))</f>
        <v/>
      </c>
    </row>
    <row r="183" spans="3:59" x14ac:dyDescent="0.4">
      <c r="C183" t="s">
        <v>193</v>
      </c>
      <c r="D183" t="str">
        <f t="shared" si="9"/>
        <v>0/0/0</v>
      </c>
      <c r="E183">
        <v>1</v>
      </c>
      <c r="AX183" t="str">
        <f>IF($A183="","", INDEX(CS!$B$1:$B$12876,MATCH($A183,CS!$B:$B,0)+COLUMN(A$1),1))</f>
        <v/>
      </c>
      <c r="AY183" t="str">
        <f>IF($A183="","", INDEX(CS!$B$1:$B$12876,MATCH($A183,CS!$B:$B,0)+COLUMN(B$1),1))</f>
        <v/>
      </c>
      <c r="AZ183" t="str">
        <f>IF($A183="","", INDEX(CS!$B$1:$B$12876,MATCH($A183,CS!$B:$B,0)+COLUMN(C$1),1))</f>
        <v/>
      </c>
      <c r="BA183" t="str">
        <f>IF($A183="","", INDEX(CS!$B$1:$B$12876,MATCH($A183,CS!$B:$B,0)+COLUMN(D$1),1))</f>
        <v/>
      </c>
      <c r="BB183" t="str">
        <f>IF($A183="","", INDEX(CS!$B$1:$B$12876,MATCH($A183,CS!$B:$B,0)+COLUMN(E$1),1))</f>
        <v/>
      </c>
      <c r="BC183" t="str">
        <f>IF($A183="","", INDEX(CS!$B$1:$B$12876,MATCH($A183,CS!$B:$B,0)+COLUMN(F$1),1))</f>
        <v/>
      </c>
      <c r="BD183" t="str">
        <f>IF($A183="","", INDEX(CS!$B$1:$B$12876,MATCH($A183,CS!$B:$B,0)+COLUMN(G$1),1))</f>
        <v/>
      </c>
      <c r="BE183" t="str">
        <f>IF($A183="","", INDEX(CS!$B$1:$B$12876,MATCH($A183,CS!$B:$B,0)+COLUMN(H$1),1))</f>
        <v/>
      </c>
      <c r="BF183" t="str">
        <f>IF($A183="","", INDEX(CS!$B$1:$B$12876,MATCH($A183,CS!$B:$B,0)+COLUMN(I$1),1))</f>
        <v/>
      </c>
      <c r="BG183" t="str">
        <f>IF($A183="","", INDEX(CS!$B$1:$B$12876,MATCH($A183,CS!$B:$B,0)+COLUMN(J$1),1))</f>
        <v/>
      </c>
    </row>
    <row r="184" spans="3:59" x14ac:dyDescent="0.4">
      <c r="C184" t="s">
        <v>193</v>
      </c>
      <c r="D184" t="str">
        <f t="shared" si="9"/>
        <v>0/0/0</v>
      </c>
      <c r="E184">
        <v>1</v>
      </c>
      <c r="AX184" t="str">
        <f>IF($A184="","", INDEX(CS!$B$1:$B$12876,MATCH($A184,CS!$B:$B,0)+COLUMN(A$1),1))</f>
        <v/>
      </c>
      <c r="AY184" t="str">
        <f>IF($A184="","", INDEX(CS!$B$1:$B$12876,MATCH($A184,CS!$B:$B,0)+COLUMN(B$1),1))</f>
        <v/>
      </c>
      <c r="AZ184" t="str">
        <f>IF($A184="","", INDEX(CS!$B$1:$B$12876,MATCH($A184,CS!$B:$B,0)+COLUMN(C$1),1))</f>
        <v/>
      </c>
      <c r="BA184" t="str">
        <f>IF($A184="","", INDEX(CS!$B$1:$B$12876,MATCH($A184,CS!$B:$B,0)+COLUMN(D$1),1))</f>
        <v/>
      </c>
      <c r="BB184" t="str">
        <f>IF($A184="","", INDEX(CS!$B$1:$B$12876,MATCH($A184,CS!$B:$B,0)+COLUMN(E$1),1))</f>
        <v/>
      </c>
      <c r="BC184" t="str">
        <f>IF($A184="","", INDEX(CS!$B$1:$B$12876,MATCH($A184,CS!$B:$B,0)+COLUMN(F$1),1))</f>
        <v/>
      </c>
      <c r="BD184" t="str">
        <f>IF($A184="","", INDEX(CS!$B$1:$B$12876,MATCH($A184,CS!$B:$B,0)+COLUMN(G$1),1))</f>
        <v/>
      </c>
      <c r="BE184" t="str">
        <f>IF($A184="","", INDEX(CS!$B$1:$B$12876,MATCH($A184,CS!$B:$B,0)+COLUMN(H$1),1))</f>
        <v/>
      </c>
      <c r="BF184" t="str">
        <f>IF($A184="","", INDEX(CS!$B$1:$B$12876,MATCH($A184,CS!$B:$B,0)+COLUMN(I$1),1))</f>
        <v/>
      </c>
      <c r="BG184" t="str">
        <f>IF($A184="","", INDEX(CS!$B$1:$B$12876,MATCH($A184,CS!$B:$B,0)+COLUMN(J$1),1))</f>
        <v/>
      </c>
    </row>
    <row r="185" spans="3:59" x14ac:dyDescent="0.4">
      <c r="C185" t="s">
        <v>193</v>
      </c>
      <c r="D185" t="str">
        <f t="shared" si="9"/>
        <v>0/0/0</v>
      </c>
      <c r="E185">
        <v>1</v>
      </c>
      <c r="AX185" t="str">
        <f>IF($A185="","", INDEX(CS!$B$1:$B$12876,MATCH($A185,CS!$B:$B,0)+COLUMN(A$1),1))</f>
        <v/>
      </c>
      <c r="AY185" t="str">
        <f>IF($A185="","", INDEX(CS!$B$1:$B$12876,MATCH($A185,CS!$B:$B,0)+COLUMN(B$1),1))</f>
        <v/>
      </c>
      <c r="AZ185" t="str">
        <f>IF($A185="","", INDEX(CS!$B$1:$B$12876,MATCH($A185,CS!$B:$B,0)+COLUMN(C$1),1))</f>
        <v/>
      </c>
      <c r="BA185" t="str">
        <f>IF($A185="","", INDEX(CS!$B$1:$B$12876,MATCH($A185,CS!$B:$B,0)+COLUMN(D$1),1))</f>
        <v/>
      </c>
      <c r="BB185" t="str">
        <f>IF($A185="","", INDEX(CS!$B$1:$B$12876,MATCH($A185,CS!$B:$B,0)+COLUMN(E$1),1))</f>
        <v/>
      </c>
      <c r="BC185" t="str">
        <f>IF($A185="","", INDEX(CS!$B$1:$B$12876,MATCH($A185,CS!$B:$B,0)+COLUMN(F$1),1))</f>
        <v/>
      </c>
      <c r="BD185" t="str">
        <f>IF($A185="","", INDEX(CS!$B$1:$B$12876,MATCH($A185,CS!$B:$B,0)+COLUMN(G$1),1))</f>
        <v/>
      </c>
      <c r="BE185" t="str">
        <f>IF($A185="","", INDEX(CS!$B$1:$B$12876,MATCH($A185,CS!$B:$B,0)+COLUMN(H$1),1))</f>
        <v/>
      </c>
      <c r="BF185" t="str">
        <f>IF($A185="","", INDEX(CS!$B$1:$B$12876,MATCH($A185,CS!$B:$B,0)+COLUMN(I$1),1))</f>
        <v/>
      </c>
      <c r="BG185" t="str">
        <f>IF($A185="","", INDEX(CS!$B$1:$B$12876,MATCH($A185,CS!$B:$B,0)+COLUMN(J$1),1))</f>
        <v/>
      </c>
    </row>
    <row r="186" spans="3:59" x14ac:dyDescent="0.4">
      <c r="C186" t="s">
        <v>193</v>
      </c>
      <c r="D186" t="str">
        <f t="shared" si="9"/>
        <v>0/0/0</v>
      </c>
      <c r="E186">
        <v>1</v>
      </c>
      <c r="AX186" t="str">
        <f>IF($A186="","", INDEX(CS!$B$1:$B$12876,MATCH($A186,CS!$B:$B,0)+COLUMN(A$1),1))</f>
        <v/>
      </c>
      <c r="AY186" t="str">
        <f>IF($A186="","", INDEX(CS!$B$1:$B$12876,MATCH($A186,CS!$B:$B,0)+COLUMN(B$1),1))</f>
        <v/>
      </c>
      <c r="AZ186" t="str">
        <f>IF($A186="","", INDEX(CS!$B$1:$B$12876,MATCH($A186,CS!$B:$B,0)+COLUMN(C$1),1))</f>
        <v/>
      </c>
      <c r="BA186" t="str">
        <f>IF($A186="","", INDEX(CS!$B$1:$B$12876,MATCH($A186,CS!$B:$B,0)+COLUMN(D$1),1))</f>
        <v/>
      </c>
      <c r="BB186" t="str">
        <f>IF($A186="","", INDEX(CS!$B$1:$B$12876,MATCH($A186,CS!$B:$B,0)+COLUMN(E$1),1))</f>
        <v/>
      </c>
      <c r="BC186" t="str">
        <f>IF($A186="","", INDEX(CS!$B$1:$B$12876,MATCH($A186,CS!$B:$B,0)+COLUMN(F$1),1))</f>
        <v/>
      </c>
      <c r="BD186" t="str">
        <f>IF($A186="","", INDEX(CS!$B$1:$B$12876,MATCH($A186,CS!$B:$B,0)+COLUMN(G$1),1))</f>
        <v/>
      </c>
      <c r="BE186" t="str">
        <f>IF($A186="","", INDEX(CS!$B$1:$B$12876,MATCH($A186,CS!$B:$B,0)+COLUMN(H$1),1))</f>
        <v/>
      </c>
      <c r="BF186" t="str">
        <f>IF($A186="","", INDEX(CS!$B$1:$B$12876,MATCH($A186,CS!$B:$B,0)+COLUMN(I$1),1))</f>
        <v/>
      </c>
      <c r="BG186" t="str">
        <f>IF($A186="","", INDEX(CS!$B$1:$B$12876,MATCH($A186,CS!$B:$B,0)+COLUMN(J$1),1))</f>
        <v/>
      </c>
    </row>
    <row r="187" spans="3:59" x14ac:dyDescent="0.4">
      <c r="C187" t="s">
        <v>193</v>
      </c>
      <c r="D187" t="str">
        <f t="shared" si="9"/>
        <v>0/0/0</v>
      </c>
      <c r="E187">
        <v>1</v>
      </c>
      <c r="AX187" t="str">
        <f>IF($A187="","", INDEX(CS!$B$1:$B$12876,MATCH($A187,CS!$B:$B,0)+COLUMN(A$1),1))</f>
        <v/>
      </c>
      <c r="AY187" t="str">
        <f>IF($A187="","", INDEX(CS!$B$1:$B$12876,MATCH($A187,CS!$B:$B,0)+COLUMN(B$1),1))</f>
        <v/>
      </c>
      <c r="AZ187" t="str">
        <f>IF($A187="","", INDEX(CS!$B$1:$B$12876,MATCH($A187,CS!$B:$B,0)+COLUMN(C$1),1))</f>
        <v/>
      </c>
      <c r="BA187" t="str">
        <f>IF($A187="","", INDEX(CS!$B$1:$B$12876,MATCH($A187,CS!$B:$B,0)+COLUMN(D$1),1))</f>
        <v/>
      </c>
      <c r="BB187" t="str">
        <f>IF($A187="","", INDEX(CS!$B$1:$B$12876,MATCH($A187,CS!$B:$B,0)+COLUMN(E$1),1))</f>
        <v/>
      </c>
      <c r="BC187" t="str">
        <f>IF($A187="","", INDEX(CS!$B$1:$B$12876,MATCH($A187,CS!$B:$B,0)+COLUMN(F$1),1))</f>
        <v/>
      </c>
      <c r="BD187" t="str">
        <f>IF($A187="","", INDEX(CS!$B$1:$B$12876,MATCH($A187,CS!$B:$B,0)+COLUMN(G$1),1))</f>
        <v/>
      </c>
      <c r="BE187" t="str">
        <f>IF($A187="","", INDEX(CS!$B$1:$B$12876,MATCH($A187,CS!$B:$B,0)+COLUMN(H$1),1))</f>
        <v/>
      </c>
      <c r="BF187" t="str">
        <f>IF($A187="","", INDEX(CS!$B$1:$B$12876,MATCH($A187,CS!$B:$B,0)+COLUMN(I$1),1))</f>
        <v/>
      </c>
      <c r="BG187" t="str">
        <f>IF($A187="","", INDEX(CS!$B$1:$B$12876,MATCH($A187,CS!$B:$B,0)+COLUMN(J$1),1))</f>
        <v/>
      </c>
    </row>
    <row r="188" spans="3:59" x14ac:dyDescent="0.4">
      <c r="C188" t="s">
        <v>193</v>
      </c>
      <c r="D188" t="str">
        <f t="shared" si="9"/>
        <v>0/0/0</v>
      </c>
      <c r="E188">
        <v>1</v>
      </c>
      <c r="AX188" t="str">
        <f>IF($A188="","", INDEX(CS!$B$1:$B$12876,MATCH($A188,CS!$B:$B,0)+COLUMN(A$1),1))</f>
        <v/>
      </c>
      <c r="AY188" t="str">
        <f>IF($A188="","", INDEX(CS!$B$1:$B$12876,MATCH($A188,CS!$B:$B,0)+COLUMN(B$1),1))</f>
        <v/>
      </c>
      <c r="AZ188" t="str">
        <f>IF($A188="","", INDEX(CS!$B$1:$B$12876,MATCH($A188,CS!$B:$B,0)+COLUMN(C$1),1))</f>
        <v/>
      </c>
      <c r="BA188" t="str">
        <f>IF($A188="","", INDEX(CS!$B$1:$B$12876,MATCH($A188,CS!$B:$B,0)+COLUMN(D$1),1))</f>
        <v/>
      </c>
      <c r="BB188" t="str">
        <f>IF($A188="","", INDEX(CS!$B$1:$B$12876,MATCH($A188,CS!$B:$B,0)+COLUMN(E$1),1))</f>
        <v/>
      </c>
      <c r="BC188" t="str">
        <f>IF($A188="","", INDEX(CS!$B$1:$B$12876,MATCH($A188,CS!$B:$B,0)+COLUMN(F$1),1))</f>
        <v/>
      </c>
      <c r="BD188" t="str">
        <f>IF($A188="","", INDEX(CS!$B$1:$B$12876,MATCH($A188,CS!$B:$B,0)+COLUMN(G$1),1))</f>
        <v/>
      </c>
      <c r="BE188" t="str">
        <f>IF($A188="","", INDEX(CS!$B$1:$B$12876,MATCH($A188,CS!$B:$B,0)+COLUMN(H$1),1))</f>
        <v/>
      </c>
      <c r="BF188" t="str">
        <f>IF($A188="","", INDEX(CS!$B$1:$B$12876,MATCH($A188,CS!$B:$B,0)+COLUMN(I$1),1))</f>
        <v/>
      </c>
      <c r="BG188" t="str">
        <f>IF($A188="","", INDEX(CS!$B$1:$B$12876,MATCH($A188,CS!$B:$B,0)+COLUMN(J$1),1))</f>
        <v/>
      </c>
    </row>
    <row r="189" spans="3:59" x14ac:dyDescent="0.4">
      <c r="C189" t="s">
        <v>193</v>
      </c>
      <c r="D189" t="str">
        <f t="shared" si="9"/>
        <v>0/0/0</v>
      </c>
      <c r="E189">
        <v>1</v>
      </c>
      <c r="AX189" t="str">
        <f>IF($A189="","", INDEX(CS!$B$1:$B$12876,MATCH($A189,CS!$B:$B,0)+COLUMN(A$1),1))</f>
        <v/>
      </c>
      <c r="AY189" t="str">
        <f>IF($A189="","", INDEX(CS!$B$1:$B$12876,MATCH($A189,CS!$B:$B,0)+COLUMN(B$1),1))</f>
        <v/>
      </c>
      <c r="AZ189" t="str">
        <f>IF($A189="","", INDEX(CS!$B$1:$B$12876,MATCH($A189,CS!$B:$B,0)+COLUMN(C$1),1))</f>
        <v/>
      </c>
      <c r="BA189" t="str">
        <f>IF($A189="","", INDEX(CS!$B$1:$B$12876,MATCH($A189,CS!$B:$B,0)+COLUMN(D$1),1))</f>
        <v/>
      </c>
      <c r="BB189" t="str">
        <f>IF($A189="","", INDEX(CS!$B$1:$B$12876,MATCH($A189,CS!$B:$B,0)+COLUMN(E$1),1))</f>
        <v/>
      </c>
      <c r="BC189" t="str">
        <f>IF($A189="","", INDEX(CS!$B$1:$B$12876,MATCH($A189,CS!$B:$B,0)+COLUMN(F$1),1))</f>
        <v/>
      </c>
      <c r="BD189" t="str">
        <f>IF($A189="","", INDEX(CS!$B$1:$B$12876,MATCH($A189,CS!$B:$B,0)+COLUMN(G$1),1))</f>
        <v/>
      </c>
      <c r="BE189" t="str">
        <f>IF($A189="","", INDEX(CS!$B$1:$B$12876,MATCH($A189,CS!$B:$B,0)+COLUMN(H$1),1))</f>
        <v/>
      </c>
      <c r="BF189" t="str">
        <f>IF($A189="","", INDEX(CS!$B$1:$B$12876,MATCH($A189,CS!$B:$B,0)+COLUMN(I$1),1))</f>
        <v/>
      </c>
      <c r="BG189" t="str">
        <f>IF($A189="","", INDEX(CS!$B$1:$B$12876,MATCH($A189,CS!$B:$B,0)+COLUMN(J$1),1))</f>
        <v/>
      </c>
    </row>
    <row r="190" spans="3:59" x14ac:dyDescent="0.4">
      <c r="C190" t="s">
        <v>193</v>
      </c>
      <c r="D190" t="str">
        <f t="shared" si="9"/>
        <v>0/0/0</v>
      </c>
      <c r="E190">
        <v>1</v>
      </c>
      <c r="AX190" t="str">
        <f>IF($A190="","", INDEX(CS!$B$1:$B$12876,MATCH($A190,CS!$B:$B,0)+COLUMN(A$1),1))</f>
        <v/>
      </c>
      <c r="AY190" t="str">
        <f>IF($A190="","", INDEX(CS!$B$1:$B$12876,MATCH($A190,CS!$B:$B,0)+COLUMN(B$1),1))</f>
        <v/>
      </c>
      <c r="AZ190" t="str">
        <f>IF($A190="","", INDEX(CS!$B$1:$B$12876,MATCH($A190,CS!$B:$B,0)+COLUMN(C$1),1))</f>
        <v/>
      </c>
      <c r="BA190" t="str">
        <f>IF($A190="","", INDEX(CS!$B$1:$B$12876,MATCH($A190,CS!$B:$B,0)+COLUMN(D$1),1))</f>
        <v/>
      </c>
      <c r="BB190" t="str">
        <f>IF($A190="","", INDEX(CS!$B$1:$B$12876,MATCH($A190,CS!$B:$B,0)+COLUMN(E$1),1))</f>
        <v/>
      </c>
      <c r="BC190" t="str">
        <f>IF($A190="","", INDEX(CS!$B$1:$B$12876,MATCH($A190,CS!$B:$B,0)+COLUMN(F$1),1))</f>
        <v/>
      </c>
      <c r="BD190" t="str">
        <f>IF($A190="","", INDEX(CS!$B$1:$B$12876,MATCH($A190,CS!$B:$B,0)+COLUMN(I$1),1))</f>
        <v/>
      </c>
      <c r="BE190" t="str">
        <f>IF($A190="","", INDEX(CS!$B$1:$B$12876,MATCH($A190,CS!$B:$B,0)+COLUMN(J$1),1))</f>
        <v/>
      </c>
      <c r="BF190" t="str">
        <f>IF($A190="","", INDEX(CS!$B$1:$B$12876,MATCH($A190,CS!$B:$B,0)+COLUMN(K$1),1))</f>
        <v/>
      </c>
      <c r="BG190" t="str">
        <f>IF($A190="","", INDEX(CS!$B$1:$B$12876,MATCH($A190,CS!$B:$B,0)+COLUMN(L$1),1))</f>
        <v/>
      </c>
    </row>
    <row r="191" spans="3:59" x14ac:dyDescent="0.4">
      <c r="C191" t="s">
        <v>193</v>
      </c>
      <c r="D191" t="str">
        <f t="shared" si="9"/>
        <v>0/0/0</v>
      </c>
      <c r="E191">
        <v>1</v>
      </c>
      <c r="AX191" t="str">
        <f>IF($A191="","", INDEX(CS!$B$1:$B$12876,MATCH($A191,CS!$B:$B,0)+COLUMN(A$1),1))</f>
        <v/>
      </c>
      <c r="AY191" t="str">
        <f>IF($A191="","", INDEX(CS!$B$1:$B$12876,MATCH($A191,CS!$B:$B,0)+COLUMN(B$1),1))</f>
        <v/>
      </c>
      <c r="AZ191" t="str">
        <f>IF($A191="","", INDEX(CS!$B$1:$B$12876,MATCH($A191,CS!$B:$B,0)+COLUMN(C$1),1))</f>
        <v/>
      </c>
      <c r="BA191" t="str">
        <f>IF($A191="","", INDEX(CS!$B$1:$B$12876,MATCH($A191,CS!$B:$B,0)+COLUMN(D$1),1))</f>
        <v/>
      </c>
      <c r="BB191" t="str">
        <f>IF($A191="","", INDEX(CS!$B$1:$B$12876,MATCH($A191,CS!$B:$B,0)+COLUMN(E$1),1))</f>
        <v/>
      </c>
      <c r="BC191" t="str">
        <f>IF($A191="","", INDEX(CS!$B$1:$B$12876,MATCH($A191,CS!$B:$B,0)+COLUMN(F$1),1))</f>
        <v/>
      </c>
      <c r="BD191" t="str">
        <f>IF($A191="","", INDEX(CS!$B$1:$B$12876,MATCH($A191,CS!$B:$B,0)+COLUMN(I$1),1))</f>
        <v/>
      </c>
      <c r="BE191" t="str">
        <f>IF($A191="","", INDEX(CS!$B$1:$B$12876,MATCH($A191,CS!$B:$B,0)+COLUMN(J$1),1))</f>
        <v/>
      </c>
      <c r="BF191" t="str">
        <f>IF($A191="","", INDEX(CS!$B$1:$B$12876,MATCH($A191,CS!$B:$B,0)+COLUMN(K$1),1))</f>
        <v/>
      </c>
      <c r="BG191" t="str">
        <f>IF($A191="","", INDEX(CS!$B$1:$B$12876,MATCH($A191,CS!$B:$B,0)+COLUMN(L$1),1))</f>
        <v/>
      </c>
    </row>
    <row r="192" spans="3:59" x14ac:dyDescent="0.4">
      <c r="C192" t="s">
        <v>193</v>
      </c>
      <c r="D192" t="str">
        <f t="shared" si="9"/>
        <v>0/0/0</v>
      </c>
      <c r="E192">
        <v>1</v>
      </c>
      <c r="AX192" t="str">
        <f>IF($A192="","", INDEX(CS!$B$1:$B$12876,MATCH($A192,CS!$B:$B,0)+COLUMN(A$1),1))</f>
        <v/>
      </c>
      <c r="AY192" t="str">
        <f>IF($A192="","", INDEX(CS!$B$1:$B$12876,MATCH($A192,CS!$B:$B,0)+COLUMN(B$1),1))</f>
        <v/>
      </c>
      <c r="AZ192" t="str">
        <f>IF($A192="","", INDEX(CS!$B$1:$B$12876,MATCH($A192,CS!$B:$B,0)+COLUMN(C$1),1))</f>
        <v/>
      </c>
      <c r="BA192" t="str">
        <f>IF($A192="","", INDEX(CS!$B$1:$B$12876,MATCH($A192,CS!$B:$B,0)+COLUMN(D$1),1))</f>
        <v/>
      </c>
      <c r="BB192" t="str">
        <f>IF($A192="","", INDEX(CS!$B$1:$B$12876,MATCH($A192,CS!$B:$B,0)+COLUMN(E$1),1))</f>
        <v/>
      </c>
      <c r="BC192" t="str">
        <f>IF($A192="","", INDEX(CS!$B$1:$B$12876,MATCH($A192,CS!$B:$B,0)+COLUMN(F$1),1))</f>
        <v/>
      </c>
      <c r="BD192" t="str">
        <f>IF($A192="","", INDEX(CS!$B$1:$B$12876,MATCH($A192,CS!$B:$B,0)+COLUMN(I$1),1))</f>
        <v/>
      </c>
      <c r="BE192" t="str">
        <f>IF($A192="","", INDEX(CS!$B$1:$B$12876,MATCH($A192,CS!$B:$B,0)+COLUMN(J$1),1))</f>
        <v/>
      </c>
      <c r="BF192" t="str">
        <f>IF($A192="","", INDEX(CS!$B$1:$B$12876,MATCH($A192,CS!$B:$B,0)+COLUMN(K$1),1))</f>
        <v/>
      </c>
      <c r="BG192" t="str">
        <f>IF($A192="","", INDEX(CS!$B$1:$B$12876,MATCH($A192,CS!$B:$B,0)+COLUMN(L$1),1))</f>
        <v/>
      </c>
    </row>
    <row r="193" spans="3:59" x14ac:dyDescent="0.4">
      <c r="C193" t="s">
        <v>193</v>
      </c>
      <c r="D193" t="str">
        <f t="shared" si="9"/>
        <v>0/0/0</v>
      </c>
      <c r="E193">
        <v>1</v>
      </c>
      <c r="AX193" t="str">
        <f>IF($A193="","", INDEX(CS!$B$1:$B$12876,MATCH($A193,CS!$B:$B,0)+COLUMN(A$1),1))</f>
        <v/>
      </c>
      <c r="AY193" t="str">
        <f>IF($A193="","", INDEX(CS!$B$1:$B$12876,MATCH($A193,CS!$B:$B,0)+COLUMN(B$1),1))</f>
        <v/>
      </c>
      <c r="AZ193" t="str">
        <f>IF($A193="","", INDEX(CS!$B$1:$B$12876,MATCH($A193,CS!$B:$B,0)+COLUMN(C$1),1))</f>
        <v/>
      </c>
      <c r="BA193" t="str">
        <f>IF($A193="","", INDEX(CS!$B$1:$B$12876,MATCH($A193,CS!$B:$B,0)+COLUMN(D$1),1))</f>
        <v/>
      </c>
      <c r="BB193" t="str">
        <f>IF($A193="","", INDEX(CS!$B$1:$B$12876,MATCH($A193,CS!$B:$B,0)+COLUMN(E$1),1))</f>
        <v/>
      </c>
      <c r="BC193" t="str">
        <f>IF($A193="","", INDEX(CS!$B$1:$B$12876,MATCH($A193,CS!$B:$B,0)+COLUMN(F$1),1))</f>
        <v/>
      </c>
      <c r="BD193" t="str">
        <f>IF($A193="","", INDEX(CS!$B$1:$B$12876,MATCH($A193,CS!$B:$B,0)+COLUMN(I$1),1))</f>
        <v/>
      </c>
      <c r="BE193" t="str">
        <f>IF($A193="","", INDEX(CS!$B$1:$B$12876,MATCH($A193,CS!$B:$B,0)+COLUMN(J$1),1))</f>
        <v/>
      </c>
      <c r="BF193" t="str">
        <f>IF($A193="","", INDEX(CS!$B$1:$B$12876,MATCH($A193,CS!$B:$B,0)+COLUMN(K$1),1))</f>
        <v/>
      </c>
      <c r="BG193" t="str">
        <f>IF($A193="","", INDEX(CS!$B$1:$B$12876,MATCH($A193,CS!$B:$B,0)+COLUMN(L$1),1))</f>
        <v/>
      </c>
    </row>
    <row r="194" spans="3:59" x14ac:dyDescent="0.4">
      <c r="C194" t="s">
        <v>193</v>
      </c>
      <c r="D194" t="str">
        <f t="shared" si="9"/>
        <v>0/0/0</v>
      </c>
      <c r="E194">
        <v>1</v>
      </c>
      <c r="AX194" t="str">
        <f>IF($A194="","", INDEX(CS!$B$1:$B$12876,MATCH($A194,CS!$B:$B,0)+COLUMN(A$1),1))</f>
        <v/>
      </c>
      <c r="AY194" t="str">
        <f>IF($A194="","", INDEX(CS!$B$1:$B$12876,MATCH($A194,CS!$B:$B,0)+COLUMN(B$1),1))</f>
        <v/>
      </c>
      <c r="AZ194" t="str">
        <f>IF($A194="","", INDEX(CS!$B$1:$B$12876,MATCH($A194,CS!$B:$B,0)+COLUMN(C$1),1))</f>
        <v/>
      </c>
      <c r="BA194" t="str">
        <f>IF($A194="","", INDEX(CS!$B$1:$B$12876,MATCH($A194,CS!$B:$B,0)+COLUMN(D$1),1))</f>
        <v/>
      </c>
      <c r="BB194" t="str">
        <f>IF($A194="","", INDEX(CS!$B$1:$B$12876,MATCH($A194,CS!$B:$B,0)+COLUMN(E$1),1))</f>
        <v/>
      </c>
      <c r="BC194" t="str">
        <f>IF($A194="","", INDEX(CS!$B$1:$B$12876,MATCH($A194,CS!$B:$B,0)+COLUMN(F$1),1))</f>
        <v/>
      </c>
      <c r="BD194" t="str">
        <f>IF($A194="","", INDEX(CS!$B$1:$B$12876,MATCH($A194,CS!$B:$B,0)+COLUMN(I$1),1))</f>
        <v/>
      </c>
      <c r="BE194" t="str">
        <f>IF($A194="","", INDEX(CS!$B$1:$B$12876,MATCH($A194,CS!$B:$B,0)+COLUMN(J$1),1))</f>
        <v/>
      </c>
      <c r="BF194" t="str">
        <f>IF($A194="","", INDEX(CS!$B$1:$B$12876,MATCH($A194,CS!$B:$B,0)+COLUMN(K$1),1))</f>
        <v/>
      </c>
      <c r="BG194" t="str">
        <f>IF($A194="","", INDEX(CS!$B$1:$B$12876,MATCH($A194,CS!$B:$B,0)+COLUMN(L$1),1))</f>
        <v/>
      </c>
    </row>
    <row r="195" spans="3:59" x14ac:dyDescent="0.4">
      <c r="C195" t="s">
        <v>193</v>
      </c>
      <c r="D195" t="str">
        <f t="shared" si="9"/>
        <v>0/0/0</v>
      </c>
      <c r="E195">
        <v>1</v>
      </c>
      <c r="AX195" t="str">
        <f>IF($A195="","", INDEX(CS!$B$1:$B$12876,MATCH($A195,CS!$B:$B,0)+COLUMN(A$1),1))</f>
        <v/>
      </c>
      <c r="AY195" t="str">
        <f>IF($A195="","", INDEX(CS!$B$1:$B$12876,MATCH($A195,CS!$B:$B,0)+COLUMN(B$1),1))</f>
        <v/>
      </c>
      <c r="AZ195" t="str">
        <f>IF($A195="","", INDEX(CS!$B$1:$B$12876,MATCH($A195,CS!$B:$B,0)+COLUMN(C$1),1))</f>
        <v/>
      </c>
      <c r="BA195" t="str">
        <f>IF($A195="","", INDEX(CS!$B$1:$B$12876,MATCH($A195,CS!$B:$B,0)+COLUMN(D$1),1))</f>
        <v/>
      </c>
      <c r="BB195" t="str">
        <f>IF($A195="","", INDEX(CS!$B$1:$B$12876,MATCH($A195,CS!$B:$B,0)+COLUMN(E$1),1))</f>
        <v/>
      </c>
      <c r="BC195" t="str">
        <f>IF($A195="","", INDEX(CS!$B$1:$B$12876,MATCH($A195,CS!$B:$B,0)+COLUMN(F$1),1))</f>
        <v/>
      </c>
      <c r="BD195" t="str">
        <f>IF($A195="","", INDEX(CS!$B$1:$B$12876,MATCH($A195,CS!$B:$B,0)+COLUMN(I$1),1))</f>
        <v/>
      </c>
      <c r="BE195" t="str">
        <f>IF($A195="","", INDEX(CS!$B$1:$B$12876,MATCH($A195,CS!$B:$B,0)+COLUMN(J$1),1))</f>
        <v/>
      </c>
      <c r="BF195" t="str">
        <f>IF($A195="","", INDEX(CS!$B$1:$B$12876,MATCH($A195,CS!$B:$B,0)+COLUMN(K$1),1))</f>
        <v/>
      </c>
      <c r="BG195" t="str">
        <f>IF($A195="","", INDEX(CS!$B$1:$B$12876,MATCH($A195,CS!$B:$B,0)+COLUMN(L$1),1))</f>
        <v/>
      </c>
    </row>
    <row r="196" spans="3:59" x14ac:dyDescent="0.4">
      <c r="C196" t="s">
        <v>193</v>
      </c>
      <c r="D196" t="str">
        <f t="shared" si="9"/>
        <v>0/0/0</v>
      </c>
      <c r="E196">
        <v>1</v>
      </c>
      <c r="AX196" t="str">
        <f>IF($A196="","", INDEX(CS!$B$1:$B$12876,MATCH($A196,CS!$B:$B,0)+COLUMN(A$1),1))</f>
        <v/>
      </c>
      <c r="AY196" t="str">
        <f>IF($A196="","", INDEX(CS!$B$1:$B$12876,MATCH($A196,CS!$B:$B,0)+COLUMN(B$1),1))</f>
        <v/>
      </c>
      <c r="AZ196" t="str">
        <f>IF($A196="","", INDEX(CS!$B$1:$B$12876,MATCH($A196,CS!$B:$B,0)+COLUMN(C$1),1))</f>
        <v/>
      </c>
      <c r="BA196" t="str">
        <f>IF($A196="","", INDEX(CS!$B$1:$B$12876,MATCH($A196,CS!$B:$B,0)+COLUMN(D$1),1))</f>
        <v/>
      </c>
      <c r="BB196" t="str">
        <f>IF($A196="","", INDEX(CS!$B$1:$B$12876,MATCH($A196,CS!$B:$B,0)+COLUMN(E$1),1))</f>
        <v/>
      </c>
      <c r="BC196" t="str">
        <f>IF($A196="","", INDEX(CS!$B$1:$B$12876,MATCH($A196,CS!$B:$B,0)+COLUMN(F$1),1))</f>
        <v/>
      </c>
      <c r="BD196" t="str">
        <f>IF($A196="","", INDEX(CS!$B$1:$B$12876,MATCH($A196,CS!$B:$B,0)+COLUMN(I$1),1))</f>
        <v/>
      </c>
      <c r="BE196" t="str">
        <f>IF($A196="","", INDEX(CS!$B$1:$B$12876,MATCH($A196,CS!$B:$B,0)+COLUMN(J$1),1))</f>
        <v/>
      </c>
      <c r="BF196" t="str">
        <f>IF($A196="","", INDEX(CS!$B$1:$B$12876,MATCH($A196,CS!$B:$B,0)+COLUMN(K$1),1))</f>
        <v/>
      </c>
      <c r="BG196" t="str">
        <f>IF($A196="","", INDEX(CS!$B$1:$B$12876,MATCH($A196,CS!$B:$B,0)+COLUMN(L$1),1))</f>
        <v/>
      </c>
    </row>
    <row r="197" spans="3:59" x14ac:dyDescent="0.4">
      <c r="C197" t="s">
        <v>193</v>
      </c>
      <c r="D197" t="str">
        <f t="shared" si="9"/>
        <v>0/0/0</v>
      </c>
      <c r="E197">
        <v>1</v>
      </c>
      <c r="AX197" t="str">
        <f>IF($A197="","", INDEX(CS!$B$1:$B$12876,MATCH($A197,CS!$B:$B,0)+COLUMN(A$1),1))</f>
        <v/>
      </c>
      <c r="AY197" t="str">
        <f>IF($A197="","", INDEX(CS!$B$1:$B$12876,MATCH($A197,CS!$B:$B,0)+COLUMN(B$1),1))</f>
        <v/>
      </c>
      <c r="AZ197" t="str">
        <f>IF($A197="","", INDEX(CS!$B$1:$B$12876,MATCH($A197,CS!$B:$B,0)+COLUMN(C$1),1))</f>
        <v/>
      </c>
      <c r="BA197" t="str">
        <f>IF($A197="","", INDEX(CS!$B$1:$B$12876,MATCH($A197,CS!$B:$B,0)+COLUMN(D$1),1))</f>
        <v/>
      </c>
      <c r="BB197" t="str">
        <f>IF($A197="","", INDEX(CS!$B$1:$B$12876,MATCH($A197,CS!$B:$B,0)+COLUMN(E$1),1))</f>
        <v/>
      </c>
      <c r="BC197" t="str">
        <f>IF($A197="","", INDEX(CS!$B$1:$B$12876,MATCH($A197,CS!$B:$B,0)+COLUMN(F$1),1))</f>
        <v/>
      </c>
      <c r="BD197" t="str">
        <f>IF($A197="","", INDEX(CS!$B$1:$B$12876,MATCH($A197,CS!$B:$B,0)+COLUMN(I$1),1))</f>
        <v/>
      </c>
      <c r="BE197" t="str">
        <f>IF($A197="","", INDEX(CS!$B$1:$B$12876,MATCH($A197,CS!$B:$B,0)+COLUMN(J$1),1))</f>
        <v/>
      </c>
      <c r="BF197" t="str">
        <f>IF($A197="","", INDEX(CS!$B$1:$B$12876,MATCH($A197,CS!$B:$B,0)+COLUMN(K$1),1))</f>
        <v/>
      </c>
      <c r="BG197" t="str">
        <f>IF($A197="","", INDEX(CS!$B$1:$B$12876,MATCH($A197,CS!$B:$B,0)+COLUMN(L$1),1))</f>
        <v/>
      </c>
    </row>
    <row r="198" spans="3:59" x14ac:dyDescent="0.4">
      <c r="C198" t="s">
        <v>193</v>
      </c>
      <c r="D198" t="str">
        <f t="shared" si="9"/>
        <v>0/0/0</v>
      </c>
      <c r="E198">
        <v>1</v>
      </c>
      <c r="AX198" t="str">
        <f>IF($A198="","", INDEX(CS!$B$1:$B$12876,MATCH($A198,CS!$B:$B,0)+COLUMN(A$1),1))</f>
        <v/>
      </c>
      <c r="AY198" t="str">
        <f>IF($A198="","", INDEX(CS!$B$1:$B$12876,MATCH($A198,CS!$B:$B,0)+COLUMN(B$1),1))</f>
        <v/>
      </c>
      <c r="AZ198" t="str">
        <f>IF($A198="","", INDEX(CS!$B$1:$B$12876,MATCH($A198,CS!$B:$B,0)+COLUMN(C$1),1))</f>
        <v/>
      </c>
      <c r="BA198" t="str">
        <f>IF($A198="","", INDEX(CS!$B$1:$B$12876,MATCH($A198,CS!$B:$B,0)+COLUMN(D$1),1))</f>
        <v/>
      </c>
      <c r="BB198" t="str">
        <f>IF($A198="","", INDEX(CS!$B$1:$B$12876,MATCH($A198,CS!$B:$B,0)+COLUMN(E$1),1))</f>
        <v/>
      </c>
      <c r="BC198" t="str">
        <f>IF($A198="","", INDEX(CS!$B$1:$B$12876,MATCH($A198,CS!$B:$B,0)+COLUMN(F$1),1))</f>
        <v/>
      </c>
      <c r="BD198" t="str">
        <f>IF($A198="","", INDEX(CS!$B$1:$B$12876,MATCH($A198,CS!$B:$B,0)+COLUMN(I$1),1))</f>
        <v/>
      </c>
      <c r="BE198" t="str">
        <f>IF($A198="","", INDEX(CS!$B$1:$B$12876,MATCH($A198,CS!$B:$B,0)+COLUMN(J$1),1))</f>
        <v/>
      </c>
      <c r="BF198" t="str">
        <f>IF($A198="","", INDEX(CS!$B$1:$B$12876,MATCH($A198,CS!$B:$B,0)+COLUMN(K$1),1))</f>
        <v/>
      </c>
      <c r="BG198" t="str">
        <f>IF($A198="","", INDEX(CS!$B$1:$B$12876,MATCH($A198,CS!$B:$B,0)+COLUMN(L$1),1))</f>
        <v/>
      </c>
    </row>
    <row r="199" spans="3:59" x14ac:dyDescent="0.4">
      <c r="C199" t="s">
        <v>193</v>
      </c>
      <c r="D199" t="str">
        <f t="shared" si="9"/>
        <v>0/0/0</v>
      </c>
      <c r="E199">
        <v>1</v>
      </c>
      <c r="AX199" t="str">
        <f>IF($A199="","", INDEX(CS!$B$1:$B$12876,MATCH($A199,CS!$B:$B,0)+COLUMN(A$1),1))</f>
        <v/>
      </c>
      <c r="AY199" t="str">
        <f>IF($A199="","", INDEX(CS!$B$1:$B$12876,MATCH($A199,CS!$B:$B,0)+COLUMN(B$1),1))</f>
        <v/>
      </c>
      <c r="AZ199" t="str">
        <f>IF($A199="","", INDEX(CS!$B$1:$B$12876,MATCH($A199,CS!$B:$B,0)+COLUMN(C$1),1))</f>
        <v/>
      </c>
      <c r="BA199" t="str">
        <f>IF($A199="","", INDEX(CS!$B$1:$B$12876,MATCH($A199,CS!$B:$B,0)+COLUMN(D$1),1))</f>
        <v/>
      </c>
      <c r="BB199" t="str">
        <f>IF($A199="","", INDEX(CS!$B$1:$B$12876,MATCH($A199,CS!$B:$B,0)+COLUMN(E$1),1))</f>
        <v/>
      </c>
      <c r="BC199" t="str">
        <f>IF($A199="","", INDEX(CS!$B$1:$B$12876,MATCH($A199,CS!$B:$B,0)+COLUMN(F$1),1))</f>
        <v/>
      </c>
      <c r="BD199" t="str">
        <f>IF($A199="","", INDEX(CS!$B$1:$B$12876,MATCH($A199,CS!$B:$B,0)+COLUMN(I$1),1))</f>
        <v/>
      </c>
      <c r="BE199" t="str">
        <f>IF($A199="","", INDEX(CS!$B$1:$B$12876,MATCH($A199,CS!$B:$B,0)+COLUMN(J$1),1))</f>
        <v/>
      </c>
      <c r="BF199" t="str">
        <f>IF($A199="","", INDEX(CS!$B$1:$B$12876,MATCH($A199,CS!$B:$B,0)+COLUMN(K$1),1))</f>
        <v/>
      </c>
      <c r="BG199" t="str">
        <f>IF($A199="","", INDEX(CS!$B$1:$B$12876,MATCH($A199,CS!$B:$B,0)+COLUMN(L$1),1))</f>
        <v/>
      </c>
    </row>
    <row r="200" spans="3:59" x14ac:dyDescent="0.4">
      <c r="C200" t="s">
        <v>193</v>
      </c>
      <c r="D200" t="str">
        <f t="shared" si="9"/>
        <v>0/0/0</v>
      </c>
      <c r="E200">
        <v>1</v>
      </c>
      <c r="AX200" t="str">
        <f>IF($A200="","", INDEX(CS!$B$1:$B$12876,MATCH($A200,CS!$B:$B,0)+COLUMN(A$1),1))</f>
        <v/>
      </c>
      <c r="AY200" t="str">
        <f>IF($A200="","", INDEX(CS!$B$1:$B$12876,MATCH($A200,CS!$B:$B,0)+COLUMN(B$1),1))</f>
        <v/>
      </c>
      <c r="AZ200" t="str">
        <f>IF($A200="","", INDEX(CS!$B$1:$B$12876,MATCH($A200,CS!$B:$B,0)+COLUMN(C$1),1))</f>
        <v/>
      </c>
      <c r="BA200" t="str">
        <f>IF($A200="","", INDEX(CS!$B$1:$B$12876,MATCH($A200,CS!$B:$B,0)+COLUMN(D$1),1))</f>
        <v/>
      </c>
      <c r="BB200" t="str">
        <f>IF($A200="","", INDEX(CS!$B$1:$B$12876,MATCH($A200,CS!$B:$B,0)+COLUMN(E$1),1))</f>
        <v/>
      </c>
      <c r="BC200" t="str">
        <f>IF($A200="","", INDEX(CS!$B$1:$B$12876,MATCH($A200,CS!$B:$B,0)+COLUMN(F$1),1))</f>
        <v/>
      </c>
      <c r="BD200" t="str">
        <f>IF($A200="","", INDEX(CS!$B$1:$B$12876,MATCH($A200,CS!$B:$B,0)+COLUMN(I$1),1))</f>
        <v/>
      </c>
      <c r="BE200" t="str">
        <f>IF($A200="","", INDEX(CS!$B$1:$B$12876,MATCH($A200,CS!$B:$B,0)+COLUMN(J$1),1))</f>
        <v/>
      </c>
      <c r="BF200" t="str">
        <f>IF($A200="","", INDEX(CS!$B$1:$B$12876,MATCH($A200,CS!$B:$B,0)+COLUMN(K$1),1))</f>
        <v/>
      </c>
      <c r="BG200" t="str">
        <f>IF($A200="","", INDEX(CS!$B$1:$B$12876,MATCH($A200,CS!$B:$B,0)+COLUMN(L$1),1))</f>
        <v/>
      </c>
    </row>
    <row r="201" spans="3:59" x14ac:dyDescent="0.4">
      <c r="C201" t="s">
        <v>193</v>
      </c>
      <c r="D201" t="str">
        <f t="shared" si="9"/>
        <v>0/0/0</v>
      </c>
      <c r="E201">
        <v>1</v>
      </c>
      <c r="AX201" t="str">
        <f>IF($A201="","", INDEX(CS!$B$1:$B$12876,MATCH($A201,CS!$B:$B,0)+COLUMN(A$1),1))</f>
        <v/>
      </c>
      <c r="AY201" t="str">
        <f>IF($A201="","", INDEX(CS!$B$1:$B$12876,MATCH($A201,CS!$B:$B,0)+COLUMN(B$1),1))</f>
        <v/>
      </c>
      <c r="AZ201" t="str">
        <f>IF($A201="","", INDEX(CS!$B$1:$B$12876,MATCH($A201,CS!$B:$B,0)+COLUMN(C$1),1))</f>
        <v/>
      </c>
      <c r="BA201" t="str">
        <f>IF($A201="","", INDEX(CS!$B$1:$B$12876,MATCH($A201,CS!$B:$B,0)+COLUMN(D$1),1))</f>
        <v/>
      </c>
      <c r="BB201" t="str">
        <f>IF($A201="","", INDEX(CS!$B$1:$B$12876,MATCH($A201,CS!$B:$B,0)+COLUMN(E$1),1))</f>
        <v/>
      </c>
      <c r="BC201" t="str">
        <f>IF($A201="","", INDEX(CS!$B$1:$B$12876,MATCH($A201,CS!$B:$B,0)+COLUMN(F$1),1))</f>
        <v/>
      </c>
      <c r="BD201" t="str">
        <f>IF($A201="","", INDEX(CS!$B$1:$B$12876,MATCH($A201,CS!$B:$B,0)+COLUMN(I$1),1))</f>
        <v/>
      </c>
      <c r="BE201" t="str">
        <f>IF($A201="","", INDEX(CS!$B$1:$B$12876,MATCH($A201,CS!$B:$B,0)+COLUMN(J$1),1))</f>
        <v/>
      </c>
      <c r="BF201" t="str">
        <f>IF($A201="","", INDEX(CS!$B$1:$B$12876,MATCH($A201,CS!$B:$B,0)+COLUMN(K$1),1))</f>
        <v/>
      </c>
      <c r="BG201" t="str">
        <f>IF($A201="","", INDEX(CS!$B$1:$B$12876,MATCH($A201,CS!$B:$B,0)+COLUMN(L$1),1))</f>
        <v/>
      </c>
    </row>
    <row r="202" spans="3:59" x14ac:dyDescent="0.4">
      <c r="C202" t="s">
        <v>193</v>
      </c>
      <c r="D202" t="str">
        <f t="shared" si="9"/>
        <v>0/0/0</v>
      </c>
      <c r="E202">
        <v>1</v>
      </c>
      <c r="AX202" t="str">
        <f>IF($A202="","", INDEX(CS!$B$1:$B$12876,MATCH($A202,CS!$B:$B,0)+COLUMN(A$1),1))</f>
        <v/>
      </c>
      <c r="AY202" t="str">
        <f>IF($A202="","", INDEX(CS!$B$1:$B$12876,MATCH($A202,CS!$B:$B,0)+COLUMN(B$1),1))</f>
        <v/>
      </c>
      <c r="AZ202" t="str">
        <f>IF($A202="","", INDEX(CS!$B$1:$B$12876,MATCH($A202,CS!$B:$B,0)+COLUMN(C$1),1))</f>
        <v/>
      </c>
      <c r="BA202" t="str">
        <f>IF($A202="","", INDEX(CS!$B$1:$B$12876,MATCH($A202,CS!$B:$B,0)+COLUMN(D$1),1))</f>
        <v/>
      </c>
      <c r="BB202" t="str">
        <f>IF($A202="","", INDEX(CS!$B$1:$B$12876,MATCH($A202,CS!$B:$B,0)+COLUMN(E$1),1))</f>
        <v/>
      </c>
      <c r="BC202" t="str">
        <f>IF($A202="","", INDEX(CS!$B$1:$B$12876,MATCH($A202,CS!$B:$B,0)+COLUMN(F$1),1))</f>
        <v/>
      </c>
      <c r="BD202" t="str">
        <f>IF($A202="","", INDEX(CS!$B$1:$B$12876,MATCH($A202,CS!$B:$B,0)+COLUMN(I$1),1))</f>
        <v/>
      </c>
      <c r="BE202" t="str">
        <f>IF($A202="","", INDEX(CS!$B$1:$B$12876,MATCH($A202,CS!$B:$B,0)+COLUMN(J$1),1))</f>
        <v/>
      </c>
      <c r="BF202" t="str">
        <f>IF($A202="","", INDEX(CS!$B$1:$B$12876,MATCH($A202,CS!$B:$B,0)+COLUMN(K$1),1))</f>
        <v/>
      </c>
      <c r="BG202" t="str">
        <f>IF($A202="","", INDEX(CS!$B$1:$B$12876,MATCH($A202,CS!$B:$B,0)+COLUMN(L$1),1))</f>
        <v/>
      </c>
    </row>
    <row r="203" spans="3:59" x14ac:dyDescent="0.4">
      <c r="C203" t="s">
        <v>193</v>
      </c>
      <c r="D203" t="str">
        <f t="shared" si="9"/>
        <v>0/0/0</v>
      </c>
      <c r="E203">
        <v>1</v>
      </c>
      <c r="AX203" t="str">
        <f>IF($A203="","", INDEX(CS!$B$1:$B$12876,MATCH($A203,CS!$B:$B,0)+COLUMN(A$1),1))</f>
        <v/>
      </c>
      <c r="AY203" t="str">
        <f>IF($A203="","", INDEX(CS!$B$1:$B$12876,MATCH($A203,CS!$B:$B,0)+COLUMN(B$1),1))</f>
        <v/>
      </c>
      <c r="AZ203" t="str">
        <f>IF($A203="","", INDEX(CS!$B$1:$B$12876,MATCH($A203,CS!$B:$B,0)+COLUMN(C$1),1))</f>
        <v/>
      </c>
      <c r="BA203" t="str">
        <f>IF($A203="","", INDEX(CS!$B$1:$B$12876,MATCH($A203,CS!$B:$B,0)+COLUMN(D$1),1))</f>
        <v/>
      </c>
      <c r="BB203" t="str">
        <f>IF($A203="","", INDEX(CS!$B$1:$B$12876,MATCH($A203,CS!$B:$B,0)+COLUMN(E$1),1))</f>
        <v/>
      </c>
      <c r="BC203" t="str">
        <f>IF($A203="","", INDEX(CS!$B$1:$B$12876,MATCH($A203,CS!$B:$B,0)+COLUMN(F$1),1))</f>
        <v/>
      </c>
      <c r="BD203" t="str">
        <f>IF($A203="","", INDEX(CS!$B$1:$B$12876,MATCH($A203,CS!$B:$B,0)+COLUMN(I$1),1))</f>
        <v/>
      </c>
      <c r="BE203" t="str">
        <f>IF($A203="","", INDEX(CS!$B$1:$B$12876,MATCH($A203,CS!$B:$B,0)+COLUMN(J$1),1))</f>
        <v/>
      </c>
      <c r="BF203" t="str">
        <f>IF($A203="","", INDEX(CS!$B$1:$B$12876,MATCH($A203,CS!$B:$B,0)+COLUMN(K$1),1))</f>
        <v/>
      </c>
      <c r="BG203" t="str">
        <f>IF($A203="","", INDEX(CS!$B$1:$B$12876,MATCH($A203,CS!$B:$B,0)+COLUMN(L$1),1))</f>
        <v/>
      </c>
    </row>
    <row r="204" spans="3:59" x14ac:dyDescent="0.4">
      <c r="C204" t="s">
        <v>193</v>
      </c>
      <c r="D204" t="str">
        <f t="shared" si="9"/>
        <v>0/0/0</v>
      </c>
      <c r="E204">
        <v>1</v>
      </c>
      <c r="AX204" t="str">
        <f>IF($A204="","", INDEX(CS!$B$1:$B$12876,MATCH($A204,CS!$B:$B,0)+COLUMN(A$1),1))</f>
        <v/>
      </c>
      <c r="AY204" t="str">
        <f>IF($A204="","", INDEX(CS!$B$1:$B$12876,MATCH($A204,CS!$B:$B,0)+COLUMN(B$1),1))</f>
        <v/>
      </c>
      <c r="AZ204" t="str">
        <f>IF($A204="","", INDEX(CS!$B$1:$B$12876,MATCH($A204,CS!$B:$B,0)+COLUMN(C$1),1))</f>
        <v/>
      </c>
      <c r="BA204" t="str">
        <f>IF($A204="","", INDEX(CS!$B$1:$B$12876,MATCH($A204,CS!$B:$B,0)+COLUMN(D$1),1))</f>
        <v/>
      </c>
      <c r="BB204" t="str">
        <f>IF($A204="","", INDEX(CS!$B$1:$B$12876,MATCH($A204,CS!$B:$B,0)+COLUMN(E$1),1))</f>
        <v/>
      </c>
      <c r="BC204" t="str">
        <f>IF($A204="","", INDEX(CS!$B$1:$B$12876,MATCH($A204,CS!$B:$B,0)+COLUMN(F$1),1))</f>
        <v/>
      </c>
      <c r="BD204" t="str">
        <f>IF($A204="","", INDEX(CS!$B$1:$B$12876,MATCH($A204,CS!$B:$B,0)+COLUMN(I$1),1))</f>
        <v/>
      </c>
      <c r="BE204" t="str">
        <f>IF($A204="","", INDEX(CS!$B$1:$B$12876,MATCH($A204,CS!$B:$B,0)+COLUMN(J$1),1))</f>
        <v/>
      </c>
      <c r="BF204" t="str">
        <f>IF($A204="","", INDEX(CS!$B$1:$B$12876,MATCH($A204,CS!$B:$B,0)+COLUMN(K$1),1))</f>
        <v/>
      </c>
      <c r="BG204" t="str">
        <f>IF($A204="","", INDEX(CS!$B$1:$B$12876,MATCH($A204,CS!$B:$B,0)+COLUMN(L$1),1))</f>
        <v/>
      </c>
    </row>
    <row r="205" spans="3:59" x14ac:dyDescent="0.4">
      <c r="C205" t="s">
        <v>193</v>
      </c>
      <c r="D205" t="str">
        <f t="shared" si="9"/>
        <v>0/0/0</v>
      </c>
      <c r="E205">
        <v>1</v>
      </c>
      <c r="AX205" t="str">
        <f>IF($A205="","", INDEX(CS!$B$1:$B$12876,MATCH($A205,CS!$B:$B,0)+COLUMN(A$1),1))</f>
        <v/>
      </c>
      <c r="AY205" t="str">
        <f>IF($A205="","", INDEX(CS!$B$1:$B$12876,MATCH($A205,CS!$B:$B,0)+COLUMN(B$1),1))</f>
        <v/>
      </c>
      <c r="AZ205" t="str">
        <f>IF($A205="","", INDEX(CS!$B$1:$B$12876,MATCH($A205,CS!$B:$B,0)+COLUMN(C$1),1))</f>
        <v/>
      </c>
      <c r="BA205" t="str">
        <f>IF($A205="","", INDEX(CS!$B$1:$B$12876,MATCH($A205,CS!$B:$B,0)+COLUMN(D$1),1))</f>
        <v/>
      </c>
      <c r="BB205" t="str">
        <f>IF($A205="","", INDEX(CS!$B$1:$B$12876,MATCH($A205,CS!$B:$B,0)+COLUMN(E$1),1))</f>
        <v/>
      </c>
      <c r="BC205" t="str">
        <f>IF($A205="","", INDEX(CS!$B$1:$B$12876,MATCH($A205,CS!$B:$B,0)+COLUMN(F$1),1))</f>
        <v/>
      </c>
      <c r="BD205" t="str">
        <f>IF($A205="","", INDEX(CS!$B$1:$B$12876,MATCH($A205,CS!$B:$B,0)+COLUMN(I$1),1))</f>
        <v/>
      </c>
      <c r="BE205" t="str">
        <f>IF($A205="","", INDEX(CS!$B$1:$B$12876,MATCH($A205,CS!$B:$B,0)+COLUMN(J$1),1))</f>
        <v/>
      </c>
      <c r="BF205" t="str">
        <f>IF($A205="","", INDEX(CS!$B$1:$B$12876,MATCH($A205,CS!$B:$B,0)+COLUMN(K$1),1))</f>
        <v/>
      </c>
      <c r="BG205" t="str">
        <f>IF($A205="","", INDEX(CS!$B$1:$B$12876,MATCH($A205,CS!$B:$B,0)+COLUMN(L$1),1))</f>
        <v/>
      </c>
    </row>
    <row r="206" spans="3:59" x14ac:dyDescent="0.4">
      <c r="C206" t="s">
        <v>193</v>
      </c>
      <c r="D206" t="str">
        <f t="shared" si="9"/>
        <v>0/0/0</v>
      </c>
      <c r="E206">
        <v>1</v>
      </c>
      <c r="AX206" t="str">
        <f>IF($A206="","", INDEX(CS!$B$1:$B$12876,MATCH($A206,CS!$B:$B,0)+COLUMN(A$1),1))</f>
        <v/>
      </c>
      <c r="AY206" t="str">
        <f>IF($A206="","", INDEX(CS!$B$1:$B$12876,MATCH($A206,CS!$B:$B,0)+COLUMN(B$1),1))</f>
        <v/>
      </c>
      <c r="AZ206" t="str">
        <f>IF($A206="","", INDEX(CS!$B$1:$B$12876,MATCH($A206,CS!$B:$B,0)+COLUMN(C$1),1))</f>
        <v/>
      </c>
      <c r="BA206" t="str">
        <f>IF($A206="","", INDEX(CS!$B$1:$B$12876,MATCH($A206,CS!$B:$B,0)+COLUMN(D$1),1))</f>
        <v/>
      </c>
      <c r="BB206" t="str">
        <f>IF($A206="","", INDEX(CS!$B$1:$B$12876,MATCH($A206,CS!$B:$B,0)+COLUMN(E$1),1))</f>
        <v/>
      </c>
      <c r="BC206" t="str">
        <f>IF($A206="","", INDEX(CS!$B$1:$B$12876,MATCH($A206,CS!$B:$B,0)+COLUMN(F$1),1))</f>
        <v/>
      </c>
      <c r="BD206" t="str">
        <f>IF($A206="","", INDEX(CS!$B$1:$B$12876,MATCH($A206,CS!$B:$B,0)+COLUMN(I$1),1))</f>
        <v/>
      </c>
      <c r="BE206" t="str">
        <f>IF($A206="","", INDEX(CS!$B$1:$B$12876,MATCH($A206,CS!$B:$B,0)+COLUMN(J$1),1))</f>
        <v/>
      </c>
      <c r="BF206" t="str">
        <f>IF($A206="","", INDEX(CS!$B$1:$B$12876,MATCH($A206,CS!$B:$B,0)+COLUMN(K$1),1))</f>
        <v/>
      </c>
      <c r="BG206" t="str">
        <f>IF($A206="","", INDEX(CS!$B$1:$B$12876,MATCH($A206,CS!$B:$B,0)+COLUMN(L$1),1))</f>
        <v/>
      </c>
    </row>
    <row r="207" spans="3:59" x14ac:dyDescent="0.4">
      <c r="C207" t="s">
        <v>193</v>
      </c>
      <c r="D207" t="str">
        <f t="shared" si="9"/>
        <v>0/0/0</v>
      </c>
      <c r="E207">
        <v>1</v>
      </c>
      <c r="AX207" t="str">
        <f>IF($A207="","", INDEX(CS!$B$1:$B$12876,MATCH($A207,CS!$B:$B,0)+COLUMN(A$1),1))</f>
        <v/>
      </c>
      <c r="AY207" t="str">
        <f>IF($A207="","", INDEX(CS!$B$1:$B$12876,MATCH($A207,CS!$B:$B,0)+COLUMN(B$1),1))</f>
        <v/>
      </c>
      <c r="AZ207" t="str">
        <f>IF($A207="","", INDEX(CS!$B$1:$B$12876,MATCH($A207,CS!$B:$B,0)+COLUMN(C$1),1))</f>
        <v/>
      </c>
      <c r="BA207" t="str">
        <f>IF($A207="","", INDEX(CS!$B$1:$B$12876,MATCH($A207,CS!$B:$B,0)+COLUMN(D$1),1))</f>
        <v/>
      </c>
      <c r="BB207" t="str">
        <f>IF($A207="","", INDEX(CS!$B$1:$B$12876,MATCH($A207,CS!$B:$B,0)+COLUMN(E$1),1))</f>
        <v/>
      </c>
      <c r="BC207" t="str">
        <f>IF($A207="","", INDEX(CS!$B$1:$B$12876,MATCH($A207,CS!$B:$B,0)+COLUMN(F$1),1))</f>
        <v/>
      </c>
      <c r="BD207" t="str">
        <f>IF($A207="","", INDEX(CS!$B$1:$B$12876,MATCH($A207,CS!$B:$B,0)+COLUMN(I$1),1))</f>
        <v/>
      </c>
      <c r="BE207" t="str">
        <f>IF($A207="","", INDEX(CS!$B$1:$B$12876,MATCH($A207,CS!$B:$B,0)+COLUMN(J$1),1))</f>
        <v/>
      </c>
      <c r="BF207" t="str">
        <f>IF($A207="","", INDEX(CS!$B$1:$B$12876,MATCH($A207,CS!$B:$B,0)+COLUMN(K$1),1))</f>
        <v/>
      </c>
      <c r="BG207" t="str">
        <f>IF($A207="","", INDEX(CS!$B$1:$B$12876,MATCH($A207,CS!$B:$B,0)+COLUMN(L$1),1))</f>
        <v/>
      </c>
    </row>
    <row r="208" spans="3:59" x14ac:dyDescent="0.4">
      <c r="C208" t="s">
        <v>193</v>
      </c>
      <c r="D208" t="str">
        <f t="shared" si="9"/>
        <v>0/0/0</v>
      </c>
      <c r="E208">
        <v>1</v>
      </c>
      <c r="AX208" t="str">
        <f>IF($A208="","", INDEX(CS!$B$1:$B$12876,MATCH($A208,CS!$B:$B,0)+COLUMN(A$1),1))</f>
        <v/>
      </c>
      <c r="AY208" t="str">
        <f>IF($A208="","", INDEX(CS!$B$1:$B$12876,MATCH($A208,CS!$B:$B,0)+COLUMN(B$1),1))</f>
        <v/>
      </c>
      <c r="AZ208" t="str">
        <f>IF($A208="","", INDEX(CS!$B$1:$B$12876,MATCH($A208,CS!$B:$B,0)+COLUMN(C$1),1))</f>
        <v/>
      </c>
      <c r="BA208" t="str">
        <f>IF($A208="","", INDEX(CS!$B$1:$B$12876,MATCH($A208,CS!$B:$B,0)+COLUMN(D$1),1))</f>
        <v/>
      </c>
      <c r="BB208" t="str">
        <f>IF($A208="","", INDEX(CS!$B$1:$B$12876,MATCH($A208,CS!$B:$B,0)+COLUMN(E$1),1))</f>
        <v/>
      </c>
      <c r="BC208" t="str">
        <f>IF($A208="","", INDEX(CS!$B$1:$B$12876,MATCH($A208,CS!$B:$B,0)+COLUMN(F$1),1))</f>
        <v/>
      </c>
      <c r="BD208" t="str">
        <f>IF($A208="","", INDEX(CS!$B$1:$B$12876,MATCH($A208,CS!$B:$B,0)+COLUMN(I$1),1))</f>
        <v/>
      </c>
      <c r="BE208" t="str">
        <f>IF($A208="","", INDEX(CS!$B$1:$B$12876,MATCH($A208,CS!$B:$B,0)+COLUMN(J$1),1))</f>
        <v/>
      </c>
      <c r="BF208" t="str">
        <f>IF($A208="","", INDEX(CS!$B$1:$B$12876,MATCH($A208,CS!$B:$B,0)+COLUMN(K$1),1))</f>
        <v/>
      </c>
      <c r="BG208" t="str">
        <f>IF($A208="","", INDEX(CS!$B$1:$B$12876,MATCH($A208,CS!$B:$B,0)+COLUMN(L$1),1))</f>
        <v/>
      </c>
    </row>
    <row r="209" spans="3:59" x14ac:dyDescent="0.4">
      <c r="C209" t="s">
        <v>193</v>
      </c>
      <c r="D209" t="str">
        <f t="shared" si="9"/>
        <v>0/0/0</v>
      </c>
      <c r="E209">
        <v>1</v>
      </c>
      <c r="AX209" t="str">
        <f>IF($A209="","", INDEX(CS!$B$1:$B$12876,MATCH($A209,CS!$B:$B,0)+COLUMN(A$1),1))</f>
        <v/>
      </c>
      <c r="AY209" t="str">
        <f>IF($A209="","", INDEX(CS!$B$1:$B$12876,MATCH($A209,CS!$B:$B,0)+COLUMN(B$1),1))</f>
        <v/>
      </c>
      <c r="AZ209" t="str">
        <f>IF($A209="","", INDEX(CS!$B$1:$B$12876,MATCH($A209,CS!$B:$B,0)+COLUMN(C$1),1))</f>
        <v/>
      </c>
      <c r="BA209" t="str">
        <f>IF($A209="","", INDEX(CS!$B$1:$B$12876,MATCH($A209,CS!$B:$B,0)+COLUMN(D$1),1))</f>
        <v/>
      </c>
      <c r="BB209" t="str">
        <f>IF($A209="","", INDEX(CS!$B$1:$B$12876,MATCH($A209,CS!$B:$B,0)+COLUMN(E$1),1))</f>
        <v/>
      </c>
      <c r="BC209" t="str">
        <f>IF($A209="","", INDEX(CS!$B$1:$B$12876,MATCH($A209,CS!$B:$B,0)+COLUMN(F$1),1))</f>
        <v/>
      </c>
      <c r="BD209" t="str">
        <f>IF($A209="","", INDEX(CS!$B$1:$B$12876,MATCH($A209,CS!$B:$B,0)+COLUMN(I$1),1))</f>
        <v/>
      </c>
      <c r="BE209" t="str">
        <f>IF($A209="","", INDEX(CS!$B$1:$B$12876,MATCH($A209,CS!$B:$B,0)+COLUMN(J$1),1))</f>
        <v/>
      </c>
      <c r="BF209" t="str">
        <f>IF($A209="","", INDEX(CS!$B$1:$B$12876,MATCH($A209,CS!$B:$B,0)+COLUMN(K$1),1))</f>
        <v/>
      </c>
      <c r="BG209" t="str">
        <f>IF($A209="","", INDEX(CS!$B$1:$B$12876,MATCH($A209,CS!$B:$B,0)+COLUMN(L$1),1))</f>
        <v/>
      </c>
    </row>
    <row r="210" spans="3:59" x14ac:dyDescent="0.4">
      <c r="C210" t="s">
        <v>193</v>
      </c>
      <c r="D210" t="str">
        <f t="shared" si="9"/>
        <v>0/0/0</v>
      </c>
      <c r="E210">
        <v>1</v>
      </c>
      <c r="AX210" t="str">
        <f>IF($A210="","", INDEX(CS!$B$1:$B$12876,MATCH($A210,CS!$B:$B,0)+COLUMN(A$1),1))</f>
        <v/>
      </c>
      <c r="AY210" t="str">
        <f>IF($A210="","", INDEX(CS!$B$1:$B$12876,MATCH($A210,CS!$B:$B,0)+COLUMN(B$1),1))</f>
        <v/>
      </c>
      <c r="AZ210" t="str">
        <f>IF($A210="","", INDEX(CS!$B$1:$B$12876,MATCH($A210,CS!$B:$B,0)+COLUMN(C$1),1))</f>
        <v/>
      </c>
      <c r="BA210" t="str">
        <f>IF($A210="","", INDEX(CS!$B$1:$B$12876,MATCH($A210,CS!$B:$B,0)+COLUMN(D$1),1))</f>
        <v/>
      </c>
      <c r="BB210" t="str">
        <f>IF($A210="","", INDEX(CS!$B$1:$B$12876,MATCH($A210,CS!$B:$B,0)+COLUMN(E$1),1))</f>
        <v/>
      </c>
      <c r="BC210" t="str">
        <f>IF($A210="","", INDEX(CS!$B$1:$B$12876,MATCH($A210,CS!$B:$B,0)+COLUMN(F$1),1))</f>
        <v/>
      </c>
      <c r="BD210" t="str">
        <f>IF($A210="","", INDEX(CS!$B$1:$B$12876,MATCH($A210,CS!$B:$B,0)+COLUMN(I$1),1))</f>
        <v/>
      </c>
      <c r="BE210" t="str">
        <f>IF($A210="","", INDEX(CS!$B$1:$B$12876,MATCH($A210,CS!$B:$B,0)+COLUMN(J$1),1))</f>
        <v/>
      </c>
      <c r="BF210" t="str">
        <f>IF($A210="","", INDEX(CS!$B$1:$B$12876,MATCH($A210,CS!$B:$B,0)+COLUMN(K$1),1))</f>
        <v/>
      </c>
      <c r="BG210" t="str">
        <f>IF($A210="","", INDEX(CS!$B$1:$B$12876,MATCH($A210,CS!$B:$B,0)+COLUMN(L$1),1))</f>
        <v/>
      </c>
    </row>
    <row r="211" spans="3:59" x14ac:dyDescent="0.4">
      <c r="C211" t="s">
        <v>193</v>
      </c>
      <c r="D211" t="str">
        <f t="shared" si="9"/>
        <v>0/0/0</v>
      </c>
      <c r="E211">
        <v>1</v>
      </c>
      <c r="AX211" t="str">
        <f>IF($A211="","", INDEX(CS!$B$1:$B$12876,MATCH($A211,CS!$B:$B,0)+COLUMN(A$1),1))</f>
        <v/>
      </c>
      <c r="AY211" t="str">
        <f>IF($A211="","", INDEX(CS!$B$1:$B$12876,MATCH($A211,CS!$B:$B,0)+COLUMN(B$1),1))</f>
        <v/>
      </c>
      <c r="AZ211" t="str">
        <f>IF($A211="","", INDEX(CS!$B$1:$B$12876,MATCH($A211,CS!$B:$B,0)+COLUMN(C$1),1))</f>
        <v/>
      </c>
      <c r="BA211" t="str">
        <f>IF($A211="","", INDEX(CS!$B$1:$B$12876,MATCH($A211,CS!$B:$B,0)+COLUMN(D$1),1))</f>
        <v/>
      </c>
      <c r="BB211" t="str">
        <f>IF($A211="","", INDEX(CS!$B$1:$B$12876,MATCH($A211,CS!$B:$B,0)+COLUMN(E$1),1))</f>
        <v/>
      </c>
      <c r="BC211" t="str">
        <f>IF($A211="","", INDEX(CS!$B$1:$B$12876,MATCH($A211,CS!$B:$B,0)+COLUMN(F$1),1))</f>
        <v/>
      </c>
      <c r="BD211" t="str">
        <f>IF($A211="","", INDEX(CS!$B$1:$B$12876,MATCH($A211,CS!$B:$B,0)+COLUMN(I$1),1))</f>
        <v/>
      </c>
      <c r="BE211" t="str">
        <f>IF($A211="","", INDEX(CS!$B$1:$B$12876,MATCH($A211,CS!$B:$B,0)+COLUMN(J$1),1))</f>
        <v/>
      </c>
      <c r="BF211" t="str">
        <f>IF($A211="","", INDEX(CS!$B$1:$B$12876,MATCH($A211,CS!$B:$B,0)+COLUMN(K$1),1))</f>
        <v/>
      </c>
      <c r="BG211" t="str">
        <f>IF($A211="","", INDEX(CS!$B$1:$B$12876,MATCH($A211,CS!$B:$B,0)+COLUMN(L$1),1))</f>
        <v/>
      </c>
    </row>
    <row r="212" spans="3:59" x14ac:dyDescent="0.4">
      <c r="C212" t="s">
        <v>193</v>
      </c>
      <c r="D212" t="str">
        <f t="shared" si="9"/>
        <v>0/0/0</v>
      </c>
      <c r="E212">
        <v>1</v>
      </c>
      <c r="AX212" t="str">
        <f>IF($A212="","", INDEX(CS!$B$1:$B$12876,MATCH($A212,CS!$B:$B,0)+COLUMN(A$1),1))</f>
        <v/>
      </c>
      <c r="AY212" t="str">
        <f>IF($A212="","", INDEX(CS!$B$1:$B$12876,MATCH($A212,CS!$B:$B,0)+COLUMN(B$1),1))</f>
        <v/>
      </c>
      <c r="AZ212" t="str">
        <f>IF($A212="","", INDEX(CS!$B$1:$B$12876,MATCH($A212,CS!$B:$B,0)+COLUMN(C$1),1))</f>
        <v/>
      </c>
      <c r="BA212" t="str">
        <f>IF($A212="","", INDEX(CS!$B$1:$B$12876,MATCH($A212,CS!$B:$B,0)+COLUMN(D$1),1))</f>
        <v/>
      </c>
      <c r="BB212" t="str">
        <f>IF($A212="","", INDEX(CS!$B$1:$B$12876,MATCH($A212,CS!$B:$B,0)+COLUMN(E$1),1))</f>
        <v/>
      </c>
      <c r="BC212" t="str">
        <f>IF($A212="","", INDEX(CS!$B$1:$B$12876,MATCH($A212,CS!$B:$B,0)+COLUMN(F$1),1))</f>
        <v/>
      </c>
      <c r="BD212" t="str">
        <f>IF($A212="","", INDEX(CS!$B$1:$B$12876,MATCH($A212,CS!$B:$B,0)+COLUMN(I$1),1))</f>
        <v/>
      </c>
      <c r="BE212" t="str">
        <f>IF($A212="","", INDEX(CS!$B$1:$B$12876,MATCH($A212,CS!$B:$B,0)+COLUMN(J$1),1))</f>
        <v/>
      </c>
      <c r="BF212" t="str">
        <f>IF($A212="","", INDEX(CS!$B$1:$B$12876,MATCH($A212,CS!$B:$B,0)+COLUMN(K$1),1))</f>
        <v/>
      </c>
      <c r="BG212" t="str">
        <f>IF($A212="","", INDEX(CS!$B$1:$B$12876,MATCH($A212,CS!$B:$B,0)+COLUMN(L$1),1))</f>
        <v/>
      </c>
    </row>
    <row r="213" spans="3:59" x14ac:dyDescent="0.4">
      <c r="C213" t="s">
        <v>193</v>
      </c>
      <c r="D213" t="str">
        <f t="shared" si="9"/>
        <v>0/0/0</v>
      </c>
      <c r="E213">
        <v>1</v>
      </c>
      <c r="AX213" t="str">
        <f>IF($A213="","", INDEX(CS!$B$1:$B$12876,MATCH($A213,CS!$B:$B,0)+COLUMN(A$1),1))</f>
        <v/>
      </c>
      <c r="AY213" t="str">
        <f>IF($A213="","", INDEX(CS!$B$1:$B$12876,MATCH($A213,CS!$B:$B,0)+COLUMN(B$1),1))</f>
        <v/>
      </c>
      <c r="AZ213" t="str">
        <f>IF($A213="","", INDEX(CS!$B$1:$B$12876,MATCH($A213,CS!$B:$B,0)+COLUMN(C$1),1))</f>
        <v/>
      </c>
      <c r="BA213" t="str">
        <f>IF($A213="","", INDEX(CS!$B$1:$B$12876,MATCH($A213,CS!$B:$B,0)+COLUMN(D$1),1))</f>
        <v/>
      </c>
      <c r="BB213" t="str">
        <f>IF($A213="","", INDEX(CS!$B$1:$B$12876,MATCH($A213,CS!$B:$B,0)+COLUMN(E$1),1))</f>
        <v/>
      </c>
      <c r="BC213" t="str">
        <f>IF($A213="","", INDEX(CS!$B$1:$B$12876,MATCH($A213,CS!$B:$B,0)+COLUMN(F$1),1))</f>
        <v/>
      </c>
      <c r="BD213" t="str">
        <f>IF($A213="","", INDEX(CS!$B$1:$B$12876,MATCH($A213,CS!$B:$B,0)+COLUMN(I$1),1))</f>
        <v/>
      </c>
      <c r="BE213" t="str">
        <f>IF($A213="","", INDEX(CS!$B$1:$B$12876,MATCH($A213,CS!$B:$B,0)+COLUMN(J$1),1))</f>
        <v/>
      </c>
      <c r="BF213" t="str">
        <f>IF($A213="","", INDEX(CS!$B$1:$B$12876,MATCH($A213,CS!$B:$B,0)+COLUMN(K$1),1))</f>
        <v/>
      </c>
      <c r="BG213" t="str">
        <f>IF($A213="","", INDEX(CS!$B$1:$B$12876,MATCH($A213,CS!$B:$B,0)+COLUMN(L$1),1))</f>
        <v/>
      </c>
    </row>
    <row r="214" spans="3:59" x14ac:dyDescent="0.4">
      <c r="C214" t="s">
        <v>193</v>
      </c>
      <c r="D214" t="str">
        <f t="shared" si="9"/>
        <v>0/0/0</v>
      </c>
      <c r="E214">
        <v>1</v>
      </c>
      <c r="AX214" t="str">
        <f>IF($A214="","", INDEX(CS!$B$1:$B$12876,MATCH($A214,CS!$B:$B,0)+COLUMN(A$1),1))</f>
        <v/>
      </c>
      <c r="AY214" t="str">
        <f>IF($A214="","", INDEX(CS!$B$1:$B$12876,MATCH($A214,CS!$B:$B,0)+COLUMN(B$1),1))</f>
        <v/>
      </c>
      <c r="AZ214" t="str">
        <f>IF($A214="","", INDEX(CS!$B$1:$B$12876,MATCH($A214,CS!$B:$B,0)+COLUMN(C$1),1))</f>
        <v/>
      </c>
      <c r="BA214" t="str">
        <f>IF($A214="","", INDEX(CS!$B$1:$B$12876,MATCH($A214,CS!$B:$B,0)+COLUMN(D$1),1))</f>
        <v/>
      </c>
      <c r="BB214" t="str">
        <f>IF($A214="","", INDEX(CS!$B$1:$B$12876,MATCH($A214,CS!$B:$B,0)+COLUMN(E$1),1))</f>
        <v/>
      </c>
      <c r="BC214" t="str">
        <f>IF($A214="","", INDEX(CS!$B$1:$B$12876,MATCH($A214,CS!$B:$B,0)+COLUMN(F$1),1))</f>
        <v/>
      </c>
      <c r="BD214" t="str">
        <f>IF($A214="","", INDEX(CS!$B$1:$B$12876,MATCH($A214,CS!$B:$B,0)+COLUMN(I$1),1))</f>
        <v/>
      </c>
      <c r="BE214" t="str">
        <f>IF($A214="","", INDEX(CS!$B$1:$B$12876,MATCH($A214,CS!$B:$B,0)+COLUMN(J$1),1))</f>
        <v/>
      </c>
      <c r="BF214" t="str">
        <f>IF($A214="","", INDEX(CS!$B$1:$B$12876,MATCH($A214,CS!$B:$B,0)+COLUMN(K$1),1))</f>
        <v/>
      </c>
      <c r="BG214" t="str">
        <f>IF($A214="","", INDEX(CS!$B$1:$B$12876,MATCH($A214,CS!$B:$B,0)+COLUMN(L$1),1))</f>
        <v/>
      </c>
    </row>
    <row r="215" spans="3:59" x14ac:dyDescent="0.4">
      <c r="C215" t="s">
        <v>193</v>
      </c>
      <c r="D215" t="str">
        <f t="shared" si="9"/>
        <v>0/0/0</v>
      </c>
      <c r="E215">
        <v>1</v>
      </c>
      <c r="AX215" t="str">
        <f>IF($A215="","", INDEX(CS!$B$1:$B$12876,MATCH($A215,CS!$B:$B,0)+COLUMN(A$1),1))</f>
        <v/>
      </c>
      <c r="AY215" t="str">
        <f>IF($A215="","", INDEX(CS!$B$1:$B$12876,MATCH($A215,CS!$B:$B,0)+COLUMN(B$1),1))</f>
        <v/>
      </c>
      <c r="AZ215" t="str">
        <f>IF($A215="","", INDEX(CS!$B$1:$B$12876,MATCH($A215,CS!$B:$B,0)+COLUMN(C$1),1))</f>
        <v/>
      </c>
      <c r="BA215" t="str">
        <f>IF($A215="","", INDEX(CS!$B$1:$B$12876,MATCH($A215,CS!$B:$B,0)+COLUMN(D$1),1))</f>
        <v/>
      </c>
      <c r="BB215" t="str">
        <f>IF($A215="","", INDEX(CS!$B$1:$B$12876,MATCH($A215,CS!$B:$B,0)+COLUMN(E$1),1))</f>
        <v/>
      </c>
      <c r="BC215" t="str">
        <f>IF($A215="","", INDEX(CS!$B$1:$B$12876,MATCH($A215,CS!$B:$B,0)+COLUMN(F$1),1))</f>
        <v/>
      </c>
      <c r="BD215" t="str">
        <f>IF($A215="","", INDEX(CS!$B$1:$B$12876,MATCH($A215,CS!$B:$B,0)+COLUMN(I$1),1))</f>
        <v/>
      </c>
      <c r="BE215" t="str">
        <f>IF($A215="","", INDEX(CS!$B$1:$B$12876,MATCH($A215,CS!$B:$B,0)+COLUMN(J$1),1))</f>
        <v/>
      </c>
      <c r="BF215" t="str">
        <f>IF($A215="","", INDEX(CS!$B$1:$B$12876,MATCH($A215,CS!$B:$B,0)+COLUMN(K$1),1))</f>
        <v/>
      </c>
      <c r="BG215" t="str">
        <f>IF($A215="","", INDEX(CS!$B$1:$B$12876,MATCH($A215,CS!$B:$B,0)+COLUMN(L$1),1))</f>
        <v/>
      </c>
    </row>
    <row r="216" spans="3:59" x14ac:dyDescent="0.4">
      <c r="C216" t="s">
        <v>193</v>
      </c>
      <c r="D216" t="str">
        <f t="shared" si="9"/>
        <v>0/0/0</v>
      </c>
      <c r="E216">
        <v>1</v>
      </c>
      <c r="AX216" t="str">
        <f>IF($A216="","", INDEX(CS!$B$1:$B$12876,MATCH($A216,CS!$B:$B,0)+COLUMN(A$1),1))</f>
        <v/>
      </c>
      <c r="AY216" t="str">
        <f>IF($A216="","", INDEX(CS!$B$1:$B$12876,MATCH($A216,CS!$B:$B,0)+COLUMN(B$1),1))</f>
        <v/>
      </c>
      <c r="AZ216" t="str">
        <f>IF($A216="","", INDEX(CS!$B$1:$B$12876,MATCH($A216,CS!$B:$B,0)+COLUMN(C$1),1))</f>
        <v/>
      </c>
      <c r="BA216" t="str">
        <f>IF($A216="","", INDEX(CS!$B$1:$B$12876,MATCH($A216,CS!$B:$B,0)+COLUMN(D$1),1))</f>
        <v/>
      </c>
      <c r="BB216" t="str">
        <f>IF($A216="","", INDEX(CS!$B$1:$B$12876,MATCH($A216,CS!$B:$B,0)+COLUMN(E$1),1))</f>
        <v/>
      </c>
      <c r="BC216" t="str">
        <f>IF($A216="","", INDEX(CS!$B$1:$B$12876,MATCH($A216,CS!$B:$B,0)+COLUMN(F$1),1))</f>
        <v/>
      </c>
      <c r="BD216" t="str">
        <f>IF($A216="","", INDEX(CS!$B$1:$B$12876,MATCH($A216,CS!$B:$B,0)+COLUMN(I$1),1))</f>
        <v/>
      </c>
      <c r="BE216" t="str">
        <f>IF($A216="","", INDEX(CS!$B$1:$B$12876,MATCH($A216,CS!$B:$B,0)+COLUMN(J$1),1))</f>
        <v/>
      </c>
      <c r="BF216" t="str">
        <f>IF($A216="","", INDEX(CS!$B$1:$B$12876,MATCH($A216,CS!$B:$B,0)+COLUMN(K$1),1))</f>
        <v/>
      </c>
      <c r="BG216" t="str">
        <f>IF($A216="","", INDEX(CS!$B$1:$B$12876,MATCH($A216,CS!$B:$B,0)+COLUMN(L$1),1))</f>
        <v/>
      </c>
    </row>
    <row r="217" spans="3:59" x14ac:dyDescent="0.4">
      <c r="C217" t="s">
        <v>193</v>
      </c>
      <c r="D217" t="str">
        <f t="shared" si="9"/>
        <v>0/0/0</v>
      </c>
      <c r="E217">
        <v>1</v>
      </c>
      <c r="AX217" t="str">
        <f>IF($A217="","", INDEX(CS!$B$1:$B$12876,MATCH($A217,CS!$B:$B,0)+COLUMN(A$1),1))</f>
        <v/>
      </c>
      <c r="AY217" t="str">
        <f>IF($A217="","", INDEX(CS!$B$1:$B$12876,MATCH($A217,CS!$B:$B,0)+COLUMN(B$1),1))</f>
        <v/>
      </c>
      <c r="AZ217" t="str">
        <f>IF($A217="","", INDEX(CS!$B$1:$B$12876,MATCH($A217,CS!$B:$B,0)+COLUMN(C$1),1))</f>
        <v/>
      </c>
      <c r="BA217" t="str">
        <f>IF($A217="","", INDEX(CS!$B$1:$B$12876,MATCH($A217,CS!$B:$B,0)+COLUMN(D$1),1))</f>
        <v/>
      </c>
      <c r="BB217" t="str">
        <f>IF($A217="","", INDEX(CS!$B$1:$B$12876,MATCH($A217,CS!$B:$B,0)+COLUMN(E$1),1))</f>
        <v/>
      </c>
      <c r="BC217" t="str">
        <f>IF($A217="","", INDEX(CS!$B$1:$B$12876,MATCH($A217,CS!$B:$B,0)+COLUMN(F$1),1))</f>
        <v/>
      </c>
      <c r="BD217" t="str">
        <f>IF($A217="","", INDEX(CS!$B$1:$B$12876,MATCH($A217,CS!$B:$B,0)+COLUMN(I$1),1))</f>
        <v/>
      </c>
      <c r="BE217" t="str">
        <f>IF($A217="","", INDEX(CS!$B$1:$B$12876,MATCH($A217,CS!$B:$B,0)+COLUMN(J$1),1))</f>
        <v/>
      </c>
      <c r="BF217" t="str">
        <f>IF($A217="","", INDEX(CS!$B$1:$B$12876,MATCH($A217,CS!$B:$B,0)+COLUMN(K$1),1))</f>
        <v/>
      </c>
      <c r="BG217" t="str">
        <f>IF($A217="","", INDEX(CS!$B$1:$B$12876,MATCH($A217,CS!$B:$B,0)+COLUMN(L$1),1))</f>
        <v/>
      </c>
    </row>
    <row r="218" spans="3:59" x14ac:dyDescent="0.4">
      <c r="C218" t="s">
        <v>193</v>
      </c>
      <c r="D218" t="str">
        <f t="shared" si="9"/>
        <v>0/0/0</v>
      </c>
      <c r="E218">
        <v>1</v>
      </c>
      <c r="AX218" t="str">
        <f>IF($A218="","", INDEX(CS!$B$1:$B$12876,MATCH($A218,CS!$B:$B,0)+COLUMN(A$1),1))</f>
        <v/>
      </c>
      <c r="AY218" t="str">
        <f>IF($A218="","", INDEX(CS!$B$1:$B$12876,MATCH($A218,CS!$B:$B,0)+COLUMN(B$1),1))</f>
        <v/>
      </c>
      <c r="AZ218" t="str">
        <f>IF($A218="","", INDEX(CS!$B$1:$B$12876,MATCH($A218,CS!$B:$B,0)+COLUMN(C$1),1))</f>
        <v/>
      </c>
      <c r="BA218" t="str">
        <f>IF($A218="","", INDEX(CS!$B$1:$B$12876,MATCH($A218,CS!$B:$B,0)+COLUMN(D$1),1))</f>
        <v/>
      </c>
      <c r="BB218" t="str">
        <f>IF($A218="","", INDEX(CS!$B$1:$B$12876,MATCH($A218,CS!$B:$B,0)+COLUMN(E$1),1))</f>
        <v/>
      </c>
      <c r="BC218" t="str">
        <f>IF($A218="","", INDEX(CS!$B$1:$B$12876,MATCH($A218,CS!$B:$B,0)+COLUMN(F$1),1))</f>
        <v/>
      </c>
      <c r="BD218" t="str">
        <f>IF($A218="","", INDEX(CS!$B$1:$B$12876,MATCH($A218,CS!$B:$B,0)+COLUMN(I$1),1))</f>
        <v/>
      </c>
      <c r="BE218" t="str">
        <f>IF($A218="","", INDEX(CS!$B$1:$B$12876,MATCH($A218,CS!$B:$B,0)+COLUMN(J$1),1))</f>
        <v/>
      </c>
      <c r="BF218" t="str">
        <f>IF($A218="","", INDEX(CS!$B$1:$B$12876,MATCH($A218,CS!$B:$B,0)+COLUMN(K$1),1))</f>
        <v/>
      </c>
      <c r="BG218" t="str">
        <f>IF($A218="","", INDEX(CS!$B$1:$B$12876,MATCH($A218,CS!$B:$B,0)+COLUMN(L$1),1))</f>
        <v/>
      </c>
    </row>
    <row r="219" spans="3:59" x14ac:dyDescent="0.4">
      <c r="C219" t="s">
        <v>193</v>
      </c>
      <c r="D219" t="str">
        <f t="shared" si="9"/>
        <v>0/0/0</v>
      </c>
      <c r="E219">
        <v>1</v>
      </c>
      <c r="AX219" t="str">
        <f>IF($A219="","", INDEX(CS!$B$1:$B$12876,MATCH($A219,CS!$B:$B,0)+COLUMN(A$1),1))</f>
        <v/>
      </c>
      <c r="AY219" t="str">
        <f>IF($A219="","", INDEX(CS!$B$1:$B$12876,MATCH($A219,CS!$B:$B,0)+COLUMN(B$1),1))</f>
        <v/>
      </c>
      <c r="AZ219" t="str">
        <f>IF($A219="","", INDEX(CS!$B$1:$B$12876,MATCH($A219,CS!$B:$B,0)+COLUMN(C$1),1))</f>
        <v/>
      </c>
      <c r="BA219" t="str">
        <f>IF($A219="","", INDEX(CS!$B$1:$B$12876,MATCH($A219,CS!$B:$B,0)+COLUMN(D$1),1))</f>
        <v/>
      </c>
      <c r="BB219" t="str">
        <f>IF($A219="","", INDEX(CS!$B$1:$B$12876,MATCH($A219,CS!$B:$B,0)+COLUMN(E$1),1))</f>
        <v/>
      </c>
      <c r="BC219" t="str">
        <f>IF($A219="","", INDEX(CS!$B$1:$B$12876,MATCH($A219,CS!$B:$B,0)+COLUMN(F$1),1))</f>
        <v/>
      </c>
      <c r="BD219" t="str">
        <f>IF($A219="","", INDEX(CS!$B$1:$B$12876,MATCH($A219,CS!$B:$B,0)+COLUMN(I$1),1))</f>
        <v/>
      </c>
      <c r="BE219" t="str">
        <f>IF($A219="","", INDEX(CS!$B$1:$B$12876,MATCH($A219,CS!$B:$B,0)+COLUMN(J$1),1))</f>
        <v/>
      </c>
      <c r="BF219" t="str">
        <f>IF($A219="","", INDEX(CS!$B$1:$B$12876,MATCH($A219,CS!$B:$B,0)+COLUMN(K$1),1))</f>
        <v/>
      </c>
      <c r="BG219" t="str">
        <f>IF($A219="","", INDEX(CS!$B$1:$B$12876,MATCH($A219,CS!$B:$B,0)+COLUMN(L$1),1))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I9"/>
  <sheetViews>
    <sheetView workbookViewId="0">
      <selection activeCell="A9" sqref="A2:A9"/>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1518</v>
      </c>
      <c r="B1" s="2" t="s">
        <v>1519</v>
      </c>
      <c r="C1" s="2" t="s">
        <v>1520</v>
      </c>
      <c r="D1" s="2" t="s">
        <v>1521</v>
      </c>
      <c r="E1" s="2" t="s">
        <v>1522</v>
      </c>
      <c r="F1" s="2" t="s">
        <v>1523</v>
      </c>
      <c r="G1" s="2" t="s">
        <v>1524</v>
      </c>
      <c r="H1" s="2" t="s">
        <v>1525</v>
      </c>
      <c r="I1" s="2" t="s">
        <v>1526</v>
      </c>
    </row>
    <row r="2" spans="1:9" x14ac:dyDescent="0.4">
      <c r="A2" t="s">
        <v>1527</v>
      </c>
      <c r="B2" t="s">
        <v>1527</v>
      </c>
      <c r="C2" t="s">
        <v>54</v>
      </c>
      <c r="D2" t="s">
        <v>1528</v>
      </c>
      <c r="E2" t="s">
        <v>1529</v>
      </c>
      <c r="F2" t="s">
        <v>1530</v>
      </c>
      <c r="G2" t="s">
        <v>1531</v>
      </c>
      <c r="H2">
        <v>110</v>
      </c>
      <c r="I2">
        <v>22</v>
      </c>
    </row>
    <row r="3" spans="1:9" x14ac:dyDescent="0.4">
      <c r="A3" t="s">
        <v>56</v>
      </c>
      <c r="B3" t="s">
        <v>56</v>
      </c>
      <c r="C3" t="s">
        <v>56</v>
      </c>
      <c r="D3" t="s">
        <v>1532</v>
      </c>
      <c r="E3" t="s">
        <v>1533</v>
      </c>
      <c r="F3" t="s">
        <v>1534</v>
      </c>
      <c r="G3" t="s">
        <v>1535</v>
      </c>
      <c r="H3">
        <v>85</v>
      </c>
      <c r="I3">
        <v>26</v>
      </c>
    </row>
    <row r="4" spans="1:9" x14ac:dyDescent="0.4">
      <c r="A4" t="s">
        <v>41</v>
      </c>
      <c r="B4" t="s">
        <v>41</v>
      </c>
      <c r="C4" t="s">
        <v>41</v>
      </c>
      <c r="D4" t="s">
        <v>1536</v>
      </c>
      <c r="E4" t="s">
        <v>1537</v>
      </c>
      <c r="F4" t="s">
        <v>1538</v>
      </c>
      <c r="G4" t="s">
        <v>1539</v>
      </c>
      <c r="H4">
        <v>145</v>
      </c>
      <c r="I4">
        <v>30</v>
      </c>
    </row>
    <row r="5" spans="1:9" x14ac:dyDescent="0.4">
      <c r="A5" t="s">
        <v>43</v>
      </c>
      <c r="B5" t="s">
        <v>43</v>
      </c>
      <c r="C5" t="s">
        <v>43</v>
      </c>
      <c r="D5" t="s">
        <v>1540</v>
      </c>
      <c r="E5" t="s">
        <v>1541</v>
      </c>
      <c r="F5" t="s">
        <v>1542</v>
      </c>
      <c r="G5" t="s">
        <v>1543</v>
      </c>
      <c r="H5">
        <v>78</v>
      </c>
      <c r="I5">
        <v>18</v>
      </c>
    </row>
    <row r="6" spans="1:9" x14ac:dyDescent="0.4">
      <c r="A6" t="s">
        <v>1544</v>
      </c>
      <c r="B6" t="s">
        <v>1544</v>
      </c>
      <c r="C6" t="s">
        <v>63</v>
      </c>
      <c r="D6" t="s">
        <v>1545</v>
      </c>
      <c r="E6" t="s">
        <v>1546</v>
      </c>
      <c r="F6" t="s">
        <v>1547</v>
      </c>
      <c r="G6" t="s">
        <v>1548</v>
      </c>
      <c r="H6">
        <v>125</v>
      </c>
      <c r="I6">
        <v>28</v>
      </c>
    </row>
    <row r="7" spans="1:9" x14ac:dyDescent="0.4">
      <c r="A7" t="s">
        <v>1549</v>
      </c>
      <c r="B7" t="s">
        <v>1549</v>
      </c>
      <c r="C7" t="s">
        <v>45</v>
      </c>
      <c r="D7" t="s">
        <v>1550</v>
      </c>
      <c r="E7" t="s">
        <v>1551</v>
      </c>
      <c r="F7" t="s">
        <v>1552</v>
      </c>
      <c r="G7" t="s">
        <v>1553</v>
      </c>
      <c r="H7">
        <v>95</v>
      </c>
      <c r="I7">
        <v>32</v>
      </c>
    </row>
    <row r="8" spans="1:9" x14ac:dyDescent="0.4">
      <c r="A8" t="s">
        <v>1554</v>
      </c>
      <c r="B8" t="s">
        <v>1554</v>
      </c>
      <c r="C8" t="s">
        <v>47</v>
      </c>
      <c r="D8" t="s">
        <v>1555</v>
      </c>
      <c r="E8" t="s">
        <v>1556</v>
      </c>
      <c r="F8" t="s">
        <v>1557</v>
      </c>
      <c r="G8" t="s">
        <v>1558</v>
      </c>
      <c r="H8">
        <v>105</v>
      </c>
      <c r="I8">
        <v>21</v>
      </c>
    </row>
    <row r="9" spans="1:9" x14ac:dyDescent="0.4">
      <c r="A9" t="s">
        <v>49</v>
      </c>
      <c r="B9" t="s">
        <v>49</v>
      </c>
      <c r="C9" t="s">
        <v>49</v>
      </c>
      <c r="D9" t="s">
        <v>1559</v>
      </c>
      <c r="E9" t="s">
        <v>1560</v>
      </c>
      <c r="F9" t="s">
        <v>1561</v>
      </c>
      <c r="G9" t="s">
        <v>1562</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858</v>
      </c>
      <c r="B1" t="s">
        <v>891</v>
      </c>
      <c r="C1" t="s">
        <v>1365</v>
      </c>
      <c r="D1" t="s">
        <v>1366</v>
      </c>
      <c r="E1" t="s">
        <v>900</v>
      </c>
      <c r="F1" t="s">
        <v>978</v>
      </c>
      <c r="G1" t="s">
        <v>1174</v>
      </c>
      <c r="H1" t="s">
        <v>1021</v>
      </c>
      <c r="I1" t="s">
        <v>977</v>
      </c>
    </row>
    <row r="2" spans="1:9" x14ac:dyDescent="0.4">
      <c r="A2" t="s">
        <v>880</v>
      </c>
      <c r="B2" t="s">
        <v>55</v>
      </c>
      <c r="C2" t="s">
        <v>1367</v>
      </c>
      <c r="D2" t="s">
        <v>1368</v>
      </c>
      <c r="E2">
        <v>50</v>
      </c>
      <c r="F2">
        <v>0</v>
      </c>
      <c r="G2" s="39">
        <v>1</v>
      </c>
      <c r="H2" s="39">
        <v>0.15</v>
      </c>
      <c r="I2" t="s">
        <v>980</v>
      </c>
    </row>
    <row r="3" spans="1:9" x14ac:dyDescent="0.4">
      <c r="A3" t="s">
        <v>881</v>
      </c>
      <c r="B3" t="s">
        <v>57</v>
      </c>
      <c r="C3" t="s">
        <v>502</v>
      </c>
      <c r="D3" t="s">
        <v>1369</v>
      </c>
      <c r="E3">
        <v>50</v>
      </c>
      <c r="F3">
        <v>0</v>
      </c>
      <c r="G3" s="39">
        <v>1</v>
      </c>
      <c r="H3" s="39">
        <v>0.1</v>
      </c>
      <c r="I3" t="s">
        <v>979</v>
      </c>
    </row>
    <row r="4" spans="1:9" x14ac:dyDescent="0.4">
      <c r="A4" t="s">
        <v>882</v>
      </c>
      <c r="B4" t="s">
        <v>59</v>
      </c>
      <c r="C4" t="s">
        <v>1370</v>
      </c>
      <c r="D4" t="s">
        <v>1371</v>
      </c>
      <c r="E4">
        <v>50</v>
      </c>
      <c r="F4">
        <v>1</v>
      </c>
      <c r="G4" s="39">
        <v>1</v>
      </c>
      <c r="H4" s="39">
        <v>0.1</v>
      </c>
      <c r="I4" t="s">
        <v>981</v>
      </c>
    </row>
    <row r="5" spans="1:9" x14ac:dyDescent="0.4">
      <c r="A5" t="s">
        <v>883</v>
      </c>
      <c r="B5" t="s">
        <v>53</v>
      </c>
      <c r="C5" t="s">
        <v>1372</v>
      </c>
      <c r="D5" t="s">
        <v>1373</v>
      </c>
      <c r="E5">
        <v>60</v>
      </c>
      <c r="F5">
        <v>1</v>
      </c>
      <c r="G5" s="39">
        <v>0.8</v>
      </c>
      <c r="H5" s="39">
        <v>0.2</v>
      </c>
      <c r="I5" t="s">
        <v>980</v>
      </c>
    </row>
    <row r="6" spans="1:9" x14ac:dyDescent="0.4">
      <c r="A6" t="s">
        <v>884</v>
      </c>
      <c r="B6" t="s">
        <v>64</v>
      </c>
      <c r="C6" t="s">
        <v>1374</v>
      </c>
      <c r="D6" t="s">
        <v>1375</v>
      </c>
      <c r="E6">
        <v>25</v>
      </c>
      <c r="F6">
        <v>1</v>
      </c>
      <c r="G6" s="39">
        <v>1.25</v>
      </c>
      <c r="H6" s="39">
        <v>0.25</v>
      </c>
      <c r="I6" t="s">
        <v>985</v>
      </c>
    </row>
    <row r="7" spans="1:9" x14ac:dyDescent="0.4">
      <c r="A7" t="s">
        <v>885</v>
      </c>
      <c r="B7" t="s">
        <v>42</v>
      </c>
      <c r="C7" t="s">
        <v>1376</v>
      </c>
      <c r="D7" t="s">
        <v>1377</v>
      </c>
      <c r="E7">
        <v>25</v>
      </c>
      <c r="F7">
        <v>1</v>
      </c>
      <c r="G7" s="39">
        <v>0.8</v>
      </c>
      <c r="H7" s="39">
        <v>0.35</v>
      </c>
      <c r="I7" t="s">
        <v>982</v>
      </c>
    </row>
    <row r="8" spans="1:9" x14ac:dyDescent="0.4">
      <c r="A8" t="s">
        <v>886</v>
      </c>
      <c r="B8" t="s">
        <v>66</v>
      </c>
      <c r="C8" t="s">
        <v>1378</v>
      </c>
      <c r="D8" t="s">
        <v>1379</v>
      </c>
      <c r="E8">
        <v>15</v>
      </c>
      <c r="F8">
        <v>2</v>
      </c>
      <c r="G8" s="39">
        <v>1.2</v>
      </c>
      <c r="H8" s="39">
        <v>0.45</v>
      </c>
      <c r="I8" t="s">
        <v>984</v>
      </c>
    </row>
    <row r="9" spans="1:9" x14ac:dyDescent="0.4">
      <c r="A9" t="s">
        <v>887</v>
      </c>
      <c r="B9" t="s">
        <v>44</v>
      </c>
      <c r="C9" t="s">
        <v>1380</v>
      </c>
      <c r="D9" t="s">
        <v>1381</v>
      </c>
      <c r="E9">
        <v>75</v>
      </c>
      <c r="F9">
        <v>0</v>
      </c>
      <c r="G9" s="39">
        <v>0.5</v>
      </c>
      <c r="H9" s="39">
        <v>0.1</v>
      </c>
      <c r="I9" t="s">
        <v>983</v>
      </c>
    </row>
    <row r="10" spans="1:9" x14ac:dyDescent="0.4">
      <c r="A10" t="s">
        <v>888</v>
      </c>
      <c r="B10" t="s">
        <v>46</v>
      </c>
      <c r="C10" t="s">
        <v>1382</v>
      </c>
      <c r="D10" t="s">
        <v>1383</v>
      </c>
      <c r="E10">
        <v>10</v>
      </c>
      <c r="F10">
        <v>3</v>
      </c>
      <c r="G10" s="39">
        <v>1.5</v>
      </c>
      <c r="H10" s="39">
        <v>0.6</v>
      </c>
      <c r="I10" t="s">
        <v>987</v>
      </c>
    </row>
    <row r="11" spans="1:9" x14ac:dyDescent="0.4">
      <c r="A11" t="s">
        <v>889</v>
      </c>
      <c r="B11" t="s">
        <v>48</v>
      </c>
      <c r="C11" t="s">
        <v>1384</v>
      </c>
      <c r="D11" t="s">
        <v>1385</v>
      </c>
      <c r="E11">
        <v>15</v>
      </c>
      <c r="F11">
        <v>3</v>
      </c>
      <c r="G11" s="39">
        <v>1.5</v>
      </c>
      <c r="H11" s="39">
        <v>0.6</v>
      </c>
      <c r="I11" t="s">
        <v>986</v>
      </c>
    </row>
    <row r="12" spans="1:9" x14ac:dyDescent="0.4">
      <c r="A12" t="s">
        <v>890</v>
      </c>
      <c r="B12" t="s">
        <v>50</v>
      </c>
      <c r="C12" t="s">
        <v>1386</v>
      </c>
      <c r="D12" t="s">
        <v>1387</v>
      </c>
      <c r="E12">
        <v>10</v>
      </c>
      <c r="G12" s="39">
        <v>1.5</v>
      </c>
      <c r="H12" s="39">
        <v>0.6</v>
      </c>
      <c r="I12" t="s">
        <v>988</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1850</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1851</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951</v>
      </c>
      <c r="B12" s="17" t="s">
        <v>1852</v>
      </c>
    </row>
    <row r="13" spans="1:2" ht="37.5" x14ac:dyDescent="0.4">
      <c r="A13" t="s">
        <v>230</v>
      </c>
      <c r="B13" s="17" t="s">
        <v>243</v>
      </c>
    </row>
    <row r="14" spans="1:2" ht="37.5" x14ac:dyDescent="0.4">
      <c r="A14" t="s">
        <v>5</v>
      </c>
      <c r="B14" s="17" t="s">
        <v>244</v>
      </c>
    </row>
    <row r="15" spans="1:2" ht="37.5" x14ac:dyDescent="0.4">
      <c r="A15" t="s">
        <v>997</v>
      </c>
      <c r="B15" s="17" t="s">
        <v>948</v>
      </c>
    </row>
    <row r="16" spans="1:2" ht="37.5" x14ac:dyDescent="0.4">
      <c r="A16" t="s">
        <v>6</v>
      </c>
      <c r="B16" s="17" t="s">
        <v>947</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BL48" activePane="bottomRight" state="frozen"/>
      <selection pane="topRight" activeCell="H1" sqref="H1"/>
      <selection pane="bottomLeft" activeCell="A4" sqref="A4"/>
      <selection pane="bottomRight" activeCell="E56" sqref="E56"/>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hidden="1" customWidth="1" outlineLevel="1"/>
    <col min="38" max="43" width="5.25" hidden="1" customWidth="1" outlineLevel="1"/>
    <col min="44" max="44" width="4.25" hidden="1" customWidth="1" outlineLevel="1"/>
    <col min="45" max="45" width="5.25" bestFit="1" customWidth="1" collapsed="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2" t="s">
        <v>1350</v>
      </c>
      <c r="H1" s="21" t="s">
        <v>305</v>
      </c>
      <c r="I1" s="38" t="s">
        <v>158</v>
      </c>
      <c r="J1" s="38" t="s">
        <v>159</v>
      </c>
      <c r="K1" s="38" t="s">
        <v>160</v>
      </c>
      <c r="L1" s="37" t="s">
        <v>215</v>
      </c>
      <c r="M1" s="37" t="s">
        <v>314</v>
      </c>
      <c r="N1" s="37" t="s">
        <v>175</v>
      </c>
      <c r="O1" s="37" t="s">
        <v>146</v>
      </c>
      <c r="P1" s="37" t="s">
        <v>176</v>
      </c>
      <c r="Q1" s="37" t="s">
        <v>669</v>
      </c>
      <c r="R1" s="37" t="s">
        <v>1230</v>
      </c>
      <c r="S1" s="37" t="s">
        <v>1231</v>
      </c>
      <c r="T1" s="37" t="s">
        <v>1232</v>
      </c>
      <c r="U1" s="37" t="s">
        <v>147</v>
      </c>
      <c r="V1" s="37" t="s">
        <v>148</v>
      </c>
      <c r="W1" s="37" t="s">
        <v>149</v>
      </c>
      <c r="X1" s="37" t="s">
        <v>150</v>
      </c>
      <c r="Y1" s="37" t="s">
        <v>136</v>
      </c>
      <c r="Z1" s="37" t="s">
        <v>151</v>
      </c>
      <c r="AA1" s="37" t="s">
        <v>18</v>
      </c>
      <c r="AB1" s="37" t="s">
        <v>323</v>
      </c>
      <c r="AC1" s="37" t="s">
        <v>139</v>
      </c>
      <c r="AD1" s="37" t="s">
        <v>111</v>
      </c>
      <c r="AE1" s="37" t="s">
        <v>152</v>
      </c>
      <c r="AF1" s="37" t="s">
        <v>153</v>
      </c>
      <c r="AG1" s="37" t="s">
        <v>154</v>
      </c>
      <c r="AH1" s="37" t="s">
        <v>155</v>
      </c>
      <c r="AI1" s="22" t="s">
        <v>11</v>
      </c>
      <c r="AJ1" s="22" t="s">
        <v>1233</v>
      </c>
      <c r="AK1" s="22" t="s">
        <v>1234</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997</v>
      </c>
      <c r="BG1" s="29" t="s">
        <v>6</v>
      </c>
      <c r="BH1" s="20" t="s">
        <v>145</v>
      </c>
      <c r="BI1" s="20" t="s">
        <v>177</v>
      </c>
      <c r="BJ1" s="20" t="s">
        <v>670</v>
      </c>
      <c r="BK1" s="20" t="s">
        <v>1227</v>
      </c>
      <c r="BL1" s="20" t="s">
        <v>1228</v>
      </c>
      <c r="BM1" s="20" t="s">
        <v>1229</v>
      </c>
      <c r="BN1" s="20" t="s">
        <v>132</v>
      </c>
      <c r="BO1" s="20" t="s">
        <v>133</v>
      </c>
      <c r="BP1" s="20" t="s">
        <v>134</v>
      </c>
      <c r="BQ1" s="20" t="s">
        <v>135</v>
      </c>
      <c r="BR1" s="20" t="s">
        <v>137</v>
      </c>
      <c r="BS1" s="20" t="s">
        <v>138</v>
      </c>
      <c r="BT1" s="20" t="s">
        <v>140</v>
      </c>
      <c r="BU1" s="20" t="s">
        <v>322</v>
      </c>
      <c r="BV1" s="20" t="s">
        <v>141</v>
      </c>
      <c r="BW1" s="20" t="s">
        <v>142</v>
      </c>
      <c r="BX1" s="20" t="s">
        <v>143</v>
      </c>
      <c r="BY1" s="20" t="s">
        <v>144</v>
      </c>
      <c r="BZ1" s="20" t="s">
        <v>156</v>
      </c>
      <c r="CA1" s="20" t="s">
        <v>157</v>
      </c>
      <c r="CB1" s="23" t="s">
        <v>161</v>
      </c>
      <c r="CC1" s="23" t="s">
        <v>162</v>
      </c>
      <c r="CD1" s="23" t="s">
        <v>1284</v>
      </c>
      <c r="CE1" s="23" t="s">
        <v>163</v>
      </c>
      <c r="CF1" s="23" t="s">
        <v>164</v>
      </c>
      <c r="CG1" s="23" t="s">
        <v>165</v>
      </c>
      <c r="CH1" s="23" t="s">
        <v>166</v>
      </c>
      <c r="CI1" s="23" t="s">
        <v>167</v>
      </c>
      <c r="CJ1" s="23" t="s">
        <v>168</v>
      </c>
      <c r="CK1" s="23" t="s">
        <v>169</v>
      </c>
      <c r="CL1" s="23" t="s">
        <v>170</v>
      </c>
      <c r="CM1" s="23" t="s">
        <v>822</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829</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315</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315</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315</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BT14">
        <v>10</v>
      </c>
      <c r="CK14" t="s">
        <v>326</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315</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315</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316</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315</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315</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317</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315</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326</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 範囲:放射</v>
      </c>
      <c r="I29" t="s">
        <v>318</v>
      </c>
      <c r="U29" s="17">
        <v>45</v>
      </c>
      <c r="CB29">
        <v>2</v>
      </c>
      <c r="CC29" t="s">
        <v>319</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 範囲:放射</v>
      </c>
      <c r="I33" t="s">
        <v>318</v>
      </c>
      <c r="V33" s="17">
        <v>45</v>
      </c>
      <c r="CB33">
        <v>2</v>
      </c>
      <c r="CC33" t="s">
        <v>319</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 範囲:放射</v>
      </c>
      <c r="I37" t="s">
        <v>318</v>
      </c>
      <c r="AC37">
        <v>45</v>
      </c>
      <c r="CB37">
        <v>2</v>
      </c>
      <c r="CC37" t="s">
        <v>319</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 範囲:放射</v>
      </c>
      <c r="I41" t="s">
        <v>318</v>
      </c>
      <c r="O41" s="17">
        <v>35</v>
      </c>
      <c r="AC41">
        <v>20</v>
      </c>
      <c r="CB41">
        <v>2</v>
      </c>
      <c r="CC41" t="s">
        <v>319</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 判定:魔力 </v>
      </c>
      <c r="I42" t="s">
        <v>103</v>
      </c>
      <c r="Y42" s="17">
        <v>25</v>
      </c>
      <c r="AB42">
        <v>20</v>
      </c>
      <c r="CB42">
        <v>1</v>
      </c>
      <c r="CJ42" t="s">
        <v>16</v>
      </c>
    </row>
    <row r="43" spans="1:88" ht="37.5" outlineLevel="1" x14ac:dyDescent="0.4">
      <c r="A43" s="2" t="s">
        <v>309</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 追加威力:魔力</v>
      </c>
      <c r="I43" t="s">
        <v>103</v>
      </c>
      <c r="L43" s="17">
        <v>15</v>
      </c>
      <c r="CB43">
        <v>1</v>
      </c>
      <c r="CI43" t="s">
        <v>16</v>
      </c>
    </row>
    <row r="44" spans="1:88" ht="37.5" outlineLevel="1" x14ac:dyDescent="0.4">
      <c r="A44" s="2" t="s">
        <v>312</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 判定:魔力</v>
      </c>
      <c r="I44" t="s">
        <v>103</v>
      </c>
      <c r="O44" s="17">
        <v>10</v>
      </c>
      <c r="AE44">
        <v>30</v>
      </c>
      <c r="CB44">
        <v>2</v>
      </c>
      <c r="CJ44" t="s">
        <v>16</v>
      </c>
    </row>
    <row r="45" spans="1:88" ht="37.5" outlineLevel="1" x14ac:dyDescent="0.4">
      <c r="A45" s="2" t="s">
        <v>1285</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 炸裂:1 判定:魔力 追加威力:技術 </v>
      </c>
      <c r="I45" t="s">
        <v>103</v>
      </c>
      <c r="U45" s="17">
        <v>15</v>
      </c>
      <c r="CB45">
        <v>1</v>
      </c>
      <c r="CD45">
        <v>1</v>
      </c>
      <c r="CI45" t="s">
        <v>104</v>
      </c>
      <c r="CJ45" t="s">
        <v>16</v>
      </c>
    </row>
    <row r="46" spans="1:88" ht="37.5" outlineLevel="1" x14ac:dyDescent="0.4">
      <c r="A46" s="54" t="s">
        <v>1291</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 判定:魔力</v>
      </c>
      <c r="I46" t="s">
        <v>103</v>
      </c>
      <c r="U46" s="17">
        <v>35</v>
      </c>
      <c r="CB46">
        <v>1</v>
      </c>
      <c r="CJ46" t="s">
        <v>16</v>
      </c>
    </row>
    <row r="47" spans="1:88" ht="37.5" outlineLevel="1" x14ac:dyDescent="0.4">
      <c r="A47" s="48" t="s">
        <v>1295</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 範囲:散弾 判定:魔力</v>
      </c>
      <c r="I47" t="s">
        <v>103</v>
      </c>
      <c r="U47" s="17">
        <v>16</v>
      </c>
      <c r="CB47">
        <v>2</v>
      </c>
      <c r="CC47" t="s">
        <v>1340</v>
      </c>
      <c r="CJ47" t="s">
        <v>16</v>
      </c>
    </row>
    <row r="48" spans="1:88" ht="37.5" outlineLevel="1" x14ac:dyDescent="0.4">
      <c r="A48" s="48" t="s">
        <v>1290</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 炸裂:0.5 判定:魔力</v>
      </c>
      <c r="I48" t="s">
        <v>103</v>
      </c>
      <c r="U48" s="17">
        <v>49</v>
      </c>
      <c r="CB48">
        <v>2</v>
      </c>
      <c r="CD48">
        <v>0.5</v>
      </c>
      <c r="CJ48" t="s">
        <v>16</v>
      </c>
    </row>
    <row r="49" spans="1:88" ht="37.5" outlineLevel="1" x14ac:dyDescent="0.4">
      <c r="A49" s="48" t="s">
        <v>1298</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 炸裂1 判定:魔力</v>
      </c>
      <c r="I49" t="s">
        <v>103</v>
      </c>
      <c r="U49" s="17">
        <v>56</v>
      </c>
      <c r="CB49">
        <v>2</v>
      </c>
      <c r="CJ49" t="s">
        <v>16</v>
      </c>
    </row>
    <row r="50" spans="1:88" ht="37.5" outlineLevel="1" x14ac:dyDescent="0.4">
      <c r="A50" s="48" t="s">
        <v>1300</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 範囲:ライン 判定:魔力</v>
      </c>
      <c r="I50" t="s">
        <v>103</v>
      </c>
      <c r="U50" s="17">
        <v>35</v>
      </c>
      <c r="CB50">
        <v>2</v>
      </c>
      <c r="CC50" t="s">
        <v>1342</v>
      </c>
      <c r="CJ50" t="s">
        <v>16</v>
      </c>
    </row>
    <row r="51" spans="1:88" ht="37.5" outlineLevel="1" x14ac:dyDescent="0.4">
      <c r="A51" s="48" t="s">
        <v>1303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 炸裂:1 判定:魔力</v>
      </c>
      <c r="I51" t="s">
        <v>103</v>
      </c>
      <c r="T51" s="17">
        <v>25</v>
      </c>
      <c r="U51" s="17">
        <v>65</v>
      </c>
      <c r="CB51">
        <v>2</v>
      </c>
      <c r="CD51">
        <v>1</v>
      </c>
      <c r="CJ51" t="s">
        <v>16</v>
      </c>
    </row>
    <row r="52" spans="1:88" ht="37.5" outlineLevel="1" x14ac:dyDescent="0.4">
      <c r="A52" s="48" t="s">
        <v>1305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 範囲:縦 判定:魔力</v>
      </c>
      <c r="I52" t="s">
        <v>103</v>
      </c>
      <c r="U52" s="17">
        <v>95</v>
      </c>
      <c r="CB52">
        <v>2</v>
      </c>
      <c r="CC52" t="s">
        <v>1344</v>
      </c>
      <c r="CJ52" t="s">
        <v>16</v>
      </c>
    </row>
    <row r="53" spans="1:88" ht="37.5" outlineLevel="1" x14ac:dyDescent="0.4">
      <c r="A53" s="48" t="s">
        <v>1308</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 範囲:爆発 判定:魔力</v>
      </c>
      <c r="I53" t="s">
        <v>103</v>
      </c>
      <c r="U53" s="17">
        <v>105</v>
      </c>
      <c r="CB53">
        <v>2</v>
      </c>
      <c r="CC53" t="s">
        <v>1343</v>
      </c>
      <c r="CJ53" t="s">
        <v>16</v>
      </c>
    </row>
    <row r="54" spans="1:88" ht="37.5" outlineLevel="1" x14ac:dyDescent="0.4">
      <c r="A54" s="48" t="s">
        <v>1311</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 範囲:爆発 判定:魔力</v>
      </c>
      <c r="I54" t="s">
        <v>103</v>
      </c>
      <c r="U54" s="17">
        <v>135</v>
      </c>
      <c r="CB54">
        <v>2</v>
      </c>
      <c r="CC54" t="s">
        <v>1343</v>
      </c>
      <c r="CJ54" t="s">
        <v>16</v>
      </c>
    </row>
    <row r="55" spans="1:88" ht="37.5" outlineLevel="1" x14ac:dyDescent="0.4">
      <c r="A55" s="48" t="s">
        <v>1314</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 範囲:炸裂 効果:設置</v>
      </c>
      <c r="I55" t="s">
        <v>103</v>
      </c>
      <c r="AB55">
        <v>45</v>
      </c>
      <c r="CB55">
        <v>1</v>
      </c>
      <c r="CC55" t="s">
        <v>1345</v>
      </c>
      <c r="CF55" t="s">
        <v>1346</v>
      </c>
    </row>
    <row r="56" spans="1:88" ht="37.5" outlineLevel="1" x14ac:dyDescent="0.4">
      <c r="A56" s="48" t="s">
        <v>1317</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 範囲:全体 判定:魔力</v>
      </c>
      <c r="I56" t="s">
        <v>103</v>
      </c>
      <c r="U56" s="17">
        <v>115</v>
      </c>
      <c r="CB56">
        <v>4</v>
      </c>
      <c r="CC56" t="s">
        <v>1341</v>
      </c>
      <c r="CJ56" t="s">
        <v>16</v>
      </c>
    </row>
    <row r="57" spans="1:88" ht="37.5" outlineLevel="1" x14ac:dyDescent="0.4">
      <c r="A57" s="48" t="s">
        <v>1564</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 </v>
      </c>
      <c r="I57" t="s">
        <v>103</v>
      </c>
      <c r="L57" s="17">
        <v>35</v>
      </c>
      <c r="CB57">
        <v>1</v>
      </c>
      <c r="CF57" t="s">
        <v>1846</v>
      </c>
    </row>
    <row r="58" spans="1:88" ht="37.5" outlineLevel="1" x14ac:dyDescent="0.4">
      <c r="A58" s="48" t="s">
        <v>1563</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v>
      </c>
      <c r="I58" t="s">
        <v>103</v>
      </c>
      <c r="L58" s="17">
        <v>75</v>
      </c>
      <c r="CB58">
        <v>1</v>
      </c>
      <c r="CF58" t="s">
        <v>1847</v>
      </c>
    </row>
    <row r="59" spans="1:88" ht="37.5" outlineLevel="1" x14ac:dyDescent="0.4">
      <c r="A59" s="48" t="s">
        <v>1565</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 待機時間1t</v>
      </c>
      <c r="I59" t="s">
        <v>103</v>
      </c>
      <c r="L59" s="17">
        <v>100</v>
      </c>
      <c r="CB59">
        <v>2</v>
      </c>
      <c r="CF59" t="s">
        <v>1848</v>
      </c>
    </row>
    <row r="60" spans="1:88"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51" t="str">
        <f>IFERROR(_xlfn.LET(_xlpm.v,
VLOOKUP($A60,CS!$B:$N,COLUMN(CS!M$1),FALSE),
IF(_xlpm.v=0,"",_xlpm.v)
),"")</f>
        <v/>
      </c>
      <c r="H60" s="17" t="str">
        <f>IFERROR(_xlfn.LET(_xlpm.v,
VLOOKUP($A60,CS!$B:$H,COLUMN(CS!G$1),FALSE),
IF(_xlpm.v=0,"",_xlpm.v)
),"")</f>
        <v/>
      </c>
    </row>
    <row r="61" spans="1:88"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51" t="str">
        <f>IFERROR(_xlfn.LET(_xlpm.v,
VLOOKUP($A61,CS!$B:$N,COLUMN(CS!M$1),FALSE),
IF(_xlpm.v=0,"",_xlpm.v)
),"")</f>
        <v/>
      </c>
      <c r="H61" s="17" t="str">
        <f>IFERROR(_xlfn.LET(_xlpm.v,
VLOOKUP($A61,CS!$B:$H,COLUMN(CS!G$1),FALSE),
IF(_xlpm.v=0,"",_xlpm.v)
),"")</f>
        <v/>
      </c>
    </row>
    <row r="62" spans="1:88"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51" t="str">
        <f>IFERROR(_xlfn.LET(_xlpm.v,
VLOOKUP($A62,CS!$B:$N,COLUMN(CS!M$1),FALSE),
IF(_xlpm.v=0,"",_xlpm.v)
),"")</f>
        <v/>
      </c>
      <c r="H62" s="17" t="str">
        <f>IFERROR(_xlfn.LET(_xlpm.v,
VLOOKUP($A62,CS!$B:$H,COLUMN(CS!G$1),FALSE),
IF(_xlpm.v=0,"",_xlpm.v)
),"")</f>
        <v/>
      </c>
    </row>
    <row r="63" spans="1:88"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51" t="str">
        <f>IFERROR(_xlfn.LET(_xlpm.v,
VLOOKUP($A63,CS!$B:$N,COLUMN(CS!M$1),FALSE),
IF(_xlpm.v=0,"",_xlpm.v)
),"")</f>
        <v/>
      </c>
      <c r="H63" s="17" t="str">
        <f>IFERROR(_xlfn.LET(_xlpm.v,
VLOOKUP($A63,CS!$B:$H,COLUMN(CS!G$1),FALSE),
IF(_xlpm.v=0,"",_xlpm.v)
),"")</f>
        <v/>
      </c>
    </row>
    <row r="64" spans="1:88"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51" t="str">
        <f>IFERROR(_xlfn.LET(_xlpm.v,
VLOOKUP($A64,CS!$B:$N,COLUMN(CS!M$1),FALSE),
IF(_xlpm.v=0,"",_xlpm.v)
),"")</f>
        <v/>
      </c>
      <c r="H64" s="17" t="str">
        <f>IFERROR(_xlfn.LET(_xlpm.v,
VLOOKUP($A64,CS!$B:$H,COLUMN(CS!G$1),FALSE),
IF(_xlpm.v=0,"",_xlpm.v)
),"")</f>
        <v/>
      </c>
    </row>
    <row r="65" spans="2:8"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51" t="str">
        <f>IFERROR(_xlfn.LET(_xlpm.v,
VLOOKUP($A65,CS!$B:$N,COLUMN(CS!M$1),FALSE),
IF(_xlpm.v=0,"",_xlpm.v)
),"")</f>
        <v/>
      </c>
      <c r="H65" s="17" t="str">
        <f>IFERROR(_xlfn.LET(_xlpm.v,
VLOOKUP($A65,CS!$B:$H,COLUMN(CS!G$1),FALSE),
IF(_xlpm.v=0,"",_xlpm.v)
),"")</f>
        <v/>
      </c>
    </row>
    <row r="66" spans="2:8"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51" t="str">
        <f>IFERROR(_xlfn.LET(_xlpm.v,
VLOOKUP($A66,CS!$B:$N,COLUMN(CS!M$1),FALSE),
IF(_xlpm.v=0,"",_xlpm.v)
),"")</f>
        <v/>
      </c>
      <c r="H66" s="17" t="str">
        <f>IFERROR(_xlfn.LET(_xlpm.v,
VLOOKUP($A66,CS!$B:$H,COLUMN(CS!G$1),FALSE),
IF(_xlpm.v=0,"",_xlpm.v)
),"")</f>
        <v/>
      </c>
    </row>
    <row r="67" spans="2:8"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51" t="str">
        <f>IFERROR(_xlfn.LET(_xlpm.v,
VLOOKUP($A67,CS!$B:$N,COLUMN(CS!M$1),FALSE),
IF(_xlpm.v=0,"",_xlpm.v)
),"")</f>
        <v/>
      </c>
      <c r="H67" s="17" t="str">
        <f>IFERROR(_xlfn.LET(_xlpm.v,
VLOOKUP($A67,CS!$B:$H,COLUMN(CS!G$1),FALSE),
IF(_xlpm.v=0,"",_xlpm.v)
),"")</f>
        <v/>
      </c>
    </row>
    <row r="68" spans="2:8"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51" t="str">
        <f>IFERROR(_xlfn.LET(_xlpm.v,
VLOOKUP($A68,CS!$B:$N,COLUMN(CS!M$1),FALSE),
IF(_xlpm.v=0,"",_xlpm.v)
),"")</f>
        <v/>
      </c>
      <c r="H68" s="17" t="str">
        <f>IFERROR(_xlfn.LET(_xlpm.v,
VLOOKUP($A68,CS!$B:$H,COLUMN(CS!G$1),FALSE),
IF(_xlpm.v=0,"",_xlpm.v)
),"")</f>
        <v/>
      </c>
    </row>
    <row r="69" spans="2:8"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51" t="str">
        <f>IFERROR(_xlfn.LET(_xlpm.v,
VLOOKUP($A69,CS!$B:$N,COLUMN(CS!M$1),FALSE),
IF(_xlpm.v=0,"",_xlpm.v)
),"")</f>
        <v/>
      </c>
      <c r="H69" s="17" t="str">
        <f>IFERROR(_xlfn.LET(_xlpm.v,
VLOOKUP($A69,CS!$B:$H,COLUMN(CS!G$1),FALSE),
IF(_xlpm.v=0,"",_xlpm.v)
),"")</f>
        <v/>
      </c>
    </row>
    <row r="70" spans="2:8"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51" t="str">
        <f>IFERROR(_xlfn.LET(_xlpm.v,
VLOOKUP($A70,CS!$B:$N,COLUMN(CS!M$1),FALSE),
IF(_xlpm.v=0,"",_xlpm.v)
),"")</f>
        <v/>
      </c>
      <c r="H70" s="17" t="str">
        <f>IFERROR(_xlfn.LET(_xlpm.v,
VLOOKUP($A70,CS!$B:$H,COLUMN(CS!G$1),FALSE),
IF(_xlpm.v=0,"",_xlpm.v)
),"")</f>
        <v/>
      </c>
    </row>
    <row r="71" spans="2:8"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51" t="str">
        <f>IFERROR(_xlfn.LET(_xlpm.v,
VLOOKUP($A71,CS!$B:$N,COLUMN(CS!M$1),FALSE),
IF(_xlpm.v=0,"",_xlpm.v)
),"")</f>
        <v/>
      </c>
      <c r="H71" s="17" t="str">
        <f>IFERROR(_xlfn.LET(_xlpm.v,
VLOOKUP($A71,CS!$B:$H,COLUMN(CS!G$1),FALSE),
IF(_xlpm.v=0,"",_xlpm.v)
),"")</f>
        <v/>
      </c>
    </row>
    <row r="72" spans="2:8"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51" t="str">
        <f>IFERROR(_xlfn.LET(_xlpm.v,
VLOOKUP($A72,CS!$B:$N,COLUMN(CS!M$1),FALSE),
IF(_xlpm.v=0,"",_xlpm.v)
),"")</f>
        <v/>
      </c>
      <c r="H72" s="17" t="str">
        <f>IFERROR(_xlfn.LET(_xlpm.v,
VLOOKUP($A72,CS!$B:$H,COLUMN(CS!G$1),FALSE),
IF(_xlpm.v=0,"",_xlpm.v)
),"")</f>
        <v/>
      </c>
    </row>
    <row r="73" spans="2:8"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51" t="str">
        <f>IFERROR(_xlfn.LET(_xlpm.v,
VLOOKUP($A73,CS!$B:$N,COLUMN(CS!M$1),FALSE),
IF(_xlpm.v=0,"",_xlpm.v)
),"")</f>
        <v/>
      </c>
      <c r="H73" s="17" t="str">
        <f>IFERROR(_xlfn.LET(_xlpm.v,
VLOOKUP($A73,CS!$B:$H,COLUMN(CS!G$1),FALSE),
IF(_xlpm.v=0,"",_xlpm.v)
),"")</f>
        <v/>
      </c>
    </row>
    <row r="74" spans="2:8"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51" t="str">
        <f>IFERROR(_xlfn.LET(_xlpm.v,
VLOOKUP($A74,CS!$B:$N,COLUMN(CS!M$1),FALSE),
IF(_xlpm.v=0,"",_xlpm.v)
),"")</f>
        <v/>
      </c>
      <c r="H74" s="17" t="str">
        <f>IFERROR(_xlfn.LET(_xlpm.v,
VLOOKUP($A74,CS!$B:$H,COLUMN(CS!G$1),FALSE),
IF(_xlpm.v=0,"",_xlpm.v)
),"")</f>
        <v/>
      </c>
    </row>
    <row r="75" spans="2:8"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51" t="str">
        <f>IFERROR(_xlfn.LET(_xlpm.v,
VLOOKUP($A75,CS!$B:$N,COLUMN(CS!M$1),FALSE),
IF(_xlpm.v=0,"",_xlpm.v)
),"")</f>
        <v/>
      </c>
      <c r="H75" s="17" t="str">
        <f>IFERROR(_xlfn.LET(_xlpm.v,
VLOOKUP($A75,CS!$B:$H,COLUMN(CS!G$1),FALSE),
IF(_xlpm.v=0,"",_xlpm.v)
),"")</f>
        <v/>
      </c>
    </row>
    <row r="76" spans="2:8"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2:8"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2:8"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2:8"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2:8"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340</v>
      </c>
      <c r="B1" s="17" t="s">
        <v>81</v>
      </c>
      <c r="C1" t="s">
        <v>1826</v>
      </c>
    </row>
    <row r="2" spans="1:3" x14ac:dyDescent="0.4">
      <c r="A2" t="s">
        <v>329</v>
      </c>
      <c r="B2" s="17" t="s">
        <v>341</v>
      </c>
      <c r="C2" t="s">
        <v>1827</v>
      </c>
    </row>
    <row r="3" spans="1:3" x14ac:dyDescent="0.4">
      <c r="A3" t="s">
        <v>330</v>
      </c>
      <c r="B3" s="17" t="s">
        <v>342</v>
      </c>
      <c r="C3" t="s">
        <v>1828</v>
      </c>
    </row>
    <row r="4" spans="1:3" x14ac:dyDescent="0.4">
      <c r="A4" t="s">
        <v>331</v>
      </c>
      <c r="B4" s="17" t="s">
        <v>343</v>
      </c>
      <c r="C4" t="s">
        <v>1829</v>
      </c>
    </row>
    <row r="5" spans="1:3" x14ac:dyDescent="0.4">
      <c r="A5" t="s">
        <v>332</v>
      </c>
      <c r="B5" s="17" t="s">
        <v>346</v>
      </c>
      <c r="C5" t="s">
        <v>1830</v>
      </c>
    </row>
    <row r="6" spans="1:3" ht="37.5" x14ac:dyDescent="0.4">
      <c r="A6" t="s">
        <v>333</v>
      </c>
      <c r="B6" s="17" t="s">
        <v>347</v>
      </c>
      <c r="C6" t="s">
        <v>1831</v>
      </c>
    </row>
    <row r="7" spans="1:3" x14ac:dyDescent="0.4">
      <c r="A7" t="s">
        <v>334</v>
      </c>
      <c r="B7" s="17" t="s">
        <v>348</v>
      </c>
      <c r="C7" t="s">
        <v>1832</v>
      </c>
    </row>
    <row r="8" spans="1:3" x14ac:dyDescent="0.4">
      <c r="A8" t="s">
        <v>349</v>
      </c>
      <c r="B8" s="17" t="s">
        <v>350</v>
      </c>
      <c r="C8" t="s">
        <v>1828</v>
      </c>
    </row>
    <row r="9" spans="1:3" x14ac:dyDescent="0.4">
      <c r="A9" t="s">
        <v>1235</v>
      </c>
      <c r="B9" s="17" t="s">
        <v>345</v>
      </c>
      <c r="C9" t="s">
        <v>1833</v>
      </c>
    </row>
    <row r="11" spans="1:3" x14ac:dyDescent="0.4">
      <c r="A11" t="s">
        <v>336</v>
      </c>
      <c r="C11" t="s">
        <v>1833</v>
      </c>
    </row>
    <row r="12" spans="1:3" x14ac:dyDescent="0.4">
      <c r="A12" t="s">
        <v>337</v>
      </c>
      <c r="C12" t="s">
        <v>1833</v>
      </c>
    </row>
    <row r="13" spans="1:3" x14ac:dyDescent="0.4">
      <c r="A13" t="s">
        <v>338</v>
      </c>
      <c r="C13" t="s">
        <v>1833</v>
      </c>
    </row>
    <row r="14" spans="1:3" x14ac:dyDescent="0.4">
      <c r="A14" t="s">
        <v>339</v>
      </c>
      <c r="C14" t="s">
        <v>1833</v>
      </c>
    </row>
    <row r="15" spans="1:3" x14ac:dyDescent="0.4">
      <c r="A15" t="s">
        <v>319</v>
      </c>
      <c r="B15" s="17" t="s">
        <v>1834</v>
      </c>
      <c r="C15" t="s">
        <v>1829</v>
      </c>
    </row>
    <row r="16" spans="1:3" x14ac:dyDescent="0.4">
      <c r="A16" t="s">
        <v>1340</v>
      </c>
      <c r="B16" s="17" t="s">
        <v>1835</v>
      </c>
      <c r="C16" t="s">
        <v>1829</v>
      </c>
    </row>
    <row r="17" spans="1:3" x14ac:dyDescent="0.4">
      <c r="A17" t="s">
        <v>1344</v>
      </c>
      <c r="B17" s="17" t="s">
        <v>1836</v>
      </c>
      <c r="C17" t="s">
        <v>1828</v>
      </c>
    </row>
    <row r="18" spans="1:3" x14ac:dyDescent="0.4">
      <c r="A18" t="s">
        <v>1343</v>
      </c>
      <c r="B18" s="17" t="s">
        <v>1837</v>
      </c>
      <c r="C18" t="s">
        <v>1830</v>
      </c>
    </row>
    <row r="19" spans="1:3" x14ac:dyDescent="0.4">
      <c r="A19" t="s">
        <v>1345</v>
      </c>
      <c r="B19" s="17" t="s">
        <v>1838</v>
      </c>
      <c r="C19" t="s">
        <v>1830</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375</v>
      </c>
      <c r="B1" s="17" t="s">
        <v>81</v>
      </c>
    </row>
    <row r="2" spans="1:2" ht="37.5" x14ac:dyDescent="0.4">
      <c r="A2" t="s">
        <v>335</v>
      </c>
      <c r="B2" s="17" t="s">
        <v>344</v>
      </c>
    </row>
    <row r="3" spans="1:2" ht="37.5" x14ac:dyDescent="0.4">
      <c r="A3" t="s">
        <v>372</v>
      </c>
      <c r="B3" s="17" t="s">
        <v>376</v>
      </c>
    </row>
    <row r="4" spans="1:2" x14ac:dyDescent="0.4">
      <c r="A4" t="s">
        <v>351</v>
      </c>
      <c r="B4" s="17" t="s">
        <v>377</v>
      </c>
    </row>
    <row r="5" spans="1:2" ht="37.5" x14ac:dyDescent="0.4">
      <c r="A5" t="s">
        <v>374</v>
      </c>
      <c r="B5" s="17" t="s">
        <v>378</v>
      </c>
    </row>
    <row r="6" spans="1:2" x14ac:dyDescent="0.4">
      <c r="A6" t="s">
        <v>371</v>
      </c>
      <c r="B6" s="17" t="s">
        <v>379</v>
      </c>
    </row>
    <row r="7" spans="1:2" x14ac:dyDescent="0.4">
      <c r="A7" t="s">
        <v>352</v>
      </c>
      <c r="B7" s="17" t="s">
        <v>380</v>
      </c>
    </row>
    <row r="8" spans="1:2" x14ac:dyDescent="0.4">
      <c r="A8" t="s">
        <v>353</v>
      </c>
      <c r="B8" s="17" t="s">
        <v>381</v>
      </c>
    </row>
    <row r="9" spans="1:2" x14ac:dyDescent="0.4">
      <c r="A9" t="s">
        <v>354</v>
      </c>
      <c r="B9" s="17" t="s">
        <v>382</v>
      </c>
    </row>
    <row r="10" spans="1:2" x14ac:dyDescent="0.4">
      <c r="A10" t="s">
        <v>355</v>
      </c>
      <c r="B10" s="17" t="s">
        <v>383</v>
      </c>
    </row>
    <row r="11" spans="1:2" x14ac:dyDescent="0.4">
      <c r="A11" t="s">
        <v>356</v>
      </c>
      <c r="B11" s="17" t="s">
        <v>384</v>
      </c>
    </row>
    <row r="12" spans="1:2" x14ac:dyDescent="0.4">
      <c r="A12" t="s">
        <v>357</v>
      </c>
      <c r="B12" s="17" t="s">
        <v>385</v>
      </c>
    </row>
    <row r="13" spans="1:2" x14ac:dyDescent="0.4">
      <c r="A13" t="s">
        <v>358</v>
      </c>
      <c r="B13" s="17" t="s">
        <v>386</v>
      </c>
    </row>
    <row r="14" spans="1:2" x14ac:dyDescent="0.4">
      <c r="A14" t="s">
        <v>359</v>
      </c>
      <c r="B14" s="17" t="s">
        <v>387</v>
      </c>
    </row>
    <row r="15" spans="1:2" x14ac:dyDescent="0.4">
      <c r="A15" t="s">
        <v>360</v>
      </c>
      <c r="B15" s="17" t="s">
        <v>395</v>
      </c>
    </row>
    <row r="16" spans="1:2" x14ac:dyDescent="0.4">
      <c r="A16" t="s">
        <v>100</v>
      </c>
      <c r="B16" s="17" t="s">
        <v>392</v>
      </c>
    </row>
    <row r="17" spans="1:2" x14ac:dyDescent="0.4">
      <c r="A17" t="s">
        <v>361</v>
      </c>
      <c r="B17" s="17" t="s">
        <v>393</v>
      </c>
    </row>
    <row r="18" spans="1:2" x14ac:dyDescent="0.4">
      <c r="A18" t="s">
        <v>363</v>
      </c>
      <c r="B18" s="17" t="s">
        <v>394</v>
      </c>
    </row>
    <row r="19" spans="1:2" x14ac:dyDescent="0.4">
      <c r="A19" t="s">
        <v>362</v>
      </c>
      <c r="B19" s="17" t="s">
        <v>388</v>
      </c>
    </row>
    <row r="20" spans="1:2" x14ac:dyDescent="0.4">
      <c r="A20" t="s">
        <v>364</v>
      </c>
      <c r="B20" s="17" t="s">
        <v>396</v>
      </c>
    </row>
    <row r="21" spans="1:2" x14ac:dyDescent="0.4">
      <c r="A21" t="s">
        <v>365</v>
      </c>
      <c r="B21" s="17" t="s">
        <v>397</v>
      </c>
    </row>
    <row r="22" spans="1:2" ht="56.25" x14ac:dyDescent="0.4">
      <c r="A22" t="s">
        <v>366</v>
      </c>
      <c r="B22" s="17" t="s">
        <v>398</v>
      </c>
    </row>
    <row r="23" spans="1:2" ht="37.5" x14ac:dyDescent="0.4">
      <c r="A23" t="s">
        <v>367</v>
      </c>
      <c r="B23" s="17" t="s">
        <v>389</v>
      </c>
    </row>
    <row r="24" spans="1:2" x14ac:dyDescent="0.4">
      <c r="A24" t="s">
        <v>123</v>
      </c>
      <c r="B24" s="17" t="s">
        <v>399</v>
      </c>
    </row>
    <row r="25" spans="1:2" ht="37.5" x14ac:dyDescent="0.4">
      <c r="A25" t="s">
        <v>368</v>
      </c>
      <c r="B25" s="17" t="s">
        <v>400</v>
      </c>
    </row>
    <row r="26" spans="1:2" x14ac:dyDescent="0.4">
      <c r="A26" t="s">
        <v>369</v>
      </c>
      <c r="B26" s="17" t="s">
        <v>390</v>
      </c>
    </row>
    <row r="27" spans="1:2" ht="37.5" x14ac:dyDescent="0.4">
      <c r="A27" t="s">
        <v>370</v>
      </c>
      <c r="B27" s="17" t="s">
        <v>401</v>
      </c>
    </row>
    <row r="28" spans="1:2" x14ac:dyDescent="0.4">
      <c r="A28" t="s">
        <v>373</v>
      </c>
      <c r="B28" s="17" t="s">
        <v>391</v>
      </c>
    </row>
    <row r="30" spans="1:2" x14ac:dyDescent="0.4">
      <c r="A30" t="s">
        <v>422</v>
      </c>
      <c r="B30" s="17" t="s">
        <v>402</v>
      </c>
    </row>
    <row r="31" spans="1:2" x14ac:dyDescent="0.4">
      <c r="A31" t="s">
        <v>403</v>
      </c>
      <c r="B31" s="17" t="s">
        <v>404</v>
      </c>
    </row>
    <row r="32" spans="1:2" x14ac:dyDescent="0.4">
      <c r="A32" t="s">
        <v>405</v>
      </c>
      <c r="B32" s="17" t="s">
        <v>406</v>
      </c>
    </row>
    <row r="33" spans="1:2" x14ac:dyDescent="0.4">
      <c r="A33" t="s">
        <v>407</v>
      </c>
      <c r="B33" s="17" t="s">
        <v>408</v>
      </c>
    </row>
    <row r="34" spans="1:2" x14ac:dyDescent="0.4">
      <c r="A34" t="s">
        <v>277</v>
      </c>
      <c r="B34" s="17" t="s">
        <v>409</v>
      </c>
    </row>
    <row r="35" spans="1:2" x14ac:dyDescent="0.4">
      <c r="A35" t="s">
        <v>410</v>
      </c>
      <c r="B35" s="17" t="s">
        <v>411</v>
      </c>
    </row>
    <row r="37" spans="1:2" x14ac:dyDescent="0.4">
      <c r="A37" t="s">
        <v>414</v>
      </c>
      <c r="B37" s="17" t="s">
        <v>415</v>
      </c>
    </row>
    <row r="38" spans="1:2" x14ac:dyDescent="0.4">
      <c r="A38" t="s">
        <v>412</v>
      </c>
      <c r="B38" s="17" t="s">
        <v>413</v>
      </c>
    </row>
    <row r="39" spans="1:2" x14ac:dyDescent="0.4">
      <c r="A39" t="s">
        <v>416</v>
      </c>
      <c r="B39" s="17" t="s">
        <v>417</v>
      </c>
    </row>
    <row r="41" spans="1:2" ht="37.5" x14ac:dyDescent="0.4">
      <c r="A41" t="s">
        <v>418</v>
      </c>
      <c r="B41" s="17" t="s">
        <v>419</v>
      </c>
    </row>
    <row r="42" spans="1:2" x14ac:dyDescent="0.4">
      <c r="A42" t="s">
        <v>420</v>
      </c>
      <c r="B42" s="17" t="s">
        <v>421</v>
      </c>
    </row>
    <row r="46" spans="1:2" x14ac:dyDescent="0.4">
      <c r="A46" t="s">
        <v>424</v>
      </c>
      <c r="B46" s="17" t="s">
        <v>425</v>
      </c>
    </row>
    <row r="47" spans="1:2" x14ac:dyDescent="0.4">
      <c r="A47" t="s">
        <v>423</v>
      </c>
      <c r="B47" s="17" t="s">
        <v>426</v>
      </c>
    </row>
    <row r="48" spans="1:2" ht="37.5" x14ac:dyDescent="0.4">
      <c r="A48" t="s">
        <v>427</v>
      </c>
      <c r="B48" s="17" t="s">
        <v>428</v>
      </c>
    </row>
    <row r="49" spans="1:2" x14ac:dyDescent="0.4">
      <c r="A49" t="s">
        <v>429</v>
      </c>
      <c r="B49" s="17" t="s">
        <v>430</v>
      </c>
    </row>
    <row r="50" spans="1:2" x14ac:dyDescent="0.4">
      <c r="A50" t="s">
        <v>431</v>
      </c>
      <c r="B50" s="17" t="s">
        <v>432</v>
      </c>
    </row>
    <row r="51" spans="1:2" x14ac:dyDescent="0.4">
      <c r="A51" t="s">
        <v>433</v>
      </c>
      <c r="B51" s="17" t="s">
        <v>434</v>
      </c>
    </row>
    <row r="52" spans="1:2" x14ac:dyDescent="0.4">
      <c r="A52" t="s">
        <v>435</v>
      </c>
      <c r="B52" s="17" t="s">
        <v>436</v>
      </c>
    </row>
    <row r="53" spans="1:2" ht="37.5" x14ac:dyDescent="0.4">
      <c r="A53" t="s">
        <v>437</v>
      </c>
      <c r="B53" s="17" t="s">
        <v>438</v>
      </c>
    </row>
    <row r="54" spans="1:2" ht="37.5" x14ac:dyDescent="0.4">
      <c r="A54" t="s">
        <v>439</v>
      </c>
      <c r="B54" s="17" t="s">
        <v>440</v>
      </c>
    </row>
    <row r="55" spans="1:2" x14ac:dyDescent="0.4">
      <c r="A55" t="s">
        <v>441</v>
      </c>
      <c r="B55" s="17" t="s">
        <v>442</v>
      </c>
    </row>
    <row r="56" spans="1:2" x14ac:dyDescent="0.4">
      <c r="A56" t="s">
        <v>443</v>
      </c>
      <c r="B56" s="17" t="s">
        <v>444</v>
      </c>
    </row>
    <row r="57" spans="1:2" x14ac:dyDescent="0.4">
      <c r="A57" t="s">
        <v>445</v>
      </c>
      <c r="B57" s="17" t="s">
        <v>446</v>
      </c>
    </row>
    <row r="58" spans="1:2" x14ac:dyDescent="0.4">
      <c r="A58" t="s">
        <v>447</v>
      </c>
      <c r="B58" s="17" t="s">
        <v>448</v>
      </c>
    </row>
    <row r="59" spans="1:2" x14ac:dyDescent="0.4">
      <c r="A59" t="s">
        <v>449</v>
      </c>
      <c r="B59" s="17" t="s">
        <v>450</v>
      </c>
    </row>
    <row r="60" spans="1:2" x14ac:dyDescent="0.4">
      <c r="A60" t="s">
        <v>451</v>
      </c>
      <c r="B60" s="17" t="s">
        <v>452</v>
      </c>
    </row>
    <row r="61" spans="1:2" x14ac:dyDescent="0.4">
      <c r="A61" t="s">
        <v>453</v>
      </c>
      <c r="B61" s="17" t="s">
        <v>454</v>
      </c>
    </row>
    <row r="62" spans="1:2" x14ac:dyDescent="0.4">
      <c r="A62" t="s">
        <v>455</v>
      </c>
      <c r="B62" s="17" t="s">
        <v>456</v>
      </c>
    </row>
    <row r="63" spans="1:2" x14ac:dyDescent="0.4">
      <c r="A63" t="s">
        <v>457</v>
      </c>
      <c r="B63" s="17" t="s">
        <v>458</v>
      </c>
    </row>
    <row r="64" spans="1:2" x14ac:dyDescent="0.4">
      <c r="A64" t="s">
        <v>468</v>
      </c>
      <c r="B64" s="17" t="s">
        <v>459</v>
      </c>
    </row>
    <row r="65" spans="1:2" x14ac:dyDescent="0.4">
      <c r="A65" t="s">
        <v>460</v>
      </c>
      <c r="B65" s="17" t="s">
        <v>461</v>
      </c>
    </row>
    <row r="66" spans="1:2" x14ac:dyDescent="0.4">
      <c r="A66" t="s">
        <v>462</v>
      </c>
      <c r="B66" s="17" t="s">
        <v>463</v>
      </c>
    </row>
    <row r="67" spans="1:2" x14ac:dyDescent="0.4">
      <c r="A67" t="s">
        <v>464</v>
      </c>
      <c r="B67" s="17" t="s">
        <v>465</v>
      </c>
    </row>
    <row r="68" spans="1:2" x14ac:dyDescent="0.4">
      <c r="A68" t="s">
        <v>466</v>
      </c>
      <c r="B68" s="17" t="s">
        <v>467</v>
      </c>
    </row>
    <row r="70" spans="1:2" x14ac:dyDescent="0.4">
      <c r="A70" t="s">
        <v>469</v>
      </c>
      <c r="B70" s="17" t="s">
        <v>470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S31"/>
  <sheetViews>
    <sheetView workbookViewId="0">
      <pane xSplit="2" ySplit="1" topLeftCell="AD4" activePane="bottomRight" state="frozen"/>
      <selection pane="topRight" activeCell="C1" sqref="C1"/>
      <selection pane="bottomLeft" activeCell="A2" sqref="A2"/>
      <selection pane="bottomRight" activeCell="AH17" sqref="AH17"/>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customWidth="1" outlineLevel="1"/>
    <col min="9" max="9" width="4.375" customWidth="1" outlineLevel="1"/>
    <col min="10" max="10" width="4.5" customWidth="1" outlineLevel="1"/>
    <col min="11" max="14" width="5.25" customWidth="1" outlineLevel="1"/>
    <col min="15" max="15" width="4.5" customWidth="1" outlineLevel="1"/>
    <col min="16" max="16" width="5.25" customWidth="1" outlineLevel="1"/>
    <col min="17" max="18" width="7.125" customWidth="1" outlineLevel="1"/>
    <col min="19" max="19" width="3.5" customWidth="1" outlineLevel="1"/>
    <col min="20" max="20" width="4.5" customWidth="1" outlineLevel="1"/>
    <col min="21" max="21" width="5.25" customWidth="1" outlineLevel="1"/>
    <col min="22" max="22" width="5.875" customWidth="1"/>
    <col min="23" max="24" width="5.875" customWidth="1" outlineLevel="1"/>
    <col min="25" max="26" width="5.25" customWidth="1" outlineLevel="1"/>
    <col min="27" max="28" width="5.875" customWidth="1" outlineLevel="1"/>
    <col min="29" max="29" width="5.25" customWidth="1" outlineLevel="1"/>
    <col min="30" max="30" width="4.75" customWidth="1"/>
    <col min="31" max="31" width="4.875" customWidth="1" outlineLevel="2"/>
    <col min="32" max="39" width="4.75" customWidth="1" outlineLevel="2"/>
    <col min="40" max="40" width="4.75" customWidth="1" outlineLevel="1"/>
    <col min="41" max="44" width="4.75" hidden="1" customWidth="1" outlineLevel="2"/>
    <col min="45" max="45" width="4.75" customWidth="1" outlineLevel="1" collapsed="1"/>
    <col min="46" max="46" width="4.75" customWidth="1" outlineLevel="2"/>
    <col min="47" max="47" width="4.75" customWidth="1" outlineLevel="1"/>
    <col min="48" max="50" width="4.75" hidden="1" customWidth="1" outlineLevel="2"/>
    <col min="51" max="51" width="4.75" customWidth="1" outlineLevel="1" collapsed="1"/>
    <col min="52" max="54" width="4.75" customWidth="1" outlineLevel="2"/>
    <col min="55" max="55" width="4.75" customWidth="1"/>
    <col min="56" max="56" width="6.625" customWidth="1" outlineLevel="1"/>
    <col min="57" max="57" width="4.75" customWidth="1" outlineLevel="1"/>
    <col min="58" max="58" width="5.125" customWidth="1"/>
    <col min="59" max="59" width="3.75" customWidth="1"/>
    <col min="62" max="69" width="10.625" customWidth="1"/>
    <col min="70" max="70" width="14.625" customWidth="1"/>
    <col min="71" max="71" width="11.625" customWidth="1"/>
  </cols>
  <sheetData>
    <row r="1" spans="1:71" s="47" customFormat="1" ht="34.5" customHeight="1" x14ac:dyDescent="0.4">
      <c r="A1" s="46" t="s">
        <v>476</v>
      </c>
      <c r="B1" s="46" t="s">
        <v>658</v>
      </c>
      <c r="C1" s="47" t="s">
        <v>954</v>
      </c>
      <c r="D1" s="47" t="s">
        <v>500</v>
      </c>
      <c r="E1" s="47" t="s">
        <v>1242</v>
      </c>
      <c r="F1" s="47" t="s">
        <v>1243</v>
      </c>
      <c r="G1" s="47" t="s">
        <v>975</v>
      </c>
      <c r="H1" s="47" t="s">
        <v>478</v>
      </c>
      <c r="I1" s="47" t="s">
        <v>479</v>
      </c>
      <c r="J1" s="47" t="s">
        <v>480</v>
      </c>
      <c r="K1" s="47" t="s">
        <v>481</v>
      </c>
      <c r="L1" s="47" t="s">
        <v>482</v>
      </c>
      <c r="M1" s="47" t="s">
        <v>483</v>
      </c>
      <c r="N1" s="47" t="s">
        <v>484</v>
      </c>
      <c r="O1" s="47" t="s">
        <v>485</v>
      </c>
      <c r="P1" s="47" t="s">
        <v>486</v>
      </c>
      <c r="Q1" s="47" t="s">
        <v>487</v>
      </c>
      <c r="R1" s="47" t="s">
        <v>488</v>
      </c>
      <c r="S1" s="47" t="s">
        <v>489</v>
      </c>
      <c r="T1" s="47" t="s">
        <v>490</v>
      </c>
      <c r="U1" s="47" t="s">
        <v>491</v>
      </c>
      <c r="V1" s="47" t="s">
        <v>492</v>
      </c>
      <c r="W1" s="47" t="s">
        <v>493</v>
      </c>
      <c r="X1" s="47" t="s">
        <v>494</v>
      </c>
      <c r="Y1" s="47" t="s">
        <v>495</v>
      </c>
      <c r="Z1" s="47" t="s">
        <v>496</v>
      </c>
      <c r="AA1" s="47" t="s">
        <v>497</v>
      </c>
      <c r="AB1" s="47" t="s">
        <v>498</v>
      </c>
      <c r="AC1" s="47" t="s">
        <v>499</v>
      </c>
      <c r="AD1" s="22" t="s">
        <v>11</v>
      </c>
      <c r="AE1" s="22" t="s">
        <v>1233</v>
      </c>
      <c r="AF1" s="22" t="s">
        <v>1234</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997</v>
      </c>
      <c r="BB1" s="29" t="s">
        <v>6</v>
      </c>
      <c r="BD1" s="17" t="s">
        <v>1199</v>
      </c>
      <c r="BE1" s="17" t="s">
        <v>1200</v>
      </c>
      <c r="BF1" s="17" t="s">
        <v>1201</v>
      </c>
      <c r="BG1" s="17" t="s">
        <v>215</v>
      </c>
      <c r="BH1" t="s">
        <v>1174</v>
      </c>
      <c r="BI1" t="s">
        <v>1021</v>
      </c>
      <c r="BJ1" s="46" t="s">
        <v>1571</v>
      </c>
      <c r="BK1" s="46" t="s">
        <v>1572</v>
      </c>
      <c r="BL1" s="46" t="s">
        <v>1573</v>
      </c>
      <c r="BM1" s="46" t="s">
        <v>1574</v>
      </c>
      <c r="BN1" s="46" t="s">
        <v>1575</v>
      </c>
      <c r="BO1" s="46" t="s">
        <v>1576</v>
      </c>
      <c r="BP1" s="46" t="s">
        <v>1577</v>
      </c>
      <c r="BQ1" s="46" t="s">
        <v>1578</v>
      </c>
      <c r="BR1" s="46" t="s">
        <v>1579</v>
      </c>
      <c r="BS1" s="46" t="s">
        <v>1580</v>
      </c>
    </row>
    <row r="2" spans="1:71" ht="27" x14ac:dyDescent="0.4">
      <c r="A2" s="48" t="s">
        <v>501</v>
      </c>
      <c r="B2" s="46" t="s">
        <v>754</v>
      </c>
      <c r="C2" s="39">
        <v>0.2</v>
      </c>
      <c r="D2">
        <v>1</v>
      </c>
      <c r="E2">
        <v>1</v>
      </c>
      <c r="F2" t="s">
        <v>1244</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1688</v>
      </c>
      <c r="BM2">
        <v>26</v>
      </c>
      <c r="BN2" t="s">
        <v>1689</v>
      </c>
      <c r="BO2" t="s">
        <v>1690</v>
      </c>
    </row>
    <row r="3" spans="1:71" ht="27" x14ac:dyDescent="0.4">
      <c r="A3" s="48" t="s">
        <v>502</v>
      </c>
      <c r="B3" s="46" t="s">
        <v>949</v>
      </c>
      <c r="C3" s="39">
        <v>0.6</v>
      </c>
      <c r="D3">
        <v>3</v>
      </c>
      <c r="E3">
        <v>2</v>
      </c>
      <c r="F3" t="s">
        <v>1244</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1691</v>
      </c>
      <c r="BM3">
        <v>18</v>
      </c>
      <c r="BN3" t="s">
        <v>1692</v>
      </c>
      <c r="BO3" t="s">
        <v>1690</v>
      </c>
    </row>
    <row r="4" spans="1:71" ht="27" x14ac:dyDescent="0.4">
      <c r="A4" s="48" t="s">
        <v>504</v>
      </c>
      <c r="B4" s="46" t="s">
        <v>769</v>
      </c>
      <c r="C4" s="39">
        <v>0.5</v>
      </c>
      <c r="D4">
        <v>3</v>
      </c>
      <c r="E4">
        <v>2</v>
      </c>
      <c r="F4" t="s">
        <v>1244</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1693</v>
      </c>
      <c r="BM4">
        <v>12</v>
      </c>
      <c r="BN4" t="s">
        <v>1694</v>
      </c>
      <c r="BO4" t="s">
        <v>1690</v>
      </c>
      <c r="BQ4" t="s">
        <v>1694</v>
      </c>
    </row>
    <row r="5" spans="1:71" ht="27" x14ac:dyDescent="0.4">
      <c r="A5" s="48" t="s">
        <v>503</v>
      </c>
      <c r="B5" s="46" t="s">
        <v>768</v>
      </c>
      <c r="C5" s="39">
        <v>0.8</v>
      </c>
      <c r="D5">
        <v>5</v>
      </c>
      <c r="E5">
        <v>2</v>
      </c>
      <c r="F5" t="s">
        <v>1244</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1695</v>
      </c>
      <c r="BM5">
        <v>10</v>
      </c>
      <c r="BN5" t="s">
        <v>1696</v>
      </c>
      <c r="BO5" t="s">
        <v>1690</v>
      </c>
      <c r="BP5">
        <v>0.2</v>
      </c>
      <c r="BQ5" t="s">
        <v>1696</v>
      </c>
    </row>
    <row r="6" spans="1:71" ht="27" x14ac:dyDescent="0.4">
      <c r="A6" s="48" t="s">
        <v>506</v>
      </c>
      <c r="B6" s="46" t="s">
        <v>756</v>
      </c>
      <c r="C6" s="39">
        <v>0.5</v>
      </c>
      <c r="D6">
        <v>2</v>
      </c>
      <c r="E6">
        <v>1</v>
      </c>
      <c r="F6" t="s">
        <v>1839</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1697</v>
      </c>
      <c r="BM6">
        <v>8</v>
      </c>
      <c r="BN6" t="s">
        <v>1698</v>
      </c>
      <c r="BO6" t="s">
        <v>1690</v>
      </c>
    </row>
    <row r="7" spans="1:71" ht="27" x14ac:dyDescent="0.4">
      <c r="A7" s="48" t="s">
        <v>1247</v>
      </c>
      <c r="B7" s="46" t="s">
        <v>755</v>
      </c>
      <c r="C7" s="39">
        <v>0.4</v>
      </c>
      <c r="D7">
        <v>2</v>
      </c>
      <c r="E7">
        <v>1</v>
      </c>
      <c r="F7" t="s">
        <v>1244</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1699</v>
      </c>
      <c r="BM7">
        <v>10</v>
      </c>
      <c r="BN7" t="s">
        <v>1700</v>
      </c>
      <c r="BO7" t="s">
        <v>1690</v>
      </c>
      <c r="BQ7" t="s">
        <v>1701</v>
      </c>
    </row>
    <row r="8" spans="1:71" ht="27" x14ac:dyDescent="0.4">
      <c r="A8" s="48" t="s">
        <v>1239</v>
      </c>
      <c r="B8" s="46" t="s">
        <v>1240</v>
      </c>
      <c r="C8" s="39">
        <v>0.4</v>
      </c>
      <c r="D8">
        <v>2</v>
      </c>
      <c r="E8">
        <v>4</v>
      </c>
      <c r="F8" t="s">
        <v>1244</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1" ht="27" x14ac:dyDescent="0.4">
      <c r="A9" s="48" t="s">
        <v>507</v>
      </c>
      <c r="B9" s="46" t="s">
        <v>757</v>
      </c>
      <c r="C9" s="39">
        <v>0.75</v>
      </c>
      <c r="D9">
        <v>4</v>
      </c>
      <c r="E9">
        <v>2</v>
      </c>
      <c r="F9" t="s">
        <v>1245</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1702</v>
      </c>
      <c r="BM9">
        <v>7</v>
      </c>
      <c r="BN9" t="s">
        <v>1703</v>
      </c>
    </row>
    <row r="10" spans="1:71" ht="27" x14ac:dyDescent="0.4">
      <c r="A10" s="48" t="s">
        <v>1236</v>
      </c>
      <c r="B10" s="46" t="s">
        <v>1237</v>
      </c>
      <c r="C10" s="39">
        <v>0.3</v>
      </c>
      <c r="D10">
        <v>1</v>
      </c>
      <c r="E10">
        <v>1</v>
      </c>
      <c r="F10" t="s">
        <v>1244</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1704</v>
      </c>
      <c r="BM10">
        <v>12</v>
      </c>
      <c r="BN10" t="s">
        <v>1705</v>
      </c>
      <c r="BO10" t="s">
        <v>1690</v>
      </c>
      <c r="BQ10" t="s">
        <v>1705</v>
      </c>
    </row>
    <row r="11" spans="1:71" ht="27" x14ac:dyDescent="0.4">
      <c r="A11" s="48" t="s">
        <v>508</v>
      </c>
      <c r="B11" s="46" t="s">
        <v>758</v>
      </c>
      <c r="C11" s="39">
        <v>0.5</v>
      </c>
      <c r="D11">
        <v>4</v>
      </c>
      <c r="E11">
        <v>2</v>
      </c>
      <c r="F11" t="s">
        <v>1244</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1706</v>
      </c>
      <c r="BM11">
        <v>7</v>
      </c>
      <c r="BN11" t="s">
        <v>1707</v>
      </c>
      <c r="BO11" t="s">
        <v>1690</v>
      </c>
    </row>
    <row r="12" spans="1:71" ht="27" x14ac:dyDescent="0.4">
      <c r="A12" s="48" t="s">
        <v>509</v>
      </c>
      <c r="B12" s="46" t="s">
        <v>759</v>
      </c>
      <c r="C12" s="39">
        <v>0.65</v>
      </c>
      <c r="D12">
        <v>4</v>
      </c>
      <c r="E12">
        <v>3</v>
      </c>
      <c r="F12" t="s">
        <v>1244</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1708</v>
      </c>
      <c r="BQ12" t="s">
        <v>1709</v>
      </c>
    </row>
    <row r="13" spans="1:71" ht="27" x14ac:dyDescent="0.4">
      <c r="A13" s="48" t="s">
        <v>1241</v>
      </c>
      <c r="B13" s="46" t="s">
        <v>759</v>
      </c>
      <c r="C13" s="39">
        <v>0.65</v>
      </c>
      <c r="D13">
        <v>4</v>
      </c>
      <c r="E13">
        <v>3</v>
      </c>
      <c r="F13" t="s">
        <v>1244</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1" ht="27" x14ac:dyDescent="0.4">
      <c r="A14" s="48" t="s">
        <v>996</v>
      </c>
      <c r="B14" s="46" t="s">
        <v>760</v>
      </c>
      <c r="C14" s="39">
        <v>0.7</v>
      </c>
      <c r="D14">
        <v>5</v>
      </c>
      <c r="E14">
        <v>2</v>
      </c>
      <c r="F14" t="s">
        <v>1246</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1708</v>
      </c>
      <c r="BQ14" t="s">
        <v>1710</v>
      </c>
    </row>
    <row r="15" spans="1:71" ht="27" x14ac:dyDescent="0.4">
      <c r="A15" s="48" t="s">
        <v>511</v>
      </c>
      <c r="B15" s="46" t="s">
        <v>761</v>
      </c>
      <c r="C15" s="39">
        <v>0.9</v>
      </c>
      <c r="D15">
        <v>6</v>
      </c>
      <c r="E15">
        <v>1</v>
      </c>
      <c r="F15" t="s">
        <v>1244</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1708</v>
      </c>
      <c r="BQ15" t="s">
        <v>1711</v>
      </c>
    </row>
    <row r="16" spans="1:71" ht="27" x14ac:dyDescent="0.4">
      <c r="A16" s="48" t="s">
        <v>512</v>
      </c>
      <c r="B16" s="46" t="s">
        <v>762</v>
      </c>
      <c r="C16" s="39">
        <v>0.65</v>
      </c>
      <c r="D16">
        <v>3</v>
      </c>
      <c r="E16">
        <v>1</v>
      </c>
      <c r="F16" t="s">
        <v>1244</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1712</v>
      </c>
      <c r="BM16">
        <v>6</v>
      </c>
      <c r="BN16" t="s">
        <v>1713</v>
      </c>
      <c r="BO16" t="s">
        <v>1690</v>
      </c>
      <c r="BQ16" t="s">
        <v>1713</v>
      </c>
    </row>
    <row r="17" spans="1:71" ht="27" x14ac:dyDescent="0.4">
      <c r="A17" s="48" t="s">
        <v>513</v>
      </c>
      <c r="B17" s="46" t="s">
        <v>1845</v>
      </c>
      <c r="C17" s="39">
        <v>0.95</v>
      </c>
      <c r="D17">
        <v>6</v>
      </c>
      <c r="E17">
        <v>2</v>
      </c>
      <c r="F17" t="s">
        <v>1244</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1714</v>
      </c>
      <c r="BM17">
        <v>4</v>
      </c>
      <c r="BN17" t="s">
        <v>1715</v>
      </c>
      <c r="BO17" t="s">
        <v>1690</v>
      </c>
    </row>
    <row r="18" spans="1:71" ht="27" x14ac:dyDescent="0.4">
      <c r="A18" s="48" t="s">
        <v>742</v>
      </c>
      <c r="B18" s="46" t="s">
        <v>976</v>
      </c>
      <c r="C18" s="39">
        <v>0.9</v>
      </c>
      <c r="D18">
        <v>3</v>
      </c>
      <c r="E18">
        <v>2</v>
      </c>
      <c r="F18" t="s">
        <v>1844</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1716</v>
      </c>
    </row>
    <row r="19" spans="1:71" ht="54" x14ac:dyDescent="0.4">
      <c r="A19" s="48" t="s">
        <v>878</v>
      </c>
      <c r="B19" s="46" t="s">
        <v>879</v>
      </c>
      <c r="C19" s="39">
        <v>0.9</v>
      </c>
      <c r="D19">
        <v>4</v>
      </c>
      <c r="E19">
        <v>0</v>
      </c>
      <c r="F19" t="s">
        <v>1244</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1211</v>
      </c>
      <c r="B21" s="46"/>
      <c r="C21" s="39"/>
      <c r="G21">
        <v>15</v>
      </c>
      <c r="H21">
        <v>15</v>
      </c>
      <c r="V21" s="39"/>
      <c r="W21" s="39"/>
      <c r="X21" s="39"/>
      <c r="Y21" s="39"/>
      <c r="Z21" s="39"/>
      <c r="AA21" s="39"/>
      <c r="AB21" s="39"/>
      <c r="AC21" s="39"/>
      <c r="AK21" s="17"/>
      <c r="AL21" s="17"/>
      <c r="AS21" s="17"/>
      <c r="BE21">
        <v>5</v>
      </c>
      <c r="BG21">
        <v>10</v>
      </c>
    </row>
    <row r="22" spans="1:71" x14ac:dyDescent="0.4">
      <c r="A22" s="48" t="s">
        <v>1212</v>
      </c>
      <c r="B22" s="46"/>
      <c r="C22" s="39">
        <v>0.3</v>
      </c>
      <c r="S22">
        <v>40</v>
      </c>
      <c r="V22" s="39"/>
      <c r="W22" s="39"/>
      <c r="X22" s="39"/>
      <c r="Y22" s="39"/>
      <c r="Z22" s="39"/>
      <c r="AA22" s="39"/>
      <c r="AB22" s="39"/>
      <c r="AC22" s="39"/>
      <c r="AK22" s="17"/>
      <c r="AL22" s="17"/>
      <c r="AS22" s="17"/>
    </row>
    <row r="23" spans="1:71" x14ac:dyDescent="0.4">
      <c r="A23" s="48" t="s">
        <v>1213</v>
      </c>
      <c r="B23" s="46"/>
      <c r="C23" s="39">
        <v>0.15</v>
      </c>
      <c r="T23">
        <v>40</v>
      </c>
      <c r="V23" s="39"/>
      <c r="W23" s="39"/>
      <c r="X23" s="39"/>
      <c r="Y23" s="39"/>
      <c r="Z23" s="39"/>
      <c r="AA23" s="39"/>
      <c r="AB23" s="39"/>
      <c r="AC23" s="39"/>
      <c r="AK23" s="17"/>
      <c r="AL23" s="17"/>
      <c r="AS23" s="17"/>
    </row>
    <row r="24" spans="1:71" x14ac:dyDescent="0.4">
      <c r="A24" s="48" t="s">
        <v>1214</v>
      </c>
      <c r="B24" s="46"/>
      <c r="C24" s="39">
        <v>0.15</v>
      </c>
      <c r="U24">
        <v>40</v>
      </c>
      <c r="V24" s="39"/>
      <c r="W24" s="39"/>
      <c r="X24" s="39"/>
      <c r="Y24" s="39"/>
      <c r="Z24" s="39"/>
      <c r="AA24" s="39"/>
      <c r="AB24" s="39"/>
      <c r="AC24" s="39"/>
      <c r="AK24" s="17"/>
      <c r="AL24" s="17"/>
      <c r="AS24" s="17"/>
    </row>
    <row r="25" spans="1:71" x14ac:dyDescent="0.4">
      <c r="A25" s="48" t="s">
        <v>1215</v>
      </c>
      <c r="B25" s="46"/>
      <c r="C25" s="39">
        <v>0.1</v>
      </c>
      <c r="G25">
        <v>20</v>
      </c>
      <c r="J25">
        <v>10</v>
      </c>
      <c r="V25" s="39"/>
      <c r="W25" s="39"/>
      <c r="X25" s="39"/>
      <c r="Y25" s="39"/>
      <c r="Z25" s="39"/>
      <c r="AA25" s="39">
        <v>0.25</v>
      </c>
      <c r="AB25" s="39">
        <v>0.25</v>
      </c>
      <c r="AC25" s="39"/>
      <c r="AK25" s="17"/>
      <c r="AL25" s="17"/>
      <c r="AS25" s="17"/>
      <c r="BG25">
        <v>5</v>
      </c>
    </row>
    <row r="26" spans="1:71" x14ac:dyDescent="0.4">
      <c r="A26" s="48" t="s">
        <v>1216</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596</v>
      </c>
      <c r="B29" s="50" t="s">
        <v>763</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764</v>
      </c>
      <c r="B30" s="46" t="s">
        <v>765</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766</v>
      </c>
      <c r="B31" s="46" t="s">
        <v>767</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743</v>
      </c>
      <c r="B1" s="10" t="s">
        <v>744</v>
      </c>
      <c r="C1" s="2" t="s">
        <v>873</v>
      </c>
      <c r="D1" s="2" t="s">
        <v>1238</v>
      </c>
      <c r="E1" s="2" t="s">
        <v>858</v>
      </c>
      <c r="F1" s="2" t="s">
        <v>813</v>
      </c>
      <c r="G1" s="51" t="s">
        <v>746</v>
      </c>
      <c r="H1" s="51" t="s">
        <v>745</v>
      </c>
      <c r="I1" s="51" t="s">
        <v>874</v>
      </c>
      <c r="J1" s="10" t="s">
        <v>747</v>
      </c>
      <c r="K1" s="10" t="s">
        <v>315</v>
      </c>
      <c r="L1" s="10" t="s">
        <v>753</v>
      </c>
      <c r="M1" s="10" t="s">
        <v>750</v>
      </c>
      <c r="N1" s="10" t="s">
        <v>751</v>
      </c>
      <c r="O1" s="10" t="s">
        <v>752</v>
      </c>
      <c r="P1" s="10" t="s">
        <v>748</v>
      </c>
      <c r="Q1" s="10" t="s">
        <v>749</v>
      </c>
      <c r="R1" s="10" t="s">
        <v>1124</v>
      </c>
      <c r="S1" s="10" t="s">
        <v>1271</v>
      </c>
      <c r="W1" s="10" t="s">
        <v>1570</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501</v>
      </c>
      <c r="B3" s="10" t="s">
        <v>198</v>
      </c>
      <c r="C3" t="str">
        <f>_xlfn.LET(
 _xlpm.dOK,COUNTIF(クラス!A:A,E3)&gt;0,
 _xlpm.eOK,COUNTIF(クラス!A:A,F3)&gt;0,
 IF(_xlpm.dOK,"○","×") &amp; IF(_xlpm.eOK,"○","×")
)</f>
        <v>○×</v>
      </c>
      <c r="D3" t="b">
        <v>1</v>
      </c>
      <c r="E3" t="s">
        <v>199</v>
      </c>
      <c r="G3">
        <v>5</v>
      </c>
      <c r="H3">
        <v>8</v>
      </c>
      <c r="R3" t="s">
        <v>1125</v>
      </c>
      <c r="S3" t="str">
        <f>IFERROR(VLOOKUP(B3,$U:$V,2,FALSE),"")</f>
        <v>鳥系生物の巣</v>
      </c>
      <c r="U3" t="s">
        <v>198</v>
      </c>
      <c r="V3" t="s">
        <v>1249</v>
      </c>
      <c r="W3" t="s">
        <v>1581</v>
      </c>
    </row>
    <row r="4" spans="1:23" outlineLevel="1" x14ac:dyDescent="0.4">
      <c r="A4" s="2" t="s">
        <v>501</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1250</v>
      </c>
      <c r="W4" t="s">
        <v>1582</v>
      </c>
    </row>
    <row r="5" spans="1:23" outlineLevel="1" x14ac:dyDescent="0.4">
      <c r="A5" s="2" t="s">
        <v>501</v>
      </c>
      <c r="B5" s="10" t="s">
        <v>1248</v>
      </c>
      <c r="C5" t="str">
        <f>_xlfn.LET(
 _xlpm.dOK,COUNTIF(クラス!A:A,E5)&gt;0,
 _xlpm.eOK,COUNTIF(クラス!A:A,F5)&gt;0,
 IF(_xlpm.dOK,"○","×") &amp; IF(_xlpm.eOK,"○","×")
)</f>
        <v>××</v>
      </c>
      <c r="S5" t="str">
        <f t="shared" si="0"/>
        <v>虫系の巣</v>
      </c>
      <c r="U5" t="s">
        <v>770</v>
      </c>
      <c r="V5" t="s">
        <v>1251</v>
      </c>
      <c r="W5" t="s">
        <v>1583</v>
      </c>
    </row>
    <row r="6" spans="1:23" outlineLevel="1" x14ac:dyDescent="0.4">
      <c r="A6" s="2" t="s">
        <v>501</v>
      </c>
      <c r="B6" s="10" t="s">
        <v>771</v>
      </c>
      <c r="C6" t="str">
        <f>_xlfn.LET(
 _xlpm.dOK,COUNTIF(クラス!A:A,E6)&gt;0,
 _xlpm.eOK,COUNTIF(クラス!A:A,F6)&gt;0,
 IF(_xlpm.dOK,"○","×") &amp; IF(_xlpm.eOK,"○","×")
)</f>
        <v>××</v>
      </c>
      <c r="S6" t="str">
        <f t="shared" si="0"/>
        <v>地中生物の巣</v>
      </c>
      <c r="U6" t="s">
        <v>771</v>
      </c>
      <c r="V6" t="s">
        <v>1252</v>
      </c>
      <c r="W6" t="s">
        <v>1584</v>
      </c>
    </row>
    <row r="7" spans="1:23" outlineLevel="1" x14ac:dyDescent="0.4">
      <c r="A7" s="2" t="s">
        <v>501</v>
      </c>
      <c r="B7" s="10" t="s">
        <v>772</v>
      </c>
      <c r="C7" t="str">
        <f>_xlfn.LET(
 _xlpm.dOK,COUNTIF(クラス!A:A,E7)&gt;0,
 _xlpm.eOK,COUNTIF(クラス!A:A,F7)&gt;0,
 IF(_xlpm.dOK,"○","×") &amp; IF(_xlpm.eOK,"○","×")
)</f>
        <v>○○</v>
      </c>
      <c r="D7" t="b">
        <v>1</v>
      </c>
      <c r="E7" t="s">
        <v>196</v>
      </c>
      <c r="F7" t="s">
        <v>199</v>
      </c>
      <c r="G7">
        <v>12</v>
      </c>
      <c r="H7">
        <v>15</v>
      </c>
      <c r="R7" t="s">
        <v>772</v>
      </c>
      <c r="S7" t="str">
        <f t="shared" si="0"/>
        <v>肉食生物の巣</v>
      </c>
      <c r="U7" t="s">
        <v>772</v>
      </c>
      <c r="V7" t="s">
        <v>1250</v>
      </c>
      <c r="W7" t="s">
        <v>1585</v>
      </c>
    </row>
    <row r="8" spans="1:23" ht="36" outlineLevel="1" x14ac:dyDescent="0.4">
      <c r="A8" s="2" t="s">
        <v>501</v>
      </c>
      <c r="B8" s="10" t="s">
        <v>1204</v>
      </c>
      <c r="C8" t="str">
        <f>_xlfn.LET(
 _xlpm.dOK,COUNTIF(クラス!A:A,E8)&gt;0,
 _xlpm.eOK,COUNTIF(クラス!A:A,F8)&gt;0,
 IF(_xlpm.dOK,"○","×") &amp; IF(_xlpm.eOK,"○","×")
)</f>
        <v>○○</v>
      </c>
      <c r="E8" t="s">
        <v>194</v>
      </c>
      <c r="F8" t="s">
        <v>206</v>
      </c>
      <c r="G8">
        <v>12</v>
      </c>
      <c r="H8">
        <v>15</v>
      </c>
      <c r="R8" t="s">
        <v>1204</v>
      </c>
      <c r="S8" t="str">
        <f t="shared" si="0"/>
        <v>肉食生物の巣</v>
      </c>
      <c r="U8" t="s">
        <v>1225</v>
      </c>
      <c r="V8" t="s">
        <v>1250</v>
      </c>
      <c r="W8" t="s">
        <v>1586</v>
      </c>
    </row>
    <row r="9" spans="1:23" outlineLevel="1" x14ac:dyDescent="0.4">
      <c r="A9" s="2" t="s">
        <v>501</v>
      </c>
      <c r="B9" s="10" t="s">
        <v>776</v>
      </c>
      <c r="C9" t="str">
        <f>_xlfn.LET(
 _xlpm.dOK,COUNTIF(クラス!A:A,E9)&gt;0,
 _xlpm.eOK,COUNTIF(クラス!A:A,F9)&gt;0,
 IF(_xlpm.dOK,"○","×") &amp; IF(_xlpm.eOK,"○","×")
)</f>
        <v>○×</v>
      </c>
      <c r="D9" t="b">
        <v>1</v>
      </c>
      <c r="E9" t="s">
        <v>857</v>
      </c>
      <c r="G9">
        <v>15</v>
      </c>
      <c r="H9">
        <v>20</v>
      </c>
      <c r="R9" t="s">
        <v>857</v>
      </c>
      <c r="S9" t="str">
        <f t="shared" si="0"/>
        <v>飛竜の巣</v>
      </c>
      <c r="U9" t="s">
        <v>776</v>
      </c>
      <c r="V9" t="s">
        <v>1253</v>
      </c>
      <c r="W9" t="s">
        <v>1587</v>
      </c>
    </row>
    <row r="10" spans="1:23" outlineLevel="1" x14ac:dyDescent="0.4">
      <c r="C10" t="str">
        <f>_xlfn.LET(
 _xlpm.dOK,COUNTIF(クラス!A:A,E10)&gt;0,
 _xlpm.eOK,COUNTIF(クラス!A:A,F10)&gt;0,
 IF(_xlpm.dOK,"○","×") &amp; IF(_xlpm.eOK,"○","×")
)</f>
        <v>××</v>
      </c>
      <c r="S10" t="str">
        <f t="shared" si="0"/>
        <v/>
      </c>
    </row>
    <row r="11" spans="1:23" outlineLevel="1" x14ac:dyDescent="0.4">
      <c r="A11" s="2" t="s">
        <v>1236</v>
      </c>
      <c r="B11" s="10" t="s">
        <v>194</v>
      </c>
      <c r="C11" t="str">
        <f>_xlfn.LET(
 _xlpm.dOK,COUNTIF(クラス!A:A,E11)&gt;0,
 _xlpm.eOK,COUNTIF(クラス!A:A,F11)&gt;0,
 IF(_xlpm.dOK,"○","×") &amp; IF(_xlpm.eOK,"○","×")
)</f>
        <v>○×</v>
      </c>
      <c r="D11" t="b">
        <v>1</v>
      </c>
      <c r="E11" t="s">
        <v>194</v>
      </c>
      <c r="G11">
        <v>5</v>
      </c>
      <c r="H11">
        <v>8</v>
      </c>
      <c r="R11" t="s">
        <v>1126</v>
      </c>
      <c r="S11" t="str">
        <f t="shared" si="0"/>
        <v>肉食生物の巣</v>
      </c>
      <c r="U11" t="s">
        <v>124</v>
      </c>
      <c r="V11" t="s">
        <v>1250</v>
      </c>
      <c r="W11" t="s">
        <v>1588</v>
      </c>
    </row>
    <row r="12" spans="1:23" outlineLevel="1" x14ac:dyDescent="0.4">
      <c r="A12" s="2" t="s">
        <v>1236</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1250</v>
      </c>
      <c r="W12" t="s">
        <v>1589</v>
      </c>
    </row>
    <row r="13" spans="1:23" outlineLevel="1" x14ac:dyDescent="0.4">
      <c r="A13" s="2" t="s">
        <v>1236</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1250</v>
      </c>
      <c r="W13" t="s">
        <v>1590</v>
      </c>
    </row>
    <row r="14" spans="1:23" outlineLevel="1" x14ac:dyDescent="0.4">
      <c r="A14" s="2" t="s">
        <v>1236</v>
      </c>
      <c r="B14" s="10" t="s">
        <v>800</v>
      </c>
      <c r="C14" t="str">
        <f>_xlfn.LET(
 _xlpm.dOK,COUNTIF(クラス!A:A,E14)&gt;0,
 _xlpm.eOK,COUNTIF(クラス!A:A,F14)&gt;0,
 IF(_xlpm.dOK,"○","×") &amp; IF(_xlpm.eOK,"○","×")
)</f>
        <v>○×</v>
      </c>
      <c r="E14" t="s">
        <v>195</v>
      </c>
      <c r="G14">
        <v>8</v>
      </c>
      <c r="H14">
        <v>12</v>
      </c>
      <c r="S14" t="str">
        <f t="shared" si="0"/>
        <v>地中生物の巣</v>
      </c>
      <c r="U14" t="s">
        <v>800</v>
      </c>
      <c r="V14" t="s">
        <v>1252</v>
      </c>
      <c r="W14" t="s">
        <v>1591</v>
      </c>
    </row>
    <row r="15" spans="1:23" outlineLevel="1" x14ac:dyDescent="0.4">
      <c r="A15" s="2" t="s">
        <v>1236</v>
      </c>
      <c r="B15" s="10" t="s">
        <v>772</v>
      </c>
      <c r="C15" t="str">
        <f>_xlfn.LET(
 _xlpm.dOK,COUNTIF(クラス!A:A,E15)&gt;0,
 _xlpm.eOK,COUNTIF(クラス!A:A,F15)&gt;0,
 IF(_xlpm.dOK,"○","×") &amp; IF(_xlpm.eOK,"○","×")
)</f>
        <v>○○</v>
      </c>
      <c r="D15" t="b">
        <v>1</v>
      </c>
      <c r="E15" t="s">
        <v>196</v>
      </c>
      <c r="F15" t="s">
        <v>199</v>
      </c>
      <c r="G15">
        <v>12</v>
      </c>
      <c r="H15">
        <v>15</v>
      </c>
      <c r="R15" t="s">
        <v>772</v>
      </c>
      <c r="S15" t="str">
        <f t="shared" si="0"/>
        <v>肉食生物の巣</v>
      </c>
      <c r="U15" t="s">
        <v>772</v>
      </c>
      <c r="V15" t="s">
        <v>1250</v>
      </c>
      <c r="W15" t="s">
        <v>1592</v>
      </c>
    </row>
    <row r="16" spans="1:23" ht="36" outlineLevel="1" x14ac:dyDescent="0.4">
      <c r="A16" s="2" t="s">
        <v>1236</v>
      </c>
      <c r="B16" s="10" t="s">
        <v>1204</v>
      </c>
      <c r="C16" t="str">
        <f>_xlfn.LET(
 _xlpm.dOK,COUNTIF(クラス!A:A,E16)&gt;0,
 _xlpm.eOK,COUNTIF(クラス!A:A,F16)&gt;0,
 IF(_xlpm.dOK,"○","×") &amp; IF(_xlpm.eOK,"○","×")
)</f>
        <v>○○</v>
      </c>
      <c r="E16" t="s">
        <v>194</v>
      </c>
      <c r="F16" t="s">
        <v>206</v>
      </c>
      <c r="G16">
        <v>12</v>
      </c>
      <c r="H16">
        <v>15</v>
      </c>
      <c r="R16" t="s">
        <v>1225</v>
      </c>
      <c r="S16" t="str">
        <f t="shared" si="0"/>
        <v>肉食生物の巣</v>
      </c>
      <c r="U16" t="s">
        <v>1225</v>
      </c>
      <c r="V16" t="s">
        <v>1250</v>
      </c>
      <c r="W16" t="s">
        <v>1593</v>
      </c>
    </row>
    <row r="17" spans="1:23" outlineLevel="1" x14ac:dyDescent="0.4">
      <c r="A17" s="2" t="s">
        <v>1236</v>
      </c>
      <c r="B17" s="10" t="s">
        <v>857</v>
      </c>
      <c r="C17" t="str">
        <f>_xlfn.LET(
 _xlpm.dOK,COUNTIF(クラス!A:A,E17)&gt;0,
 _xlpm.eOK,COUNTIF(クラス!A:A,F17)&gt;0,
 IF(_xlpm.dOK,"○","×") &amp; IF(_xlpm.eOK,"○","×")
)</f>
        <v>○×</v>
      </c>
      <c r="D17" t="b">
        <v>1</v>
      </c>
      <c r="E17" t="s">
        <v>857</v>
      </c>
      <c r="G17">
        <v>15</v>
      </c>
      <c r="H17">
        <v>20</v>
      </c>
      <c r="R17" t="s">
        <v>857</v>
      </c>
      <c r="S17" t="str">
        <f t="shared" si="0"/>
        <v>飛竜の巣</v>
      </c>
      <c r="U17" t="s">
        <v>776</v>
      </c>
      <c r="V17" t="s">
        <v>1253</v>
      </c>
      <c r="W17" t="s">
        <v>1594</v>
      </c>
    </row>
    <row r="18" spans="1:23" outlineLevel="1" x14ac:dyDescent="0.4">
      <c r="C18" t="str">
        <f>_xlfn.LET(
 _xlpm.dOK,COUNTIF(クラス!A:A,E18)&gt;0,
 _xlpm.eOK,COUNTIF(クラス!A:A,F18)&gt;0,
 IF(_xlpm.dOK,"○","×") &amp; IF(_xlpm.eOK,"○","×")
)</f>
        <v>××</v>
      </c>
      <c r="S18" t="str">
        <f t="shared" si="0"/>
        <v/>
      </c>
    </row>
    <row r="19" spans="1:23" outlineLevel="1" x14ac:dyDescent="0.4">
      <c r="A19" s="2" t="s">
        <v>508</v>
      </c>
      <c r="B19" s="10" t="s">
        <v>793</v>
      </c>
      <c r="C19" t="str">
        <f>_xlfn.LET(
 _xlpm.dOK,COUNTIF(クラス!A:A,E19)&gt;0,
 _xlpm.eOK,COUNTIF(クラス!A:A,F19)&gt;0,
 IF(_xlpm.dOK,"○","×") &amp; IF(_xlpm.eOK,"○","×")
)</f>
        <v>××</v>
      </c>
      <c r="S19" t="str">
        <f t="shared" si="0"/>
        <v>死霊の巣</v>
      </c>
      <c r="U19" t="s">
        <v>793</v>
      </c>
      <c r="V19" t="s">
        <v>1254</v>
      </c>
      <c r="W19" t="s">
        <v>1595</v>
      </c>
    </row>
    <row r="20" spans="1:23" outlineLevel="1" x14ac:dyDescent="0.4">
      <c r="A20" s="2" t="s">
        <v>508</v>
      </c>
      <c r="B20" s="10" t="s">
        <v>794</v>
      </c>
      <c r="C20" t="str">
        <f>_xlfn.LET(
 _xlpm.dOK,COUNTIF(クラス!A:A,E20)&gt;0,
 _xlpm.eOK,COUNTIF(クラス!A:A,F20)&gt;0,
 IF(_xlpm.dOK,"○","×") &amp; IF(_xlpm.eOK,"○","×")
)</f>
        <v>××</v>
      </c>
      <c r="S20" t="str">
        <f t="shared" si="0"/>
        <v>毒生成物の巣</v>
      </c>
      <c r="U20" t="s">
        <v>794</v>
      </c>
      <c r="V20" t="s">
        <v>1255</v>
      </c>
      <c r="W20" t="s">
        <v>1596</v>
      </c>
    </row>
    <row r="21" spans="1:23" outlineLevel="1" x14ac:dyDescent="0.4">
      <c r="A21" s="2" t="s">
        <v>508</v>
      </c>
      <c r="B21" s="10" t="s">
        <v>795</v>
      </c>
      <c r="C21" t="str">
        <f>_xlfn.LET(
 _xlpm.dOK,COUNTIF(クラス!A:A,E21)&gt;0,
 _xlpm.eOK,COUNTIF(クラス!A:A,F21)&gt;0,
 IF(_xlpm.dOK,"○","×") &amp; IF(_xlpm.eOK,"○","×")
)</f>
        <v>××</v>
      </c>
      <c r="S21" t="str">
        <f t="shared" si="0"/>
        <v>飛竜の巣</v>
      </c>
      <c r="U21" t="s">
        <v>795</v>
      </c>
      <c r="V21" t="s">
        <v>1253</v>
      </c>
      <c r="W21" t="s">
        <v>1597</v>
      </c>
    </row>
    <row r="22" spans="1:23" outlineLevel="1" x14ac:dyDescent="0.4">
      <c r="A22" s="2" t="s">
        <v>508</v>
      </c>
      <c r="B22" s="10" t="s">
        <v>796</v>
      </c>
      <c r="C22" t="str">
        <f>_xlfn.LET(
 _xlpm.dOK,COUNTIF(クラス!A:A,E22)&gt;0,
 _xlpm.eOK,COUNTIF(クラス!A:A,F22)&gt;0,
 IF(_xlpm.dOK,"○","×") &amp; IF(_xlpm.eOK,"○","×")
)</f>
        <v>××</v>
      </c>
      <c r="R22" t="s">
        <v>796</v>
      </c>
      <c r="S22" t="str">
        <f t="shared" si="0"/>
        <v>地中生物の巣</v>
      </c>
      <c r="U22" t="s">
        <v>796</v>
      </c>
      <c r="V22" t="s">
        <v>1252</v>
      </c>
      <c r="W22" t="s">
        <v>1598</v>
      </c>
    </row>
    <row r="23" spans="1:23" ht="36" outlineLevel="1" x14ac:dyDescent="0.4">
      <c r="A23" s="2" t="s">
        <v>508</v>
      </c>
      <c r="B23" s="10" t="s">
        <v>797</v>
      </c>
      <c r="C23" t="str">
        <f>_xlfn.LET(
 _xlpm.dOK,COUNTIF(クラス!A:A,E23)&gt;0,
 _xlpm.eOK,COUNTIF(クラス!A:A,F23)&gt;0,
 IF(_xlpm.dOK,"○","×") &amp; IF(_xlpm.eOK,"○","×")
)</f>
        <v>××</v>
      </c>
      <c r="R23" t="s">
        <v>1226</v>
      </c>
      <c r="S23" t="str">
        <f t="shared" si="0"/>
        <v>虫系の巣</v>
      </c>
      <c r="U23" t="s">
        <v>797</v>
      </c>
      <c r="V23" t="s">
        <v>1251</v>
      </c>
      <c r="W23" t="s">
        <v>1599</v>
      </c>
    </row>
    <row r="24" spans="1:23" outlineLevel="1" x14ac:dyDescent="0.4">
      <c r="A24" s="2" t="s">
        <v>508</v>
      </c>
      <c r="B24" s="10" t="s">
        <v>798</v>
      </c>
      <c r="C24" t="str">
        <f>_xlfn.LET(
 _xlpm.dOK,COUNTIF(クラス!A:A,E24)&gt;0,
 _xlpm.eOK,COUNTIF(クラス!A:A,F24)&gt;0,
 IF(_xlpm.dOK,"○","×") &amp; IF(_xlpm.eOK,"○","×")
)</f>
        <v>××</v>
      </c>
      <c r="S24" t="str">
        <f t="shared" si="0"/>
        <v>肉食生物の巣</v>
      </c>
      <c r="U24" t="s">
        <v>798</v>
      </c>
      <c r="V24" t="s">
        <v>1250</v>
      </c>
      <c r="W24" t="s">
        <v>1600</v>
      </c>
    </row>
    <row r="25" spans="1:23" ht="36" outlineLevel="1" x14ac:dyDescent="0.4">
      <c r="A25" s="2" t="s">
        <v>508</v>
      </c>
      <c r="B25" s="10" t="s">
        <v>799</v>
      </c>
      <c r="C25" t="str">
        <f>_xlfn.LET(
 _xlpm.dOK,COUNTIF(クラス!A:A,E25)&gt;0,
 _xlpm.eOK,COUNTIF(クラス!A:A,F25)&gt;0,
 IF(_xlpm.dOK,"○","×") &amp; IF(_xlpm.eOK,"○","×")
)</f>
        <v>××</v>
      </c>
      <c r="S25" t="str">
        <f t="shared" si="0"/>
        <v>土の輪</v>
      </c>
      <c r="U25" t="s">
        <v>799</v>
      </c>
      <c r="V25" t="s">
        <v>1256</v>
      </c>
      <c r="W25" t="s">
        <v>1601</v>
      </c>
    </row>
    <row r="26" spans="1:23" outlineLevel="1" x14ac:dyDescent="0.4">
      <c r="A26" s="2" t="s">
        <v>508</v>
      </c>
      <c r="B26" s="10" t="s">
        <v>800</v>
      </c>
      <c r="C26" t="str">
        <f>_xlfn.LET(
 _xlpm.dOK,COUNTIF(クラス!A:A,E26)&gt;0,
 _xlpm.eOK,COUNTIF(クラス!A:A,F26)&gt;0,
 IF(_xlpm.dOK,"○","×") &amp; IF(_xlpm.eOK,"○","×")
)</f>
        <v>××</v>
      </c>
      <c r="R26" t="s">
        <v>800</v>
      </c>
      <c r="S26" t="str">
        <f t="shared" si="0"/>
        <v>地中生物の巣</v>
      </c>
      <c r="U26" t="s">
        <v>800</v>
      </c>
      <c r="V26" t="s">
        <v>1252</v>
      </c>
      <c r="W26" t="s">
        <v>1602</v>
      </c>
    </row>
    <row r="27" spans="1:23" outlineLevel="1" x14ac:dyDescent="0.4">
      <c r="A27" s="2" t="s">
        <v>508</v>
      </c>
      <c r="B27" s="10" t="s">
        <v>801</v>
      </c>
      <c r="C27" t="str">
        <f>_xlfn.LET(
 _xlpm.dOK,COUNTIF(クラス!A:A,E27)&gt;0,
 _xlpm.eOK,COUNTIF(クラス!A:A,F27)&gt;0,
 IF(_xlpm.dOK,"○","×") &amp; IF(_xlpm.eOK,"○","×")
)</f>
        <v>××</v>
      </c>
      <c r="S27" t="str">
        <f t="shared" si="0"/>
        <v>死霊の巣</v>
      </c>
      <c r="U27" t="s">
        <v>801</v>
      </c>
      <c r="V27" t="s">
        <v>1254</v>
      </c>
      <c r="W27" t="s">
        <v>1603</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777</v>
      </c>
      <c r="V29" t="s">
        <v>1257</v>
      </c>
    </row>
    <row r="30" spans="1:23" x14ac:dyDescent="0.4">
      <c r="A30" s="2" t="s">
        <v>502</v>
      </c>
      <c r="B30" s="10" t="s">
        <v>777</v>
      </c>
      <c r="C30" t="str">
        <f>_xlfn.LET(
 _xlpm.dOK,COUNTIF(クラス!A:A,E30)&gt;0,
 _xlpm.eOK,COUNTIF(クラス!A:A,F30)&gt;0,
 IF(_xlpm.dOK,"○","×") &amp; IF(_xlpm.eOK,"○","×")
)</f>
        <v>××</v>
      </c>
      <c r="S30" t="str">
        <f t="shared" si="0"/>
        <v>植物生物の巣</v>
      </c>
      <c r="U30" t="s">
        <v>778</v>
      </c>
      <c r="V30" t="s">
        <v>1257</v>
      </c>
      <c r="W30" t="s">
        <v>1604</v>
      </c>
    </row>
    <row r="31" spans="1:23" outlineLevel="1" x14ac:dyDescent="0.4">
      <c r="A31" s="2" t="s">
        <v>502</v>
      </c>
      <c r="B31" s="10" t="s">
        <v>778</v>
      </c>
      <c r="C31" t="str">
        <f>_xlfn.LET(
 _xlpm.dOK,COUNTIF(クラス!A:A,E31)&gt;0,
 _xlpm.eOK,COUNTIF(クラス!A:A,F31)&gt;0,
 IF(_xlpm.dOK,"○","×") &amp; IF(_xlpm.eOK,"○","×")
)</f>
        <v>××</v>
      </c>
      <c r="R31" t="s">
        <v>1130</v>
      </c>
      <c r="S31" t="str">
        <f t="shared" si="0"/>
        <v>植物生物の巣</v>
      </c>
      <c r="U31" t="s">
        <v>779</v>
      </c>
      <c r="V31" t="s">
        <v>1250</v>
      </c>
      <c r="W31" t="s">
        <v>1605</v>
      </c>
    </row>
    <row r="32" spans="1:23" outlineLevel="1" x14ac:dyDescent="0.4">
      <c r="A32" s="2" t="s">
        <v>502</v>
      </c>
      <c r="B32" s="10" t="s">
        <v>1224</v>
      </c>
      <c r="C32" t="str">
        <f>_xlfn.LET(
 _xlpm.dOK,COUNTIF(クラス!A:A,E32)&gt;0,
 _xlpm.eOK,COUNTIF(クラス!A:A,F32)&gt;0,
 IF(_xlpm.dOK,"○","×") &amp; IF(_xlpm.eOK,"○","×")
)</f>
        <v>○○</v>
      </c>
      <c r="D32" t="b">
        <v>1</v>
      </c>
      <c r="E32" t="s">
        <v>201</v>
      </c>
      <c r="F32" t="s">
        <v>816</v>
      </c>
      <c r="G32">
        <v>15</v>
      </c>
      <c r="H32">
        <v>25</v>
      </c>
      <c r="R32" t="s">
        <v>779</v>
      </c>
      <c r="S32" t="str">
        <f t="shared" si="0"/>
        <v>肉食生物の巣</v>
      </c>
      <c r="U32" t="s">
        <v>780</v>
      </c>
      <c r="V32" t="s">
        <v>1255</v>
      </c>
      <c r="W32" t="s">
        <v>1606</v>
      </c>
    </row>
    <row r="33" spans="1:23" outlineLevel="1" x14ac:dyDescent="0.4">
      <c r="A33" s="2" t="s">
        <v>502</v>
      </c>
      <c r="B33" s="10" t="s">
        <v>780</v>
      </c>
      <c r="C33" t="str">
        <f>_xlfn.LET(
 _xlpm.dOK,COUNTIF(クラス!A:A,E33)&gt;0,
 _xlpm.eOK,COUNTIF(クラス!A:A,F33)&gt;0,
 IF(_xlpm.dOK,"○","×") &amp; IF(_xlpm.eOK,"○","×")
)</f>
        <v>××</v>
      </c>
      <c r="S33" t="str">
        <f t="shared" si="0"/>
        <v>毒生成物の巣</v>
      </c>
      <c r="U33" t="s">
        <v>781</v>
      </c>
      <c r="V33" t="s">
        <v>1257</v>
      </c>
      <c r="W33" t="s">
        <v>1607</v>
      </c>
    </row>
    <row r="34" spans="1:23" ht="36" outlineLevel="1" x14ac:dyDescent="0.4">
      <c r="A34" s="2" t="s">
        <v>502</v>
      </c>
      <c r="B34" s="10" t="s">
        <v>781</v>
      </c>
      <c r="C34" t="str">
        <f>_xlfn.LET(
 _xlpm.dOK,COUNTIF(クラス!A:A,E34)&gt;0,
 _xlpm.eOK,COUNTIF(クラス!A:A,F34)&gt;0,
 IF(_xlpm.dOK,"○","×") &amp; IF(_xlpm.eOK,"○","×")
)</f>
        <v>××</v>
      </c>
      <c r="S34" t="str">
        <f t="shared" si="0"/>
        <v>植物生物の巣</v>
      </c>
      <c r="U34" t="s">
        <v>782</v>
      </c>
      <c r="V34" t="s">
        <v>1257</v>
      </c>
      <c r="W34" t="s">
        <v>1608</v>
      </c>
    </row>
    <row r="35" spans="1:23" outlineLevel="1" x14ac:dyDescent="0.4">
      <c r="A35" s="2" t="s">
        <v>502</v>
      </c>
      <c r="B35" s="10" t="s">
        <v>782</v>
      </c>
      <c r="C35" t="str">
        <f>_xlfn.LET(
 _xlpm.dOK,COUNTIF(クラス!A:A,E35)&gt;0,
 _xlpm.eOK,COUNTIF(クラス!A:A,F35)&gt;0,
 IF(_xlpm.dOK,"○","×") &amp; IF(_xlpm.eOK,"○","×")
)</f>
        <v>××</v>
      </c>
      <c r="S35" t="str">
        <f t="shared" si="0"/>
        <v>植物生物の巣</v>
      </c>
      <c r="U35" t="s">
        <v>783</v>
      </c>
      <c r="V35" t="s">
        <v>1257</v>
      </c>
      <c r="W35" t="s">
        <v>1609</v>
      </c>
    </row>
    <row r="36" spans="1:23" outlineLevel="1" x14ac:dyDescent="0.4">
      <c r="A36" s="2" t="s">
        <v>502</v>
      </c>
      <c r="B36" s="10" t="s">
        <v>783</v>
      </c>
      <c r="C36" t="str">
        <f>_xlfn.LET(
 _xlpm.dOK,COUNTIF(クラス!A:A,E36)&gt;0,
 _xlpm.eOK,COUNTIF(クラス!A:A,F36)&gt;0,
 IF(_xlpm.dOK,"○","×") &amp; IF(_xlpm.eOK,"○","×")
)</f>
        <v>××</v>
      </c>
      <c r="S36" t="str">
        <f t="shared" si="0"/>
        <v>植物生物の巣</v>
      </c>
      <c r="U36" t="s">
        <v>784</v>
      </c>
      <c r="V36" t="s">
        <v>1258</v>
      </c>
      <c r="W36" t="s">
        <v>1610</v>
      </c>
    </row>
    <row r="37" spans="1:23" ht="36" outlineLevel="1" x14ac:dyDescent="0.4">
      <c r="A37" s="2" t="s">
        <v>502</v>
      </c>
      <c r="B37" s="10" t="s">
        <v>784</v>
      </c>
      <c r="C37" t="str">
        <f>_xlfn.LET(
 _xlpm.dOK,COUNTIF(クラス!A:A,E37)&gt;0,
 _xlpm.eOK,COUNTIF(クラス!A:A,F37)&gt;0,
 IF(_xlpm.dOK,"○","×") &amp; IF(_xlpm.eOK,"○","×")
)</f>
        <v>××</v>
      </c>
      <c r="S37" t="str">
        <f t="shared" si="0"/>
        <v>風の輪</v>
      </c>
      <c r="U37" t="s">
        <v>196</v>
      </c>
      <c r="V37" t="s">
        <v>1250</v>
      </c>
      <c r="W37" t="s">
        <v>1611</v>
      </c>
    </row>
    <row r="38" spans="1:23" outlineLevel="1" x14ac:dyDescent="0.4">
      <c r="A38" s="2" t="s">
        <v>502</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1250</v>
      </c>
      <c r="W38" t="s">
        <v>1612</v>
      </c>
    </row>
    <row r="39" spans="1:23" outlineLevel="1" x14ac:dyDescent="0.4">
      <c r="A39" s="2" t="s">
        <v>502</v>
      </c>
      <c r="B39" s="10" t="s">
        <v>194</v>
      </c>
      <c r="C39" t="str">
        <f>_xlfn.LET(
 _xlpm.dOK,COUNTIF(クラス!A:A,E39)&gt;0,
 _xlpm.eOK,COUNTIF(クラス!A:A,F39)&gt;0,
 IF(_xlpm.dOK,"○","×") &amp; IF(_xlpm.eOK,"○","×")
)</f>
        <v>○×</v>
      </c>
      <c r="E39" t="s">
        <v>194</v>
      </c>
      <c r="G39">
        <v>9</v>
      </c>
      <c r="H39">
        <v>15</v>
      </c>
      <c r="R39" t="s">
        <v>1126</v>
      </c>
      <c r="S39" t="str">
        <f t="shared" si="0"/>
        <v>肉食生物の巣</v>
      </c>
      <c r="W39" t="s">
        <v>1613</v>
      </c>
    </row>
    <row r="40" spans="1:23" outlineLevel="1" x14ac:dyDescent="0.4">
      <c r="C40" t="str">
        <f>_xlfn.LET(
 _xlpm.dOK,COUNTIF(クラス!A:A,E40)&gt;0,
 _xlpm.eOK,COUNTIF(クラス!A:A,F40)&gt;0,
 IF(_xlpm.dOK,"○","×") &amp; IF(_xlpm.eOK,"○","×")
)</f>
        <v>××</v>
      </c>
      <c r="S40" t="str">
        <f t="shared" si="0"/>
        <v/>
      </c>
      <c r="U40" t="s">
        <v>802</v>
      </c>
      <c r="V40" t="s">
        <v>1253</v>
      </c>
    </row>
    <row r="41" spans="1:23" ht="36" outlineLevel="1" x14ac:dyDescent="0.4">
      <c r="A41" s="2" t="s">
        <v>509</v>
      </c>
      <c r="B41" s="10" t="s">
        <v>802</v>
      </c>
      <c r="C41" t="str">
        <f>_xlfn.LET(
 _xlpm.dOK,COUNTIF(クラス!A:A,E41)&gt;0,
 _xlpm.eOK,COUNTIF(クラス!A:A,F41)&gt;0,
 IF(_xlpm.dOK,"○","×") &amp; IF(_xlpm.eOK,"○","×")
)</f>
        <v>××</v>
      </c>
      <c r="S41" t="str">
        <f t="shared" si="0"/>
        <v>飛竜の巣</v>
      </c>
      <c r="U41" t="s">
        <v>781</v>
      </c>
      <c r="V41" t="s">
        <v>1257</v>
      </c>
      <c r="W41" t="s">
        <v>1614</v>
      </c>
    </row>
    <row r="42" spans="1:23" ht="36" outlineLevel="1" x14ac:dyDescent="0.4">
      <c r="A42" s="2" t="s">
        <v>509</v>
      </c>
      <c r="B42" s="10" t="s">
        <v>1206</v>
      </c>
      <c r="C42" t="str">
        <f>_xlfn.LET(
 _xlpm.dOK,COUNTIF(クラス!A:A,E42)&gt;0,
 _xlpm.eOK,COUNTIF(クラス!A:A,F42)&gt;0,
 IF(_xlpm.dOK,"○","×") &amp; IF(_xlpm.eOK,"○","×")
)</f>
        <v>××</v>
      </c>
      <c r="S42" t="str">
        <f t="shared" si="0"/>
        <v>植物生物の巣</v>
      </c>
      <c r="U42" t="s">
        <v>1259</v>
      </c>
      <c r="V42" t="s">
        <v>1260</v>
      </c>
      <c r="W42" t="s">
        <v>1615</v>
      </c>
    </row>
    <row r="43" spans="1:23" ht="36" outlineLevel="1" x14ac:dyDescent="0.4">
      <c r="A43" s="2" t="s">
        <v>509</v>
      </c>
      <c r="B43" s="10" t="s">
        <v>1207</v>
      </c>
      <c r="C43" t="str">
        <f>_xlfn.LET(
 _xlpm.dOK,COUNTIF(クラス!A:A,E43)&gt;0,
 _xlpm.eOK,COUNTIF(クラス!A:A,F43)&gt;0,
 IF(_xlpm.dOK,"○","×") &amp; IF(_xlpm.eOK,"○","×")
)</f>
        <v>××</v>
      </c>
      <c r="S43" t="str">
        <f t="shared" si="0"/>
        <v>闇の輪</v>
      </c>
      <c r="U43" t="s">
        <v>1261</v>
      </c>
      <c r="V43" t="s">
        <v>1250</v>
      </c>
      <c r="W43" t="s">
        <v>1616</v>
      </c>
    </row>
    <row r="44" spans="1:23" outlineLevel="1" x14ac:dyDescent="0.4">
      <c r="A44" s="2" t="s">
        <v>509</v>
      </c>
      <c r="B44" s="10" t="s">
        <v>1208</v>
      </c>
      <c r="C44" t="str">
        <f>_xlfn.LET(
 _xlpm.dOK,COUNTIF(クラス!A:A,E44)&gt;0,
 _xlpm.eOK,COUNTIF(クラス!A:A,F44)&gt;0,
 IF(_xlpm.dOK,"○","×") &amp; IF(_xlpm.eOK,"○","×")
)</f>
        <v>××</v>
      </c>
      <c r="S44" t="str">
        <f t="shared" si="0"/>
        <v>肉食生物の巣</v>
      </c>
      <c r="U44" t="s">
        <v>1262</v>
      </c>
      <c r="V44" t="s">
        <v>1250</v>
      </c>
      <c r="W44" t="s">
        <v>1617</v>
      </c>
    </row>
    <row r="45" spans="1:23" outlineLevel="1" x14ac:dyDescent="0.4">
      <c r="A45" s="2" t="s">
        <v>509</v>
      </c>
      <c r="B45" s="10" t="s">
        <v>1205</v>
      </c>
      <c r="C45" t="str">
        <f>_xlfn.LET(
 _xlpm.dOK,COUNTIF(クラス!A:A,E45)&gt;0,
 _xlpm.eOK,COUNTIF(クラス!A:A,F45)&gt;0,
 IF(_xlpm.dOK,"○","×") &amp; IF(_xlpm.eOK,"○","×")
)</f>
        <v>××</v>
      </c>
      <c r="S45" t="str">
        <f t="shared" si="0"/>
        <v>肉食生物の巣</v>
      </c>
      <c r="U45" t="s">
        <v>803</v>
      </c>
      <c r="V45" t="s">
        <v>1252</v>
      </c>
      <c r="W45" t="s">
        <v>1618</v>
      </c>
    </row>
    <row r="46" spans="1:23" outlineLevel="1" x14ac:dyDescent="0.4">
      <c r="A46" s="2" t="s">
        <v>509</v>
      </c>
      <c r="B46" s="10" t="s">
        <v>803</v>
      </c>
      <c r="C46" t="str">
        <f>_xlfn.LET(
 _xlpm.dOK,COUNTIF(クラス!A:A,E46)&gt;0,
 _xlpm.eOK,COUNTIF(クラス!A:A,F46)&gt;0,
 IF(_xlpm.dOK,"○","×") &amp; IF(_xlpm.eOK,"○","×")
)</f>
        <v>××</v>
      </c>
      <c r="S46" t="str">
        <f t="shared" si="0"/>
        <v>地中生物の巣</v>
      </c>
      <c r="U46" t="s">
        <v>804</v>
      </c>
      <c r="V46" t="s">
        <v>1253</v>
      </c>
      <c r="W46" t="s">
        <v>1619</v>
      </c>
    </row>
    <row r="47" spans="1:23" ht="36" outlineLevel="1" x14ac:dyDescent="0.4">
      <c r="A47" s="2" t="s">
        <v>509</v>
      </c>
      <c r="B47" s="10" t="s">
        <v>804</v>
      </c>
      <c r="C47" t="str">
        <f>_xlfn.LET(
 _xlpm.dOK,COUNTIF(クラス!A:A,E47)&gt;0,
 _xlpm.eOK,COUNTIF(クラス!A:A,F47)&gt;0,
 IF(_xlpm.dOK,"○","×") &amp; IF(_xlpm.eOK,"○","×")
)</f>
        <v>××</v>
      </c>
      <c r="S47" t="str">
        <f t="shared" si="0"/>
        <v>飛竜の巣</v>
      </c>
      <c r="W47" t="s">
        <v>1620</v>
      </c>
    </row>
    <row r="48" spans="1:23" outlineLevel="1" x14ac:dyDescent="0.4">
      <c r="C48" t="str">
        <f>_xlfn.LET(
 _xlpm.dOK,COUNTIF(クラス!A:A,E48)&gt;0,
 _xlpm.eOK,COUNTIF(クラス!A:A,F48)&gt;0,
 IF(_xlpm.dOK,"○","×") &amp; IF(_xlpm.eOK,"○","×")
)</f>
        <v>××</v>
      </c>
      <c r="S48" t="str">
        <f t="shared" si="0"/>
        <v/>
      </c>
      <c r="U48" t="s">
        <v>774</v>
      </c>
      <c r="V48" t="s">
        <v>1249</v>
      </c>
    </row>
    <row r="49" spans="1:23" x14ac:dyDescent="0.4">
      <c r="C49" t="str">
        <f>_xlfn.LET(
 _xlpm.dOK,COUNTIF(クラス!A:A,E49)&gt;0,
 _xlpm.eOK,COUNTIF(クラス!A:A,F49)&gt;0,
 IF(_xlpm.dOK,"○","×") &amp; IF(_xlpm.eOK,"○","×")
)</f>
        <v>××</v>
      </c>
      <c r="S49" t="str">
        <f t="shared" si="0"/>
        <v/>
      </c>
      <c r="U49" t="s">
        <v>198</v>
      </c>
      <c r="V49" t="s">
        <v>1249</v>
      </c>
    </row>
    <row r="50" spans="1:23" x14ac:dyDescent="0.4">
      <c r="A50" s="2" t="s">
        <v>504</v>
      </c>
      <c r="B50" s="10" t="s">
        <v>774</v>
      </c>
      <c r="C50" t="str">
        <f>_xlfn.LET(
 _xlpm.dOK,COUNTIF(クラス!A:A,E50)&gt;0,
 _xlpm.eOK,COUNTIF(クラス!A:A,F50)&gt;0,
 IF(_xlpm.dOK,"○","×") &amp; IF(_xlpm.eOK,"○","×")
)</f>
        <v>○○</v>
      </c>
      <c r="D50" t="b">
        <v>1</v>
      </c>
      <c r="E50" t="s">
        <v>196</v>
      </c>
      <c r="F50" t="s">
        <v>199</v>
      </c>
      <c r="G50">
        <v>8</v>
      </c>
      <c r="H50">
        <v>12</v>
      </c>
      <c r="R50" t="s">
        <v>774</v>
      </c>
      <c r="S50" t="str">
        <f t="shared" si="0"/>
        <v>鳥系生物の巣</v>
      </c>
      <c r="U50" t="s">
        <v>74</v>
      </c>
      <c r="V50" t="s">
        <v>1256</v>
      </c>
      <c r="W50" t="s">
        <v>1621</v>
      </c>
    </row>
    <row r="51" spans="1:23" outlineLevel="1" x14ac:dyDescent="0.4">
      <c r="A51" s="2" t="s">
        <v>504</v>
      </c>
      <c r="B51" s="10" t="s">
        <v>199</v>
      </c>
      <c r="C51" t="str">
        <f>_xlfn.LET(
 _xlpm.dOK,COUNTIF(クラス!A:A,E51)&gt;0,
 _xlpm.eOK,COUNTIF(クラス!A:A,F51)&gt;0,
 IF(_xlpm.dOK,"○","×") &amp; IF(_xlpm.eOK,"○","×")
)</f>
        <v>○×</v>
      </c>
      <c r="E51" t="s">
        <v>199</v>
      </c>
      <c r="G51">
        <v>10</v>
      </c>
      <c r="H51">
        <v>15</v>
      </c>
      <c r="I51" t="s">
        <v>876</v>
      </c>
      <c r="R51" t="s">
        <v>199</v>
      </c>
      <c r="S51" t="str">
        <f t="shared" si="0"/>
        <v>鳥系生物の巣</v>
      </c>
      <c r="U51" t="s">
        <v>775</v>
      </c>
      <c r="V51" t="s">
        <v>1250</v>
      </c>
      <c r="W51" t="s">
        <v>1622</v>
      </c>
    </row>
    <row r="52" spans="1:23" ht="54" outlineLevel="1" x14ac:dyDescent="0.4">
      <c r="A52" s="2" t="s">
        <v>504</v>
      </c>
      <c r="B52" s="10" t="s">
        <v>75</v>
      </c>
      <c r="C52" t="str">
        <f>_xlfn.LET(
 _xlpm.dOK,COUNTIF(クラス!A:A,E52)&gt;0,
 _xlpm.eOK,COUNTIF(クラス!A:A,F52)&gt;0,
 IF(_xlpm.dOK,"○","×") &amp; IF(_xlpm.eOK,"○","×")
)</f>
        <v>○×</v>
      </c>
      <c r="D52" s="10"/>
      <c r="E52" s="10" t="s">
        <v>75</v>
      </c>
      <c r="G52">
        <v>7</v>
      </c>
      <c r="H52">
        <v>12</v>
      </c>
      <c r="R52" t="s">
        <v>1128</v>
      </c>
      <c r="S52" t="str">
        <f t="shared" si="0"/>
        <v>土の輪</v>
      </c>
      <c r="U52" t="s">
        <v>771</v>
      </c>
      <c r="V52" t="s">
        <v>1252</v>
      </c>
      <c r="W52" t="s">
        <v>1623</v>
      </c>
    </row>
    <row r="53" spans="1:23" outlineLevel="1" x14ac:dyDescent="0.4">
      <c r="A53" s="2" t="s">
        <v>504</v>
      </c>
      <c r="B53" s="10" t="s">
        <v>775</v>
      </c>
      <c r="C53" t="str">
        <f>_xlfn.LET(
 _xlpm.dOK,COUNTIF(クラス!A:A,E53)&gt;0,
 _xlpm.eOK,COUNTIF(クラス!A:A,F53)&gt;0,
 IF(_xlpm.dOK,"○","×") &amp; IF(_xlpm.eOK,"○","×")
)</f>
        <v>○○</v>
      </c>
      <c r="E53" t="s">
        <v>196</v>
      </c>
      <c r="F53" t="s">
        <v>195</v>
      </c>
      <c r="G53">
        <v>14</v>
      </c>
      <c r="H53">
        <v>18</v>
      </c>
      <c r="R53" t="s">
        <v>775</v>
      </c>
      <c r="S53" t="str">
        <f t="shared" si="0"/>
        <v>肉食生物の巣</v>
      </c>
      <c r="U53" t="s">
        <v>773</v>
      </c>
      <c r="V53" t="s">
        <v>1252</v>
      </c>
      <c r="W53" t="s">
        <v>1624</v>
      </c>
    </row>
    <row r="54" spans="1:23" outlineLevel="1" x14ac:dyDescent="0.4">
      <c r="A54" s="2" t="s">
        <v>504</v>
      </c>
      <c r="B54" s="10" t="s">
        <v>1209</v>
      </c>
      <c r="C54" t="str">
        <f>_xlfn.LET(
 _xlpm.dOK,COUNTIF(クラス!A:A,E54)&gt;0,
 _xlpm.eOK,COUNTIF(クラス!A:A,F54)&gt;0,
 IF(_xlpm.dOK,"○","×") &amp; IF(_xlpm.eOK,"○","×")
)</f>
        <v>××</v>
      </c>
      <c r="S54" t="str">
        <f t="shared" si="0"/>
        <v>地中生物の巣</v>
      </c>
      <c r="U54" t="s">
        <v>772</v>
      </c>
      <c r="V54" t="s">
        <v>1250</v>
      </c>
      <c r="W54" t="s">
        <v>1625</v>
      </c>
    </row>
    <row r="55" spans="1:23" ht="36" outlineLevel="1" x14ac:dyDescent="0.4">
      <c r="A55" s="2" t="s">
        <v>504</v>
      </c>
      <c r="B55" s="10" t="s">
        <v>773</v>
      </c>
      <c r="C55" t="str">
        <f>_xlfn.LET(
 _xlpm.dOK,COUNTIF(クラス!A:A,E55)&gt;0,
 _xlpm.eOK,COUNTIF(クラス!A:A,F55)&gt;0,
 IF(_xlpm.dOK,"○","×") &amp; IF(_xlpm.eOK,"○","×")
)</f>
        <v>××</v>
      </c>
      <c r="S55" t="str">
        <f t="shared" si="0"/>
        <v>地中生物の巣</v>
      </c>
      <c r="U55" t="s">
        <v>776</v>
      </c>
      <c r="V55" t="s">
        <v>1253</v>
      </c>
      <c r="W55" t="s">
        <v>1626</v>
      </c>
    </row>
    <row r="56" spans="1:23" outlineLevel="1" x14ac:dyDescent="0.4">
      <c r="A56" s="2" t="s">
        <v>504</v>
      </c>
      <c r="B56" s="10" t="s">
        <v>772</v>
      </c>
      <c r="C56" t="str">
        <f>_xlfn.LET(
 _xlpm.dOK,COUNTIF(クラス!A:A,E56)&gt;0,
 _xlpm.eOK,COUNTIF(クラス!A:A,F56)&gt;0,
 IF(_xlpm.dOK,"○","×") &amp; IF(_xlpm.eOK,"○","×")
)</f>
        <v>××</v>
      </c>
      <c r="S56" t="str">
        <f t="shared" si="0"/>
        <v>肉食生物の巣</v>
      </c>
      <c r="W56" t="s">
        <v>1627</v>
      </c>
    </row>
    <row r="57" spans="1:23" outlineLevel="1" x14ac:dyDescent="0.4">
      <c r="A57" s="2" t="s">
        <v>504</v>
      </c>
      <c r="B57" s="10" t="s">
        <v>776</v>
      </c>
      <c r="C57" t="str">
        <f>_xlfn.LET(
 _xlpm.dOK,COUNTIF(クラス!A:A,E57)&gt;0,
 _xlpm.eOK,COUNTIF(クラス!A:A,F57)&gt;0,
 IF(_xlpm.dOK,"○","×") &amp; IF(_xlpm.eOK,"○","×")
)</f>
        <v>○×</v>
      </c>
      <c r="D57" t="b">
        <v>1</v>
      </c>
      <c r="E57" t="s">
        <v>857</v>
      </c>
      <c r="G57">
        <v>15</v>
      </c>
      <c r="H57">
        <v>20</v>
      </c>
      <c r="I57" t="s">
        <v>875</v>
      </c>
      <c r="R57" t="s">
        <v>857</v>
      </c>
      <c r="S57" t="str">
        <f t="shared" si="0"/>
        <v>飛竜の巣</v>
      </c>
      <c r="U57" t="s">
        <v>1263</v>
      </c>
      <c r="V57" t="s">
        <v>1258</v>
      </c>
      <c r="W57" t="s">
        <v>1628</v>
      </c>
    </row>
    <row r="58" spans="1:23" outlineLevel="1" x14ac:dyDescent="0.4">
      <c r="C58" t="str">
        <f>_xlfn.LET(
 _xlpm.dOK,COUNTIF(クラス!A:A,E58)&gt;0,
 _xlpm.eOK,COUNTIF(クラス!A:A,F58)&gt;0,
 IF(_xlpm.dOK,"○","×") &amp; IF(_xlpm.eOK,"○","×")
)</f>
        <v>××</v>
      </c>
      <c r="S58" t="str">
        <f t="shared" si="0"/>
        <v/>
      </c>
      <c r="U58" t="s">
        <v>74</v>
      </c>
      <c r="V58" t="s">
        <v>1256</v>
      </c>
    </row>
    <row r="59" spans="1:23" outlineLevel="1" x14ac:dyDescent="0.4">
      <c r="A59" s="2" t="s">
        <v>503</v>
      </c>
      <c r="B59" s="10" t="s">
        <v>871</v>
      </c>
      <c r="C59" t="str">
        <f>_xlfn.LET(
 _xlpm.dOK,COUNTIF(クラス!A:A,E59)&gt;0,
 _xlpm.eOK,COUNTIF(クラス!A:A,F59)&gt;0,
 IF(_xlpm.dOK,"○","×") &amp; IF(_xlpm.eOK,"○","×")
)</f>
        <v>○○</v>
      </c>
      <c r="E59" t="s">
        <v>199</v>
      </c>
      <c r="F59" t="s">
        <v>817</v>
      </c>
      <c r="G59">
        <v>15</v>
      </c>
      <c r="H59">
        <v>25</v>
      </c>
      <c r="R59" t="s">
        <v>199</v>
      </c>
      <c r="S59" t="str">
        <f t="shared" si="0"/>
        <v>風の輪</v>
      </c>
      <c r="U59" t="s">
        <v>1264</v>
      </c>
      <c r="V59" t="s">
        <v>1250</v>
      </c>
      <c r="W59" t="s">
        <v>1629</v>
      </c>
    </row>
    <row r="60" spans="1:23" ht="54" outlineLevel="1" x14ac:dyDescent="0.4">
      <c r="A60" s="2" t="s">
        <v>503</v>
      </c>
      <c r="B60" s="10" t="s">
        <v>75</v>
      </c>
      <c r="C60" t="str">
        <f>_xlfn.LET(
 _xlpm.dOK,COUNTIF(クラス!A:A,E60)&gt;0,
 _xlpm.eOK,COUNTIF(クラス!A:A,F60)&gt;0,
 IF(_xlpm.dOK,"○","×") &amp; IF(_xlpm.eOK,"○","×")
)</f>
        <v>○×</v>
      </c>
      <c r="D60" s="10"/>
      <c r="E60" s="10" t="s">
        <v>75</v>
      </c>
      <c r="G60">
        <v>15</v>
      </c>
      <c r="H60">
        <v>20</v>
      </c>
      <c r="I60" t="s">
        <v>877</v>
      </c>
      <c r="R60" t="s">
        <v>1128</v>
      </c>
      <c r="S60" t="str">
        <f t="shared" si="0"/>
        <v>土の輪</v>
      </c>
      <c r="U60" t="s">
        <v>785</v>
      </c>
      <c r="V60" t="s">
        <v>1252</v>
      </c>
      <c r="W60" t="s">
        <v>1630</v>
      </c>
    </row>
    <row r="61" spans="1:23" outlineLevel="1" x14ac:dyDescent="0.4">
      <c r="A61" s="2" t="s">
        <v>503</v>
      </c>
      <c r="B61" s="10" t="s">
        <v>872</v>
      </c>
      <c r="C61" t="str">
        <f>_xlfn.LET(
 _xlpm.dOK,COUNTIF(クラス!A:A,E61)&gt;0,
 _xlpm.eOK,COUNTIF(クラス!A:A,F61)&gt;0,
 IF(_xlpm.dOK,"○","×") &amp; IF(_xlpm.eOK,"○","×")
)</f>
        <v>○○</v>
      </c>
      <c r="D61" t="b">
        <v>1</v>
      </c>
      <c r="E61" t="s">
        <v>201</v>
      </c>
      <c r="F61" t="s">
        <v>75</v>
      </c>
      <c r="G61">
        <v>25</v>
      </c>
      <c r="H61">
        <v>30</v>
      </c>
      <c r="R61" t="s">
        <v>1129</v>
      </c>
      <c r="S61" t="str">
        <f t="shared" si="0"/>
        <v>肉食生物の巣</v>
      </c>
      <c r="U61" t="s">
        <v>786</v>
      </c>
      <c r="V61" t="s">
        <v>1265</v>
      </c>
      <c r="W61" t="s">
        <v>1631</v>
      </c>
    </row>
    <row r="62" spans="1:23" ht="36" outlineLevel="1" x14ac:dyDescent="0.4">
      <c r="A62" s="2" t="s">
        <v>503</v>
      </c>
      <c r="B62" s="10" t="s">
        <v>785</v>
      </c>
      <c r="C62" t="str">
        <f>_xlfn.LET(
 _xlpm.dOK,COUNTIF(クラス!A:A,E62)&gt;0,
 _xlpm.eOK,COUNTIF(クラス!A:A,F62)&gt;0,
 IF(_xlpm.dOK,"○","×") &amp; IF(_xlpm.eOK,"○","×")
)</f>
        <v>××</v>
      </c>
      <c r="S62" t="str">
        <f t="shared" si="0"/>
        <v>地中生物の巣</v>
      </c>
      <c r="U62" t="s">
        <v>787</v>
      </c>
      <c r="V62" t="s">
        <v>1252</v>
      </c>
      <c r="W62" t="s">
        <v>1632</v>
      </c>
    </row>
    <row r="63" spans="1:23" ht="36" outlineLevel="1" x14ac:dyDescent="0.4">
      <c r="A63" s="2" t="s">
        <v>503</v>
      </c>
      <c r="B63" s="10" t="s">
        <v>786</v>
      </c>
      <c r="C63" t="str">
        <f>_xlfn.LET(
 _xlpm.dOK,COUNTIF(クラス!A:A,E63)&gt;0,
 _xlpm.eOK,COUNTIF(クラス!A:A,F63)&gt;0,
 IF(_xlpm.dOK,"○","×") &amp; IF(_xlpm.eOK,"○","×")
)</f>
        <v>××</v>
      </c>
      <c r="S63" t="str">
        <f t="shared" si="0"/>
        <v>水の輪</v>
      </c>
      <c r="U63" t="s">
        <v>788</v>
      </c>
      <c r="V63" t="s">
        <v>1253</v>
      </c>
      <c r="W63" t="s">
        <v>1633</v>
      </c>
    </row>
    <row r="64" spans="1:23" outlineLevel="1" x14ac:dyDescent="0.4">
      <c r="A64" s="2" t="s">
        <v>503</v>
      </c>
      <c r="B64" s="10" t="s">
        <v>787</v>
      </c>
      <c r="C64" t="str">
        <f>_xlfn.LET(
 _xlpm.dOK,COUNTIF(クラス!A:A,E64)&gt;0,
 _xlpm.eOK,COUNTIF(クラス!A:A,F64)&gt;0,
 IF(_xlpm.dOK,"○","×") &amp; IF(_xlpm.eOK,"○","×")
)</f>
        <v>××</v>
      </c>
      <c r="S64" t="str">
        <f t="shared" si="0"/>
        <v>地中生物の巣</v>
      </c>
      <c r="U64" t="s">
        <v>789</v>
      </c>
      <c r="V64" t="s">
        <v>1249</v>
      </c>
      <c r="W64" t="s">
        <v>1634</v>
      </c>
    </row>
    <row r="65" spans="1:23" outlineLevel="1" x14ac:dyDescent="0.4">
      <c r="A65" s="2" t="s">
        <v>503</v>
      </c>
      <c r="B65" s="10" t="s">
        <v>788</v>
      </c>
      <c r="C65" t="str">
        <f>_xlfn.LET(
 _xlpm.dOK,COUNTIF(クラス!A:A,E65)&gt;0,
 _xlpm.eOK,COUNTIF(クラス!A:A,F65)&gt;0,
 IF(_xlpm.dOK,"○","×") &amp; IF(_xlpm.eOK,"○","×")
)</f>
        <v>××</v>
      </c>
      <c r="S65" t="str">
        <f t="shared" si="0"/>
        <v>飛竜の巣</v>
      </c>
      <c r="U65" t="s">
        <v>790</v>
      </c>
      <c r="V65" t="s">
        <v>1250</v>
      </c>
      <c r="W65" t="s">
        <v>1635</v>
      </c>
    </row>
    <row r="66" spans="1:23" outlineLevel="1" x14ac:dyDescent="0.4">
      <c r="A66" s="2" t="s">
        <v>503</v>
      </c>
      <c r="B66" s="10" t="s">
        <v>789</v>
      </c>
      <c r="C66" t="str">
        <f>_xlfn.LET(
 _xlpm.dOK,COUNTIF(クラス!A:A,E66)&gt;0,
 _xlpm.eOK,COUNTIF(クラス!A:A,F66)&gt;0,
 IF(_xlpm.dOK,"○","×") &amp; IF(_xlpm.eOK,"○","×")
)</f>
        <v>××</v>
      </c>
      <c r="S66" t="str">
        <f t="shared" si="0"/>
        <v>鳥系生物の巣</v>
      </c>
      <c r="W66" t="s">
        <v>1636</v>
      </c>
    </row>
    <row r="67" spans="1:23" outlineLevel="1" x14ac:dyDescent="0.4">
      <c r="A67" s="2" t="s">
        <v>503</v>
      </c>
      <c r="B67" s="10" t="s">
        <v>790</v>
      </c>
      <c r="C67" t="str">
        <f>_xlfn.LET(
 _xlpm.dOK,COUNTIF(クラス!A:A,E67)&gt;0,
 _xlpm.eOK,COUNTIF(クラス!A:A,F67)&gt;0,
 IF(_xlpm.dOK,"○","×") &amp; IF(_xlpm.eOK,"○","×")
)</f>
        <v>××</v>
      </c>
      <c r="S67" t="str">
        <f t="shared" si="0"/>
        <v>肉食生物の巣</v>
      </c>
      <c r="U67" t="s">
        <v>787</v>
      </c>
      <c r="V67" t="s">
        <v>1252</v>
      </c>
      <c r="W67" t="s">
        <v>1637</v>
      </c>
    </row>
    <row r="68" spans="1:23" outlineLevel="1" x14ac:dyDescent="0.4">
      <c r="C68" t="str">
        <f>_xlfn.LET(
 _xlpm.dOK,COUNTIF(クラス!A:A,E68)&gt;0,
 _xlpm.eOK,COUNTIF(クラス!A:A,F68)&gt;0,
 IF(_xlpm.dOK,"○","×") &amp; IF(_xlpm.eOK,"○","×")
)</f>
        <v>××</v>
      </c>
      <c r="S68" t="str">
        <f t="shared" ref="S68:S119" si="1">IFERROR(VLOOKUP(B68,$U:$V,2,FALSE),"")</f>
        <v/>
      </c>
      <c r="U68" t="s">
        <v>776</v>
      </c>
      <c r="V68" t="s">
        <v>1253</v>
      </c>
    </row>
    <row r="69" spans="1:23" x14ac:dyDescent="0.4">
      <c r="C69" t="str">
        <f>_xlfn.LET(
 _xlpm.dOK,COUNTIF(クラス!A:A,E69)&gt;0,
 _xlpm.eOK,COUNTIF(クラス!A:A,F69)&gt;0,
 IF(_xlpm.dOK,"○","×") &amp; IF(_xlpm.eOK,"○","×")
)</f>
        <v>××</v>
      </c>
      <c r="S69" t="str">
        <f t="shared" si="1"/>
        <v/>
      </c>
      <c r="U69" t="s">
        <v>772</v>
      </c>
      <c r="V69" t="s">
        <v>1250</v>
      </c>
    </row>
    <row r="70" spans="1:23" x14ac:dyDescent="0.4">
      <c r="A70" s="2" t="s">
        <v>510</v>
      </c>
      <c r="B70" s="10" t="s">
        <v>787</v>
      </c>
      <c r="C70" t="str">
        <f>_xlfn.LET(
 _xlpm.dOK,COUNTIF(クラス!A:A,E70)&gt;0,
 _xlpm.eOK,COUNTIF(クラス!A:A,F70)&gt;0,
 IF(_xlpm.dOK,"○","×") &amp; IF(_xlpm.eOK,"○","×")
)</f>
        <v>××</v>
      </c>
      <c r="S70" t="str">
        <f t="shared" si="1"/>
        <v>地中生物の巣</v>
      </c>
      <c r="U70" t="s">
        <v>785</v>
      </c>
      <c r="V70" t="s">
        <v>1252</v>
      </c>
      <c r="W70" t="s">
        <v>1638</v>
      </c>
    </row>
    <row r="71" spans="1:23" outlineLevel="1" x14ac:dyDescent="0.4">
      <c r="A71" s="2" t="s">
        <v>510</v>
      </c>
      <c r="B71" s="10" t="s">
        <v>776</v>
      </c>
      <c r="C71" t="str">
        <f>_xlfn.LET(
 _xlpm.dOK,COUNTIF(クラス!A:A,E71)&gt;0,
 _xlpm.eOK,COUNTIF(クラス!A:A,F71)&gt;0,
 IF(_xlpm.dOK,"○","×") &amp; IF(_xlpm.eOK,"○","×")
)</f>
        <v>××</v>
      </c>
      <c r="S71" t="str">
        <f t="shared" si="1"/>
        <v>飛竜の巣</v>
      </c>
      <c r="U71" t="s">
        <v>805</v>
      </c>
      <c r="V71" t="s">
        <v>1249</v>
      </c>
      <c r="W71" t="s">
        <v>1639</v>
      </c>
    </row>
    <row r="72" spans="1:23" outlineLevel="1" x14ac:dyDescent="0.4">
      <c r="A72" s="2" t="s">
        <v>510</v>
      </c>
      <c r="B72" s="10" t="s">
        <v>772</v>
      </c>
      <c r="C72" t="str">
        <f>_xlfn.LET(
 _xlpm.dOK,COUNTIF(クラス!A:A,E72)&gt;0,
 _xlpm.eOK,COUNTIF(クラス!A:A,F72)&gt;0,
 IF(_xlpm.dOK,"○","×") &amp; IF(_xlpm.eOK,"○","×")
)</f>
        <v>××</v>
      </c>
      <c r="S72" t="str">
        <f t="shared" si="1"/>
        <v>肉食生物の巣</v>
      </c>
      <c r="W72" t="s">
        <v>1640</v>
      </c>
    </row>
    <row r="73" spans="1:23" ht="36" outlineLevel="1" x14ac:dyDescent="0.4">
      <c r="A73" s="2" t="s">
        <v>510</v>
      </c>
      <c r="B73" s="10" t="s">
        <v>785</v>
      </c>
      <c r="C73" t="str">
        <f>_xlfn.LET(
 _xlpm.dOK,COUNTIF(クラス!A:A,E73)&gt;0,
 _xlpm.eOK,COUNTIF(クラス!A:A,F73)&gt;0,
 IF(_xlpm.dOK,"○","×") &amp; IF(_xlpm.eOK,"○","×")
)</f>
        <v>××</v>
      </c>
      <c r="S73" t="str">
        <f t="shared" si="1"/>
        <v>地中生物の巣</v>
      </c>
      <c r="U73" t="s">
        <v>1266</v>
      </c>
      <c r="V73" t="s">
        <v>1260</v>
      </c>
      <c r="W73" t="s">
        <v>1641</v>
      </c>
    </row>
    <row r="74" spans="1:23" outlineLevel="1" x14ac:dyDescent="0.4">
      <c r="A74" s="2" t="s">
        <v>510</v>
      </c>
      <c r="B74" s="10" t="s">
        <v>805</v>
      </c>
      <c r="C74" t="str">
        <f>_xlfn.LET(
 _xlpm.dOK,COUNTIF(クラス!A:A,E74)&gt;0,
 _xlpm.eOK,COUNTIF(クラス!A:A,F74)&gt;0,
 IF(_xlpm.dOK,"○","×") &amp; IF(_xlpm.eOK,"○","×")
)</f>
        <v>××</v>
      </c>
      <c r="S74" t="str">
        <f t="shared" si="1"/>
        <v>鳥系生物の巣</v>
      </c>
      <c r="U74" t="s">
        <v>806</v>
      </c>
      <c r="V74" t="s">
        <v>1260</v>
      </c>
      <c r="W74" t="s">
        <v>1642</v>
      </c>
    </row>
    <row r="75" spans="1:23" outlineLevel="1" x14ac:dyDescent="0.4">
      <c r="C75" t="str">
        <f>_xlfn.LET(
 _xlpm.dOK,COUNTIF(クラス!A:A,E75)&gt;0,
 _xlpm.eOK,COUNTIF(クラス!A:A,F75)&gt;0,
 IF(_xlpm.dOK,"○","×") &amp; IF(_xlpm.eOK,"○","×")
)</f>
        <v>××</v>
      </c>
      <c r="S75" t="str">
        <f t="shared" si="1"/>
        <v/>
      </c>
      <c r="U75" t="s">
        <v>770</v>
      </c>
      <c r="V75" t="s">
        <v>1251</v>
      </c>
    </row>
    <row r="76" spans="1:23" outlineLevel="1" x14ac:dyDescent="0.4">
      <c r="A76" s="2" t="s">
        <v>511</v>
      </c>
      <c r="B76" s="10" t="s">
        <v>1210</v>
      </c>
      <c r="C76" t="str">
        <f>_xlfn.LET(
 _xlpm.dOK,COUNTIF(クラス!A:A,E76)&gt;0,
 _xlpm.eOK,COUNTIF(クラス!A:A,F76)&gt;0,
 IF(_xlpm.dOK,"○","×") &amp; IF(_xlpm.eOK,"○","×")
)</f>
        <v>××</v>
      </c>
      <c r="S76" t="str">
        <f t="shared" si="1"/>
        <v>闇の輪</v>
      </c>
      <c r="U76" t="s">
        <v>787</v>
      </c>
      <c r="V76" t="s">
        <v>1252</v>
      </c>
      <c r="W76" t="s">
        <v>1643</v>
      </c>
    </row>
    <row r="77" spans="1:23" ht="36" outlineLevel="1" x14ac:dyDescent="0.4">
      <c r="A77" s="2" t="s">
        <v>511</v>
      </c>
      <c r="B77" s="10" t="s">
        <v>806</v>
      </c>
      <c r="C77" t="str">
        <f>_xlfn.LET(
 _xlpm.dOK,COUNTIF(クラス!A:A,E77)&gt;0,
 _xlpm.eOK,COUNTIF(クラス!A:A,F77)&gt;0,
 IF(_xlpm.dOK,"○","×") &amp; IF(_xlpm.eOK,"○","×")
)</f>
        <v>××</v>
      </c>
      <c r="S77" t="str">
        <f t="shared" si="1"/>
        <v>闇の輪</v>
      </c>
      <c r="U77" t="s">
        <v>790</v>
      </c>
      <c r="V77" t="s">
        <v>1250</v>
      </c>
      <c r="W77" t="s">
        <v>1644</v>
      </c>
    </row>
    <row r="78" spans="1:23" outlineLevel="1" x14ac:dyDescent="0.4">
      <c r="A78" s="2" t="s">
        <v>511</v>
      </c>
      <c r="B78" s="10" t="s">
        <v>770</v>
      </c>
      <c r="C78" t="str">
        <f>_xlfn.LET(
 _xlpm.dOK,COUNTIF(クラス!A:A,E78)&gt;0,
 _xlpm.eOK,COUNTIF(クラス!A:A,F78)&gt;0,
 IF(_xlpm.dOK,"○","×") &amp; IF(_xlpm.eOK,"○","×")
)</f>
        <v>××</v>
      </c>
      <c r="S78" t="str">
        <f t="shared" si="1"/>
        <v>虫系の巣</v>
      </c>
      <c r="U78" t="s">
        <v>796</v>
      </c>
      <c r="V78" t="s">
        <v>1252</v>
      </c>
      <c r="W78" t="s">
        <v>1645</v>
      </c>
    </row>
    <row r="79" spans="1:23" outlineLevel="1" x14ac:dyDescent="0.4">
      <c r="A79" s="2" t="s">
        <v>511</v>
      </c>
      <c r="B79" s="10" t="s">
        <v>787</v>
      </c>
      <c r="C79" t="str">
        <f>_xlfn.LET(
 _xlpm.dOK,COUNTIF(クラス!A:A,E79)&gt;0,
 _xlpm.eOK,COUNTIF(クラス!A:A,F79)&gt;0,
 IF(_xlpm.dOK,"○","×") &amp; IF(_xlpm.eOK,"○","×")
)</f>
        <v>××</v>
      </c>
      <c r="S79" t="str">
        <f t="shared" si="1"/>
        <v>地中生物の巣</v>
      </c>
      <c r="W79" t="s">
        <v>1646</v>
      </c>
    </row>
    <row r="80" spans="1:23" outlineLevel="1" x14ac:dyDescent="0.4">
      <c r="A80" s="2" t="s">
        <v>511</v>
      </c>
      <c r="B80" s="10" t="s">
        <v>790</v>
      </c>
      <c r="C80" t="str">
        <f>_xlfn.LET(
 _xlpm.dOK,COUNTIF(クラス!A:A,E80)&gt;0,
 _xlpm.eOK,COUNTIF(クラス!A:A,F80)&gt;0,
 IF(_xlpm.dOK,"○","×") &amp; IF(_xlpm.eOK,"○","×")
)</f>
        <v>××</v>
      </c>
      <c r="R80" t="s">
        <v>790</v>
      </c>
      <c r="S80" t="str">
        <f t="shared" si="1"/>
        <v>肉食生物の巣</v>
      </c>
      <c r="U80" t="s">
        <v>791</v>
      </c>
      <c r="V80" t="s">
        <v>1265</v>
      </c>
      <c r="W80" t="s">
        <v>1647</v>
      </c>
    </row>
    <row r="81" spans="1:23" outlineLevel="1" x14ac:dyDescent="0.4">
      <c r="A81" s="2" t="s">
        <v>511</v>
      </c>
      <c r="B81" s="10" t="s">
        <v>796</v>
      </c>
      <c r="C81" t="str">
        <f>_xlfn.LET(
 _xlpm.dOK,COUNTIF(クラス!A:A,E81)&gt;0,
 _xlpm.eOK,COUNTIF(クラス!A:A,F81)&gt;0,
 IF(_xlpm.dOK,"○","×") &amp; IF(_xlpm.eOK,"○","×")
)</f>
        <v>××</v>
      </c>
      <c r="R81" t="s">
        <v>796</v>
      </c>
      <c r="S81" t="str">
        <f t="shared" si="1"/>
        <v>地中生物の巣</v>
      </c>
      <c r="U81" t="s">
        <v>1267</v>
      </c>
      <c r="V81" t="s">
        <v>1255</v>
      </c>
      <c r="W81" t="s">
        <v>1648</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791</v>
      </c>
      <c r="V83" t="s">
        <v>1265</v>
      </c>
    </row>
    <row r="84" spans="1:23" ht="36" x14ac:dyDescent="0.4">
      <c r="A84" s="2" t="s">
        <v>505</v>
      </c>
      <c r="B84" s="10" t="s">
        <v>791</v>
      </c>
      <c r="C84" t="str">
        <f>_xlfn.LET(
 _xlpm.dOK,COUNTIF(クラス!A:A,E84)&gt;0,
 _xlpm.eOK,COUNTIF(クラス!A:A,F84)&gt;0,
 IF(_xlpm.dOK,"○","×") &amp; IF(_xlpm.eOK,"○","×")
)</f>
        <v>○×</v>
      </c>
      <c r="E84" t="s">
        <v>859</v>
      </c>
      <c r="G84">
        <v>5</v>
      </c>
      <c r="H84">
        <v>10</v>
      </c>
      <c r="R84" t="s">
        <v>867</v>
      </c>
      <c r="S84" t="str">
        <f t="shared" si="1"/>
        <v>水の輪</v>
      </c>
      <c r="U84" t="s">
        <v>792</v>
      </c>
      <c r="V84" t="s">
        <v>1250</v>
      </c>
      <c r="W84" t="s">
        <v>1649</v>
      </c>
    </row>
    <row r="85" spans="1:23" ht="36" outlineLevel="1" x14ac:dyDescent="0.4">
      <c r="A85" s="2" t="s">
        <v>505</v>
      </c>
      <c r="B85" s="10" t="s">
        <v>870</v>
      </c>
      <c r="C85" t="str">
        <f>_xlfn.LET(
 _xlpm.dOK,COUNTIF(クラス!A:A,E85)&gt;0,
 _xlpm.eOK,COUNTIF(クラス!A:A,F85)&gt;0,
 IF(_xlpm.dOK,"○","×") &amp; IF(_xlpm.eOK,"○","×")
)</f>
        <v>○○</v>
      </c>
      <c r="D85" t="b">
        <v>1</v>
      </c>
      <c r="E85" t="s">
        <v>195</v>
      </c>
      <c r="F85" t="s">
        <v>818</v>
      </c>
      <c r="G85">
        <v>7</v>
      </c>
      <c r="H85">
        <v>10</v>
      </c>
      <c r="R85" t="s">
        <v>195</v>
      </c>
      <c r="S85" t="str">
        <f t="shared" si="1"/>
        <v>毒生成物の巣</v>
      </c>
      <c r="W85" t="s">
        <v>1650</v>
      </c>
    </row>
    <row r="86" spans="1:23" outlineLevel="1" x14ac:dyDescent="0.4">
      <c r="C86" t="str">
        <f>_xlfn.LET(
 _xlpm.dOK,COUNTIF(クラス!A:A,E86)&gt;0,
 _xlpm.eOK,COUNTIF(クラス!A:A,F86)&gt;0,
 IF(_xlpm.dOK,"○","×") &amp; IF(_xlpm.eOK,"○","×")
)</f>
        <v>××</v>
      </c>
      <c r="S86" t="str">
        <f t="shared" si="1"/>
        <v/>
      </c>
      <c r="U86" t="s">
        <v>792</v>
      </c>
      <c r="V86" t="s">
        <v>1250</v>
      </c>
    </row>
    <row r="87" spans="1:23" ht="36" outlineLevel="1" x14ac:dyDescent="0.4">
      <c r="A87" s="2" t="s">
        <v>506</v>
      </c>
      <c r="B87" s="10" t="s">
        <v>791</v>
      </c>
      <c r="C87" t="str">
        <f>_xlfn.LET(
 _xlpm.dOK,COUNTIF(クラス!A:A,E87)&gt;0,
 _xlpm.eOK,COUNTIF(クラス!A:A,F87)&gt;0,
 IF(_xlpm.dOK,"○","×") &amp; IF(_xlpm.eOK,"○","×")
)</f>
        <v>○×</v>
      </c>
      <c r="E87" t="s">
        <v>859</v>
      </c>
      <c r="G87">
        <v>15</v>
      </c>
      <c r="H87">
        <v>30</v>
      </c>
      <c r="R87" t="s">
        <v>867</v>
      </c>
      <c r="S87" t="str">
        <f t="shared" si="1"/>
        <v>水の輪</v>
      </c>
      <c r="U87" t="s">
        <v>791</v>
      </c>
      <c r="V87" t="s">
        <v>1265</v>
      </c>
      <c r="W87" t="s">
        <v>1651</v>
      </c>
    </row>
    <row r="88" spans="1:23" outlineLevel="1" x14ac:dyDescent="0.4">
      <c r="A88" s="2" t="s">
        <v>506</v>
      </c>
      <c r="B88" s="10" t="s">
        <v>792</v>
      </c>
      <c r="C88" t="str">
        <f>_xlfn.LET(
 _xlpm.dOK,COUNTIF(クラス!A:A,E88)&gt;0,
 _xlpm.eOK,COUNTIF(クラス!A:A,F88)&gt;0,
 IF(_xlpm.dOK,"○","×") &amp; IF(_xlpm.eOK,"○","×")
)</f>
        <v>○○</v>
      </c>
      <c r="D88" t="b">
        <v>1</v>
      </c>
      <c r="E88" t="s">
        <v>195</v>
      </c>
      <c r="F88" t="s">
        <v>819</v>
      </c>
      <c r="G88">
        <v>15</v>
      </c>
      <c r="H88">
        <v>20</v>
      </c>
      <c r="S88" t="str">
        <f t="shared" si="1"/>
        <v>肉食生物の巣</v>
      </c>
      <c r="W88" t="s">
        <v>1652</v>
      </c>
    </row>
    <row r="89" spans="1:23" outlineLevel="1" x14ac:dyDescent="0.4">
      <c r="C89" t="str">
        <f>_xlfn.LET(
 _xlpm.dOK,COUNTIF(クラス!A:A,E89)&gt;0,
 _xlpm.eOK,COUNTIF(クラス!A:A,F89)&gt;0,
 IF(_xlpm.dOK,"○","×") &amp; IF(_xlpm.eOK,"○","×")
)</f>
        <v>××</v>
      </c>
      <c r="S89" t="str">
        <f t="shared" si="1"/>
        <v/>
      </c>
      <c r="U89" t="s">
        <v>788</v>
      </c>
      <c r="V89" t="s">
        <v>1253</v>
      </c>
    </row>
    <row r="90" spans="1:23" outlineLevel="1" x14ac:dyDescent="0.4">
      <c r="A90" s="2" t="s">
        <v>507</v>
      </c>
      <c r="B90" s="10" t="s">
        <v>792</v>
      </c>
      <c r="C90" t="str">
        <f>_xlfn.LET(
 _xlpm.dOK,COUNTIF(クラス!A:A,E90)&gt;0,
 _xlpm.eOK,COUNTIF(クラス!A:A,F90)&gt;0,
 IF(_xlpm.dOK,"○","×") &amp; IF(_xlpm.eOK,"○","×")
)</f>
        <v>○○</v>
      </c>
      <c r="E90" t="s">
        <v>195</v>
      </c>
      <c r="F90" t="s">
        <v>819</v>
      </c>
      <c r="G90">
        <v>5</v>
      </c>
      <c r="H90">
        <v>20</v>
      </c>
      <c r="S90" t="str">
        <f t="shared" si="1"/>
        <v>肉食生物の巣</v>
      </c>
      <c r="U90" t="s">
        <v>808</v>
      </c>
      <c r="V90" t="s">
        <v>1268</v>
      </c>
      <c r="W90" t="s">
        <v>1653</v>
      </c>
    </row>
    <row r="91" spans="1:23" ht="36" outlineLevel="1" x14ac:dyDescent="0.4">
      <c r="A91" s="2" t="s">
        <v>507</v>
      </c>
      <c r="B91" s="10" t="s">
        <v>791</v>
      </c>
      <c r="C91" t="str">
        <f>_xlfn.LET(
 _xlpm.dOK,COUNTIF(クラス!A:A,E91)&gt;0,
 _xlpm.eOK,COUNTIF(クラス!A:A,F91)&gt;0,
 IF(_xlpm.dOK,"○","×") &amp; IF(_xlpm.eOK,"○","×")
)</f>
        <v>○×</v>
      </c>
      <c r="E91" t="s">
        <v>859</v>
      </c>
      <c r="G91">
        <v>15</v>
      </c>
      <c r="H91">
        <v>30</v>
      </c>
      <c r="R91" t="s">
        <v>867</v>
      </c>
      <c r="S91" t="str">
        <f t="shared" si="1"/>
        <v>水の輪</v>
      </c>
      <c r="U91" t="s">
        <v>809</v>
      </c>
      <c r="V91" t="s">
        <v>1268</v>
      </c>
      <c r="W91" t="s">
        <v>1654</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808</v>
      </c>
      <c r="V93" t="s">
        <v>1268</v>
      </c>
    </row>
    <row r="94" spans="1:23" x14ac:dyDescent="0.4">
      <c r="A94" s="2" t="s">
        <v>513</v>
      </c>
      <c r="B94" s="10" t="s">
        <v>788</v>
      </c>
      <c r="C94" t="str">
        <f>_xlfn.LET(
 _xlpm.dOK,COUNTIF(クラス!A:A,E94)&gt;0,
 _xlpm.eOK,COUNTIF(クラス!A:A,F94)&gt;0,
 IF(_xlpm.dOK,"○","×") &amp; IF(_xlpm.eOK,"○","×")
)</f>
        <v>××</v>
      </c>
      <c r="S94" t="str">
        <f t="shared" si="1"/>
        <v>飛竜の巣</v>
      </c>
      <c r="U94" t="s">
        <v>810</v>
      </c>
      <c r="V94" t="s">
        <v>1268</v>
      </c>
      <c r="W94" t="s">
        <v>1655</v>
      </c>
    </row>
    <row r="95" spans="1:23" ht="72" outlineLevel="1" x14ac:dyDescent="0.4">
      <c r="A95" s="2" t="s">
        <v>513</v>
      </c>
      <c r="B95" s="10" t="s">
        <v>808</v>
      </c>
      <c r="C95" t="str">
        <f>_xlfn.LET(
 _xlpm.dOK,COUNTIF(クラス!A:A,E95)&gt;0,
 _xlpm.eOK,COUNTIF(クラス!A:A,F95)&gt;0,
 IF(_xlpm.dOK,"○","×") &amp; IF(_xlpm.eOK,"○","×")
)</f>
        <v>○×</v>
      </c>
      <c r="D95" s="10"/>
      <c r="E95" s="10" t="s">
        <v>69</v>
      </c>
      <c r="G95">
        <v>15</v>
      </c>
      <c r="H95">
        <v>30</v>
      </c>
      <c r="R95" t="s">
        <v>1127</v>
      </c>
      <c r="S95" t="str">
        <f t="shared" si="1"/>
        <v>炎の輪</v>
      </c>
      <c r="U95" t="s">
        <v>1269</v>
      </c>
      <c r="V95" t="s">
        <v>1255</v>
      </c>
      <c r="W95" t="s">
        <v>1656</v>
      </c>
    </row>
    <row r="96" spans="1:23" outlineLevel="1" x14ac:dyDescent="0.4">
      <c r="A96" s="2" t="s">
        <v>513</v>
      </c>
      <c r="B96" s="10" t="s">
        <v>809</v>
      </c>
      <c r="C96" t="str">
        <f>_xlfn.LET(
 _xlpm.dOK,COUNTIF(クラス!A:A,E96)&gt;0,
 _xlpm.eOK,COUNTIF(クラス!A:A,F96)&gt;0,
 IF(_xlpm.dOK,"○","×") &amp; IF(_xlpm.eOK,"○","×")
)</f>
        <v>××</v>
      </c>
      <c r="S96" t="str">
        <f t="shared" si="1"/>
        <v>炎の輪</v>
      </c>
      <c r="W96" t="s">
        <v>1657</v>
      </c>
    </row>
    <row r="97" spans="1:23" outlineLevel="1" x14ac:dyDescent="0.4">
      <c r="C97" t="str">
        <f>_xlfn.LET(
 _xlpm.dOK,COUNTIF(クラス!A:A,E97)&gt;0,
 _xlpm.eOK,COUNTIF(クラス!A:A,F97)&gt;0,
 IF(_xlpm.dOK,"○","×") &amp; IF(_xlpm.eOK,"○","×")
)</f>
        <v>××</v>
      </c>
      <c r="S97" t="str">
        <f t="shared" si="1"/>
        <v/>
      </c>
      <c r="U97" t="s">
        <v>786</v>
      </c>
      <c r="V97" t="s">
        <v>1265</v>
      </c>
    </row>
    <row r="98" spans="1:23" outlineLevel="1" x14ac:dyDescent="0.4">
      <c r="C98" t="str">
        <f>_xlfn.LET(
 _xlpm.dOK,COUNTIF(クラス!A:A,E98)&gt;0,
 _xlpm.eOK,COUNTIF(クラス!A:A,F98)&gt;0,
 IF(_xlpm.dOK,"○","×") &amp; IF(_xlpm.eOK,"○","×")
)</f>
        <v>××</v>
      </c>
      <c r="S98" t="str">
        <f t="shared" si="1"/>
        <v/>
      </c>
      <c r="U98" t="s">
        <v>807</v>
      </c>
      <c r="V98" t="s">
        <v>1250</v>
      </c>
    </row>
    <row r="99" spans="1:23" ht="72" outlineLevel="1" x14ac:dyDescent="0.4">
      <c r="A99" s="2" t="s">
        <v>742</v>
      </c>
      <c r="B99" s="10" t="s">
        <v>808</v>
      </c>
      <c r="C99" t="str">
        <f>_xlfn.LET(
 _xlpm.dOK,COUNTIF(クラス!A:A,E99)&gt;0,
 _xlpm.eOK,COUNTIF(クラス!A:A,F99)&gt;0,
 IF(_xlpm.dOK,"○","×") &amp; IF(_xlpm.eOK,"○","×")
)</f>
        <v>○×</v>
      </c>
      <c r="D99" s="10"/>
      <c r="E99" s="10" t="s">
        <v>69</v>
      </c>
      <c r="G99">
        <v>10</v>
      </c>
      <c r="H99">
        <v>15</v>
      </c>
      <c r="R99" t="s">
        <v>1127</v>
      </c>
      <c r="S99" t="str">
        <f t="shared" si="1"/>
        <v>炎の輪</v>
      </c>
      <c r="U99" t="s">
        <v>1270</v>
      </c>
      <c r="V99" t="s">
        <v>1250</v>
      </c>
      <c r="W99" t="s">
        <v>1658</v>
      </c>
    </row>
    <row r="100" spans="1:23" ht="36" outlineLevel="1" x14ac:dyDescent="0.4">
      <c r="A100" s="2" t="s">
        <v>742</v>
      </c>
      <c r="B100" s="10" t="s">
        <v>810</v>
      </c>
      <c r="C100" t="str">
        <f>_xlfn.LET(
 _xlpm.dOK,COUNTIF(クラス!A:A,E100)&gt;0,
 _xlpm.eOK,COUNTIF(クラス!A:A,F100)&gt;0,
 IF(_xlpm.dOK,"○","×") &amp; IF(_xlpm.eOK,"○","×")
)</f>
        <v>××</v>
      </c>
      <c r="S100" t="str">
        <f t="shared" si="1"/>
        <v>炎の輪</v>
      </c>
      <c r="U100" t="s">
        <v>70</v>
      </c>
      <c r="V100" t="s">
        <v>1265</v>
      </c>
      <c r="W100" t="s">
        <v>1659</v>
      </c>
    </row>
    <row r="101" spans="1:23" outlineLevel="1" x14ac:dyDescent="0.4">
      <c r="A101" s="2" t="s">
        <v>742</v>
      </c>
      <c r="B101" s="10" t="s">
        <v>811</v>
      </c>
      <c r="C101" t="str">
        <f>_xlfn.LET(
 _xlpm.dOK,COUNTIF(クラス!A:A,E101)&gt;0,
 _xlpm.eOK,COUNTIF(クラス!A:A,F101)&gt;0,
 IF(_xlpm.dOK,"○","×") &amp; IF(_xlpm.eOK,"○","×")
)</f>
        <v>××</v>
      </c>
      <c r="S101" t="str">
        <f t="shared" si="1"/>
        <v>毒生成物の巣</v>
      </c>
      <c r="W101" t="s">
        <v>1660</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512</v>
      </c>
      <c r="B104" s="10" t="s">
        <v>786</v>
      </c>
      <c r="C104" t="str">
        <f>_xlfn.LET(
 _xlpm.dOK,COUNTIF(クラス!A:A,E104)&gt;0,
 _xlpm.eOK,COUNTIF(クラス!A:A,F104)&gt;0,
 IF(_xlpm.dOK,"○","×") &amp; IF(_xlpm.eOK,"○","×")
)</f>
        <v>××</v>
      </c>
      <c r="S104" t="str">
        <f t="shared" si="1"/>
        <v>水の輪</v>
      </c>
      <c r="W104" t="s">
        <v>1661</v>
      </c>
    </row>
    <row r="105" spans="1:23" outlineLevel="1" x14ac:dyDescent="0.4">
      <c r="A105" s="2" t="s">
        <v>512</v>
      </c>
      <c r="B105" s="10" t="s">
        <v>807</v>
      </c>
      <c r="C105" t="str">
        <f>_xlfn.LET(
 _xlpm.dOK,COUNTIF(クラス!A:A,E105)&gt;0,
 _xlpm.eOK,COUNTIF(クラス!A:A,F105)&gt;0,
 IF(_xlpm.dOK,"○","×") &amp; IF(_xlpm.eOK,"○","×")
)</f>
        <v>××</v>
      </c>
      <c r="S105" t="str">
        <f t="shared" si="1"/>
        <v>肉食生物の巣</v>
      </c>
      <c r="W105" t="s">
        <v>1662</v>
      </c>
    </row>
    <row r="106" spans="1:23" ht="36" outlineLevel="1" x14ac:dyDescent="0.4">
      <c r="A106" s="2" t="s">
        <v>512</v>
      </c>
      <c r="B106" s="10" t="s">
        <v>812</v>
      </c>
      <c r="C106" t="str">
        <f>_xlfn.LET(
 _xlpm.dOK,COUNTIF(クラス!A:A,E106)&gt;0,
 _xlpm.eOK,COUNTIF(クラス!A:A,F106)&gt;0,
 IF(_xlpm.dOK,"○","×") &amp; IF(_xlpm.eOK,"○","×")
)</f>
        <v>××</v>
      </c>
      <c r="S106" t="str">
        <f t="shared" si="1"/>
        <v>肉食生物の巣</v>
      </c>
      <c r="W106" t="s">
        <v>1663</v>
      </c>
    </row>
    <row r="107" spans="1:23" ht="72" outlineLevel="1" x14ac:dyDescent="0.4">
      <c r="A107" s="2" t="s">
        <v>512</v>
      </c>
      <c r="B107" s="10" t="s">
        <v>71</v>
      </c>
      <c r="C107" t="str">
        <f>_xlfn.LET(
 _xlpm.dOK,COUNTIF(クラス!A:A,E107)&gt;0,
 _xlpm.eOK,COUNTIF(クラス!A:A,F107)&gt;0,
 IF(_xlpm.dOK,"○","×") &amp; IF(_xlpm.eOK,"○","×")
)</f>
        <v>○×</v>
      </c>
      <c r="D107" s="10"/>
      <c r="E107" s="10" t="s">
        <v>71</v>
      </c>
      <c r="G107">
        <v>15</v>
      </c>
      <c r="H107">
        <v>25</v>
      </c>
      <c r="S107" t="str">
        <f t="shared" si="1"/>
        <v>水の輪</v>
      </c>
      <c r="W107" t="s">
        <v>1664</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550</v>
      </c>
      <c r="B1" s="17" t="s">
        <v>164</v>
      </c>
      <c r="C1" s="17" t="s">
        <v>1570</v>
      </c>
      <c r="D1" s="17" t="s">
        <v>1677</v>
      </c>
      <c r="E1" s="17" t="s">
        <v>1678</v>
      </c>
      <c r="F1" s="17" t="s">
        <v>1679</v>
      </c>
      <c r="G1" s="17" t="s">
        <v>1680</v>
      </c>
      <c r="H1" s="17" t="s">
        <v>1681</v>
      </c>
      <c r="I1" s="17" t="s">
        <v>1682</v>
      </c>
      <c r="J1" s="17" t="s">
        <v>1683</v>
      </c>
      <c r="K1" s="17" t="s">
        <v>1684</v>
      </c>
      <c r="L1" s="17" t="s">
        <v>1685</v>
      </c>
      <c r="M1" s="17" t="s">
        <v>1686</v>
      </c>
      <c r="N1" s="17" t="s">
        <v>1687</v>
      </c>
    </row>
    <row r="2" spans="1:14" x14ac:dyDescent="0.4">
      <c r="A2" s="17" t="s">
        <v>551</v>
      </c>
      <c r="B2" s="17" t="s">
        <v>81</v>
      </c>
    </row>
    <row r="3" spans="1:14" ht="56.25" x14ac:dyDescent="0.4">
      <c r="A3" s="17" t="s">
        <v>552</v>
      </c>
      <c r="B3" s="17" t="s">
        <v>581</v>
      </c>
      <c r="C3" t="s">
        <v>1741</v>
      </c>
    </row>
    <row r="4" spans="1:14" ht="37.5" x14ac:dyDescent="0.4">
      <c r="A4" s="17" t="s">
        <v>497</v>
      </c>
      <c r="B4" s="17" t="s">
        <v>578</v>
      </c>
      <c r="C4" t="s">
        <v>1742</v>
      </c>
    </row>
    <row r="5" spans="1:14" x14ac:dyDescent="0.4">
      <c r="A5" s="17" t="s">
        <v>553</v>
      </c>
      <c r="B5" s="17" t="s">
        <v>577</v>
      </c>
      <c r="C5" t="s">
        <v>1743</v>
      </c>
    </row>
    <row r="6" spans="1:14" ht="37.5" x14ac:dyDescent="0.4">
      <c r="A6" s="17" t="s">
        <v>554</v>
      </c>
      <c r="B6" s="17" t="s">
        <v>580</v>
      </c>
      <c r="C6" t="s">
        <v>1744</v>
      </c>
    </row>
    <row r="7" spans="1:14" ht="75" x14ac:dyDescent="0.4">
      <c r="A7" s="17" t="s">
        <v>498</v>
      </c>
      <c r="B7" s="17" t="s">
        <v>576</v>
      </c>
      <c r="C7" t="s">
        <v>1745</v>
      </c>
    </row>
    <row r="8" spans="1:14" ht="37.5" x14ac:dyDescent="0.4">
      <c r="A8" s="17" t="s">
        <v>555</v>
      </c>
      <c r="B8" s="17" t="s">
        <v>579</v>
      </c>
      <c r="C8" t="s">
        <v>1746</v>
      </c>
    </row>
    <row r="9" spans="1:14" x14ac:dyDescent="0.4">
      <c r="A9" s="17" t="s">
        <v>556</v>
      </c>
      <c r="B9" s="17" t="s">
        <v>575</v>
      </c>
      <c r="C9" t="s">
        <v>1747</v>
      </c>
    </row>
    <row r="10" spans="1:14" x14ac:dyDescent="0.4">
      <c r="A10" s="17" t="s">
        <v>557</v>
      </c>
      <c r="B10" s="17" t="s">
        <v>574</v>
      </c>
      <c r="C10" t="s">
        <v>1748</v>
      </c>
    </row>
    <row r="11" spans="1:14" x14ac:dyDescent="0.4">
      <c r="A11" s="17" t="s">
        <v>558</v>
      </c>
      <c r="B11" s="17" t="s">
        <v>1364</v>
      </c>
      <c r="C11" t="s">
        <v>1749</v>
      </c>
      <c r="D11">
        <v>0.01</v>
      </c>
      <c r="E11">
        <v>1</v>
      </c>
      <c r="F11">
        <v>1</v>
      </c>
      <c r="G11">
        <v>3</v>
      </c>
      <c r="H11">
        <v>0.35</v>
      </c>
      <c r="I11">
        <v>38</v>
      </c>
      <c r="J11">
        <v>0.5</v>
      </c>
      <c r="K11">
        <v>2</v>
      </c>
      <c r="L11">
        <v>1</v>
      </c>
      <c r="M11">
        <v>3</v>
      </c>
      <c r="N11">
        <v>10</v>
      </c>
    </row>
    <row r="12" spans="1:14" x14ac:dyDescent="0.4">
      <c r="A12" s="17" t="s">
        <v>559</v>
      </c>
      <c r="B12" s="17" t="s">
        <v>560</v>
      </c>
      <c r="C12" t="s">
        <v>1750</v>
      </c>
    </row>
    <row r="15" spans="1:14" x14ac:dyDescent="0.4">
      <c r="A15" s="17" t="s">
        <v>551</v>
      </c>
      <c r="B15" s="17" t="s">
        <v>81</v>
      </c>
    </row>
    <row r="16" spans="1:14" x14ac:dyDescent="0.4">
      <c r="A16" s="17" t="s">
        <v>583</v>
      </c>
      <c r="B16" s="17" t="s">
        <v>582</v>
      </c>
      <c r="C16" t="s">
        <v>1751</v>
      </c>
    </row>
    <row r="17" spans="1:3" x14ac:dyDescent="0.4">
      <c r="A17" s="17" t="s">
        <v>561</v>
      </c>
      <c r="B17" s="17" t="s">
        <v>588</v>
      </c>
      <c r="C17" t="s">
        <v>1752</v>
      </c>
    </row>
    <row r="18" spans="1:3" x14ac:dyDescent="0.4">
      <c r="A18" s="17" t="s">
        <v>562</v>
      </c>
      <c r="B18" s="17" t="s">
        <v>587</v>
      </c>
      <c r="C18" t="s">
        <v>1753</v>
      </c>
    </row>
    <row r="19" spans="1:3" ht="37.5" x14ac:dyDescent="0.4">
      <c r="A19" s="17" t="s">
        <v>563</v>
      </c>
      <c r="B19" s="17" t="s">
        <v>589</v>
      </c>
      <c r="C19" t="s">
        <v>1754</v>
      </c>
    </row>
    <row r="20" spans="1:3" ht="56.25" x14ac:dyDescent="0.4">
      <c r="A20" s="17" t="s">
        <v>590</v>
      </c>
      <c r="B20" s="17" t="s">
        <v>591</v>
      </c>
      <c r="C20" t="s">
        <v>1755</v>
      </c>
    </row>
    <row r="21" spans="1:3" x14ac:dyDescent="0.4">
      <c r="A21" s="17" t="s">
        <v>564</v>
      </c>
      <c r="B21" s="17" t="s">
        <v>586</v>
      </c>
      <c r="C21" t="s">
        <v>1756</v>
      </c>
    </row>
    <row r="22" spans="1:3" x14ac:dyDescent="0.4">
      <c r="A22" s="17" t="s">
        <v>584</v>
      </c>
      <c r="B22" s="17" t="s">
        <v>585</v>
      </c>
      <c r="C22" t="s">
        <v>1757</v>
      </c>
    </row>
    <row r="25" spans="1:3" x14ac:dyDescent="0.4">
      <c r="A25" s="17" t="s">
        <v>551</v>
      </c>
      <c r="B25" s="17" t="s">
        <v>81</v>
      </c>
    </row>
    <row r="26" spans="1:3" x14ac:dyDescent="0.4">
      <c r="A26" s="17" t="s">
        <v>565</v>
      </c>
      <c r="B26" s="17" t="s">
        <v>597</v>
      </c>
      <c r="C26" t="s">
        <v>1758</v>
      </c>
    </row>
    <row r="27" spans="1:3" ht="56.25" x14ac:dyDescent="0.4">
      <c r="A27" s="17" t="s">
        <v>566</v>
      </c>
      <c r="B27" s="17" t="s">
        <v>598</v>
      </c>
      <c r="C27" t="s">
        <v>1759</v>
      </c>
    </row>
    <row r="28" spans="1:3" ht="37.5" x14ac:dyDescent="0.4">
      <c r="A28" s="17" t="s">
        <v>567</v>
      </c>
      <c r="B28" s="17" t="s">
        <v>592</v>
      </c>
      <c r="C28" t="s">
        <v>1760</v>
      </c>
    </row>
    <row r="29" spans="1:3" ht="37.5" x14ac:dyDescent="0.4">
      <c r="A29" s="17" t="s">
        <v>568</v>
      </c>
      <c r="B29" s="17" t="s">
        <v>593</v>
      </c>
      <c r="C29" t="s">
        <v>1761</v>
      </c>
    </row>
    <row r="30" spans="1:3" x14ac:dyDescent="0.4">
      <c r="A30" s="17" t="s">
        <v>569</v>
      </c>
      <c r="B30" s="17" t="s">
        <v>570</v>
      </c>
      <c r="C30" t="s">
        <v>1762</v>
      </c>
    </row>
    <row r="31" spans="1:3" x14ac:dyDescent="0.4">
      <c r="A31" s="17" t="s">
        <v>571</v>
      </c>
      <c r="B31" s="17" t="s">
        <v>572</v>
      </c>
      <c r="C31" t="s">
        <v>1763</v>
      </c>
    </row>
    <row r="32" spans="1:3" x14ac:dyDescent="0.4">
      <c r="A32" s="17" t="s">
        <v>594</v>
      </c>
      <c r="B32" s="17" t="s">
        <v>595</v>
      </c>
      <c r="C32" t="s">
        <v>1764</v>
      </c>
    </row>
    <row r="34" spans="1:3" x14ac:dyDescent="0.4">
      <c r="A34" s="17" t="s">
        <v>573</v>
      </c>
      <c r="B34" s="17" t="s">
        <v>599</v>
      </c>
      <c r="C34" t="s">
        <v>1765</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workbookViewId="0">
      <selection activeCell="D13" sqref="A2:D13"/>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944</v>
      </c>
      <c r="B1" t="s">
        <v>1394</v>
      </c>
      <c r="C1" t="s">
        <v>657</v>
      </c>
      <c r="D1" s="17" t="s">
        <v>658</v>
      </c>
      <c r="E1" t="s">
        <v>964</v>
      </c>
      <c r="F1" t="s">
        <v>1395</v>
      </c>
      <c r="G1" t="s">
        <v>1396</v>
      </c>
      <c r="H1" t="s">
        <v>1397</v>
      </c>
      <c r="I1" t="s">
        <v>1398</v>
      </c>
      <c r="J1" t="s">
        <v>1399</v>
      </c>
      <c r="K1" t="s">
        <v>1400</v>
      </c>
      <c r="L1" t="s">
        <v>1401</v>
      </c>
      <c r="M1" t="s">
        <v>1402</v>
      </c>
      <c r="N1" t="s">
        <v>1403</v>
      </c>
    </row>
    <row r="2" spans="1:14" x14ac:dyDescent="0.4">
      <c r="A2" t="s">
        <v>1404</v>
      </c>
      <c r="C2" t="s">
        <v>1405</v>
      </c>
      <c r="D2" s="17" t="s">
        <v>1406</v>
      </c>
    </row>
    <row r="3" spans="1:14" ht="37.5" x14ac:dyDescent="0.4">
      <c r="A3" t="s">
        <v>1407</v>
      </c>
      <c r="C3" t="s">
        <v>1218</v>
      </c>
      <c r="D3" s="17" t="s">
        <v>1408</v>
      </c>
    </row>
    <row r="4" spans="1:14" x14ac:dyDescent="0.4">
      <c r="A4" t="s">
        <v>1409</v>
      </c>
      <c r="C4" t="s">
        <v>1410</v>
      </c>
      <c r="D4" s="17" t="s">
        <v>1411</v>
      </c>
      <c r="E4" t="s">
        <v>1222</v>
      </c>
    </row>
    <row r="5" spans="1:14" ht="37.5" x14ac:dyDescent="0.4">
      <c r="A5" t="s">
        <v>1412</v>
      </c>
      <c r="C5" t="s">
        <v>1410</v>
      </c>
      <c r="D5" s="17" t="s">
        <v>1413</v>
      </c>
      <c r="E5" t="s">
        <v>1414</v>
      </c>
    </row>
    <row r="6" spans="1:14" ht="37.5" x14ac:dyDescent="0.4">
      <c r="A6" t="s">
        <v>1415</v>
      </c>
      <c r="C6" t="s">
        <v>1410</v>
      </c>
      <c r="D6" s="17" t="s">
        <v>1416</v>
      </c>
      <c r="E6" t="s">
        <v>1417</v>
      </c>
    </row>
    <row r="7" spans="1:14" ht="37.5" x14ac:dyDescent="0.4">
      <c r="A7" t="s">
        <v>1418</v>
      </c>
      <c r="C7" t="s">
        <v>1410</v>
      </c>
      <c r="D7" s="17" t="s">
        <v>1419</v>
      </c>
      <c r="E7" t="s">
        <v>1420</v>
      </c>
    </row>
    <row r="8" spans="1:14" ht="37.5" x14ac:dyDescent="0.4">
      <c r="A8" t="s">
        <v>1421</v>
      </c>
      <c r="C8" t="s">
        <v>1410</v>
      </c>
      <c r="D8" s="17" t="s">
        <v>1422</v>
      </c>
      <c r="E8" t="s">
        <v>1423</v>
      </c>
    </row>
    <row r="9" spans="1:14" x14ac:dyDescent="0.4">
      <c r="A9" t="s">
        <v>1424</v>
      </c>
      <c r="C9" t="s">
        <v>1424</v>
      </c>
      <c r="D9" s="17" t="s">
        <v>1425</v>
      </c>
    </row>
    <row r="10" spans="1:14" x14ac:dyDescent="0.4">
      <c r="A10" t="s">
        <v>1426</v>
      </c>
      <c r="C10" t="s">
        <v>1424</v>
      </c>
      <c r="D10" s="17" t="s">
        <v>1427</v>
      </c>
    </row>
    <row r="11" spans="1:14" x14ac:dyDescent="0.4">
      <c r="A11" t="s">
        <v>1428</v>
      </c>
      <c r="C11" t="s">
        <v>1424</v>
      </c>
      <c r="D11" s="17" t="s">
        <v>1429</v>
      </c>
    </row>
    <row r="12" spans="1:14" x14ac:dyDescent="0.4">
      <c r="A12" t="s">
        <v>1430</v>
      </c>
      <c r="C12" t="s">
        <v>1431</v>
      </c>
      <c r="D12" s="17" t="s">
        <v>1432</v>
      </c>
    </row>
    <row r="13" spans="1:14" ht="37.5" x14ac:dyDescent="0.4">
      <c r="A13" t="s">
        <v>1433</v>
      </c>
      <c r="C13" t="s">
        <v>1434</v>
      </c>
      <c r="D13" s="17" t="s">
        <v>950</v>
      </c>
    </row>
    <row r="14" spans="1:14" x14ac:dyDescent="0.4">
      <c r="A14" t="s">
        <v>247</v>
      </c>
    </row>
    <row r="15" spans="1:14" x14ac:dyDescent="0.4">
      <c r="A15" t="s">
        <v>1435</v>
      </c>
      <c r="C15" t="s">
        <v>1436</v>
      </c>
      <c r="D15" s="17" t="s">
        <v>1437</v>
      </c>
    </row>
    <row r="16" spans="1:14" x14ac:dyDescent="0.4">
      <c r="A16" t="s">
        <v>1439</v>
      </c>
      <c r="C16" t="s">
        <v>1436</v>
      </c>
      <c r="D16" s="17" t="s">
        <v>1440</v>
      </c>
    </row>
    <row r="17" spans="1:5" x14ac:dyDescent="0.4">
      <c r="A17" t="s">
        <v>1441</v>
      </c>
      <c r="C17" t="s">
        <v>1442</v>
      </c>
      <c r="D17" s="17" t="s">
        <v>1443</v>
      </c>
    </row>
    <row r="18" spans="1:5" ht="37.5" x14ac:dyDescent="0.4">
      <c r="A18" t="s">
        <v>1444</v>
      </c>
      <c r="C18" t="s">
        <v>1445</v>
      </c>
      <c r="D18" s="17" t="s">
        <v>945</v>
      </c>
    </row>
    <row r="19" spans="1:5" x14ac:dyDescent="0.4">
      <c r="A19" t="s">
        <v>1446</v>
      </c>
      <c r="C19" t="s">
        <v>1447</v>
      </c>
      <c r="D19" s="17" t="s">
        <v>1448</v>
      </c>
    </row>
    <row r="20" spans="1:5" ht="37.5" x14ac:dyDescent="0.4">
      <c r="A20" t="s">
        <v>1449</v>
      </c>
      <c r="C20" t="s">
        <v>1447</v>
      </c>
      <c r="D20" s="17" t="s">
        <v>1450</v>
      </c>
    </row>
    <row r="21" spans="1:5" x14ac:dyDescent="0.4">
      <c r="A21" t="s">
        <v>1451</v>
      </c>
      <c r="C21" t="s">
        <v>1452</v>
      </c>
      <c r="D21" s="17" t="s">
        <v>1453</v>
      </c>
    </row>
    <row r="22" spans="1:5" x14ac:dyDescent="0.4">
      <c r="A22" t="s">
        <v>1454</v>
      </c>
      <c r="C22" t="s">
        <v>1455</v>
      </c>
      <c r="D22" s="17" t="s">
        <v>1456</v>
      </c>
    </row>
    <row r="23" spans="1:5" x14ac:dyDescent="0.4">
      <c r="A23" t="s">
        <v>1457</v>
      </c>
      <c r="D23" s="17" t="s">
        <v>1458</v>
      </c>
    </row>
    <row r="24" spans="1:5" x14ac:dyDescent="0.4">
      <c r="A24" t="s">
        <v>1459</v>
      </c>
      <c r="D24" s="17" t="s">
        <v>1460</v>
      </c>
    </row>
    <row r="26" spans="1:5" x14ac:dyDescent="0.4">
      <c r="A26" t="s">
        <v>1444</v>
      </c>
    </row>
    <row r="28" spans="1:5" x14ac:dyDescent="0.4">
      <c r="A28" t="s">
        <v>1461</v>
      </c>
    </row>
    <row r="29" spans="1:5" x14ac:dyDescent="0.4">
      <c r="A29" s="43" t="s">
        <v>1462</v>
      </c>
      <c r="B29" s="43">
        <v>12</v>
      </c>
      <c r="C29" t="s">
        <v>1463</v>
      </c>
      <c r="D29" s="17" t="s">
        <v>1464</v>
      </c>
      <c r="E29" t="s">
        <v>226</v>
      </c>
    </row>
    <row r="30" spans="1:5" x14ac:dyDescent="0.4">
      <c r="A30" s="43" t="s">
        <v>1465</v>
      </c>
      <c r="B30" s="43">
        <v>13</v>
      </c>
      <c r="C30" t="s">
        <v>1463</v>
      </c>
      <c r="D30" s="17" t="s">
        <v>1466</v>
      </c>
      <c r="E30" t="s">
        <v>226</v>
      </c>
    </row>
    <row r="31" spans="1:5" x14ac:dyDescent="0.4">
      <c r="A31" s="43" t="s">
        <v>1467</v>
      </c>
      <c r="B31" s="43">
        <v>14</v>
      </c>
      <c r="C31" t="s">
        <v>1463</v>
      </c>
      <c r="D31" s="17" t="s">
        <v>1468</v>
      </c>
      <c r="E31" t="s">
        <v>226</v>
      </c>
    </row>
    <row r="32" spans="1:5" x14ac:dyDescent="0.4">
      <c r="A32" s="43" t="s">
        <v>1469</v>
      </c>
      <c r="B32" s="43">
        <v>15</v>
      </c>
      <c r="C32" t="s">
        <v>1463</v>
      </c>
      <c r="D32" s="17" t="s">
        <v>1470</v>
      </c>
      <c r="E32" t="s">
        <v>228</v>
      </c>
    </row>
    <row r="33" spans="1:5" x14ac:dyDescent="0.4">
      <c r="A33" s="42" t="s">
        <v>1471</v>
      </c>
      <c r="B33" s="42">
        <v>10</v>
      </c>
      <c r="C33" t="s">
        <v>1471</v>
      </c>
      <c r="D33" s="17" t="s">
        <v>1472</v>
      </c>
      <c r="E33" t="s">
        <v>227</v>
      </c>
    </row>
    <row r="34" spans="1:5" x14ac:dyDescent="0.4">
      <c r="A34" s="42" t="s">
        <v>1473</v>
      </c>
      <c r="B34" s="42">
        <v>9</v>
      </c>
      <c r="C34" t="s">
        <v>1471</v>
      </c>
      <c r="D34" s="17" t="s">
        <v>1474</v>
      </c>
      <c r="E34" t="s">
        <v>227</v>
      </c>
    </row>
    <row r="35" spans="1:5" x14ac:dyDescent="0.4">
      <c r="A35" s="42" t="s">
        <v>1475</v>
      </c>
      <c r="B35" s="42">
        <v>8</v>
      </c>
      <c r="C35" t="s">
        <v>1471</v>
      </c>
      <c r="D35" s="17" t="s">
        <v>1476</v>
      </c>
      <c r="E35" t="s">
        <v>227</v>
      </c>
    </row>
    <row r="36" spans="1:5" x14ac:dyDescent="0.4">
      <c r="A36" s="44" t="s">
        <v>1477</v>
      </c>
      <c r="B36" s="44">
        <v>11</v>
      </c>
      <c r="C36" t="s">
        <v>1477</v>
      </c>
      <c r="D36" s="17" t="s">
        <v>1478</v>
      </c>
      <c r="E36" t="s">
        <v>229</v>
      </c>
    </row>
    <row r="37" spans="1:5" x14ac:dyDescent="0.4">
      <c r="A37" s="44" t="s">
        <v>1479</v>
      </c>
      <c r="B37" s="44">
        <v>4</v>
      </c>
      <c r="C37" t="s">
        <v>960</v>
      </c>
      <c r="D37" s="17" t="s">
        <v>1480</v>
      </c>
      <c r="E37" t="s">
        <v>229</v>
      </c>
    </row>
    <row r="38" spans="1:5" x14ac:dyDescent="0.4">
      <c r="A38" s="44" t="s">
        <v>1481</v>
      </c>
      <c r="B38" s="44">
        <v>3</v>
      </c>
      <c r="C38" t="s">
        <v>1482</v>
      </c>
      <c r="D38" s="17" t="s">
        <v>973</v>
      </c>
      <c r="E38" t="s">
        <v>229</v>
      </c>
    </row>
    <row r="39" spans="1:5" x14ac:dyDescent="0.4">
      <c r="A39" s="44" t="s">
        <v>1483</v>
      </c>
      <c r="B39" s="44">
        <v>2</v>
      </c>
      <c r="C39" t="s">
        <v>1482</v>
      </c>
      <c r="D39" s="17" t="s">
        <v>1484</v>
      </c>
      <c r="E39" t="s">
        <v>229</v>
      </c>
    </row>
    <row r="40" spans="1:5" x14ac:dyDescent="0.4">
      <c r="A40" s="44" t="s">
        <v>1485</v>
      </c>
      <c r="B40" s="44">
        <v>1</v>
      </c>
      <c r="C40" t="s">
        <v>1482</v>
      </c>
      <c r="D40" s="17" t="s">
        <v>1486</v>
      </c>
      <c r="E40" t="s">
        <v>229</v>
      </c>
    </row>
    <row r="41" spans="1:5" x14ac:dyDescent="0.4">
      <c r="A41" s="36" t="s">
        <v>1487</v>
      </c>
      <c r="B41" s="36">
        <v>6</v>
      </c>
      <c r="C41" t="s">
        <v>959</v>
      </c>
      <c r="D41" s="17" t="s">
        <v>1488</v>
      </c>
      <c r="E41" t="s">
        <v>229</v>
      </c>
    </row>
    <row r="42" spans="1:5" x14ac:dyDescent="0.4">
      <c r="A42" s="36" t="s">
        <v>1489</v>
      </c>
      <c r="B42" s="36">
        <v>7</v>
      </c>
      <c r="C42" t="s">
        <v>1490</v>
      </c>
      <c r="D42" s="17" t="s">
        <v>1491</v>
      </c>
      <c r="E42" t="s">
        <v>229</v>
      </c>
    </row>
    <row r="43" spans="1:5" x14ac:dyDescent="0.4">
      <c r="A43" s="36" t="s">
        <v>1492</v>
      </c>
      <c r="B43" s="36">
        <v>5</v>
      </c>
      <c r="C43" t="s">
        <v>1492</v>
      </c>
      <c r="D43" s="17" t="s">
        <v>1493</v>
      </c>
      <c r="E43" t="s">
        <v>229</v>
      </c>
    </row>
    <row r="44" spans="1:5" x14ac:dyDescent="0.4">
      <c r="A44" s="56" t="s">
        <v>1494</v>
      </c>
      <c r="B44" s="56">
        <v>17</v>
      </c>
      <c r="C44" t="s">
        <v>1495</v>
      </c>
      <c r="D44" s="17" t="s">
        <v>1496</v>
      </c>
    </row>
    <row r="45" spans="1:5" x14ac:dyDescent="0.4">
      <c r="A45" s="56" t="s">
        <v>1497</v>
      </c>
      <c r="B45" s="56">
        <v>16</v>
      </c>
      <c r="C45" t="s">
        <v>1495</v>
      </c>
      <c r="D45" s="17" t="s">
        <v>1498</v>
      </c>
    </row>
    <row r="46" spans="1:5" x14ac:dyDescent="0.4">
      <c r="A46" t="s">
        <v>1499</v>
      </c>
    </row>
    <row r="47" spans="1:5" x14ac:dyDescent="0.4">
      <c r="A47" s="36" t="s">
        <v>1500</v>
      </c>
      <c r="B47" s="36"/>
    </row>
    <row r="48" spans="1:5" x14ac:dyDescent="0.4">
      <c r="A48" s="36" t="s">
        <v>1501</v>
      </c>
      <c r="B48" s="36"/>
    </row>
    <row r="49" spans="1:14" x14ac:dyDescent="0.4">
      <c r="A49" s="36" t="s">
        <v>1502</v>
      </c>
      <c r="B49" s="36"/>
    </row>
    <row r="50" spans="1:14" x14ac:dyDescent="0.4">
      <c r="A50" t="s">
        <v>1503</v>
      </c>
      <c r="C50" t="s">
        <v>1389</v>
      </c>
      <c r="D50" s="17" t="s">
        <v>1505</v>
      </c>
      <c r="F50" t="s">
        <v>1504</v>
      </c>
      <c r="G50" t="s">
        <v>1217</v>
      </c>
      <c r="H50">
        <v>1</v>
      </c>
      <c r="I50">
        <v>0</v>
      </c>
      <c r="J50">
        <v>1</v>
      </c>
      <c r="K50">
        <v>1</v>
      </c>
      <c r="L50" t="b">
        <v>0</v>
      </c>
      <c r="M50">
        <v>1</v>
      </c>
    </row>
    <row r="51" spans="1:14" x14ac:dyDescent="0.4">
      <c r="A51" t="s">
        <v>1506</v>
      </c>
      <c r="C51" t="s">
        <v>1389</v>
      </c>
      <c r="D51" s="17" t="s">
        <v>1508</v>
      </c>
      <c r="F51" t="s">
        <v>1507</v>
      </c>
      <c r="G51" t="s">
        <v>1438</v>
      </c>
      <c r="H51">
        <v>1</v>
      </c>
      <c r="I51">
        <v>4</v>
      </c>
      <c r="J51">
        <v>2.5</v>
      </c>
      <c r="K51">
        <v>4</v>
      </c>
      <c r="L51" t="b">
        <v>1</v>
      </c>
      <c r="M51">
        <v>2</v>
      </c>
    </row>
    <row r="52" spans="1:14" x14ac:dyDescent="0.4">
      <c r="A52" t="s">
        <v>1509</v>
      </c>
      <c r="C52" t="s">
        <v>1389</v>
      </c>
      <c r="D52" s="17" t="s">
        <v>1512</v>
      </c>
      <c r="F52" t="s">
        <v>1510</v>
      </c>
      <c r="G52" t="s">
        <v>1511</v>
      </c>
      <c r="H52">
        <v>3</v>
      </c>
      <c r="I52">
        <v>5</v>
      </c>
      <c r="J52">
        <v>3</v>
      </c>
      <c r="K52">
        <v>5</v>
      </c>
      <c r="L52" t="b">
        <v>1</v>
      </c>
      <c r="M52">
        <v>3</v>
      </c>
    </row>
    <row r="53" spans="1:14" x14ac:dyDescent="0.4">
      <c r="A53">
        <v>1</v>
      </c>
      <c r="C53" t="s">
        <v>1513</v>
      </c>
      <c r="D53" s="17" t="s">
        <v>1514</v>
      </c>
      <c r="N53">
        <v>1</v>
      </c>
    </row>
    <row r="54" spans="1:14" x14ac:dyDescent="0.4">
      <c r="A54">
        <v>2</v>
      </c>
      <c r="C54" t="s">
        <v>1513</v>
      </c>
      <c r="D54" s="17" t="s">
        <v>1515</v>
      </c>
      <c r="N54">
        <v>1.1499999999999999</v>
      </c>
    </row>
    <row r="55" spans="1:14" x14ac:dyDescent="0.4">
      <c r="A55">
        <v>3</v>
      </c>
      <c r="C55" t="s">
        <v>1513</v>
      </c>
      <c r="D55" s="17" t="s">
        <v>1516</v>
      </c>
      <c r="N55">
        <v>1.3</v>
      </c>
    </row>
    <row r="56" spans="1:14" x14ac:dyDescent="0.4">
      <c r="A56">
        <v>4</v>
      </c>
      <c r="C56" t="s">
        <v>1513</v>
      </c>
      <c r="D56" s="17" t="s">
        <v>1517</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515</v>
      </c>
      <c r="B1" s="41" t="s">
        <v>600</v>
      </c>
      <c r="C1" t="s">
        <v>516</v>
      </c>
      <c r="D1" t="s">
        <v>159</v>
      </c>
      <c r="E1" t="s">
        <v>517</v>
      </c>
      <c r="F1" t="s">
        <v>518</v>
      </c>
    </row>
    <row r="2" spans="1:6" x14ac:dyDescent="0.4">
      <c r="A2" t="s">
        <v>520</v>
      </c>
      <c r="B2" s="40" t="s">
        <v>519</v>
      </c>
      <c r="C2" t="s">
        <v>521</v>
      </c>
      <c r="D2" t="s">
        <v>612</v>
      </c>
      <c r="E2" t="s">
        <v>522</v>
      </c>
      <c r="F2" t="s">
        <v>523</v>
      </c>
    </row>
    <row r="3" spans="1:6" x14ac:dyDescent="0.4">
      <c r="A3" t="s">
        <v>524</v>
      </c>
      <c r="B3" s="40" t="s">
        <v>519</v>
      </c>
      <c r="C3" t="s">
        <v>521</v>
      </c>
      <c r="D3" t="s">
        <v>611</v>
      </c>
      <c r="E3" t="s">
        <v>522</v>
      </c>
      <c r="F3" t="s">
        <v>523</v>
      </c>
    </row>
    <row r="4" spans="1:6" x14ac:dyDescent="0.4">
      <c r="A4" t="s">
        <v>525</v>
      </c>
      <c r="B4" s="40" t="s">
        <v>519</v>
      </c>
      <c r="C4" t="s">
        <v>521</v>
      </c>
      <c r="D4" t="s">
        <v>610</v>
      </c>
      <c r="E4" t="s">
        <v>522</v>
      </c>
      <c r="F4" t="s">
        <v>523</v>
      </c>
    </row>
    <row r="5" spans="1:6" x14ac:dyDescent="0.4">
      <c r="A5" t="s">
        <v>526</v>
      </c>
      <c r="B5" s="40" t="s">
        <v>519</v>
      </c>
      <c r="C5" t="s">
        <v>521</v>
      </c>
      <c r="D5" t="s">
        <v>609</v>
      </c>
      <c r="E5" t="s">
        <v>522</v>
      </c>
      <c r="F5" t="s">
        <v>523</v>
      </c>
    </row>
    <row r="6" spans="1:6" x14ac:dyDescent="0.4">
      <c r="A6" t="s">
        <v>527</v>
      </c>
      <c r="B6" s="40" t="s">
        <v>519</v>
      </c>
      <c r="C6" t="s">
        <v>521</v>
      </c>
      <c r="D6" t="s">
        <v>608</v>
      </c>
      <c r="E6" t="s">
        <v>522</v>
      </c>
      <c r="F6" t="s">
        <v>523</v>
      </c>
    </row>
    <row r="7" spans="1:6" x14ac:dyDescent="0.4">
      <c r="A7" t="s">
        <v>528</v>
      </c>
      <c r="B7" s="40" t="s">
        <v>519</v>
      </c>
      <c r="C7" t="s">
        <v>521</v>
      </c>
      <c r="D7" t="s">
        <v>607</v>
      </c>
      <c r="E7" t="s">
        <v>522</v>
      </c>
      <c r="F7" t="s">
        <v>523</v>
      </c>
    </row>
    <row r="8" spans="1:6" x14ac:dyDescent="0.4">
      <c r="A8" t="s">
        <v>529</v>
      </c>
      <c r="B8" s="40" t="s">
        <v>519</v>
      </c>
      <c r="C8" t="s">
        <v>521</v>
      </c>
      <c r="D8" t="s">
        <v>606</v>
      </c>
      <c r="E8" t="s">
        <v>522</v>
      </c>
      <c r="F8" t="s">
        <v>523</v>
      </c>
    </row>
    <row r="9" spans="1:6" x14ac:dyDescent="0.4">
      <c r="A9" t="s">
        <v>530</v>
      </c>
      <c r="B9" s="40" t="s">
        <v>519</v>
      </c>
      <c r="C9" t="s">
        <v>521</v>
      </c>
      <c r="E9" t="s">
        <v>522</v>
      </c>
      <c r="F9" t="s">
        <v>523</v>
      </c>
    </row>
    <row r="10" spans="1:6" x14ac:dyDescent="0.4">
      <c r="A10" t="s">
        <v>531</v>
      </c>
      <c r="B10" s="40" t="s">
        <v>519</v>
      </c>
      <c r="C10" t="s">
        <v>521</v>
      </c>
      <c r="D10" t="s">
        <v>601</v>
      </c>
      <c r="E10" t="s">
        <v>522</v>
      </c>
      <c r="F10" t="s">
        <v>523</v>
      </c>
    </row>
    <row r="11" spans="1:6" x14ac:dyDescent="0.4">
      <c r="A11" t="s">
        <v>532</v>
      </c>
      <c r="B11" s="40" t="s">
        <v>519</v>
      </c>
      <c r="C11" t="s">
        <v>521</v>
      </c>
      <c r="D11" t="s">
        <v>605</v>
      </c>
      <c r="E11" t="s">
        <v>522</v>
      </c>
      <c r="F11" t="s">
        <v>523</v>
      </c>
    </row>
    <row r="12" spans="1:6" x14ac:dyDescent="0.4">
      <c r="A12" t="s">
        <v>533</v>
      </c>
      <c r="B12" s="40" t="s">
        <v>519</v>
      </c>
      <c r="C12" t="s">
        <v>521</v>
      </c>
      <c r="D12" t="s">
        <v>602</v>
      </c>
      <c r="E12" t="s">
        <v>522</v>
      </c>
      <c r="F12" t="s">
        <v>523</v>
      </c>
    </row>
    <row r="13" spans="1:6" x14ac:dyDescent="0.4">
      <c r="A13" t="s">
        <v>534</v>
      </c>
      <c r="B13" s="40" t="s">
        <v>519</v>
      </c>
      <c r="C13" t="s">
        <v>521</v>
      </c>
      <c r="E13" t="s">
        <v>522</v>
      </c>
      <c r="F13" t="s">
        <v>523</v>
      </c>
    </row>
    <row r="14" spans="1:6" x14ac:dyDescent="0.4">
      <c r="A14" t="s">
        <v>535</v>
      </c>
      <c r="B14" s="40" t="s">
        <v>519</v>
      </c>
      <c r="C14" t="s">
        <v>521</v>
      </c>
      <c r="D14" t="s">
        <v>603</v>
      </c>
      <c r="E14" t="s">
        <v>522</v>
      </c>
      <c r="F14" t="s">
        <v>523</v>
      </c>
    </row>
    <row r="15" spans="1:6" x14ac:dyDescent="0.4">
      <c r="A15" t="s">
        <v>536</v>
      </c>
      <c r="B15" s="40" t="s">
        <v>519</v>
      </c>
      <c r="C15" t="s">
        <v>521</v>
      </c>
      <c r="D15" t="s">
        <v>604</v>
      </c>
      <c r="E15" t="s">
        <v>522</v>
      </c>
      <c r="F15" t="s">
        <v>523</v>
      </c>
    </row>
    <row r="16" spans="1:6" x14ac:dyDescent="0.4">
      <c r="A16" t="s">
        <v>538</v>
      </c>
      <c r="B16" s="40" t="s">
        <v>537</v>
      </c>
      <c r="C16" t="s">
        <v>539</v>
      </c>
      <c r="E16" t="s">
        <v>540</v>
      </c>
      <c r="F16" t="s">
        <v>541</v>
      </c>
    </row>
    <row r="17" spans="1:6" x14ac:dyDescent="0.4">
      <c r="A17" t="s">
        <v>542</v>
      </c>
      <c r="B17" s="40" t="s">
        <v>537</v>
      </c>
      <c r="C17" t="s">
        <v>539</v>
      </c>
      <c r="E17" t="s">
        <v>540</v>
      </c>
      <c r="F17" t="s">
        <v>541</v>
      </c>
    </row>
    <row r="18" spans="1:6" x14ac:dyDescent="0.4">
      <c r="A18" t="s">
        <v>543</v>
      </c>
      <c r="B18" s="40" t="s">
        <v>537</v>
      </c>
      <c r="C18" t="s">
        <v>539</v>
      </c>
      <c r="E18" t="s">
        <v>540</v>
      </c>
      <c r="F18" t="s">
        <v>541</v>
      </c>
    </row>
    <row r="19" spans="1:6" x14ac:dyDescent="0.4">
      <c r="A19" t="s">
        <v>545</v>
      </c>
      <c r="B19" s="40" t="s">
        <v>544</v>
      </c>
      <c r="C19" t="s">
        <v>546</v>
      </c>
      <c r="D19" t="s">
        <v>613</v>
      </c>
      <c r="E19" t="s">
        <v>547</v>
      </c>
      <c r="F19" t="s">
        <v>523</v>
      </c>
    </row>
    <row r="20" spans="1:6" x14ac:dyDescent="0.4">
      <c r="A20" t="s">
        <v>548</v>
      </c>
      <c r="B20" s="40" t="s">
        <v>544</v>
      </c>
      <c r="C20" t="s">
        <v>546</v>
      </c>
      <c r="D20" t="s">
        <v>614</v>
      </c>
      <c r="E20" t="s">
        <v>547</v>
      </c>
      <c r="F20" t="s">
        <v>523</v>
      </c>
    </row>
    <row r="21" spans="1:6" x14ac:dyDescent="0.4">
      <c r="A21" t="s">
        <v>549</v>
      </c>
      <c r="B21" s="40" t="s">
        <v>544</v>
      </c>
      <c r="C21" t="s">
        <v>546</v>
      </c>
      <c r="D21" t="s">
        <v>615</v>
      </c>
      <c r="E21" t="s">
        <v>547</v>
      </c>
      <c r="F21" t="s">
        <v>523</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514</v>
      </c>
      <c r="B1" t="s">
        <v>515</v>
      </c>
      <c r="C1" t="s">
        <v>516</v>
      </c>
      <c r="D1" t="s">
        <v>736</v>
      </c>
      <c r="E1" t="s">
        <v>739</v>
      </c>
      <c r="F1" t="s">
        <v>740</v>
      </c>
      <c r="G1" t="s">
        <v>741</v>
      </c>
      <c r="H1" t="s">
        <v>517</v>
      </c>
      <c r="I1" t="s">
        <v>518</v>
      </c>
    </row>
    <row r="2" spans="1:9" x14ac:dyDescent="0.4">
      <c r="A2" s="45" t="s">
        <v>628</v>
      </c>
      <c r="B2" t="s">
        <v>629</v>
      </c>
      <c r="C2" t="s">
        <v>630</v>
      </c>
      <c r="D2" s="39">
        <v>-0.15</v>
      </c>
      <c r="H2" t="s">
        <v>738</v>
      </c>
      <c r="I2" t="s">
        <v>523</v>
      </c>
    </row>
    <row r="3" spans="1:9" x14ac:dyDescent="0.4">
      <c r="A3" s="45" t="s">
        <v>628</v>
      </c>
      <c r="B3" t="s">
        <v>632</v>
      </c>
      <c r="C3" t="s">
        <v>630</v>
      </c>
      <c r="H3" t="s">
        <v>631</v>
      </c>
      <c r="I3" t="s">
        <v>523</v>
      </c>
    </row>
    <row r="4" spans="1:9" x14ac:dyDescent="0.4">
      <c r="A4" s="45" t="s">
        <v>628</v>
      </c>
      <c r="B4" t="s">
        <v>633</v>
      </c>
      <c r="C4" t="s">
        <v>630</v>
      </c>
      <c r="H4" t="s">
        <v>631</v>
      </c>
      <c r="I4" t="s">
        <v>523</v>
      </c>
    </row>
    <row r="5" spans="1:9" x14ac:dyDescent="0.4">
      <c r="A5" s="45" t="s">
        <v>628</v>
      </c>
      <c r="B5" t="s">
        <v>634</v>
      </c>
      <c r="C5" t="s">
        <v>630</v>
      </c>
      <c r="H5" t="s">
        <v>631</v>
      </c>
      <c r="I5" t="s">
        <v>523</v>
      </c>
    </row>
    <row r="6" spans="1:9" x14ac:dyDescent="0.4">
      <c r="A6" s="45" t="s">
        <v>628</v>
      </c>
      <c r="B6" t="s">
        <v>635</v>
      </c>
      <c r="C6" t="s">
        <v>630</v>
      </c>
      <c r="H6" t="s">
        <v>631</v>
      </c>
      <c r="I6" t="s">
        <v>523</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515</v>
      </c>
      <c r="B1" t="s">
        <v>516</v>
      </c>
      <c r="C1" t="s">
        <v>517</v>
      </c>
      <c r="D1" t="s">
        <v>518</v>
      </c>
    </row>
    <row r="2" spans="1:4" x14ac:dyDescent="0.4">
      <c r="A2" t="s">
        <v>636</v>
      </c>
      <c r="B2" t="s">
        <v>637</v>
      </c>
      <c r="C2" t="s">
        <v>638</v>
      </c>
      <c r="D2" t="s">
        <v>523</v>
      </c>
    </row>
    <row r="3" spans="1:4" x14ac:dyDescent="0.4">
      <c r="A3" t="s">
        <v>639</v>
      </c>
      <c r="B3" t="s">
        <v>637</v>
      </c>
      <c r="C3" t="s">
        <v>638</v>
      </c>
      <c r="D3" t="s">
        <v>523</v>
      </c>
    </row>
    <row r="4" spans="1:4" x14ac:dyDescent="0.4">
      <c r="A4" t="s">
        <v>640</v>
      </c>
      <c r="B4" t="s">
        <v>637</v>
      </c>
      <c r="C4" t="s">
        <v>638</v>
      </c>
      <c r="D4" t="s">
        <v>523</v>
      </c>
    </row>
    <row r="5" spans="1:4" x14ac:dyDescent="0.4">
      <c r="A5" t="s">
        <v>641</v>
      </c>
      <c r="B5" t="s">
        <v>637</v>
      </c>
      <c r="C5" t="s">
        <v>638</v>
      </c>
      <c r="D5" t="s">
        <v>523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514</v>
      </c>
      <c r="B1" t="s">
        <v>515</v>
      </c>
      <c r="C1" t="s">
        <v>516</v>
      </c>
      <c r="D1" t="s">
        <v>517</v>
      </c>
      <c r="E1" t="s">
        <v>518</v>
      </c>
      <c r="F1" s="55" t="s">
        <v>971</v>
      </c>
      <c r="G1" s="55" t="s">
        <v>618</v>
      </c>
      <c r="H1" s="55" t="s">
        <v>619</v>
      </c>
      <c r="I1" s="55" t="s">
        <v>617</v>
      </c>
      <c r="J1" s="55" t="s">
        <v>963</v>
      </c>
      <c r="K1" s="26" t="s">
        <v>247</v>
      </c>
      <c r="L1" s="26" t="s">
        <v>1</v>
      </c>
      <c r="M1" s="26" t="s">
        <v>2</v>
      </c>
      <c r="N1" s="26" t="s">
        <v>105</v>
      </c>
      <c r="O1" s="26" t="s">
        <v>1222</v>
      </c>
      <c r="P1" s="27" t="s">
        <v>4</v>
      </c>
      <c r="Q1" s="27" t="s">
        <v>3</v>
      </c>
      <c r="R1" s="28" t="s">
        <v>226</v>
      </c>
      <c r="S1" s="28" t="s">
        <v>227</v>
      </c>
      <c r="T1" s="28" t="s">
        <v>228</v>
      </c>
      <c r="U1" s="28" t="s">
        <v>229</v>
      </c>
      <c r="V1" s="29" t="s">
        <v>230</v>
      </c>
      <c r="W1" s="29" t="s">
        <v>5</v>
      </c>
      <c r="X1" s="29" t="s">
        <v>997</v>
      </c>
      <c r="Y1" s="29" t="s">
        <v>6</v>
      </c>
    </row>
    <row r="2" spans="1:25" x14ac:dyDescent="0.4">
      <c r="F2" s="60" t="s">
        <v>1175</v>
      </c>
      <c r="G2" s="60" t="s">
        <v>1175</v>
      </c>
      <c r="H2" s="60" t="s">
        <v>1175</v>
      </c>
      <c r="I2" s="60" t="s">
        <v>1175</v>
      </c>
      <c r="J2" s="60" t="s">
        <v>1175</v>
      </c>
      <c r="K2" s="26"/>
      <c r="L2" s="26"/>
      <c r="M2" s="26"/>
      <c r="N2" s="26"/>
      <c r="O2" s="26"/>
      <c r="P2" s="27"/>
      <c r="Q2" s="27"/>
      <c r="R2" s="28"/>
      <c r="S2" s="28"/>
      <c r="T2" s="28"/>
      <c r="U2" s="28"/>
      <c r="V2" s="29"/>
      <c r="W2" s="29"/>
      <c r="X2" s="29"/>
      <c r="Y2" s="29"/>
    </row>
    <row r="3" spans="1:25" x14ac:dyDescent="0.4">
      <c r="A3" t="s">
        <v>6</v>
      </c>
      <c r="B3" t="s">
        <v>642</v>
      </c>
      <c r="C3" t="s">
        <v>643</v>
      </c>
      <c r="D3" t="s">
        <v>644</v>
      </c>
      <c r="E3" t="s">
        <v>645</v>
      </c>
    </row>
    <row r="4" spans="1:25" x14ac:dyDescent="0.4">
      <c r="A4" t="s">
        <v>6</v>
      </c>
      <c r="B4" t="s">
        <v>646</v>
      </c>
      <c r="C4" t="s">
        <v>643</v>
      </c>
      <c r="D4" t="s">
        <v>644</v>
      </c>
      <c r="E4" t="s">
        <v>645</v>
      </c>
    </row>
    <row r="5" spans="1:25" x14ac:dyDescent="0.4">
      <c r="A5" t="s">
        <v>6</v>
      </c>
      <c r="B5" t="s">
        <v>647</v>
      </c>
      <c r="C5" t="s">
        <v>643</v>
      </c>
      <c r="D5" t="s">
        <v>644</v>
      </c>
      <c r="E5" t="s">
        <v>645</v>
      </c>
    </row>
    <row r="6" spans="1:25" x14ac:dyDescent="0.4">
      <c r="A6" t="s">
        <v>6</v>
      </c>
      <c r="B6" t="s">
        <v>648</v>
      </c>
      <c r="C6" t="s">
        <v>643</v>
      </c>
      <c r="D6" t="s">
        <v>644</v>
      </c>
      <c r="E6" t="s">
        <v>645</v>
      </c>
    </row>
    <row r="7" spans="1:25" x14ac:dyDescent="0.4">
      <c r="A7" t="s">
        <v>6</v>
      </c>
      <c r="B7" t="s">
        <v>649</v>
      </c>
      <c r="C7" t="s">
        <v>643</v>
      </c>
      <c r="D7" t="s">
        <v>644</v>
      </c>
      <c r="E7" t="s">
        <v>645</v>
      </c>
    </row>
    <row r="8" spans="1:25" x14ac:dyDescent="0.4">
      <c r="A8" t="s">
        <v>6</v>
      </c>
      <c r="B8" t="s">
        <v>650</v>
      </c>
      <c r="C8" t="s">
        <v>643</v>
      </c>
      <c r="D8" t="s">
        <v>644</v>
      </c>
      <c r="E8" t="s">
        <v>645</v>
      </c>
    </row>
    <row r="9" spans="1:25" x14ac:dyDescent="0.4">
      <c r="A9" t="s">
        <v>6</v>
      </c>
      <c r="B9" t="s">
        <v>651</v>
      </c>
      <c r="C9" t="s">
        <v>643</v>
      </c>
      <c r="D9" t="s">
        <v>644</v>
      </c>
      <c r="E9" t="s">
        <v>645</v>
      </c>
    </row>
    <row r="10" spans="1:25" x14ac:dyDescent="0.4">
      <c r="A10" t="s">
        <v>6</v>
      </c>
      <c r="B10" t="s">
        <v>652</v>
      </c>
      <c r="C10" t="s">
        <v>643</v>
      </c>
      <c r="D10" t="s">
        <v>644</v>
      </c>
      <c r="E10" t="s">
        <v>645</v>
      </c>
    </row>
    <row r="11" spans="1:25" x14ac:dyDescent="0.4">
      <c r="A11" t="s">
        <v>6</v>
      </c>
      <c r="B11" t="s">
        <v>653</v>
      </c>
      <c r="C11" t="s">
        <v>643</v>
      </c>
      <c r="D11" t="s">
        <v>644</v>
      </c>
      <c r="E11" t="s">
        <v>645</v>
      </c>
    </row>
    <row r="12" spans="1:25" x14ac:dyDescent="0.4">
      <c r="A12" t="s">
        <v>6</v>
      </c>
      <c r="B12" t="s">
        <v>654</v>
      </c>
      <c r="C12" t="s">
        <v>643</v>
      </c>
      <c r="D12" t="s">
        <v>644</v>
      </c>
      <c r="E12" t="s">
        <v>645</v>
      </c>
    </row>
    <row r="13" spans="1:25" x14ac:dyDescent="0.4">
      <c r="A13" t="s">
        <v>6</v>
      </c>
      <c r="B13" t="s">
        <v>656</v>
      </c>
      <c r="C13" t="s">
        <v>643</v>
      </c>
      <c r="D13" t="s">
        <v>644</v>
      </c>
      <c r="E13" t="s">
        <v>645</v>
      </c>
    </row>
    <row r="14" spans="1:25" x14ac:dyDescent="0.4">
      <c r="A14" t="s">
        <v>6</v>
      </c>
      <c r="B14" t="s">
        <v>655</v>
      </c>
      <c r="C14" t="s">
        <v>643</v>
      </c>
      <c r="D14" t="s">
        <v>644</v>
      </c>
      <c r="E14" t="s">
        <v>645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704</v>
      </c>
      <c r="B1" s="17" t="s">
        <v>707</v>
      </c>
      <c r="C1" s="17" t="s">
        <v>658</v>
      </c>
      <c r="D1" s="17" t="s">
        <v>1197</v>
      </c>
      <c r="E1" s="17" t="s">
        <v>1203</v>
      </c>
      <c r="F1" s="17" t="s">
        <v>1219</v>
      </c>
      <c r="G1" s="55" t="s">
        <v>971</v>
      </c>
      <c r="H1" s="55" t="s">
        <v>618</v>
      </c>
      <c r="I1" s="55" t="s">
        <v>619</v>
      </c>
      <c r="J1" s="55" t="s">
        <v>617</v>
      </c>
      <c r="K1" s="55" t="s">
        <v>963</v>
      </c>
      <c r="L1" s="57" t="s">
        <v>481</v>
      </c>
      <c r="M1" s="57" t="s">
        <v>482</v>
      </c>
      <c r="N1" s="57" t="s">
        <v>483</v>
      </c>
      <c r="O1" s="58" t="s">
        <v>484</v>
      </c>
      <c r="P1" s="58" t="s">
        <v>485</v>
      </c>
      <c r="Q1" s="58" t="s">
        <v>486</v>
      </c>
      <c r="R1" s="58" t="s">
        <v>487</v>
      </c>
      <c r="S1" s="58" t="s">
        <v>488</v>
      </c>
      <c r="T1" s="36" t="s">
        <v>489</v>
      </c>
      <c r="U1" s="36" t="s">
        <v>490</v>
      </c>
      <c r="V1" s="36" t="s">
        <v>491</v>
      </c>
      <c r="W1" s="56" t="s">
        <v>910</v>
      </c>
      <c r="X1" s="56" t="s">
        <v>907</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997</v>
      </c>
      <c r="AR1" s="29" t="s">
        <v>6</v>
      </c>
      <c r="AS1" s="17" t="s">
        <v>1198</v>
      </c>
      <c r="AT1" s="17" t="s">
        <v>1199</v>
      </c>
      <c r="AU1" s="17" t="s">
        <v>626</v>
      </c>
      <c r="AV1" s="17" t="s">
        <v>624</v>
      </c>
      <c r="AW1" s="17" t="s">
        <v>736</v>
      </c>
      <c r="AX1" s="17" t="s">
        <v>627</v>
      </c>
      <c r="AY1" s="17" t="s">
        <v>1200</v>
      </c>
      <c r="AZ1" s="17" t="s">
        <v>1201</v>
      </c>
      <c r="BA1" s="17" t="s">
        <v>215</v>
      </c>
      <c r="BB1" s="17" t="s">
        <v>954</v>
      </c>
      <c r="BC1" s="17" t="s">
        <v>657</v>
      </c>
      <c r="BD1" s="17" t="s">
        <v>1665</v>
      </c>
      <c r="BE1" s="17" t="s">
        <v>1666</v>
      </c>
      <c r="BF1" s="17" t="s">
        <v>1667</v>
      </c>
      <c r="BG1" s="17" t="s">
        <v>1668</v>
      </c>
      <c r="BH1" s="17" t="s">
        <v>1669</v>
      </c>
      <c r="BI1" s="17" t="s">
        <v>1670</v>
      </c>
      <c r="BJ1" s="17" t="s">
        <v>1671</v>
      </c>
      <c r="BK1" s="17" t="s">
        <v>1672</v>
      </c>
    </row>
    <row r="2" spans="1:63" ht="13.5" customHeight="1" x14ac:dyDescent="0.4">
      <c r="A2" t="s">
        <v>1187</v>
      </c>
      <c r="B2" t="s">
        <v>970</v>
      </c>
      <c r="C2" s="17" t="s">
        <v>1193</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1717</v>
      </c>
      <c r="BD2" t="s">
        <v>1718</v>
      </c>
      <c r="BE2">
        <v>1</v>
      </c>
      <c r="BF2">
        <v>0</v>
      </c>
      <c r="BG2">
        <v>2</v>
      </c>
      <c r="BH2" t="s">
        <v>1719</v>
      </c>
      <c r="BI2">
        <v>60</v>
      </c>
      <c r="BJ2">
        <v>20</v>
      </c>
      <c r="BK2">
        <v>1</v>
      </c>
    </row>
    <row r="3" spans="1:63" ht="13.5" customHeight="1" x14ac:dyDescent="0.4">
      <c r="A3" t="s">
        <v>1188</v>
      </c>
      <c r="B3" t="s">
        <v>1190</v>
      </c>
      <c r="C3" s="17" t="s">
        <v>1194</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1717</v>
      </c>
      <c r="BD3" t="s">
        <v>1720</v>
      </c>
      <c r="BE3">
        <v>2</v>
      </c>
      <c r="BF3">
        <v>125</v>
      </c>
      <c r="BG3">
        <v>4</v>
      </c>
      <c r="BH3" t="s">
        <v>1721</v>
      </c>
      <c r="BI3">
        <v>57</v>
      </c>
      <c r="BJ3">
        <v>50</v>
      </c>
      <c r="BK3">
        <v>2</v>
      </c>
    </row>
    <row r="4" spans="1:63" ht="13.5" customHeight="1" x14ac:dyDescent="0.4">
      <c r="A4" t="s">
        <v>1070</v>
      </c>
      <c r="B4" t="s">
        <v>1191</v>
      </c>
      <c r="C4" s="17" t="s">
        <v>1195</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1717</v>
      </c>
      <c r="BD4" t="s">
        <v>1722</v>
      </c>
      <c r="BE4">
        <v>3</v>
      </c>
      <c r="BF4">
        <v>260</v>
      </c>
      <c r="BG4">
        <v>7</v>
      </c>
      <c r="BH4" t="s">
        <v>1723</v>
      </c>
      <c r="BI4">
        <v>66</v>
      </c>
      <c r="BJ4">
        <v>100</v>
      </c>
      <c r="BK4">
        <v>3</v>
      </c>
    </row>
    <row r="5" spans="1:63" ht="13.5" customHeight="1" x14ac:dyDescent="0.4">
      <c r="A5" t="s">
        <v>1189</v>
      </c>
      <c r="B5" t="s">
        <v>1192</v>
      </c>
      <c r="C5" s="17" t="s">
        <v>1196</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1717</v>
      </c>
      <c r="BD5" t="s">
        <v>1724</v>
      </c>
      <c r="BE5">
        <v>4</v>
      </c>
      <c r="BF5">
        <v>420</v>
      </c>
      <c r="BG5">
        <v>10</v>
      </c>
      <c r="BH5" t="s">
        <v>1725</v>
      </c>
      <c r="BI5">
        <v>78</v>
      </c>
      <c r="BJ5">
        <v>150</v>
      </c>
      <c r="BK5">
        <v>7</v>
      </c>
    </row>
    <row r="6" spans="1:63" ht="37.5" x14ac:dyDescent="0.4">
      <c r="A6" t="s">
        <v>687</v>
      </c>
      <c r="B6" t="s">
        <v>713</v>
      </c>
      <c r="C6" s="17" t="s">
        <v>712</v>
      </c>
      <c r="D6" s="17">
        <v>2</v>
      </c>
      <c r="F6" s="17" t="s">
        <v>1220</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953</v>
      </c>
      <c r="B7" t="s">
        <v>713</v>
      </c>
      <c r="C7" s="17" t="s">
        <v>952</v>
      </c>
      <c r="D7" s="17">
        <v>4</v>
      </c>
      <c r="F7" s="17" t="s">
        <v>1220</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688</v>
      </c>
      <c r="B8" t="s">
        <v>713</v>
      </c>
      <c r="C8" s="17" t="s">
        <v>714</v>
      </c>
      <c r="D8" s="17">
        <v>2</v>
      </c>
      <c r="F8" s="17" t="s">
        <v>1220</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689</v>
      </c>
      <c r="B9" t="s">
        <v>713</v>
      </c>
      <c r="C9" s="17" t="s">
        <v>972</v>
      </c>
      <c r="D9" s="17">
        <v>2</v>
      </c>
      <c r="F9" s="17" t="s">
        <v>1220</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690</v>
      </c>
      <c r="B10" t="s">
        <v>713</v>
      </c>
      <c r="C10" s="17" t="s">
        <v>955</v>
      </c>
      <c r="D10" s="17">
        <v>6</v>
      </c>
      <c r="F10" s="17" t="s">
        <v>1221</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969</v>
      </c>
      <c r="B11" t="s">
        <v>970</v>
      </c>
      <c r="D11" s="17">
        <v>6</v>
      </c>
      <c r="F11" s="17" t="s">
        <v>1221</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691</v>
      </c>
      <c r="B12" t="s">
        <v>713</v>
      </c>
      <c r="C12" s="17" t="s">
        <v>715</v>
      </c>
      <c r="D12" s="17">
        <v>2</v>
      </c>
      <c r="F12" s="17" t="s">
        <v>1221</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692</v>
      </c>
      <c r="B13" t="s">
        <v>713</v>
      </c>
      <c r="C13" s="17" t="s">
        <v>716</v>
      </c>
      <c r="D13" s="17">
        <v>2</v>
      </c>
      <c r="F13" s="17" t="s">
        <v>1220</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705</v>
      </c>
      <c r="B14" t="s">
        <v>713</v>
      </c>
      <c r="C14" s="17" t="s">
        <v>974</v>
      </c>
      <c r="D14" s="17">
        <v>3</v>
      </c>
      <c r="F14" s="17" t="s">
        <v>1220</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693</v>
      </c>
      <c r="B15" t="s">
        <v>713</v>
      </c>
      <c r="C15" s="17" t="s">
        <v>717</v>
      </c>
      <c r="D15" s="17">
        <v>4</v>
      </c>
      <c r="F15" s="17" t="s">
        <v>1220</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956</v>
      </c>
      <c r="B16" t="s">
        <v>713</v>
      </c>
      <c r="C16" s="17" t="s">
        <v>957</v>
      </c>
      <c r="D16" s="17">
        <v>3</v>
      </c>
      <c r="F16" s="17" t="s">
        <v>1220</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694</v>
      </c>
      <c r="B17" t="s">
        <v>713</v>
      </c>
      <c r="C17" s="17" t="s">
        <v>718</v>
      </c>
      <c r="D17" s="17">
        <v>8</v>
      </c>
      <c r="F17" s="17" t="s">
        <v>1221</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706</v>
      </c>
      <c r="B18" t="s">
        <v>713</v>
      </c>
      <c r="C18" s="17" t="s">
        <v>719</v>
      </c>
      <c r="D18" s="17">
        <v>2</v>
      </c>
      <c r="F18" s="17" t="s">
        <v>1220</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1223</v>
      </c>
      <c r="B19" t="s">
        <v>713</v>
      </c>
      <c r="C19" s="17" t="s">
        <v>720</v>
      </c>
      <c r="D19" s="17">
        <v>4</v>
      </c>
      <c r="F19" s="17" t="s">
        <v>1221</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695</v>
      </c>
      <c r="B20" t="s">
        <v>713</v>
      </c>
      <c r="C20" s="17" t="s">
        <v>721</v>
      </c>
      <c r="D20" s="17">
        <v>8</v>
      </c>
      <c r="F20" s="17" t="s">
        <v>1221</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696</v>
      </c>
      <c r="B21" t="s">
        <v>713</v>
      </c>
      <c r="C21" s="17" t="s">
        <v>722</v>
      </c>
      <c r="D21" s="17">
        <v>16</v>
      </c>
      <c r="F21" s="17" t="s">
        <v>1220</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697</v>
      </c>
      <c r="B22" t="s">
        <v>501</v>
      </c>
      <c r="C22" s="17" t="s">
        <v>723</v>
      </c>
      <c r="D22" s="17">
        <v>2</v>
      </c>
      <c r="F22" s="17" t="s">
        <v>1221</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698</v>
      </c>
      <c r="B23" t="s">
        <v>502</v>
      </c>
      <c r="C23" s="17" t="s">
        <v>724</v>
      </c>
      <c r="D23" s="17">
        <v>2</v>
      </c>
      <c r="F23" s="17" t="s">
        <v>1221</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699</v>
      </c>
      <c r="B24" t="s">
        <v>726</v>
      </c>
      <c r="C24" s="17" t="s">
        <v>725</v>
      </c>
      <c r="D24" s="17">
        <v>2</v>
      </c>
      <c r="F24" s="17" t="s">
        <v>1221</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700</v>
      </c>
      <c r="B25" t="s">
        <v>709</v>
      </c>
      <c r="C25" s="17" t="s">
        <v>727</v>
      </c>
      <c r="D25" s="17">
        <v>2</v>
      </c>
      <c r="F25" s="17" t="s">
        <v>1221</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703</v>
      </c>
      <c r="B26" t="s">
        <v>708</v>
      </c>
      <c r="C26" s="17" t="s">
        <v>728</v>
      </c>
      <c r="D26" s="17">
        <v>2</v>
      </c>
      <c r="F26" s="17" t="s">
        <v>1221</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701</v>
      </c>
      <c r="B27" t="s">
        <v>713</v>
      </c>
      <c r="C27" s="17" t="s">
        <v>729</v>
      </c>
      <c r="D27" s="17">
        <v>2</v>
      </c>
      <c r="F27" s="17" t="s">
        <v>1221</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702</v>
      </c>
      <c r="B28" t="s">
        <v>713</v>
      </c>
      <c r="C28" s="17" t="s">
        <v>730</v>
      </c>
      <c r="D28" s="17">
        <v>2</v>
      </c>
      <c r="F28" s="17" t="s">
        <v>1221</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686</v>
      </c>
      <c r="B29" t="s">
        <v>713</v>
      </c>
      <c r="C29" s="17" t="s">
        <v>731</v>
      </c>
      <c r="D29" s="17">
        <v>2</v>
      </c>
      <c r="F29" s="17" t="s">
        <v>1221</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710</v>
      </c>
      <c r="B30" t="s">
        <v>711</v>
      </c>
      <c r="C30" s="17" t="s">
        <v>732</v>
      </c>
      <c r="D30" s="17">
        <v>2</v>
      </c>
      <c r="F30" s="17" t="s">
        <v>1221</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7"/>
      <c r="C6" s="78"/>
      <c r="D6" s="79"/>
      <c r="E6" s="77"/>
      <c r="F6" s="78"/>
      <c r="G6" s="79"/>
      <c r="H6" s="77"/>
      <c r="I6" s="78"/>
      <c r="J6" s="79"/>
      <c r="K6" s="77"/>
      <c r="L6" s="78"/>
      <c r="M6" s="79"/>
      <c r="N6" s="77"/>
      <c r="O6" s="78"/>
      <c r="P6" s="79"/>
      <c r="BI6" s="67"/>
    </row>
    <row r="7" spans="1:61" x14ac:dyDescent="0.4">
      <c r="A7">
        <f t="shared" si="1"/>
        <v>5</v>
      </c>
      <c r="B7" s="80"/>
      <c r="C7" s="81"/>
      <c r="D7" s="82"/>
      <c r="E7" s="80"/>
      <c r="F7" s="81"/>
      <c r="G7" s="82"/>
      <c r="H7" s="80"/>
      <c r="I7" s="81"/>
      <c r="J7" s="82"/>
      <c r="K7" s="80"/>
      <c r="L7" s="81"/>
      <c r="M7" s="82"/>
      <c r="N7" s="80"/>
      <c r="O7" s="81"/>
      <c r="P7" s="82"/>
      <c r="BI7" s="67"/>
    </row>
    <row r="8" spans="1:61" ht="19.5" thickBot="1" x14ac:dyDescent="0.45">
      <c r="A8">
        <f t="shared" si="1"/>
        <v>6</v>
      </c>
      <c r="B8" s="83"/>
      <c r="C8" s="84"/>
      <c r="D8" s="85"/>
      <c r="E8" s="83"/>
      <c r="F8" s="84"/>
      <c r="G8" s="85"/>
      <c r="H8" s="83"/>
      <c r="I8" s="84"/>
      <c r="J8" s="85"/>
      <c r="K8" s="83"/>
      <c r="L8" s="84"/>
      <c r="M8" s="85"/>
      <c r="N8" s="83"/>
      <c r="O8" s="84"/>
      <c r="P8" s="85"/>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AG2" activePane="bottomRight" state="frozen"/>
      <selection pane="topRight" activeCell="E1" sqref="E1"/>
      <selection pane="bottomLeft" activeCell="A2" sqref="A2"/>
      <selection pane="bottomRight" activeCell="AY1" sqref="AY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515</v>
      </c>
      <c r="B1" t="s">
        <v>1006</v>
      </c>
      <c r="C1" t="s">
        <v>10</v>
      </c>
      <c r="D1" t="s">
        <v>1388</v>
      </c>
      <c r="E1" t="s">
        <v>658</v>
      </c>
      <c r="F1" t="s">
        <v>616</v>
      </c>
      <c r="G1" t="s">
        <v>620</v>
      </c>
      <c r="H1" t="s">
        <v>621</v>
      </c>
      <c r="I1" t="s">
        <v>622</v>
      </c>
      <c r="J1" t="s">
        <v>623</v>
      </c>
      <c r="K1" t="s">
        <v>625</v>
      </c>
      <c r="L1" t="s">
        <v>626</v>
      </c>
      <c r="M1" t="s">
        <v>624</v>
      </c>
      <c r="N1" t="s">
        <v>736</v>
      </c>
      <c r="O1" t="s">
        <v>627</v>
      </c>
      <c r="P1" t="s">
        <v>737</v>
      </c>
      <c r="Q1" s="43" t="s">
        <v>477</v>
      </c>
      <c r="R1" s="43" t="s">
        <v>478</v>
      </c>
      <c r="S1" s="43" t="s">
        <v>479</v>
      </c>
      <c r="T1" s="43" t="s">
        <v>480</v>
      </c>
      <c r="U1" s="42" t="s">
        <v>481</v>
      </c>
      <c r="V1" s="42" t="s">
        <v>482</v>
      </c>
      <c r="W1" s="42" t="s">
        <v>483</v>
      </c>
      <c r="X1" s="44" t="s">
        <v>484</v>
      </c>
      <c r="Y1" s="44" t="s">
        <v>485</v>
      </c>
      <c r="Z1" s="44" t="s">
        <v>486</v>
      </c>
      <c r="AA1" s="44" t="s">
        <v>487</v>
      </c>
      <c r="AB1" s="44" t="s">
        <v>488</v>
      </c>
      <c r="AC1" s="36" t="s">
        <v>489</v>
      </c>
      <c r="AD1" s="36" t="s">
        <v>490</v>
      </c>
      <c r="AE1" s="36" t="s">
        <v>491</v>
      </c>
      <c r="AF1" s="56" t="s">
        <v>910</v>
      </c>
      <c r="AG1" s="56" t="s">
        <v>907</v>
      </c>
      <c r="AH1" t="s">
        <v>911</v>
      </c>
      <c r="AI1" s="36" t="s">
        <v>912</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997</v>
      </c>
      <c r="AX1" s="29" t="s">
        <v>6</v>
      </c>
      <c r="AY1" t="s">
        <v>1570</v>
      </c>
    </row>
    <row r="2" spans="1:51" x14ac:dyDescent="0.4">
      <c r="A2" t="s">
        <v>1039</v>
      </c>
      <c r="B2" t="s">
        <v>999</v>
      </c>
      <c r="C2">
        <v>1</v>
      </c>
      <c r="D2">
        <v>5</v>
      </c>
      <c r="E2" t="s">
        <v>1007</v>
      </c>
      <c r="AY2" t="s">
        <v>1766</v>
      </c>
    </row>
    <row r="3" spans="1:51" outlineLevel="1" x14ac:dyDescent="0.4">
      <c r="A3" t="s">
        <v>1040</v>
      </c>
      <c r="B3" t="s">
        <v>999</v>
      </c>
      <c r="C3">
        <v>1</v>
      </c>
      <c r="D3">
        <v>5</v>
      </c>
      <c r="E3" t="s">
        <v>1008</v>
      </c>
      <c r="AY3" t="s">
        <v>1767</v>
      </c>
    </row>
    <row r="4" spans="1:51" outlineLevel="1" x14ac:dyDescent="0.4">
      <c r="A4" t="s">
        <v>1041</v>
      </c>
      <c r="B4" t="s">
        <v>999</v>
      </c>
      <c r="C4">
        <v>1</v>
      </c>
      <c r="D4">
        <v>5</v>
      </c>
      <c r="E4" t="s">
        <v>1009</v>
      </c>
      <c r="AY4" t="s">
        <v>1768</v>
      </c>
    </row>
    <row r="5" spans="1:51" outlineLevel="1" x14ac:dyDescent="0.4">
      <c r="A5" t="s">
        <v>1042</v>
      </c>
      <c r="B5" t="s">
        <v>999</v>
      </c>
      <c r="C5">
        <v>2</v>
      </c>
      <c r="D5">
        <v>15</v>
      </c>
      <c r="E5" t="s">
        <v>1028</v>
      </c>
      <c r="AY5" t="s">
        <v>1769</v>
      </c>
    </row>
    <row r="6" spans="1:51" outlineLevel="1" x14ac:dyDescent="0.4">
      <c r="A6" t="s">
        <v>1043</v>
      </c>
      <c r="B6" t="s">
        <v>999</v>
      </c>
      <c r="C6">
        <v>2</v>
      </c>
      <c r="D6">
        <v>15</v>
      </c>
      <c r="E6" t="s">
        <v>1029</v>
      </c>
      <c r="AY6" t="s">
        <v>1770</v>
      </c>
    </row>
    <row r="7" spans="1:51" outlineLevel="1" x14ac:dyDescent="0.4">
      <c r="A7" t="s">
        <v>1044</v>
      </c>
      <c r="B7" t="s">
        <v>999</v>
      </c>
      <c r="C7">
        <v>2</v>
      </c>
      <c r="D7">
        <v>15</v>
      </c>
      <c r="E7" t="s">
        <v>1032</v>
      </c>
      <c r="AY7" t="s">
        <v>1771</v>
      </c>
    </row>
    <row r="8" spans="1:51" outlineLevel="1" x14ac:dyDescent="0.4">
      <c r="A8" t="s">
        <v>1045</v>
      </c>
      <c r="B8" t="s">
        <v>999</v>
      </c>
      <c r="C8">
        <v>3</v>
      </c>
      <c r="D8">
        <v>25</v>
      </c>
      <c r="E8" t="s">
        <v>1030</v>
      </c>
      <c r="AY8" t="s">
        <v>1772</v>
      </c>
    </row>
    <row r="9" spans="1:51" outlineLevel="1" x14ac:dyDescent="0.4">
      <c r="A9" t="s">
        <v>1033</v>
      </c>
      <c r="B9" t="s">
        <v>999</v>
      </c>
      <c r="C9">
        <v>3</v>
      </c>
      <c r="D9">
        <v>25</v>
      </c>
      <c r="E9" t="s">
        <v>1035</v>
      </c>
      <c r="AY9" t="s">
        <v>1773</v>
      </c>
    </row>
    <row r="10" spans="1:51" outlineLevel="1" x14ac:dyDescent="0.4">
      <c r="A10" t="s">
        <v>1036</v>
      </c>
      <c r="B10" t="s">
        <v>999</v>
      </c>
      <c r="C10">
        <v>3</v>
      </c>
      <c r="D10">
        <v>25</v>
      </c>
      <c r="E10" t="s">
        <v>1036</v>
      </c>
      <c r="AY10" t="s">
        <v>1774</v>
      </c>
    </row>
    <row r="11" spans="1:51" outlineLevel="1" x14ac:dyDescent="0.4">
      <c r="A11" t="s">
        <v>1046</v>
      </c>
      <c r="B11" t="s">
        <v>999</v>
      </c>
      <c r="C11">
        <v>4</v>
      </c>
      <c r="D11">
        <v>35</v>
      </c>
      <c r="E11" t="s">
        <v>1037</v>
      </c>
      <c r="AY11" t="s">
        <v>1775</v>
      </c>
    </row>
    <row r="12" spans="1:51" outlineLevel="1" x14ac:dyDescent="0.4">
      <c r="A12" t="s">
        <v>1038</v>
      </c>
      <c r="B12" t="s">
        <v>999</v>
      </c>
      <c r="C12">
        <v>4</v>
      </c>
      <c r="D12">
        <v>35</v>
      </c>
      <c r="E12" t="s">
        <v>1031</v>
      </c>
      <c r="AY12" t="s">
        <v>1776</v>
      </c>
    </row>
    <row r="13" spans="1:51" outlineLevel="1" x14ac:dyDescent="0.4">
      <c r="A13" t="s">
        <v>1047</v>
      </c>
      <c r="B13" t="s">
        <v>999</v>
      </c>
      <c r="C13">
        <v>4</v>
      </c>
      <c r="D13">
        <v>35</v>
      </c>
      <c r="E13" t="s">
        <v>1034</v>
      </c>
      <c r="AY13" t="s">
        <v>1777</v>
      </c>
    </row>
    <row r="14" spans="1:51" outlineLevel="1" x14ac:dyDescent="0.4">
      <c r="B14" t="s">
        <v>1000</v>
      </c>
      <c r="C14">
        <f t="shared" ref="C14:C21" si="0">C11+1</f>
        <v>5</v>
      </c>
    </row>
    <row r="15" spans="1:51" outlineLevel="1" x14ac:dyDescent="0.4">
      <c r="B15" t="s">
        <v>1000</v>
      </c>
      <c r="C15">
        <f t="shared" si="0"/>
        <v>5</v>
      </c>
    </row>
    <row r="16" spans="1:51" outlineLevel="1" x14ac:dyDescent="0.4">
      <c r="B16" t="s">
        <v>1000</v>
      </c>
      <c r="C16">
        <f t="shared" si="0"/>
        <v>5</v>
      </c>
    </row>
    <row r="17" spans="1:51" outlineLevel="1" x14ac:dyDescent="0.4">
      <c r="B17" t="s">
        <v>1000</v>
      </c>
      <c r="C17">
        <f t="shared" si="0"/>
        <v>6</v>
      </c>
    </row>
    <row r="18" spans="1:51" outlineLevel="1" x14ac:dyDescent="0.4">
      <c r="B18" t="s">
        <v>1000</v>
      </c>
      <c r="C18">
        <f t="shared" si="0"/>
        <v>6</v>
      </c>
    </row>
    <row r="19" spans="1:51" outlineLevel="1" x14ac:dyDescent="0.4">
      <c r="B19" t="s">
        <v>1000</v>
      </c>
      <c r="C19">
        <f t="shared" si="0"/>
        <v>6</v>
      </c>
    </row>
    <row r="20" spans="1:51" outlineLevel="1" x14ac:dyDescent="0.4">
      <c r="B20" t="s">
        <v>1000</v>
      </c>
      <c r="C20">
        <f t="shared" si="0"/>
        <v>7</v>
      </c>
    </row>
    <row r="21" spans="1:51" outlineLevel="1" x14ac:dyDescent="0.4">
      <c r="B21" t="s">
        <v>1000</v>
      </c>
      <c r="C21">
        <f t="shared" si="0"/>
        <v>7</v>
      </c>
    </row>
    <row r="22" spans="1:51" outlineLevel="1" x14ac:dyDescent="0.4">
      <c r="A22" t="s">
        <v>515</v>
      </c>
      <c r="B22" t="s">
        <v>1006</v>
      </c>
      <c r="C22" t="s">
        <v>10</v>
      </c>
      <c r="E22" t="s">
        <v>658</v>
      </c>
    </row>
    <row r="23" spans="1:51" x14ac:dyDescent="0.4">
      <c r="A23" t="s">
        <v>1100</v>
      </c>
      <c r="B23" t="s">
        <v>103</v>
      </c>
      <c r="C23">
        <v>1</v>
      </c>
      <c r="D23">
        <v>5</v>
      </c>
      <c r="E23" t="s">
        <v>1057</v>
      </c>
      <c r="AY23" t="s">
        <v>1778</v>
      </c>
    </row>
    <row r="24" spans="1:51" outlineLevel="1" x14ac:dyDescent="0.4">
      <c r="A24" t="s">
        <v>1101</v>
      </c>
      <c r="B24" t="s">
        <v>103</v>
      </c>
      <c r="C24">
        <v>1</v>
      </c>
      <c r="D24">
        <v>5</v>
      </c>
      <c r="E24" t="s">
        <v>1048</v>
      </c>
      <c r="AY24" t="s">
        <v>1779</v>
      </c>
    </row>
    <row r="25" spans="1:51" outlineLevel="1" x14ac:dyDescent="0.4">
      <c r="A25" t="s">
        <v>1102</v>
      </c>
      <c r="B25" t="s">
        <v>103</v>
      </c>
      <c r="C25">
        <v>1</v>
      </c>
      <c r="D25">
        <v>5</v>
      </c>
      <c r="E25" t="s">
        <v>1010</v>
      </c>
      <c r="AY25" t="s">
        <v>1780</v>
      </c>
    </row>
    <row r="26" spans="1:51" outlineLevel="1" x14ac:dyDescent="0.4">
      <c r="A26" t="s">
        <v>1103</v>
      </c>
      <c r="B26" t="s">
        <v>103</v>
      </c>
      <c r="C26">
        <v>2</v>
      </c>
      <c r="D26">
        <v>15</v>
      </c>
      <c r="E26" t="s">
        <v>1051</v>
      </c>
      <c r="AY26" t="s">
        <v>1781</v>
      </c>
    </row>
    <row r="27" spans="1:51" outlineLevel="1" x14ac:dyDescent="0.4">
      <c r="A27" t="s">
        <v>1104</v>
      </c>
      <c r="B27" t="s">
        <v>103</v>
      </c>
      <c r="C27">
        <v>2</v>
      </c>
      <c r="D27">
        <v>15</v>
      </c>
      <c r="E27" t="s">
        <v>1052</v>
      </c>
      <c r="AY27" t="s">
        <v>1782</v>
      </c>
    </row>
    <row r="28" spans="1:51" outlineLevel="1" x14ac:dyDescent="0.4">
      <c r="A28" t="s">
        <v>1105</v>
      </c>
      <c r="B28" t="s">
        <v>103</v>
      </c>
      <c r="C28">
        <v>2</v>
      </c>
      <c r="D28">
        <v>15</v>
      </c>
      <c r="E28" t="s">
        <v>1053</v>
      </c>
      <c r="AY28" t="s">
        <v>1783</v>
      </c>
    </row>
    <row r="29" spans="1:51" outlineLevel="1" x14ac:dyDescent="0.4">
      <c r="A29" t="s">
        <v>1106</v>
      </c>
      <c r="B29" t="s">
        <v>103</v>
      </c>
      <c r="C29">
        <v>3</v>
      </c>
      <c r="D29">
        <v>25</v>
      </c>
      <c r="E29" t="s">
        <v>1107</v>
      </c>
      <c r="AY29" t="s">
        <v>1784</v>
      </c>
    </row>
    <row r="30" spans="1:51" outlineLevel="1" x14ac:dyDescent="0.4">
      <c r="A30" t="s">
        <v>1108</v>
      </c>
      <c r="B30" t="s">
        <v>103</v>
      </c>
      <c r="C30">
        <v>3</v>
      </c>
      <c r="D30">
        <v>25</v>
      </c>
      <c r="E30" t="s">
        <v>1014</v>
      </c>
      <c r="AY30" t="s">
        <v>1785</v>
      </c>
    </row>
    <row r="31" spans="1:51" outlineLevel="1" x14ac:dyDescent="0.4">
      <c r="A31" t="s">
        <v>1049</v>
      </c>
      <c r="B31" t="s">
        <v>103</v>
      </c>
      <c r="C31">
        <v>3</v>
      </c>
      <c r="D31">
        <v>25</v>
      </c>
      <c r="E31" t="s">
        <v>1055</v>
      </c>
      <c r="AY31" t="s">
        <v>1786</v>
      </c>
    </row>
    <row r="32" spans="1:51" outlineLevel="1" x14ac:dyDescent="0.4">
      <c r="A32" t="s">
        <v>1109</v>
      </c>
      <c r="B32" t="s">
        <v>103</v>
      </c>
      <c r="C32">
        <v>4</v>
      </c>
      <c r="D32">
        <v>35</v>
      </c>
      <c r="E32" t="s">
        <v>1110</v>
      </c>
      <c r="AY32" t="s">
        <v>1787</v>
      </c>
    </row>
    <row r="33" spans="1:51" outlineLevel="1" x14ac:dyDescent="0.4">
      <c r="A33" t="s">
        <v>1111</v>
      </c>
      <c r="B33" t="s">
        <v>103</v>
      </c>
      <c r="C33">
        <v>4</v>
      </c>
      <c r="D33">
        <v>35</v>
      </c>
      <c r="E33" t="s">
        <v>1064</v>
      </c>
      <c r="AY33" t="s">
        <v>1788</v>
      </c>
    </row>
    <row r="34" spans="1:51" outlineLevel="1" x14ac:dyDescent="0.4">
      <c r="A34" t="s">
        <v>1054</v>
      </c>
      <c r="B34" t="s">
        <v>103</v>
      </c>
      <c r="C34">
        <v>4</v>
      </c>
      <c r="D34">
        <v>35</v>
      </c>
      <c r="E34" t="s">
        <v>1056</v>
      </c>
      <c r="AY34" t="s">
        <v>1789</v>
      </c>
    </row>
    <row r="35" spans="1:51" outlineLevel="1" x14ac:dyDescent="0.4">
      <c r="B35" t="s">
        <v>1001</v>
      </c>
      <c r="C35">
        <f t="shared" ref="C35:C42" si="1">C32+1</f>
        <v>5</v>
      </c>
    </row>
    <row r="36" spans="1:51" outlineLevel="1" x14ac:dyDescent="0.4">
      <c r="B36" t="s">
        <v>1001</v>
      </c>
      <c r="C36">
        <f t="shared" si="1"/>
        <v>5</v>
      </c>
    </row>
    <row r="37" spans="1:51" outlineLevel="1" x14ac:dyDescent="0.4">
      <c r="B37" t="s">
        <v>1001</v>
      </c>
      <c r="C37">
        <f t="shared" si="1"/>
        <v>5</v>
      </c>
    </row>
    <row r="38" spans="1:51" outlineLevel="1" x14ac:dyDescent="0.4">
      <c r="B38" t="s">
        <v>1001</v>
      </c>
      <c r="C38">
        <f t="shared" si="1"/>
        <v>6</v>
      </c>
    </row>
    <row r="39" spans="1:51" outlineLevel="1" x14ac:dyDescent="0.4">
      <c r="B39" t="s">
        <v>1001</v>
      </c>
      <c r="C39">
        <f t="shared" si="1"/>
        <v>6</v>
      </c>
    </row>
    <row r="40" spans="1:51" outlineLevel="1" x14ac:dyDescent="0.4">
      <c r="B40" t="s">
        <v>1001</v>
      </c>
      <c r="C40">
        <f t="shared" si="1"/>
        <v>6</v>
      </c>
    </row>
    <row r="41" spans="1:51" outlineLevel="1" x14ac:dyDescent="0.4">
      <c r="B41" t="s">
        <v>1001</v>
      </c>
      <c r="C41">
        <f t="shared" si="1"/>
        <v>7</v>
      </c>
    </row>
    <row r="42" spans="1:51" outlineLevel="1" x14ac:dyDescent="0.4">
      <c r="B42" t="s">
        <v>1001</v>
      </c>
      <c r="C42">
        <f t="shared" si="1"/>
        <v>7</v>
      </c>
    </row>
    <row r="43" spans="1:51" outlineLevel="1" x14ac:dyDescent="0.4">
      <c r="A43" t="s">
        <v>515</v>
      </c>
      <c r="B43" t="s">
        <v>1006</v>
      </c>
      <c r="C43" t="s">
        <v>10</v>
      </c>
      <c r="E43" t="s">
        <v>658</v>
      </c>
    </row>
    <row r="44" spans="1:51" x14ac:dyDescent="0.4">
      <c r="A44" t="s">
        <v>1112</v>
      </c>
      <c r="B44" t="s">
        <v>6</v>
      </c>
      <c r="C44">
        <v>1</v>
      </c>
      <c r="D44">
        <v>5</v>
      </c>
      <c r="E44" t="s">
        <v>1015</v>
      </c>
      <c r="AY44" t="s">
        <v>1790</v>
      </c>
    </row>
    <row r="45" spans="1:51" outlineLevel="1" x14ac:dyDescent="0.4">
      <c r="A45" t="s">
        <v>1113</v>
      </c>
      <c r="B45" t="s">
        <v>6</v>
      </c>
      <c r="C45">
        <v>1</v>
      </c>
      <c r="D45">
        <v>5</v>
      </c>
      <c r="E45" t="s">
        <v>1061</v>
      </c>
      <c r="AY45" t="s">
        <v>1791</v>
      </c>
    </row>
    <row r="46" spans="1:51" outlineLevel="1" x14ac:dyDescent="0.4">
      <c r="A46" t="s">
        <v>1114</v>
      </c>
      <c r="B46" t="s">
        <v>6</v>
      </c>
      <c r="C46">
        <v>1</v>
      </c>
      <c r="D46">
        <v>5</v>
      </c>
      <c r="E46" t="s">
        <v>1011</v>
      </c>
      <c r="AY46" t="s">
        <v>1792</v>
      </c>
    </row>
    <row r="47" spans="1:51" outlineLevel="1" x14ac:dyDescent="0.4">
      <c r="A47" t="s">
        <v>1115</v>
      </c>
      <c r="B47" t="s">
        <v>6</v>
      </c>
      <c r="C47">
        <v>2</v>
      </c>
      <c r="D47">
        <v>15</v>
      </c>
      <c r="E47" t="s">
        <v>1058</v>
      </c>
      <c r="AY47" t="s">
        <v>1793</v>
      </c>
    </row>
    <row r="48" spans="1:51" outlineLevel="1" x14ac:dyDescent="0.4">
      <c r="A48" t="s">
        <v>1116</v>
      </c>
      <c r="B48" t="s">
        <v>6</v>
      </c>
      <c r="C48">
        <v>2</v>
      </c>
      <c r="D48">
        <v>15</v>
      </c>
      <c r="E48" t="s">
        <v>1062</v>
      </c>
      <c r="AY48" t="s">
        <v>1794</v>
      </c>
    </row>
    <row r="49" spans="1:51" outlineLevel="1" x14ac:dyDescent="0.4">
      <c r="A49" t="s">
        <v>1117</v>
      </c>
      <c r="B49" t="s">
        <v>6</v>
      </c>
      <c r="C49">
        <v>2</v>
      </c>
      <c r="D49">
        <v>15</v>
      </c>
      <c r="E49" t="s">
        <v>1053</v>
      </c>
      <c r="AY49" t="s">
        <v>1795</v>
      </c>
    </row>
    <row r="50" spans="1:51" outlineLevel="1" x14ac:dyDescent="0.4">
      <c r="A50" t="s">
        <v>1118</v>
      </c>
      <c r="B50" t="s">
        <v>6</v>
      </c>
      <c r="C50">
        <v>3</v>
      </c>
      <c r="D50">
        <v>25</v>
      </c>
      <c r="E50" t="s">
        <v>1107</v>
      </c>
      <c r="AY50" t="s">
        <v>1796</v>
      </c>
    </row>
    <row r="51" spans="1:51" outlineLevel="1" x14ac:dyDescent="0.4">
      <c r="A51" t="s">
        <v>1119</v>
      </c>
      <c r="B51" t="s">
        <v>6</v>
      </c>
      <c r="C51">
        <v>3</v>
      </c>
      <c r="D51">
        <v>25</v>
      </c>
      <c r="E51" t="s">
        <v>1063</v>
      </c>
      <c r="AY51" t="s">
        <v>1797</v>
      </c>
    </row>
    <row r="52" spans="1:51" outlineLevel="1" x14ac:dyDescent="0.4">
      <c r="A52" t="s">
        <v>1050</v>
      </c>
      <c r="B52" t="s">
        <v>6</v>
      </c>
      <c r="C52">
        <v>3</v>
      </c>
      <c r="D52">
        <v>25</v>
      </c>
      <c r="E52" t="s">
        <v>1059</v>
      </c>
      <c r="AY52" t="s">
        <v>1798</v>
      </c>
    </row>
    <row r="53" spans="1:51" outlineLevel="1" x14ac:dyDescent="0.4">
      <c r="A53" t="s">
        <v>1120</v>
      </c>
      <c r="B53" t="s">
        <v>6</v>
      </c>
      <c r="C53">
        <v>4</v>
      </c>
      <c r="D53">
        <v>35</v>
      </c>
      <c r="E53" t="s">
        <v>1064</v>
      </c>
      <c r="AY53" t="s">
        <v>1799</v>
      </c>
    </row>
    <row r="54" spans="1:51" outlineLevel="1" x14ac:dyDescent="0.4">
      <c r="A54" t="s">
        <v>1121</v>
      </c>
      <c r="B54" t="s">
        <v>6</v>
      </c>
      <c r="C54">
        <v>4</v>
      </c>
      <c r="D54">
        <v>35</v>
      </c>
      <c r="E54" t="s">
        <v>1122</v>
      </c>
      <c r="AY54" t="s">
        <v>1800</v>
      </c>
    </row>
    <row r="55" spans="1:51" outlineLevel="1" x14ac:dyDescent="0.4">
      <c r="A55" t="s">
        <v>1123</v>
      </c>
      <c r="B55" t="s">
        <v>6</v>
      </c>
      <c r="C55">
        <v>4</v>
      </c>
      <c r="D55">
        <v>35</v>
      </c>
      <c r="E55" t="s">
        <v>1060</v>
      </c>
      <c r="AY55" t="s">
        <v>1801</v>
      </c>
    </row>
    <row r="56" spans="1:51" outlineLevel="1" x14ac:dyDescent="0.4">
      <c r="B56" t="s">
        <v>1002</v>
      </c>
      <c r="C56">
        <f t="shared" ref="C56:C64" si="2">C53+1</f>
        <v>5</v>
      </c>
    </row>
    <row r="57" spans="1:51" outlineLevel="1" x14ac:dyDescent="0.4">
      <c r="B57" t="s">
        <v>1002</v>
      </c>
      <c r="C57">
        <f t="shared" si="2"/>
        <v>5</v>
      </c>
    </row>
    <row r="58" spans="1:51" outlineLevel="1" x14ac:dyDescent="0.4">
      <c r="B58" t="s">
        <v>1002</v>
      </c>
      <c r="C58">
        <f t="shared" si="2"/>
        <v>5</v>
      </c>
    </row>
    <row r="59" spans="1:51" outlineLevel="1" x14ac:dyDescent="0.4">
      <c r="B59" t="s">
        <v>1002</v>
      </c>
      <c r="C59">
        <f t="shared" si="2"/>
        <v>6</v>
      </c>
    </row>
    <row r="60" spans="1:51" outlineLevel="1" x14ac:dyDescent="0.4">
      <c r="B60" t="s">
        <v>1002</v>
      </c>
      <c r="C60">
        <f t="shared" si="2"/>
        <v>6</v>
      </c>
    </row>
    <row r="61" spans="1:51" outlineLevel="1" x14ac:dyDescent="0.4">
      <c r="B61" t="s">
        <v>1002</v>
      </c>
      <c r="C61">
        <f t="shared" si="2"/>
        <v>6</v>
      </c>
    </row>
    <row r="62" spans="1:51" outlineLevel="1" x14ac:dyDescent="0.4">
      <c r="B62" t="s">
        <v>1002</v>
      </c>
      <c r="C62">
        <f t="shared" si="2"/>
        <v>7</v>
      </c>
    </row>
    <row r="63" spans="1:51" outlineLevel="1" x14ac:dyDescent="0.4">
      <c r="B63" t="s">
        <v>1002</v>
      </c>
      <c r="C63">
        <f t="shared" si="2"/>
        <v>7</v>
      </c>
    </row>
    <row r="64" spans="1:51" outlineLevel="1" x14ac:dyDescent="0.4">
      <c r="B64" t="s">
        <v>1002</v>
      </c>
      <c r="C64">
        <f t="shared" si="2"/>
        <v>7</v>
      </c>
    </row>
    <row r="65" spans="1:51" x14ac:dyDescent="0.4">
      <c r="A65" t="s">
        <v>1088</v>
      </c>
      <c r="B65" t="s">
        <v>659</v>
      </c>
      <c r="C65">
        <v>1</v>
      </c>
      <c r="D65">
        <v>5</v>
      </c>
      <c r="E65" t="s">
        <v>1016</v>
      </c>
      <c r="AY65" t="s">
        <v>1802</v>
      </c>
    </row>
    <row r="66" spans="1:51" outlineLevel="1" x14ac:dyDescent="0.4">
      <c r="A66" t="s">
        <v>1089</v>
      </c>
      <c r="B66" t="s">
        <v>659</v>
      </c>
      <c r="C66">
        <v>1</v>
      </c>
      <c r="D66">
        <v>5</v>
      </c>
      <c r="E66" t="s">
        <v>1022</v>
      </c>
      <c r="AY66" t="s">
        <v>1803</v>
      </c>
    </row>
    <row r="67" spans="1:51" outlineLevel="1" x14ac:dyDescent="0.4">
      <c r="A67" t="s">
        <v>1090</v>
      </c>
      <c r="B67" t="s">
        <v>659</v>
      </c>
      <c r="C67">
        <v>1</v>
      </c>
      <c r="D67">
        <v>5</v>
      </c>
      <c r="E67" t="s">
        <v>1012</v>
      </c>
      <c r="AY67" t="s">
        <v>1804</v>
      </c>
    </row>
    <row r="68" spans="1:51" outlineLevel="1" x14ac:dyDescent="0.4">
      <c r="A68" t="s">
        <v>1091</v>
      </c>
      <c r="B68" t="s">
        <v>659</v>
      </c>
      <c r="C68">
        <v>2</v>
      </c>
      <c r="D68">
        <v>15</v>
      </c>
      <c r="E68" t="s">
        <v>1018</v>
      </c>
      <c r="AY68" t="s">
        <v>1805</v>
      </c>
    </row>
    <row r="69" spans="1:51" outlineLevel="1" x14ac:dyDescent="0.4">
      <c r="A69" t="s">
        <v>1092</v>
      </c>
      <c r="B69" t="s">
        <v>659</v>
      </c>
      <c r="C69">
        <v>2</v>
      </c>
      <c r="D69">
        <v>15</v>
      </c>
      <c r="E69" t="s">
        <v>1019</v>
      </c>
      <c r="AY69" t="s">
        <v>1806</v>
      </c>
    </row>
    <row r="70" spans="1:51" outlineLevel="1" x14ac:dyDescent="0.4">
      <c r="A70" t="s">
        <v>1093</v>
      </c>
      <c r="B70" t="s">
        <v>659</v>
      </c>
      <c r="C70">
        <v>2</v>
      </c>
      <c r="D70">
        <v>15</v>
      </c>
      <c r="E70" t="s">
        <v>1023</v>
      </c>
      <c r="AY70" t="s">
        <v>1807</v>
      </c>
    </row>
    <row r="71" spans="1:51" outlineLevel="1" x14ac:dyDescent="0.4">
      <c r="A71" t="s">
        <v>1094</v>
      </c>
      <c r="B71" t="s">
        <v>659</v>
      </c>
      <c r="C71">
        <v>3</v>
      </c>
      <c r="D71">
        <v>25</v>
      </c>
      <c r="E71" t="s">
        <v>1022</v>
      </c>
      <c r="AY71" t="s">
        <v>1808</v>
      </c>
    </row>
    <row r="72" spans="1:51" outlineLevel="1" x14ac:dyDescent="0.4">
      <c r="A72" t="s">
        <v>1095</v>
      </c>
      <c r="B72" t="s">
        <v>659</v>
      </c>
      <c r="C72">
        <v>3</v>
      </c>
      <c r="D72">
        <v>25</v>
      </c>
      <c r="E72" t="s">
        <v>1025</v>
      </c>
      <c r="AY72" t="s">
        <v>1809</v>
      </c>
    </row>
    <row r="73" spans="1:51" outlineLevel="1" x14ac:dyDescent="0.4">
      <c r="A73" t="s">
        <v>1096</v>
      </c>
      <c r="B73" t="s">
        <v>659</v>
      </c>
      <c r="C73">
        <v>3</v>
      </c>
      <c r="D73">
        <v>25</v>
      </c>
      <c r="E73" t="s">
        <v>1020</v>
      </c>
      <c r="AY73" t="s">
        <v>1810</v>
      </c>
    </row>
    <row r="74" spans="1:51" outlineLevel="1" x14ac:dyDescent="0.4">
      <c r="A74" t="s">
        <v>1097</v>
      </c>
      <c r="B74" t="s">
        <v>659</v>
      </c>
      <c r="C74">
        <v>4</v>
      </c>
      <c r="D74">
        <v>35</v>
      </c>
      <c r="E74" t="s">
        <v>1024</v>
      </c>
      <c r="AY74" t="s">
        <v>1811</v>
      </c>
    </row>
    <row r="75" spans="1:51" outlineLevel="1" x14ac:dyDescent="0.4">
      <c r="A75" t="s">
        <v>1098</v>
      </c>
      <c r="B75" t="s">
        <v>659</v>
      </c>
      <c r="C75">
        <v>4</v>
      </c>
      <c r="D75">
        <v>35</v>
      </c>
      <c r="E75" t="s">
        <v>1027</v>
      </c>
      <c r="AY75" t="s">
        <v>1812</v>
      </c>
    </row>
    <row r="76" spans="1:51" outlineLevel="1" x14ac:dyDescent="0.4">
      <c r="A76" t="s">
        <v>1099</v>
      </c>
      <c r="B76" t="s">
        <v>659</v>
      </c>
      <c r="C76">
        <v>4</v>
      </c>
      <c r="D76">
        <v>35</v>
      </c>
      <c r="E76" t="s">
        <v>1026</v>
      </c>
      <c r="AY76" t="s">
        <v>1813</v>
      </c>
    </row>
    <row r="77" spans="1:51" outlineLevel="1" x14ac:dyDescent="0.4">
      <c r="B77" t="s">
        <v>1003</v>
      </c>
      <c r="C77">
        <f t="shared" ref="C77:C85" si="3">C74+1</f>
        <v>5</v>
      </c>
    </row>
    <row r="78" spans="1:51" outlineLevel="1" x14ac:dyDescent="0.4">
      <c r="B78" t="s">
        <v>1003</v>
      </c>
      <c r="C78">
        <f t="shared" si="3"/>
        <v>5</v>
      </c>
    </row>
    <row r="79" spans="1:51" outlineLevel="1" x14ac:dyDescent="0.4">
      <c r="B79" t="s">
        <v>1003</v>
      </c>
      <c r="C79">
        <f t="shared" si="3"/>
        <v>5</v>
      </c>
    </row>
    <row r="80" spans="1:51" outlineLevel="1" x14ac:dyDescent="0.4">
      <c r="B80" t="s">
        <v>1003</v>
      </c>
      <c r="C80">
        <f t="shared" si="3"/>
        <v>6</v>
      </c>
    </row>
    <row r="81" spans="1:51" outlineLevel="1" x14ac:dyDescent="0.4">
      <c r="B81" t="s">
        <v>1003</v>
      </c>
      <c r="C81">
        <f t="shared" si="3"/>
        <v>6</v>
      </c>
    </row>
    <row r="82" spans="1:51" outlineLevel="1" x14ac:dyDescent="0.4">
      <c r="B82" t="s">
        <v>1003</v>
      </c>
      <c r="C82">
        <f t="shared" si="3"/>
        <v>6</v>
      </c>
    </row>
    <row r="83" spans="1:51" outlineLevel="1" x14ac:dyDescent="0.4">
      <c r="B83" t="s">
        <v>1003</v>
      </c>
      <c r="C83">
        <f t="shared" si="3"/>
        <v>7</v>
      </c>
    </row>
    <row r="84" spans="1:51" outlineLevel="1" x14ac:dyDescent="0.4">
      <c r="B84" t="s">
        <v>1003</v>
      </c>
      <c r="C84">
        <f t="shared" si="3"/>
        <v>7</v>
      </c>
    </row>
    <row r="85" spans="1:51" outlineLevel="1" x14ac:dyDescent="0.4">
      <c r="B85" t="s">
        <v>1003</v>
      </c>
      <c r="C85">
        <f t="shared" si="3"/>
        <v>7</v>
      </c>
    </row>
    <row r="86" spans="1:51" outlineLevel="1" x14ac:dyDescent="0.4">
      <c r="A86" t="s">
        <v>1071</v>
      </c>
      <c r="B86" t="s">
        <v>1004</v>
      </c>
      <c r="C86">
        <v>1</v>
      </c>
      <c r="D86">
        <v>5</v>
      </c>
      <c r="E86" t="s">
        <v>1017</v>
      </c>
      <c r="AY86" t="s">
        <v>1814</v>
      </c>
    </row>
    <row r="87" spans="1:51" x14ac:dyDescent="0.4">
      <c r="A87" t="s">
        <v>1072</v>
      </c>
      <c r="B87" t="s">
        <v>1004</v>
      </c>
      <c r="C87">
        <v>1</v>
      </c>
      <c r="D87">
        <v>5</v>
      </c>
      <c r="E87" t="s">
        <v>1065</v>
      </c>
      <c r="AY87" t="s">
        <v>1815</v>
      </c>
    </row>
    <row r="88" spans="1:51" outlineLevel="1" x14ac:dyDescent="0.4">
      <c r="A88" t="s">
        <v>1073</v>
      </c>
      <c r="B88" t="s">
        <v>1004</v>
      </c>
      <c r="C88">
        <v>1</v>
      </c>
      <c r="D88">
        <v>5</v>
      </c>
      <c r="E88" t="s">
        <v>1013</v>
      </c>
      <c r="AY88" t="s">
        <v>1816</v>
      </c>
    </row>
    <row r="89" spans="1:51" outlineLevel="1" x14ac:dyDescent="0.4">
      <c r="A89" t="s">
        <v>1074</v>
      </c>
      <c r="B89" t="s">
        <v>1004</v>
      </c>
      <c r="C89">
        <v>2</v>
      </c>
      <c r="D89">
        <v>15</v>
      </c>
      <c r="E89" t="s">
        <v>1075</v>
      </c>
      <c r="AY89" t="s">
        <v>1817</v>
      </c>
    </row>
    <row r="90" spans="1:51" outlineLevel="1" x14ac:dyDescent="0.4">
      <c r="A90" t="s">
        <v>1076</v>
      </c>
      <c r="B90" t="s">
        <v>1004</v>
      </c>
      <c r="C90">
        <v>2</v>
      </c>
      <c r="D90">
        <v>15</v>
      </c>
      <c r="E90" t="s">
        <v>1067</v>
      </c>
      <c r="AY90" t="s">
        <v>1818</v>
      </c>
    </row>
    <row r="91" spans="1:51" outlineLevel="1" x14ac:dyDescent="0.4">
      <c r="A91" t="s">
        <v>1077</v>
      </c>
      <c r="B91" t="s">
        <v>1004</v>
      </c>
      <c r="C91">
        <v>2</v>
      </c>
      <c r="D91">
        <v>15</v>
      </c>
      <c r="E91" t="s">
        <v>1078</v>
      </c>
      <c r="AY91" t="s">
        <v>1819</v>
      </c>
    </row>
    <row r="92" spans="1:51" outlineLevel="1" x14ac:dyDescent="0.4">
      <c r="A92" t="s">
        <v>1066</v>
      </c>
      <c r="B92" t="s">
        <v>1004</v>
      </c>
      <c r="C92">
        <v>3</v>
      </c>
      <c r="D92">
        <v>25</v>
      </c>
      <c r="E92" t="s">
        <v>1079</v>
      </c>
      <c r="AY92" t="s">
        <v>1820</v>
      </c>
    </row>
    <row r="93" spans="1:51" outlineLevel="1" x14ac:dyDescent="0.4">
      <c r="A93" t="s">
        <v>1068</v>
      </c>
      <c r="B93" t="s">
        <v>1004</v>
      </c>
      <c r="C93">
        <v>3</v>
      </c>
      <c r="D93">
        <v>25</v>
      </c>
      <c r="E93" t="s">
        <v>1069</v>
      </c>
      <c r="AY93" t="s">
        <v>1821</v>
      </c>
    </row>
    <row r="94" spans="1:51" outlineLevel="1" x14ac:dyDescent="0.4">
      <c r="A94" t="s">
        <v>1080</v>
      </c>
      <c r="B94" t="s">
        <v>1004</v>
      </c>
      <c r="C94">
        <v>3</v>
      </c>
      <c r="D94">
        <v>25</v>
      </c>
      <c r="E94" t="s">
        <v>1081</v>
      </c>
      <c r="AY94" t="s">
        <v>1822</v>
      </c>
    </row>
    <row r="95" spans="1:51" outlineLevel="1" x14ac:dyDescent="0.4">
      <c r="A95" t="s">
        <v>1082</v>
      </c>
      <c r="B95" t="s">
        <v>1004</v>
      </c>
      <c r="C95">
        <v>4</v>
      </c>
      <c r="D95">
        <v>35</v>
      </c>
      <c r="E95" t="s">
        <v>1083</v>
      </c>
      <c r="AY95" t="s">
        <v>1823</v>
      </c>
    </row>
    <row r="96" spans="1:51" outlineLevel="1" x14ac:dyDescent="0.4">
      <c r="A96" t="s">
        <v>1084</v>
      </c>
      <c r="B96" t="s">
        <v>1004</v>
      </c>
      <c r="C96">
        <v>4</v>
      </c>
      <c r="D96">
        <v>35</v>
      </c>
      <c r="E96" t="s">
        <v>1085</v>
      </c>
      <c r="AY96" t="s">
        <v>1824</v>
      </c>
    </row>
    <row r="97" spans="1:51" outlineLevel="1" x14ac:dyDescent="0.4">
      <c r="A97" t="s">
        <v>1086</v>
      </c>
      <c r="B97" t="s">
        <v>1004</v>
      </c>
      <c r="C97">
        <v>4</v>
      </c>
      <c r="D97">
        <v>35</v>
      </c>
      <c r="E97" t="s">
        <v>1087</v>
      </c>
      <c r="AY97" t="s">
        <v>1825</v>
      </c>
    </row>
    <row r="98" spans="1:51" outlineLevel="1" x14ac:dyDescent="0.4">
      <c r="B98" t="s">
        <v>1005</v>
      </c>
      <c r="C98">
        <f t="shared" ref="C98:C106" si="4">C95+1</f>
        <v>5</v>
      </c>
    </row>
    <row r="99" spans="1:51" outlineLevel="1" x14ac:dyDescent="0.4">
      <c r="B99" t="s">
        <v>1005</v>
      </c>
      <c r="C99">
        <f t="shared" si="4"/>
        <v>5</v>
      </c>
    </row>
    <row r="100" spans="1:51" outlineLevel="1" x14ac:dyDescent="0.4">
      <c r="B100" t="s">
        <v>1005</v>
      </c>
      <c r="C100">
        <f t="shared" si="4"/>
        <v>5</v>
      </c>
    </row>
    <row r="101" spans="1:51" outlineLevel="1" x14ac:dyDescent="0.4">
      <c r="B101" t="s">
        <v>1005</v>
      </c>
      <c r="C101">
        <f t="shared" si="4"/>
        <v>6</v>
      </c>
    </row>
    <row r="102" spans="1:51" outlineLevel="1" x14ac:dyDescent="0.4">
      <c r="B102" t="s">
        <v>1005</v>
      </c>
      <c r="C102">
        <f t="shared" si="4"/>
        <v>6</v>
      </c>
    </row>
    <row r="103" spans="1:51" outlineLevel="1" x14ac:dyDescent="0.4">
      <c r="B103" t="s">
        <v>1005</v>
      </c>
      <c r="C103">
        <f t="shared" si="4"/>
        <v>6</v>
      </c>
    </row>
    <row r="104" spans="1:51" outlineLevel="1" x14ac:dyDescent="0.4">
      <c r="B104" t="s">
        <v>1005</v>
      </c>
      <c r="C104">
        <f t="shared" si="4"/>
        <v>7</v>
      </c>
    </row>
    <row r="105" spans="1:51" outlineLevel="1" x14ac:dyDescent="0.4">
      <c r="B105" t="s">
        <v>1005</v>
      </c>
      <c r="C105">
        <f t="shared" si="4"/>
        <v>7</v>
      </c>
    </row>
    <row r="106" spans="1:51" outlineLevel="1" x14ac:dyDescent="0.4">
      <c r="B106" t="s">
        <v>1005</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958</v>
      </c>
      <c r="B1" s="10" t="s">
        <v>9</v>
      </c>
      <c r="C1" s="3" t="s">
        <v>1138</v>
      </c>
      <c r="D1" s="4" t="s">
        <v>1139</v>
      </c>
      <c r="E1" s="4" t="s">
        <v>965</v>
      </c>
      <c r="F1" s="5" t="s">
        <v>962</v>
      </c>
      <c r="G1" s="18" t="s">
        <v>618</v>
      </c>
      <c r="H1" s="21" t="s">
        <v>619</v>
      </c>
      <c r="I1" s="18" t="s">
        <v>617</v>
      </c>
      <c r="J1" s="21" t="s">
        <v>963</v>
      </c>
      <c r="K1" s="21" t="s">
        <v>1173</v>
      </c>
      <c r="L1" s="38"/>
      <c r="M1" s="37" t="s">
        <v>215</v>
      </c>
      <c r="N1" s="37" t="s">
        <v>314</v>
      </c>
      <c r="O1" s="37" t="s">
        <v>175</v>
      </c>
      <c r="P1" s="37" t="s">
        <v>146</v>
      </c>
      <c r="Q1" s="37" t="s">
        <v>176</v>
      </c>
      <c r="R1" s="37" t="s">
        <v>669</v>
      </c>
      <c r="S1" s="37" t="s">
        <v>147</v>
      </c>
      <c r="T1" s="37" t="s">
        <v>148</v>
      </c>
      <c r="U1" s="37" t="s">
        <v>149</v>
      </c>
      <c r="V1" s="37" t="s">
        <v>150</v>
      </c>
      <c r="W1" s="37" t="s">
        <v>136</v>
      </c>
      <c r="X1" s="37" t="s">
        <v>151</v>
      </c>
      <c r="Y1" s="37" t="s">
        <v>18</v>
      </c>
      <c r="Z1" s="37" t="s">
        <v>323</v>
      </c>
      <c r="AA1" s="37" t="s">
        <v>139</v>
      </c>
      <c r="AB1" s="37" t="s">
        <v>111</v>
      </c>
      <c r="AC1" s="37" t="s">
        <v>152</v>
      </c>
      <c r="AD1" s="37" t="s">
        <v>153</v>
      </c>
      <c r="AE1" s="37" t="s">
        <v>154</v>
      </c>
      <c r="AF1" s="37" t="s">
        <v>155</v>
      </c>
      <c r="AG1" s="22" t="s">
        <v>11</v>
      </c>
      <c r="AH1" s="22" t="s">
        <v>1233</v>
      </c>
      <c r="AI1" s="22" t="s">
        <v>1234</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997</v>
      </c>
      <c r="BE1" s="29" t="s">
        <v>6</v>
      </c>
      <c r="BF1" s="20" t="s">
        <v>145</v>
      </c>
      <c r="BG1" s="20" t="s">
        <v>177</v>
      </c>
      <c r="BH1" s="20" t="s">
        <v>670</v>
      </c>
      <c r="BI1" s="20" t="s">
        <v>1227</v>
      </c>
      <c r="BJ1" s="20" t="s">
        <v>1228</v>
      </c>
      <c r="BK1" s="20" t="s">
        <v>1229</v>
      </c>
      <c r="BL1" s="20" t="s">
        <v>132</v>
      </c>
      <c r="BM1" s="20" t="s">
        <v>133</v>
      </c>
      <c r="BN1" s="20" t="s">
        <v>134</v>
      </c>
      <c r="BO1" s="20" t="s">
        <v>135</v>
      </c>
      <c r="BP1" s="20" t="s">
        <v>137</v>
      </c>
      <c r="BQ1" s="20" t="s">
        <v>138</v>
      </c>
      <c r="BR1" s="20" t="s">
        <v>140</v>
      </c>
      <c r="BS1" s="20" t="s">
        <v>322</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822</v>
      </c>
    </row>
    <row r="2" spans="1:88" s="10" customFormat="1" ht="36" x14ac:dyDescent="0.4">
      <c r="B2" s="10" t="s">
        <v>1140</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1141</v>
      </c>
      <c r="C3" t="s">
        <v>921</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1142</v>
      </c>
      <c r="C4" t="s">
        <v>921</v>
      </c>
      <c r="E4">
        <f t="shared" ref="E4:E42" si="1">MAX(F4:K4)</f>
        <v>4</v>
      </c>
      <c r="G4">
        <v>4</v>
      </c>
      <c r="S4">
        <f>$G4*15</f>
        <v>60</v>
      </c>
    </row>
    <row r="5" spans="1:88" outlineLevel="1" x14ac:dyDescent="0.4">
      <c r="A5" t="str">
        <f t="shared" si="0"/>
        <v>炎付与Ⅲ</v>
      </c>
      <c r="B5" t="s">
        <v>1143</v>
      </c>
      <c r="C5" t="s">
        <v>921</v>
      </c>
      <c r="E5">
        <f t="shared" si="1"/>
        <v>6</v>
      </c>
      <c r="G5">
        <v>6</v>
      </c>
      <c r="S5">
        <f>$G5*15</f>
        <v>90</v>
      </c>
    </row>
    <row r="6" spans="1:88" outlineLevel="1" x14ac:dyDescent="0.4">
      <c r="A6" t="str">
        <f>"氷付与"&amp;B6</f>
        <v>氷付与Ⅰ</v>
      </c>
      <c r="B6" t="s">
        <v>1141</v>
      </c>
      <c r="C6" t="s">
        <v>921</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1142</v>
      </c>
      <c r="C7" t="s">
        <v>921</v>
      </c>
      <c r="E7">
        <f t="shared" si="1"/>
        <v>4</v>
      </c>
      <c r="G7">
        <v>4</v>
      </c>
      <c r="T7">
        <f>$G7*15</f>
        <v>60</v>
      </c>
    </row>
    <row r="8" spans="1:88" outlineLevel="1" x14ac:dyDescent="0.4">
      <c r="A8" t="str">
        <f t="shared" si="2"/>
        <v>氷付与Ⅲ</v>
      </c>
      <c r="B8" t="s">
        <v>1143</v>
      </c>
      <c r="C8" t="s">
        <v>921</v>
      </c>
      <c r="E8">
        <f t="shared" si="1"/>
        <v>6</v>
      </c>
      <c r="G8">
        <v>6</v>
      </c>
      <c r="T8">
        <f>$G8*15</f>
        <v>90</v>
      </c>
    </row>
    <row r="9" spans="1:88" outlineLevel="1" x14ac:dyDescent="0.4">
      <c r="A9" t="str">
        <f>"雷付与"&amp;B9</f>
        <v>雷付与Ⅰ</v>
      </c>
      <c r="B9" t="s">
        <v>1141</v>
      </c>
      <c r="C9" t="s">
        <v>921</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1142</v>
      </c>
      <c r="C10" t="s">
        <v>921</v>
      </c>
      <c r="E10">
        <f t="shared" si="1"/>
        <v>4</v>
      </c>
      <c r="G10">
        <v>4</v>
      </c>
      <c r="U10">
        <f>$G10*15</f>
        <v>60</v>
      </c>
    </row>
    <row r="11" spans="1:88" outlineLevel="1" x14ac:dyDescent="0.4">
      <c r="A11" t="str">
        <f t="shared" si="3"/>
        <v>雷付与Ⅲ</v>
      </c>
      <c r="B11" t="s">
        <v>1143</v>
      </c>
      <c r="C11" t="s">
        <v>921</v>
      </c>
      <c r="E11">
        <f t="shared" si="1"/>
        <v>6</v>
      </c>
      <c r="G11">
        <v>6</v>
      </c>
      <c r="U11">
        <f>$G11*15</f>
        <v>90</v>
      </c>
    </row>
    <row r="12" spans="1:88" outlineLevel="1" x14ac:dyDescent="0.4">
      <c r="A12" t="str">
        <f>"毒付与"&amp;B12</f>
        <v>毒付与Ⅰ</v>
      </c>
      <c r="B12" t="s">
        <v>1141</v>
      </c>
      <c r="C12" t="s">
        <v>921</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1142</v>
      </c>
      <c r="C13" t="s">
        <v>921</v>
      </c>
      <c r="E13">
        <f t="shared" si="1"/>
        <v>4</v>
      </c>
      <c r="G13">
        <v>4</v>
      </c>
      <c r="V13">
        <f>$G13*15</f>
        <v>60</v>
      </c>
      <c r="X13" s="17"/>
    </row>
    <row r="14" spans="1:88" outlineLevel="1" x14ac:dyDescent="0.4">
      <c r="A14" t="str">
        <f t="shared" si="4"/>
        <v>毒付与Ⅲ</v>
      </c>
      <c r="B14" t="s">
        <v>1143</v>
      </c>
      <c r="C14" t="s">
        <v>921</v>
      </c>
      <c r="E14">
        <f t="shared" si="1"/>
        <v>6</v>
      </c>
      <c r="G14">
        <v>6</v>
      </c>
      <c r="V14">
        <f>$G14*15</f>
        <v>90</v>
      </c>
      <c r="X14" s="17"/>
    </row>
    <row r="15" spans="1:88" outlineLevel="1" x14ac:dyDescent="0.4">
      <c r="A15" t="str">
        <f>"光付与"&amp;B15</f>
        <v>光付与Ⅰ</v>
      </c>
      <c r="B15" t="s">
        <v>1141</v>
      </c>
      <c r="C15" t="s">
        <v>921</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1142</v>
      </c>
      <c r="C16" t="s">
        <v>921</v>
      </c>
      <c r="E16">
        <f t="shared" si="1"/>
        <v>4</v>
      </c>
      <c r="H16">
        <v>4</v>
      </c>
      <c r="W16">
        <f t="shared" ref="W16:W17" si="6">$H16*15</f>
        <v>60</v>
      </c>
      <c r="X16" s="17"/>
    </row>
    <row r="17" spans="1:68" outlineLevel="1" x14ac:dyDescent="0.4">
      <c r="A17" t="str">
        <f t="shared" si="5"/>
        <v>光付与Ⅲ</v>
      </c>
      <c r="B17" t="s">
        <v>1143</v>
      </c>
      <c r="C17" t="s">
        <v>921</v>
      </c>
      <c r="E17">
        <f t="shared" si="1"/>
        <v>6</v>
      </c>
      <c r="H17">
        <v>6</v>
      </c>
      <c r="W17">
        <f t="shared" si="6"/>
        <v>90</v>
      </c>
      <c r="X17" s="17"/>
    </row>
    <row r="18" spans="1:68" outlineLevel="1" x14ac:dyDescent="0.4">
      <c r="A18" t="str">
        <f>"闇付与"&amp;B18</f>
        <v>闇付与Ⅰ</v>
      </c>
      <c r="B18" t="s">
        <v>1141</v>
      </c>
      <c r="C18" t="s">
        <v>921</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1142</v>
      </c>
      <c r="C19" t="s">
        <v>921</v>
      </c>
      <c r="E19">
        <f t="shared" si="1"/>
        <v>4</v>
      </c>
      <c r="G19">
        <v>4</v>
      </c>
      <c r="X19">
        <f>$G19*15</f>
        <v>60</v>
      </c>
    </row>
    <row r="20" spans="1:68" outlineLevel="1" x14ac:dyDescent="0.4">
      <c r="A20" t="str">
        <f t="shared" si="7"/>
        <v>闇付与Ⅲ</v>
      </c>
      <c r="B20" t="s">
        <v>1143</v>
      </c>
      <c r="C20" t="s">
        <v>921</v>
      </c>
      <c r="E20">
        <f t="shared" si="1"/>
        <v>6</v>
      </c>
      <c r="G20">
        <v>6</v>
      </c>
      <c r="X20">
        <f t="shared" ref="X20" si="8">$G20*15</f>
        <v>90</v>
      </c>
    </row>
    <row r="21" spans="1:68" outlineLevel="1" x14ac:dyDescent="0.4">
      <c r="A21" s="2"/>
    </row>
    <row r="22" spans="1:68" outlineLevel="1" x14ac:dyDescent="0.4">
      <c r="A22" t="s">
        <v>1144</v>
      </c>
      <c r="C22" t="s">
        <v>1167</v>
      </c>
      <c r="E22">
        <f t="shared" si="1"/>
        <v>1</v>
      </c>
      <c r="H22" s="17">
        <v>1</v>
      </c>
      <c r="AG22">
        <v>5</v>
      </c>
    </row>
    <row r="23" spans="1:68" outlineLevel="1" x14ac:dyDescent="0.4">
      <c r="A23" t="s">
        <v>1145</v>
      </c>
      <c r="C23" t="s">
        <v>1167</v>
      </c>
      <c r="E23">
        <f t="shared" si="1"/>
        <v>3</v>
      </c>
      <c r="H23" s="17">
        <v>3</v>
      </c>
      <c r="AG23">
        <v>10</v>
      </c>
    </row>
    <row r="24" spans="1:68" outlineLevel="1" x14ac:dyDescent="0.4">
      <c r="A24" t="s">
        <v>1146</v>
      </c>
      <c r="C24" t="s">
        <v>1167</v>
      </c>
      <c r="E24">
        <f t="shared" si="1"/>
        <v>5</v>
      </c>
      <c r="H24" s="17">
        <v>5</v>
      </c>
      <c r="AG24">
        <v>15</v>
      </c>
    </row>
    <row r="25" spans="1:68" outlineLevel="1" x14ac:dyDescent="0.4">
      <c r="A25" t="s">
        <v>1147</v>
      </c>
      <c r="C25" t="s">
        <v>1168</v>
      </c>
      <c r="E25">
        <f t="shared" si="1"/>
        <v>1</v>
      </c>
      <c r="G25">
        <v>1</v>
      </c>
      <c r="AJ25">
        <v>10</v>
      </c>
    </row>
    <row r="26" spans="1:68" outlineLevel="1" x14ac:dyDescent="0.4">
      <c r="A26" t="s">
        <v>1148</v>
      </c>
      <c r="C26" t="s">
        <v>1168</v>
      </c>
      <c r="E26">
        <f t="shared" si="1"/>
        <v>3</v>
      </c>
      <c r="G26">
        <v>3</v>
      </c>
      <c r="AJ26">
        <v>30</v>
      </c>
    </row>
    <row r="27" spans="1:68" outlineLevel="1" x14ac:dyDescent="0.4">
      <c r="A27" t="s">
        <v>1149</v>
      </c>
      <c r="C27" t="s">
        <v>1168</v>
      </c>
      <c r="E27">
        <f t="shared" si="1"/>
        <v>5</v>
      </c>
      <c r="G27">
        <v>5</v>
      </c>
      <c r="AJ27">
        <v>50</v>
      </c>
    </row>
    <row r="28" spans="1:68" outlineLevel="1" x14ac:dyDescent="0.4">
      <c r="A28" t="s">
        <v>1150</v>
      </c>
      <c r="C28" t="s">
        <v>1167</v>
      </c>
      <c r="E28">
        <f t="shared" si="1"/>
        <v>1</v>
      </c>
      <c r="G28">
        <v>1</v>
      </c>
      <c r="AK28">
        <v>10</v>
      </c>
    </row>
    <row r="29" spans="1:68" outlineLevel="1" x14ac:dyDescent="0.4">
      <c r="A29" t="s">
        <v>1151</v>
      </c>
      <c r="C29" t="s">
        <v>1167</v>
      </c>
      <c r="E29">
        <f t="shared" si="1"/>
        <v>3</v>
      </c>
      <c r="G29">
        <v>3</v>
      </c>
      <c r="AK29">
        <v>30</v>
      </c>
    </row>
    <row r="30" spans="1:68" outlineLevel="1" x14ac:dyDescent="0.4">
      <c r="A30" t="s">
        <v>1152</v>
      </c>
      <c r="C30" t="s">
        <v>1167</v>
      </c>
      <c r="E30">
        <f t="shared" si="1"/>
        <v>5</v>
      </c>
      <c r="G30">
        <v>5</v>
      </c>
      <c r="AK30">
        <v>50</v>
      </c>
    </row>
    <row r="31" spans="1:68" outlineLevel="1" x14ac:dyDescent="0.4">
      <c r="A31" t="s">
        <v>1153</v>
      </c>
      <c r="C31" t="s">
        <v>1170</v>
      </c>
      <c r="E31">
        <f t="shared" si="1"/>
        <v>1</v>
      </c>
      <c r="G31">
        <v>1</v>
      </c>
      <c r="AL31">
        <v>10</v>
      </c>
    </row>
    <row r="32" spans="1:68" outlineLevel="1" x14ac:dyDescent="0.4">
      <c r="A32" t="s">
        <v>1154</v>
      </c>
      <c r="C32" t="s">
        <v>1170</v>
      </c>
      <c r="E32">
        <f t="shared" si="1"/>
        <v>3</v>
      </c>
      <c r="G32">
        <v>3</v>
      </c>
      <c r="AL32">
        <v>30</v>
      </c>
    </row>
    <row r="33" spans="1:41" ht="19.5" customHeight="1" outlineLevel="1" x14ac:dyDescent="0.4">
      <c r="A33" t="s">
        <v>1155</v>
      </c>
      <c r="C33" t="s">
        <v>1170</v>
      </c>
      <c r="E33">
        <f t="shared" si="1"/>
        <v>5</v>
      </c>
      <c r="G33">
        <v>5</v>
      </c>
      <c r="AL33">
        <v>50</v>
      </c>
    </row>
    <row r="34" spans="1:41" outlineLevel="1" x14ac:dyDescent="0.4">
      <c r="A34" t="s">
        <v>1156</v>
      </c>
      <c r="C34" t="s">
        <v>1171</v>
      </c>
      <c r="E34">
        <f t="shared" si="1"/>
        <v>1</v>
      </c>
      <c r="H34" s="17">
        <v>1</v>
      </c>
      <c r="AM34">
        <v>10</v>
      </c>
    </row>
    <row r="35" spans="1:41" outlineLevel="1" x14ac:dyDescent="0.4">
      <c r="A35" t="s">
        <v>1157</v>
      </c>
      <c r="C35" t="s">
        <v>1171</v>
      </c>
      <c r="E35">
        <f t="shared" si="1"/>
        <v>3</v>
      </c>
      <c r="H35" s="17">
        <v>3</v>
      </c>
      <c r="AM35">
        <v>30</v>
      </c>
    </row>
    <row r="36" spans="1:41" outlineLevel="1" x14ac:dyDescent="0.4">
      <c r="A36" t="s">
        <v>1158</v>
      </c>
      <c r="C36" t="s">
        <v>1171</v>
      </c>
      <c r="E36">
        <f t="shared" si="1"/>
        <v>5</v>
      </c>
      <c r="H36" s="17">
        <v>5</v>
      </c>
      <c r="AM36">
        <v>50</v>
      </c>
    </row>
    <row r="37" spans="1:41" outlineLevel="1" x14ac:dyDescent="0.4">
      <c r="A37" t="s">
        <v>1159</v>
      </c>
      <c r="C37" t="s">
        <v>1132</v>
      </c>
      <c r="E37">
        <f t="shared" si="1"/>
        <v>1</v>
      </c>
      <c r="G37">
        <v>1</v>
      </c>
      <c r="AN37">
        <v>10</v>
      </c>
    </row>
    <row r="38" spans="1:41" outlineLevel="1" x14ac:dyDescent="0.4">
      <c r="A38" t="s">
        <v>1160</v>
      </c>
      <c r="C38" t="s">
        <v>1132</v>
      </c>
      <c r="E38">
        <f t="shared" si="1"/>
        <v>3</v>
      </c>
      <c r="G38">
        <v>3</v>
      </c>
      <c r="AN38">
        <v>30</v>
      </c>
    </row>
    <row r="39" spans="1:41" outlineLevel="1" x14ac:dyDescent="0.4">
      <c r="A39" t="s">
        <v>1161</v>
      </c>
      <c r="C39" t="s">
        <v>1132</v>
      </c>
      <c r="E39">
        <f t="shared" si="1"/>
        <v>5</v>
      </c>
      <c r="G39">
        <v>5</v>
      </c>
      <c r="AN39">
        <v>50</v>
      </c>
    </row>
    <row r="40" spans="1:41" outlineLevel="1" x14ac:dyDescent="0.4">
      <c r="A40" t="s">
        <v>1162</v>
      </c>
      <c r="C40" t="s">
        <v>1165</v>
      </c>
      <c r="E40">
        <f t="shared" si="1"/>
        <v>1</v>
      </c>
      <c r="G40">
        <v>1</v>
      </c>
      <c r="AO40">
        <v>10</v>
      </c>
    </row>
    <row r="41" spans="1:41" outlineLevel="1" x14ac:dyDescent="0.4">
      <c r="A41" t="s">
        <v>1163</v>
      </c>
      <c r="C41" t="s">
        <v>1165</v>
      </c>
      <c r="E41">
        <f t="shared" si="1"/>
        <v>3</v>
      </c>
      <c r="G41">
        <v>3</v>
      </c>
      <c r="AO41">
        <v>30</v>
      </c>
    </row>
    <row r="42" spans="1:41" outlineLevel="1" x14ac:dyDescent="0.4">
      <c r="A42" t="s">
        <v>1164</v>
      </c>
      <c r="C42" t="s">
        <v>1165</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965</v>
      </c>
      <c r="B1" s="3" t="s">
        <v>966</v>
      </c>
      <c r="C1" s="3" t="s">
        <v>477</v>
      </c>
      <c r="D1" s="3" t="s">
        <v>478</v>
      </c>
      <c r="E1" s="3" t="s">
        <v>479</v>
      </c>
      <c r="F1" s="3" t="s">
        <v>480</v>
      </c>
      <c r="G1" s="42" t="s">
        <v>481</v>
      </c>
      <c r="H1" s="42" t="s">
        <v>482</v>
      </c>
      <c r="I1" s="42" t="s">
        <v>483</v>
      </c>
      <c r="J1" s="42" t="s">
        <v>484</v>
      </c>
      <c r="K1" s="44" t="s">
        <v>485</v>
      </c>
      <c r="L1" s="44" t="s">
        <v>486</v>
      </c>
      <c r="M1" s="44" t="s">
        <v>487</v>
      </c>
      <c r="N1" s="44" t="s">
        <v>488</v>
      </c>
      <c r="O1" s="36" t="s">
        <v>489</v>
      </c>
      <c r="P1" s="36" t="s">
        <v>490</v>
      </c>
      <c r="Q1" s="36" t="s">
        <v>491</v>
      </c>
      <c r="R1" s="36" t="s">
        <v>967</v>
      </c>
      <c r="S1" s="56" t="s">
        <v>910</v>
      </c>
      <c r="T1" s="56" t="s">
        <v>907</v>
      </c>
      <c r="U1" s="36" t="s">
        <v>1135</v>
      </c>
      <c r="V1" s="36" t="s">
        <v>1136</v>
      </c>
      <c r="W1" s="3" t="s">
        <v>1673</v>
      </c>
      <c r="X1" s="3" t="s">
        <v>1674</v>
      </c>
      <c r="Y1" s="3" t="s">
        <v>1675</v>
      </c>
      <c r="Z1" s="3" t="s">
        <v>1676</v>
      </c>
    </row>
    <row r="2" spans="1:26" x14ac:dyDescent="0.4">
      <c r="A2" s="17">
        <v>1</v>
      </c>
      <c r="B2" s="17" t="s">
        <v>961</v>
      </c>
      <c r="C2" s="17"/>
      <c r="D2" s="17"/>
      <c r="E2" s="17"/>
      <c r="F2" s="17"/>
      <c r="G2" s="17">
        <v>10</v>
      </c>
      <c r="H2" s="17">
        <v>0</v>
      </c>
      <c r="I2" s="17">
        <v>0</v>
      </c>
      <c r="J2" s="17"/>
      <c r="K2" s="17">
        <v>10</v>
      </c>
      <c r="U2" s="39">
        <v>1</v>
      </c>
      <c r="V2" s="39">
        <v>0</v>
      </c>
      <c r="W2" t="s">
        <v>1726</v>
      </c>
      <c r="X2" t="s">
        <v>1727</v>
      </c>
      <c r="Y2" t="s">
        <v>1728</v>
      </c>
      <c r="Z2">
        <v>1</v>
      </c>
    </row>
    <row r="3" spans="1:26" x14ac:dyDescent="0.4">
      <c r="A3" s="17">
        <v>2</v>
      </c>
      <c r="B3" s="17" t="s">
        <v>961</v>
      </c>
      <c r="C3" s="17"/>
      <c r="D3" s="17"/>
      <c r="E3" s="17"/>
      <c r="F3" s="17"/>
      <c r="G3" s="17">
        <v>20</v>
      </c>
      <c r="H3" s="17">
        <v>0</v>
      </c>
      <c r="I3" s="17">
        <v>0</v>
      </c>
      <c r="J3" s="17"/>
      <c r="K3" s="17">
        <v>20</v>
      </c>
      <c r="U3" s="39">
        <v>1</v>
      </c>
      <c r="V3" s="39">
        <v>0.15</v>
      </c>
      <c r="W3" t="s">
        <v>1729</v>
      </c>
      <c r="X3" t="s">
        <v>1730</v>
      </c>
      <c r="Y3" t="s">
        <v>1731</v>
      </c>
      <c r="Z3">
        <v>1.25</v>
      </c>
    </row>
    <row r="4" spans="1:26" x14ac:dyDescent="0.4">
      <c r="A4" s="17">
        <v>3</v>
      </c>
      <c r="B4" s="17" t="s">
        <v>961</v>
      </c>
      <c r="C4" s="17"/>
      <c r="D4" s="17"/>
      <c r="E4" s="17"/>
      <c r="F4" s="17"/>
      <c r="G4" s="17">
        <v>10</v>
      </c>
      <c r="H4" s="17">
        <v>10</v>
      </c>
      <c r="I4" s="17"/>
      <c r="J4" s="17"/>
      <c r="K4">
        <v>10</v>
      </c>
      <c r="L4" s="17">
        <v>10</v>
      </c>
      <c r="U4" s="39">
        <v>1</v>
      </c>
      <c r="V4" s="39">
        <v>0.3</v>
      </c>
      <c r="W4" t="s">
        <v>1732</v>
      </c>
      <c r="X4" t="s">
        <v>1733</v>
      </c>
      <c r="Y4" t="s">
        <v>1734</v>
      </c>
      <c r="Z4">
        <v>1.5</v>
      </c>
    </row>
    <row r="5" spans="1:26" x14ac:dyDescent="0.4">
      <c r="A5" s="17">
        <v>4</v>
      </c>
      <c r="B5" s="17" t="s">
        <v>961</v>
      </c>
      <c r="C5" s="17"/>
      <c r="D5" s="17"/>
      <c r="E5" s="17"/>
      <c r="F5" s="17"/>
      <c r="G5" s="17">
        <v>10</v>
      </c>
      <c r="H5" s="17">
        <v>20</v>
      </c>
      <c r="I5" s="17">
        <v>10</v>
      </c>
      <c r="J5" s="17"/>
      <c r="K5" s="17">
        <v>10</v>
      </c>
      <c r="L5" s="17">
        <v>20</v>
      </c>
      <c r="M5">
        <v>5</v>
      </c>
      <c r="N5">
        <v>5</v>
      </c>
      <c r="U5" s="39">
        <v>1</v>
      </c>
      <c r="V5" s="39">
        <v>0.5</v>
      </c>
      <c r="W5" t="s">
        <v>1735</v>
      </c>
      <c r="X5" t="s">
        <v>1736</v>
      </c>
      <c r="Y5" t="s">
        <v>1737</v>
      </c>
      <c r="Z5">
        <v>1.75</v>
      </c>
    </row>
    <row r="6" spans="1:26" x14ac:dyDescent="0.4">
      <c r="A6" s="17">
        <v>5</v>
      </c>
      <c r="B6" s="17" t="s">
        <v>961</v>
      </c>
      <c r="C6" s="17"/>
      <c r="D6" s="17"/>
      <c r="E6" s="17"/>
      <c r="F6" s="17"/>
      <c r="G6" s="17">
        <v>20</v>
      </c>
      <c r="H6" s="17">
        <v>40</v>
      </c>
      <c r="I6" s="17">
        <v>20</v>
      </c>
      <c r="J6" s="17"/>
      <c r="K6" s="17">
        <v>20</v>
      </c>
      <c r="L6" s="17">
        <v>40</v>
      </c>
      <c r="M6" s="17">
        <v>10</v>
      </c>
      <c r="N6" s="17">
        <v>10</v>
      </c>
      <c r="O6">
        <v>20</v>
      </c>
      <c r="P6">
        <v>40</v>
      </c>
      <c r="Q6">
        <v>10</v>
      </c>
      <c r="R6" t="s">
        <v>968</v>
      </c>
      <c r="U6" s="39">
        <v>1</v>
      </c>
      <c r="V6" s="39">
        <v>0.65</v>
      </c>
      <c r="W6" t="s">
        <v>1738</v>
      </c>
      <c r="X6" t="s">
        <v>1739</v>
      </c>
      <c r="Y6" t="s">
        <v>1740</v>
      </c>
      <c r="Z6">
        <v>2</v>
      </c>
    </row>
    <row r="7" spans="1:26" x14ac:dyDescent="0.4">
      <c r="A7" s="17">
        <v>6</v>
      </c>
      <c r="B7" s="17" t="s">
        <v>961</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968</v>
      </c>
      <c r="U7" s="39">
        <v>1</v>
      </c>
      <c r="V7" s="39">
        <v>0.8</v>
      </c>
    </row>
    <row r="8" spans="1:26" x14ac:dyDescent="0.4">
      <c r="A8" s="17">
        <v>7</v>
      </c>
      <c r="B8" s="17" t="s">
        <v>961</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968</v>
      </c>
      <c r="U8" s="39">
        <v>1</v>
      </c>
      <c r="V8" s="39">
        <v>1</v>
      </c>
    </row>
    <row r="9" spans="1:26" x14ac:dyDescent="0.4">
      <c r="A9" s="17">
        <v>1</v>
      </c>
      <c r="B9" t="s">
        <v>1172</v>
      </c>
      <c r="O9">
        <v>5</v>
      </c>
      <c r="P9">
        <v>10</v>
      </c>
    </row>
    <row r="10" spans="1:26" x14ac:dyDescent="0.4">
      <c r="A10" s="17">
        <v>2</v>
      </c>
      <c r="B10" t="s">
        <v>1172</v>
      </c>
      <c r="O10">
        <v>10</v>
      </c>
      <c r="P10">
        <v>20</v>
      </c>
      <c r="Q10">
        <v>5</v>
      </c>
    </row>
    <row r="11" spans="1:26" x14ac:dyDescent="0.4">
      <c r="A11" s="17">
        <v>3</v>
      </c>
      <c r="B11" t="s">
        <v>1172</v>
      </c>
      <c r="O11">
        <v>20</v>
      </c>
      <c r="P11">
        <v>40</v>
      </c>
      <c r="Q11">
        <v>10</v>
      </c>
    </row>
    <row r="12" spans="1:26" x14ac:dyDescent="0.4">
      <c r="A12" s="17">
        <v>4</v>
      </c>
      <c r="B12" t="s">
        <v>1172</v>
      </c>
      <c r="O12">
        <v>40</v>
      </c>
      <c r="P12">
        <v>80</v>
      </c>
      <c r="Q12">
        <v>20</v>
      </c>
    </row>
    <row r="13" spans="1:26" x14ac:dyDescent="0.4">
      <c r="A13" s="17">
        <v>5</v>
      </c>
      <c r="B13" t="s">
        <v>1172</v>
      </c>
      <c r="O13">
        <v>80</v>
      </c>
      <c r="P13">
        <v>160</v>
      </c>
      <c r="Q13">
        <v>40</v>
      </c>
      <c r="R13" t="s">
        <v>968</v>
      </c>
    </row>
    <row r="14" spans="1:26" x14ac:dyDescent="0.4">
      <c r="A14" s="17">
        <v>6</v>
      </c>
      <c r="B14" t="s">
        <v>1172</v>
      </c>
      <c r="O14">
        <v>160</v>
      </c>
      <c r="P14">
        <v>320</v>
      </c>
      <c r="Q14">
        <v>80</v>
      </c>
      <c r="R14" t="s">
        <v>968</v>
      </c>
    </row>
    <row r="15" spans="1:26" x14ac:dyDescent="0.4">
      <c r="A15" s="17">
        <v>7</v>
      </c>
      <c r="B15" t="s">
        <v>1172</v>
      </c>
      <c r="O15">
        <v>320</v>
      </c>
      <c r="P15">
        <v>640</v>
      </c>
      <c r="Q15">
        <v>160</v>
      </c>
      <c r="R15" t="s">
        <v>968</v>
      </c>
    </row>
    <row r="16" spans="1:26" x14ac:dyDescent="0.4">
      <c r="A16">
        <v>1</v>
      </c>
      <c r="B16" t="s">
        <v>1389</v>
      </c>
      <c r="C16">
        <v>2</v>
      </c>
      <c r="D16">
        <v>2</v>
      </c>
      <c r="E16">
        <v>2</v>
      </c>
      <c r="G16">
        <v>2</v>
      </c>
      <c r="J16">
        <v>2</v>
      </c>
      <c r="K16">
        <v>2</v>
      </c>
    </row>
    <row r="21" spans="8:9" x14ac:dyDescent="0.4">
      <c r="H21" t="s">
        <v>1272</v>
      </c>
      <c r="I21" t="s">
        <v>977</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W32"/>
  <sheetViews>
    <sheetView workbookViewId="0">
      <selection activeCell="H11" sqref="H11"/>
    </sheetView>
  </sheetViews>
  <sheetFormatPr defaultRowHeight="18.75" x14ac:dyDescent="0.4"/>
  <cols>
    <col min="4" max="4" width="7.75" bestFit="1" customWidth="1"/>
    <col min="5" max="5" width="7.25" customWidth="1"/>
    <col min="6" max="9" width="4.625" customWidth="1"/>
    <col min="10" max="10" width="6.25" customWidth="1"/>
    <col min="11" max="12" width="5.25" bestFit="1" customWidth="1"/>
    <col min="13" max="13" width="7.125" bestFit="1" customWidth="1"/>
    <col min="14" max="14" width="5.25" bestFit="1" customWidth="1"/>
    <col min="15" max="16" width="5.25" customWidth="1"/>
    <col min="17" max="17" width="13.625" bestFit="1" customWidth="1"/>
  </cols>
  <sheetData>
    <row r="1" spans="1:23" x14ac:dyDescent="0.4">
      <c r="A1" t="s">
        <v>662</v>
      </c>
      <c r="B1" t="s">
        <v>920</v>
      </c>
      <c r="C1" t="s">
        <v>1390</v>
      </c>
      <c r="D1" t="s">
        <v>667</v>
      </c>
      <c r="E1" t="s">
        <v>666</v>
      </c>
      <c r="F1" t="s">
        <v>668</v>
      </c>
      <c r="G1" t="s">
        <v>1230</v>
      </c>
      <c r="H1" t="s">
        <v>1131</v>
      </c>
      <c r="I1" t="s">
        <v>854</v>
      </c>
      <c r="J1" t="s">
        <v>175</v>
      </c>
      <c r="K1" t="s">
        <v>671</v>
      </c>
      <c r="L1" t="s">
        <v>154</v>
      </c>
      <c r="M1" t="s">
        <v>155</v>
      </c>
      <c r="N1" t="s">
        <v>161</v>
      </c>
      <c r="O1" t="s">
        <v>925</v>
      </c>
      <c r="P1" t="s">
        <v>934</v>
      </c>
      <c r="Q1" t="s">
        <v>673</v>
      </c>
      <c r="R1" t="s">
        <v>674</v>
      </c>
      <c r="S1" t="s">
        <v>675</v>
      </c>
      <c r="T1" t="s">
        <v>676</v>
      </c>
      <c r="U1" t="s">
        <v>942</v>
      </c>
      <c r="V1" s="53" t="s">
        <v>943</v>
      </c>
      <c r="W1" s="53" t="s">
        <v>481</v>
      </c>
    </row>
    <row r="2" spans="1:23" x14ac:dyDescent="0.4">
      <c r="A2" t="s">
        <v>1184</v>
      </c>
      <c r="B2" t="s">
        <v>921</v>
      </c>
      <c r="C2" t="s">
        <v>1391</v>
      </c>
      <c r="D2">
        <v>20</v>
      </c>
      <c r="E2">
        <v>40</v>
      </c>
      <c r="F2">
        <v>25</v>
      </c>
      <c r="J2">
        <v>20</v>
      </c>
      <c r="L2">
        <v>10</v>
      </c>
      <c r="M2">
        <v>135</v>
      </c>
      <c r="Q2" t="s">
        <v>672</v>
      </c>
      <c r="R2" t="s">
        <v>677</v>
      </c>
      <c r="S2" t="s">
        <v>678</v>
      </c>
      <c r="U2">
        <v>1</v>
      </c>
      <c r="V2" s="52">
        <v>0.5</v>
      </c>
      <c r="W2" s="52">
        <v>0</v>
      </c>
    </row>
    <row r="3" spans="1:23" x14ac:dyDescent="0.4">
      <c r="A3" t="s">
        <v>679</v>
      </c>
      <c r="B3" t="s">
        <v>921</v>
      </c>
      <c r="C3" t="s">
        <v>1391</v>
      </c>
      <c r="D3">
        <v>30</v>
      </c>
      <c r="E3">
        <v>50</v>
      </c>
      <c r="F3">
        <v>35</v>
      </c>
      <c r="J3">
        <v>25</v>
      </c>
      <c r="L3">
        <v>10</v>
      </c>
      <c r="M3">
        <v>135</v>
      </c>
      <c r="Q3" t="s">
        <v>682</v>
      </c>
      <c r="R3" t="s">
        <v>678</v>
      </c>
      <c r="U3">
        <v>1.25</v>
      </c>
      <c r="V3" s="52">
        <v>1</v>
      </c>
      <c r="W3" s="52">
        <v>0.1</v>
      </c>
    </row>
    <row r="4" spans="1:23" x14ac:dyDescent="0.4">
      <c r="A4" t="s">
        <v>680</v>
      </c>
      <c r="B4" t="s">
        <v>921</v>
      </c>
      <c r="C4" t="s">
        <v>1391</v>
      </c>
      <c r="D4">
        <v>40</v>
      </c>
      <c r="E4">
        <v>50</v>
      </c>
      <c r="F4">
        <v>40</v>
      </c>
      <c r="J4">
        <v>25</v>
      </c>
      <c r="L4">
        <v>10</v>
      </c>
      <c r="M4">
        <v>135</v>
      </c>
      <c r="Q4" t="s">
        <v>682</v>
      </c>
      <c r="U4">
        <v>1.5</v>
      </c>
      <c r="V4" s="52">
        <v>1.4</v>
      </c>
      <c r="W4" s="52">
        <v>0.1</v>
      </c>
    </row>
    <row r="5" spans="1:23" x14ac:dyDescent="0.4">
      <c r="A5" t="s">
        <v>1181</v>
      </c>
      <c r="B5" t="s">
        <v>921</v>
      </c>
      <c r="C5" t="s">
        <v>1391</v>
      </c>
      <c r="D5">
        <v>40</v>
      </c>
      <c r="E5">
        <v>50</v>
      </c>
      <c r="F5">
        <v>45</v>
      </c>
      <c r="J5">
        <v>25</v>
      </c>
      <c r="L5">
        <v>10</v>
      </c>
      <c r="M5">
        <v>135</v>
      </c>
      <c r="Q5" t="s">
        <v>681</v>
      </c>
      <c r="R5" t="s">
        <v>1131</v>
      </c>
      <c r="U5">
        <v>1.25</v>
      </c>
      <c r="V5" s="52">
        <v>0.6</v>
      </c>
      <c r="W5" s="52">
        <v>1.2</v>
      </c>
    </row>
    <row r="6" spans="1:23" x14ac:dyDescent="0.4">
      <c r="A6" t="s">
        <v>660</v>
      </c>
      <c r="B6" t="s">
        <v>921</v>
      </c>
      <c r="C6" t="s">
        <v>1391</v>
      </c>
      <c r="D6">
        <v>50</v>
      </c>
      <c r="E6">
        <v>50</v>
      </c>
      <c r="F6">
        <v>45</v>
      </c>
      <c r="J6">
        <v>30</v>
      </c>
      <c r="L6">
        <v>10</v>
      </c>
      <c r="M6">
        <v>125</v>
      </c>
      <c r="Q6" t="s">
        <v>681</v>
      </c>
      <c r="U6">
        <v>1.25</v>
      </c>
      <c r="V6" s="52">
        <v>1.2</v>
      </c>
      <c r="W6" s="52">
        <v>0.4</v>
      </c>
    </row>
    <row r="7" spans="1:23" x14ac:dyDescent="0.4">
      <c r="A7" t="s">
        <v>663</v>
      </c>
      <c r="B7" t="s">
        <v>921</v>
      </c>
      <c r="C7" t="s">
        <v>1391</v>
      </c>
      <c r="D7">
        <v>30</v>
      </c>
      <c r="E7">
        <v>40</v>
      </c>
      <c r="F7">
        <v>30</v>
      </c>
      <c r="J7">
        <v>20</v>
      </c>
      <c r="L7">
        <v>10</v>
      </c>
      <c r="M7">
        <v>125</v>
      </c>
      <c r="Q7" t="s">
        <v>139</v>
      </c>
      <c r="U7">
        <v>1</v>
      </c>
      <c r="V7" s="52">
        <v>0</v>
      </c>
      <c r="W7" s="52">
        <v>1</v>
      </c>
    </row>
    <row r="8" spans="1:23" x14ac:dyDescent="0.4">
      <c r="A8" t="s">
        <v>664</v>
      </c>
      <c r="B8" t="s">
        <v>921</v>
      </c>
      <c r="C8" t="s">
        <v>1391</v>
      </c>
      <c r="D8">
        <v>50</v>
      </c>
      <c r="E8">
        <v>40</v>
      </c>
      <c r="F8">
        <v>45</v>
      </c>
      <c r="J8">
        <v>25</v>
      </c>
      <c r="L8">
        <v>10</v>
      </c>
      <c r="M8">
        <v>125</v>
      </c>
      <c r="Q8" t="s">
        <v>139</v>
      </c>
      <c r="U8">
        <v>1.5</v>
      </c>
      <c r="V8" s="52">
        <v>1.6</v>
      </c>
      <c r="W8" s="52">
        <v>0.2</v>
      </c>
    </row>
    <row r="9" spans="1:23" x14ac:dyDescent="0.4">
      <c r="A9" t="s">
        <v>1185</v>
      </c>
      <c r="B9" t="s">
        <v>921</v>
      </c>
      <c r="C9" t="s">
        <v>1392</v>
      </c>
      <c r="D9">
        <v>65</v>
      </c>
      <c r="E9">
        <v>50</v>
      </c>
      <c r="F9">
        <v>25</v>
      </c>
      <c r="J9">
        <v>25</v>
      </c>
      <c r="K9">
        <v>40</v>
      </c>
      <c r="L9">
        <v>10</v>
      </c>
      <c r="M9">
        <v>135</v>
      </c>
      <c r="N9">
        <v>4</v>
      </c>
      <c r="U9">
        <v>1.25</v>
      </c>
      <c r="V9" s="52">
        <v>0.2</v>
      </c>
      <c r="W9" s="52">
        <v>1.4</v>
      </c>
    </row>
    <row r="10" spans="1:23" x14ac:dyDescent="0.4">
      <c r="A10" t="s">
        <v>665</v>
      </c>
      <c r="B10" t="s">
        <v>921</v>
      </c>
      <c r="C10" t="s">
        <v>1392</v>
      </c>
      <c r="D10">
        <v>20</v>
      </c>
      <c r="E10">
        <v>40</v>
      </c>
      <c r="F10">
        <v>10</v>
      </c>
      <c r="J10">
        <v>25</v>
      </c>
      <c r="K10">
        <v>40</v>
      </c>
      <c r="L10">
        <v>10</v>
      </c>
      <c r="M10">
        <v>140</v>
      </c>
      <c r="N10">
        <v>4</v>
      </c>
      <c r="Q10" t="s">
        <v>683</v>
      </c>
      <c r="U10">
        <v>2</v>
      </c>
      <c r="V10" s="52">
        <v>2</v>
      </c>
      <c r="W10" s="52">
        <v>0.3</v>
      </c>
    </row>
    <row r="11" spans="1:23" x14ac:dyDescent="0.4">
      <c r="A11" t="s">
        <v>1169</v>
      </c>
      <c r="B11" t="s">
        <v>921</v>
      </c>
      <c r="C11" t="s">
        <v>103</v>
      </c>
      <c r="D11">
        <v>0</v>
      </c>
      <c r="E11">
        <v>30</v>
      </c>
      <c r="F11">
        <v>30</v>
      </c>
      <c r="J11">
        <v>25</v>
      </c>
      <c r="L11">
        <v>10</v>
      </c>
      <c r="M11">
        <v>120</v>
      </c>
      <c r="Q11" t="s">
        <v>935</v>
      </c>
      <c r="U11">
        <v>2</v>
      </c>
      <c r="V11" s="52">
        <v>0.1</v>
      </c>
      <c r="W11" s="52">
        <v>1.3</v>
      </c>
    </row>
    <row r="13" spans="1:23" x14ac:dyDescent="0.4">
      <c r="A13" t="s">
        <v>1137</v>
      </c>
      <c r="B13" t="s">
        <v>921</v>
      </c>
      <c r="C13" t="s">
        <v>1393</v>
      </c>
      <c r="D13">
        <v>-5</v>
      </c>
      <c r="E13">
        <v>50</v>
      </c>
      <c r="F13">
        <v>15</v>
      </c>
      <c r="J13">
        <v>25</v>
      </c>
      <c r="L13">
        <v>10</v>
      </c>
      <c r="M13">
        <v>120</v>
      </c>
      <c r="U13">
        <v>1</v>
      </c>
      <c r="V13" s="52">
        <v>0.2</v>
      </c>
      <c r="W13" s="52">
        <v>1</v>
      </c>
    </row>
    <row r="14" spans="1:23" x14ac:dyDescent="0.4">
      <c r="A14" t="s">
        <v>684</v>
      </c>
      <c r="B14" t="s">
        <v>921</v>
      </c>
      <c r="C14" t="s">
        <v>1393</v>
      </c>
      <c r="D14">
        <v>0</v>
      </c>
      <c r="E14">
        <v>60</v>
      </c>
      <c r="F14">
        <v>20</v>
      </c>
      <c r="J14">
        <v>35</v>
      </c>
      <c r="L14">
        <v>10</v>
      </c>
      <c r="M14">
        <v>120</v>
      </c>
      <c r="U14">
        <v>1</v>
      </c>
      <c r="V14" s="52">
        <v>0.6</v>
      </c>
      <c r="W14" s="52">
        <v>0.8</v>
      </c>
    </row>
    <row r="15" spans="1:23" x14ac:dyDescent="0.4">
      <c r="A15" t="s">
        <v>685</v>
      </c>
      <c r="B15" t="s">
        <v>921</v>
      </c>
      <c r="C15" t="s">
        <v>1393</v>
      </c>
      <c r="D15">
        <v>10</v>
      </c>
      <c r="E15">
        <v>70</v>
      </c>
      <c r="F15">
        <v>25</v>
      </c>
      <c r="J15">
        <v>45</v>
      </c>
      <c r="L15">
        <v>10</v>
      </c>
      <c r="M15">
        <v>120</v>
      </c>
      <c r="U15">
        <v>1.5</v>
      </c>
      <c r="V15" s="52">
        <v>1</v>
      </c>
      <c r="W15" s="52">
        <v>1.2</v>
      </c>
    </row>
    <row r="16" spans="1:23" x14ac:dyDescent="0.4">
      <c r="V16" s="52">
        <v>0.2</v>
      </c>
      <c r="W16" s="52">
        <v>0</v>
      </c>
    </row>
    <row r="17" spans="1:23" x14ac:dyDescent="0.4">
      <c r="A17" t="s">
        <v>923</v>
      </c>
      <c r="B17" t="s">
        <v>914</v>
      </c>
      <c r="P17">
        <v>3</v>
      </c>
      <c r="Q17" t="s">
        <v>935</v>
      </c>
      <c r="U17">
        <v>1</v>
      </c>
      <c r="V17" s="52">
        <v>0.2</v>
      </c>
      <c r="W17" s="52">
        <v>0.1</v>
      </c>
    </row>
    <row r="18" spans="1:23" x14ac:dyDescent="0.4">
      <c r="A18" t="s">
        <v>922</v>
      </c>
      <c r="B18" t="s">
        <v>914</v>
      </c>
      <c r="E18">
        <v>5</v>
      </c>
      <c r="O18">
        <v>5</v>
      </c>
      <c r="P18">
        <v>10</v>
      </c>
      <c r="U18">
        <v>1.5</v>
      </c>
      <c r="V18" s="52">
        <v>0.7</v>
      </c>
      <c r="W18" s="52">
        <v>0.1</v>
      </c>
    </row>
    <row r="19" spans="1:23" x14ac:dyDescent="0.4">
      <c r="A19" t="s">
        <v>924</v>
      </c>
      <c r="B19" t="s">
        <v>914</v>
      </c>
      <c r="P19">
        <v>4</v>
      </c>
      <c r="U19">
        <v>1</v>
      </c>
      <c r="V19" s="52">
        <v>0.1</v>
      </c>
      <c r="W19" s="52">
        <v>0.3</v>
      </c>
    </row>
    <row r="20" spans="1:23" x14ac:dyDescent="0.4">
      <c r="A20" t="s">
        <v>1166</v>
      </c>
      <c r="B20" t="s">
        <v>914</v>
      </c>
      <c r="P20">
        <v>0</v>
      </c>
      <c r="Q20" t="s">
        <v>937</v>
      </c>
      <c r="R20" t="s">
        <v>938</v>
      </c>
      <c r="U20">
        <v>1</v>
      </c>
      <c r="V20" s="52">
        <v>0.1</v>
      </c>
      <c r="W20" s="52">
        <v>0.3</v>
      </c>
    </row>
    <row r="22" spans="1:23" x14ac:dyDescent="0.4">
      <c r="A22" t="s">
        <v>926</v>
      </c>
      <c r="B22" t="s">
        <v>917</v>
      </c>
      <c r="E22">
        <v>10</v>
      </c>
      <c r="O22">
        <v>10</v>
      </c>
      <c r="P22">
        <v>20</v>
      </c>
      <c r="U22">
        <v>2</v>
      </c>
      <c r="V22" s="52">
        <v>2.8</v>
      </c>
      <c r="W22" s="52">
        <v>0.25</v>
      </c>
    </row>
    <row r="23" spans="1:23" x14ac:dyDescent="0.4">
      <c r="A23" t="s">
        <v>927</v>
      </c>
      <c r="B23" t="s">
        <v>917</v>
      </c>
      <c r="P23">
        <v>10</v>
      </c>
      <c r="U23">
        <v>1.5</v>
      </c>
      <c r="V23" s="52">
        <v>0.25</v>
      </c>
      <c r="W23" s="52">
        <v>1</v>
      </c>
    </row>
    <row r="24" spans="1:23" x14ac:dyDescent="0.4">
      <c r="A24" t="s">
        <v>928</v>
      </c>
      <c r="B24" t="s">
        <v>917</v>
      </c>
      <c r="P24">
        <v>5</v>
      </c>
      <c r="Q24" t="s">
        <v>936</v>
      </c>
      <c r="U24">
        <v>1.5</v>
      </c>
      <c r="V24" s="52">
        <v>0.25</v>
      </c>
      <c r="W24" s="52">
        <v>1</v>
      </c>
    </row>
    <row r="26" spans="1:23" x14ac:dyDescent="0.4">
      <c r="A26" t="s">
        <v>1133</v>
      </c>
      <c r="B26" t="s">
        <v>918</v>
      </c>
      <c r="E26">
        <v>5</v>
      </c>
      <c r="P26">
        <v>3</v>
      </c>
      <c r="Q26" t="s">
        <v>937</v>
      </c>
    </row>
    <row r="27" spans="1:23" x14ac:dyDescent="0.4">
      <c r="A27" t="s">
        <v>1132</v>
      </c>
      <c r="B27" t="s">
        <v>918</v>
      </c>
      <c r="P27">
        <v>1</v>
      </c>
      <c r="Q27" t="s">
        <v>1134</v>
      </c>
    </row>
    <row r="29" spans="1:23" x14ac:dyDescent="0.4">
      <c r="A29" t="s">
        <v>929</v>
      </c>
      <c r="B29" t="s">
        <v>933</v>
      </c>
      <c r="Q29" t="s">
        <v>935</v>
      </c>
      <c r="U29">
        <v>1</v>
      </c>
      <c r="V29" s="52">
        <v>0.15</v>
      </c>
      <c r="W29" s="52">
        <v>0.05</v>
      </c>
    </row>
    <row r="30" spans="1:23" x14ac:dyDescent="0.4">
      <c r="A30" t="s">
        <v>930</v>
      </c>
      <c r="B30" t="s">
        <v>933</v>
      </c>
      <c r="Q30" t="s">
        <v>937</v>
      </c>
      <c r="R30" t="s">
        <v>938</v>
      </c>
      <c r="U30">
        <v>1</v>
      </c>
      <c r="V30" s="52">
        <v>0.1</v>
      </c>
      <c r="W30" s="52">
        <v>0.05</v>
      </c>
    </row>
    <row r="31" spans="1:23" x14ac:dyDescent="0.4">
      <c r="A31" t="s">
        <v>931</v>
      </c>
      <c r="B31" t="s">
        <v>933</v>
      </c>
      <c r="Q31" t="s">
        <v>939</v>
      </c>
      <c r="U31">
        <v>1</v>
      </c>
      <c r="V31" s="52">
        <v>0.1</v>
      </c>
      <c r="W31" s="52">
        <v>0.05</v>
      </c>
    </row>
    <row r="32" spans="1:23" x14ac:dyDescent="0.4">
      <c r="A32" t="s">
        <v>932</v>
      </c>
      <c r="B32" t="s">
        <v>933</v>
      </c>
      <c r="Q32" t="s">
        <v>940</v>
      </c>
      <c r="R32" t="s">
        <v>941</v>
      </c>
      <c r="U32">
        <v>1</v>
      </c>
      <c r="V32" s="52">
        <v>0.2</v>
      </c>
      <c r="W32" s="52">
        <v>0.05</v>
      </c>
    </row>
  </sheetData>
  <phoneticPr fontId="2"/>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CB1E-23B8-4D7F-AA69-7B176CED6B02}">
  <sheetPr codeName="Sheet22"/>
  <dimension ref="A8:L14"/>
  <sheetViews>
    <sheetView workbookViewId="0">
      <selection activeCell="C11" sqref="C11:D14"/>
    </sheetView>
  </sheetViews>
  <sheetFormatPr defaultRowHeight="18.75" x14ac:dyDescent="0.4"/>
  <cols>
    <col min="1" max="1" width="13" bestFit="1" customWidth="1"/>
    <col min="4" max="4" width="11" bestFit="1" customWidth="1"/>
  </cols>
  <sheetData>
    <row r="8" spans="1:12" x14ac:dyDescent="0.4">
      <c r="B8" t="s">
        <v>1278</v>
      </c>
    </row>
    <row r="10" spans="1:12" x14ac:dyDescent="0.4">
      <c r="A10" t="s">
        <v>1274</v>
      </c>
      <c r="B10" s="71" t="s">
        <v>1272</v>
      </c>
      <c r="C10" s="71" t="s">
        <v>977</v>
      </c>
      <c r="D10" s="71" t="s">
        <v>1273</v>
      </c>
    </row>
    <row r="11" spans="1:12" ht="24" x14ac:dyDescent="0.4">
      <c r="B11" s="86" t="s">
        <v>1275</v>
      </c>
      <c r="C11" s="87" t="s">
        <v>1279</v>
      </c>
      <c r="D11" s="88"/>
      <c r="E11" t="s">
        <v>11</v>
      </c>
      <c r="F11" s="90" t="s">
        <v>1281</v>
      </c>
      <c r="G11" s="90"/>
      <c r="H11" s="90"/>
      <c r="I11" s="90"/>
      <c r="J11" s="90"/>
      <c r="K11" s="90"/>
    </row>
    <row r="12" spans="1:12" x14ac:dyDescent="0.4">
      <c r="A12" t="s">
        <v>1276</v>
      </c>
      <c r="B12" s="86"/>
      <c r="C12" s="89"/>
      <c r="D12" s="81"/>
      <c r="F12" t="s">
        <v>13</v>
      </c>
      <c r="G12" t="s">
        <v>15</v>
      </c>
      <c r="H12" t="s">
        <v>17</v>
      </c>
      <c r="I12" t="s">
        <v>1283</v>
      </c>
      <c r="J12" t="s">
        <v>20</v>
      </c>
      <c r="K12" t="s">
        <v>22</v>
      </c>
      <c r="L12" t="s">
        <v>29</v>
      </c>
    </row>
    <row r="13" spans="1:12" x14ac:dyDescent="0.4">
      <c r="B13" s="86" t="s">
        <v>13</v>
      </c>
      <c r="C13" s="89"/>
      <c r="D13" s="81"/>
      <c r="E13" t="s">
        <v>1280</v>
      </c>
      <c r="F13" t="s">
        <v>1282</v>
      </c>
      <c r="G13" t="s">
        <v>1282</v>
      </c>
      <c r="H13" t="s">
        <v>1282</v>
      </c>
      <c r="I13" t="s">
        <v>1282</v>
      </c>
      <c r="J13" t="s">
        <v>1282</v>
      </c>
      <c r="K13" t="s">
        <v>1282</v>
      </c>
      <c r="L13" t="s">
        <v>1282</v>
      </c>
    </row>
    <row r="14" spans="1:12" x14ac:dyDescent="0.4">
      <c r="A14" t="s">
        <v>1277</v>
      </c>
      <c r="B14" s="86"/>
      <c r="C14" s="89"/>
      <c r="D14" s="81"/>
    </row>
  </sheetData>
  <mergeCells count="4">
    <mergeCell ref="B11:B12"/>
    <mergeCell ref="B13:B14"/>
    <mergeCell ref="C11:D14"/>
    <mergeCell ref="F11:K11"/>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2026-09-19T07:12:53Z</dcterms:modified>
</cp:coreProperties>
</file>